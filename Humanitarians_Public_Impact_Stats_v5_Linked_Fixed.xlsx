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fca03016d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d82ca2462dc4032"/>
    <x:sheet xmlns:r="http://schemas.openxmlformats.org/officeDocument/2006/relationships" name="Lists" sheetId="2" r:id="R7906eb6207f84647"/>
    <x:sheet xmlns:r="http://schemas.openxmlformats.org/officeDocument/2006/relationships" name="CaseLedger" sheetId="3" r:id="Rb1db0a4d38924ead"/>
    <x:sheet xmlns:r="http://schemas.openxmlformats.org/officeDocument/2006/relationships" name="MonthlyFinance" sheetId="4" r:id="R87074f75d5e742c5"/>
    <x:sheet xmlns:r="http://schemas.openxmlformats.org/officeDocument/2006/relationships" name="MonthlyStats" sheetId="5" r:id="R5ea10d7f6f7a4d62"/>
    <x:sheet xmlns:r="http://schemas.openxmlformats.org/officeDocument/2006/relationships" name="SupportTypes" sheetId="6" r:id="Rf31303b1e5f44916"/>
    <x:sheet xmlns:r="http://schemas.openxmlformats.org/officeDocument/2006/relationships" name="ImpactSummary" sheetId="7" r:id="R583dfdc24daa44d8"/>
    <x:sheet xmlns:r="http://schemas.openxmlformats.org/officeDocument/2006/relationships" name="LastUpdated" sheetId="8" r:id="Re67d7c0114a9461b"/>
    <x:sheet xmlns:r="http://schemas.openxmlformats.org/officeDocument/2006/relationships" name="Reports" sheetId="9" r:id="Rbbfe0f9f29d8412e"/>
    <x:sheet xmlns:r="http://schemas.openxmlformats.org/officeDocument/2006/relationships" name="CaseStorySeeds" sheetId="10" r:id="R12dd9b18cf4248a1"/>
    <x:sheet xmlns:r="http://schemas.openxmlformats.org/officeDocument/2006/relationships" name="MentorshipTestimonials" sheetId="11" r:id="Rd415564d22584a91"/>
    <x:sheet xmlns:r="http://schemas.openxmlformats.org/officeDocument/2006/relationships" name="CampaignStats" sheetId="12" r:id="Ra30b8ccfabaf4403"/>
    <x:sheet xmlns:r="http://schemas.openxmlformats.org/officeDocument/2006/relationships" name="WebsiteConfig" sheetId="13" r:id="R2e671dfdcadb49b8"/>
    <x:sheet xmlns:r="http://schemas.openxmlformats.org/officeDocument/2006/relationships" name="DataQualityNotes" sheetId="14" r:id="R41c735349cbb4c4a"/>
    <x:sheet xmlns:r="http://schemas.openxmlformats.org/officeDocument/2006/relationships" name="SourceTabsAudit" sheetId="15" r:id="R9f3efa46af4044e4"/>
    <x:sheet xmlns:r="http://schemas.openxmlformats.org/officeDocument/2006/relationships" name="README" sheetId="16" r:id="R6ab42c509a2c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yyyy-mm-dd"/>
    <x:numFmt numFmtId="202" formatCode="#,##0"/>
  </x:numFmts>
  <x:fonts count="6">
    <x:font>
      <x:sz val="11"/>
      <x:name val="Carlito"/>
    </x:font>
    <x:font>
      <x:b/>
      <x:sz val="14"/>
      <x:color rgb="FFFFFF"/>
      <x:name val="Carlito"/>
    </x:font>
    <x:font>
      <x:sz val="11"/>
      <x:color rgb="78350F"/>
      <x:name val="Carlito"/>
    </x:font>
    <x:font>
      <x:b/>
      <x:sz val="11"/>
      <x:color rgb="FFFFFF"/>
      <x:name val="Carlito"/>
    </x:font>
    <x:font>
      <x:b/>
      <x:sz val="11"/>
      <x:color rgb="134E4A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64E3B"/>
      </x:patternFill>
    </x:fill>
    <x:fill>
      <x:patternFill patternType="solid">
        <x:fgColor rgb="FEF3C7"/>
      </x:patternFill>
    </x:fill>
    <x:fill>
      <x:patternFill patternType="solid">
        <x:fgColor rgb="0F766E"/>
      </x:patternFill>
    </x:fill>
    <x:fill>
      <x:patternFill patternType="solid">
        <x:fgColor rgb="E6FFFA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201" fontId="3" fillId="6" borderId="0" xfId="0" applyNumberFormat="1" applyFont="1" applyFill="1" applyBorder="1" applyAlignment="1">
      <x:alignment horizontal="center" vertical="center" wrapText="1"/>
    </x:xf>
    <x:xf numFmtId="200" fontId="3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3" fillId="6" borderId="0" xfId="0" applyNumberFormat="1" applyFont="1" applyFill="1" applyBorder="1"/>
    <x:xf numFmtId="0" fontId="5" fillId="4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vertical="center" wrapText="1"/>
    </x:xf>
    <x:xf numFmtId="201" fontId="3" fillId="7" borderId="0" xfId="0" applyNumberFormat="1" applyFont="1" applyFill="1" applyBorder="1" applyAlignment="1">
      <x:alignment horizontal="center" vertical="center" wrapText="1"/>
    </x:xf>
    <x:xf numFmtId="200" fontId="3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2" fontId="3" fillId="7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82fde848a4ed2" /><Relationship Type="http://schemas.openxmlformats.org/officeDocument/2006/relationships/theme" Target="/xl/theme/theme1.xml" Id="R9ffc602e66514065" /><Relationship Type="http://schemas.openxmlformats.org/officeDocument/2006/relationships/sharedStrings" Target="/xl/sharedStrings.xml" Id="Rcc1b439785974d85" /><Relationship Type="http://schemas.openxmlformats.org/officeDocument/2006/relationships/worksheet" Target="/xl/worksheets/sheet1.xml" Id="R4d82ca2462dc4032" /><Relationship Type="http://schemas.openxmlformats.org/officeDocument/2006/relationships/worksheet" Target="/xl/worksheets/sheet2.xml" Id="R7906eb6207f84647" /><Relationship Type="http://schemas.openxmlformats.org/officeDocument/2006/relationships/worksheet" Target="/xl/worksheets/sheet3.xml" Id="Rb1db0a4d38924ead" /><Relationship Type="http://schemas.openxmlformats.org/officeDocument/2006/relationships/worksheet" Target="/xl/worksheets/sheet4.xml" Id="R87074f75d5e742c5" /><Relationship Type="http://schemas.openxmlformats.org/officeDocument/2006/relationships/worksheet" Target="/xl/worksheets/sheet5.xml" Id="R5ea10d7f6f7a4d62" /><Relationship Type="http://schemas.openxmlformats.org/officeDocument/2006/relationships/worksheet" Target="/xl/worksheets/sheet6.xml" Id="Rf31303b1e5f44916" /><Relationship Type="http://schemas.openxmlformats.org/officeDocument/2006/relationships/worksheet" Target="/xl/worksheets/sheet7.xml" Id="R583dfdc24daa44d8" /><Relationship Type="http://schemas.openxmlformats.org/officeDocument/2006/relationships/worksheet" Target="/xl/worksheets/sheet8.xml" Id="Re67d7c0114a9461b" /><Relationship Type="http://schemas.openxmlformats.org/officeDocument/2006/relationships/worksheet" Target="/xl/worksheets/sheet9.xml" Id="Rbbfe0f9f29d8412e" /><Relationship Type="http://schemas.openxmlformats.org/officeDocument/2006/relationships/worksheet" Target="/xl/worksheets/sheet10.xml" Id="R12dd9b18cf4248a1" /><Relationship Type="http://schemas.openxmlformats.org/officeDocument/2006/relationships/worksheet" Target="/xl/worksheets/sheet11.xml" Id="Rd415564d22584a91" /><Relationship Type="http://schemas.openxmlformats.org/officeDocument/2006/relationships/worksheet" Target="/xl/worksheets/sheet12.xml" Id="Ra30b8ccfabaf4403" /><Relationship Type="http://schemas.openxmlformats.org/officeDocument/2006/relationships/worksheet" Target="/xl/worksheets/sheet13.xml" Id="R2e671dfdcadb49b8" /><Relationship Type="http://schemas.openxmlformats.org/officeDocument/2006/relationships/worksheet" Target="/xl/worksheets/sheet14.xml" Id="R41c735349cbb4c4a" /><Relationship Type="http://schemas.openxmlformats.org/officeDocument/2006/relationships/worksheet" Target="/xl/worksheets/sheet15.xml" Id="R9f3efa46af4044e4" /><Relationship Type="http://schemas.openxmlformats.org/officeDocument/2006/relationships/worksheet" Target="/xl/worksheets/sheet16.xml" Id="R6ab42c509a2c4c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Humanitarians Public Impact Stats - Linked Workbook v5</x:v>
      </x:c>
      <x:c r="B1"/>
    </x:row>
    <x:row r="2">
      <x:c r="A2" s="12" t="str">
        <x:v>Edit CaseLedger for cases. Website-facing tabs are formula-linked using boolean-safe formulas for Google Sheets.</x:v>
      </x:c>
      <x:c r="B2"/>
    </x:row>
    <x:row r="4">
      <x:c r="A4" s="19" t="str">
        <x:v>Metric</x:v>
      </x:c>
      <x:c r="B4" s="19" t="str">
        <x:v>Value</x:v>
      </x:c>
    </x:row>
    <x:row r="5">
      <x:c r="A5" t="str">
        <x:v>Active donor community</x:v>
      </x:c>
      <x:c r="B5" t="str">
        <x:f>ImpactSummary!B2</x:f>
        <x:v>200+</x:v>
      </x:c>
    </x:row>
    <x:row r="6">
      <x:c r="A6" t="str">
        <x:v>Public cases tracked</x:v>
      </x:c>
      <x:c r="B6" t="n">
        <x:f>ImpactSummary!B3</x:f>
        <x:v>46</x:v>
      </x:c>
    </x:row>
    <x:row r="7">
      <x:c r="A7" t="str">
        <x:v>Total public support</x:v>
      </x:c>
      <x:c r="B7" s="40" t="n">
        <x:f>ImpactSummary!B4</x:f>
        <x:v>692506</x:v>
      </x:c>
    </x:row>
    <x:row r="8">
      <x:c r="A8" t="str">
        <x:v>Livelihood cases</x:v>
      </x:c>
      <x:c r="B8" s="40" t="n">
        <x:f>ImpactSummary!B5</x:f>
        <x:v>38</x:v>
      </x:c>
    </x:row>
    <x:row r="9">
      <x:c r="A9" t="str">
        <x:v>Zakat allocated</x:v>
      </x:c>
      <x:c r="B9" s="40" t="n">
        <x:f>ImpactSummary!B11</x:f>
        <x:v>254700</x:v>
      </x:c>
    </x:row>
    <x:row r="10">
      <x:c r="A10" t="str">
        <x:v>Sadaqah allocated</x:v>
      </x:c>
      <x:c r="B10" s="40" t="n">
        <x:f>ImpactSummary!B12</x:f>
        <x:v>437806</x:v>
      </x:c>
    </x:row>
    <x:row r="11">
      <x:c r="A11" t="str">
        <x:v>Data through</x:v>
      </x:c>
      <x:c r="B11" t="str">
        <x:f>ImpactSummary!B19</x:f>
        <x:v>Apr 2026 confirmed</x:v>
      </x:c>
    </x:row>
    <x:row r="13">
      <x:c r="A13" s="27" t="str">
        <x:v>Workflow</x:v>
      </x:c>
    </x:row>
    <x:row r="14">
      <x:c r="A14" t="str">
        <x:v>1</x:v>
      </x:c>
      <x:c r="B14" t="str">
        <x:v>Add or update a row in CaseLedger.</x:v>
      </x:c>
    </x:row>
    <x:row r="15">
      <x:c r="A15" t="str">
        <x:v>2</x:v>
      </x:c>
      <x:c r="B15" t="str">
        <x:v>Set include_in_public_stats = TRUE if the case may be counted in public stats.</x:v>
      </x:c>
    </x:row>
    <x:row r="16">
      <x:c r="A16" t="str">
        <x:v>3</x:v>
      </x:c>
      <x:c r="B16" t="str">
        <x:v>Set published = Yes and publish_status = Publish only after privacy review, follow-up verification, and consent.</x:v>
      </x:c>
    </x:row>
    <x:row r="17">
      <x:c r="A17" t="str">
        <x:v>4</x:v>
      </x:c>
      <x:c r="B17" t="str">
        <x:v>Upload this workbook to Google Sheets, then publish the website-facing tabs as CSV.</x:v>
      </x:c>
    </x:row>
    <x:row r="18">
      <x:c r="A18" t="str">
        <x:v>5</x:v>
      </x:c>
      <x:c r="B18" t="str">
        <x:v>Do not publish raw/private tabs with recipient or donor personal data.</x:v>
      </x:c>
    </x:row>
    <x:row r="20">
      <x:c r="A20" s="27" t="str">
        <x:v>Case Story Publishing Rule</x:v>
      </x:c>
      <x:c r="B20"/>
    </x:row>
    <x:row r="21">
      <x:c r="A21" s="12" t="str">
        <x:v>The website should display a case story only when CaseStorySeeds.published = Yes and publish_status = Publish. Images should display only when image_consent_status = Consent received.</x:v>
      </x:c>
      <x:c r="B21"/>
    </x:row>
  </x:sheetData>
  <x:mergeCells>
    <x:mergeCell ref="A1:H1"/>
    <x:mergeCell ref="A2:H2"/>
    <x:mergeCell ref="A13:H13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24" customHeight="1">
      <x:c r="A1" s="49" t="str">
        <x:v>include_in_public_stats</x:v>
      </x:c>
      <x:c r="B1" s="49" t="str">
        <x:v>published</x:v>
      </x:c>
      <x:c r="C1" s="49" t="str">
        <x:v>publish_status</x:v>
      </x:c>
      <x:c r="D1" s="49" t="str">
        <x:v>category</x:v>
      </x:c>
      <x:c r="E1" s="49" t="str">
        <x:v>support_type</x:v>
      </x:c>
      <x:c r="F1" s="49" t="str">
        <x:v>image_consent_status</x:v>
      </x:c>
      <x:c r="G1" s="49" t="str">
        <x:v>testimonial_consent</x:v>
      </x:c>
      <x:c r="H1" s="49" t="str">
        <x:v>testimonial_publish_status</x:v>
      </x:c>
      <x:c r="I1" s="32"/>
    </x:row>
    <x:row r="2">
      <x:c r="A2" t="str">
        <x:v>TRUE</x:v>
      </x:c>
      <x:c r="B2" t="str">
        <x:v>Yes</x:v>
      </x:c>
      <x:c r="C2" t="str">
        <x:v>Draft</x:v>
      </x:c>
      <x:c r="D2" t="str">
        <x:v>Livelihood</x:v>
      </x:c>
      <x:c r="E2" t="str">
        <x:v>Shop / business inventory</x:v>
      </x:c>
      <x:c r="F2" t="str">
        <x:v>Pending consent</x:v>
      </x:c>
      <x:c r="G2" t="str">
        <x:v>Yes</x:v>
      </x:c>
      <x:c r="H2" t="str">
        <x:v>Draft</x:v>
      </x:c>
      <x:c r="I2"/>
    </x:row>
    <x:row r="3">
      <x:c r="A3" t="str">
        <x:v>FALSE</x:v>
      </x:c>
      <x:c r="B3" t="str">
        <x:v>No</x:v>
      </x:c>
      <x:c r="C3" t="str">
        <x:v>Publish</x:v>
      </x:c>
      <x:c r="D3" t="str">
        <x:v>Skill Sponsorship</x:v>
      </x:c>
      <x:c r="E3" t="str">
        <x:v>Sewing / tailoring</x:v>
      </x:c>
      <x:c r="F3" t="str">
        <x:v>Consent received</x:v>
      </x:c>
      <x:c r="G3" t="str">
        <x:v>No</x:v>
      </x:c>
      <x:c r="H3" t="str">
        <x:v>Publish</x:v>
      </x:c>
      <x:c r="I3"/>
    </x:row>
    <x:row r="4">
      <x:c r="A4"/>
      <x:c r="B4"/>
      <x:c r="C4" t="str">
        <x:v>Archive</x:v>
      </x:c>
      <x:c r="D4" t="str">
        <x:v>Emergency Support</x:v>
      </x:c>
      <x:c r="E4" t="str">
        <x:v>E-rickshaw / auto</x:v>
      </x:c>
      <x:c r="F4" t="str">
        <x:v>Do not publish</x:v>
      </x:c>
      <x:c r="G4"/>
      <x:c r="H4" t="str">
        <x:v>Archive</x:v>
      </x:c>
      <x:c r="I4"/>
    </x:row>
    <x:row r="5">
      <x:c r="A5"/>
      <x:c r="B5"/>
      <x:c r="C5"/>
      <x:c r="D5" t="str">
        <x:v>Community Support</x:v>
      </x:c>
      <x:c r="E5" t="str">
        <x:v>Tools / equipment</x:v>
      </x:c>
      <x:c r="F5"/>
      <x:c r="G5"/>
      <x:c r="H5"/>
    </x:row>
    <x:row r="6">
      <x:c r="A6"/>
      <x:c r="B6"/>
      <x:c r="C6"/>
      <x:c r="D6"/>
      <x:c r="E6" t="str">
        <x:v>Education / course sponsorship</x:v>
      </x:c>
      <x:c r="F6"/>
      <x:c r="G6"/>
      <x:c r="H6"/>
    </x:row>
    <x:row r="7">
      <x:c r="A7"/>
      <x:c r="B7"/>
      <x:c r="C7"/>
      <x:c r="D7"/>
      <x:c r="E7" t="str">
        <x:v>Education / Maktab</x:v>
      </x:c>
      <x:c r="F7"/>
      <x:c r="G7"/>
      <x:c r="H7"/>
    </x:row>
    <x:row r="8">
      <x:c r="A8"/>
      <x:c r="B8"/>
      <x:c r="C8"/>
      <x:c r="D8"/>
      <x:c r="E8" t="str">
        <x:v>Relief / emergency support</x:v>
      </x:c>
      <x:c r="F8"/>
      <x:c r="G8"/>
      <x:c r="H8"/>
    </x:row>
    <x:row r="9">
      <x:c r="A9"/>
      <x:c r="B9"/>
      <x:c r="C9"/>
      <x:c r="D9"/>
      <x:c r="E9" t="str">
        <x:v>Medical support</x:v>
      </x:c>
      <x:c r="F9"/>
      <x:c r="G9"/>
      <x:c r="H9"/>
    </x:row>
    <x:row r="10">
      <x:c r="A10"/>
      <x:c r="B10"/>
      <x:c r="C10"/>
      <x:c r="D10"/>
      <x:c r="E10" t="str">
        <x:v>Masjid / community support</x:v>
      </x:c>
      <x:c r="F10"/>
      <x:c r="G10"/>
      <x:c r="H10"/>
    </x:row>
    <x:row r="11">
      <x:c r="A11"/>
      <x:c r="B11"/>
      <x:c r="C11"/>
      <x:c r="D11"/>
      <x:c r="E11" t="str">
        <x:v>Agriculture / animal livelihood</x:v>
      </x:c>
      <x:c r="F11"/>
      <x:c r="G11"/>
      <x:c r="H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.25" hidden="0" customWidth="1"/>
    <x:col min="3" max="3" width="7.940000057220459" hidden="0" customWidth="1"/>
    <x:col min="4" max="4" width="11.84000015258789" hidden="0" customWidth="1"/>
    <x:col min="5" max="5" width="14" hidden="0" customWidth="1"/>
    <x:col min="6" max="6" width="9.5600004196167" hidden="0" customWidth="1"/>
    <x:col min="7" max="7" width="10.09000015258789" hidden="0" customWidth="1"/>
    <x:col min="8" max="8" width="28" hidden="0" customWidth="1"/>
    <x:col min="9" max="9" width="22.06999969482422" hidden="0" customWidth="1"/>
    <x:col min="10" max="10" width="16.149999618530273" hidden="0" customWidth="1"/>
    <x:col min="11" max="11" width="27.049999237060547" hidden="0" customWidth="1"/>
    <x:col min="12" max="12" width="11.569999694824219" hidden="0" customWidth="1"/>
    <x:col min="13" max="13" width="14.270000457763672" hidden="0" customWidth="1"/>
    <x:col min="14" max="14" width="11.170000076293945" hidden="0" customWidth="1"/>
    <x:col min="15" max="15" width="8.34000015258789" hidden="0" customWidth="1"/>
    <x:col min="16" max="16" width="14.399999618530273" hidden="0" customWidth="1"/>
    <x:col min="17" max="17" width="13.859999656677246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3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30" hidden="0" customWidth="1"/>
    <x:col min="36" max="36" width="30" hidden="0" customWidth="1"/>
    <x:col min="37" max="37" width="40" hidden="0" customWidth="1"/>
  </x:cols>
  <x:sheetData>
    <x:row r="1" ht="24" customHeight="1">
      <x:c r="A1" s="49" t="str">
        <x:v>case_id</x:v>
      </x:c>
      <x:c r="B1" s="49" t="str">
        <x:v>include_in_public_stats</x:v>
      </x:c>
      <x:c r="C1" s="49" t="str">
        <x:v>published</x:v>
      </x:c>
      <x:c r="D1" s="49" t="str">
        <x:v>publish_status</x:v>
      </x:c>
      <x:c r="E1" s="49" t="str">
        <x:v>period_label</x:v>
      </x:c>
      <x:c r="F1" s="49" t="str">
        <x:v>period_sort</x:v>
      </x:c>
      <x:c r="G1" s="49" t="str">
        <x:v>month_start</x:v>
      </x:c>
      <x:c r="H1" s="50" t="str">
        <x:v>title</x:v>
      </x:c>
      <x:c r="I1" s="49" t="str">
        <x:v>anonymized_name</x:v>
      </x:c>
      <x:c r="J1" s="49" t="str">
        <x:v>category</x:v>
      </x:c>
      <x:c r="K1" s="49" t="str">
        <x:v>support_type</x:v>
      </x:c>
      <x:c r="L1" s="49" t="str">
        <x:v>amount_zakat</x:v>
      </x:c>
      <x:c r="M1" s="51" t="str">
        <x:v>amount_sadaqah</x:v>
      </x:c>
      <x:c r="N1" s="51" t="str">
        <x:v>total_amount</x:v>
      </x:c>
      <x:c r="O1" s="51" t="str">
        <x:v>fund_type</x:v>
      </x:c>
      <x:c r="P1" s="49" t="str">
        <x:v>public_location</x:v>
      </x:c>
      <x:c r="Q1" s="49" t="str">
        <x:v>amount_range</x:v>
      </x:c>
      <x:c r="R1" s="49" t="str">
        <x:v>need</x:v>
      </x:c>
      <x:c r="S1" s="49" t="str">
        <x:v>support_provided</x:v>
      </x:c>
      <x:c r="T1" s="49" t="str">
        <x:v>outcome</x:v>
      </x:c>
      <x:c r="U1" s="49" t="str">
        <x:v>follow_up</x:v>
      </x:c>
      <x:c r="V1" s="49" t="str">
        <x:v>quote_placeholder</x:v>
      </x:c>
      <x:c r="W1" s="49" t="str">
        <x:v>privacy_note</x:v>
      </x:c>
      <x:c r="X1" s="49" t="str">
        <x:v>image_url_1</x:v>
      </x:c>
      <x:c r="Y1" s="49" t="str">
        <x:v>image_alt_1</x:v>
      </x:c>
      <x:c r="Z1" s="49" t="str">
        <x:v>image_caption_1</x:v>
      </x:c>
      <x:c r="AA1" s="49" t="str">
        <x:v>image_url_2</x:v>
      </x:c>
      <x:c r="AB1" s="49" t="str">
        <x:v>image_alt_2</x:v>
      </x:c>
      <x:c r="AC1" s="49" t="str">
        <x:v>image_caption_2</x:v>
      </x:c>
      <x:c r="AD1" s="49" t="str">
        <x:v>image_url_3</x:v>
      </x:c>
      <x:c r="AE1" s="49" t="str">
        <x:v>image_alt_3</x:v>
      </x:c>
      <x:c r="AF1" s="49" t="str">
        <x:v>image_caption_3</x:v>
      </x:c>
      <x:c r="AG1" s="49" t="str">
        <x:v>image_consent_status</x:v>
      </x:c>
      <x:c r="AH1" s="49" t="str">
        <x:v>image_publish_notes</x:v>
      </x:c>
      <x:c r="AI1" s="49" t="str">
        <x:v>source_notes</x:v>
      </x:c>
      <x:c r="AJ1" s="49" t="str">
        <x:v>editing_note</x:v>
      </x:c>
      <x:c r="AK1" s="32"/>
    </x:row>
    <x:row r="2">
      <x:c r="A2" s="52" t="str">
        <x:v>HUM-001</x:v>
      </x:c>
      <x:c r="B2" s="52" t="str">
        <x:v>TRUE</x:v>
      </x:c>
      <x:c r="C2" s="52" t="str">
        <x:v>No</x:v>
      </x:c>
      <x:c r="D2" s="52" t="str">
        <x:v>Draft</x:v>
      </x:c>
      <x:c r="E2" s="52" t="str">
        <x:v>Sep 2024</x:v>
      </x:c>
      <x:c r="F2" s="52" t="n">
        <x:v>202409</x:v>
      </x:c>
      <x:c r="G2" s="52" t="n">
        <x:v>45536</x:v>
      </x:c>
      <x:c r="H2" s="52" t="str">
        <x:v>1 Sewing Machine + Installation</x:v>
      </x:c>
      <x:c r="I2" s="52" t="str">
        <x:v>Anonymized case HUM-001</x:v>
      </x:c>
      <x:c r="J2" s="52" t="str">
        <x:v>Livelihood</x:v>
      </x:c>
      <x:c r="K2" s="52" t="str">
        <x:v>Sewing / tailoring</x:v>
      </x:c>
      <x:c r="L2" s="55" t="n">
        <x:v>0</x:v>
      </x:c>
      <x:c r="M2" s="55" t="n">
        <x:v>6500</x:v>
      </x:c>
      <x:c r="N2" s="55" t="n">
        <x:v>6500</x:v>
      </x:c>
      <x:c r="O2" s="52" t="str">
        <x:v>Sadaqah</x:v>
      </x:c>
      <x:c r="P2" s="52" t="str">
        <x:v>Kanpur</x:v>
      </x:c>
      <x:c r="Q2" s="52" t="str">
        <x:v>₹5,000–₹10,000</x:v>
      </x:c>
      <x:c r="R2" s="52" t="str">
        <x:v>A verified recipient/family needed support related to sewing / tailoring.</x:v>
      </x:c>
      <x:c r="S2" s="52" t="str">
        <x:v>Humanitarians supported the case through Sadaqah funds for 1 sewing machine + installation.</x:v>
      </x:c>
      <x:c r="T2" s="52" t="str">
        <x:v>Outcome/update should be added only after verified follow-up.</x:v>
      </x:c>
      <x:c r="U2" s="52" t="str">
        <x:v>Add follow-up notes after checking with the verification team.</x:v>
      </x:c>
      <x:c r="V2" s="52" t="str">
        <x:v>Add a real quote only with consent; do not publish this placeholder as a recipient quote.</x:v>
      </x:c>
      <x:c r="W2" s="52" t="str">
        <x:v>Anonymized public summary; no full name, phone, address, ID, bank details, or donor identity included.</x:v>
      </x:c>
      <x:c r="X2" s="52"/>
      <x:c r="Y2" s="52" t="str">
        <x:v>Anonymized Humanitarians case image 1 for HUM-001</x:v>
      </x:c>
      <x:c r="Z2" s="52" t="str">
        <x:v>Before/support context image - add only after consent.</x:v>
      </x:c>
      <x:c r="AA2" s="52"/>
      <x:c r="AB2" s="52" t="str">
        <x:v>Anonymized Humanitarians case image 2 for HUM-001</x:v>
      </x:c>
      <x:c r="AC2" s="52" t="str">
        <x:v>Support/equipment image - add only after consent.</x:v>
      </x:c>
      <x:c r="AD2" s="52"/>
      <x:c r="AE2" s="52" t="str">
        <x:v>Anonymized Humanitarians case image 3 for HUM-001</x:v>
      </x:c>
      <x:c r="AF2" s="52" t="str">
        <x:v>Outcome/follow-up image - add only after consent.</x:v>
      </x:c>
      <x:c r="AG2" s="52" t="str">
        <x:v>Pending consent</x:v>
      </x:c>
      <x:c r="AH2" s="52" t="str">
        <x:v>Paste public Google Drive image URLs only after recipient consent and privacy review.</x:v>
      </x:c>
      <x:c r="AI2" s="52" t="str">
        <x:v>Seeded from latest uploaded workbook and public-safe v2 case-story data.</x:v>
      </x:c>
      <x:c r="AJ2" s="52" t="str">
        <x:v>Add/edit cases here only. Formula tabs will update after upload/recalculation in Google Sheets.</x:v>
      </x:c>
      <x:c r="AK2"/>
    </x:row>
    <x:row r="3">
      <x:c r="A3" s="52" t="str">
        <x:v>HUM-002</x:v>
      </x:c>
      <x:c r="B3" s="52" t="str">
        <x:v>TRUE</x:v>
      </x:c>
      <x:c r="C3" s="52" t="str">
        <x:v>No</x:v>
      </x:c>
      <x:c r="D3" s="52" t="str">
        <x:v>Draft</x:v>
      </x:c>
      <x:c r="E3" s="52" t="str">
        <x:v>Sep 2024</x:v>
      </x:c>
      <x:c r="F3" s="52" t="n">
        <x:v>202409</x:v>
      </x:c>
      <x:c r="G3" s="52" t="n">
        <x:v>45536</x:v>
      </x:c>
      <x:c r="H3" s="52" t="str">
        <x:v>3 Sewing Machines</x:v>
      </x:c>
      <x:c r="I3" s="52" t="str">
        <x:v>Anonymized case HUM-002</x:v>
      </x:c>
      <x:c r="J3" s="52" t="str">
        <x:v>Livelihood</x:v>
      </x:c>
      <x:c r="K3" s="52" t="str">
        <x:v>Sewing / tailoring</x:v>
      </x:c>
      <x:c r="L3" s="55" t="n">
        <x:v>0</x:v>
      </x:c>
      <x:c r="M3" s="55" t="n">
        <x:v>23900</x:v>
      </x:c>
      <x:c r="N3" s="55" t="n">
        <x:v>23900</x:v>
      </x:c>
      <x:c r="O3" s="52" t="str">
        <x:v>Sadaqah</x:v>
      </x:c>
      <x:c r="P3" s="52" t="str">
        <x:v>Basti</x:v>
      </x:c>
      <x:c r="Q3" s="52" t="str">
        <x:v>₹15,000–₹25,000</x:v>
      </x:c>
      <x:c r="R3" s="52" t="str">
        <x:v>A verified recipient/family needed support related to sewing / tailoring.</x:v>
      </x:c>
      <x:c r="S3" s="52" t="str">
        <x:v>Humanitarians supported the case through Sadaqah funds for 3 sewing machines.</x:v>
      </x:c>
      <x:c r="T3" s="52" t="str">
        <x:v>Outcome/update should be added only after verified follow-up.</x:v>
      </x:c>
      <x:c r="U3" s="52" t="str">
        <x:v>Add follow-up notes after checking with the verification team.</x:v>
      </x:c>
      <x:c r="V3" s="52" t="str">
        <x:v>Add a real quote only with consent; do not publish this placeholder as a recipient quote.</x:v>
      </x:c>
      <x:c r="W3" s="52" t="str">
        <x:v>Anonymized public summary; no full name, phone, address, ID, bank details, or donor identity included.</x:v>
      </x:c>
      <x:c r="X3" s="52"/>
      <x:c r="Y3" s="52" t="str">
        <x:v>Anonymized Humanitarians case image 1 for HUM-002</x:v>
      </x:c>
      <x:c r="Z3" s="52" t="str">
        <x:v>Before/support context image - add only after consent.</x:v>
      </x:c>
      <x:c r="AA3" s="52"/>
      <x:c r="AB3" s="52" t="str">
        <x:v>Anonymized Humanitarians case image 2 for HUM-002</x:v>
      </x:c>
      <x:c r="AC3" s="52" t="str">
        <x:v>Support/equipment image - add only after consent.</x:v>
      </x:c>
      <x:c r="AD3" s="52"/>
      <x:c r="AE3" s="52" t="str">
        <x:v>Anonymized Humanitarians case image 3 for HUM-002</x:v>
      </x:c>
      <x:c r="AF3" s="52" t="str">
        <x:v>Outcome/follow-up image - add only after consent.</x:v>
      </x:c>
      <x:c r="AG3" s="52" t="str">
        <x:v>Pending consent</x:v>
      </x:c>
      <x:c r="AH3" s="52" t="str">
        <x:v>Paste public Google Drive image URLs only after recipient consent and privacy review.</x:v>
      </x:c>
      <x:c r="AI3" s="52" t="str">
        <x:v>Seeded from latest uploaded workbook and public-safe v2 case-story data.</x:v>
      </x:c>
      <x:c r="AJ3" s="52" t="str">
        <x:v>Add/edit cases here only. Formula tabs will update after upload/recalculation in Google Sheets.</x:v>
      </x:c>
      <x:c r="AK3"/>
    </x:row>
    <x:row r="4">
      <x:c r="A4" s="52" t="str">
        <x:v>HUM-003</x:v>
      </x:c>
      <x:c r="B4" s="52" t="str">
        <x:v>TRUE</x:v>
      </x:c>
      <x:c r="C4" s="52" t="str">
        <x:v>No</x:v>
      </x:c>
      <x:c r="D4" s="52" t="str">
        <x:v>Archive</x:v>
      </x:c>
      <x:c r="E4" s="52" t="str">
        <x:v>Sep 2024</x:v>
      </x:c>
      <x:c r="F4" s="52" t="n">
        <x:v>202409</x:v>
      </x:c>
      <x:c r="G4" s="52" t="n">
        <x:v>45536</x:v>
      </x:c>
      <x:c r="H4" s="52" t="str">
        <x:v>Ration + Transportation</x:v>
      </x:c>
      <x:c r="I4" s="52" t="str">
        <x:v>Anonymized case HUM-003</x:v>
      </x:c>
      <x:c r="J4" s="52" t="str">
        <x:v>Emergency Support</x:v>
      </x:c>
      <x:c r="K4" s="52" t="str">
        <x:v>Relief / emergency support</x:v>
      </x:c>
      <x:c r="L4" s="55" t="n">
        <x:v>0</x:v>
      </x:c>
      <x:c r="M4" s="55" t="n">
        <x:v>1223</x:v>
      </x:c>
      <x:c r="N4" s="55" t="n">
        <x:v>1223</x:v>
      </x:c>
      <x:c r="O4" s="52" t="str">
        <x:v>Sadaqah</x:v>
      </x:c>
      <x:c r="P4" s="52" t="str">
        <x:v>Kanpur</x:v>
      </x:c>
      <x:c r="Q4" s="52" t="str">
        <x:v>Under ₹5,000</x:v>
      </x:c>
      <x:c r="R4" s="52" t="str">
        <x:v>A verified recipient/family needed support related to relief / emergency support.</x:v>
      </x:c>
      <x:c r="S4" s="52" t="str">
        <x:v>Humanitarians supported the case through Sadaqah funds for ration + transportation.</x:v>
      </x:c>
      <x:c r="T4" s="52" t="str">
        <x:v>Outcome/update should be added only after verified follow-up.</x:v>
      </x:c>
      <x:c r="U4" s="52" t="str">
        <x:v>Add follow-up notes after checking with the verification team.</x:v>
      </x:c>
      <x:c r="V4" s="52" t="str">
        <x:v>Add a real quote only with consent; do not publish this placeholder as a recipient quote.</x:v>
      </x:c>
      <x:c r="W4" s="52" t="str">
        <x:v>Anonymized public summary; no full name, phone, address, ID, bank details, or donor identity included.</x:v>
      </x:c>
      <x:c r="X4" s="52"/>
      <x:c r="Y4" s="52" t="str">
        <x:v>Anonymized Humanitarians case image 1 for HUM-003</x:v>
      </x:c>
      <x:c r="Z4" s="52" t="str">
        <x:v>Before/support context image - add only after consent.</x:v>
      </x:c>
      <x:c r="AA4" s="52"/>
      <x:c r="AB4" s="52" t="str">
        <x:v>Anonymized Humanitarians case image 2 for HUM-003</x:v>
      </x:c>
      <x:c r="AC4" s="52" t="str">
        <x:v>Support/equipment image - add only after consent.</x:v>
      </x:c>
      <x:c r="AD4" s="52"/>
      <x:c r="AE4" s="52" t="str">
        <x:v>Anonymized Humanitarians case image 3 for HUM-003</x:v>
      </x:c>
      <x:c r="AF4" s="52" t="str">
        <x:v>Outcome/follow-up image - add only after consent.</x:v>
      </x:c>
      <x:c r="AG4" s="52" t="str">
        <x:v>Pending consent</x:v>
      </x:c>
      <x:c r="AH4" s="52" t="str">
        <x:v>Paste public Google Drive image URLs only after recipient consent and privacy review.</x:v>
      </x:c>
      <x:c r="AI4" s="52" t="str">
        <x:v>Seeded from latest uploaded workbook and public-safe v2 case-story data.</x:v>
      </x:c>
      <x:c r="AJ4" s="52" t="str">
        <x:v>Add/edit cases here only. Formula tabs will update after upload/recalculation in Google Sheets.</x:v>
      </x:c>
      <x:c r="AK4"/>
    </x:row>
    <x:row r="5">
      <x:c r="A5" s="52" t="str">
        <x:v>HUM-004</x:v>
      </x:c>
      <x:c r="B5" s="52" t="str">
        <x:v>TRUE</x:v>
      </x:c>
      <x:c r="C5" s="52" t="str">
        <x:v>No</x:v>
      </x:c>
      <x:c r="D5" s="52" t="str">
        <x:v>Draft</x:v>
      </x:c>
      <x:c r="E5" s="52" t="str">
        <x:v>Sep 2024</x:v>
      </x:c>
      <x:c r="F5" s="52" t="n">
        <x:v>202409</x:v>
      </x:c>
      <x:c r="G5" s="52" t="n">
        <x:v>45536</x:v>
      </x:c>
      <x:c r="H5" s="52" t="str">
        <x:v>Sewing Machines Assembly</x:v>
      </x:c>
      <x:c r="I5" s="52" t="str">
        <x:v>Anonymized case HUM-004</x:v>
      </x:c>
      <x:c r="J5" s="52" t="str">
        <x:v>Livelihood</x:v>
      </x:c>
      <x:c r="K5" s="52" t="str">
        <x:v>Sewing / tailoring</x:v>
      </x:c>
      <x:c r="L5" s="55" t="n">
        <x:v>0</x:v>
      </x:c>
      <x:c r="M5" s="55" t="n">
        <x:v>750</x:v>
      </x:c>
      <x:c r="N5" s="55" t="n">
        <x:v>750</x:v>
      </x:c>
      <x:c r="O5" s="52" t="str">
        <x:v>Sadaqah</x:v>
      </x:c>
      <x:c r="P5" s="52" t="str">
        <x:v>Basti</x:v>
      </x:c>
      <x:c r="Q5" s="52" t="str">
        <x:v>Under ₹5,000</x:v>
      </x:c>
      <x:c r="R5" s="52" t="str">
        <x:v>A verified recipient/family needed support related to sewing / tailoring.</x:v>
      </x:c>
      <x:c r="S5" s="52" t="str">
        <x:v>Humanitarians supported the case through Sadaqah funds for sewing machines assembly.</x:v>
      </x:c>
      <x:c r="T5" s="52" t="str">
        <x:v>Outcome/update should be added only after verified follow-up.</x:v>
      </x:c>
      <x:c r="U5" s="52" t="str">
        <x:v>Add follow-up notes after checking with the verification team.</x:v>
      </x:c>
      <x:c r="V5" s="52" t="str">
        <x:v>Add a real quote only with consent; do not publish this placeholder as a recipient quote.</x:v>
      </x:c>
      <x:c r="W5" s="52" t="str">
        <x:v>Anonymized public summary; no full name, phone, address, ID, bank details, or donor identity included.</x:v>
      </x:c>
      <x:c r="X5" s="52"/>
      <x:c r="Y5" s="52" t="str">
        <x:v>Anonymized Humanitarians case image 1 for HUM-004</x:v>
      </x:c>
      <x:c r="Z5" s="52" t="str">
        <x:v>Before/support context image - add only after consent.</x:v>
      </x:c>
      <x:c r="AA5" s="52"/>
      <x:c r="AB5" s="52" t="str">
        <x:v>Anonymized Humanitarians case image 2 for HUM-004</x:v>
      </x:c>
      <x:c r="AC5" s="52" t="str">
        <x:v>Support/equipment image - add only after consent.</x:v>
      </x:c>
      <x:c r="AD5" s="52"/>
      <x:c r="AE5" s="52" t="str">
        <x:v>Anonymized Humanitarians case image 3 for HUM-004</x:v>
      </x:c>
      <x:c r="AF5" s="52" t="str">
        <x:v>Outcome/follow-up image - add only after consent.</x:v>
      </x:c>
      <x:c r="AG5" s="52" t="str">
        <x:v>Pending consent</x:v>
      </x:c>
      <x:c r="AH5" s="52" t="str">
        <x:v>Paste public Google Drive image URLs only after recipient consent and privacy review.</x:v>
      </x:c>
      <x:c r="AI5" s="52" t="str">
        <x:v>Seeded from latest uploaded workbook and public-safe v2 case-story data.</x:v>
      </x:c>
      <x:c r="AJ5" s="52" t="str">
        <x:v>Add/edit cases here only. Formula tabs will update after upload/recalculation in Google Sheets.</x:v>
      </x:c>
      <x:c r="AK5"/>
    </x:row>
    <x:row r="6">
      <x:c r="A6" s="52" t="str">
        <x:v>HUM-005</x:v>
      </x:c>
      <x:c r="B6" s="52" t="str">
        <x:v>TRUE</x:v>
      </x:c>
      <x:c r="C6" s="52" t="str">
        <x:v>No</x:v>
      </x:c>
      <x:c r="D6" s="52" t="str">
        <x:v>Archive</x:v>
      </x:c>
      <x:c r="E6" s="52" t="str">
        <x:v>Oct 2024</x:v>
      </x:c>
      <x:c r="F6" s="52" t="n">
        <x:v>202410</x:v>
      </x:c>
      <x:c r="G6" s="52" t="n">
        <x:v>45566</x:v>
      </x:c>
      <x:c r="H6" s="52" t="str">
        <x:v>Marble Cutter and Grinder</x:v>
      </x:c>
      <x:c r="I6" s="52" t="str">
        <x:v>Anonymized case HUM-005</x:v>
      </x:c>
      <x:c r="J6" s="52" t="str">
        <x:v>Livelihood</x:v>
      </x:c>
      <x:c r="K6" s="52" t="str">
        <x:v>Tools / equipment</x:v>
      </x:c>
      <x:c r="L6" s="55" t="n">
        <x:v>0</x:v>
      </x:c>
      <x:c r="M6" s="55" t="n">
        <x:v>6200</x:v>
      </x:c>
      <x:c r="N6" s="55" t="n">
        <x:v>6200</x:v>
      </x:c>
      <x:c r="O6" s="52" t="str">
        <x:v>Sadaqah</x:v>
      </x:c>
      <x:c r="P6" s="52" t="str">
        <x:v>Basti</x:v>
      </x:c>
      <x:c r="Q6" s="52" t="str">
        <x:v>₹5,000–₹10,000</x:v>
      </x:c>
      <x:c r="R6" s="52" t="str">
        <x:v>A verified recipient/family needed support related to tools / equipment.</x:v>
      </x:c>
      <x:c r="S6" s="52" t="str">
        <x:v>Humanitarians supported the case through Sadaqah funds for marble cutter and grinder.</x:v>
      </x:c>
      <x:c r="T6" s="52" t="str">
        <x:v>Outcome/update should be added only after verified follow-up.</x:v>
      </x:c>
      <x:c r="U6" s="52" t="str">
        <x:v>Add follow-up notes after checking with the verification team.</x:v>
      </x:c>
      <x:c r="V6" s="52" t="str">
        <x:v>Add a real quote only with consent; do not publish this placeholder as a recipient quote.</x:v>
      </x:c>
      <x:c r="W6" s="52" t="str">
        <x:v>Anonymized public summary; no full name, phone, address, ID, bank details, or donor identity included.</x:v>
      </x:c>
      <x:c r="X6" s="52"/>
      <x:c r="Y6" s="52" t="str">
        <x:v>Anonymized Humanitarians case image 1 for HUM-005</x:v>
      </x:c>
      <x:c r="Z6" s="52" t="str">
        <x:v>Before/support context image - add only after consent.</x:v>
      </x:c>
      <x:c r="AA6" s="52"/>
      <x:c r="AB6" s="52" t="str">
        <x:v>Anonymized Humanitarians case image 2 for HUM-005</x:v>
      </x:c>
      <x:c r="AC6" s="52" t="str">
        <x:v>Support/equipment image - add only after consent.</x:v>
      </x:c>
      <x:c r="AD6" s="52"/>
      <x:c r="AE6" s="52" t="str">
        <x:v>Anonymized Humanitarians case image 3 for HUM-005</x:v>
      </x:c>
      <x:c r="AF6" s="52" t="str">
        <x:v>Outcome/follow-up image - add only after consent.</x:v>
      </x:c>
      <x:c r="AG6" s="52" t="str">
        <x:v>Pending consent</x:v>
      </x:c>
      <x:c r="AH6" s="52" t="str">
        <x:v>Paste public Google Drive image URLs only after recipient consent and privacy review.</x:v>
      </x:c>
      <x:c r="AI6" s="52" t="str">
        <x:v>Seeded from latest uploaded workbook and public-safe v2 case-story data.</x:v>
      </x:c>
      <x:c r="AJ6" s="52" t="str">
        <x:v>Add/edit cases here only. Formula tabs will update after upload/recalculation in Google Sheets.</x:v>
      </x:c>
      <x:c r="AK6"/>
    </x:row>
    <x:row r="7">
      <x:c r="A7" s="52" t="str">
        <x:v>HUM-006</x:v>
      </x:c>
      <x:c r="B7" s="52" t="str">
        <x:v>TRUE</x:v>
      </x:c>
      <x:c r="C7" s="52" t="str">
        <x:v>No</x:v>
      </x:c>
      <x:c r="D7" s="52" t="str">
        <x:v>Archive</x:v>
      </x:c>
      <x:c r="E7" s="52" t="str">
        <x:v>Oct 2024</x:v>
      </x:c>
      <x:c r="F7" s="52" t="n">
        <x:v>202410</x:v>
      </x:c>
      <x:c r="G7" s="52" t="n">
        <x:v>45566</x:v>
      </x:c>
      <x:c r="H7" s="52" t="str">
        <x:v>Ration</x:v>
      </x:c>
      <x:c r="I7" s="52" t="str">
        <x:v>Anonymized case HUM-006</x:v>
      </x:c>
      <x:c r="J7" s="52" t="str">
        <x:v>Emergency Support</x:v>
      </x:c>
      <x:c r="K7" s="52" t="str">
        <x:v>Relief / emergency support</x:v>
      </x:c>
      <x:c r="L7" s="55" t="n">
        <x:v>0</x:v>
      </x:c>
      <x:c r="M7" s="55" t="n">
        <x:v>3603</x:v>
      </x:c>
      <x:c r="N7" s="55" t="n">
        <x:v>3603</x:v>
      </x:c>
      <x:c r="O7" s="52" t="str">
        <x:v>Sadaqah</x:v>
      </x:c>
      <x:c r="P7" s="52" t="str">
        <x:v>Bangermau</x:v>
      </x:c>
      <x:c r="Q7" s="52" t="str">
        <x:v>Under ₹5,000</x:v>
      </x:c>
      <x:c r="R7" s="52" t="str">
        <x:v>A verified recipient/family needed support related to relief / emergency support.</x:v>
      </x:c>
      <x:c r="S7" s="52" t="str">
        <x:v>Humanitarians supported the case through Sadaqah funds for ration.</x:v>
      </x:c>
      <x:c r="T7" s="52" t="str">
        <x:v>Outcome/update should be added only after verified follow-up.</x:v>
      </x:c>
      <x:c r="U7" s="52" t="str">
        <x:v>Add follow-up notes after checking with the verification team.</x:v>
      </x:c>
      <x:c r="V7" s="52" t="str">
        <x:v>Add a real quote only with consent; do not publish this placeholder as a recipient quote.</x:v>
      </x:c>
      <x:c r="W7" s="52" t="str">
        <x:v>Anonymized public summary; no full name, phone, address, ID, bank details, or donor identity included.</x:v>
      </x:c>
      <x:c r="X7" s="52"/>
      <x:c r="Y7" s="52" t="str">
        <x:v>Anonymized Humanitarians case image 1 for HUM-006</x:v>
      </x:c>
      <x:c r="Z7" s="52" t="str">
        <x:v>Before/support context image - add only after consent.</x:v>
      </x:c>
      <x:c r="AA7" s="52"/>
      <x:c r="AB7" s="52" t="str">
        <x:v>Anonymized Humanitarians case image 2 for HUM-006</x:v>
      </x:c>
      <x:c r="AC7" s="52" t="str">
        <x:v>Support/equipment image - add only after consent.</x:v>
      </x:c>
      <x:c r="AD7" s="52"/>
      <x:c r="AE7" s="52" t="str">
        <x:v>Anonymized Humanitarians case image 3 for HUM-006</x:v>
      </x:c>
      <x:c r="AF7" s="52" t="str">
        <x:v>Outcome/follow-up image - add only after consent.</x:v>
      </x:c>
      <x:c r="AG7" s="52" t="str">
        <x:v>Pending consent</x:v>
      </x:c>
      <x:c r="AH7" s="52" t="str">
        <x:v>Paste public Google Drive image URLs only after recipient consent and privacy review.</x:v>
      </x:c>
      <x:c r="AI7" s="52" t="str">
        <x:v>Seeded from latest uploaded workbook and public-safe v2 case-story data.</x:v>
      </x:c>
      <x:c r="AJ7" s="52" t="str">
        <x:v>Add/edit cases here only. Formula tabs will update after upload/recalculation in Google Sheets.</x:v>
      </x:c>
      <x:c r="AK7"/>
    </x:row>
    <x:row r="8">
      <x:c r="A8" s="52" t="str">
        <x:v>HUM-007</x:v>
      </x:c>
      <x:c r="B8" s="52" t="str">
        <x:v>TRUE</x:v>
      </x:c>
      <x:c r="C8" s="52" t="str">
        <x:v>No</x:v>
      </x:c>
      <x:c r="D8" s="52" t="str">
        <x:v>Archive</x:v>
      </x:c>
      <x:c r="E8" s="52" t="str">
        <x:v>Nov 2024</x:v>
      </x:c>
      <x:c r="F8" s="52" t="n">
        <x:v>202411</x:v>
      </x:c>
      <x:c r="G8" s="52" t="n">
        <x:v>45597</x:v>
      </x:c>
      <x:c r="H8" s="52" t="str">
        <x:v>Support in Clothing Business</x:v>
      </x:c>
      <x:c r="I8" s="52" t="str">
        <x:v>Anonymized case HUM-007</x:v>
      </x:c>
      <x:c r="J8" s="52" t="str">
        <x:v>Livelihood</x:v>
      </x:c>
      <x:c r="K8" s="52" t="str">
        <x:v>Shop / business inventory</x:v>
      </x:c>
      <x:c r="L8" s="55" t="n">
        <x:v>0</x:v>
      </x:c>
      <x:c r="M8" s="55" t="n">
        <x:v>15000</x:v>
      </x:c>
      <x:c r="N8" s="55" t="n">
        <x:v>15000</x:v>
      </x:c>
      <x:c r="O8" s="52" t="str">
        <x:v>Sadaqah</x:v>
      </x:c>
      <x:c r="P8" s="52" t="str">
        <x:v>Location withheld</x:v>
      </x:c>
      <x:c r="Q8" s="52" t="str">
        <x:v>₹10,000–₹15,000</x:v>
      </x:c>
      <x:c r="R8" s="52" t="str">
        <x:v>A verified recipient/family needed support related to shop / business inventory.</x:v>
      </x:c>
      <x:c r="S8" s="52" t="str">
        <x:v>Humanitarians supported the case through Sadaqah funds for support in clothing business.</x:v>
      </x:c>
      <x:c r="T8" s="52" t="str">
        <x:v>Outcome/update should be added only after verified follow-up.</x:v>
      </x:c>
      <x:c r="U8" s="52" t="str">
        <x:v>Add follow-up notes after checking with the verification team.</x:v>
      </x:c>
      <x:c r="V8" s="52" t="str">
        <x:v>Add a real quote only with consent; do not publish this placeholder as a recipient quote.</x:v>
      </x:c>
      <x:c r="W8" s="52" t="str">
        <x:v>Anonymized public summary; no full name, phone, address, ID, bank details, or donor identity included.</x:v>
      </x:c>
      <x:c r="X8" s="52"/>
      <x:c r="Y8" s="52" t="str">
        <x:v>Anonymized Humanitarians case image 1 for HUM-007</x:v>
      </x:c>
      <x:c r="Z8" s="52" t="str">
        <x:v>Before/support context image - add only after consent.</x:v>
      </x:c>
      <x:c r="AA8" s="52"/>
      <x:c r="AB8" s="52" t="str">
        <x:v>Anonymized Humanitarians case image 2 for HUM-007</x:v>
      </x:c>
      <x:c r="AC8" s="52" t="str">
        <x:v>Support/equipment image - add only after consent.</x:v>
      </x:c>
      <x:c r="AD8" s="52"/>
      <x:c r="AE8" s="52" t="str">
        <x:v>Anonymized Humanitarians case image 3 for HUM-007</x:v>
      </x:c>
      <x:c r="AF8" s="52" t="str">
        <x:v>Outcome/follow-up image - add only after consent.</x:v>
      </x:c>
      <x:c r="AG8" s="52" t="str">
        <x:v>Pending consent</x:v>
      </x:c>
      <x:c r="AH8" s="52" t="str">
        <x:v>Paste public Google Drive image URLs only after recipient consent and privacy review.</x:v>
      </x:c>
      <x:c r="AI8" s="52" t="str">
        <x:v>Seeded from latest uploaded workbook and public-safe v2 case-story data.</x:v>
      </x:c>
      <x:c r="AJ8" s="52" t="str">
        <x:v>Add/edit cases here only. Formula tabs will update after upload/recalculation in Google Sheets.</x:v>
      </x:c>
      <x:c r="AK8"/>
    </x:row>
    <x:row r="9">
      <x:c r="A9" s="52" t="str">
        <x:v>HUM-008</x:v>
      </x:c>
      <x:c r="B9" s="52" t="str">
        <x:v>TRUE</x:v>
      </x:c>
      <x:c r="C9" s="52" t="str">
        <x:v>No</x:v>
      </x:c>
      <x:c r="D9" s="52" t="str">
        <x:v>Draft</x:v>
      </x:c>
      <x:c r="E9" s="52" t="str">
        <x:v>Dec 2024</x:v>
      </x:c>
      <x:c r="F9" s="52" t="n">
        <x:v>202412</x:v>
      </x:c>
      <x:c r="G9" s="52" t="n">
        <x:v>45627</x:v>
      </x:c>
      <x:c r="H9" s="52" t="str">
        <x:v>Extended Support for Kirana Shop</x:v>
      </x:c>
      <x:c r="I9" s="52" t="str">
        <x:v>Anonymized case HUM-008</x:v>
      </x:c>
      <x:c r="J9" s="52" t="str">
        <x:v>Livelihood</x:v>
      </x:c>
      <x:c r="K9" s="52" t="str">
        <x:v>Shop / business inventory</x:v>
      </x:c>
      <x:c r="L9" s="55" t="n">
        <x:v>0</x:v>
      </x:c>
      <x:c r="M9" s="55" t="n">
        <x:v>20000</x:v>
      </x:c>
      <x:c r="N9" s="55" t="n">
        <x:v>20000</x:v>
      </x:c>
      <x:c r="O9" s="52" t="str">
        <x:v>Sadaqah</x:v>
      </x:c>
      <x:c r="P9" s="52" t="str">
        <x:v>Ghaziabad, UP</x:v>
      </x:c>
      <x:c r="Q9" s="52" t="str">
        <x:v>₹15,000–₹25,000</x:v>
      </x:c>
      <x:c r="R9" s="52" t="str">
        <x:v>A verified recipient/family needed support related to shop / business inventory.</x:v>
      </x:c>
      <x:c r="S9" s="52" t="str">
        <x:v>Humanitarians supported the case through Sadaqah funds for extended support for kirana shop.</x:v>
      </x:c>
      <x:c r="T9" s="52" t="str">
        <x:v>Outcome/update should be added only after verified follow-up.</x:v>
      </x:c>
      <x:c r="U9" s="52" t="str">
        <x:v>Add follow-up notes after checking with the verification team.</x:v>
      </x:c>
      <x:c r="V9" s="52" t="str">
        <x:v>Add a real quote only with consent; do not publish this placeholder as a recipient quote.</x:v>
      </x:c>
      <x:c r="W9" s="52" t="str">
        <x:v>Anonymized public summary; no full name, phone, address, ID, bank details, or donor identity included.</x:v>
      </x:c>
      <x:c r="X9" s="52"/>
      <x:c r="Y9" s="52" t="str">
        <x:v>Anonymized Humanitarians case image 1 for HUM-008</x:v>
      </x:c>
      <x:c r="Z9" s="52" t="str">
        <x:v>Before/support context image - add only after consent.</x:v>
      </x:c>
      <x:c r="AA9" s="52"/>
      <x:c r="AB9" s="52" t="str">
        <x:v>Anonymized Humanitarians case image 2 for HUM-008</x:v>
      </x:c>
      <x:c r="AC9" s="52" t="str">
        <x:v>Support/equipment image - add only after consent.</x:v>
      </x:c>
      <x:c r="AD9" s="52"/>
      <x:c r="AE9" s="52" t="str">
        <x:v>Anonymized Humanitarians case image 3 for HUM-008</x:v>
      </x:c>
      <x:c r="AF9" s="52" t="str">
        <x:v>Outcome/follow-up image - add only after consent.</x:v>
      </x:c>
      <x:c r="AG9" s="52" t="str">
        <x:v>Pending consent</x:v>
      </x:c>
      <x:c r="AH9" s="52" t="str">
        <x:v>Paste public Google Drive image URLs only after recipient consent and privacy review.</x:v>
      </x:c>
      <x:c r="AI9" s="52" t="str">
        <x:v>Seeded from latest uploaded workbook and public-safe v2 case-story data.</x:v>
      </x:c>
      <x:c r="AJ9" s="52" t="str">
        <x:v>Add/edit cases here only. Formula tabs will update after upload/recalculation in Google Sheets.</x:v>
      </x:c>
      <x:c r="AK9"/>
    </x:row>
    <x:row r="10">
      <x:c r="A10" s="52" t="str">
        <x:v>HUM-009</x:v>
      </x:c>
      <x:c r="B10" s="52" t="str">
        <x:v>TRUE</x:v>
      </x:c>
      <x:c r="C10" s="52" t="str">
        <x:v>No</x:v>
      </x:c>
      <x:c r="D10" s="52" t="str">
        <x:v>Draft</x:v>
      </x:c>
      <x:c r="E10" s="52" t="str">
        <x:v>Dec 2024</x:v>
      </x:c>
      <x:c r="F10" s="52" t="n">
        <x:v>202412</x:v>
      </x:c>
      <x:c r="G10" s="52" t="n">
        <x:v>45627</x:v>
      </x:c>
      <x:c r="H10" s="52" t="str">
        <x:v>Initial Support in Kirana Shop</x:v>
      </x:c>
      <x:c r="I10" s="52" t="str">
        <x:v>Anonymized case HUM-009</x:v>
      </x:c>
      <x:c r="J10" s="52" t="str">
        <x:v>Livelihood</x:v>
      </x:c>
      <x:c r="K10" s="52" t="str">
        <x:v>Shop / business inventory</x:v>
      </x:c>
      <x:c r="L10" s="55" t="n">
        <x:v>0</x:v>
      </x:c>
      <x:c r="M10" s="55" t="n">
        <x:v>20000</x:v>
      </x:c>
      <x:c r="N10" s="55" t="n">
        <x:v>20000</x:v>
      </x:c>
      <x:c r="O10" s="52" t="str">
        <x:v>Sadaqah</x:v>
      </x:c>
      <x:c r="P10" s="52" t="str">
        <x:v>Basti, UP</x:v>
      </x:c>
      <x:c r="Q10" s="52" t="str">
        <x:v>₹15,000–₹25,000</x:v>
      </x:c>
      <x:c r="R10" s="52" t="str">
        <x:v>A verified recipient/family needed support related to shop / business inventory.</x:v>
      </x:c>
      <x:c r="S10" s="52" t="str">
        <x:v>Humanitarians supported the case through Sadaqah funds for initial support in kirana shop.</x:v>
      </x:c>
      <x:c r="T10" s="52" t="str">
        <x:v>Outcome/update should be added only after verified follow-up.</x:v>
      </x:c>
      <x:c r="U10" s="52" t="str">
        <x:v>Add follow-up notes after checking with the verification team.</x:v>
      </x:c>
      <x:c r="V10" s="52" t="str">
        <x:v>Add a real quote only with consent; do not publish this placeholder as a recipient quote.</x:v>
      </x:c>
      <x:c r="W10" s="52" t="str">
        <x:v>Anonymized public summary; no full name, phone, address, ID, bank details, or donor identity included.</x:v>
      </x:c>
      <x:c r="X10" s="52"/>
      <x:c r="Y10" s="52" t="str">
        <x:v>Anonymized Humanitarians case image 1 for HUM-009</x:v>
      </x:c>
      <x:c r="Z10" s="52" t="str">
        <x:v>Before/support context image - add only after consent.</x:v>
      </x:c>
      <x:c r="AA10" s="52"/>
      <x:c r="AB10" s="52" t="str">
        <x:v>Anonymized Humanitarians case image 2 for HUM-009</x:v>
      </x:c>
      <x:c r="AC10" s="52" t="str">
        <x:v>Support/equipment image - add only after consent.</x:v>
      </x:c>
      <x:c r="AD10" s="52"/>
      <x:c r="AE10" s="52" t="str">
        <x:v>Anonymized Humanitarians case image 3 for HUM-009</x:v>
      </x:c>
      <x:c r="AF10" s="52" t="str">
        <x:v>Outcome/follow-up image - add only after consent.</x:v>
      </x:c>
      <x:c r="AG10" s="52" t="str">
        <x:v>Pending consent</x:v>
      </x:c>
      <x:c r="AH10" s="52" t="str">
        <x:v>Paste public Google Drive image URLs only after recipient consent and privacy review.</x:v>
      </x:c>
      <x:c r="AI10" s="52" t="str">
        <x:v>Seeded from latest uploaded workbook and public-safe v2 case-story data.</x:v>
      </x:c>
      <x:c r="AJ10" s="52" t="str">
        <x:v>Add/edit cases here only. Formula tabs will update after upload/recalculation in Google Sheets.</x:v>
      </x:c>
      <x:c r="AK10"/>
    </x:row>
    <x:row r="11">
      <x:c r="A11" s="52" t="str">
        <x:v>HUM-010</x:v>
      </x:c>
      <x:c r="B11" s="52" t="str">
        <x:v>TRUE</x:v>
      </x:c>
      <x:c r="C11" s="52" t="str">
        <x:v>No</x:v>
      </x:c>
      <x:c r="D11" s="52" t="str">
        <x:v>Archive</x:v>
      </x:c>
      <x:c r="E11" s="52" t="str">
        <x:v>Dec 2024</x:v>
      </x:c>
      <x:c r="F11" s="52" t="n">
        <x:v>202412</x:v>
      </x:c>
      <x:c r="G11" s="52" t="n">
        <x:v>45627</x:v>
      </x:c>
      <x:c r="H11" s="52" t="str">
        <x:v>Repairs in Handcart + Ration</x:v>
      </x:c>
      <x:c r="I11" s="52" t="str">
        <x:v>Anonymized case HUM-010</x:v>
      </x:c>
      <x:c r="J11" s="52" t="str">
        <x:v>Emergency Support</x:v>
      </x:c>
      <x:c r="K11" s="52" t="str">
        <x:v>Relief / emergency support</x:v>
      </x:c>
      <x:c r="L11" s="55" t="n">
        <x:v>0</x:v>
      </x:c>
      <x:c r="M11" s="55" t="n">
        <x:v>3830</x:v>
      </x:c>
      <x:c r="N11" s="55" t="n">
        <x:v>3830</x:v>
      </x:c>
      <x:c r="O11" s="52" t="str">
        <x:v>Sadaqah</x:v>
      </x:c>
      <x:c r="P11" s="52" t="str">
        <x:v>Bihar</x:v>
      </x:c>
      <x:c r="Q11" s="52" t="str">
        <x:v>Under ₹5,000</x:v>
      </x:c>
      <x:c r="R11" s="52" t="str">
        <x:v>A verified recipient/family needed support related to relief / emergency support.</x:v>
      </x:c>
      <x:c r="S11" s="52" t="str">
        <x:v>Humanitarians supported the case through Sadaqah funds for repairs in handcart + ration.</x:v>
      </x:c>
      <x:c r="T11" s="52" t="str">
        <x:v>Outcome/update should be added only after verified follow-up.</x:v>
      </x:c>
      <x:c r="U11" s="52" t="str">
        <x:v>Add follow-up notes after checking with the verification team.</x:v>
      </x:c>
      <x:c r="V11" s="52" t="str">
        <x:v>Add a real quote only with consent; do not publish this placeholder as a recipient quote.</x:v>
      </x:c>
      <x:c r="W11" s="52" t="str">
        <x:v>Anonymized public summary; no full name, phone, address, ID, bank details, or donor identity included.</x:v>
      </x:c>
      <x:c r="X11" s="52"/>
      <x:c r="Y11" s="52" t="str">
        <x:v>Anonymized Humanitarians case image 1 for HUM-010</x:v>
      </x:c>
      <x:c r="Z11" s="52" t="str">
        <x:v>Before/support context image - add only after consent.</x:v>
      </x:c>
      <x:c r="AA11" s="52"/>
      <x:c r="AB11" s="52" t="str">
        <x:v>Anonymized Humanitarians case image 2 for HUM-010</x:v>
      </x:c>
      <x:c r="AC11" s="52" t="str">
        <x:v>Support/equipment image - add only after consent.</x:v>
      </x:c>
      <x:c r="AD11" s="52"/>
      <x:c r="AE11" s="52" t="str">
        <x:v>Anonymized Humanitarians case image 3 for HUM-010</x:v>
      </x:c>
      <x:c r="AF11" s="52" t="str">
        <x:v>Outcome/follow-up image - add only after consent.</x:v>
      </x:c>
      <x:c r="AG11" s="52" t="str">
        <x:v>Pending consent</x:v>
      </x:c>
      <x:c r="AH11" s="52" t="str">
        <x:v>Paste public Google Drive image URLs only after recipient consent and privacy review.</x:v>
      </x:c>
      <x:c r="AI11" s="52" t="str">
        <x:v>Seeded from latest uploaded workbook and public-safe v2 case-story data.</x:v>
      </x:c>
      <x:c r="AJ11" s="52" t="str">
        <x:v>Add/edit cases here only. Formula tabs will update after upload/recalculation in Google Sheets.</x:v>
      </x:c>
      <x:c r="AK11"/>
    </x:row>
    <x:row r="12">
      <x:c r="A12" s="52" t="str">
        <x:v>HUM-011</x:v>
      </x:c>
      <x:c r="B12" s="52" t="str">
        <x:v>TRUE</x:v>
      </x:c>
      <x:c r="C12" s="52" t="str">
        <x:v>No</x:v>
      </x:c>
      <x:c r="D12" s="52" t="str">
        <x:v>Draft</x:v>
      </x:c>
      <x:c r="E12" s="52" t="str">
        <x:v>Dec 2024</x:v>
      </x:c>
      <x:c r="F12" s="52" t="n">
        <x:v>202412</x:v>
      </x:c>
      <x:c r="G12" s="52" t="n">
        <x:v>45627</x:v>
      </x:c>
      <x:c r="H12" s="52" t="str">
        <x:v>Sewing Machine + Ration</x:v>
      </x:c>
      <x:c r="I12" s="52" t="str">
        <x:v>Anonymized case HUM-011</x:v>
      </x:c>
      <x:c r="J12" s="52" t="str">
        <x:v>Emergency Support</x:v>
      </x:c>
      <x:c r="K12" s="52" t="str">
        <x:v>Relief / emergency support</x:v>
      </x:c>
      <x:c r="L12" s="55" t="n">
        <x:v>0</x:v>
      </x:c>
      <x:c r="M12" s="55" t="n">
        <x:v>8000</x:v>
      </x:c>
      <x:c r="N12" s="55" t="n">
        <x:v>8000</x:v>
      </x:c>
      <x:c r="O12" s="52" t="str">
        <x:v>Sadaqah</x:v>
      </x:c>
      <x:c r="P12" s="52" t="str">
        <x:v>Basti, UP</x:v>
      </x:c>
      <x:c r="Q12" s="52" t="str">
        <x:v>₹5,000–₹10,000</x:v>
      </x:c>
      <x:c r="R12" s="52" t="str">
        <x:v>A verified recipient/family needed support related to relief / emergency support.</x:v>
      </x:c>
      <x:c r="S12" s="52" t="str">
        <x:v>Humanitarians supported the case through Sadaqah funds for sewing machine + ration.</x:v>
      </x:c>
      <x:c r="T12" s="52" t="str">
        <x:v>Outcome/update should be added only after verified follow-up.</x:v>
      </x:c>
      <x:c r="U12" s="52" t="str">
        <x:v>Add follow-up notes after checking with the verification team.</x:v>
      </x:c>
      <x:c r="V12" s="52" t="str">
        <x:v>Add a real quote only with consent; do not publish this placeholder as a recipient quote.</x:v>
      </x:c>
      <x:c r="W12" s="52" t="str">
        <x:v>Anonymized public summary; no full name, phone, address, ID, bank details, or donor identity included.</x:v>
      </x:c>
      <x:c r="X12" s="52"/>
      <x:c r="Y12" s="52" t="str">
        <x:v>Anonymized Humanitarians case image 1 for HUM-011</x:v>
      </x:c>
      <x:c r="Z12" s="52" t="str">
        <x:v>Before/support context image - add only after consent.</x:v>
      </x:c>
      <x:c r="AA12" s="52"/>
      <x:c r="AB12" s="52" t="str">
        <x:v>Anonymized Humanitarians case image 2 for HUM-011</x:v>
      </x:c>
      <x:c r="AC12" s="52" t="str">
        <x:v>Support/equipment image - add only after consent.</x:v>
      </x:c>
      <x:c r="AD12" s="52"/>
      <x:c r="AE12" s="52" t="str">
        <x:v>Anonymized Humanitarians case image 3 for HUM-011</x:v>
      </x:c>
      <x:c r="AF12" s="52" t="str">
        <x:v>Outcome/follow-up image - add only after consent.</x:v>
      </x:c>
      <x:c r="AG12" s="52" t="str">
        <x:v>Pending consent</x:v>
      </x:c>
      <x:c r="AH12" s="52" t="str">
        <x:v>Paste public Google Drive image URLs only after recipient consent and privacy review.</x:v>
      </x:c>
      <x:c r="AI12" s="52" t="str">
        <x:v>Seeded from latest uploaded workbook and public-safe v2 case-story data.</x:v>
      </x:c>
      <x:c r="AJ12" s="52" t="str">
        <x:v>Add/edit cases here only. Formula tabs will update after upload/recalculation in Google Sheets.</x:v>
      </x:c>
      <x:c r="AK12"/>
    </x:row>
    <x:row r="13">
      <x:c r="A13" s="52" t="str">
        <x:v>HUM-012</x:v>
      </x:c>
      <x:c r="B13" s="52" t="str">
        <x:v>TRUE</x:v>
      </x:c>
      <x:c r="C13" s="52" t="str">
        <x:v>No</x:v>
      </x:c>
      <x:c r="D13" s="52" t="str">
        <x:v>Archive</x:v>
      </x:c>
      <x:c r="E13" s="52" t="str">
        <x:v>Jan 2025</x:v>
      </x:c>
      <x:c r="F13" s="52" t="n">
        <x:v>202501</x:v>
      </x:c>
      <x:c r="G13" s="52" t="n">
        <x:v>45658</x:v>
      </x:c>
      <x:c r="H13" s="52" t="str">
        <x:v>Ingredients for fast food shop</x:v>
      </x:c>
      <x:c r="I13" s="52" t="str">
        <x:v>Anonymized case HUM-012</x:v>
      </x:c>
      <x:c r="J13" s="52" t="str">
        <x:v>Livelihood</x:v>
      </x:c>
      <x:c r="K13" s="52" t="str">
        <x:v>Shop / business inventory</x:v>
      </x:c>
      <x:c r="L13" s="55" t="n">
        <x:v>0</x:v>
      </x:c>
      <x:c r="M13" s="55" t="n">
        <x:v>10000</x:v>
      </x:c>
      <x:c r="N13" s="55" t="n">
        <x:v>10000</x:v>
      </x:c>
      <x:c r="O13" s="52" t="str">
        <x:v>Sadaqah</x:v>
      </x:c>
      <x:c r="P13" s="52" t="str">
        <x:v>Location withheld</x:v>
      </x:c>
      <x:c r="Q13" s="52" t="str">
        <x:v>₹5,000–₹10,000</x:v>
      </x:c>
      <x:c r="R13" s="52" t="str">
        <x:v>A verified recipient/family needed support related to shop / business inventory.</x:v>
      </x:c>
      <x:c r="S13" s="52" t="str">
        <x:v>Humanitarians supported the case through Sadaqah funds for ingredients for fast food shop.</x:v>
      </x:c>
      <x:c r="T13" s="52" t="str">
        <x:v>Outcome/update should be added only after verified follow-up.</x:v>
      </x:c>
      <x:c r="U13" s="52" t="str">
        <x:v>Add follow-up notes after checking with the verification team.</x:v>
      </x:c>
      <x:c r="V13" s="52" t="str">
        <x:v>Add a real quote only with consent; do not publish this placeholder as a recipient quote.</x:v>
      </x:c>
      <x:c r="W13" s="52" t="str">
        <x:v>Anonymized public summary; no full name, phone, address, ID, bank details, or donor identity included.</x:v>
      </x:c>
      <x:c r="X13" s="52"/>
      <x:c r="Y13" s="52" t="str">
        <x:v>Anonymized Humanitarians case image 1 for HUM-012</x:v>
      </x:c>
      <x:c r="Z13" s="52" t="str">
        <x:v>Before/support context image - add only after consent.</x:v>
      </x:c>
      <x:c r="AA13" s="52"/>
      <x:c r="AB13" s="52" t="str">
        <x:v>Anonymized Humanitarians case image 2 for HUM-012</x:v>
      </x:c>
      <x:c r="AC13" s="52" t="str">
        <x:v>Support/equipment image - add only after consent.</x:v>
      </x:c>
      <x:c r="AD13" s="52"/>
      <x:c r="AE13" s="52" t="str">
        <x:v>Anonymized Humanitarians case image 3 for HUM-012</x:v>
      </x:c>
      <x:c r="AF13" s="52" t="str">
        <x:v>Outcome/follow-up image - add only after consent.</x:v>
      </x:c>
      <x:c r="AG13" s="52" t="str">
        <x:v>Pending consent</x:v>
      </x:c>
      <x:c r="AH13" s="52" t="str">
        <x:v>Paste public Google Drive image URLs only after recipient consent and privacy review.</x:v>
      </x:c>
      <x:c r="AI13" s="52" t="str">
        <x:v>Seeded from latest uploaded workbook and public-safe v2 case-story data.</x:v>
      </x:c>
      <x:c r="AJ13" s="52" t="str">
        <x:v>Add/edit cases here only. Formula tabs will update after upload/recalculation in Google Sheets.</x:v>
      </x:c>
      <x:c r="AK13"/>
    </x:row>
    <x:row r="14">
      <x:c r="A14" s="52" t="str">
        <x:v>HUM-013</x:v>
      </x:c>
      <x:c r="B14" s="52" t="str">
        <x:v>TRUE</x:v>
      </x:c>
      <x:c r="C14" s="52" t="str">
        <x:v>No</x:v>
      </x:c>
      <x:c r="D14" s="52" t="str">
        <x:v>Archive</x:v>
      </x:c>
      <x:c r="E14" s="52" t="str">
        <x:v>Jan 2025</x:v>
      </x:c>
      <x:c r="F14" s="52" t="n">
        <x:v>202501</x:v>
      </x:c>
      <x:c r="G14" s="52" t="n">
        <x:v>45658</x:v>
      </x:c>
      <x:c r="H14" s="52" t="str">
        <x:v>New wooden Shop</x:v>
      </x:c>
      <x:c r="I14" s="52" t="str">
        <x:v>Anonymized case HUM-013</x:v>
      </x:c>
      <x:c r="J14" s="52" t="str">
        <x:v>Livelihood</x:v>
      </x:c>
      <x:c r="K14" s="52" t="str">
        <x:v>Shop / business inventory</x:v>
      </x:c>
      <x:c r="L14" s="55" t="n">
        <x:v>8000</x:v>
      </x:c>
      <x:c r="M14" s="55" t="n">
        <x:v>7000</x:v>
      </x:c>
      <x:c r="N14" s="55" t="n">
        <x:v>15000</x:v>
      </x:c>
      <x:c r="O14" s="52" t="str">
        <x:v>Mixed</x:v>
      </x:c>
      <x:c r="P14" s="52" t="str">
        <x:v>Basti, UP</x:v>
      </x:c>
      <x:c r="Q14" s="52" t="str">
        <x:v>₹10,000–₹15,000</x:v>
      </x:c>
      <x:c r="R14" s="52" t="str">
        <x:v>A verified recipient/family needed support related to shop / business inventory.</x:v>
      </x:c>
      <x:c r="S14" s="52" t="str">
        <x:v>Humanitarians supported the case through Mixed funds for new wooden shop.</x:v>
      </x:c>
      <x:c r="T14" s="52" t="str">
        <x:v>Outcome/update should be added only after verified follow-up.</x:v>
      </x:c>
      <x:c r="U14" s="52" t="str">
        <x:v>Add follow-up notes after checking with the verification team.</x:v>
      </x:c>
      <x:c r="V14" s="52" t="str">
        <x:v>Add a real quote only with consent; do not publish this placeholder as a recipient quote.</x:v>
      </x:c>
      <x:c r="W14" s="52" t="str">
        <x:v>Anonymized public summary; no full name, phone, address, ID, bank details, or donor identity included.</x:v>
      </x:c>
      <x:c r="X14" s="52"/>
      <x:c r="Y14" s="52" t="str">
        <x:v>Anonymized Humanitarians case image 1 for HUM-013</x:v>
      </x:c>
      <x:c r="Z14" s="52" t="str">
        <x:v>Before/support context image - add only after consent.</x:v>
      </x:c>
      <x:c r="AA14" s="52"/>
      <x:c r="AB14" s="52" t="str">
        <x:v>Anonymized Humanitarians case image 2 for HUM-013</x:v>
      </x:c>
      <x:c r="AC14" s="52" t="str">
        <x:v>Support/equipment image - add only after consent.</x:v>
      </x:c>
      <x:c r="AD14" s="52"/>
      <x:c r="AE14" s="52" t="str">
        <x:v>Anonymized Humanitarians case image 3 for HUM-013</x:v>
      </x:c>
      <x:c r="AF14" s="52" t="str">
        <x:v>Outcome/follow-up image - add only after consent.</x:v>
      </x:c>
      <x:c r="AG14" s="52" t="str">
        <x:v>Pending consent</x:v>
      </x:c>
      <x:c r="AH14" s="52" t="str">
        <x:v>Paste public Google Drive image URLs only after recipient consent and privacy review.</x:v>
      </x:c>
      <x:c r="AI14" s="52" t="str">
        <x:v>Seeded from latest uploaded workbook and public-safe v2 case-story data.</x:v>
      </x:c>
      <x:c r="AJ14" s="52" t="str">
        <x:v>Add/edit cases here only. Formula tabs will update after upload/recalculation in Google Sheets.</x:v>
      </x:c>
      <x:c r="AK14"/>
    </x:row>
    <x:row r="15">
      <x:c r="A15" s="52" t="str">
        <x:v>HUM-014</x:v>
      </x:c>
      <x:c r="B15" s="52" t="str">
        <x:v>TRUE</x:v>
      </x:c>
      <x:c r="C15" s="52" t="str">
        <x:v>No</x:v>
      </x:c>
      <x:c r="D15" s="52" t="str">
        <x:v>Draft</x:v>
      </x:c>
      <x:c r="E15" s="52" t="str">
        <x:v>Jan 2025</x:v>
      </x:c>
      <x:c r="F15" s="52" t="n">
        <x:v>202501</x:v>
      </x:c>
      <x:c r="G15" s="52" t="n">
        <x:v>45658</x:v>
      </x:c>
      <x:c r="H15" s="52" t="str">
        <x:v>Sewing Machine</x:v>
      </x:c>
      <x:c r="I15" s="52" t="str">
        <x:v>Anonymized case HUM-014</x:v>
      </x:c>
      <x:c r="J15" s="52" t="str">
        <x:v>Livelihood</x:v>
      </x:c>
      <x:c r="K15" s="52" t="str">
        <x:v>Sewing / tailoring</x:v>
      </x:c>
      <x:c r="L15" s="55" t="n">
        <x:v>0</x:v>
      </x:c>
      <x:c r="M15" s="55" t="n">
        <x:v>10000</x:v>
      </x:c>
      <x:c r="N15" s="55" t="n">
        <x:v>10000</x:v>
      </x:c>
      <x:c r="O15" s="52" t="str">
        <x:v>Sadaqah</x:v>
      </x:c>
      <x:c r="P15" s="52" t="str">
        <x:v>Bihar</x:v>
      </x:c>
      <x:c r="Q15" s="52" t="str">
        <x:v>₹5,000–₹10,000</x:v>
      </x:c>
      <x:c r="R15" s="52" t="str">
        <x:v>A verified recipient/family needed support related to sewing / tailoring.</x:v>
      </x:c>
      <x:c r="S15" s="52" t="str">
        <x:v>Humanitarians supported the case through Sadaqah funds for sewing machine.</x:v>
      </x:c>
      <x:c r="T15" s="52" t="str">
        <x:v>Outcome/update should be added only after verified follow-up.</x:v>
      </x:c>
      <x:c r="U15" s="52" t="str">
        <x:v>Add follow-up notes after checking with the verification team.</x:v>
      </x:c>
      <x:c r="V15" s="52" t="str">
        <x:v>Add a real quote only with consent; do not publish this placeholder as a recipient quote.</x:v>
      </x:c>
      <x:c r="W15" s="52" t="str">
        <x:v>Anonymized public summary; no full name, phone, address, ID, bank details, or donor identity included.</x:v>
      </x:c>
      <x:c r="X15" s="52"/>
      <x:c r="Y15" s="52" t="str">
        <x:v>Anonymized Humanitarians case image 1 for HUM-014</x:v>
      </x:c>
      <x:c r="Z15" s="52" t="str">
        <x:v>Before/support context image - add only after consent.</x:v>
      </x:c>
      <x:c r="AA15" s="52"/>
      <x:c r="AB15" s="52" t="str">
        <x:v>Anonymized Humanitarians case image 2 for HUM-014</x:v>
      </x:c>
      <x:c r="AC15" s="52" t="str">
        <x:v>Support/equipment image - add only after consent.</x:v>
      </x:c>
      <x:c r="AD15" s="52"/>
      <x:c r="AE15" s="52" t="str">
        <x:v>Anonymized Humanitarians case image 3 for HUM-014</x:v>
      </x:c>
      <x:c r="AF15" s="52" t="str">
        <x:v>Outcome/follow-up image - add only after consent.</x:v>
      </x:c>
      <x:c r="AG15" s="52" t="str">
        <x:v>Pending consent</x:v>
      </x:c>
      <x:c r="AH15" s="52" t="str">
        <x:v>Paste public Google Drive image URLs only after recipient consent and privacy review.</x:v>
      </x:c>
      <x:c r="AI15" s="52" t="str">
        <x:v>Seeded from latest uploaded workbook and public-safe v2 case-story data.</x:v>
      </x:c>
      <x:c r="AJ15" s="52" t="str">
        <x:v>Add/edit cases here only. Formula tabs will update after upload/recalculation in Google Sheets.</x:v>
      </x:c>
      <x:c r="AK15"/>
    </x:row>
    <x:row r="16">
      <x:c r="A16" s="52" t="str">
        <x:v>HUM-015</x:v>
      </x:c>
      <x:c r="B16" s="52" t="str">
        <x:v>TRUE</x:v>
      </x:c>
      <x:c r="C16" s="52" t="str">
        <x:v>No</x:v>
      </x:c>
      <x:c r="D16" s="52" t="str">
        <x:v>Archive</x:v>
      </x:c>
      <x:c r="E16" s="52" t="str">
        <x:v>Feb 2025</x:v>
      </x:c>
      <x:c r="F16" s="52" t="n">
        <x:v>202502</x:v>
      </x:c>
      <x:c r="G16" s="52" t="n">
        <x:v>45689</x:v>
      </x:c>
      <x:c r="H16" s="52" t="str">
        <x:v>Support for Chicken shop</x:v>
      </x:c>
      <x:c r="I16" s="52" t="str">
        <x:v>Anonymized case HUM-015</x:v>
      </x:c>
      <x:c r="J16" s="52" t="str">
        <x:v>Livelihood</x:v>
      </x:c>
      <x:c r="K16" s="52" t="str">
        <x:v>Shop / business inventory</x:v>
      </x:c>
      <x:c r="L16" s="55" t="n">
        <x:v>0</x:v>
      </x:c>
      <x:c r="M16" s="55" t="n">
        <x:v>12000</x:v>
      </x:c>
      <x:c r="N16" s="55" t="n">
        <x:v>12000</x:v>
      </x:c>
      <x:c r="O16" s="52" t="str">
        <x:v>Sadaqah</x:v>
      </x:c>
      <x:c r="P16" s="52" t="str">
        <x:v>Location withheld</x:v>
      </x:c>
      <x:c r="Q16" s="52" t="str">
        <x:v>₹10,000–₹15,000</x:v>
      </x:c>
      <x:c r="R16" s="52" t="str">
        <x:v>A verified recipient/family needed support related to shop / business inventory.</x:v>
      </x:c>
      <x:c r="S16" s="52" t="str">
        <x:v>Humanitarians supported the case through Sadaqah funds for support for chicken shop.</x:v>
      </x:c>
      <x:c r="T16" s="52" t="str">
        <x:v>Outcome/update should be added only after verified follow-up.</x:v>
      </x:c>
      <x:c r="U16" s="52" t="str">
        <x:v>Add follow-up notes after checking with the verification team.</x:v>
      </x:c>
      <x:c r="V16" s="52" t="str">
        <x:v>Add a real quote only with consent; do not publish this placeholder as a recipient quote.</x:v>
      </x:c>
      <x:c r="W16" s="52" t="str">
        <x:v>Anonymized public summary; no full name, phone, address, ID, bank details, or donor identity included.</x:v>
      </x:c>
      <x:c r="X16" s="52"/>
      <x:c r="Y16" s="52" t="str">
        <x:v>Anonymized Humanitarians case image 1 for HUM-015</x:v>
      </x:c>
      <x:c r="Z16" s="52" t="str">
        <x:v>Before/support context image - add only after consent.</x:v>
      </x:c>
      <x:c r="AA16" s="52"/>
      <x:c r="AB16" s="52" t="str">
        <x:v>Anonymized Humanitarians case image 2 for HUM-015</x:v>
      </x:c>
      <x:c r="AC16" s="52" t="str">
        <x:v>Support/equipment image - add only after consent.</x:v>
      </x:c>
      <x:c r="AD16" s="52"/>
      <x:c r="AE16" s="52" t="str">
        <x:v>Anonymized Humanitarians case image 3 for HUM-015</x:v>
      </x:c>
      <x:c r="AF16" s="52" t="str">
        <x:v>Outcome/follow-up image - add only after consent.</x:v>
      </x:c>
      <x:c r="AG16" s="52" t="str">
        <x:v>Pending consent</x:v>
      </x:c>
      <x:c r="AH16" s="52" t="str">
        <x:v>Paste public Google Drive image URLs only after recipient consent and privacy review.</x:v>
      </x:c>
      <x:c r="AI16" s="52" t="str">
        <x:v>Seeded from latest uploaded workbook and public-safe v2 case-story data.</x:v>
      </x:c>
      <x:c r="AJ16" s="52" t="str">
        <x:v>Add/edit cases here only. Formula tabs will update after upload/recalculation in Google Sheets.</x:v>
      </x:c>
      <x:c r="AK16"/>
    </x:row>
    <x:row r="17">
      <x:c r="A17" s="52" t="str">
        <x:v>HUM-016</x:v>
      </x:c>
      <x:c r="B17" s="52" t="str">
        <x:v>TRUE</x:v>
      </x:c>
      <x:c r="C17" s="52" t="str">
        <x:v>No</x:v>
      </x:c>
      <x:c r="D17" s="52" t="str">
        <x:v>Archive</x:v>
      </x:c>
      <x:c r="E17" s="52" t="str">
        <x:v>Feb 2025</x:v>
      </x:c>
      <x:c r="F17" s="52" t="n">
        <x:v>202502</x:v>
      </x:c>
      <x:c r="G17" s="52" t="n">
        <x:v>45689</x:v>
      </x:c>
      <x:c r="H17" s="52" t="str">
        <x:v>Support for peddling toys</x:v>
      </x:c>
      <x:c r="I17" s="52" t="str">
        <x:v>Anonymized case HUM-016</x:v>
      </x:c>
      <x:c r="J17" s="52" t="str">
        <x:v>Livelihood</x:v>
      </x:c>
      <x:c r="K17" s="52" t="str">
        <x:v>Shop / business inventory</x:v>
      </x:c>
      <x:c r="L17" s="55" t="n">
        <x:v>8000</x:v>
      </x:c>
      <x:c r="M17" s="55" t="n">
        <x:v>0</x:v>
      </x:c>
      <x:c r="N17" s="55" t="n">
        <x:v>8000</x:v>
      </x:c>
      <x:c r="O17" s="52" t="str">
        <x:v>Zakat</x:v>
      </x:c>
      <x:c r="P17" s="52" t="str">
        <x:v>Location withheld</x:v>
      </x:c>
      <x:c r="Q17" s="52" t="str">
        <x:v>₹5,000–₹10,000</x:v>
      </x:c>
      <x:c r="R17" s="52" t="str">
        <x:v>A verified recipient/family needed support related to shop / business inventory.</x:v>
      </x:c>
      <x:c r="S17" s="52" t="str">
        <x:v>Humanitarians supported the case through Zakat funds for support for peddling toys.</x:v>
      </x:c>
      <x:c r="T17" s="52" t="str">
        <x:v>Outcome/update should be added only after verified follow-up.</x:v>
      </x:c>
      <x:c r="U17" s="52" t="str">
        <x:v>Add follow-up notes after checking with the verification team.</x:v>
      </x:c>
      <x:c r="V17" s="52" t="str">
        <x:v>Add a real quote only with consent; do not publish this placeholder as a recipient quote.</x:v>
      </x:c>
      <x:c r="W17" s="52" t="str">
        <x:v>Anonymized public summary; no full name, phone, address, ID, bank details, or donor identity included.</x:v>
      </x:c>
      <x:c r="X17" s="52"/>
      <x:c r="Y17" s="52" t="str">
        <x:v>Anonymized Humanitarians case image 1 for HUM-016</x:v>
      </x:c>
      <x:c r="Z17" s="52" t="str">
        <x:v>Before/support context image - add only after consent.</x:v>
      </x:c>
      <x:c r="AA17" s="52"/>
      <x:c r="AB17" s="52" t="str">
        <x:v>Anonymized Humanitarians case image 2 for HUM-016</x:v>
      </x:c>
      <x:c r="AC17" s="52" t="str">
        <x:v>Support/equipment image - add only after consent.</x:v>
      </x:c>
      <x:c r="AD17" s="52"/>
      <x:c r="AE17" s="52" t="str">
        <x:v>Anonymized Humanitarians case image 3 for HUM-016</x:v>
      </x:c>
      <x:c r="AF17" s="52" t="str">
        <x:v>Outcome/follow-up image - add only after consent.</x:v>
      </x:c>
      <x:c r="AG17" s="52" t="str">
        <x:v>Pending consent</x:v>
      </x:c>
      <x:c r="AH17" s="52" t="str">
        <x:v>Paste public Google Drive image URLs only after recipient consent and privacy review.</x:v>
      </x:c>
      <x:c r="AI17" s="52" t="str">
        <x:v>Seeded from latest uploaded workbook and public-safe v2 case-story data.</x:v>
      </x:c>
      <x:c r="AJ17" s="52" t="str">
        <x:v>Add/edit cases here only. Formula tabs will update after upload/recalculation in Google Sheets.</x:v>
      </x:c>
      <x:c r="AK17"/>
    </x:row>
    <x:row r="18">
      <x:c r="A18" s="52" t="str">
        <x:v>HUM-017</x:v>
      </x:c>
      <x:c r="B18" s="52" t="str">
        <x:v>TRUE</x:v>
      </x:c>
      <x:c r="C18" s="52" t="str">
        <x:v>No</x:v>
      </x:c>
      <x:c r="D18" s="52" t="str">
        <x:v>Archive</x:v>
      </x:c>
      <x:c r="E18" s="52" t="str">
        <x:v>Feb 2025</x:v>
      </x:c>
      <x:c r="F18" s="52" t="n">
        <x:v>202502</x:v>
      </x:c>
      <x:c r="G18" s="52" t="n">
        <x:v>45689</x:v>
      </x:c>
      <x:c r="H18" s="52" t="str">
        <x:v>Support for sustainability of Small business</x:v>
      </x:c>
      <x:c r="I18" s="52" t="str">
        <x:v>Anonymized case HUM-017</x:v>
      </x:c>
      <x:c r="J18" s="52" t="str">
        <x:v>Livelihood</x:v>
      </x:c>
      <x:c r="K18" s="52" t="str">
        <x:v>Shop / business inventory</x:v>
      </x:c>
      <x:c r="L18" s="55" t="n">
        <x:v>20000</x:v>
      </x:c>
      <x:c r="M18" s="55" t="n">
        <x:v>0</x:v>
      </x:c>
      <x:c r="N18" s="55" t="n">
        <x:v>20000</x:v>
      </x:c>
      <x:c r="O18" s="52" t="str">
        <x:v>Zakat</x:v>
      </x:c>
      <x:c r="P18" s="52" t="str">
        <x:v>Location withheld</x:v>
      </x:c>
      <x:c r="Q18" s="52" t="str">
        <x:v>₹15,000–₹25,000</x:v>
      </x:c>
      <x:c r="R18" s="52" t="str">
        <x:v>A verified recipient/family needed support related to shop / business inventory.</x:v>
      </x:c>
      <x:c r="S18" s="52" t="str">
        <x:v>Humanitarians supported the case through Zakat funds for support for sustainability of small business.</x:v>
      </x:c>
      <x:c r="T18" s="52" t="str">
        <x:v>Outcome/update should be added only after verified follow-up.</x:v>
      </x:c>
      <x:c r="U18" s="52" t="str">
        <x:v>Add follow-up notes after checking with the verification team.</x:v>
      </x:c>
      <x:c r="V18" s="52" t="str">
        <x:v>Add a real quote only with consent; do not publish this placeholder as a recipient quote.</x:v>
      </x:c>
      <x:c r="W18" s="52" t="str">
        <x:v>Anonymized public summary; no full name, phone, address, ID, bank details, or donor identity included.</x:v>
      </x:c>
      <x:c r="X18" s="52"/>
      <x:c r="Y18" s="52" t="str">
        <x:v>Anonymized Humanitarians case image 1 for HUM-017</x:v>
      </x:c>
      <x:c r="Z18" s="52" t="str">
        <x:v>Before/support context image - add only after consent.</x:v>
      </x:c>
      <x:c r="AA18" s="52"/>
      <x:c r="AB18" s="52" t="str">
        <x:v>Anonymized Humanitarians case image 2 for HUM-017</x:v>
      </x:c>
      <x:c r="AC18" s="52" t="str">
        <x:v>Support/equipment image - add only after consent.</x:v>
      </x:c>
      <x:c r="AD18" s="52"/>
      <x:c r="AE18" s="52" t="str">
        <x:v>Anonymized Humanitarians case image 3 for HUM-017</x:v>
      </x:c>
      <x:c r="AF18" s="52" t="str">
        <x:v>Outcome/follow-up image - add only after consent.</x:v>
      </x:c>
      <x:c r="AG18" s="52" t="str">
        <x:v>Pending consent</x:v>
      </x:c>
      <x:c r="AH18" s="52" t="str">
        <x:v>Paste public Google Drive image URLs only after recipient consent and privacy review.</x:v>
      </x:c>
      <x:c r="AI18" s="52" t="str">
        <x:v>Seeded from latest uploaded workbook and public-safe v2 case-story data.</x:v>
      </x:c>
      <x:c r="AJ18" s="52" t="str">
        <x:v>Add/edit cases here only. Formula tabs will update after upload/recalculation in Google Sheets.</x:v>
      </x:c>
      <x:c r="AK18"/>
    </x:row>
    <x:row r="19">
      <x:c r="A19" s="52" t="str">
        <x:v>HUM-018</x:v>
      </x:c>
      <x:c r="B19" s="52" t="str">
        <x:v>TRUE</x:v>
      </x:c>
      <x:c r="C19" s="52" t="str">
        <x:v>No</x:v>
      </x:c>
      <x:c r="D19" s="52" t="str">
        <x:v>Archive</x:v>
      </x:c>
      <x:c r="E19" s="52" t="str">
        <x:v>Mar 2025</x:v>
      </x:c>
      <x:c r="F19" s="52" t="n">
        <x:v>202503</x:v>
      </x:c>
      <x:c r="G19" s="52" t="n">
        <x:v>45717</x:v>
      </x:c>
      <x:c r="H19" s="52" t="str">
        <x:v>Assistance in procurement of better quality cloths</x:v>
      </x:c>
      <x:c r="I19" s="52" t="str">
        <x:v>Anonymized case HUM-018</x:v>
      </x:c>
      <x:c r="J19" s="52" t="str">
        <x:v>Livelihood</x:v>
      </x:c>
      <x:c r="K19" s="52" t="str">
        <x:v>Shop / business inventory</x:v>
      </x:c>
      <x:c r="L19" s="55" t="n">
        <x:v>15000</x:v>
      </x:c>
      <x:c r="M19" s="55" t="n">
        <x:v>0</x:v>
      </x:c>
      <x:c r="N19" s="55" t="n">
        <x:v>15000</x:v>
      </x:c>
      <x:c r="O19" s="52" t="str">
        <x:v>Zakat</x:v>
      </x:c>
      <x:c r="P19" s="52" t="str">
        <x:v>Basti, UP</x:v>
      </x:c>
      <x:c r="Q19" s="52" t="str">
        <x:v>₹10,000–₹15,000</x:v>
      </x:c>
      <x:c r="R19" s="52" t="str">
        <x:v>A verified recipient/family needed support related to shop / business inventory.</x:v>
      </x:c>
      <x:c r="S19" s="52" t="str">
        <x:v>Humanitarians supported the case through Zakat funds for assistance in procurement of better quality cloths.</x:v>
      </x:c>
      <x:c r="T19" s="52" t="str">
        <x:v>Outcome/update should be added only after verified follow-up.</x:v>
      </x:c>
      <x:c r="U19" s="52" t="str">
        <x:v>Add follow-up notes after checking with the verification team.</x:v>
      </x:c>
      <x:c r="V19" s="52" t="str">
        <x:v>Add a real quote only with consent; do not publish this placeholder as a recipient quote.</x:v>
      </x:c>
      <x:c r="W19" s="52" t="str">
        <x:v>Anonymized public summary; no full name, phone, address, ID, bank details, or donor identity included.</x:v>
      </x:c>
      <x:c r="X19" s="52"/>
      <x:c r="Y19" s="52" t="str">
        <x:v>Anonymized Humanitarians case image 1 for HUM-018</x:v>
      </x:c>
      <x:c r="Z19" s="52" t="str">
        <x:v>Before/support context image - add only after consent.</x:v>
      </x:c>
      <x:c r="AA19" s="52"/>
      <x:c r="AB19" s="52" t="str">
        <x:v>Anonymized Humanitarians case image 2 for HUM-018</x:v>
      </x:c>
      <x:c r="AC19" s="52" t="str">
        <x:v>Support/equipment image - add only after consent.</x:v>
      </x:c>
      <x:c r="AD19" s="52"/>
      <x:c r="AE19" s="52" t="str">
        <x:v>Anonymized Humanitarians case image 3 for HUM-018</x:v>
      </x:c>
      <x:c r="AF19" s="52" t="str">
        <x:v>Outcome/follow-up image - add only after consent.</x:v>
      </x:c>
      <x:c r="AG19" s="52" t="str">
        <x:v>Pending consent</x:v>
      </x:c>
      <x:c r="AH19" s="52" t="str">
        <x:v>Paste public Google Drive image URLs only after recipient consent and privacy review.</x:v>
      </x:c>
      <x:c r="AI19" s="52" t="str">
        <x:v>Seeded from latest uploaded workbook and public-safe v2 case-story data.</x:v>
      </x:c>
      <x:c r="AJ19" s="52" t="str">
        <x:v>Add/edit cases here only. Formula tabs will update after upload/recalculation in Google Sheets.</x:v>
      </x:c>
      <x:c r="AK19"/>
    </x:row>
    <x:row r="20">
      <x:c r="A20" s="52" t="str">
        <x:v>HUM-019</x:v>
      </x:c>
      <x:c r="B20" s="52" t="str">
        <x:v>TRUE</x:v>
      </x:c>
      <x:c r="C20" s="52" t="str">
        <x:v>No</x:v>
      </x:c>
      <x:c r="D20" s="52" t="str">
        <x:v>Archive</x:v>
      </x:c>
      <x:c r="E20" s="52" t="str">
        <x:v>Mar 2025</x:v>
      </x:c>
      <x:c r="F20" s="52" t="n">
        <x:v>202503</x:v>
      </x:c>
      <x:c r="G20" s="52" t="n">
        <x:v>45717</x:v>
      </x:c>
      <x:c r="H20" s="52" t="str">
        <x:v>Initial Support for Cosmetics Shop</x:v>
      </x:c>
      <x:c r="I20" s="52" t="str">
        <x:v>Anonymized case HUM-019</x:v>
      </x:c>
      <x:c r="J20" s="52" t="str">
        <x:v>Livelihood</x:v>
      </x:c>
      <x:c r="K20" s="52" t="str">
        <x:v>Shop / business inventory</x:v>
      </x:c>
      <x:c r="L20" s="55" t="n">
        <x:v>25000</x:v>
      </x:c>
      <x:c r="M20" s="55" t="n">
        <x:v>0</x:v>
      </x:c>
      <x:c r="N20" s="55" t="n">
        <x:v>25000</x:v>
      </x:c>
      <x:c r="O20" s="52" t="str">
        <x:v>Zakat</x:v>
      </x:c>
      <x:c r="P20" s="52" t="str">
        <x:v>Gurgaon, Haryana</x:v>
      </x:c>
      <x:c r="Q20" s="52" t="str">
        <x:v>₹15,000–₹25,000</x:v>
      </x:c>
      <x:c r="R20" s="52" t="str">
        <x:v>A verified recipient/family needed support related to shop / business inventory.</x:v>
      </x:c>
      <x:c r="S20" s="52" t="str">
        <x:v>Humanitarians supported the case through Zakat funds for initial support for cosmetics shop.</x:v>
      </x:c>
      <x:c r="T20" s="52" t="str">
        <x:v>Outcome/update should be added only after verified follow-up.</x:v>
      </x:c>
      <x:c r="U20" s="52" t="str">
        <x:v>Add follow-up notes after checking with the verification team.</x:v>
      </x:c>
      <x:c r="V20" s="52" t="str">
        <x:v>Add a real quote only with consent; do not publish this placeholder as a recipient quote.</x:v>
      </x:c>
      <x:c r="W20" s="52" t="str">
        <x:v>Anonymized public summary; no full name, phone, address, ID, bank details, or donor identity included.</x:v>
      </x:c>
      <x:c r="X20" s="52"/>
      <x:c r="Y20" s="52" t="str">
        <x:v>Anonymized Humanitarians case image 1 for HUM-019</x:v>
      </x:c>
      <x:c r="Z20" s="52" t="str">
        <x:v>Before/support context image - add only after consent.</x:v>
      </x:c>
      <x:c r="AA20" s="52"/>
      <x:c r="AB20" s="52" t="str">
        <x:v>Anonymized Humanitarians case image 2 for HUM-019</x:v>
      </x:c>
      <x:c r="AC20" s="52" t="str">
        <x:v>Support/equipment image - add only after consent.</x:v>
      </x:c>
      <x:c r="AD20" s="52"/>
      <x:c r="AE20" s="52" t="str">
        <x:v>Anonymized Humanitarians case image 3 for HUM-019</x:v>
      </x:c>
      <x:c r="AF20" s="52" t="str">
        <x:v>Outcome/follow-up image - add only after consent.</x:v>
      </x:c>
      <x:c r="AG20" s="52" t="str">
        <x:v>Pending consent</x:v>
      </x:c>
      <x:c r="AH20" s="52" t="str">
        <x:v>Paste public Google Drive image URLs only after recipient consent and privacy review.</x:v>
      </x:c>
      <x:c r="AI20" s="52" t="str">
        <x:v>Seeded from latest uploaded workbook and public-safe v2 case-story data.</x:v>
      </x:c>
      <x:c r="AJ20" s="52" t="str">
        <x:v>Add/edit cases here only. Formula tabs will update after upload/recalculation in Google Sheets.</x:v>
      </x:c>
      <x:c r="AK20"/>
    </x:row>
    <x:row r="21">
      <x:c r="A21" s="52" t="str">
        <x:v>HUM-020</x:v>
      </x:c>
      <x:c r="B21" s="52" t="str">
        <x:v>TRUE</x:v>
      </x:c>
      <x:c r="C21" s="52" t="str">
        <x:v>No</x:v>
      </x:c>
      <x:c r="D21" s="52" t="str">
        <x:v>Draft</x:v>
      </x:c>
      <x:c r="E21" s="52" t="str">
        <x:v>Mar 2025</x:v>
      </x:c>
      <x:c r="F21" s="52" t="n">
        <x:v>202503</x:v>
      </x:c>
      <x:c r="G21" s="52" t="n">
        <x:v>45717</x:v>
      </x:c>
      <x:c r="H21" s="52" t="str">
        <x:v>Repair of Electric Sewing Machine</x:v>
      </x:c>
      <x:c r="I21" s="52" t="str">
        <x:v>Anonymized case HUM-020</x:v>
      </x:c>
      <x:c r="J21" s="52" t="str">
        <x:v>Livelihood</x:v>
      </x:c>
      <x:c r="K21" s="52" t="str">
        <x:v>Sewing / tailoring</x:v>
      </x:c>
      <x:c r="L21" s="55" t="n">
        <x:v>15000</x:v>
      </x:c>
      <x:c r="M21" s="55" t="n">
        <x:v>0</x:v>
      </x:c>
      <x:c r="N21" s="55" t="n">
        <x:v>15000</x:v>
      </x:c>
      <x:c r="O21" s="52" t="str">
        <x:v>Zakat</x:v>
      </x:c>
      <x:c r="P21" s="52" t="str">
        <x:v>Ghaziabad, UP</x:v>
      </x:c>
      <x:c r="Q21" s="52" t="str">
        <x:v>₹10,000–₹15,000</x:v>
      </x:c>
      <x:c r="R21" s="52" t="str">
        <x:v>A verified recipient/family needed support related to sewing / tailoring.</x:v>
      </x:c>
      <x:c r="S21" s="52" t="str">
        <x:v>Humanitarians supported the case through Zakat funds for repair of electric sewing machine.</x:v>
      </x:c>
      <x:c r="T21" s="52" t="str">
        <x:v>Outcome/update should be added only after verified follow-up.</x:v>
      </x:c>
      <x:c r="U21" s="52" t="str">
        <x:v>Add follow-up notes after checking with the verification team.</x:v>
      </x:c>
      <x:c r="V21" s="52" t="str">
        <x:v>Add a real quote only with consent; do not publish this placeholder as a recipient quote.</x:v>
      </x:c>
      <x:c r="W21" s="52" t="str">
        <x:v>Anonymized public summary; no full name, phone, address, ID, bank details, or donor identity included.</x:v>
      </x:c>
      <x:c r="X21" s="52"/>
      <x:c r="Y21" s="52" t="str">
        <x:v>Anonymized Humanitarians case image 1 for HUM-020</x:v>
      </x:c>
      <x:c r="Z21" s="52" t="str">
        <x:v>Before/support context image - add only after consent.</x:v>
      </x:c>
      <x:c r="AA21" s="52"/>
      <x:c r="AB21" s="52" t="str">
        <x:v>Anonymized Humanitarians case image 2 for HUM-020</x:v>
      </x:c>
      <x:c r="AC21" s="52" t="str">
        <x:v>Support/equipment image - add only after consent.</x:v>
      </x:c>
      <x:c r="AD21" s="52"/>
      <x:c r="AE21" s="52" t="str">
        <x:v>Anonymized Humanitarians case image 3 for HUM-020</x:v>
      </x:c>
      <x:c r="AF21" s="52" t="str">
        <x:v>Outcome/follow-up image - add only after consent.</x:v>
      </x:c>
      <x:c r="AG21" s="52" t="str">
        <x:v>Pending consent</x:v>
      </x:c>
      <x:c r="AH21" s="52" t="str">
        <x:v>Paste public Google Drive image URLs only after recipient consent and privacy review.</x:v>
      </x:c>
      <x:c r="AI21" s="52" t="str">
        <x:v>Seeded from latest uploaded workbook and public-safe v2 case-story data.</x:v>
      </x:c>
      <x:c r="AJ21" s="52" t="str">
        <x:v>Add/edit cases here only. Formula tabs will update after upload/recalculation in Google Sheets.</x:v>
      </x:c>
      <x:c r="AK21"/>
    </x:row>
    <x:row r="22">
      <x:c r="A22" s="52" t="str">
        <x:v>HUM-021</x:v>
      </x:c>
      <x:c r="B22" s="52" t="str">
        <x:v>TRUE</x:v>
      </x:c>
      <x:c r="C22" s="52" t="str">
        <x:v>No</x:v>
      </x:c>
      <x:c r="D22" s="52" t="str">
        <x:v>Draft</x:v>
      </x:c>
      <x:c r="E22" s="52" t="str">
        <x:v>Mar 2025</x:v>
      </x:c>
      <x:c r="F22" s="52" t="n">
        <x:v>202503</x:v>
      </x:c>
      <x:c r="G22" s="52" t="n">
        <x:v>45717</x:v>
      </x:c>
      <x:c r="H22" s="52" t="str">
        <x:v>Support for Kirana Shop</x:v>
      </x:c>
      <x:c r="I22" s="52" t="str">
        <x:v>Anonymized case HUM-021</x:v>
      </x:c>
      <x:c r="J22" s="52" t="str">
        <x:v>Livelihood</x:v>
      </x:c>
      <x:c r="K22" s="52" t="str">
        <x:v>Shop / business inventory</x:v>
      </x:c>
      <x:c r="L22" s="55" t="n">
        <x:v>0</x:v>
      </x:c>
      <x:c r="M22" s="55" t="n">
        <x:v>15000</x:v>
      </x:c>
      <x:c r="N22" s="55" t="n">
        <x:v>15000</x:v>
      </x:c>
      <x:c r="O22" s="52" t="str">
        <x:v>Sadaqah</x:v>
      </x:c>
      <x:c r="P22" s="52" t="str">
        <x:v>Basti, UP</x:v>
      </x:c>
      <x:c r="Q22" s="52" t="str">
        <x:v>₹10,000–₹15,000</x:v>
      </x:c>
      <x:c r="R22" s="52" t="str">
        <x:v>A verified recipient/family needed support related to shop / business inventory.</x:v>
      </x:c>
      <x:c r="S22" s="52" t="str">
        <x:v>Humanitarians supported the case through Sadaqah funds for support for kirana shop.</x:v>
      </x:c>
      <x:c r="T22" s="52" t="str">
        <x:v>Outcome/update should be added only after verified follow-up.</x:v>
      </x:c>
      <x:c r="U22" s="52" t="str">
        <x:v>Add follow-up notes after checking with the verification team.</x:v>
      </x:c>
      <x:c r="V22" s="52" t="str">
        <x:v>Add a real quote only with consent; do not publish this placeholder as a recipient quote.</x:v>
      </x:c>
      <x:c r="W22" s="52" t="str">
        <x:v>Anonymized public summary; no full name, phone, address, ID, bank details, or donor identity included.</x:v>
      </x:c>
      <x:c r="X22" s="52"/>
      <x:c r="Y22" s="52" t="str">
        <x:v>Anonymized Humanitarians case image 1 for HUM-021</x:v>
      </x:c>
      <x:c r="Z22" s="52" t="str">
        <x:v>Before/support context image - add only after consent.</x:v>
      </x:c>
      <x:c r="AA22" s="52"/>
      <x:c r="AB22" s="52" t="str">
        <x:v>Anonymized Humanitarians case image 2 for HUM-021</x:v>
      </x:c>
      <x:c r="AC22" s="52" t="str">
        <x:v>Support/equipment image - add only after consent.</x:v>
      </x:c>
      <x:c r="AD22" s="52"/>
      <x:c r="AE22" s="52" t="str">
        <x:v>Anonymized Humanitarians case image 3 for HUM-021</x:v>
      </x:c>
      <x:c r="AF22" s="52" t="str">
        <x:v>Outcome/follow-up image - add only after consent.</x:v>
      </x:c>
      <x:c r="AG22" s="52" t="str">
        <x:v>Pending consent</x:v>
      </x:c>
      <x:c r="AH22" s="52" t="str">
        <x:v>Paste public Google Drive image URLs only after recipient consent and privacy review.</x:v>
      </x:c>
      <x:c r="AI22" s="52" t="str">
        <x:v>Seeded from latest uploaded workbook and public-safe v2 case-story data.</x:v>
      </x:c>
      <x:c r="AJ22" s="52" t="str">
        <x:v>Add/edit cases here only. Formula tabs will update after upload/recalculation in Google Sheets.</x:v>
      </x:c>
      <x:c r="AK22"/>
    </x:row>
    <x:row r="23">
      <x:c r="A23" s="52" t="str">
        <x:v>HUM-022</x:v>
      </x:c>
      <x:c r="B23" s="52" t="str">
        <x:v>TRUE</x:v>
      </x:c>
      <x:c r="C23" s="52" t="str">
        <x:v>No</x:v>
      </x:c>
      <x:c r="D23" s="52" t="str">
        <x:v>Archive</x:v>
      </x:c>
      <x:c r="E23" s="52" t="str">
        <x:v>Mar 2025</x:v>
      </x:c>
      <x:c r="F23" s="52" t="n">
        <x:v>202503</x:v>
      </x:c>
      <x:c r="G23" s="52" t="n">
        <x:v>45717</x:v>
      </x:c>
      <x:c r="H23" s="52" t="str">
        <x:v>Support for Second Hand Auto</x:v>
      </x:c>
      <x:c r="I23" s="52" t="str">
        <x:v>Anonymized case HUM-022</x:v>
      </x:c>
      <x:c r="J23" s="52" t="str">
        <x:v>Livelihood</x:v>
      </x:c>
      <x:c r="K23" s="52" t="str">
        <x:v>E-rickshaw / auto</x:v>
      </x:c>
      <x:c r="L23" s="55" t="n">
        <x:v>0</x:v>
      </x:c>
      <x:c r="M23" s="55" t="n">
        <x:v>25000</x:v>
      </x:c>
      <x:c r="N23" s="55" t="n">
        <x:v>25000</x:v>
      </x:c>
      <x:c r="O23" s="52" t="str">
        <x:v>Sadaqah</x:v>
      </x:c>
      <x:c r="P23" s="52" t="str">
        <x:v>Ghaziabad, UP</x:v>
      </x:c>
      <x:c r="Q23" s="52" t="str">
        <x:v>₹15,000–₹25,000</x:v>
      </x:c>
      <x:c r="R23" s="52" t="str">
        <x:v>A verified recipient/family needed support related to e-rickshaw / auto.</x:v>
      </x:c>
      <x:c r="S23" s="52" t="str">
        <x:v>Humanitarians supported the case through Sadaqah funds for support for second hand auto.</x:v>
      </x:c>
      <x:c r="T23" s="52" t="str">
        <x:v>Outcome/update should be added only after verified follow-up.</x:v>
      </x:c>
      <x:c r="U23" s="52" t="str">
        <x:v>Add follow-up notes after checking with the verification team.</x:v>
      </x:c>
      <x:c r="V23" s="52" t="str">
        <x:v>Add a real quote only with consent; do not publish this placeholder as a recipient quote.</x:v>
      </x:c>
      <x:c r="W23" s="52" t="str">
        <x:v>Anonymized public summary; no full name, phone, address, ID, bank details, or donor identity included.</x:v>
      </x:c>
      <x:c r="X23" s="52"/>
      <x:c r="Y23" s="52" t="str">
        <x:v>Anonymized Humanitarians case image 1 for HUM-022</x:v>
      </x:c>
      <x:c r="Z23" s="52" t="str">
        <x:v>Before/support context image - add only after consent.</x:v>
      </x:c>
      <x:c r="AA23" s="52"/>
      <x:c r="AB23" s="52" t="str">
        <x:v>Anonymized Humanitarians case image 2 for HUM-022</x:v>
      </x:c>
      <x:c r="AC23" s="52" t="str">
        <x:v>Support/equipment image - add only after consent.</x:v>
      </x:c>
      <x:c r="AD23" s="52"/>
      <x:c r="AE23" s="52" t="str">
        <x:v>Anonymized Humanitarians case image 3 for HUM-022</x:v>
      </x:c>
      <x:c r="AF23" s="52" t="str">
        <x:v>Outcome/follow-up image - add only after consent.</x:v>
      </x:c>
      <x:c r="AG23" s="52" t="str">
        <x:v>Pending consent</x:v>
      </x:c>
      <x:c r="AH23" s="52" t="str">
        <x:v>Paste public Google Drive image URLs only after recipient consent and privacy review.</x:v>
      </x:c>
      <x:c r="AI23" s="52" t="str">
        <x:v>Seeded from latest uploaded workbook and public-safe v2 case-story data.</x:v>
      </x:c>
      <x:c r="AJ23" s="52" t="str">
        <x:v>Add/edit cases here only. Formula tabs will update after upload/recalculation in Google Sheets.</x:v>
      </x:c>
      <x:c r="AK23"/>
    </x:row>
    <x:row r="24">
      <x:c r="A24" s="52" t="str">
        <x:v>HUM-023</x:v>
      </x:c>
      <x:c r="B24" s="52" t="str">
        <x:v>TRUE</x:v>
      </x:c>
      <x:c r="C24" s="52" t="str">
        <x:v>No</x:v>
      </x:c>
      <x:c r="D24" s="52" t="str">
        <x:v>Archive</x:v>
      </x:c>
      <x:c r="E24" s="52" t="str">
        <x:v>Mar 2025</x:v>
      </x:c>
      <x:c r="F24" s="52" t="n">
        <x:v>202503</x:v>
      </x:c>
      <x:c r="G24" s="52" t="n">
        <x:v>45717</x:v>
      </x:c>
      <x:c r="H24" s="52" t="str">
        <x:v>Support in Buying New Auto</x:v>
      </x:c>
      <x:c r="I24" s="52" t="str">
        <x:v>Anonymized case HUM-023</x:v>
      </x:c>
      <x:c r="J24" s="52" t="str">
        <x:v>Livelihood</x:v>
      </x:c>
      <x:c r="K24" s="52" t="str">
        <x:v>E-rickshaw / auto</x:v>
      </x:c>
      <x:c r="L24" s="55" t="n">
        <x:v>25000</x:v>
      </x:c>
      <x:c r="M24" s="55" t="n">
        <x:v>0</x:v>
      </x:c>
      <x:c r="N24" s="55" t="n">
        <x:v>25000</x:v>
      </x:c>
      <x:c r="O24" s="52" t="str">
        <x:v>Zakat</x:v>
      </x:c>
      <x:c r="P24" s="52" t="str">
        <x:v>Basti, UP</x:v>
      </x:c>
      <x:c r="Q24" s="52" t="str">
        <x:v>₹15,000–₹25,000</x:v>
      </x:c>
      <x:c r="R24" s="52" t="str">
        <x:v>A verified recipient/family needed support related to e-rickshaw / auto.</x:v>
      </x:c>
      <x:c r="S24" s="52" t="str">
        <x:v>Humanitarians supported the case through Zakat funds for support in buying new auto.</x:v>
      </x:c>
      <x:c r="T24" s="52" t="str">
        <x:v>Outcome/update should be added only after verified follow-up.</x:v>
      </x:c>
      <x:c r="U24" s="52" t="str">
        <x:v>Add follow-up notes after checking with the verification team.</x:v>
      </x:c>
      <x:c r="V24" s="52" t="str">
        <x:v>Add a real quote only with consent; do not publish this placeholder as a recipient quote.</x:v>
      </x:c>
      <x:c r="W24" s="52" t="str">
        <x:v>Anonymized public summary; no full name, phone, address, ID, bank details, or donor identity included.</x:v>
      </x:c>
      <x:c r="X24" s="52"/>
      <x:c r="Y24" s="52" t="str">
        <x:v>Anonymized Humanitarians case image 1 for HUM-023</x:v>
      </x:c>
      <x:c r="Z24" s="52" t="str">
        <x:v>Before/support context image - add only after consent.</x:v>
      </x:c>
      <x:c r="AA24" s="52"/>
      <x:c r="AB24" s="52" t="str">
        <x:v>Anonymized Humanitarians case image 2 for HUM-023</x:v>
      </x:c>
      <x:c r="AC24" s="52" t="str">
        <x:v>Support/equipment image - add only after consent.</x:v>
      </x:c>
      <x:c r="AD24" s="52"/>
      <x:c r="AE24" s="52" t="str">
        <x:v>Anonymized Humanitarians case image 3 for HUM-023</x:v>
      </x:c>
      <x:c r="AF24" s="52" t="str">
        <x:v>Outcome/follow-up image - add only after consent.</x:v>
      </x:c>
      <x:c r="AG24" s="52" t="str">
        <x:v>Pending consent</x:v>
      </x:c>
      <x:c r="AH24" s="52" t="str">
        <x:v>Paste public Google Drive image URLs only after recipient consent and privacy review.</x:v>
      </x:c>
      <x:c r="AI24" s="52" t="str">
        <x:v>Seeded from latest uploaded workbook and public-safe v2 case-story data.</x:v>
      </x:c>
      <x:c r="AJ24" s="52" t="str">
        <x:v>Add/edit cases here only. Formula tabs will update after upload/recalculation in Google Sheets.</x:v>
      </x:c>
      <x:c r="AK24"/>
    </x:row>
    <x:row r="25">
      <x:c r="A25" s="52" t="str">
        <x:v>HUM-024</x:v>
      </x:c>
      <x:c r="B25" s="52" t="str">
        <x:v>TRUE</x:v>
      </x:c>
      <x:c r="C25" s="52" t="str">
        <x:v>No</x:v>
      </x:c>
      <x:c r="D25" s="52" t="str">
        <x:v>Archive</x:v>
      </x:c>
      <x:c r="E25" s="52" t="str">
        <x:v>Mar 2025</x:v>
      </x:c>
      <x:c r="F25" s="52" t="n">
        <x:v>202503</x:v>
      </x:c>
      <x:c r="G25" s="52" t="n">
        <x:v>45717</x:v>
      </x:c>
      <x:c r="H25" s="52" t="str">
        <x:v>Support in Buying Second Hand Auto</x:v>
      </x:c>
      <x:c r="I25" s="52" t="str">
        <x:v>Anonymized case HUM-024</x:v>
      </x:c>
      <x:c r="J25" s="52" t="str">
        <x:v>Livelihood</x:v>
      </x:c>
      <x:c r="K25" s="52" t="str">
        <x:v>E-rickshaw / auto</x:v>
      </x:c>
      <x:c r="L25" s="55" t="n">
        <x:v>20000</x:v>
      </x:c>
      <x:c r="M25" s="55" t="n">
        <x:v>0</x:v>
      </x:c>
      <x:c r="N25" s="55" t="n">
        <x:v>20000</x:v>
      </x:c>
      <x:c r="O25" s="52" t="str">
        <x:v>Zakat</x:v>
      </x:c>
      <x:c r="P25" s="52" t="str">
        <x:v>Basti, UP</x:v>
      </x:c>
      <x:c r="Q25" s="52" t="str">
        <x:v>₹15,000–₹25,000</x:v>
      </x:c>
      <x:c r="R25" s="52" t="str">
        <x:v>A verified recipient/family needed support related to e-rickshaw / auto.</x:v>
      </x:c>
      <x:c r="S25" s="52" t="str">
        <x:v>Humanitarians supported the case through Zakat funds for support in buying second hand auto.</x:v>
      </x:c>
      <x:c r="T25" s="52" t="str">
        <x:v>Outcome/update should be added only after verified follow-up.</x:v>
      </x:c>
      <x:c r="U25" s="52" t="str">
        <x:v>Add follow-up notes after checking with the verification team.</x:v>
      </x:c>
      <x:c r="V25" s="52" t="str">
        <x:v>Add a real quote only with consent; do not publish this placeholder as a recipient quote.</x:v>
      </x:c>
      <x:c r="W25" s="52" t="str">
        <x:v>Anonymized public summary; no full name, phone, address, ID, bank details, or donor identity included.</x:v>
      </x:c>
      <x:c r="X25" s="52"/>
      <x:c r="Y25" s="52" t="str">
        <x:v>Anonymized Humanitarians case image 1 for HUM-024</x:v>
      </x:c>
      <x:c r="Z25" s="52" t="str">
        <x:v>Before/support context image - add only after consent.</x:v>
      </x:c>
      <x:c r="AA25" s="52"/>
      <x:c r="AB25" s="52" t="str">
        <x:v>Anonymized Humanitarians case image 2 for HUM-024</x:v>
      </x:c>
      <x:c r="AC25" s="52" t="str">
        <x:v>Support/equipment image - add only after consent.</x:v>
      </x:c>
      <x:c r="AD25" s="52"/>
      <x:c r="AE25" s="52" t="str">
        <x:v>Anonymized Humanitarians case image 3 for HUM-024</x:v>
      </x:c>
      <x:c r="AF25" s="52" t="str">
        <x:v>Outcome/follow-up image - add only after consent.</x:v>
      </x:c>
      <x:c r="AG25" s="52" t="str">
        <x:v>Pending consent</x:v>
      </x:c>
      <x:c r="AH25" s="52" t="str">
        <x:v>Paste public Google Drive image URLs only after recipient consent and privacy review.</x:v>
      </x:c>
      <x:c r="AI25" s="52" t="str">
        <x:v>Seeded from latest uploaded workbook and public-safe v2 case-story data.</x:v>
      </x:c>
      <x:c r="AJ25" s="52" t="str">
        <x:v>Add/edit cases here only. Formula tabs will update after upload/recalculation in Google Sheets.</x:v>
      </x:c>
      <x:c r="AK25"/>
    </x:row>
    <x:row r="26">
      <x:c r="A26" s="52" t="str">
        <x:v>HUM-025</x:v>
      </x:c>
      <x:c r="B26" s="52" t="str">
        <x:v>TRUE</x:v>
      </x:c>
      <x:c r="C26" s="52" t="str">
        <x:v>No</x:v>
      </x:c>
      <x:c r="D26" s="52" t="str">
        <x:v>Draft</x:v>
      </x:c>
      <x:c r="E26" s="52" t="str">
        <x:v>Apr 2025</x:v>
      </x:c>
      <x:c r="F26" s="52" t="n">
        <x:v>202504</x:v>
      </x:c>
      <x:c r="G26" s="52" t="n">
        <x:v>45748</x:v>
      </x:c>
      <x:c r="H26" s="52" t="str">
        <x:v>Electric Sewing Machine</x:v>
      </x:c>
      <x:c r="I26" s="52" t="str">
        <x:v>Anonymized case HUM-025</x:v>
      </x:c>
      <x:c r="J26" s="52" t="str">
        <x:v>Livelihood</x:v>
      </x:c>
      <x:c r="K26" s="52" t="str">
        <x:v>Sewing / tailoring</x:v>
      </x:c>
      <x:c r="L26" s="55" t="n">
        <x:v>0</x:v>
      </x:c>
      <x:c r="M26" s="55" t="n">
        <x:v>8200</x:v>
      </x:c>
      <x:c r="N26" s="55" t="n">
        <x:v>8200</x:v>
      </x:c>
      <x:c r="O26" s="52" t="str">
        <x:v>Sadaqah</x:v>
      </x:c>
      <x:c r="P26" s="52" t="str">
        <x:v>Basti, UP</x:v>
      </x:c>
      <x:c r="Q26" s="52" t="str">
        <x:v>₹5,000–₹10,000</x:v>
      </x:c>
      <x:c r="R26" s="52" t="str">
        <x:v>A verified recipient/family needed support related to sewing / tailoring.</x:v>
      </x:c>
      <x:c r="S26" s="52" t="str">
        <x:v>Humanitarians supported the case through Sadaqah funds for electric sewing machine.</x:v>
      </x:c>
      <x:c r="T26" s="52" t="str">
        <x:v>Outcome/update should be added only after verified follow-up.</x:v>
      </x:c>
      <x:c r="U26" s="52" t="str">
        <x:v>Add follow-up notes after checking with the verification team.</x:v>
      </x:c>
      <x:c r="V26" s="52" t="str">
        <x:v>Add a real quote only with consent; do not publish this placeholder as a recipient quote.</x:v>
      </x:c>
      <x:c r="W26" s="52" t="str">
        <x:v>Anonymized public summary; no full name, phone, address, ID, bank details, or donor identity included.</x:v>
      </x:c>
      <x:c r="X26" s="52"/>
      <x:c r="Y26" s="52" t="str">
        <x:v>Anonymized Humanitarians case image 1 for HUM-025</x:v>
      </x:c>
      <x:c r="Z26" s="52" t="str">
        <x:v>Before/support context image - add only after consent.</x:v>
      </x:c>
      <x:c r="AA26" s="52"/>
      <x:c r="AB26" s="52" t="str">
        <x:v>Anonymized Humanitarians case image 2 for HUM-025</x:v>
      </x:c>
      <x:c r="AC26" s="52" t="str">
        <x:v>Support/equipment image - add only after consent.</x:v>
      </x:c>
      <x:c r="AD26" s="52"/>
      <x:c r="AE26" s="52" t="str">
        <x:v>Anonymized Humanitarians case image 3 for HUM-025</x:v>
      </x:c>
      <x:c r="AF26" s="52" t="str">
        <x:v>Outcome/follow-up image - add only after consent.</x:v>
      </x:c>
      <x:c r="AG26" s="52" t="str">
        <x:v>Pending consent</x:v>
      </x:c>
      <x:c r="AH26" s="52" t="str">
        <x:v>Paste public Google Drive image URLs only after recipient consent and privacy review.</x:v>
      </x:c>
      <x:c r="AI26" s="52" t="str">
        <x:v>Seeded from latest uploaded workbook and public-safe v2 case-story data.</x:v>
      </x:c>
      <x:c r="AJ26" s="52" t="str">
        <x:v>Add/edit cases here only. Formula tabs will update after upload/recalculation in Google Sheets.</x:v>
      </x:c>
      <x:c r="AK26"/>
    </x:row>
    <x:row r="27">
      <x:c r="A27" s="52" t="str">
        <x:v>HUM-026</x:v>
      </x:c>
      <x:c r="B27" s="52" t="str">
        <x:v>TRUE</x:v>
      </x:c>
      <x:c r="C27" s="52" t="str">
        <x:v>No</x:v>
      </x:c>
      <x:c r="D27" s="52" t="str">
        <x:v>Draft</x:v>
      </x:c>
      <x:c r="E27" s="52" t="str">
        <x:v>May 2025</x:v>
      </x:c>
      <x:c r="F27" s="52" t="n">
        <x:v>202505</x:v>
      </x:c>
      <x:c r="G27" s="52" t="n">
        <x:v>45778</x:v>
      </x:c>
      <x:c r="H27" s="52" t="str">
        <x:v>Sewing Machines</x:v>
      </x:c>
      <x:c r="I27" s="52" t="str">
        <x:v>Anonymized case HUM-026</x:v>
      </x:c>
      <x:c r="J27" s="52" t="str">
        <x:v>Livelihood</x:v>
      </x:c>
      <x:c r="K27" s="52" t="str">
        <x:v>Sewing / tailoring</x:v>
      </x:c>
      <x:c r="L27" s="55" t="n">
        <x:v>11000</x:v>
      </x:c>
      <x:c r="M27" s="55" t="n">
        <x:v>6000</x:v>
      </x:c>
      <x:c r="N27" s="55" t="n">
        <x:v>17000</x:v>
      </x:c>
      <x:c r="O27" s="52" t="str">
        <x:v>Mixed</x:v>
      </x:c>
      <x:c r="P27" s="52" t="str">
        <x:v>Basti, UP</x:v>
      </x:c>
      <x:c r="Q27" s="52" t="str">
        <x:v>₹15,000–₹25,000</x:v>
      </x:c>
      <x:c r="R27" s="52" t="str">
        <x:v>A verified recipient/family needed support related to sewing / tailoring.</x:v>
      </x:c>
      <x:c r="S27" s="52" t="str">
        <x:v>Humanitarians supported the case through Mixed funds for sewing machines.</x:v>
      </x:c>
      <x:c r="T27" s="52" t="str">
        <x:v>Outcome/update should be added only after verified follow-up.</x:v>
      </x:c>
      <x:c r="U27" s="52" t="str">
        <x:v>Add follow-up notes after checking with the verification team.</x:v>
      </x:c>
      <x:c r="V27" s="52" t="str">
        <x:v>Add a real quote only with consent; do not publish this placeholder as a recipient quote.</x:v>
      </x:c>
      <x:c r="W27" s="52" t="str">
        <x:v>Anonymized public summary; no full name, phone, address, ID, bank details, or donor identity included.</x:v>
      </x:c>
      <x:c r="X27" s="52"/>
      <x:c r="Y27" s="52" t="str">
        <x:v>Anonymized Humanitarians case image 1 for HUM-026</x:v>
      </x:c>
      <x:c r="Z27" s="52" t="str">
        <x:v>Before/support context image - add only after consent.</x:v>
      </x:c>
      <x:c r="AA27" s="52"/>
      <x:c r="AB27" s="52" t="str">
        <x:v>Anonymized Humanitarians case image 2 for HUM-026</x:v>
      </x:c>
      <x:c r="AC27" s="52" t="str">
        <x:v>Support/equipment image - add only after consent.</x:v>
      </x:c>
      <x:c r="AD27" s="52"/>
      <x:c r="AE27" s="52" t="str">
        <x:v>Anonymized Humanitarians case image 3 for HUM-026</x:v>
      </x:c>
      <x:c r="AF27" s="52" t="str">
        <x:v>Outcome/follow-up image - add only after consent.</x:v>
      </x:c>
      <x:c r="AG27" s="52" t="str">
        <x:v>Pending consent</x:v>
      </x:c>
      <x:c r="AH27" s="52" t="str">
        <x:v>Paste public Google Drive image URLs only after recipient consent and privacy review.</x:v>
      </x:c>
      <x:c r="AI27" s="52" t="str">
        <x:v>Seeded from latest uploaded workbook and public-safe v2 case-story data.</x:v>
      </x:c>
      <x:c r="AJ27" s="52" t="str">
        <x:v>Add/edit cases here only. Formula tabs will update after upload/recalculation in Google Sheets.</x:v>
      </x:c>
      <x:c r="AK27"/>
    </x:row>
    <x:row r="28">
      <x:c r="A28" s="52" t="str">
        <x:v>HUM-027</x:v>
      </x:c>
      <x:c r="B28" s="52" t="str">
        <x:v>TRUE</x:v>
      </x:c>
      <x:c r="C28" s="52" t="str">
        <x:v>No</x:v>
      </x:c>
      <x:c r="D28" s="52" t="str">
        <x:v>Draft</x:v>
      </x:c>
      <x:c r="E28" s="52" t="str">
        <x:v>May 2025</x:v>
      </x:c>
      <x:c r="F28" s="52" t="n">
        <x:v>202505</x:v>
      </x:c>
      <x:c r="G28" s="52" t="n">
        <x:v>45778</x:v>
      </x:c>
      <x:c r="H28" s="52" t="str">
        <x:v>Support for Buffalo Shed</x:v>
      </x:c>
      <x:c r="I28" s="52" t="str">
        <x:v>Anonymized case HUM-027</x:v>
      </x:c>
      <x:c r="J28" s="52" t="str">
        <x:v>Livelihood</x:v>
      </x:c>
      <x:c r="K28" s="52" t="str">
        <x:v>Agriculture / animal livelihood</x:v>
      </x:c>
      <x:c r="L28" s="55" t="n">
        <x:v>0</x:v>
      </x:c>
      <x:c r="M28" s="55" t="n">
        <x:v>25000</x:v>
      </x:c>
      <x:c r="N28" s="55" t="n">
        <x:v>25000</x:v>
      </x:c>
      <x:c r="O28" s="52" t="str">
        <x:v>Sadaqah</x:v>
      </x:c>
      <x:c r="P28" s="52" t="str">
        <x:v>Basti, UP</x:v>
      </x:c>
      <x:c r="Q28" s="52" t="str">
        <x:v>₹15,000–₹25,000</x:v>
      </x:c>
      <x:c r="R28" s="52" t="str">
        <x:v>A verified recipient/family needed support related to agriculture / animal livelihood.</x:v>
      </x:c>
      <x:c r="S28" s="52" t="str">
        <x:v>Humanitarians supported the case through Sadaqah funds for support for buffalo shed.</x:v>
      </x:c>
      <x:c r="T28" s="52" t="str">
        <x:v>Outcome/update should be added only after verified follow-up.</x:v>
      </x:c>
      <x:c r="U28" s="52" t="str">
        <x:v>Add follow-up notes after checking with the verification team.</x:v>
      </x:c>
      <x:c r="V28" s="52" t="str">
        <x:v>Add a real quote only with consent; do not publish this placeholder as a recipient quote.</x:v>
      </x:c>
      <x:c r="W28" s="52" t="str">
        <x:v>Anonymized public summary; no full name, phone, address, ID, bank details, or donor identity included.</x:v>
      </x:c>
      <x:c r="X28" s="52"/>
      <x:c r="Y28" s="52" t="str">
        <x:v>Anonymized Humanitarians case image 1 for HUM-027</x:v>
      </x:c>
      <x:c r="Z28" s="52" t="str">
        <x:v>Before/support context image - add only after consent.</x:v>
      </x:c>
      <x:c r="AA28" s="52"/>
      <x:c r="AB28" s="52" t="str">
        <x:v>Anonymized Humanitarians case image 2 for HUM-027</x:v>
      </x:c>
      <x:c r="AC28" s="52" t="str">
        <x:v>Support/equipment image - add only after consent.</x:v>
      </x:c>
      <x:c r="AD28" s="52"/>
      <x:c r="AE28" s="52" t="str">
        <x:v>Anonymized Humanitarians case image 3 for HUM-027</x:v>
      </x:c>
      <x:c r="AF28" s="52" t="str">
        <x:v>Outcome/follow-up image - add only after consent.</x:v>
      </x:c>
      <x:c r="AG28" s="52" t="str">
        <x:v>Pending consent</x:v>
      </x:c>
      <x:c r="AH28" s="52" t="str">
        <x:v>Paste public Google Drive image URLs only after recipient consent and privacy review.</x:v>
      </x:c>
      <x:c r="AI28" s="52" t="str">
        <x:v>Seeded from latest uploaded workbook and public-safe v2 case-story data.</x:v>
      </x:c>
      <x:c r="AJ28" s="52" t="str">
        <x:v>Add/edit cases here only. Formula tabs will update after upload/recalculation in Google Sheets.</x:v>
      </x:c>
      <x:c r="AK28"/>
    </x:row>
    <x:row r="29">
      <x:c r="A29" s="52" t="str">
        <x:v>HUM-028</x:v>
      </x:c>
      <x:c r="B29" s="52" t="str">
        <x:v>TRUE</x:v>
      </x:c>
      <x:c r="C29" s="52" t="str">
        <x:v>No</x:v>
      </x:c>
      <x:c r="D29" s="52" t="str">
        <x:v>Draft</x:v>
      </x:c>
      <x:c r="E29" s="52" t="str">
        <x:v>May 2025</x:v>
      </x:c>
      <x:c r="F29" s="52" t="n">
        <x:v>202505</x:v>
      </x:c>
      <x:c r="G29" s="52" t="n">
        <x:v>45778</x:v>
      </x:c>
      <x:c r="H29" s="52" t="str">
        <x:v>Support for Egg shop and Sewing Machine</x:v>
      </x:c>
      <x:c r="I29" s="52" t="str">
        <x:v>Anonymized case HUM-028</x:v>
      </x:c>
      <x:c r="J29" s="52" t="str">
        <x:v>Livelihood</x:v>
      </x:c>
      <x:c r="K29" s="52" t="str">
        <x:v>Sewing / tailoring</x:v>
      </x:c>
      <x:c r="L29" s="55" t="n">
        <x:v>9000</x:v>
      </x:c>
      <x:c r="M29" s="55" t="n">
        <x:v>11000</x:v>
      </x:c>
      <x:c r="N29" s="55" t="n">
        <x:v>20000</x:v>
      </x:c>
      <x:c r="O29" s="52" t="str">
        <x:v>Mixed</x:v>
      </x:c>
      <x:c r="P29" s="52" t="str">
        <x:v>Barauni, Bihar</x:v>
      </x:c>
      <x:c r="Q29" s="52" t="str">
        <x:v>₹15,000–₹25,000</x:v>
      </x:c>
      <x:c r="R29" s="52" t="str">
        <x:v>A verified recipient/family needed support related to sewing / tailoring.</x:v>
      </x:c>
      <x:c r="S29" s="52" t="str">
        <x:v>Humanitarians supported the case through Mixed funds for support for egg shop and sewing machine.</x:v>
      </x:c>
      <x:c r="T29" s="52" t="str">
        <x:v>Outcome/update should be added only after verified follow-up.</x:v>
      </x:c>
      <x:c r="U29" s="52" t="str">
        <x:v>Add follow-up notes after checking with the verification team.</x:v>
      </x:c>
      <x:c r="V29" s="52" t="str">
        <x:v>Add a real quote only with consent; do not publish this placeholder as a recipient quote.</x:v>
      </x:c>
      <x:c r="W29" s="52" t="str">
        <x:v>Anonymized public summary; no full name, phone, address, ID, bank details, or donor identity included.</x:v>
      </x:c>
      <x:c r="X29" s="52"/>
      <x:c r="Y29" s="52" t="str">
        <x:v>Anonymized Humanitarians case image 1 for HUM-028</x:v>
      </x:c>
      <x:c r="Z29" s="52" t="str">
        <x:v>Before/support context image - add only after consent.</x:v>
      </x:c>
      <x:c r="AA29" s="52"/>
      <x:c r="AB29" s="52" t="str">
        <x:v>Anonymized Humanitarians case image 2 for HUM-028</x:v>
      </x:c>
      <x:c r="AC29" s="52" t="str">
        <x:v>Support/equipment image - add only after consent.</x:v>
      </x:c>
      <x:c r="AD29" s="52"/>
      <x:c r="AE29" s="52" t="str">
        <x:v>Anonymized Humanitarians case image 3 for HUM-028</x:v>
      </x:c>
      <x:c r="AF29" s="52" t="str">
        <x:v>Outcome/follow-up image - add only after consent.</x:v>
      </x:c>
      <x:c r="AG29" s="52" t="str">
        <x:v>Pending consent</x:v>
      </x:c>
      <x:c r="AH29" s="52" t="str">
        <x:v>Paste public Google Drive image URLs only after recipient consent and privacy review.</x:v>
      </x:c>
      <x:c r="AI29" s="52" t="str">
        <x:v>Seeded from latest uploaded workbook and public-safe v2 case-story data.</x:v>
      </x:c>
      <x:c r="AJ29" s="52" t="str">
        <x:v>Add/edit cases here only. Formula tabs will update after upload/recalculation in Google Sheets.</x:v>
      </x:c>
      <x:c r="AK29"/>
    </x:row>
    <x:row r="30">
      <x:c r="A30" s="52" t="str">
        <x:v>HUM-029</x:v>
      </x:c>
      <x:c r="B30" s="52" t="str">
        <x:v>TRUE</x:v>
      </x:c>
      <x:c r="C30" s="52" t="str">
        <x:v>No</x:v>
      </x:c>
      <x:c r="D30" s="52" t="str">
        <x:v>Draft</x:v>
      </x:c>
      <x:c r="E30" s="52" t="str">
        <x:v>May 2025</x:v>
      </x:c>
      <x:c r="F30" s="52" t="n">
        <x:v>202505</x:v>
      </x:c>
      <x:c r="G30" s="52" t="n">
        <x:v>45778</x:v>
      </x:c>
      <x:c r="H30" s="52" t="str">
        <x:v>Support in Buying Old E-Rickshaw</x:v>
      </x:c>
      <x:c r="I30" s="52" t="str">
        <x:v>Anonymized case HUM-029</x:v>
      </x:c>
      <x:c r="J30" s="52" t="str">
        <x:v>Livelihood</x:v>
      </x:c>
      <x:c r="K30" s="52" t="str">
        <x:v>E-rickshaw / auto</x:v>
      </x:c>
      <x:c r="L30" s="55" t="n">
        <x:v>21200</x:v>
      </x:c>
      <x:c r="M30" s="55" t="n">
        <x:v>3800</x:v>
      </x:c>
      <x:c r="N30" s="55" t="n">
        <x:v>25000</x:v>
      </x:c>
      <x:c r="O30" s="52" t="str">
        <x:v>Mixed</x:v>
      </x:c>
      <x:c r="P30" s="52" t="str">
        <x:v>Aligarh, UP</x:v>
      </x:c>
      <x:c r="Q30" s="52" t="str">
        <x:v>₹15,000–₹25,000</x:v>
      </x:c>
      <x:c r="R30" s="52" t="str">
        <x:v>A verified recipient/family needed support related to e-rickshaw / auto.</x:v>
      </x:c>
      <x:c r="S30" s="52" t="str">
        <x:v>Humanitarians supported the case through Mixed funds for support in buying old e-rickshaw.</x:v>
      </x:c>
      <x:c r="T30" s="52" t="str">
        <x:v>Outcome/update should be added only after verified follow-up.</x:v>
      </x:c>
      <x:c r="U30" s="52" t="str">
        <x:v>Add follow-up notes after checking with the verification team.</x:v>
      </x:c>
      <x:c r="V30" s="52" t="str">
        <x:v>Add a real quote only with consent; do not publish this placeholder as a recipient quote.</x:v>
      </x:c>
      <x:c r="W30" s="52" t="str">
        <x:v>Anonymized public summary; no full name, phone, address, ID, bank details, or donor identity included.</x:v>
      </x:c>
      <x:c r="X30" s="52"/>
      <x:c r="Y30" s="52" t="str">
        <x:v>Anonymized Humanitarians case image 1 for HUM-029</x:v>
      </x:c>
      <x:c r="Z30" s="52" t="str">
        <x:v>Before/support context image - add only after consent.</x:v>
      </x:c>
      <x:c r="AA30" s="52"/>
      <x:c r="AB30" s="52" t="str">
        <x:v>Anonymized Humanitarians case image 2 for HUM-029</x:v>
      </x:c>
      <x:c r="AC30" s="52" t="str">
        <x:v>Support/equipment image - add only after consent.</x:v>
      </x:c>
      <x:c r="AD30" s="52"/>
      <x:c r="AE30" s="52" t="str">
        <x:v>Anonymized Humanitarians case image 3 for HUM-029</x:v>
      </x:c>
      <x:c r="AF30" s="52" t="str">
        <x:v>Outcome/follow-up image - add only after consent.</x:v>
      </x:c>
      <x:c r="AG30" s="52" t="str">
        <x:v>Pending consent</x:v>
      </x:c>
      <x:c r="AH30" s="52" t="str">
        <x:v>Paste public Google Drive image URLs only after recipient consent and privacy review.</x:v>
      </x:c>
      <x:c r="AI30" s="52" t="str">
        <x:v>Seeded from latest uploaded workbook and public-safe v2 case-story data.</x:v>
      </x:c>
      <x:c r="AJ30" s="52" t="str">
        <x:v>Add/edit cases here only. Formula tabs will update after upload/recalculation in Google Sheets.</x:v>
      </x:c>
      <x:c r="AK30"/>
    </x:row>
    <x:row r="31">
      <x:c r="A31" s="52" t="str">
        <x:v>HUM-030</x:v>
      </x:c>
      <x:c r="B31" s="52" t="str">
        <x:v>TRUE</x:v>
      </x:c>
      <x:c r="C31" s="52" t="str">
        <x:v>No</x:v>
      </x:c>
      <x:c r="D31" s="52" t="str">
        <x:v>Archive</x:v>
      </x:c>
      <x:c r="E31" s="52" t="str">
        <x:v>Jun 2025</x:v>
      </x:c>
      <x:c r="F31" s="52" t="n">
        <x:v>202506</x:v>
      </x:c>
      <x:c r="G31" s="52" t="n">
        <x:v>45809</x:v>
      </x:c>
      <x:c r="H31" s="52" t="str">
        <x:v>Support for building new Wooden Shop</x:v>
      </x:c>
      <x:c r="I31" s="52" t="str">
        <x:v>Anonymized case HUM-030</x:v>
      </x:c>
      <x:c r="J31" s="52" t="str">
        <x:v>Livelihood</x:v>
      </x:c>
      <x:c r="K31" s="52" t="str">
        <x:v>Shop / business inventory</x:v>
      </x:c>
      <x:c r="L31" s="55" t="n">
        <x:v>12600</x:v>
      </x:c>
      <x:c r="M31" s="55" t="n">
        <x:v>7400</x:v>
      </x:c>
      <x:c r="N31" s="55" t="n">
        <x:v>20000</x:v>
      </x:c>
      <x:c r="O31" s="52" t="str">
        <x:v>Mixed</x:v>
      </x:c>
      <x:c r="P31" s="52" t="str">
        <x:v>Mallawan, UP</x:v>
      </x:c>
      <x:c r="Q31" s="52" t="str">
        <x:v>₹15,000–₹25,000</x:v>
      </x:c>
      <x:c r="R31" s="52" t="str">
        <x:v>A verified recipient/family needed support related to shop / business inventory.</x:v>
      </x:c>
      <x:c r="S31" s="52" t="str">
        <x:v>Humanitarians supported the case through Mixed funds for support for building new wooden shop.</x:v>
      </x:c>
      <x:c r="T31" s="52" t="str">
        <x:v>Outcome/update should be added only after verified follow-up.</x:v>
      </x:c>
      <x:c r="U31" s="52" t="str">
        <x:v>Add follow-up notes after checking with the verification team.</x:v>
      </x:c>
      <x:c r="V31" s="52" t="str">
        <x:v>Add a real quote only with consent; do not publish this placeholder as a recipient quote.</x:v>
      </x:c>
      <x:c r="W31" s="52" t="str">
        <x:v>Anonymized public summary; no full name, phone, address, ID, bank details, or donor identity included.</x:v>
      </x:c>
      <x:c r="X31" s="52"/>
      <x:c r="Y31" s="52" t="str">
        <x:v>Anonymized Humanitarians case image 1 for HUM-030</x:v>
      </x:c>
      <x:c r="Z31" s="52" t="str">
        <x:v>Before/support context image - add only after consent.</x:v>
      </x:c>
      <x:c r="AA31" s="52"/>
      <x:c r="AB31" s="52" t="str">
        <x:v>Anonymized Humanitarians case image 2 for HUM-030</x:v>
      </x:c>
      <x:c r="AC31" s="52" t="str">
        <x:v>Support/equipment image - add only after consent.</x:v>
      </x:c>
      <x:c r="AD31" s="52"/>
      <x:c r="AE31" s="52" t="str">
        <x:v>Anonymized Humanitarians case image 3 for HUM-030</x:v>
      </x:c>
      <x:c r="AF31" s="52" t="str">
        <x:v>Outcome/follow-up image - add only after consent.</x:v>
      </x:c>
      <x:c r="AG31" s="52" t="str">
        <x:v>Pending consent</x:v>
      </x:c>
      <x:c r="AH31" s="52" t="str">
        <x:v>Paste public Google Drive image URLs only after recipient consent and privacy review.</x:v>
      </x:c>
      <x:c r="AI31" s="52" t="str">
        <x:v>Seeded from latest uploaded workbook and public-safe v2 case-story data.</x:v>
      </x:c>
      <x:c r="AJ31" s="52" t="str">
        <x:v>Add/edit cases here only. Formula tabs will update after upload/recalculation in Google Sheets.</x:v>
      </x:c>
      <x:c r="AK31"/>
    </x:row>
    <x:row r="32">
      <x:c r="A32" s="52" t="str">
        <x:v>HUM-031</x:v>
      </x:c>
      <x:c r="B32" s="52" t="str">
        <x:v>TRUE</x:v>
      </x:c>
      <x:c r="C32" s="52" t="str">
        <x:v>No</x:v>
      </x:c>
      <x:c r="D32" s="52" t="str">
        <x:v>Draft</x:v>
      </x:c>
      <x:c r="E32" s="52" t="str">
        <x:v>Jul 2025</x:v>
      </x:c>
      <x:c r="F32" s="52" t="n">
        <x:v>202507</x:v>
      </x:c>
      <x:c r="G32" s="52" t="n">
        <x:v>45839</x:v>
      </x:c>
      <x:c r="H32" s="52" t="str">
        <x:v>Support for 2nd hand E-rickshaw</x:v>
      </x:c>
      <x:c r="I32" s="52" t="str">
        <x:v>Anonymized case HUM-031</x:v>
      </x:c>
      <x:c r="J32" s="52" t="str">
        <x:v>Livelihood</x:v>
      </x:c>
      <x:c r="K32" s="52" t="str">
        <x:v>E-rickshaw / auto</x:v>
      </x:c>
      <x:c r="L32" s="55" t="n">
        <x:v>0</x:v>
      </x:c>
      <x:c r="M32" s="55" t="n">
        <x:v>6000</x:v>
      </x:c>
      <x:c r="N32" s="55" t="n">
        <x:v>6000</x:v>
      </x:c>
      <x:c r="O32" s="52" t="str">
        <x:v>Sadaqah</x:v>
      </x:c>
      <x:c r="P32" s="52" t="str">
        <x:v>Bihar</x:v>
      </x:c>
      <x:c r="Q32" s="52" t="str">
        <x:v>₹5,000–₹10,000</x:v>
      </x:c>
      <x:c r="R32" s="52" t="str">
        <x:v>A verified recipient/family needed support related to e-rickshaw / auto.</x:v>
      </x:c>
      <x:c r="S32" s="52" t="str">
        <x:v>Humanitarians supported the case through Sadaqah funds for support for 2nd hand e-rickshaw.</x:v>
      </x:c>
      <x:c r="T32" s="52" t="str">
        <x:v>Outcome/update should be added only after verified follow-up.</x:v>
      </x:c>
      <x:c r="U32" s="52" t="str">
        <x:v>Add follow-up notes after checking with the verification team.</x:v>
      </x:c>
      <x:c r="V32" s="52" t="str">
        <x:v>Add a real quote only with consent; do not publish this placeholder as a recipient quote.</x:v>
      </x:c>
      <x:c r="W32" s="52" t="str">
        <x:v>Anonymized public summary; no full name, phone, address, ID, bank details, or donor identity included.</x:v>
      </x:c>
      <x:c r="X32" s="52"/>
      <x:c r="Y32" s="52" t="str">
        <x:v>Anonymized Humanitarians case image 1 for HUM-031</x:v>
      </x:c>
      <x:c r="Z32" s="52" t="str">
        <x:v>Before/support context image - add only after consent.</x:v>
      </x:c>
      <x:c r="AA32" s="52"/>
      <x:c r="AB32" s="52" t="str">
        <x:v>Anonymized Humanitarians case image 2 for HUM-031</x:v>
      </x:c>
      <x:c r="AC32" s="52" t="str">
        <x:v>Support/equipment image - add only after consent.</x:v>
      </x:c>
      <x:c r="AD32" s="52"/>
      <x:c r="AE32" s="52" t="str">
        <x:v>Anonymized Humanitarians case image 3 for HUM-031</x:v>
      </x:c>
      <x:c r="AF32" s="52" t="str">
        <x:v>Outcome/follow-up image - add only after consent.</x:v>
      </x:c>
      <x:c r="AG32" s="52" t="str">
        <x:v>Pending consent</x:v>
      </x:c>
      <x:c r="AH32" s="52" t="str">
        <x:v>Paste public Google Drive image URLs only after recipient consent and privacy review.</x:v>
      </x:c>
      <x:c r="AI32" s="52" t="str">
        <x:v>Seeded from latest uploaded workbook and public-safe v2 case-story data.</x:v>
      </x:c>
      <x:c r="AJ32" s="52" t="str">
        <x:v>Add/edit cases here only. Formula tabs will update after upload/recalculation in Google Sheets.</x:v>
      </x:c>
      <x:c r="AK32"/>
    </x:row>
    <x:row r="33">
      <x:c r="A33" s="52" t="str">
        <x:v>HUM-032</x:v>
      </x:c>
      <x:c r="B33" s="52" t="str">
        <x:v>TRUE</x:v>
      </x:c>
      <x:c r="C33" s="52" t="str">
        <x:v>No</x:v>
      </x:c>
      <x:c r="D33" s="52" t="str">
        <x:v>Draft</x:v>
      </x:c>
      <x:c r="E33" s="52" t="str">
        <x:v>Aug 2025</x:v>
      </x:c>
      <x:c r="F33" s="52" t="n">
        <x:v>202508</x:v>
      </x:c>
      <x:c r="G33" s="52" t="n">
        <x:v>45870</x:v>
      </x:c>
      <x:c r="H33" s="52" t="str">
        <x:v>3 Sewing Machines</x:v>
      </x:c>
      <x:c r="I33" s="52" t="str">
        <x:v>Anonymized case HUM-032</x:v>
      </x:c>
      <x:c r="J33" s="52" t="str">
        <x:v>Livelihood</x:v>
      </x:c>
      <x:c r="K33" s="52" t="str">
        <x:v>Sewing / tailoring</x:v>
      </x:c>
      <x:c r="L33" s="55" t="n">
        <x:v>0</x:v>
      </x:c>
      <x:c r="M33" s="55" t="n">
        <x:v>25000</x:v>
      </x:c>
      <x:c r="N33" s="55" t="n">
        <x:v>25000</x:v>
      </x:c>
      <x:c r="O33" s="52" t="str">
        <x:v>Sadaqah</x:v>
      </x:c>
      <x:c r="P33" s="52" t="str">
        <x:v>Basti, UP</x:v>
      </x:c>
      <x:c r="Q33" s="52" t="str">
        <x:v>₹15,000–₹25,000</x:v>
      </x:c>
      <x:c r="R33" s="52" t="str">
        <x:v>A verified recipient/family needed support related to sewing / tailoring.</x:v>
      </x:c>
      <x:c r="S33" s="52" t="str">
        <x:v>Humanitarians supported the case through Sadaqah funds for 3 sewing machines.</x:v>
      </x:c>
      <x:c r="T33" s="52" t="str">
        <x:v>Outcome/update should be added only after verified follow-up.</x:v>
      </x:c>
      <x:c r="U33" s="52" t="str">
        <x:v>Add follow-up notes after checking with the verification team.</x:v>
      </x:c>
      <x:c r="V33" s="52" t="str">
        <x:v>Add a real quote only with consent; do not publish this placeholder as a recipient quote.</x:v>
      </x:c>
      <x:c r="W33" s="52" t="str">
        <x:v>Anonymized public summary; no full name, phone, address, ID, bank details, or donor identity included.</x:v>
      </x:c>
      <x:c r="X33" s="52"/>
      <x:c r="Y33" s="52" t="str">
        <x:v>Anonymized Humanitarians case image 1 for HUM-032</x:v>
      </x:c>
      <x:c r="Z33" s="52" t="str">
        <x:v>Before/support context image - add only after consent.</x:v>
      </x:c>
      <x:c r="AA33" s="52"/>
      <x:c r="AB33" s="52" t="str">
        <x:v>Anonymized Humanitarians case image 2 for HUM-032</x:v>
      </x:c>
      <x:c r="AC33" s="52" t="str">
        <x:v>Support/equipment image - add only after consent.</x:v>
      </x:c>
      <x:c r="AD33" s="52"/>
      <x:c r="AE33" s="52" t="str">
        <x:v>Anonymized Humanitarians case image 3 for HUM-032</x:v>
      </x:c>
      <x:c r="AF33" s="52" t="str">
        <x:v>Outcome/follow-up image - add only after consent.</x:v>
      </x:c>
      <x:c r="AG33" s="52" t="str">
        <x:v>Pending consent</x:v>
      </x:c>
      <x:c r="AH33" s="52" t="str">
        <x:v>Paste public Google Drive image URLs only after recipient consent and privacy review.</x:v>
      </x:c>
      <x:c r="AI33" s="52" t="str">
        <x:v>Seeded from latest uploaded workbook and public-safe v2 case-story data.</x:v>
      </x:c>
      <x:c r="AJ33" s="52" t="str">
        <x:v>Add/edit cases here only. Formula tabs will update after upload/recalculation in Google Sheets.</x:v>
      </x:c>
      <x:c r="AK33"/>
    </x:row>
    <x:row r="34">
      <x:c r="A34" s="52" t="str">
        <x:v>HUM-033</x:v>
      </x:c>
      <x:c r="B34" s="52" t="str">
        <x:v>TRUE</x:v>
      </x:c>
      <x:c r="C34" s="52" t="str">
        <x:v>No</x:v>
      </x:c>
      <x:c r="D34" s="52" t="str">
        <x:v>Draft</x:v>
      </x:c>
      <x:c r="E34" s="52" t="str">
        <x:v>Aug 2025</x:v>
      </x:c>
      <x:c r="F34" s="52" t="n">
        <x:v>202508</x:v>
      </x:c>
      <x:c r="G34" s="52" t="n">
        <x:v>45870</x:v>
      </x:c>
      <x:c r="H34" s="52" t="str">
        <x:v>Support for Biryani Shop</x:v>
      </x:c>
      <x:c r="I34" s="52" t="str">
        <x:v>Anonymized case HUM-033</x:v>
      </x:c>
      <x:c r="J34" s="52" t="str">
        <x:v>Livelihood</x:v>
      </x:c>
      <x:c r="K34" s="52" t="str">
        <x:v>Shop / business inventory</x:v>
      </x:c>
      <x:c r="L34" s="55" t="n">
        <x:v>0</x:v>
      </x:c>
      <x:c r="M34" s="55" t="n">
        <x:v>5000</x:v>
      </x:c>
      <x:c r="N34" s="55" t="n">
        <x:v>5000</x:v>
      </x:c>
      <x:c r="O34" s="52" t="str">
        <x:v>Sadaqah</x:v>
      </x:c>
      <x:c r="P34" s="52" t="str">
        <x:v>Location withheld</x:v>
      </x:c>
      <x:c r="Q34" s="52" t="str">
        <x:v>₹5,000–₹10,000</x:v>
      </x:c>
      <x:c r="R34" s="52" t="str">
        <x:v>A verified recipient/family needed support related to shop / business inventory.</x:v>
      </x:c>
      <x:c r="S34" s="52" t="str">
        <x:v>Humanitarians supported the case through Sadaqah funds for support for biryani shop.</x:v>
      </x:c>
      <x:c r="T34" s="52" t="str">
        <x:v>Outcome/update should be added only after verified follow-up.</x:v>
      </x:c>
      <x:c r="U34" s="52" t="str">
        <x:v>Add follow-up notes after checking with the verification team.</x:v>
      </x:c>
      <x:c r="V34" s="52" t="str">
        <x:v>Add a real quote only with consent; do not publish this placeholder as a recipient quote.</x:v>
      </x:c>
      <x:c r="W34" s="52" t="str">
        <x:v>Anonymized public summary; no full name, phone, address, ID, bank details, or donor identity included.</x:v>
      </x:c>
      <x:c r="X34" s="52"/>
      <x:c r="Y34" s="52" t="str">
        <x:v>Anonymized Humanitarians case image 1 for HUM-033</x:v>
      </x:c>
      <x:c r="Z34" s="52" t="str">
        <x:v>Before/support context image - add only after consent.</x:v>
      </x:c>
      <x:c r="AA34" s="52"/>
      <x:c r="AB34" s="52" t="str">
        <x:v>Anonymized Humanitarians case image 2 for HUM-033</x:v>
      </x:c>
      <x:c r="AC34" s="52" t="str">
        <x:v>Support/equipment image - add only after consent.</x:v>
      </x:c>
      <x:c r="AD34" s="52"/>
      <x:c r="AE34" s="52" t="str">
        <x:v>Anonymized Humanitarians case image 3 for HUM-033</x:v>
      </x:c>
      <x:c r="AF34" s="52" t="str">
        <x:v>Outcome/follow-up image - add only after consent.</x:v>
      </x:c>
      <x:c r="AG34" s="52" t="str">
        <x:v>Pending consent</x:v>
      </x:c>
      <x:c r="AH34" s="52" t="str">
        <x:v>Paste public Google Drive image URLs only after recipient consent and privacy review.</x:v>
      </x:c>
      <x:c r="AI34" s="52" t="str">
        <x:v>Seeded from latest uploaded workbook and public-safe v2 case-story data.</x:v>
      </x:c>
      <x:c r="AJ34" s="52" t="str">
        <x:v>Add/edit cases here only. Formula tabs will update after upload/recalculation in Google Sheets.</x:v>
      </x:c>
      <x:c r="AK34"/>
    </x:row>
    <x:row r="35">
      <x:c r="A35" s="52" t="str">
        <x:v>HUM-034</x:v>
      </x:c>
      <x:c r="B35" s="52" t="str">
        <x:v>TRUE</x:v>
      </x:c>
      <x:c r="C35" s="52" t="str">
        <x:v>No</x:v>
      </x:c>
      <x:c r="D35" s="52" t="str">
        <x:v>Draft</x:v>
      </x:c>
      <x:c r="E35" s="52" t="str">
        <x:v>Aug 2025</x:v>
      </x:c>
      <x:c r="F35" s="52" t="n">
        <x:v>202508</x:v>
      </x:c>
      <x:c r="G35" s="52" t="n">
        <x:v>45870</x:v>
      </x:c>
      <x:c r="H35" s="52" t="str">
        <x:v>Support for Kirana Shop</x:v>
      </x:c>
      <x:c r="I35" s="52" t="str">
        <x:v>Anonymized case HUM-034</x:v>
      </x:c>
      <x:c r="J35" s="52" t="str">
        <x:v>Livelihood</x:v>
      </x:c>
      <x:c r="K35" s="52" t="str">
        <x:v>Shop / business inventory</x:v>
      </x:c>
      <x:c r="L35" s="55" t="n">
        <x:v>0</x:v>
      </x:c>
      <x:c r="M35" s="55" t="n">
        <x:v>20000</x:v>
      </x:c>
      <x:c r="N35" s="55" t="n">
        <x:v>20000</x:v>
      </x:c>
      <x:c r="O35" s="52" t="str">
        <x:v>Sadaqah</x:v>
      </x:c>
      <x:c r="P35" s="52" t="str">
        <x:v>Mallawan, UP</x:v>
      </x:c>
      <x:c r="Q35" s="52" t="str">
        <x:v>₹15,000–₹25,000</x:v>
      </x:c>
      <x:c r="R35" s="52" t="str">
        <x:v>A verified recipient/family needed support related to shop / business inventory.</x:v>
      </x:c>
      <x:c r="S35" s="52" t="str">
        <x:v>Humanitarians supported the case through Sadaqah funds for support for kirana shop.</x:v>
      </x:c>
      <x:c r="T35" s="52" t="str">
        <x:v>Outcome/update should be added only after verified follow-up.</x:v>
      </x:c>
      <x:c r="U35" s="52" t="str">
        <x:v>Add follow-up notes after checking with the verification team.</x:v>
      </x:c>
      <x:c r="V35" s="52" t="str">
        <x:v>Add a real quote only with consent; do not publish this placeholder as a recipient quote.</x:v>
      </x:c>
      <x:c r="W35" s="52" t="str">
        <x:v>Anonymized public summary; no full name, phone, address, ID, bank details, or donor identity included.</x:v>
      </x:c>
      <x:c r="X35" s="52"/>
      <x:c r="Y35" s="52" t="str">
        <x:v>Anonymized Humanitarians case image 1 for HUM-034</x:v>
      </x:c>
      <x:c r="Z35" s="52" t="str">
        <x:v>Before/support context image - add only after consent.</x:v>
      </x:c>
      <x:c r="AA35" s="52"/>
      <x:c r="AB35" s="52" t="str">
        <x:v>Anonymized Humanitarians case image 2 for HUM-034</x:v>
      </x:c>
      <x:c r="AC35" s="52" t="str">
        <x:v>Support/equipment image - add only after consent.</x:v>
      </x:c>
      <x:c r="AD35" s="52"/>
      <x:c r="AE35" s="52" t="str">
        <x:v>Anonymized Humanitarians case image 3 for HUM-034</x:v>
      </x:c>
      <x:c r="AF35" s="52" t="str">
        <x:v>Outcome/follow-up image - add only after consent.</x:v>
      </x:c>
      <x:c r="AG35" s="52" t="str">
        <x:v>Pending consent</x:v>
      </x:c>
      <x:c r="AH35" s="52" t="str">
        <x:v>Paste public Google Drive image URLs only after recipient consent and privacy review.</x:v>
      </x:c>
      <x:c r="AI35" s="52" t="str">
        <x:v>Seeded from latest uploaded workbook and public-safe v2 case-story data.</x:v>
      </x:c>
      <x:c r="AJ35" s="52" t="str">
        <x:v>Add/edit cases here only. Formula tabs will update after upload/recalculation in Google Sheets.</x:v>
      </x:c>
      <x:c r="AK35"/>
    </x:row>
    <x:row r="36">
      <x:c r="A36" s="52" t="str">
        <x:v>HUM-035</x:v>
      </x:c>
      <x:c r="B36" s="52" t="str">
        <x:v>TRUE</x:v>
      </x:c>
      <x:c r="C36" s="52" t="str">
        <x:v>No</x:v>
      </x:c>
      <x:c r="D36" s="52" t="str">
        <x:v>Archive</x:v>
      </x:c>
      <x:c r="E36" s="52" t="str">
        <x:v>Sep 2025</x:v>
      </x:c>
      <x:c r="F36" s="52" t="n">
        <x:v>202509</x:v>
      </x:c>
      <x:c r="G36" s="52" t="n">
        <x:v>45901</x:v>
      </x:c>
      <x:c r="H36" s="52" t="str">
        <x:v>Rapid Vacuum Cleaner</x:v>
      </x:c>
      <x:c r="I36" s="52" t="str">
        <x:v>Anonymized case HUM-035</x:v>
      </x:c>
      <x:c r="J36" s="52" t="str">
        <x:v>Livelihood</x:v>
      </x:c>
      <x:c r="K36" s="52" t="str">
        <x:v>Tools / equipment</x:v>
      </x:c>
      <x:c r="L36" s="55" t="n">
        <x:v>0</x:v>
      </x:c>
      <x:c r="M36" s="55" t="n">
        <x:v>3800</x:v>
      </x:c>
      <x:c r="N36" s="55" t="n">
        <x:v>3800</x:v>
      </x:c>
      <x:c r="O36" s="52" t="str">
        <x:v>Sadaqah</x:v>
      </x:c>
      <x:c r="P36" s="52" t="str">
        <x:v>Basti, UP</x:v>
      </x:c>
      <x:c r="Q36" s="52" t="str">
        <x:v>Under ₹5,000</x:v>
      </x:c>
      <x:c r="R36" s="52" t="str">
        <x:v>A verified recipient/family needed support related to tools / equipment.</x:v>
      </x:c>
      <x:c r="S36" s="52" t="str">
        <x:v>Humanitarians supported the case through Sadaqah funds for rapid vacuum cleaner.</x:v>
      </x:c>
      <x:c r="T36" s="52" t="str">
        <x:v>Outcome/update should be added only after verified follow-up.</x:v>
      </x:c>
      <x:c r="U36" s="52" t="str">
        <x:v>Add follow-up notes after checking with the verification team.</x:v>
      </x:c>
      <x:c r="V36" s="52" t="str">
        <x:v>Add a real quote only with consent; do not publish this placeholder as a recipient quote.</x:v>
      </x:c>
      <x:c r="W36" s="52" t="str">
        <x:v>Anonymized public summary; no full name, phone, address, ID, bank details, or donor identity included.</x:v>
      </x:c>
      <x:c r="X36" s="52"/>
      <x:c r="Y36" s="52" t="str">
        <x:v>Anonymized Humanitarians case image 1 for HUM-035</x:v>
      </x:c>
      <x:c r="Z36" s="52" t="str">
        <x:v>Before/support context image - add only after consent.</x:v>
      </x:c>
      <x:c r="AA36" s="52"/>
      <x:c r="AB36" s="52" t="str">
        <x:v>Anonymized Humanitarians case image 2 for HUM-035</x:v>
      </x:c>
      <x:c r="AC36" s="52" t="str">
        <x:v>Support/equipment image - add only after consent.</x:v>
      </x:c>
      <x:c r="AD36" s="52"/>
      <x:c r="AE36" s="52" t="str">
        <x:v>Anonymized Humanitarians case image 3 for HUM-035</x:v>
      </x:c>
      <x:c r="AF36" s="52" t="str">
        <x:v>Outcome/follow-up image - add only after consent.</x:v>
      </x:c>
      <x:c r="AG36" s="52" t="str">
        <x:v>Pending consent</x:v>
      </x:c>
      <x:c r="AH36" s="52" t="str">
        <x:v>Paste public Google Drive image URLs only after recipient consent and privacy review.</x:v>
      </x:c>
      <x:c r="AI36" s="52" t="str">
        <x:v>Seeded from latest uploaded workbook and public-safe v2 case-story data.</x:v>
      </x:c>
      <x:c r="AJ36" s="52" t="str">
        <x:v>Add/edit cases here only. Formula tabs will update after upload/recalculation in Google Sheets.</x:v>
      </x:c>
      <x:c r="AK36"/>
    </x:row>
    <x:row r="37">
      <x:c r="A37" s="52" t="str">
        <x:v>HUM-036</x:v>
      </x:c>
      <x:c r="B37" s="52" t="str">
        <x:v>TRUE</x:v>
      </x:c>
      <x:c r="C37" s="52" t="str">
        <x:v>No</x:v>
      </x:c>
      <x:c r="D37" s="52" t="str">
        <x:v>Draft</x:v>
      </x:c>
      <x:c r="E37" s="52" t="str">
        <x:v>Sep 2025</x:v>
      </x:c>
      <x:c r="F37" s="52" t="n">
        <x:v>202509</x:v>
      </x:c>
      <x:c r="G37" s="52" t="n">
        <x:v>45901</x:v>
      </x:c>
      <x:c r="H37" s="52" t="str">
        <x:v>Support for Maktab set up</x:v>
      </x:c>
      <x:c r="I37" s="52" t="str">
        <x:v>Anonymized case HUM-036</x:v>
      </x:c>
      <x:c r="J37" s="52" t="str">
        <x:v>Skill Sponsorship</x:v>
      </x:c>
      <x:c r="K37" s="52" t="str">
        <x:v>Education / Maktab</x:v>
      </x:c>
      <x:c r="L37" s="55" t="n">
        <x:v>14900</x:v>
      </x:c>
      <x:c r="M37" s="55" t="n">
        <x:v>15100</x:v>
      </x:c>
      <x:c r="N37" s="55" t="n">
        <x:v>30000</x:v>
      </x:c>
      <x:c r="O37" s="52" t="str">
        <x:v>Mixed</x:v>
      </x:c>
      <x:c r="P37" s="52" t="str">
        <x:v>Delhi</x:v>
      </x:c>
      <x:c r="Q37" s="52" t="str">
        <x:v>₹25,000–₹50,000</x:v>
      </x:c>
      <x:c r="R37" s="52" t="str">
        <x:v>A verified recipient/family needed support related to education / maktab.</x:v>
      </x:c>
      <x:c r="S37" s="52" t="str">
        <x:v>Humanitarians supported the case through Mixed funds for support for maktab set up.</x:v>
      </x:c>
      <x:c r="T37" s="52" t="str">
        <x:v>Outcome/update should be added only after verified follow-up.</x:v>
      </x:c>
      <x:c r="U37" s="52" t="str">
        <x:v>Add follow-up notes after checking with the verification team.</x:v>
      </x:c>
      <x:c r="V37" s="52" t="str">
        <x:v>Add a real quote only with consent; do not publish this placeholder as a recipient quote.</x:v>
      </x:c>
      <x:c r="W37" s="52" t="str">
        <x:v>Anonymized public summary; no full name, phone, address, ID, bank details, or donor identity included.</x:v>
      </x:c>
      <x:c r="X37" s="52"/>
      <x:c r="Y37" s="52" t="str">
        <x:v>Anonymized Humanitarians case image 1 for HUM-036</x:v>
      </x:c>
      <x:c r="Z37" s="52" t="str">
        <x:v>Before/support context image - add only after consent.</x:v>
      </x:c>
      <x:c r="AA37" s="52"/>
      <x:c r="AB37" s="52" t="str">
        <x:v>Anonymized Humanitarians case image 2 for HUM-036</x:v>
      </x:c>
      <x:c r="AC37" s="52" t="str">
        <x:v>Support/equipment image - add only after consent.</x:v>
      </x:c>
      <x:c r="AD37" s="52"/>
      <x:c r="AE37" s="52" t="str">
        <x:v>Anonymized Humanitarians case image 3 for HUM-036</x:v>
      </x:c>
      <x:c r="AF37" s="52" t="str">
        <x:v>Outcome/follow-up image - add only after consent.</x:v>
      </x:c>
      <x:c r="AG37" s="52" t="str">
        <x:v>Pending consent</x:v>
      </x:c>
      <x:c r="AH37" s="52" t="str">
        <x:v>Paste public Google Drive image URLs only after recipient consent and privacy review.</x:v>
      </x:c>
      <x:c r="AI37" s="52" t="str">
        <x:v>Seeded from latest uploaded workbook and public-safe v2 case-story data.</x:v>
      </x:c>
      <x:c r="AJ37" s="52" t="str">
        <x:v>Add/edit cases here only. Formula tabs will update after upload/recalculation in Google Sheets.</x:v>
      </x:c>
      <x:c r="AK37"/>
    </x:row>
    <x:row r="38">
      <x:c r="A38" s="52" t="str">
        <x:v>HUM-037</x:v>
      </x:c>
      <x:c r="B38" s="52" t="str">
        <x:v>TRUE</x:v>
      </x:c>
      <x:c r="C38" s="52" t="str">
        <x:v>No</x:v>
      </x:c>
      <x:c r="D38" s="52" t="str">
        <x:v>Draft</x:v>
      </x:c>
      <x:c r="E38" s="52" t="str">
        <x:v>Sep 2025</x:v>
      </x:c>
      <x:c r="F38" s="52" t="n">
        <x:v>202509</x:v>
      </x:c>
      <x:c r="G38" s="52" t="n">
        <x:v>45901</x:v>
      </x:c>
      <x:c r="H38" s="52" t="str">
        <x:v>Support for Sewing Business</x:v>
      </x:c>
      <x:c r="I38" s="52" t="str">
        <x:v>Anonymized case HUM-037</x:v>
      </x:c>
      <x:c r="J38" s="52" t="str">
        <x:v>Livelihood</x:v>
      </x:c>
      <x:c r="K38" s="52" t="str">
        <x:v>Sewing / tailoring</x:v>
      </x:c>
      <x:c r="L38" s="55" t="n">
        <x:v>0</x:v>
      </x:c>
      <x:c r="M38" s="55" t="n">
        <x:v>25000</x:v>
      </x:c>
      <x:c r="N38" s="55" t="n">
        <x:v>25000</x:v>
      </x:c>
      <x:c r="O38" s="52" t="str">
        <x:v>Sadaqah</x:v>
      </x:c>
      <x:c r="P38" s="52" t="str">
        <x:v>Kanpur, UP</x:v>
      </x:c>
      <x:c r="Q38" s="52" t="str">
        <x:v>₹15,000–₹25,000</x:v>
      </x:c>
      <x:c r="R38" s="52" t="str">
        <x:v>A verified recipient/family needed support related to sewing / tailoring.</x:v>
      </x:c>
      <x:c r="S38" s="52" t="str">
        <x:v>Humanitarians supported the case through Sadaqah funds for support for sewing business.</x:v>
      </x:c>
      <x:c r="T38" s="52" t="str">
        <x:v>Outcome/update should be added only after verified follow-up.</x:v>
      </x:c>
      <x:c r="U38" s="52" t="str">
        <x:v>Add follow-up notes after checking with the verification team.</x:v>
      </x:c>
      <x:c r="V38" s="52" t="str">
        <x:v>Add a real quote only with consent; do not publish this placeholder as a recipient quote.</x:v>
      </x:c>
      <x:c r="W38" s="52" t="str">
        <x:v>Anonymized public summary; no full name, phone, address, ID, bank details, or donor identity included.</x:v>
      </x:c>
      <x:c r="X38" s="52"/>
      <x:c r="Y38" s="52" t="str">
        <x:v>Anonymized Humanitarians case image 1 for HUM-037</x:v>
      </x:c>
      <x:c r="Z38" s="52" t="str">
        <x:v>Before/support context image - add only after consent.</x:v>
      </x:c>
      <x:c r="AA38" s="52"/>
      <x:c r="AB38" s="52" t="str">
        <x:v>Anonymized Humanitarians case image 2 for HUM-037</x:v>
      </x:c>
      <x:c r="AC38" s="52" t="str">
        <x:v>Support/equipment image - add only after consent.</x:v>
      </x:c>
      <x:c r="AD38" s="52"/>
      <x:c r="AE38" s="52" t="str">
        <x:v>Anonymized Humanitarians case image 3 for HUM-037</x:v>
      </x:c>
      <x:c r="AF38" s="52" t="str">
        <x:v>Outcome/follow-up image - add only after consent.</x:v>
      </x:c>
      <x:c r="AG38" s="52" t="str">
        <x:v>Pending consent</x:v>
      </x:c>
      <x:c r="AH38" s="52" t="str">
        <x:v>Paste public Google Drive image URLs only after recipient consent and privacy review.</x:v>
      </x:c>
      <x:c r="AI38" s="52" t="str">
        <x:v>Seeded from latest uploaded workbook and public-safe v2 case-story data.</x:v>
      </x:c>
      <x:c r="AJ38" s="52" t="str">
        <x:v>Add/edit cases here only. Formula tabs will update after upload/recalculation in Google Sheets.</x:v>
      </x:c>
      <x:c r="AK38"/>
    </x:row>
    <x:row r="39">
      <x:c r="A39" s="52" t="str">
        <x:v>HUM-038</x:v>
      </x:c>
      <x:c r="B39" s="52" t="str">
        <x:v>TRUE</x:v>
      </x:c>
      <x:c r="C39" s="52" t="str">
        <x:v>No</x:v>
      </x:c>
      <x:c r="D39" s="52" t="str">
        <x:v>Archive</x:v>
      </x:c>
      <x:c r="E39" s="52" t="str">
        <x:v>Sep 2025</x:v>
      </x:c>
      <x:c r="F39" s="52" t="n">
        <x:v>202509</x:v>
      </x:c>
      <x:c r="G39" s="52" t="n">
        <x:v>45901</x:v>
      </x:c>
      <x:c r="H39" s="52" t="str">
        <x:v>Support to Clothing business</x:v>
      </x:c>
      <x:c r="I39" s="52" t="str">
        <x:v>Anonymized case HUM-038</x:v>
      </x:c>
      <x:c r="J39" s="52" t="str">
        <x:v>Livelihood</x:v>
      </x:c>
      <x:c r="K39" s="52" t="str">
        <x:v>Shop / business inventory</x:v>
      </x:c>
      <x:c r="L39" s="55" t="n">
        <x:v>0</x:v>
      </x:c>
      <x:c r="M39" s="55" t="n">
        <x:v>20000</x:v>
      </x:c>
      <x:c r="N39" s="55" t="n">
        <x:v>20000</x:v>
      </x:c>
      <x:c r="O39" s="52" t="str">
        <x:v>Sadaqah</x:v>
      </x:c>
      <x:c r="P39" s="52" t="str">
        <x:v>Bihar</x:v>
      </x:c>
      <x:c r="Q39" s="52" t="str">
        <x:v>₹15,000–₹25,000</x:v>
      </x:c>
      <x:c r="R39" s="52" t="str">
        <x:v>A verified recipient/family needed support related to shop / business inventory.</x:v>
      </x:c>
      <x:c r="S39" s="52" t="str">
        <x:v>Humanitarians supported the case through Sadaqah funds for support to clothing business.</x:v>
      </x:c>
      <x:c r="T39" s="52" t="str">
        <x:v>Outcome/update should be added only after verified follow-up.</x:v>
      </x:c>
      <x:c r="U39" s="52" t="str">
        <x:v>Add follow-up notes after checking with the verification team.</x:v>
      </x:c>
      <x:c r="V39" s="52" t="str">
        <x:v>Add a real quote only with consent; do not publish this placeholder as a recipient quote.</x:v>
      </x:c>
      <x:c r="W39" s="52" t="str">
        <x:v>Anonymized public summary; no full name, phone, address, ID, bank details, or donor identity included.</x:v>
      </x:c>
      <x:c r="X39" s="52"/>
      <x:c r="Y39" s="52" t="str">
        <x:v>Anonymized Humanitarians case image 1 for HUM-038</x:v>
      </x:c>
      <x:c r="Z39" s="52" t="str">
        <x:v>Before/support context image - add only after consent.</x:v>
      </x:c>
      <x:c r="AA39" s="52"/>
      <x:c r="AB39" s="52" t="str">
        <x:v>Anonymized Humanitarians case image 2 for HUM-038</x:v>
      </x:c>
      <x:c r="AC39" s="52" t="str">
        <x:v>Support/equipment image - add only after consent.</x:v>
      </x:c>
      <x:c r="AD39" s="52"/>
      <x:c r="AE39" s="52" t="str">
        <x:v>Anonymized Humanitarians case image 3 for HUM-038</x:v>
      </x:c>
      <x:c r="AF39" s="52" t="str">
        <x:v>Outcome/follow-up image - add only after consent.</x:v>
      </x:c>
      <x:c r="AG39" s="52" t="str">
        <x:v>Pending consent</x:v>
      </x:c>
      <x:c r="AH39" s="52" t="str">
        <x:v>Paste public Google Drive image URLs only after recipient consent and privacy review.</x:v>
      </x:c>
      <x:c r="AI39" s="52" t="str">
        <x:v>Seeded from latest uploaded workbook and public-safe v2 case-story data.</x:v>
      </x:c>
      <x:c r="AJ39" s="52" t="str">
        <x:v>Add/edit cases here only. Formula tabs will update after upload/recalculation in Google Sheets.</x:v>
      </x:c>
      <x:c r="AK39"/>
    </x:row>
    <x:row r="40">
      <x:c r="A40" s="52" t="str">
        <x:v>HUM-039</x:v>
      </x:c>
      <x:c r="B40" s="52" t="str">
        <x:v>TRUE</x:v>
      </x:c>
      <x:c r="C40" s="52" t="str">
        <x:v>No</x:v>
      </x:c>
      <x:c r="D40" s="52" t="str">
        <x:v>Draft</x:v>
      </x:c>
      <x:c r="E40" s="52" t="str">
        <x:v>Sep 2025</x:v>
      </x:c>
      <x:c r="F40" s="52" t="n">
        <x:v>202509</x:v>
      </x:c>
      <x:c r="G40" s="52" t="n">
        <x:v>45901</x:v>
      </x:c>
      <x:c r="H40" s="52" t="str">
        <x:v>Support to Shoe Vendor</x:v>
      </x:c>
      <x:c r="I40" s="52" t="str">
        <x:v>Anonymized case HUM-039</x:v>
      </x:c>
      <x:c r="J40" s="52" t="str">
        <x:v>Livelihood</x:v>
      </x:c>
      <x:c r="K40" s="52" t="str">
        <x:v>Shop / business inventory</x:v>
      </x:c>
      <x:c r="L40" s="55" t="n">
        <x:v>0</x:v>
      </x:c>
      <x:c r="M40" s="55" t="n">
        <x:v>10000</x:v>
      </x:c>
      <x:c r="N40" s="55" t="n">
        <x:v>10000</x:v>
      </x:c>
      <x:c r="O40" s="52" t="str">
        <x:v>Sadaqah</x:v>
      </x:c>
      <x:c r="P40" s="52" t="str">
        <x:v>Bihar</x:v>
      </x:c>
      <x:c r="Q40" s="52" t="str">
        <x:v>₹5,000–₹10,000</x:v>
      </x:c>
      <x:c r="R40" s="52" t="str">
        <x:v>A verified recipient/family needed support related to shop / business inventory.</x:v>
      </x:c>
      <x:c r="S40" s="52" t="str">
        <x:v>Humanitarians supported the case through Sadaqah funds for support to shoe vendor.</x:v>
      </x:c>
      <x:c r="T40" s="52" t="str">
        <x:v>Outcome/update should be added only after verified follow-up.</x:v>
      </x:c>
      <x:c r="U40" s="52" t="str">
        <x:v>Add follow-up notes after checking with the verification team.</x:v>
      </x:c>
      <x:c r="V40" s="52" t="str">
        <x:v>Add a real quote only with consent; do not publish this placeholder as a recipient quote.</x:v>
      </x:c>
      <x:c r="W40" s="52" t="str">
        <x:v>Anonymized public summary; no full name, phone, address, ID, bank details, or donor identity included.</x:v>
      </x:c>
      <x:c r="X40" s="52"/>
      <x:c r="Y40" s="52" t="str">
        <x:v>Anonymized Humanitarians case image 1 for HUM-039</x:v>
      </x:c>
      <x:c r="Z40" s="52" t="str">
        <x:v>Before/support context image - add only after consent.</x:v>
      </x:c>
      <x:c r="AA40" s="52"/>
      <x:c r="AB40" s="52" t="str">
        <x:v>Anonymized Humanitarians case image 2 for HUM-039</x:v>
      </x:c>
      <x:c r="AC40" s="52" t="str">
        <x:v>Support/equipment image - add only after consent.</x:v>
      </x:c>
      <x:c r="AD40" s="52"/>
      <x:c r="AE40" s="52" t="str">
        <x:v>Anonymized Humanitarians case image 3 for HUM-039</x:v>
      </x:c>
      <x:c r="AF40" s="52" t="str">
        <x:v>Outcome/follow-up image - add only after consent.</x:v>
      </x:c>
      <x:c r="AG40" s="52" t="str">
        <x:v>Pending consent</x:v>
      </x:c>
      <x:c r="AH40" s="52" t="str">
        <x:v>Paste public Google Drive image URLs only after recipient consent and privacy review.</x:v>
      </x:c>
      <x:c r="AI40" s="52" t="str">
        <x:v>Seeded from latest uploaded workbook and public-safe v2 case-story data.</x:v>
      </x:c>
      <x:c r="AJ40" s="52" t="str">
        <x:v>Add/edit cases here only. Formula tabs will update after upload/recalculation in Google Sheets.</x:v>
      </x:c>
      <x:c r="AK40"/>
    </x:row>
    <x:row r="41">
      <x:c r="A41" s="52" t="str">
        <x:v>HUM-040</x:v>
      </x:c>
      <x:c r="B41" s="52" t="str">
        <x:v>TRUE</x:v>
      </x:c>
      <x:c r="C41" s="52" t="str">
        <x:v>No</x:v>
      </x:c>
      <x:c r="D41" s="52" t="str">
        <x:v>Draft</x:v>
      </x:c>
      <x:c r="E41" s="52" t="str">
        <x:v>Jan 2026</x:v>
      </x:c>
      <x:c r="F41" s="52" t="n">
        <x:v>202601</x:v>
      </x:c>
      <x:c r="G41" s="52" t="n">
        <x:v>46023</x:v>
      </x:c>
      <x:c r="H41" s="52" t="str">
        <x:v>Support for Deep Freezer</x:v>
      </x:c>
      <x:c r="I41" s="52" t="str">
        <x:v>Anonymized case HUM-040</x:v>
      </x:c>
      <x:c r="J41" s="52" t="str">
        <x:v>Livelihood</x:v>
      </x:c>
      <x:c r="K41" s="52" t="str">
        <x:v>Tools / equipment</x:v>
      </x:c>
      <x:c r="L41" s="55" t="n">
        <x:v>0</x:v>
      </x:c>
      <x:c r="M41" s="55" t="n">
        <x:v>15000</x:v>
      </x:c>
      <x:c r="N41" s="55" t="n">
        <x:v>15000</x:v>
      </x:c>
      <x:c r="O41" s="52" t="str">
        <x:v>Sadaqah</x:v>
      </x:c>
      <x:c r="P41" s="52" t="str">
        <x:v>Mallawan UP</x:v>
      </x:c>
      <x:c r="Q41" s="52" t="str">
        <x:v>₹10,000–₹15,000</x:v>
      </x:c>
      <x:c r="R41" s="52" t="str">
        <x:v>A verified recipient/family needed support related to tools / equipment.</x:v>
      </x:c>
      <x:c r="S41" s="52" t="str">
        <x:v>Humanitarians supported the case through Sadaqah funds for support for deep freezer.</x:v>
      </x:c>
      <x:c r="T41" s="52" t="str">
        <x:v>Outcome/update should be added only after verified follow-up.</x:v>
      </x:c>
      <x:c r="U41" s="52" t="str">
        <x:v>Add follow-up notes after checking with the verification team.</x:v>
      </x:c>
      <x:c r="V41" s="52" t="str">
        <x:v>Add a real quote only with consent; do not publish this placeholder as a recipient quote.</x:v>
      </x:c>
      <x:c r="W41" s="52" t="str">
        <x:v>Anonymized public summary; no full name, phone, address, ID, bank details, or donor identity included.</x:v>
      </x:c>
      <x:c r="X41" s="52"/>
      <x:c r="Y41" s="52" t="str">
        <x:v>Anonymized Humanitarians case image 1 for HUM-040</x:v>
      </x:c>
      <x:c r="Z41" s="52" t="str">
        <x:v>Before/support context image - add only after consent.</x:v>
      </x:c>
      <x:c r="AA41" s="52"/>
      <x:c r="AB41" s="52" t="str">
        <x:v>Anonymized Humanitarians case image 2 for HUM-040</x:v>
      </x:c>
      <x:c r="AC41" s="52" t="str">
        <x:v>Support/equipment image - add only after consent.</x:v>
      </x:c>
      <x:c r="AD41" s="52"/>
      <x:c r="AE41" s="52" t="str">
        <x:v>Anonymized Humanitarians case image 3 for HUM-040</x:v>
      </x:c>
      <x:c r="AF41" s="52" t="str">
        <x:v>Outcome/follow-up image - add only after consent.</x:v>
      </x:c>
      <x:c r="AG41" s="52" t="str">
        <x:v>Pending consent</x:v>
      </x:c>
      <x:c r="AH41" s="52" t="str">
        <x:v>Paste public Google Drive image URLs only after recipient consent and privacy review.</x:v>
      </x:c>
      <x:c r="AI41" s="52" t="str">
        <x:v>Seeded from latest uploaded workbook and public-safe v2 case-story data.</x:v>
      </x:c>
      <x:c r="AJ41" s="52" t="str">
        <x:v>Add/edit cases here only. Formula tabs will update after upload/recalculation in Google Sheets.</x:v>
      </x:c>
      <x:c r="AK41"/>
    </x:row>
    <x:row r="42">
      <x:c r="A42" s="52" t="str">
        <x:v>HUM-041</x:v>
      </x:c>
      <x:c r="B42" s="52" t="str">
        <x:v>TRUE</x:v>
      </x:c>
      <x:c r="C42" s="52" t="str">
        <x:v>No</x:v>
      </x:c>
      <x:c r="D42" s="52" t="str">
        <x:v>Draft</x:v>
      </x:c>
      <x:c r="E42" s="52" t="str">
        <x:v>Jan 2026</x:v>
      </x:c>
      <x:c r="F42" s="52" t="n">
        <x:v>202601</x:v>
      </x:c>
      <x:c r="G42" s="52" t="n">
        <x:v>46023</x:v>
      </x:c>
      <x:c r="H42" s="52" t="str">
        <x:v>Support for additional items to Footwear vendor</x:v>
      </x:c>
      <x:c r="I42" s="52" t="str">
        <x:v>Anonymized case HUM-041</x:v>
      </x:c>
      <x:c r="J42" s="52" t="str">
        <x:v>Livelihood</x:v>
      </x:c>
      <x:c r="K42" s="52" t="str">
        <x:v>Shop / business inventory</x:v>
      </x:c>
      <x:c r="L42" s="55" t="n">
        <x:v>0</x:v>
      </x:c>
      <x:c r="M42" s="55" t="n">
        <x:v>15000</x:v>
      </x:c>
      <x:c r="N42" s="55" t="n">
        <x:v>15000</x:v>
      </x:c>
      <x:c r="O42" s="52" t="str">
        <x:v>Sadaqah</x:v>
      </x:c>
      <x:c r="P42" s="52" t="str">
        <x:v>Mallawan UP</x:v>
      </x:c>
      <x:c r="Q42" s="52" t="str">
        <x:v>₹10,000–₹15,000</x:v>
      </x:c>
      <x:c r="R42" s="52" t="str">
        <x:v>A verified recipient/family needed support related to shop / business inventory.</x:v>
      </x:c>
      <x:c r="S42" s="52" t="str">
        <x:v>Humanitarians supported the case through Sadaqah funds for support for additional items to footwear vendor.</x:v>
      </x:c>
      <x:c r="T42" s="52" t="str">
        <x:v>Outcome/update should be added only after verified follow-up.</x:v>
      </x:c>
      <x:c r="U42" s="52" t="str">
        <x:v>Add follow-up notes after checking with the verification team.</x:v>
      </x:c>
      <x:c r="V42" s="52" t="str">
        <x:v>Add a real quote only with consent; do not publish this placeholder as a recipient quote.</x:v>
      </x:c>
      <x:c r="W42" s="52" t="str">
        <x:v>Anonymized public summary; no full name, phone, address, ID, bank details, or donor identity included.</x:v>
      </x:c>
      <x:c r="X42" s="52"/>
      <x:c r="Y42" s="52" t="str">
        <x:v>Anonymized Humanitarians case image 1 for HUM-041</x:v>
      </x:c>
      <x:c r="Z42" s="52" t="str">
        <x:v>Before/support context image - add only after consent.</x:v>
      </x:c>
      <x:c r="AA42" s="52"/>
      <x:c r="AB42" s="52" t="str">
        <x:v>Anonymized Humanitarians case image 2 for HUM-041</x:v>
      </x:c>
      <x:c r="AC42" s="52" t="str">
        <x:v>Support/equipment image - add only after consent.</x:v>
      </x:c>
      <x:c r="AD42" s="52"/>
      <x:c r="AE42" s="52" t="str">
        <x:v>Anonymized Humanitarians case image 3 for HUM-041</x:v>
      </x:c>
      <x:c r="AF42" s="52" t="str">
        <x:v>Outcome/follow-up image - add only after consent.</x:v>
      </x:c>
      <x:c r="AG42" s="52" t="str">
        <x:v>Pending consent</x:v>
      </x:c>
      <x:c r="AH42" s="52" t="str">
        <x:v>Paste public Google Drive image URLs only after recipient consent and privacy review.</x:v>
      </x:c>
      <x:c r="AI42" s="52" t="str">
        <x:v>Seeded from latest uploaded workbook and public-safe v2 case-story data.</x:v>
      </x:c>
      <x:c r="AJ42" s="52" t="str">
        <x:v>Add/edit cases here only. Formula tabs will update after upload/recalculation in Google Sheets.</x:v>
      </x:c>
      <x:c r="AK42"/>
    </x:row>
    <x:row r="43">
      <x:c r="A43" s="52" t="str">
        <x:v>HUM-042</x:v>
      </x:c>
      <x:c r="B43" s="52" t="str">
        <x:v>TRUE</x:v>
      </x:c>
      <x:c r="C43" s="52" t="str">
        <x:v>No</x:v>
      </x:c>
      <x:c r="D43" s="52" t="str">
        <x:v>Archive</x:v>
      </x:c>
      <x:c r="E43" s="52" t="str">
        <x:v>Mar 2026</x:v>
      </x:c>
      <x:c r="F43" s="52" t="n">
        <x:v>202603</x:v>
      </x:c>
      <x:c r="G43" s="52" t="n">
        <x:v>46082</x:v>
      </x:c>
      <x:c r="H43" s="52" t="str">
        <x:v>Educational Support</x:v>
      </x:c>
      <x:c r="I43" s="52" t="str">
        <x:v>Anonymized case HUM-042</x:v>
      </x:c>
      <x:c r="J43" s="52" t="str">
        <x:v>Skill Sponsorship</x:v>
      </x:c>
      <x:c r="K43" s="52" t="str">
        <x:v>Education / course sponsorship</x:v>
      </x:c>
      <x:c r="L43" s="55" t="n">
        <x:v>0</x:v>
      </x:c>
      <x:c r="M43" s="55" t="n">
        <x:v>12000</x:v>
      </x:c>
      <x:c r="N43" s="55" t="n">
        <x:v>12000</x:v>
      </x:c>
      <x:c r="O43" s="52" t="str">
        <x:v>Sadaqah</x:v>
      </x:c>
      <x:c r="P43" s="52" t="str">
        <x:v>Location withheld</x:v>
      </x:c>
      <x:c r="Q43" s="52" t="str">
        <x:v>₹10,000–₹15,000</x:v>
      </x:c>
      <x:c r="R43" s="52" t="str">
        <x:v>A verified recipient/family needed support related to education / course sponsorship.</x:v>
      </x:c>
      <x:c r="S43" s="52" t="str">
        <x:v>Humanitarians supported the case through Sadaqah funds for educational support.</x:v>
      </x:c>
      <x:c r="T43" s="52" t="str">
        <x:v>Outcome/update should be added only after verified follow-up.</x:v>
      </x:c>
      <x:c r="U43" s="52" t="str">
        <x:v>Add follow-up notes after checking with the verification team.</x:v>
      </x:c>
      <x:c r="V43" s="52" t="str">
        <x:v>Add a real quote only with consent; do not publish this placeholder as a recipient quote.</x:v>
      </x:c>
      <x:c r="W43" s="52" t="str">
        <x:v>Anonymized public summary; no full name, phone, address, ID, bank details, or donor identity included.</x:v>
      </x:c>
      <x:c r="X43" s="52"/>
      <x:c r="Y43" s="52" t="str">
        <x:v>Anonymized Humanitarians case image 1 for HUM-042</x:v>
      </x:c>
      <x:c r="Z43" s="52" t="str">
        <x:v>Before/support context image - add only after consent.</x:v>
      </x:c>
      <x:c r="AA43" s="52"/>
      <x:c r="AB43" s="52" t="str">
        <x:v>Anonymized Humanitarians case image 2 for HUM-042</x:v>
      </x:c>
      <x:c r="AC43" s="52" t="str">
        <x:v>Support/equipment image - add only after consent.</x:v>
      </x:c>
      <x:c r="AD43" s="52"/>
      <x:c r="AE43" s="52" t="str">
        <x:v>Anonymized Humanitarians case image 3 for HUM-042</x:v>
      </x:c>
      <x:c r="AF43" s="52" t="str">
        <x:v>Outcome/follow-up image - add only after consent.</x:v>
      </x:c>
      <x:c r="AG43" s="52" t="str">
        <x:v>Pending consent</x:v>
      </x:c>
      <x:c r="AH43" s="52" t="str">
        <x:v>Paste public Google Drive image URLs only after recipient consent and privacy review.</x:v>
      </x:c>
      <x:c r="AI43" s="52" t="str">
        <x:v>Seeded from latest uploaded workbook and public-safe v2 case-story data.</x:v>
      </x:c>
      <x:c r="AJ43" s="52" t="str">
        <x:v>Add/edit cases here only. Formula tabs will update after upload/recalculation in Google Sheets.</x:v>
      </x:c>
      <x:c r="AK43"/>
    </x:row>
    <x:row r="44">
      <x:c r="A44" s="52" t="str">
        <x:v>HUM-043</x:v>
      </x:c>
      <x:c r="B44" s="52" t="str">
        <x:v>TRUE</x:v>
      </x:c>
      <x:c r="C44" s="52" t="str">
        <x:v>No</x:v>
      </x:c>
      <x:c r="D44" s="52" t="str">
        <x:v>Draft</x:v>
      </x:c>
      <x:c r="E44" s="52" t="str">
        <x:v>Mar 2026</x:v>
      </x:c>
      <x:c r="F44" s="52" t="n">
        <x:v>202603</x:v>
      </x:c>
      <x:c r="G44" s="52" t="n">
        <x:v>46082</x:v>
      </x:c>
      <x:c r="H44" s="52" t="str">
        <x:v>Support for T shirt Printing and Tagging Machine</x:v>
      </x:c>
      <x:c r="I44" s="52" t="str">
        <x:v>Anonymized case HUM-043</x:v>
      </x:c>
      <x:c r="J44" s="52" t="str">
        <x:v>Livelihood</x:v>
      </x:c>
      <x:c r="K44" s="52" t="str">
        <x:v>Tools / equipment</x:v>
      </x:c>
      <x:c r="L44" s="55" t="n">
        <x:v>0</x:v>
      </x:c>
      <x:c r="M44" s="55" t="n">
        <x:v>12000</x:v>
      </x:c>
      <x:c r="N44" s="55" t="n">
        <x:v>12000</x:v>
      </x:c>
      <x:c r="O44" s="52" t="str">
        <x:v>Sadaqah</x:v>
      </x:c>
      <x:c r="P44" s="52" t="str">
        <x:v>Location withheld</x:v>
      </x:c>
      <x:c r="Q44" s="52" t="str">
        <x:v>₹10,000–₹15,000</x:v>
      </x:c>
      <x:c r="R44" s="52" t="str">
        <x:v>A verified recipient/family needed support related to tools / equipment.</x:v>
      </x:c>
      <x:c r="S44" s="52" t="str">
        <x:v>Humanitarians supported the case through Sadaqah funds for support for t shirt printing and tagging machine.</x:v>
      </x:c>
      <x:c r="T44" s="52" t="str">
        <x:v>Outcome/update should be added only after verified follow-up.</x:v>
      </x:c>
      <x:c r="U44" s="52" t="str">
        <x:v>Add follow-up notes after checking with the verification team.</x:v>
      </x:c>
      <x:c r="V44" s="52" t="str">
        <x:v>Add a real quote only with consent; do not publish this placeholder as a recipient quote.</x:v>
      </x:c>
      <x:c r="W44" s="52" t="str">
        <x:v>Anonymized public summary; no full name, phone, address, ID, bank details, or donor identity included.</x:v>
      </x:c>
      <x:c r="X44" s="52"/>
      <x:c r="Y44" s="52" t="str">
        <x:v>Anonymized Humanitarians case image 1 for HUM-043</x:v>
      </x:c>
      <x:c r="Z44" s="52" t="str">
        <x:v>Before/support context image - add only after consent.</x:v>
      </x:c>
      <x:c r="AA44" s="52"/>
      <x:c r="AB44" s="52" t="str">
        <x:v>Anonymized Humanitarians case image 2 for HUM-043</x:v>
      </x:c>
      <x:c r="AC44" s="52" t="str">
        <x:v>Support/equipment image - add only after consent.</x:v>
      </x:c>
      <x:c r="AD44" s="52"/>
      <x:c r="AE44" s="52" t="str">
        <x:v>Anonymized Humanitarians case image 3 for HUM-043</x:v>
      </x:c>
      <x:c r="AF44" s="52" t="str">
        <x:v>Outcome/follow-up image - add only after consent.</x:v>
      </x:c>
      <x:c r="AG44" s="52" t="str">
        <x:v>Pending consent</x:v>
      </x:c>
      <x:c r="AH44" s="52" t="str">
        <x:v>Paste public Google Drive image URLs only after recipient consent and privacy review.</x:v>
      </x:c>
      <x:c r="AI44" s="52" t="str">
        <x:v>Seeded from latest uploaded workbook and public-safe v2 case-story data.</x:v>
      </x:c>
      <x:c r="AJ44" s="52" t="str">
        <x:v>Add/edit cases here only. Formula tabs will update after upload/recalculation in Google Sheets.</x:v>
      </x:c>
      <x:c r="AK44"/>
    </x:row>
    <x:row r="45">
      <x:c r="A45" s="52" t="str">
        <x:v>HUM-044</x:v>
      </x:c>
      <x:c r="B45" s="52" t="str">
        <x:v>TRUE</x:v>
      </x:c>
      <x:c r="C45" s="52" t="str">
        <x:v>No</x:v>
      </x:c>
      <x:c r="D45" s="52" t="str">
        <x:v>Draft</x:v>
      </x:c>
      <x:c r="E45" s="52" t="str">
        <x:v>Mar 2026</x:v>
      </x:c>
      <x:c r="F45" s="52" t="n">
        <x:v>202603</x:v>
      </x:c>
      <x:c r="G45" s="52" t="n">
        <x:v>46082</x:v>
      </x:c>
      <x:c r="H45" s="52" t="str">
        <x:v>Support for Widow</x:v>
      </x:c>
      <x:c r="I45" s="52" t="str">
        <x:v>Anonymized case HUM-044</x:v>
      </x:c>
      <x:c r="J45" s="52" t="str">
        <x:v>Emergency Support</x:v>
      </x:c>
      <x:c r="K45" s="52" t="str">
        <x:v>Relief / emergency support</x:v>
      </x:c>
      <x:c r="L45" s="55" t="n">
        <x:v>25000</x:v>
      </x:c>
      <x:c r="M45" s="55" t="n">
        <x:v>0</x:v>
      </x:c>
      <x:c r="N45" s="55" t="n">
        <x:v>25000</x:v>
      </x:c>
      <x:c r="O45" s="52" t="str">
        <x:v>Zakat</x:v>
      </x:c>
      <x:c r="P45" s="52" t="str">
        <x:v>Location withheld</x:v>
      </x:c>
      <x:c r="Q45" s="52" t="str">
        <x:v>₹15,000–₹25,000</x:v>
      </x:c>
      <x:c r="R45" s="52" t="str">
        <x:v>A verified recipient/family needed support related to relief / emergency support.</x:v>
      </x:c>
      <x:c r="S45" s="52" t="str">
        <x:v>Humanitarians supported the case through Zakat funds for support for widow.</x:v>
      </x:c>
      <x:c r="T45" s="52" t="str">
        <x:v>Outcome/update should be added only after verified follow-up.</x:v>
      </x:c>
      <x:c r="U45" s="52" t="str">
        <x:v>Add follow-up notes after checking with the verification team.</x:v>
      </x:c>
      <x:c r="V45" s="52" t="str">
        <x:v>Add a real quote only with consent; do not publish this placeholder as a recipient quote.</x:v>
      </x:c>
      <x:c r="W45" s="52" t="str">
        <x:v>Anonymized public summary; no full name, phone, address, ID, bank details, or donor identity included.</x:v>
      </x:c>
      <x:c r="X45" s="52"/>
      <x:c r="Y45" s="52" t="str">
        <x:v>Anonymized Humanitarians case image 1 for HUM-044</x:v>
      </x:c>
      <x:c r="Z45" s="52" t="str">
        <x:v>Before/support context image - add only after consent.</x:v>
      </x:c>
      <x:c r="AA45" s="52"/>
      <x:c r="AB45" s="52" t="str">
        <x:v>Anonymized Humanitarians case image 2 for HUM-044</x:v>
      </x:c>
      <x:c r="AC45" s="52" t="str">
        <x:v>Support/equipment image - add only after consent.</x:v>
      </x:c>
      <x:c r="AD45" s="52"/>
      <x:c r="AE45" s="52" t="str">
        <x:v>Anonymized Humanitarians case image 3 for HUM-044</x:v>
      </x:c>
      <x:c r="AF45" s="52" t="str">
        <x:v>Outcome/follow-up image - add only after consent.</x:v>
      </x:c>
      <x:c r="AG45" s="52" t="str">
        <x:v>Pending consent</x:v>
      </x:c>
      <x:c r="AH45" s="52" t="str">
        <x:v>Paste public Google Drive image URLs only after recipient consent and privacy review.</x:v>
      </x:c>
      <x:c r="AI45" s="52" t="str">
        <x:v>Seeded from latest uploaded workbook and public-safe v2 case-story data.</x:v>
      </x:c>
      <x:c r="AJ45" s="52" t="str">
        <x:v>Add/edit cases here only. Formula tabs will update after upload/recalculation in Google Sheets.</x:v>
      </x:c>
      <x:c r="AK45"/>
    </x:row>
    <x:row r="46">
      <x:c r="A46" s="52" t="str">
        <x:v>HUM-045</x:v>
      </x:c>
      <x:c r="B46" s="52" t="str">
        <x:v>TRUE</x:v>
      </x:c>
      <x:c r="C46" s="52" t="str">
        <x:v>No</x:v>
      </x:c>
      <x:c r="D46" s="52" t="str">
        <x:v>Draft</x:v>
      </x:c>
      <x:c r="E46" s="52" t="str">
        <x:v>Mar 2026</x:v>
      </x:c>
      <x:c r="F46" s="52" t="n">
        <x:v>202603</x:v>
      </x:c>
      <x:c r="G46" s="52" t="n">
        <x:v>46082</x:v>
      </x:c>
      <x:c r="H46" s="52" t="str">
        <x:v>Support for increasing stock of gas cylinders</x:v>
      </x:c>
      <x:c r="I46" s="52" t="str">
        <x:v>Anonymized case HUM-045</x:v>
      </x:c>
      <x:c r="J46" s="52" t="str">
        <x:v>Livelihood</x:v>
      </x:c>
      <x:c r="K46" s="52" t="str">
        <x:v>Tools / equipment</x:v>
      </x:c>
      <x:c r="L46" s="55" t="n">
        <x:v>25000</x:v>
      </x:c>
      <x:c r="M46" s="55" t="n">
        <x:v>0</x:v>
      </x:c>
      <x:c r="N46" s="55" t="n">
        <x:v>25000</x:v>
      </x:c>
      <x:c r="O46" s="52" t="str">
        <x:v>Zakat</x:v>
      </x:c>
      <x:c r="P46" s="52" t="str">
        <x:v>Location withheld</x:v>
      </x:c>
      <x:c r="Q46" s="52" t="str">
        <x:v>₹15,000–₹25,000</x:v>
      </x:c>
      <x:c r="R46" s="52" t="str">
        <x:v>A verified recipient/family needed support related to tools / equipment.</x:v>
      </x:c>
      <x:c r="S46" s="52" t="str">
        <x:v>Humanitarians supported the case through Zakat funds for support for increasing stock of gas cylinders.</x:v>
      </x:c>
      <x:c r="T46" s="52" t="str">
        <x:v>Outcome/update should be added only after verified follow-up.</x:v>
      </x:c>
      <x:c r="U46" s="52" t="str">
        <x:v>Add follow-up notes after checking with the verification team.</x:v>
      </x:c>
      <x:c r="V46" s="52" t="str">
        <x:v>Add a real quote only with consent; do not publish this placeholder as a recipient quote.</x:v>
      </x:c>
      <x:c r="W46" s="52" t="str">
        <x:v>Anonymized public summary; no full name, phone, address, ID, bank details, or donor identity included.</x:v>
      </x:c>
      <x:c r="X46" s="52"/>
      <x:c r="Y46" s="52" t="str">
        <x:v>Anonymized Humanitarians case image 1 for HUM-045</x:v>
      </x:c>
      <x:c r="Z46" s="52" t="str">
        <x:v>Before/support context image - add only after consent.</x:v>
      </x:c>
      <x:c r="AA46" s="52"/>
      <x:c r="AB46" s="52" t="str">
        <x:v>Anonymized Humanitarians case image 2 for HUM-045</x:v>
      </x:c>
      <x:c r="AC46" s="52" t="str">
        <x:v>Support/equipment image - add only after consent.</x:v>
      </x:c>
      <x:c r="AD46" s="52"/>
      <x:c r="AE46" s="52" t="str">
        <x:v>Anonymized Humanitarians case image 3 for HUM-045</x:v>
      </x:c>
      <x:c r="AF46" s="52" t="str">
        <x:v>Outcome/follow-up image - add only after consent.</x:v>
      </x:c>
      <x:c r="AG46" s="52" t="str">
        <x:v>Pending consent</x:v>
      </x:c>
      <x:c r="AH46" s="52" t="str">
        <x:v>Paste public Google Drive image URLs only after recipient consent and privacy review.</x:v>
      </x:c>
      <x:c r="AI46" s="52" t="str">
        <x:v>Seeded from latest uploaded workbook and public-safe v2 case-story data.</x:v>
      </x:c>
      <x:c r="AJ46" s="52" t="str">
        <x:v>Add/edit cases here only. Formula tabs will update after upload/recalculation in Google Sheets.</x:v>
      </x:c>
      <x:c r="AK46"/>
    </x:row>
    <x:row r="47">
      <x:c r="A47" s="52" t="str">
        <x:v>HUM-046</x:v>
      </x:c>
      <x:c r="B47" s="52" t="str">
        <x:v>TRUE</x:v>
      </x:c>
      <x:c r="C47" s="52" t="str">
        <x:v>No</x:v>
      </x:c>
      <x:c r="D47" s="52" t="str">
        <x:v>Archive</x:v>
      </x:c>
      <x:c r="E47" s="52" t="str">
        <x:v>Apr 2026</x:v>
      </x:c>
      <x:c r="F47" s="52" t="n">
        <x:v>202604</x:v>
      </x:c>
      <x:c r="G47" s="52" t="n">
        <x:v>46113</x:v>
      </x:c>
      <x:c r="H47" s="52" t="str">
        <x:v>Support for Masjid</x:v>
      </x:c>
      <x:c r="I47" s="52" t="str">
        <x:v>Anonymized case HUM-046</x:v>
      </x:c>
      <x:c r="J47" s="52" t="str">
        <x:v>Community Support</x:v>
      </x:c>
      <x:c r="K47" s="52" t="str">
        <x:v>Masjid / community support</x:v>
      </x:c>
      <x:c r="L47" s="55" t="n">
        <x:v>0</x:v>
      </x:c>
      <x:c r="M47" s="55" t="n">
        <x:v>4500</x:v>
      </x:c>
      <x:c r="N47" s="55" t="n">
        <x:v>4500</x:v>
      </x:c>
      <x:c r="O47" s="52" t="str">
        <x:v>Sadaqah</x:v>
      </x:c>
      <x:c r="P47" s="52" t="str">
        <x:v>Location withheld</x:v>
      </x:c>
      <x:c r="Q47" s="52" t="str">
        <x:v>Under ₹5,000</x:v>
      </x:c>
      <x:c r="R47" s="52" t="str">
        <x:v>A verified recipient/family needed support related to masjid / community support.</x:v>
      </x:c>
      <x:c r="S47" s="52" t="str">
        <x:v>Humanitarians supported the case through Sadaqah funds for support for masjid.</x:v>
      </x:c>
      <x:c r="T47" s="52" t="str">
        <x:v>Outcome/update should be added only after verified follow-up.</x:v>
      </x:c>
      <x:c r="U47" s="52" t="str">
        <x:v>Add follow-up notes after checking with the verification team.</x:v>
      </x:c>
      <x:c r="V47" s="52" t="str">
        <x:v>Add a real quote only with consent; do not publish this placeholder as a recipient quote.</x:v>
      </x:c>
      <x:c r="W47" s="52" t="str">
        <x:v>Anonymized public summary; no full name, phone, address, ID, bank details, or donor identity included.</x:v>
      </x:c>
      <x:c r="X47" s="52"/>
      <x:c r="Y47" s="52" t="str">
        <x:v>Anonymized Humanitarians case image 1 for HUM-046</x:v>
      </x:c>
      <x:c r="Z47" s="52" t="str">
        <x:v>Before/support context image - add only after consent.</x:v>
      </x:c>
      <x:c r="AA47" s="52"/>
      <x:c r="AB47" s="52" t="str">
        <x:v>Anonymized Humanitarians case image 2 for HUM-046</x:v>
      </x:c>
      <x:c r="AC47" s="52" t="str">
        <x:v>Support/equipment image - add only after consent.</x:v>
      </x:c>
      <x:c r="AD47" s="52"/>
      <x:c r="AE47" s="52" t="str">
        <x:v>Anonymized Humanitarians case image 3 for HUM-046</x:v>
      </x:c>
      <x:c r="AF47" s="52" t="str">
        <x:v>Outcome/follow-up image - add only after consent.</x:v>
      </x:c>
      <x:c r="AG47" s="52" t="str">
        <x:v>Pending consent</x:v>
      </x:c>
      <x:c r="AH47" s="52" t="str">
        <x:v>Paste public Google Drive image URLs only after recipient consent and privacy review.</x:v>
      </x:c>
      <x:c r="AI47" s="52" t="str">
        <x:v>Seeded from latest uploaded workbook and public-safe v2 case-story data.</x:v>
      </x:c>
      <x:c r="AJ47" s="52" t="str">
        <x:v>Add/edit cases here only. Formula tabs will update after upload/recalculation in Google Sheets.</x:v>
      </x:c>
      <x:c r="AK47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5"/>
      <x:c r="M48" s="55"/>
      <x:c r="N48" s="55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52"/>
      <x:c r="AC48" s="52"/>
      <x:c r="AD48" s="52"/>
      <x:c r="AE48" s="52"/>
      <x:c r="AF48" s="52"/>
      <x:c r="AG48" s="52"/>
      <x:c r="AH48" s="52"/>
      <x:c r="AI48" s="52"/>
      <x:c r="AJ48" s="52"/>
      <x:c r="AK48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5"/>
      <x:c r="M49" s="55"/>
      <x:c r="N49" s="55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52"/>
      <x:c r="AC49" s="52"/>
      <x:c r="AD49" s="52"/>
      <x:c r="AE49" s="52"/>
      <x:c r="AF49" s="52"/>
      <x:c r="AG49" s="52"/>
      <x:c r="AH49" s="52"/>
      <x:c r="AI49" s="52"/>
      <x:c r="AJ49" s="52"/>
      <x:c r="AK49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5"/>
      <x:c r="M50" s="55"/>
      <x:c r="N50" s="55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52"/>
      <x:c r="AC50" s="52"/>
      <x:c r="AD50" s="52"/>
      <x:c r="AE50" s="52"/>
      <x:c r="AF50" s="52"/>
      <x:c r="AG50" s="52"/>
      <x:c r="AH50" s="52"/>
      <x:c r="AI50" s="52"/>
      <x:c r="AJ50" s="52"/>
      <x:c r="AK50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5"/>
      <x:c r="M51" s="55"/>
      <x:c r="N51" s="55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52"/>
      <x:c r="AC51" s="52"/>
      <x:c r="AD51" s="52"/>
      <x:c r="AE51" s="52"/>
      <x:c r="AF51" s="52"/>
      <x:c r="AG51" s="52"/>
      <x:c r="AH51" s="52"/>
      <x:c r="AI51" s="52"/>
      <x:c r="AJ51" s="52"/>
      <x:c r="AK51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5"/>
      <x:c r="M52" s="55"/>
      <x:c r="N52" s="55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52"/>
      <x:c r="AC52" s="52"/>
      <x:c r="AD52" s="52"/>
      <x:c r="AE52" s="52"/>
      <x:c r="AF52" s="52"/>
      <x:c r="AG52" s="52"/>
      <x:c r="AH52" s="52"/>
      <x:c r="AI52" s="52"/>
      <x:c r="AJ52" s="52"/>
      <x:c r="AK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5"/>
      <x:c r="M53" s="55"/>
      <x:c r="N53" s="55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52"/>
      <x:c r="AC53" s="52"/>
      <x:c r="AD53" s="52"/>
      <x:c r="AE53" s="52"/>
      <x:c r="AF53" s="52"/>
      <x:c r="AG53" s="52"/>
      <x:c r="AH53" s="52"/>
      <x:c r="AI53" s="52"/>
      <x:c r="AJ53" s="52"/>
      <x:c r="AK53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5"/>
      <x:c r="M54" s="55"/>
      <x:c r="N54" s="55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52"/>
      <x:c r="AC54" s="52"/>
      <x:c r="AD54" s="52"/>
      <x:c r="AE54" s="52"/>
      <x:c r="AF54" s="52"/>
      <x:c r="AG54" s="52"/>
      <x:c r="AH54" s="52"/>
      <x:c r="AI54" s="52"/>
      <x:c r="AJ54" s="52"/>
      <x:c r="AK54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5"/>
      <x:c r="M55" s="55"/>
      <x:c r="N55" s="55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  <x:c r="AA55" s="52"/>
      <x:c r="AB55" s="52"/>
      <x:c r="AC55" s="52"/>
      <x:c r="AD55" s="52"/>
      <x:c r="AE55" s="52"/>
      <x:c r="AF55" s="52"/>
      <x:c r="AG55" s="52"/>
      <x:c r="AH55" s="52"/>
      <x:c r="AI55" s="52"/>
      <x:c r="AJ55" s="52"/>
      <x:c r="AK55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5"/>
      <x:c r="M56" s="55"/>
      <x:c r="N56" s="55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  <x:c r="AA56" s="52"/>
      <x:c r="AB56" s="52"/>
      <x:c r="AC56" s="52"/>
      <x:c r="AD56" s="52"/>
      <x:c r="AE56" s="52"/>
      <x:c r="AF56" s="52"/>
      <x:c r="AG56" s="52"/>
      <x:c r="AH56" s="52"/>
      <x:c r="AI56" s="52"/>
      <x:c r="AJ56" s="52"/>
      <x:c r="AK56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5"/>
      <x:c r="M57" s="55"/>
      <x:c r="N57" s="55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  <x:c r="AA57" s="52"/>
      <x:c r="AB57" s="52"/>
      <x:c r="AC57" s="52"/>
      <x:c r="AD57" s="52"/>
      <x:c r="AE57" s="52"/>
      <x:c r="AF57" s="52"/>
      <x:c r="AG57" s="52"/>
      <x:c r="AH57" s="52"/>
      <x:c r="AI57" s="52"/>
      <x:c r="AJ57" s="52"/>
      <x:c r="AK57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5"/>
      <x:c r="M58" s="55"/>
      <x:c r="N58" s="55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  <x:c r="AA58" s="52"/>
      <x:c r="AB58" s="52"/>
      <x:c r="AC58" s="52"/>
      <x:c r="AD58" s="52"/>
      <x:c r="AE58" s="52"/>
      <x:c r="AF58" s="52"/>
      <x:c r="AG58" s="52"/>
      <x:c r="AH58" s="52"/>
      <x:c r="AI58" s="52"/>
      <x:c r="AJ58" s="52"/>
      <x:c r="AK58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5"/>
      <x:c r="M59" s="55"/>
      <x:c r="N59" s="55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  <x:c r="AA59" s="52"/>
      <x:c r="AB59" s="52"/>
      <x:c r="AC59" s="52"/>
      <x:c r="AD59" s="52"/>
      <x:c r="AE59" s="52"/>
      <x:c r="AF59" s="52"/>
      <x:c r="AG59" s="52"/>
      <x:c r="AH59" s="52"/>
      <x:c r="AI59" s="52"/>
      <x:c r="AJ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5"/>
      <x:c r="M60" s="55"/>
      <x:c r="N60" s="55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  <x:c r="AA60" s="52"/>
      <x:c r="AB60" s="52"/>
      <x:c r="AC60" s="52"/>
      <x:c r="AD60" s="52"/>
      <x:c r="AE60" s="52"/>
      <x:c r="AF60" s="52"/>
      <x:c r="AG60" s="52"/>
      <x:c r="AH60" s="52"/>
      <x:c r="AI60" s="52"/>
      <x:c r="AJ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5"/>
      <x:c r="M61" s="55"/>
      <x:c r="N61" s="55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  <x:c r="AA61" s="52"/>
      <x:c r="AB61" s="52"/>
      <x:c r="AC61" s="52"/>
      <x:c r="AD61" s="52"/>
      <x:c r="AE61" s="52"/>
      <x:c r="AF61" s="52"/>
      <x:c r="AG61" s="52"/>
      <x:c r="AH61" s="52"/>
      <x:c r="AI61" s="52"/>
      <x:c r="AJ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5"/>
      <x:c r="M62" s="55"/>
      <x:c r="N62" s="55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  <x:c r="AA62" s="52"/>
      <x:c r="AB62" s="52"/>
      <x:c r="AC62" s="52"/>
      <x:c r="AD62" s="52"/>
      <x:c r="AE62" s="52"/>
      <x:c r="AF62" s="52"/>
      <x:c r="AG62" s="52"/>
      <x:c r="AH62" s="52"/>
      <x:c r="AI62" s="52"/>
      <x:c r="AJ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5"/>
      <x:c r="M63" s="55"/>
      <x:c r="N63" s="55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  <x:c r="AA63" s="52"/>
      <x:c r="AB63" s="52"/>
      <x:c r="AC63" s="52"/>
      <x:c r="AD63" s="52"/>
      <x:c r="AE63" s="52"/>
      <x:c r="AF63" s="52"/>
      <x:c r="AG63" s="52"/>
      <x:c r="AH63" s="52"/>
      <x:c r="AI63" s="52"/>
      <x:c r="AJ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5"/>
      <x:c r="M64" s="55"/>
      <x:c r="N64" s="55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  <x:c r="AA64" s="52"/>
      <x:c r="AB64" s="52"/>
      <x:c r="AC64" s="52"/>
      <x:c r="AD64" s="52"/>
      <x:c r="AE64" s="52"/>
      <x:c r="AF64" s="52"/>
      <x:c r="AG64" s="52"/>
      <x:c r="AH64" s="52"/>
      <x:c r="AI64" s="52"/>
      <x:c r="AJ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5"/>
      <x:c r="M65" s="55"/>
      <x:c r="N65" s="55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  <x:c r="AA65" s="52"/>
      <x:c r="AB65" s="52"/>
      <x:c r="AC65" s="52"/>
      <x:c r="AD65" s="52"/>
      <x:c r="AE65" s="52"/>
      <x:c r="AF65" s="52"/>
      <x:c r="AG65" s="52"/>
      <x:c r="AH65" s="52"/>
      <x:c r="AI65" s="52"/>
      <x:c r="AJ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5"/>
      <x:c r="M66" s="55"/>
      <x:c r="N66" s="55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  <x:c r="AA66" s="52"/>
      <x:c r="AB66" s="52"/>
      <x:c r="AC66" s="52"/>
      <x:c r="AD66" s="52"/>
      <x:c r="AE66" s="52"/>
      <x:c r="AF66" s="52"/>
      <x:c r="AG66" s="52"/>
      <x:c r="AH66" s="52"/>
      <x:c r="AI66" s="52"/>
      <x:c r="AJ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5"/>
      <x:c r="M67" s="55"/>
      <x:c r="N67" s="55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  <x:c r="AA67" s="52"/>
      <x:c r="AB67" s="52"/>
      <x:c r="AC67" s="52"/>
      <x:c r="AD67" s="52"/>
      <x:c r="AE67" s="52"/>
      <x:c r="AF67" s="52"/>
      <x:c r="AG67" s="52"/>
      <x:c r="AH67" s="52"/>
      <x:c r="AI67" s="52"/>
      <x:c r="AJ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5"/>
      <x:c r="M68" s="55"/>
      <x:c r="N68" s="55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  <x:c r="AA68" s="52"/>
      <x:c r="AB68" s="52"/>
      <x:c r="AC68" s="52"/>
      <x:c r="AD68" s="52"/>
      <x:c r="AE68" s="52"/>
      <x:c r="AF68" s="52"/>
      <x:c r="AG68" s="52"/>
      <x:c r="AH68" s="52"/>
      <x:c r="AI68" s="52"/>
      <x:c r="AJ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5"/>
      <x:c r="M69" s="55"/>
      <x:c r="N69" s="55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  <x:c r="AA69" s="52"/>
      <x:c r="AB69" s="52"/>
      <x:c r="AC69" s="52"/>
      <x:c r="AD69" s="52"/>
      <x:c r="AE69" s="52"/>
      <x:c r="AF69" s="52"/>
      <x:c r="AG69" s="52"/>
      <x:c r="AH69" s="52"/>
      <x:c r="AI69" s="52"/>
      <x:c r="AJ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5"/>
      <x:c r="M70" s="55"/>
      <x:c r="N70" s="55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  <x:c r="AA70" s="52"/>
      <x:c r="AB70" s="52"/>
      <x:c r="AC70" s="52"/>
      <x:c r="AD70" s="52"/>
      <x:c r="AE70" s="52"/>
      <x:c r="AF70" s="52"/>
      <x:c r="AG70" s="52"/>
      <x:c r="AH70" s="52"/>
      <x:c r="AI70" s="52"/>
      <x:c r="AJ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5"/>
      <x:c r="M71" s="55"/>
      <x:c r="N71" s="55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  <x:c r="AA71" s="52"/>
      <x:c r="AB71" s="52"/>
      <x:c r="AC71" s="52"/>
      <x:c r="AD71" s="52"/>
      <x:c r="AE71" s="52"/>
      <x:c r="AF71" s="52"/>
      <x:c r="AG71" s="52"/>
      <x:c r="AH71" s="52"/>
      <x:c r="AI71" s="52"/>
      <x:c r="AJ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5"/>
      <x:c r="M72" s="55"/>
      <x:c r="N72" s="55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  <x:c r="AA72" s="52"/>
      <x:c r="AB72" s="52"/>
      <x:c r="AC72" s="52"/>
      <x:c r="AD72" s="52"/>
      <x:c r="AE72" s="52"/>
      <x:c r="AF72" s="52"/>
      <x:c r="AG72" s="52"/>
      <x:c r="AH72" s="52"/>
      <x:c r="AI72" s="52"/>
      <x:c r="AJ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5"/>
      <x:c r="M73" s="55"/>
      <x:c r="N73" s="55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  <x:c r="AA73" s="52"/>
      <x:c r="AB73" s="52"/>
      <x:c r="AC73" s="52"/>
      <x:c r="AD73" s="52"/>
      <x:c r="AE73" s="52"/>
      <x:c r="AF73" s="52"/>
      <x:c r="AG73" s="52"/>
      <x:c r="AH73" s="52"/>
      <x:c r="AI73" s="52"/>
      <x:c r="AJ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5"/>
      <x:c r="M74" s="55"/>
      <x:c r="N74" s="55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  <x:c r="AA74" s="52"/>
      <x:c r="AB74" s="52"/>
      <x:c r="AC74" s="52"/>
      <x:c r="AD74" s="52"/>
      <x:c r="AE74" s="52"/>
      <x:c r="AF74" s="52"/>
      <x:c r="AG74" s="52"/>
      <x:c r="AH74" s="52"/>
      <x:c r="AI74" s="52"/>
      <x:c r="AJ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5"/>
      <x:c r="M75" s="55"/>
      <x:c r="N75" s="55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  <x:c r="AA75" s="52"/>
      <x:c r="AB75" s="52"/>
      <x:c r="AC75" s="52"/>
      <x:c r="AD75" s="52"/>
      <x:c r="AE75" s="52"/>
      <x:c r="AF75" s="52"/>
      <x:c r="AG75" s="52"/>
      <x:c r="AH75" s="52"/>
      <x:c r="AI75" s="52"/>
      <x:c r="AJ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5"/>
      <x:c r="M76" s="55"/>
      <x:c r="N76" s="55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  <x:c r="AA76" s="52"/>
      <x:c r="AB76" s="52"/>
      <x:c r="AC76" s="52"/>
      <x:c r="AD76" s="52"/>
      <x:c r="AE76" s="52"/>
      <x:c r="AF76" s="52"/>
      <x:c r="AG76" s="52"/>
      <x:c r="AH76" s="52"/>
      <x:c r="AI76" s="52"/>
      <x:c r="AJ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5"/>
      <x:c r="M77" s="55"/>
      <x:c r="N77" s="55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  <x:c r="AA77" s="52"/>
      <x:c r="AB77" s="52"/>
      <x:c r="AC77" s="52"/>
      <x:c r="AD77" s="52"/>
      <x:c r="AE77" s="52"/>
      <x:c r="AF77" s="52"/>
      <x:c r="AG77" s="52"/>
      <x:c r="AH77" s="52"/>
      <x:c r="AI77" s="52"/>
      <x:c r="AJ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5"/>
      <x:c r="M78" s="55"/>
      <x:c r="N78" s="55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  <x:c r="AA78" s="52"/>
      <x:c r="AB78" s="52"/>
      <x:c r="AC78" s="52"/>
      <x:c r="AD78" s="52"/>
      <x:c r="AE78" s="52"/>
      <x:c r="AF78" s="52"/>
      <x:c r="AG78" s="52"/>
      <x:c r="AH78" s="52"/>
      <x:c r="AI78" s="52"/>
      <x:c r="AJ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5"/>
      <x:c r="M79" s="55"/>
      <x:c r="N79" s="55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  <x:c r="AA79" s="52"/>
      <x:c r="AB79" s="52"/>
      <x:c r="AC79" s="52"/>
      <x:c r="AD79" s="52"/>
      <x:c r="AE79" s="52"/>
      <x:c r="AF79" s="52"/>
      <x:c r="AG79" s="52"/>
      <x:c r="AH79" s="52"/>
      <x:c r="AI79" s="52"/>
      <x:c r="AJ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5"/>
      <x:c r="M80" s="55"/>
      <x:c r="N80" s="55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  <x:c r="AA80" s="52"/>
      <x:c r="AB80" s="52"/>
      <x:c r="AC80" s="52"/>
      <x:c r="AD80" s="52"/>
      <x:c r="AE80" s="52"/>
      <x:c r="AF80" s="52"/>
      <x:c r="AG80" s="52"/>
      <x:c r="AH80" s="52"/>
      <x:c r="AI80" s="52"/>
      <x:c r="AJ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5"/>
      <x:c r="M81" s="55"/>
      <x:c r="N81" s="55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  <x:c r="AA81" s="52"/>
      <x:c r="AB81" s="52"/>
      <x:c r="AC81" s="52"/>
      <x:c r="AD81" s="52"/>
      <x:c r="AE81" s="52"/>
      <x:c r="AF81" s="52"/>
      <x:c r="AG81" s="52"/>
      <x:c r="AH81" s="52"/>
      <x:c r="AI81" s="52"/>
      <x:c r="AJ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5"/>
      <x:c r="M82" s="55"/>
      <x:c r="N82" s="55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  <x:c r="AA82" s="52"/>
      <x:c r="AB82" s="52"/>
      <x:c r="AC82" s="52"/>
      <x:c r="AD82" s="52"/>
      <x:c r="AE82" s="52"/>
      <x:c r="AF82" s="52"/>
      <x:c r="AG82" s="52"/>
      <x:c r="AH82" s="52"/>
      <x:c r="AI82" s="52"/>
      <x:c r="AJ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5"/>
      <x:c r="M83" s="55"/>
      <x:c r="N83" s="55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  <x:c r="AA83" s="52"/>
      <x:c r="AB83" s="52"/>
      <x:c r="AC83" s="52"/>
      <x:c r="AD83" s="52"/>
      <x:c r="AE83" s="52"/>
      <x:c r="AF83" s="52"/>
      <x:c r="AG83" s="52"/>
      <x:c r="AH83" s="52"/>
      <x:c r="AI83" s="52"/>
      <x:c r="AJ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5"/>
      <x:c r="M84" s="55"/>
      <x:c r="N84" s="55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  <x:c r="AA84" s="52"/>
      <x:c r="AB84" s="52"/>
      <x:c r="AC84" s="52"/>
      <x:c r="AD84" s="52"/>
      <x:c r="AE84" s="52"/>
      <x:c r="AF84" s="52"/>
      <x:c r="AG84" s="52"/>
      <x:c r="AH84" s="52"/>
      <x:c r="AI84" s="52"/>
      <x:c r="AJ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5"/>
      <x:c r="M85" s="55"/>
      <x:c r="N85" s="55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  <x:c r="AA85" s="52"/>
      <x:c r="AB85" s="52"/>
      <x:c r="AC85" s="52"/>
      <x:c r="AD85" s="52"/>
      <x:c r="AE85" s="52"/>
      <x:c r="AF85" s="52"/>
      <x:c r="AG85" s="52"/>
      <x:c r="AH85" s="52"/>
      <x:c r="AI85" s="52"/>
      <x:c r="AJ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5"/>
      <x:c r="M86" s="55"/>
      <x:c r="N86" s="55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  <x:c r="AA86" s="52"/>
      <x:c r="AB86" s="52"/>
      <x:c r="AC86" s="52"/>
      <x:c r="AD86" s="52"/>
      <x:c r="AE86" s="52"/>
      <x:c r="AF86" s="52"/>
      <x:c r="AG86" s="52"/>
      <x:c r="AH86" s="52"/>
      <x:c r="AI86" s="52"/>
      <x:c r="AJ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5"/>
      <x:c r="M87" s="55"/>
      <x:c r="N87" s="55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  <x:c r="AA87" s="52"/>
      <x:c r="AB87" s="52"/>
      <x:c r="AC87" s="52"/>
      <x:c r="AD87" s="52"/>
      <x:c r="AE87" s="52"/>
      <x:c r="AF87" s="52"/>
      <x:c r="AG87" s="52"/>
      <x:c r="AH87" s="52"/>
      <x:c r="AI87" s="52"/>
      <x:c r="AJ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5"/>
      <x:c r="M88" s="55"/>
      <x:c r="N88" s="55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  <x:c r="AA88" s="52"/>
      <x:c r="AB88" s="52"/>
      <x:c r="AC88" s="52"/>
      <x:c r="AD88" s="52"/>
      <x:c r="AE88" s="52"/>
      <x:c r="AF88" s="52"/>
      <x:c r="AG88" s="52"/>
      <x:c r="AH88" s="52"/>
      <x:c r="AI88" s="52"/>
      <x:c r="AJ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5"/>
      <x:c r="M89" s="55"/>
      <x:c r="N89" s="55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  <x:c r="AA89" s="52"/>
      <x:c r="AB89" s="52"/>
      <x:c r="AC89" s="52"/>
      <x:c r="AD89" s="52"/>
      <x:c r="AE89" s="52"/>
      <x:c r="AF89" s="52"/>
      <x:c r="AG89" s="52"/>
      <x:c r="AH89" s="52"/>
      <x:c r="AI89" s="52"/>
      <x:c r="AJ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5"/>
      <x:c r="M90" s="55"/>
      <x:c r="N90" s="55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  <x:c r="AA90" s="52"/>
      <x:c r="AB90" s="52"/>
      <x:c r="AC90" s="52"/>
      <x:c r="AD90" s="52"/>
      <x:c r="AE90" s="52"/>
      <x:c r="AF90" s="52"/>
      <x:c r="AG90" s="52"/>
      <x:c r="AH90" s="52"/>
      <x:c r="AI90" s="52"/>
      <x:c r="AJ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5"/>
      <x:c r="M91" s="55"/>
      <x:c r="N91" s="55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  <x:c r="AA91" s="52"/>
      <x:c r="AB91" s="52"/>
      <x:c r="AC91" s="52"/>
      <x:c r="AD91" s="52"/>
      <x:c r="AE91" s="52"/>
      <x:c r="AF91" s="52"/>
      <x:c r="AG91" s="52"/>
      <x:c r="AH91" s="52"/>
      <x:c r="AI91" s="52"/>
      <x:c r="AJ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5"/>
      <x:c r="M92" s="55"/>
      <x:c r="N92" s="55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  <x:c r="AA92" s="52"/>
      <x:c r="AB92" s="52"/>
      <x:c r="AC92" s="52"/>
      <x:c r="AD92" s="52"/>
      <x:c r="AE92" s="52"/>
      <x:c r="AF92" s="52"/>
      <x:c r="AG92" s="52"/>
      <x:c r="AH92" s="52"/>
      <x:c r="AI92" s="52"/>
      <x:c r="AJ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5"/>
      <x:c r="M93" s="55"/>
      <x:c r="N93" s="55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  <x:c r="AA93" s="52"/>
      <x:c r="AB93" s="52"/>
      <x:c r="AC93" s="52"/>
      <x:c r="AD93" s="52"/>
      <x:c r="AE93" s="52"/>
      <x:c r="AF93" s="52"/>
      <x:c r="AG93" s="52"/>
      <x:c r="AH93" s="52"/>
      <x:c r="AI93" s="52"/>
      <x:c r="AJ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5"/>
      <x:c r="M94" s="55"/>
      <x:c r="N94" s="55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  <x:c r="AA94" s="52"/>
      <x:c r="AB94" s="52"/>
      <x:c r="AC94" s="52"/>
      <x:c r="AD94" s="52"/>
      <x:c r="AE94" s="52"/>
      <x:c r="AF94" s="52"/>
      <x:c r="AG94" s="52"/>
      <x:c r="AH94" s="52"/>
      <x:c r="AI94" s="52"/>
      <x:c r="AJ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5"/>
      <x:c r="M95" s="55"/>
      <x:c r="N95" s="55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  <x:c r="AA95" s="52"/>
      <x:c r="AB95" s="52"/>
      <x:c r="AC95" s="52"/>
      <x:c r="AD95" s="52"/>
      <x:c r="AE95" s="52"/>
      <x:c r="AF95" s="52"/>
      <x:c r="AG95" s="52"/>
      <x:c r="AH95" s="52"/>
      <x:c r="AI95" s="52"/>
      <x:c r="AJ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5"/>
      <x:c r="M96" s="55"/>
      <x:c r="N96" s="55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  <x:c r="AA96" s="52"/>
      <x:c r="AB96" s="52"/>
      <x:c r="AC96" s="52"/>
      <x:c r="AD96" s="52"/>
      <x:c r="AE96" s="52"/>
      <x:c r="AF96" s="52"/>
      <x:c r="AG96" s="52"/>
      <x:c r="AH96" s="52"/>
      <x:c r="AI96" s="52"/>
      <x:c r="AJ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5"/>
      <x:c r="M97" s="55"/>
      <x:c r="N97" s="55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  <x:c r="AA97" s="52"/>
      <x:c r="AB97" s="52"/>
      <x:c r="AC97" s="52"/>
      <x:c r="AD97" s="52"/>
      <x:c r="AE97" s="52"/>
      <x:c r="AF97" s="52"/>
      <x:c r="AG97" s="52"/>
      <x:c r="AH97" s="52"/>
      <x:c r="AI97" s="52"/>
      <x:c r="AJ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5"/>
      <x:c r="M98" s="55"/>
      <x:c r="N98" s="55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  <x:c r="AA98" s="52"/>
      <x:c r="AB98" s="52"/>
      <x:c r="AC98" s="52"/>
      <x:c r="AD98" s="52"/>
      <x:c r="AE98" s="52"/>
      <x:c r="AF98" s="52"/>
      <x:c r="AG98" s="52"/>
      <x:c r="AH98" s="52"/>
      <x:c r="AI98" s="52"/>
      <x:c r="AJ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5"/>
      <x:c r="M99" s="55"/>
      <x:c r="N99" s="55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  <x:c r="AA99" s="52"/>
      <x:c r="AB99" s="52"/>
      <x:c r="AC99" s="52"/>
      <x:c r="AD99" s="52"/>
      <x:c r="AE99" s="52"/>
      <x:c r="AF99" s="52"/>
      <x:c r="AG99" s="52"/>
      <x:c r="AH99" s="52"/>
      <x:c r="AI99" s="52"/>
      <x:c r="AJ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5"/>
      <x:c r="M100" s="55"/>
      <x:c r="N100" s="55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  <x:c r="AA100" s="52"/>
      <x:c r="AB100" s="52"/>
      <x:c r="AC100" s="52"/>
      <x:c r="AD100" s="52"/>
      <x:c r="AE100" s="52"/>
      <x:c r="AF100" s="52"/>
      <x:c r="AG100" s="52"/>
      <x:c r="AH100" s="52"/>
      <x:c r="AI100" s="52"/>
      <x:c r="AJ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5"/>
      <x:c r="M101" s="55"/>
      <x:c r="N101" s="55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  <x:c r="AA101" s="52"/>
      <x:c r="AB101" s="52"/>
      <x:c r="AC101" s="52"/>
      <x:c r="AD101" s="52"/>
      <x:c r="AE101" s="52"/>
      <x:c r="AF101" s="52"/>
      <x:c r="AG101" s="52"/>
      <x:c r="AH101" s="52"/>
      <x:c r="AI101" s="52"/>
      <x:c r="AJ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5"/>
      <x:c r="M102" s="55"/>
      <x:c r="N102" s="55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  <x:c r="AA102" s="52"/>
      <x:c r="AB102" s="52"/>
      <x:c r="AC102" s="52"/>
      <x:c r="AD102" s="52"/>
      <x:c r="AE102" s="52"/>
      <x:c r="AF102" s="52"/>
      <x:c r="AG102" s="52"/>
      <x:c r="AH102" s="52"/>
      <x:c r="AI102" s="52"/>
      <x:c r="AJ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5"/>
      <x:c r="M103" s="55"/>
      <x:c r="N103" s="55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  <x:c r="AA103" s="52"/>
      <x:c r="AB103" s="52"/>
      <x:c r="AC103" s="52"/>
      <x:c r="AD103" s="52"/>
      <x:c r="AE103" s="52"/>
      <x:c r="AF103" s="52"/>
      <x:c r="AG103" s="52"/>
      <x:c r="AH103" s="52"/>
      <x:c r="AI103" s="52"/>
      <x:c r="AJ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5"/>
      <x:c r="M104" s="55"/>
      <x:c r="N104" s="55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  <x:c r="AA104" s="52"/>
      <x:c r="AB104" s="52"/>
      <x:c r="AC104" s="52"/>
      <x:c r="AD104" s="52"/>
      <x:c r="AE104" s="52"/>
      <x:c r="AF104" s="52"/>
      <x:c r="AG104" s="52"/>
      <x:c r="AH104" s="52"/>
      <x:c r="AI104" s="52"/>
      <x:c r="AJ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5"/>
      <x:c r="M105" s="55"/>
      <x:c r="N105" s="55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  <x:c r="AA105" s="52"/>
      <x:c r="AB105" s="52"/>
      <x:c r="AC105" s="52"/>
      <x:c r="AD105" s="52"/>
      <x:c r="AE105" s="52"/>
      <x:c r="AF105" s="52"/>
      <x:c r="AG105" s="52"/>
      <x:c r="AH105" s="52"/>
      <x:c r="AI105" s="52"/>
      <x:c r="AJ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5"/>
      <x:c r="M106" s="55"/>
      <x:c r="N106" s="55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  <x:c r="AA106" s="52"/>
      <x:c r="AB106" s="52"/>
      <x:c r="AC106" s="52"/>
      <x:c r="AD106" s="52"/>
      <x:c r="AE106" s="52"/>
      <x:c r="AF106" s="52"/>
      <x:c r="AG106" s="52"/>
      <x:c r="AH106" s="52"/>
      <x:c r="AI106" s="52"/>
      <x:c r="AJ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5"/>
      <x:c r="M107" s="55"/>
      <x:c r="N107" s="55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  <x:c r="AA107" s="52"/>
      <x:c r="AB107" s="52"/>
      <x:c r="AC107" s="52"/>
      <x:c r="AD107" s="52"/>
      <x:c r="AE107" s="52"/>
      <x:c r="AF107" s="52"/>
      <x:c r="AG107" s="52"/>
      <x:c r="AH107" s="52"/>
      <x:c r="AI107" s="52"/>
      <x:c r="AJ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5"/>
      <x:c r="M108" s="55"/>
      <x:c r="N108" s="55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  <x:c r="AA108" s="52"/>
      <x:c r="AB108" s="52"/>
      <x:c r="AC108" s="52"/>
      <x:c r="AD108" s="52"/>
      <x:c r="AE108" s="52"/>
      <x:c r="AF108" s="52"/>
      <x:c r="AG108" s="52"/>
      <x:c r="AH108" s="52"/>
      <x:c r="AI108" s="52"/>
      <x:c r="AJ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5"/>
      <x:c r="M109" s="55"/>
      <x:c r="N109" s="55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  <x:c r="AA109" s="52"/>
      <x:c r="AB109" s="52"/>
      <x:c r="AC109" s="52"/>
      <x:c r="AD109" s="52"/>
      <x:c r="AE109" s="52"/>
      <x:c r="AF109" s="52"/>
      <x:c r="AG109" s="52"/>
      <x:c r="AH109" s="52"/>
      <x:c r="AI109" s="52"/>
      <x:c r="AJ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5"/>
      <x:c r="M110" s="55"/>
      <x:c r="N110" s="55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  <x:c r="AA110" s="52"/>
      <x:c r="AB110" s="52"/>
      <x:c r="AC110" s="52"/>
      <x:c r="AD110" s="52"/>
      <x:c r="AE110" s="52"/>
      <x:c r="AF110" s="52"/>
      <x:c r="AG110" s="52"/>
      <x:c r="AH110" s="52"/>
      <x:c r="AI110" s="52"/>
      <x:c r="AJ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5"/>
      <x:c r="M111" s="55"/>
      <x:c r="N111" s="55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  <x:c r="AA111" s="52"/>
      <x:c r="AB111" s="52"/>
      <x:c r="AC111" s="52"/>
      <x:c r="AD111" s="52"/>
      <x:c r="AE111" s="52"/>
      <x:c r="AF111" s="52"/>
      <x:c r="AG111" s="52"/>
      <x:c r="AH111" s="52"/>
      <x:c r="AI111" s="52"/>
      <x:c r="AJ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5"/>
      <x:c r="M112" s="55"/>
      <x:c r="N112" s="55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  <x:c r="AA112" s="52"/>
      <x:c r="AB112" s="52"/>
      <x:c r="AC112" s="52"/>
      <x:c r="AD112" s="52"/>
      <x:c r="AE112" s="52"/>
      <x:c r="AF112" s="52"/>
      <x:c r="AG112" s="52"/>
      <x:c r="AH112" s="52"/>
      <x:c r="AI112" s="52"/>
      <x:c r="AJ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5"/>
      <x:c r="M113" s="55"/>
      <x:c r="N113" s="55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  <x:c r="AA113" s="52"/>
      <x:c r="AB113" s="52"/>
      <x:c r="AC113" s="52"/>
      <x:c r="AD113" s="52"/>
      <x:c r="AE113" s="52"/>
      <x:c r="AF113" s="52"/>
      <x:c r="AG113" s="52"/>
      <x:c r="AH113" s="52"/>
      <x:c r="AI113" s="52"/>
      <x:c r="AJ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5"/>
      <x:c r="M114" s="55"/>
      <x:c r="N114" s="55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  <x:c r="AJ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5"/>
      <x:c r="M115" s="55"/>
      <x:c r="N115" s="55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  <x:c r="AA115" s="52"/>
      <x:c r="AB115" s="52"/>
      <x:c r="AC115" s="52"/>
      <x:c r="AD115" s="52"/>
      <x:c r="AE115" s="52"/>
      <x:c r="AF115" s="52"/>
      <x:c r="AG115" s="52"/>
      <x:c r="AH115" s="52"/>
      <x:c r="AI115" s="52"/>
      <x:c r="AJ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5"/>
      <x:c r="M116" s="55"/>
      <x:c r="N116" s="55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  <x:c r="AA116" s="52"/>
      <x:c r="AB116" s="52"/>
      <x:c r="AC116" s="52"/>
      <x:c r="AD116" s="52"/>
      <x:c r="AE116" s="52"/>
      <x:c r="AF116" s="52"/>
      <x:c r="AG116" s="52"/>
      <x:c r="AH116" s="52"/>
      <x:c r="AI116" s="52"/>
      <x:c r="AJ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5"/>
      <x:c r="M117" s="55"/>
      <x:c r="N117" s="55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  <x:c r="AA117" s="52"/>
      <x:c r="AB117" s="52"/>
      <x:c r="AC117" s="52"/>
      <x:c r="AD117" s="52"/>
      <x:c r="AE117" s="52"/>
      <x:c r="AF117" s="52"/>
      <x:c r="AG117" s="52"/>
      <x:c r="AH117" s="52"/>
      <x:c r="AI117" s="52"/>
      <x:c r="AJ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5"/>
      <x:c r="M118" s="55"/>
      <x:c r="N118" s="55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  <x:c r="AA118" s="52"/>
      <x:c r="AB118" s="52"/>
      <x:c r="AC118" s="52"/>
      <x:c r="AD118" s="52"/>
      <x:c r="AE118" s="52"/>
      <x:c r="AF118" s="52"/>
      <x:c r="AG118" s="52"/>
      <x:c r="AH118" s="52"/>
      <x:c r="AI118" s="52"/>
      <x:c r="AJ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5"/>
      <x:c r="M119" s="55"/>
      <x:c r="N119" s="55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  <x:c r="Y119" s="52"/>
      <x:c r="Z119" s="52"/>
      <x:c r="AA119" s="52"/>
      <x:c r="AB119" s="52"/>
      <x:c r="AC119" s="52"/>
      <x:c r="AD119" s="52"/>
      <x:c r="AE119" s="52"/>
      <x:c r="AF119" s="52"/>
      <x:c r="AG119" s="52"/>
      <x:c r="AH119" s="52"/>
      <x:c r="AI119" s="52"/>
      <x:c r="AJ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5"/>
      <x:c r="M120" s="55"/>
      <x:c r="N120" s="55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  <x:c r="Y120" s="52"/>
      <x:c r="Z120" s="52"/>
      <x:c r="AA120" s="52"/>
      <x:c r="AB120" s="52"/>
      <x:c r="AC120" s="52"/>
      <x:c r="AD120" s="52"/>
      <x:c r="AE120" s="52"/>
      <x:c r="AF120" s="52"/>
      <x:c r="AG120" s="52"/>
      <x:c r="AH120" s="52"/>
      <x:c r="AI120" s="52"/>
      <x:c r="AJ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5"/>
      <x:c r="M121" s="55"/>
      <x:c r="N121" s="55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  <x:c r="Y121" s="52"/>
      <x:c r="Z121" s="52"/>
      <x:c r="AA121" s="52"/>
      <x:c r="AB121" s="52"/>
      <x:c r="AC121" s="52"/>
      <x:c r="AD121" s="52"/>
      <x:c r="AE121" s="52"/>
      <x:c r="AF121" s="52"/>
      <x:c r="AG121" s="52"/>
      <x:c r="AH121" s="52"/>
      <x:c r="AI121" s="52"/>
      <x:c r="AJ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5"/>
      <x:c r="M122" s="55"/>
      <x:c r="N122" s="55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  <x:c r="Y122" s="52"/>
      <x:c r="Z122" s="52"/>
      <x:c r="AA122" s="52"/>
      <x:c r="AB122" s="52"/>
      <x:c r="AC122" s="52"/>
      <x:c r="AD122" s="52"/>
      <x:c r="AE122" s="52"/>
      <x:c r="AF122" s="52"/>
      <x:c r="AG122" s="52"/>
      <x:c r="AH122" s="52"/>
      <x:c r="AI122" s="52"/>
      <x:c r="AJ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5"/>
      <x:c r="M123" s="55"/>
      <x:c r="N123" s="55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  <x:c r="Y123" s="52"/>
      <x:c r="Z123" s="52"/>
      <x:c r="AA123" s="52"/>
      <x:c r="AB123" s="52"/>
      <x:c r="AC123" s="52"/>
      <x:c r="AD123" s="52"/>
      <x:c r="AE123" s="52"/>
      <x:c r="AF123" s="52"/>
      <x:c r="AG123" s="52"/>
      <x:c r="AH123" s="52"/>
      <x:c r="AI123" s="52"/>
      <x:c r="AJ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5"/>
      <x:c r="M124" s="55"/>
      <x:c r="N124" s="55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  <x:c r="Y124" s="52"/>
      <x:c r="Z124" s="52"/>
      <x:c r="AA124" s="52"/>
      <x:c r="AB124" s="52"/>
      <x:c r="AC124" s="52"/>
      <x:c r="AD124" s="52"/>
      <x:c r="AE124" s="52"/>
      <x:c r="AF124" s="52"/>
      <x:c r="AG124" s="52"/>
      <x:c r="AH124" s="52"/>
      <x:c r="AI124" s="52"/>
      <x:c r="AJ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5"/>
      <x:c r="M125" s="55"/>
      <x:c r="N125" s="55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  <x:c r="Y125" s="52"/>
      <x:c r="Z125" s="52"/>
      <x:c r="AA125" s="52"/>
      <x:c r="AB125" s="52"/>
      <x:c r="AC125" s="52"/>
      <x:c r="AD125" s="52"/>
      <x:c r="AE125" s="52"/>
      <x:c r="AF125" s="52"/>
      <x:c r="AG125" s="52"/>
      <x:c r="AH125" s="52"/>
      <x:c r="AI125" s="52"/>
      <x:c r="AJ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5"/>
      <x:c r="M126" s="55"/>
      <x:c r="N126" s="55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  <x:c r="Y126" s="52"/>
      <x:c r="Z126" s="52"/>
      <x:c r="AA126" s="52"/>
      <x:c r="AB126" s="52"/>
      <x:c r="AC126" s="52"/>
      <x:c r="AD126" s="52"/>
      <x:c r="AE126" s="52"/>
      <x:c r="AF126" s="52"/>
      <x:c r="AG126" s="52"/>
      <x:c r="AH126" s="52"/>
      <x:c r="AI126" s="52"/>
      <x:c r="AJ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5"/>
      <x:c r="M127" s="55"/>
      <x:c r="N127" s="55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  <x:c r="Y127" s="52"/>
      <x:c r="Z127" s="52"/>
      <x:c r="AA127" s="52"/>
      <x:c r="AB127" s="52"/>
      <x:c r="AC127" s="52"/>
      <x:c r="AD127" s="52"/>
      <x:c r="AE127" s="52"/>
      <x:c r="AF127" s="52"/>
      <x:c r="AG127" s="52"/>
      <x:c r="AH127" s="52"/>
      <x:c r="AI127" s="52"/>
      <x:c r="AJ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5"/>
      <x:c r="M128" s="55"/>
      <x:c r="N128" s="55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  <x:c r="Y128" s="52"/>
      <x:c r="Z128" s="52"/>
      <x:c r="AA128" s="52"/>
      <x:c r="AB128" s="52"/>
      <x:c r="AC128" s="52"/>
      <x:c r="AD128" s="52"/>
      <x:c r="AE128" s="52"/>
      <x:c r="AF128" s="52"/>
      <x:c r="AG128" s="52"/>
      <x:c r="AH128" s="52"/>
      <x:c r="AI128" s="52"/>
      <x:c r="AJ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5"/>
      <x:c r="M129" s="55"/>
      <x:c r="N129" s="55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  <x:c r="Y129" s="52"/>
      <x:c r="Z129" s="52"/>
      <x:c r="AA129" s="52"/>
      <x:c r="AB129" s="52"/>
      <x:c r="AC129" s="52"/>
      <x:c r="AD129" s="52"/>
      <x:c r="AE129" s="52"/>
      <x:c r="AF129" s="52"/>
      <x:c r="AG129" s="52"/>
      <x:c r="AH129" s="52"/>
      <x:c r="AI129" s="52"/>
      <x:c r="AJ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5"/>
      <x:c r="M130" s="55"/>
      <x:c r="N130" s="55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  <x:c r="Y130" s="52"/>
      <x:c r="Z130" s="52"/>
      <x:c r="AA130" s="52"/>
      <x:c r="AB130" s="52"/>
      <x:c r="AC130" s="52"/>
      <x:c r="AD130" s="52"/>
      <x:c r="AE130" s="52"/>
      <x:c r="AF130" s="52"/>
      <x:c r="AG130" s="52"/>
      <x:c r="AH130" s="52"/>
      <x:c r="AI130" s="52"/>
      <x:c r="AJ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5"/>
      <x:c r="M131" s="55"/>
      <x:c r="N131" s="55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  <x:c r="Y131" s="52"/>
      <x:c r="Z131" s="52"/>
      <x:c r="AA131" s="52"/>
      <x:c r="AB131" s="52"/>
      <x:c r="AC131" s="52"/>
      <x:c r="AD131" s="52"/>
      <x:c r="AE131" s="52"/>
      <x:c r="AF131" s="52"/>
      <x:c r="AG131" s="52"/>
      <x:c r="AH131" s="52"/>
      <x:c r="AI131" s="52"/>
      <x:c r="AJ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5"/>
      <x:c r="M132" s="55"/>
      <x:c r="N132" s="55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  <x:c r="Y132" s="52"/>
      <x:c r="Z132" s="52"/>
      <x:c r="AA132" s="52"/>
      <x:c r="AB132" s="52"/>
      <x:c r="AC132" s="52"/>
      <x:c r="AD132" s="52"/>
      <x:c r="AE132" s="52"/>
      <x:c r="AF132" s="52"/>
      <x:c r="AG132" s="52"/>
      <x:c r="AH132" s="52"/>
      <x:c r="AI132" s="52"/>
      <x:c r="AJ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5"/>
      <x:c r="M133" s="55"/>
      <x:c r="N133" s="55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  <x:c r="Y133" s="52"/>
      <x:c r="Z133" s="52"/>
      <x:c r="AA133" s="52"/>
      <x:c r="AB133" s="52"/>
      <x:c r="AC133" s="52"/>
      <x:c r="AD133" s="52"/>
      <x:c r="AE133" s="52"/>
      <x:c r="AF133" s="52"/>
      <x:c r="AG133" s="52"/>
      <x:c r="AH133" s="52"/>
      <x:c r="AI133" s="52"/>
      <x:c r="AJ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5"/>
      <x:c r="M134" s="55"/>
      <x:c r="N134" s="55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  <x:c r="Y134" s="52"/>
      <x:c r="Z134" s="52"/>
      <x:c r="AA134" s="52"/>
      <x:c r="AB134" s="52"/>
      <x:c r="AC134" s="52"/>
      <x:c r="AD134" s="52"/>
      <x:c r="AE134" s="52"/>
      <x:c r="AF134" s="52"/>
      <x:c r="AG134" s="52"/>
      <x:c r="AH134" s="52"/>
      <x:c r="AI134" s="52"/>
      <x:c r="AJ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5"/>
      <x:c r="M135" s="55"/>
      <x:c r="N135" s="55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  <x:c r="Y135" s="52"/>
      <x:c r="Z135" s="52"/>
      <x:c r="AA135" s="52"/>
      <x:c r="AB135" s="52"/>
      <x:c r="AC135" s="52"/>
      <x:c r="AD135" s="52"/>
      <x:c r="AE135" s="52"/>
      <x:c r="AF135" s="52"/>
      <x:c r="AG135" s="52"/>
      <x:c r="AH135" s="52"/>
      <x:c r="AI135" s="52"/>
      <x:c r="AJ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5"/>
      <x:c r="M136" s="55"/>
      <x:c r="N136" s="55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  <x:c r="Y136" s="52"/>
      <x:c r="Z136" s="52"/>
      <x:c r="AA136" s="52"/>
      <x:c r="AB136" s="52"/>
      <x:c r="AC136" s="52"/>
      <x:c r="AD136" s="52"/>
      <x:c r="AE136" s="52"/>
      <x:c r="AF136" s="52"/>
      <x:c r="AG136" s="52"/>
      <x:c r="AH136" s="52"/>
      <x:c r="AI136" s="52"/>
      <x:c r="AJ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5"/>
      <x:c r="M137" s="55"/>
      <x:c r="N137" s="55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  <x:c r="Y137" s="52"/>
      <x:c r="Z137" s="52"/>
      <x:c r="AA137" s="52"/>
      <x:c r="AB137" s="52"/>
      <x:c r="AC137" s="52"/>
      <x:c r="AD137" s="52"/>
      <x:c r="AE137" s="52"/>
      <x:c r="AF137" s="52"/>
      <x:c r="AG137" s="52"/>
      <x:c r="AH137" s="52"/>
      <x:c r="AI137" s="52"/>
      <x:c r="AJ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5"/>
      <x:c r="M138" s="55"/>
      <x:c r="N138" s="55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  <x:c r="Y138" s="52"/>
      <x:c r="Z138" s="52"/>
      <x:c r="AA138" s="52"/>
      <x:c r="AB138" s="52"/>
      <x:c r="AC138" s="52"/>
      <x:c r="AD138" s="52"/>
      <x:c r="AE138" s="52"/>
      <x:c r="AF138" s="52"/>
      <x:c r="AG138" s="52"/>
      <x:c r="AH138" s="52"/>
      <x:c r="AI138" s="52"/>
      <x:c r="AJ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5"/>
      <x:c r="M139" s="55"/>
      <x:c r="N139" s="55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  <x:c r="Y139" s="52"/>
      <x:c r="Z139" s="52"/>
      <x:c r="AA139" s="52"/>
      <x:c r="AB139" s="52"/>
      <x:c r="AC139" s="52"/>
      <x:c r="AD139" s="52"/>
      <x:c r="AE139" s="52"/>
      <x:c r="AF139" s="52"/>
      <x:c r="AG139" s="52"/>
      <x:c r="AH139" s="52"/>
      <x:c r="AI139" s="52"/>
      <x:c r="AJ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5"/>
      <x:c r="M140" s="55"/>
      <x:c r="N140" s="55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  <x:c r="Y140" s="52"/>
      <x:c r="Z140" s="52"/>
      <x:c r="AA140" s="52"/>
      <x:c r="AB140" s="52"/>
      <x:c r="AC140" s="52"/>
      <x:c r="AD140" s="52"/>
      <x:c r="AE140" s="52"/>
      <x:c r="AF140" s="52"/>
      <x:c r="AG140" s="52"/>
      <x:c r="AH140" s="52"/>
      <x:c r="AI140" s="52"/>
      <x:c r="AJ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5"/>
      <x:c r="M141" s="55"/>
      <x:c r="N141" s="55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  <x:c r="Y141" s="52"/>
      <x:c r="Z141" s="52"/>
      <x:c r="AA141" s="52"/>
      <x:c r="AB141" s="52"/>
      <x:c r="AC141" s="52"/>
      <x:c r="AD141" s="52"/>
      <x:c r="AE141" s="52"/>
      <x:c r="AF141" s="52"/>
      <x:c r="AG141" s="52"/>
      <x:c r="AH141" s="52"/>
      <x:c r="AI141" s="52"/>
      <x:c r="AJ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5"/>
      <x:c r="M142" s="55"/>
      <x:c r="N142" s="55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  <x:c r="Y142" s="52"/>
      <x:c r="Z142" s="52"/>
      <x:c r="AA142" s="52"/>
      <x:c r="AB142" s="52"/>
      <x:c r="AC142" s="52"/>
      <x:c r="AD142" s="52"/>
      <x:c r="AE142" s="52"/>
      <x:c r="AF142" s="52"/>
      <x:c r="AG142" s="52"/>
      <x:c r="AH142" s="52"/>
      <x:c r="AI142" s="52"/>
      <x:c r="AJ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5"/>
      <x:c r="M143" s="55"/>
      <x:c r="N143" s="55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  <x:c r="Y143" s="52"/>
      <x:c r="Z143" s="52"/>
      <x:c r="AA143" s="52"/>
      <x:c r="AB143" s="52"/>
      <x:c r="AC143" s="52"/>
      <x:c r="AD143" s="52"/>
      <x:c r="AE143" s="52"/>
      <x:c r="AF143" s="52"/>
      <x:c r="AG143" s="52"/>
      <x:c r="AH143" s="52"/>
      <x:c r="AI143" s="52"/>
      <x:c r="AJ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5"/>
      <x:c r="M144" s="55"/>
      <x:c r="N144" s="55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  <x:c r="Y144" s="52"/>
      <x:c r="Z144" s="52"/>
      <x:c r="AA144" s="52"/>
      <x:c r="AB144" s="52"/>
      <x:c r="AC144" s="52"/>
      <x:c r="AD144" s="52"/>
      <x:c r="AE144" s="52"/>
      <x:c r="AF144" s="52"/>
      <x:c r="AG144" s="52"/>
      <x:c r="AH144" s="52"/>
      <x:c r="AI144" s="52"/>
      <x:c r="AJ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5"/>
      <x:c r="M145" s="55"/>
      <x:c r="N145" s="55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  <x:c r="Y145" s="52"/>
      <x:c r="Z145" s="52"/>
      <x:c r="AA145" s="52"/>
      <x:c r="AB145" s="52"/>
      <x:c r="AC145" s="52"/>
      <x:c r="AD145" s="52"/>
      <x:c r="AE145" s="52"/>
      <x:c r="AF145" s="52"/>
      <x:c r="AG145" s="52"/>
      <x:c r="AH145" s="52"/>
      <x:c r="AI145" s="52"/>
      <x:c r="AJ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5"/>
      <x:c r="M146" s="55"/>
      <x:c r="N146" s="55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  <x:c r="Y146" s="52"/>
      <x:c r="Z146" s="52"/>
      <x:c r="AA146" s="52"/>
      <x:c r="AB146" s="52"/>
      <x:c r="AC146" s="52"/>
      <x:c r="AD146" s="52"/>
      <x:c r="AE146" s="52"/>
      <x:c r="AF146" s="52"/>
      <x:c r="AG146" s="52"/>
      <x:c r="AH146" s="52"/>
      <x:c r="AI146" s="52"/>
      <x:c r="AJ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5"/>
      <x:c r="M147" s="55"/>
      <x:c r="N147" s="55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  <x:c r="Y147" s="52"/>
      <x:c r="Z147" s="52"/>
      <x:c r="AA147" s="52"/>
      <x:c r="AB147" s="52"/>
      <x:c r="AC147" s="52"/>
      <x:c r="AD147" s="52"/>
      <x:c r="AE147" s="52"/>
      <x:c r="AF147" s="52"/>
      <x:c r="AG147" s="52"/>
      <x:c r="AH147" s="52"/>
      <x:c r="AI147" s="52"/>
      <x:c r="AJ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5"/>
      <x:c r="M148" s="55"/>
      <x:c r="N148" s="55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  <x:c r="Y148" s="52"/>
      <x:c r="Z148" s="52"/>
      <x:c r="AA148" s="52"/>
      <x:c r="AB148" s="52"/>
      <x:c r="AC148" s="52"/>
      <x:c r="AD148" s="52"/>
      <x:c r="AE148" s="52"/>
      <x:c r="AF148" s="52"/>
      <x:c r="AG148" s="52"/>
      <x:c r="AH148" s="52"/>
      <x:c r="AI148" s="52"/>
      <x:c r="AJ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5"/>
      <x:c r="M149" s="55"/>
      <x:c r="N149" s="55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  <x:c r="Y149" s="52"/>
      <x:c r="Z149" s="52"/>
      <x:c r="AA149" s="52"/>
      <x:c r="AB149" s="52"/>
      <x:c r="AC149" s="52"/>
      <x:c r="AD149" s="52"/>
      <x:c r="AE149" s="52"/>
      <x:c r="AF149" s="52"/>
      <x:c r="AG149" s="52"/>
      <x:c r="AH149" s="52"/>
      <x:c r="AI149" s="52"/>
      <x:c r="AJ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5"/>
      <x:c r="M150" s="55"/>
      <x:c r="N150" s="55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  <x:c r="Y150" s="52"/>
      <x:c r="Z150" s="52"/>
      <x:c r="AA150" s="52"/>
      <x:c r="AB150" s="52"/>
      <x:c r="AC150" s="52"/>
      <x:c r="AD150" s="52"/>
      <x:c r="AE150" s="52"/>
      <x:c r="AF150" s="52"/>
      <x:c r="AG150" s="52"/>
      <x:c r="AH150" s="52"/>
      <x:c r="AI150" s="52"/>
      <x:c r="AJ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5"/>
      <x:c r="M151" s="55"/>
      <x:c r="N151" s="55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  <x:c r="Y151" s="52"/>
      <x:c r="Z151" s="52"/>
      <x:c r="AA151" s="52"/>
      <x:c r="AB151" s="52"/>
      <x:c r="AC151" s="52"/>
      <x:c r="AD151" s="52"/>
      <x:c r="AE151" s="52"/>
      <x:c r="AF151" s="52"/>
      <x:c r="AG151" s="52"/>
      <x:c r="AH151" s="52"/>
      <x:c r="AI151" s="52"/>
      <x:c r="AJ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5"/>
      <x:c r="M152" s="55"/>
      <x:c r="N152" s="55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  <x:c r="Y152" s="52"/>
      <x:c r="Z152" s="52"/>
      <x:c r="AA152" s="52"/>
      <x:c r="AB152" s="52"/>
      <x:c r="AC152" s="52"/>
      <x:c r="AD152" s="52"/>
      <x:c r="AE152" s="52"/>
      <x:c r="AF152" s="52"/>
      <x:c r="AG152" s="52"/>
      <x:c r="AH152" s="52"/>
      <x:c r="AI152" s="52"/>
      <x:c r="AJ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5"/>
      <x:c r="M153" s="55"/>
      <x:c r="N153" s="55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  <x:c r="Y153" s="52"/>
      <x:c r="Z153" s="52"/>
      <x:c r="AA153" s="52"/>
      <x:c r="AB153" s="52"/>
      <x:c r="AC153" s="52"/>
      <x:c r="AD153" s="52"/>
      <x:c r="AE153" s="52"/>
      <x:c r="AF153" s="52"/>
      <x:c r="AG153" s="52"/>
      <x:c r="AH153" s="52"/>
      <x:c r="AI153" s="52"/>
      <x:c r="AJ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5"/>
      <x:c r="M154" s="55"/>
      <x:c r="N154" s="55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  <x:c r="Y154" s="52"/>
      <x:c r="Z154" s="52"/>
      <x:c r="AA154" s="52"/>
      <x:c r="AB154" s="52"/>
      <x:c r="AC154" s="52"/>
      <x:c r="AD154" s="52"/>
      <x:c r="AE154" s="52"/>
      <x:c r="AF154" s="52"/>
      <x:c r="AG154" s="52"/>
      <x:c r="AH154" s="52"/>
      <x:c r="AI154" s="52"/>
      <x:c r="AJ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5"/>
      <x:c r="M155" s="55"/>
      <x:c r="N155" s="55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  <x:c r="Y155" s="52"/>
      <x:c r="Z155" s="52"/>
      <x:c r="AA155" s="52"/>
      <x:c r="AB155" s="52"/>
      <x:c r="AC155" s="52"/>
      <x:c r="AD155" s="52"/>
      <x:c r="AE155" s="52"/>
      <x:c r="AF155" s="52"/>
      <x:c r="AG155" s="52"/>
      <x:c r="AH155" s="52"/>
      <x:c r="AI155" s="52"/>
      <x:c r="AJ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5"/>
      <x:c r="M156" s="55"/>
      <x:c r="N156" s="55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  <x:c r="Y156" s="52"/>
      <x:c r="Z156" s="52"/>
      <x:c r="AA156" s="52"/>
      <x:c r="AB156" s="52"/>
      <x:c r="AC156" s="52"/>
      <x:c r="AD156" s="52"/>
      <x:c r="AE156" s="52"/>
      <x:c r="AF156" s="52"/>
      <x:c r="AG156" s="52"/>
      <x:c r="AH156" s="52"/>
      <x:c r="AI156" s="52"/>
      <x:c r="AJ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5"/>
      <x:c r="M157" s="55"/>
      <x:c r="N157" s="55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  <x:c r="Y157" s="52"/>
      <x:c r="Z157" s="52"/>
      <x:c r="AA157" s="52"/>
      <x:c r="AB157" s="52"/>
      <x:c r="AC157" s="52"/>
      <x:c r="AD157" s="52"/>
      <x:c r="AE157" s="52"/>
      <x:c r="AF157" s="52"/>
      <x:c r="AG157" s="52"/>
      <x:c r="AH157" s="52"/>
      <x:c r="AI157" s="52"/>
      <x:c r="AJ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5"/>
      <x:c r="M158" s="55"/>
      <x:c r="N158" s="55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  <x:c r="Y158" s="52"/>
      <x:c r="Z158" s="52"/>
      <x:c r="AA158" s="52"/>
      <x:c r="AB158" s="52"/>
      <x:c r="AC158" s="52"/>
      <x:c r="AD158" s="52"/>
      <x:c r="AE158" s="52"/>
      <x:c r="AF158" s="52"/>
      <x:c r="AG158" s="52"/>
      <x:c r="AH158" s="52"/>
      <x:c r="AI158" s="52"/>
      <x:c r="AJ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5"/>
      <x:c r="M159" s="55"/>
      <x:c r="N159" s="55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  <x:c r="Y159" s="52"/>
      <x:c r="Z159" s="52"/>
      <x:c r="AA159" s="52"/>
      <x:c r="AB159" s="52"/>
      <x:c r="AC159" s="52"/>
      <x:c r="AD159" s="52"/>
      <x:c r="AE159" s="52"/>
      <x:c r="AF159" s="52"/>
      <x:c r="AG159" s="52"/>
      <x:c r="AH159" s="52"/>
      <x:c r="AI159" s="52"/>
      <x:c r="AJ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5"/>
      <x:c r="M160" s="55"/>
      <x:c r="N160" s="55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  <x:c r="Y160" s="52"/>
      <x:c r="Z160" s="52"/>
      <x:c r="AA160" s="52"/>
      <x:c r="AB160" s="52"/>
      <x:c r="AC160" s="52"/>
      <x:c r="AD160" s="52"/>
      <x:c r="AE160" s="52"/>
      <x:c r="AF160" s="52"/>
      <x:c r="AG160" s="52"/>
      <x:c r="AH160" s="52"/>
      <x:c r="AI160" s="52"/>
      <x:c r="AJ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5"/>
      <x:c r="M161" s="55"/>
      <x:c r="N161" s="55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  <x:c r="Y161" s="52"/>
      <x:c r="Z161" s="52"/>
      <x:c r="AA161" s="52"/>
      <x:c r="AB161" s="52"/>
      <x:c r="AC161" s="52"/>
      <x:c r="AD161" s="52"/>
      <x:c r="AE161" s="52"/>
      <x:c r="AF161" s="52"/>
      <x:c r="AG161" s="52"/>
      <x:c r="AH161" s="52"/>
      <x:c r="AI161" s="52"/>
      <x:c r="AJ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5"/>
      <x:c r="M162" s="55"/>
      <x:c r="N162" s="55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  <x:c r="Y162" s="52"/>
      <x:c r="Z162" s="52"/>
      <x:c r="AA162" s="52"/>
      <x:c r="AB162" s="52"/>
      <x:c r="AC162" s="52"/>
      <x:c r="AD162" s="52"/>
      <x:c r="AE162" s="52"/>
      <x:c r="AF162" s="52"/>
      <x:c r="AG162" s="52"/>
      <x:c r="AH162" s="52"/>
      <x:c r="AI162" s="52"/>
      <x:c r="AJ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5"/>
      <x:c r="M163" s="55"/>
      <x:c r="N163" s="55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  <x:c r="Y163" s="52"/>
      <x:c r="Z163" s="52"/>
      <x:c r="AA163" s="52"/>
      <x:c r="AB163" s="52"/>
      <x:c r="AC163" s="52"/>
      <x:c r="AD163" s="52"/>
      <x:c r="AE163" s="52"/>
      <x:c r="AF163" s="52"/>
      <x:c r="AG163" s="52"/>
      <x:c r="AH163" s="52"/>
      <x:c r="AI163" s="52"/>
      <x:c r="AJ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5"/>
      <x:c r="M164" s="55"/>
      <x:c r="N164" s="55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  <x:c r="Y164" s="52"/>
      <x:c r="Z164" s="52"/>
      <x:c r="AA164" s="52"/>
      <x:c r="AB164" s="52"/>
      <x:c r="AC164" s="52"/>
      <x:c r="AD164" s="52"/>
      <x:c r="AE164" s="52"/>
      <x:c r="AF164" s="52"/>
      <x:c r="AG164" s="52"/>
      <x:c r="AH164" s="52"/>
      <x:c r="AI164" s="52"/>
      <x:c r="AJ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5"/>
      <x:c r="M165" s="55"/>
      <x:c r="N165" s="55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  <x:c r="Y165" s="52"/>
      <x:c r="Z165" s="52"/>
      <x:c r="AA165" s="52"/>
      <x:c r="AB165" s="52"/>
      <x:c r="AC165" s="52"/>
      <x:c r="AD165" s="52"/>
      <x:c r="AE165" s="52"/>
      <x:c r="AF165" s="52"/>
      <x:c r="AG165" s="52"/>
      <x:c r="AH165" s="52"/>
      <x:c r="AI165" s="52"/>
      <x:c r="AJ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5"/>
      <x:c r="M166" s="55"/>
      <x:c r="N166" s="55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  <x:c r="Y166" s="52"/>
      <x:c r="Z166" s="52"/>
      <x:c r="AA166" s="52"/>
      <x:c r="AB166" s="52"/>
      <x:c r="AC166" s="52"/>
      <x:c r="AD166" s="52"/>
      <x:c r="AE166" s="52"/>
      <x:c r="AF166" s="52"/>
      <x:c r="AG166" s="52"/>
      <x:c r="AH166" s="52"/>
      <x:c r="AI166" s="52"/>
      <x:c r="AJ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5"/>
      <x:c r="M167" s="55"/>
      <x:c r="N167" s="55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  <x:c r="Y167" s="52"/>
      <x:c r="Z167" s="52"/>
      <x:c r="AA167" s="52"/>
      <x:c r="AB167" s="52"/>
      <x:c r="AC167" s="52"/>
      <x:c r="AD167" s="52"/>
      <x:c r="AE167" s="52"/>
      <x:c r="AF167" s="52"/>
      <x:c r="AG167" s="52"/>
      <x:c r="AH167" s="52"/>
      <x:c r="AI167" s="52"/>
      <x:c r="AJ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5"/>
      <x:c r="M168" s="55"/>
      <x:c r="N168" s="55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  <x:c r="Y168" s="52"/>
      <x:c r="Z168" s="52"/>
      <x:c r="AA168" s="52"/>
      <x:c r="AB168" s="52"/>
      <x:c r="AC168" s="52"/>
      <x:c r="AD168" s="52"/>
      <x:c r="AE168" s="52"/>
      <x:c r="AF168" s="52"/>
      <x:c r="AG168" s="52"/>
      <x:c r="AH168" s="52"/>
      <x:c r="AI168" s="52"/>
      <x:c r="AJ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5"/>
      <x:c r="M169" s="55"/>
      <x:c r="N169" s="55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  <x:c r="Y169" s="52"/>
      <x:c r="Z169" s="52"/>
      <x:c r="AA169" s="52"/>
      <x:c r="AB169" s="52"/>
      <x:c r="AC169" s="52"/>
      <x:c r="AD169" s="52"/>
      <x:c r="AE169" s="52"/>
      <x:c r="AF169" s="52"/>
      <x:c r="AG169" s="52"/>
      <x:c r="AH169" s="52"/>
      <x:c r="AI169" s="52"/>
      <x:c r="AJ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5"/>
      <x:c r="M170" s="55"/>
      <x:c r="N170" s="55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  <x:c r="Y170" s="52"/>
      <x:c r="Z170" s="52"/>
      <x:c r="AA170" s="52"/>
      <x:c r="AB170" s="52"/>
      <x:c r="AC170" s="52"/>
      <x:c r="AD170" s="52"/>
      <x:c r="AE170" s="52"/>
      <x:c r="AF170" s="52"/>
      <x:c r="AG170" s="52"/>
      <x:c r="AH170" s="52"/>
      <x:c r="AI170" s="52"/>
      <x:c r="AJ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5"/>
      <x:c r="M171" s="55"/>
      <x:c r="N171" s="55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  <x:c r="Y171" s="52"/>
      <x:c r="Z171" s="52"/>
      <x:c r="AA171" s="52"/>
      <x:c r="AB171" s="52"/>
      <x:c r="AC171" s="52"/>
      <x:c r="AD171" s="52"/>
      <x:c r="AE171" s="52"/>
      <x:c r="AF171" s="52"/>
      <x:c r="AG171" s="52"/>
      <x:c r="AH171" s="52"/>
      <x:c r="AI171" s="52"/>
      <x:c r="AJ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5"/>
      <x:c r="M172" s="55"/>
      <x:c r="N172" s="55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  <x:c r="Y172" s="52"/>
      <x:c r="Z172" s="52"/>
      <x:c r="AA172" s="52"/>
      <x:c r="AB172" s="52"/>
      <x:c r="AC172" s="52"/>
      <x:c r="AD172" s="52"/>
      <x:c r="AE172" s="52"/>
      <x:c r="AF172" s="52"/>
      <x:c r="AG172" s="52"/>
      <x:c r="AH172" s="52"/>
      <x:c r="AI172" s="52"/>
      <x:c r="AJ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5"/>
      <x:c r="M173" s="55"/>
      <x:c r="N173" s="55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  <x:c r="Y173" s="52"/>
      <x:c r="Z173" s="52"/>
      <x:c r="AA173" s="52"/>
      <x:c r="AB173" s="52"/>
      <x:c r="AC173" s="52"/>
      <x:c r="AD173" s="52"/>
      <x:c r="AE173" s="52"/>
      <x:c r="AF173" s="52"/>
      <x:c r="AG173" s="52"/>
      <x:c r="AH173" s="52"/>
      <x:c r="AI173" s="52"/>
      <x:c r="AJ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5"/>
      <x:c r="M174" s="55"/>
      <x:c r="N174" s="55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  <x:c r="Y174" s="52"/>
      <x:c r="Z174" s="52"/>
      <x:c r="AA174" s="52"/>
      <x:c r="AB174" s="52"/>
      <x:c r="AC174" s="52"/>
      <x:c r="AD174" s="52"/>
      <x:c r="AE174" s="52"/>
      <x:c r="AF174" s="52"/>
      <x:c r="AG174" s="52"/>
      <x:c r="AH174" s="52"/>
      <x:c r="AI174" s="52"/>
      <x:c r="AJ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5"/>
      <x:c r="M175" s="55"/>
      <x:c r="N175" s="55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  <x:c r="Y175" s="52"/>
      <x:c r="Z175" s="52"/>
      <x:c r="AA175" s="52"/>
      <x:c r="AB175" s="52"/>
      <x:c r="AC175" s="52"/>
      <x:c r="AD175" s="52"/>
      <x:c r="AE175" s="52"/>
      <x:c r="AF175" s="52"/>
      <x:c r="AG175" s="52"/>
      <x:c r="AH175" s="52"/>
      <x:c r="AI175" s="52"/>
      <x:c r="AJ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5"/>
      <x:c r="M176" s="55"/>
      <x:c r="N176" s="55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  <x:c r="Y176" s="52"/>
      <x:c r="Z176" s="52"/>
      <x:c r="AA176" s="52"/>
      <x:c r="AB176" s="52"/>
      <x:c r="AC176" s="52"/>
      <x:c r="AD176" s="52"/>
      <x:c r="AE176" s="52"/>
      <x:c r="AF176" s="52"/>
      <x:c r="AG176" s="52"/>
      <x:c r="AH176" s="52"/>
      <x:c r="AI176" s="52"/>
      <x:c r="AJ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5"/>
      <x:c r="M177" s="55"/>
      <x:c r="N177" s="55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  <x:c r="Y177" s="52"/>
      <x:c r="Z177" s="52"/>
      <x:c r="AA177" s="52"/>
      <x:c r="AB177" s="52"/>
      <x:c r="AC177" s="52"/>
      <x:c r="AD177" s="52"/>
      <x:c r="AE177" s="52"/>
      <x:c r="AF177" s="52"/>
      <x:c r="AG177" s="52"/>
      <x:c r="AH177" s="52"/>
      <x:c r="AI177" s="52"/>
      <x:c r="AJ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5"/>
      <x:c r="M178" s="55"/>
      <x:c r="N178" s="55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  <x:c r="Y178" s="52"/>
      <x:c r="Z178" s="52"/>
      <x:c r="AA178" s="52"/>
      <x:c r="AB178" s="52"/>
      <x:c r="AC178" s="52"/>
      <x:c r="AD178" s="52"/>
      <x:c r="AE178" s="52"/>
      <x:c r="AF178" s="52"/>
      <x:c r="AG178" s="52"/>
      <x:c r="AH178" s="52"/>
      <x:c r="AI178" s="52"/>
      <x:c r="AJ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5"/>
      <x:c r="M179" s="55"/>
      <x:c r="N179" s="55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  <x:c r="Y179" s="52"/>
      <x:c r="Z179" s="52"/>
      <x:c r="AA179" s="52"/>
      <x:c r="AB179" s="52"/>
      <x:c r="AC179" s="52"/>
      <x:c r="AD179" s="52"/>
      <x:c r="AE179" s="52"/>
      <x:c r="AF179" s="52"/>
      <x:c r="AG179" s="52"/>
      <x:c r="AH179" s="52"/>
      <x:c r="AI179" s="52"/>
      <x:c r="AJ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5"/>
      <x:c r="M180" s="55"/>
      <x:c r="N180" s="55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  <x:c r="Y180" s="52"/>
      <x:c r="Z180" s="52"/>
      <x:c r="AA180" s="52"/>
      <x:c r="AB180" s="52"/>
      <x:c r="AC180" s="52"/>
      <x:c r="AD180" s="52"/>
      <x:c r="AE180" s="52"/>
      <x:c r="AF180" s="52"/>
      <x:c r="AG180" s="52"/>
      <x:c r="AH180" s="52"/>
      <x:c r="AI180" s="52"/>
      <x:c r="AJ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5"/>
      <x:c r="M181" s="55"/>
      <x:c r="N181" s="55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  <x:c r="Y181" s="52"/>
      <x:c r="Z181" s="52"/>
      <x:c r="AA181" s="52"/>
      <x:c r="AB181" s="52"/>
      <x:c r="AC181" s="52"/>
      <x:c r="AD181" s="52"/>
      <x:c r="AE181" s="52"/>
      <x:c r="AF181" s="52"/>
      <x:c r="AG181" s="52"/>
      <x:c r="AH181" s="52"/>
      <x:c r="AI181" s="52"/>
      <x:c r="AJ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5"/>
      <x:c r="M182" s="55"/>
      <x:c r="N182" s="55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  <x:c r="Y182" s="52"/>
      <x:c r="Z182" s="52"/>
      <x:c r="AA182" s="52"/>
      <x:c r="AB182" s="52"/>
      <x:c r="AC182" s="52"/>
      <x:c r="AD182" s="52"/>
      <x:c r="AE182" s="52"/>
      <x:c r="AF182" s="52"/>
      <x:c r="AG182" s="52"/>
      <x:c r="AH182" s="52"/>
      <x:c r="AI182" s="52"/>
      <x:c r="AJ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5"/>
      <x:c r="M183" s="55"/>
      <x:c r="N183" s="55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  <x:c r="Y183" s="52"/>
      <x:c r="Z183" s="52"/>
      <x:c r="AA183" s="52"/>
      <x:c r="AB183" s="52"/>
      <x:c r="AC183" s="52"/>
      <x:c r="AD183" s="52"/>
      <x:c r="AE183" s="52"/>
      <x:c r="AF183" s="52"/>
      <x:c r="AG183" s="52"/>
      <x:c r="AH183" s="52"/>
      <x:c r="AI183" s="52"/>
      <x:c r="AJ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5"/>
      <x:c r="M184" s="55"/>
      <x:c r="N184" s="55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  <x:c r="Y184" s="52"/>
      <x:c r="Z184" s="52"/>
      <x:c r="AA184" s="52"/>
      <x:c r="AB184" s="52"/>
      <x:c r="AC184" s="52"/>
      <x:c r="AD184" s="52"/>
      <x:c r="AE184" s="52"/>
      <x:c r="AF184" s="52"/>
      <x:c r="AG184" s="52"/>
      <x:c r="AH184" s="52"/>
      <x:c r="AI184" s="52"/>
      <x:c r="AJ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5"/>
      <x:c r="M185" s="55"/>
      <x:c r="N185" s="55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  <x:c r="Y185" s="52"/>
      <x:c r="Z185" s="52"/>
      <x:c r="AA185" s="52"/>
      <x:c r="AB185" s="52"/>
      <x:c r="AC185" s="52"/>
      <x:c r="AD185" s="52"/>
      <x:c r="AE185" s="52"/>
      <x:c r="AF185" s="52"/>
      <x:c r="AG185" s="52"/>
      <x:c r="AH185" s="52"/>
      <x:c r="AI185" s="52"/>
      <x:c r="AJ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5"/>
      <x:c r="M186" s="55"/>
      <x:c r="N186" s="55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  <x:c r="Y186" s="52"/>
      <x:c r="Z186" s="52"/>
      <x:c r="AA186" s="52"/>
      <x:c r="AB186" s="52"/>
      <x:c r="AC186" s="52"/>
      <x:c r="AD186" s="52"/>
      <x:c r="AE186" s="52"/>
      <x:c r="AF186" s="52"/>
      <x:c r="AG186" s="52"/>
      <x:c r="AH186" s="52"/>
      <x:c r="AI186" s="52"/>
      <x:c r="AJ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5"/>
      <x:c r="M187" s="55"/>
      <x:c r="N187" s="55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  <x:c r="Y187" s="52"/>
      <x:c r="Z187" s="52"/>
      <x:c r="AA187" s="52"/>
      <x:c r="AB187" s="52"/>
      <x:c r="AC187" s="52"/>
      <x:c r="AD187" s="52"/>
      <x:c r="AE187" s="52"/>
      <x:c r="AF187" s="52"/>
      <x:c r="AG187" s="52"/>
      <x:c r="AH187" s="52"/>
      <x:c r="AI187" s="52"/>
      <x:c r="AJ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5"/>
      <x:c r="M188" s="55"/>
      <x:c r="N188" s="55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  <x:c r="Y188" s="52"/>
      <x:c r="Z188" s="52"/>
      <x:c r="AA188" s="52"/>
      <x:c r="AB188" s="52"/>
      <x:c r="AC188" s="52"/>
      <x:c r="AD188" s="52"/>
      <x:c r="AE188" s="52"/>
      <x:c r="AF188" s="52"/>
      <x:c r="AG188" s="52"/>
      <x:c r="AH188" s="52"/>
      <x:c r="AI188" s="52"/>
      <x:c r="AJ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5"/>
      <x:c r="M189" s="55"/>
      <x:c r="N189" s="55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  <x:c r="Y189" s="52"/>
      <x:c r="Z189" s="52"/>
      <x:c r="AA189" s="52"/>
      <x:c r="AB189" s="52"/>
      <x:c r="AC189" s="52"/>
      <x:c r="AD189" s="52"/>
      <x:c r="AE189" s="52"/>
      <x:c r="AF189" s="52"/>
      <x:c r="AG189" s="52"/>
      <x:c r="AH189" s="52"/>
      <x:c r="AI189" s="52"/>
      <x:c r="AJ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5"/>
      <x:c r="M190" s="55"/>
      <x:c r="N190" s="55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  <x:c r="Y190" s="52"/>
      <x:c r="Z190" s="52"/>
      <x:c r="AA190" s="52"/>
      <x:c r="AB190" s="52"/>
      <x:c r="AC190" s="52"/>
      <x:c r="AD190" s="52"/>
      <x:c r="AE190" s="52"/>
      <x:c r="AF190" s="52"/>
      <x:c r="AG190" s="52"/>
      <x:c r="AH190" s="52"/>
      <x:c r="AI190" s="52"/>
      <x:c r="AJ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5"/>
      <x:c r="M191" s="55"/>
      <x:c r="N191" s="55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  <x:c r="Y191" s="52"/>
      <x:c r="Z191" s="52"/>
      <x:c r="AA191" s="52"/>
      <x:c r="AB191" s="52"/>
      <x:c r="AC191" s="52"/>
      <x:c r="AD191" s="52"/>
      <x:c r="AE191" s="52"/>
      <x:c r="AF191" s="52"/>
      <x:c r="AG191" s="52"/>
      <x:c r="AH191" s="52"/>
      <x:c r="AI191" s="52"/>
      <x:c r="AJ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5"/>
      <x:c r="M192" s="55"/>
      <x:c r="N192" s="55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  <x:c r="Y192" s="52"/>
      <x:c r="Z192" s="52"/>
      <x:c r="AA192" s="52"/>
      <x:c r="AB192" s="52"/>
      <x:c r="AC192" s="52"/>
      <x:c r="AD192" s="52"/>
      <x:c r="AE192" s="52"/>
      <x:c r="AF192" s="52"/>
      <x:c r="AG192" s="52"/>
      <x:c r="AH192" s="52"/>
      <x:c r="AI192" s="52"/>
      <x:c r="AJ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5"/>
      <x:c r="M193" s="55"/>
      <x:c r="N193" s="55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  <x:c r="Y193" s="52"/>
      <x:c r="Z193" s="52"/>
      <x:c r="AA193" s="52"/>
      <x:c r="AB193" s="52"/>
      <x:c r="AC193" s="52"/>
      <x:c r="AD193" s="52"/>
      <x:c r="AE193" s="52"/>
      <x:c r="AF193" s="52"/>
      <x:c r="AG193" s="52"/>
      <x:c r="AH193" s="52"/>
      <x:c r="AI193" s="52"/>
      <x:c r="AJ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5"/>
      <x:c r="M194" s="55"/>
      <x:c r="N194" s="55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  <x:c r="Y194" s="52"/>
      <x:c r="Z194" s="52"/>
      <x:c r="AA194" s="52"/>
      <x:c r="AB194" s="52"/>
      <x:c r="AC194" s="52"/>
      <x:c r="AD194" s="52"/>
      <x:c r="AE194" s="52"/>
      <x:c r="AF194" s="52"/>
      <x:c r="AG194" s="52"/>
      <x:c r="AH194" s="52"/>
      <x:c r="AI194" s="52"/>
      <x:c r="AJ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5"/>
      <x:c r="M195" s="55"/>
      <x:c r="N195" s="55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  <x:c r="Y195" s="52"/>
      <x:c r="Z195" s="52"/>
      <x:c r="AA195" s="52"/>
      <x:c r="AB195" s="52"/>
      <x:c r="AC195" s="52"/>
      <x:c r="AD195" s="52"/>
      <x:c r="AE195" s="52"/>
      <x:c r="AF195" s="52"/>
      <x:c r="AG195" s="52"/>
      <x:c r="AH195" s="52"/>
      <x:c r="AI195" s="52"/>
      <x:c r="AJ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5"/>
      <x:c r="M196" s="55"/>
      <x:c r="N196" s="55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  <x:c r="Y196" s="52"/>
      <x:c r="Z196" s="52"/>
      <x:c r="AA196" s="52"/>
      <x:c r="AB196" s="52"/>
      <x:c r="AC196" s="52"/>
      <x:c r="AD196" s="52"/>
      <x:c r="AE196" s="52"/>
      <x:c r="AF196" s="52"/>
      <x:c r="AG196" s="52"/>
      <x:c r="AH196" s="52"/>
      <x:c r="AI196" s="52"/>
      <x:c r="AJ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5"/>
      <x:c r="M197" s="55"/>
      <x:c r="N197" s="55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  <x:c r="Y197" s="52"/>
      <x:c r="Z197" s="52"/>
      <x:c r="AA197" s="52"/>
      <x:c r="AB197" s="52"/>
      <x:c r="AC197" s="52"/>
      <x:c r="AD197" s="52"/>
      <x:c r="AE197" s="52"/>
      <x:c r="AF197" s="52"/>
      <x:c r="AG197" s="52"/>
      <x:c r="AH197" s="52"/>
      <x:c r="AI197" s="52"/>
      <x:c r="AJ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5"/>
      <x:c r="M198" s="55"/>
      <x:c r="N198" s="55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  <x:c r="Y198" s="52"/>
      <x:c r="Z198" s="52"/>
      <x:c r="AA198" s="52"/>
      <x:c r="AB198" s="52"/>
      <x:c r="AC198" s="52"/>
      <x:c r="AD198" s="52"/>
      <x:c r="AE198" s="52"/>
      <x:c r="AF198" s="52"/>
      <x:c r="AG198" s="52"/>
      <x:c r="AH198" s="52"/>
      <x:c r="AI198" s="52"/>
      <x:c r="AJ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5"/>
      <x:c r="M199" s="55"/>
      <x:c r="N199" s="55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  <x:c r="Y199" s="52"/>
      <x:c r="Z199" s="52"/>
      <x:c r="AA199" s="52"/>
      <x:c r="AB199" s="52"/>
      <x:c r="AC199" s="52"/>
      <x:c r="AD199" s="52"/>
      <x:c r="AE199" s="52"/>
      <x:c r="AF199" s="52"/>
      <x:c r="AG199" s="52"/>
      <x:c r="AH199" s="52"/>
      <x:c r="AI199" s="52"/>
      <x:c r="AJ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5"/>
      <x:c r="M200" s="55"/>
      <x:c r="N200" s="55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  <x:c r="Y200" s="52"/>
      <x:c r="Z200" s="52"/>
      <x:c r="AA200" s="52"/>
      <x:c r="AB200" s="52"/>
      <x:c r="AC200" s="52"/>
      <x:c r="AD200" s="52"/>
      <x:c r="AE200" s="52"/>
      <x:c r="AF200" s="52"/>
      <x:c r="AG200" s="52"/>
      <x:c r="AH200" s="52"/>
      <x:c r="AI200" s="52"/>
      <x:c r="AJ200" s="52"/>
    </x:row>
    <x:row r="201">
      <x:c r="A201" s="52"/>
      <x:c r="B201" s="52"/>
      <x:c r="C201" s="52"/>
      <x:c r="D201" s="52"/>
      <x:c r="E201" s="52"/>
      <x:c r="F201" s="52"/>
      <x:c r="G201" s="52"/>
      <x:c r="H201" s="52"/>
      <x:c r="I201" s="52"/>
      <x:c r="J201" s="52"/>
      <x:c r="K201" s="52"/>
      <x:c r="L201" s="55"/>
      <x:c r="M201" s="55"/>
      <x:c r="N201" s="55"/>
      <x:c r="O201" s="52"/>
      <x:c r="P201" s="52"/>
      <x:c r="Q201" s="52"/>
      <x:c r="R201" s="52"/>
      <x:c r="S201" s="52"/>
      <x:c r="T201" s="52"/>
      <x:c r="U201" s="52"/>
      <x:c r="V201" s="52"/>
      <x:c r="W201" s="52"/>
      <x:c r="X201" s="52"/>
      <x:c r="Y201" s="52"/>
      <x:c r="Z201" s="52"/>
      <x:c r="AA201" s="52"/>
      <x:c r="AB201" s="52"/>
      <x:c r="AC201" s="52"/>
      <x:c r="AD201" s="52"/>
      <x:c r="AE201" s="52"/>
      <x:c r="AF201" s="52"/>
      <x:c r="AG201" s="52"/>
      <x:c r="AH201" s="52"/>
      <x:c r="AI201" s="52"/>
      <x:c r="AJ201" s="52"/>
    </x:row>
    <x:row r="202">
      <x:c r="A202" s="52"/>
      <x:c r="B202" s="52"/>
      <x:c r="C202" s="52"/>
      <x:c r="D202" s="52"/>
      <x:c r="E202" s="52"/>
      <x:c r="F202" s="52"/>
      <x:c r="G202" s="52"/>
      <x:c r="H202" s="52"/>
      <x:c r="I202" s="52"/>
      <x:c r="J202" s="52"/>
      <x:c r="K202" s="52"/>
      <x:c r="L202" s="55"/>
      <x:c r="M202" s="55"/>
      <x:c r="N202" s="55"/>
      <x:c r="O202" s="52"/>
      <x:c r="P202" s="52"/>
      <x:c r="Q202" s="52"/>
      <x:c r="R202" s="52"/>
      <x:c r="S202" s="52"/>
      <x:c r="T202" s="52"/>
      <x:c r="U202" s="52"/>
      <x:c r="V202" s="52"/>
      <x:c r="W202" s="52"/>
      <x:c r="X202" s="52"/>
      <x:c r="Y202" s="52"/>
      <x:c r="Z202" s="52"/>
      <x:c r="AA202" s="52"/>
      <x:c r="AB202" s="52"/>
      <x:c r="AC202" s="52"/>
      <x:c r="AD202" s="52"/>
      <x:c r="AE202" s="52"/>
      <x:c r="AF202" s="52"/>
      <x:c r="AG202" s="52"/>
      <x:c r="AH202" s="52"/>
      <x:c r="AI202" s="52"/>
      <x:c r="AJ202" s="52"/>
    </x:row>
    <x:row r="203">
      <x:c r="A203" s="52"/>
      <x:c r="B203" s="52"/>
      <x:c r="C203" s="52"/>
      <x:c r="D203" s="52"/>
      <x:c r="E203" s="52"/>
      <x:c r="F203" s="52"/>
      <x:c r="G203" s="52"/>
      <x:c r="H203" s="52"/>
      <x:c r="I203" s="52"/>
      <x:c r="J203" s="52"/>
      <x:c r="K203" s="52"/>
      <x:c r="L203" s="55"/>
      <x:c r="M203" s="55"/>
      <x:c r="N203" s="55"/>
      <x:c r="O203" s="52"/>
      <x:c r="P203" s="52"/>
      <x:c r="Q203" s="52"/>
      <x:c r="R203" s="52"/>
      <x:c r="S203" s="52"/>
      <x:c r="T203" s="52"/>
      <x:c r="U203" s="52"/>
      <x:c r="V203" s="52"/>
      <x:c r="W203" s="52"/>
      <x:c r="X203" s="52"/>
      <x:c r="Y203" s="52"/>
      <x:c r="Z203" s="52"/>
      <x:c r="AA203" s="52"/>
      <x:c r="AB203" s="52"/>
      <x:c r="AC203" s="52"/>
      <x:c r="AD203" s="52"/>
      <x:c r="AE203" s="52"/>
      <x:c r="AF203" s="52"/>
      <x:c r="AG203" s="52"/>
      <x:c r="AH203" s="52"/>
      <x:c r="AI203" s="52"/>
      <x:c r="AJ203" s="52"/>
    </x:row>
    <x:row r="204">
      <x:c r="A204" s="52"/>
      <x:c r="B204" s="52"/>
      <x:c r="C204" s="52"/>
      <x:c r="D204" s="52"/>
      <x:c r="E204" s="52"/>
      <x:c r="F204" s="52"/>
      <x:c r="G204" s="52"/>
      <x:c r="H204" s="52"/>
      <x:c r="I204" s="52"/>
      <x:c r="J204" s="52"/>
      <x:c r="K204" s="52"/>
      <x:c r="L204" s="55"/>
      <x:c r="M204" s="55"/>
      <x:c r="N204" s="55"/>
      <x:c r="O204" s="52"/>
      <x:c r="P204" s="52"/>
      <x:c r="Q204" s="52"/>
      <x:c r="R204" s="52"/>
      <x:c r="S204" s="52"/>
      <x:c r="T204" s="52"/>
      <x:c r="U204" s="52"/>
      <x:c r="V204" s="52"/>
      <x:c r="W204" s="52"/>
      <x:c r="X204" s="52"/>
      <x:c r="Y204" s="52"/>
      <x:c r="Z204" s="52"/>
      <x:c r="AA204" s="52"/>
      <x:c r="AB204" s="52"/>
      <x:c r="AC204" s="52"/>
      <x:c r="AD204" s="52"/>
      <x:c r="AE204" s="52"/>
      <x:c r="AF204" s="52"/>
      <x:c r="AG204" s="52"/>
      <x:c r="AH204" s="52"/>
      <x:c r="AI204" s="52"/>
      <x:c r="AJ204" s="52"/>
    </x:row>
    <x:row r="205">
      <x:c r="A205" s="52"/>
      <x:c r="B205" s="52"/>
      <x:c r="C205" s="52"/>
      <x:c r="D205" s="52"/>
      <x:c r="E205" s="52"/>
      <x:c r="F205" s="52"/>
      <x:c r="G205" s="52"/>
      <x:c r="H205" s="52"/>
      <x:c r="I205" s="52"/>
      <x:c r="J205" s="52"/>
      <x:c r="K205" s="52"/>
      <x:c r="L205" s="55"/>
      <x:c r="M205" s="55"/>
      <x:c r="N205" s="55"/>
      <x:c r="O205" s="52"/>
      <x:c r="P205" s="52"/>
      <x:c r="Q205" s="52"/>
      <x:c r="R205" s="52"/>
      <x:c r="S205" s="52"/>
      <x:c r="T205" s="52"/>
      <x:c r="U205" s="52"/>
      <x:c r="V205" s="52"/>
      <x:c r="W205" s="52"/>
      <x:c r="X205" s="52"/>
      <x:c r="Y205" s="52"/>
      <x:c r="Z205" s="52"/>
      <x:c r="AA205" s="52"/>
      <x:c r="AB205" s="52"/>
      <x:c r="AC205" s="52"/>
      <x:c r="AD205" s="52"/>
      <x:c r="AE205" s="52"/>
      <x:c r="AF205" s="52"/>
      <x:c r="AG205" s="52"/>
      <x:c r="AH205" s="52"/>
      <x:c r="AI205" s="52"/>
      <x:c r="AJ205" s="52"/>
    </x:row>
    <x:row r="206">
      <x:c r="A206" s="52"/>
      <x:c r="B206" s="52"/>
      <x:c r="C206" s="52"/>
      <x:c r="D206" s="52"/>
      <x:c r="E206" s="52"/>
      <x:c r="F206" s="52"/>
      <x:c r="G206" s="52"/>
      <x:c r="H206" s="52"/>
      <x:c r="I206" s="52"/>
      <x:c r="J206" s="52"/>
      <x:c r="K206" s="52"/>
      <x:c r="L206" s="55"/>
      <x:c r="M206" s="55"/>
      <x:c r="N206" s="55"/>
      <x:c r="O206" s="52"/>
      <x:c r="P206" s="52"/>
      <x:c r="Q206" s="52"/>
      <x:c r="R206" s="52"/>
      <x:c r="S206" s="52"/>
      <x:c r="T206" s="52"/>
      <x:c r="U206" s="52"/>
      <x:c r="V206" s="52"/>
      <x:c r="W206" s="52"/>
      <x:c r="X206" s="52"/>
      <x:c r="Y206" s="52"/>
      <x:c r="Z206" s="52"/>
      <x:c r="AA206" s="52"/>
      <x:c r="AB206" s="52"/>
      <x:c r="AC206" s="52"/>
      <x:c r="AD206" s="52"/>
      <x:c r="AE206" s="52"/>
      <x:c r="AF206" s="52"/>
      <x:c r="AG206" s="52"/>
      <x:c r="AH206" s="52"/>
      <x:c r="AI206" s="52"/>
      <x:c r="AJ206" s="52"/>
    </x:row>
    <x:row r="207">
      <x:c r="A207" s="52"/>
      <x:c r="B207" s="52"/>
      <x:c r="C207" s="52"/>
      <x:c r="D207" s="52"/>
      <x:c r="E207" s="52"/>
      <x:c r="F207" s="52"/>
      <x:c r="G207" s="52"/>
      <x:c r="H207" s="52"/>
      <x:c r="I207" s="52"/>
      <x:c r="J207" s="52"/>
      <x:c r="K207" s="52"/>
      <x:c r="L207" s="55"/>
      <x:c r="M207" s="55"/>
      <x:c r="N207" s="55"/>
      <x:c r="O207" s="52"/>
      <x:c r="P207" s="52"/>
      <x:c r="Q207" s="52"/>
      <x:c r="R207" s="52"/>
      <x:c r="S207" s="52"/>
      <x:c r="T207" s="52"/>
      <x:c r="U207" s="52"/>
      <x:c r="V207" s="52"/>
      <x:c r="W207" s="52"/>
      <x:c r="X207" s="52"/>
      <x:c r="Y207" s="52"/>
      <x:c r="Z207" s="52"/>
      <x:c r="AA207" s="52"/>
      <x:c r="AB207" s="52"/>
      <x:c r="AC207" s="52"/>
      <x:c r="AD207" s="52"/>
      <x:c r="AE207" s="52"/>
      <x:c r="AF207" s="52"/>
      <x:c r="AG207" s="52"/>
      <x:c r="AH207" s="52"/>
      <x:c r="AI207" s="52"/>
      <x:c r="AJ207" s="52"/>
    </x:row>
    <x:row r="208">
      <x:c r="A208" s="52"/>
      <x:c r="B208" s="52"/>
      <x:c r="C208" s="52"/>
      <x:c r="D208" s="52"/>
      <x:c r="E208" s="52"/>
      <x:c r="F208" s="52"/>
      <x:c r="G208" s="52"/>
      <x:c r="H208" s="52"/>
      <x:c r="I208" s="52"/>
      <x:c r="J208" s="52"/>
      <x:c r="K208" s="52"/>
      <x:c r="L208" s="55"/>
      <x:c r="M208" s="55"/>
      <x:c r="N208" s="55"/>
      <x:c r="O208" s="52"/>
      <x:c r="P208" s="52"/>
      <x:c r="Q208" s="52"/>
      <x:c r="R208" s="52"/>
      <x:c r="S208" s="52"/>
      <x:c r="T208" s="52"/>
      <x:c r="U208" s="52"/>
      <x:c r="V208" s="52"/>
      <x:c r="W208" s="52"/>
      <x:c r="X208" s="52"/>
      <x:c r="Y208" s="52"/>
      <x:c r="Z208" s="52"/>
      <x:c r="AA208" s="52"/>
      <x:c r="AB208" s="52"/>
      <x:c r="AC208" s="52"/>
      <x:c r="AD208" s="52"/>
      <x:c r="AE208" s="52"/>
      <x:c r="AF208" s="52"/>
      <x:c r="AG208" s="52"/>
      <x:c r="AH208" s="52"/>
      <x:c r="AI208" s="52"/>
      <x:c r="AJ208" s="52"/>
    </x:row>
    <x:row r="209">
      <x:c r="A209" s="52"/>
      <x:c r="B209" s="52"/>
      <x:c r="C209" s="52"/>
      <x:c r="D209" s="52"/>
      <x:c r="E209" s="52"/>
      <x:c r="F209" s="52"/>
      <x:c r="G209" s="52"/>
      <x:c r="H209" s="52"/>
      <x:c r="I209" s="52"/>
      <x:c r="J209" s="52"/>
      <x:c r="K209" s="52"/>
      <x:c r="L209" s="55"/>
      <x:c r="M209" s="55"/>
      <x:c r="N209" s="55"/>
      <x:c r="O209" s="52"/>
      <x:c r="P209" s="52"/>
      <x:c r="Q209" s="52"/>
      <x:c r="R209" s="52"/>
      <x:c r="S209" s="52"/>
      <x:c r="T209" s="52"/>
      <x:c r="U209" s="52"/>
      <x:c r="V209" s="52"/>
      <x:c r="W209" s="52"/>
      <x:c r="X209" s="52"/>
      <x:c r="Y209" s="52"/>
      <x:c r="Z209" s="52"/>
      <x:c r="AA209" s="52"/>
      <x:c r="AB209" s="52"/>
      <x:c r="AC209" s="52"/>
      <x:c r="AD209" s="52"/>
      <x:c r="AE209" s="52"/>
      <x:c r="AF209" s="52"/>
      <x:c r="AG209" s="52"/>
      <x:c r="AH209" s="52"/>
      <x:c r="AI209" s="52"/>
      <x:c r="AJ209" s="52"/>
    </x:row>
    <x:row r="210">
      <x:c r="A210" s="52"/>
      <x:c r="B210" s="52"/>
      <x:c r="C210" s="52"/>
      <x:c r="D210" s="52"/>
      <x:c r="E210" s="52"/>
      <x:c r="F210" s="52"/>
      <x:c r="G210" s="52"/>
      <x:c r="H210" s="52"/>
      <x:c r="I210" s="52"/>
      <x:c r="J210" s="52"/>
      <x:c r="K210" s="52"/>
      <x:c r="L210" s="55"/>
      <x:c r="M210" s="55"/>
      <x:c r="N210" s="55"/>
      <x:c r="O210" s="52"/>
      <x:c r="P210" s="52"/>
      <x:c r="Q210" s="52"/>
      <x:c r="R210" s="52"/>
      <x:c r="S210" s="52"/>
      <x:c r="T210" s="52"/>
      <x:c r="U210" s="52"/>
      <x:c r="V210" s="52"/>
      <x:c r="W210" s="52"/>
      <x:c r="X210" s="52"/>
      <x:c r="Y210" s="52"/>
      <x:c r="Z210" s="52"/>
      <x:c r="AA210" s="52"/>
      <x:c r="AB210" s="52"/>
      <x:c r="AC210" s="52"/>
      <x:c r="AD210" s="52"/>
      <x:c r="AE210" s="52"/>
      <x:c r="AF210" s="52"/>
      <x:c r="AG210" s="52"/>
      <x:c r="AH210" s="52"/>
      <x:c r="AI210" s="52"/>
      <x:c r="AJ210" s="52"/>
    </x:row>
    <x:row r="211">
      <x:c r="A211" s="52"/>
      <x:c r="B211" s="52"/>
      <x:c r="C211" s="52"/>
      <x:c r="D211" s="52"/>
      <x:c r="E211" s="52"/>
      <x:c r="F211" s="52"/>
      <x:c r="G211" s="52"/>
      <x:c r="H211" s="52"/>
      <x:c r="I211" s="52"/>
      <x:c r="J211" s="52"/>
      <x:c r="K211" s="52"/>
      <x:c r="L211" s="55"/>
      <x:c r="M211" s="55"/>
      <x:c r="N211" s="55"/>
      <x:c r="O211" s="52"/>
      <x:c r="P211" s="52"/>
      <x:c r="Q211" s="52"/>
      <x:c r="R211" s="52"/>
      <x:c r="S211" s="52"/>
      <x:c r="T211" s="52"/>
      <x:c r="U211" s="52"/>
      <x:c r="V211" s="52"/>
      <x:c r="W211" s="52"/>
      <x:c r="X211" s="52"/>
      <x:c r="Y211" s="52"/>
      <x:c r="Z211" s="52"/>
      <x:c r="AA211" s="52"/>
      <x:c r="AB211" s="52"/>
      <x:c r="AC211" s="52"/>
      <x:c r="AD211" s="52"/>
      <x:c r="AE211" s="52"/>
      <x:c r="AF211" s="52"/>
      <x:c r="AG211" s="52"/>
      <x:c r="AH211" s="52"/>
      <x:c r="AI211" s="52"/>
      <x:c r="AJ211" s="52"/>
    </x:row>
    <x:row r="212">
      <x:c r="A212" s="52"/>
      <x:c r="B212" s="52"/>
      <x:c r="C212" s="52"/>
      <x:c r="D212" s="52"/>
      <x:c r="E212" s="52"/>
      <x:c r="F212" s="52"/>
      <x:c r="G212" s="52"/>
      <x:c r="H212" s="52"/>
      <x:c r="I212" s="52"/>
      <x:c r="J212" s="52"/>
      <x:c r="K212" s="52"/>
      <x:c r="L212" s="55"/>
      <x:c r="M212" s="55"/>
      <x:c r="N212" s="55"/>
      <x:c r="O212" s="52"/>
      <x:c r="P212" s="52"/>
      <x:c r="Q212" s="52"/>
      <x:c r="R212" s="52"/>
      <x:c r="S212" s="52"/>
      <x:c r="T212" s="52"/>
      <x:c r="U212" s="52"/>
      <x:c r="V212" s="52"/>
      <x:c r="W212" s="52"/>
      <x:c r="X212" s="52"/>
      <x:c r="Y212" s="52"/>
      <x:c r="Z212" s="52"/>
      <x:c r="AA212" s="52"/>
      <x:c r="AB212" s="52"/>
      <x:c r="AC212" s="52"/>
      <x:c r="AD212" s="52"/>
      <x:c r="AE212" s="52"/>
      <x:c r="AF212" s="52"/>
      <x:c r="AG212" s="52"/>
      <x:c r="AH212" s="52"/>
      <x:c r="AI212" s="52"/>
      <x:c r="AJ212" s="52"/>
    </x:row>
    <x:row r="213">
      <x:c r="A213" s="52"/>
      <x:c r="B213" s="52"/>
      <x:c r="C213" s="52"/>
      <x:c r="D213" s="52"/>
      <x:c r="E213" s="52"/>
      <x:c r="F213" s="52"/>
      <x:c r="G213" s="52"/>
      <x:c r="H213" s="52"/>
      <x:c r="I213" s="52"/>
      <x:c r="J213" s="52"/>
      <x:c r="K213" s="52"/>
      <x:c r="L213" s="55"/>
      <x:c r="M213" s="55"/>
      <x:c r="N213" s="55"/>
      <x:c r="O213" s="52"/>
      <x:c r="P213" s="52"/>
      <x:c r="Q213" s="52"/>
      <x:c r="R213" s="52"/>
      <x:c r="S213" s="52"/>
      <x:c r="T213" s="52"/>
      <x:c r="U213" s="52"/>
      <x:c r="V213" s="52"/>
      <x:c r="W213" s="52"/>
      <x:c r="X213" s="52"/>
      <x:c r="Y213" s="52"/>
      <x:c r="Z213" s="52"/>
      <x:c r="AA213" s="52"/>
      <x:c r="AB213" s="52"/>
      <x:c r="AC213" s="52"/>
      <x:c r="AD213" s="52"/>
      <x:c r="AE213" s="52"/>
      <x:c r="AF213" s="52"/>
      <x:c r="AG213" s="52"/>
      <x:c r="AH213" s="52"/>
      <x:c r="AI213" s="52"/>
      <x:c r="AJ213" s="52"/>
    </x:row>
    <x:row r="214">
      <x:c r="A214" s="52"/>
      <x:c r="B214" s="52"/>
      <x:c r="C214" s="52"/>
      <x:c r="D214" s="52"/>
      <x:c r="E214" s="52"/>
      <x:c r="F214" s="52"/>
      <x:c r="G214" s="52"/>
      <x:c r="H214" s="52"/>
      <x:c r="I214" s="52"/>
      <x:c r="J214" s="52"/>
      <x:c r="K214" s="52"/>
      <x:c r="L214" s="55"/>
      <x:c r="M214" s="55"/>
      <x:c r="N214" s="55"/>
      <x:c r="O214" s="52"/>
      <x:c r="P214" s="52"/>
      <x:c r="Q214" s="52"/>
      <x:c r="R214" s="52"/>
      <x:c r="S214" s="52"/>
      <x:c r="T214" s="52"/>
      <x:c r="U214" s="52"/>
      <x:c r="V214" s="52"/>
      <x:c r="W214" s="52"/>
      <x:c r="X214" s="52"/>
      <x:c r="Y214" s="52"/>
      <x:c r="Z214" s="52"/>
      <x:c r="AA214" s="52"/>
      <x:c r="AB214" s="52"/>
      <x:c r="AC214" s="52"/>
      <x:c r="AD214" s="52"/>
      <x:c r="AE214" s="52"/>
      <x:c r="AF214" s="52"/>
      <x:c r="AG214" s="52"/>
      <x:c r="AH214" s="52"/>
      <x:c r="AI214" s="52"/>
      <x:c r="AJ214" s="52"/>
    </x:row>
    <x:row r="215">
      <x:c r="A215" s="52"/>
      <x:c r="B215" s="52"/>
      <x:c r="C215" s="52"/>
      <x:c r="D215" s="52"/>
      <x:c r="E215" s="52"/>
      <x:c r="F215" s="52"/>
      <x:c r="G215" s="52"/>
      <x:c r="H215" s="52"/>
      <x:c r="I215" s="52"/>
      <x:c r="J215" s="52"/>
      <x:c r="K215" s="52"/>
      <x:c r="L215" s="55"/>
      <x:c r="M215" s="55"/>
      <x:c r="N215" s="55"/>
      <x:c r="O215" s="52"/>
      <x:c r="P215" s="52"/>
      <x:c r="Q215" s="52"/>
      <x:c r="R215" s="52"/>
      <x:c r="S215" s="52"/>
      <x:c r="T215" s="52"/>
      <x:c r="U215" s="52"/>
      <x:c r="V215" s="52"/>
      <x:c r="W215" s="52"/>
      <x:c r="X215" s="52"/>
      <x:c r="Y215" s="52"/>
      <x:c r="Z215" s="52"/>
      <x:c r="AA215" s="52"/>
      <x:c r="AB215" s="52"/>
      <x:c r="AC215" s="52"/>
      <x:c r="AD215" s="52"/>
      <x:c r="AE215" s="52"/>
      <x:c r="AF215" s="52"/>
      <x:c r="AG215" s="52"/>
      <x:c r="AH215" s="52"/>
      <x:c r="AI215" s="52"/>
      <x:c r="AJ215" s="52"/>
    </x:row>
    <x:row r="216">
      <x:c r="A216" s="52"/>
      <x:c r="B216" s="52"/>
      <x:c r="C216" s="52"/>
      <x:c r="D216" s="52"/>
      <x:c r="E216" s="52"/>
      <x:c r="F216" s="52"/>
      <x:c r="G216" s="52"/>
      <x:c r="H216" s="52"/>
      <x:c r="I216" s="52"/>
      <x:c r="J216" s="52"/>
      <x:c r="K216" s="52"/>
      <x:c r="L216" s="55"/>
      <x:c r="M216" s="55"/>
      <x:c r="N216" s="55"/>
      <x:c r="O216" s="52"/>
      <x:c r="P216" s="52"/>
      <x:c r="Q216" s="52"/>
      <x:c r="R216" s="52"/>
      <x:c r="S216" s="52"/>
      <x:c r="T216" s="52"/>
      <x:c r="U216" s="52"/>
      <x:c r="V216" s="52"/>
      <x:c r="W216" s="52"/>
      <x:c r="X216" s="52"/>
      <x:c r="Y216" s="52"/>
      <x:c r="Z216" s="52"/>
      <x:c r="AA216" s="52"/>
      <x:c r="AB216" s="52"/>
      <x:c r="AC216" s="52"/>
      <x:c r="AD216" s="52"/>
      <x:c r="AE216" s="52"/>
      <x:c r="AF216" s="52"/>
      <x:c r="AG216" s="52"/>
      <x:c r="AH216" s="52"/>
      <x:c r="AI216" s="52"/>
      <x:c r="AJ216" s="52"/>
    </x:row>
    <x:row r="217">
      <x:c r="A217" s="52"/>
      <x:c r="B217" s="52"/>
      <x:c r="C217" s="52"/>
      <x:c r="D217" s="52"/>
      <x:c r="E217" s="52"/>
      <x:c r="F217" s="52"/>
      <x:c r="G217" s="52"/>
      <x:c r="H217" s="52"/>
      <x:c r="I217" s="52"/>
      <x:c r="J217" s="52"/>
      <x:c r="K217" s="52"/>
      <x:c r="L217" s="55"/>
      <x:c r="M217" s="55"/>
      <x:c r="N217" s="55"/>
      <x:c r="O217" s="52"/>
      <x:c r="P217" s="52"/>
      <x:c r="Q217" s="52"/>
      <x:c r="R217" s="52"/>
      <x:c r="S217" s="52"/>
      <x:c r="T217" s="52"/>
      <x:c r="U217" s="52"/>
      <x:c r="V217" s="52"/>
      <x:c r="W217" s="52"/>
      <x:c r="X217" s="52"/>
      <x:c r="Y217" s="52"/>
      <x:c r="Z217" s="52"/>
      <x:c r="AA217" s="52"/>
      <x:c r="AB217" s="52"/>
      <x:c r="AC217" s="52"/>
      <x:c r="AD217" s="52"/>
      <x:c r="AE217" s="52"/>
      <x:c r="AF217" s="52"/>
      <x:c r="AG217" s="52"/>
      <x:c r="AH217" s="52"/>
      <x:c r="AI217" s="52"/>
      <x:c r="AJ217" s="52"/>
    </x:row>
    <x:row r="218">
      <x:c r="A218" s="52"/>
      <x:c r="B218" s="52"/>
      <x:c r="C218" s="52"/>
      <x:c r="D218" s="52"/>
      <x:c r="E218" s="52"/>
      <x:c r="F218" s="52"/>
      <x:c r="G218" s="52"/>
      <x:c r="H218" s="52"/>
      <x:c r="I218" s="52"/>
      <x:c r="J218" s="52"/>
      <x:c r="K218" s="52"/>
      <x:c r="L218" s="55"/>
      <x:c r="M218" s="55"/>
      <x:c r="N218" s="55"/>
      <x:c r="O218" s="52"/>
      <x:c r="P218" s="52"/>
      <x:c r="Q218" s="52"/>
      <x:c r="R218" s="52"/>
      <x:c r="S218" s="52"/>
      <x:c r="T218" s="52"/>
      <x:c r="U218" s="52"/>
      <x:c r="V218" s="52"/>
      <x:c r="W218" s="52"/>
      <x:c r="X218" s="52"/>
      <x:c r="Y218" s="52"/>
      <x:c r="Z218" s="52"/>
      <x:c r="AA218" s="52"/>
      <x:c r="AB218" s="52"/>
      <x:c r="AC218" s="52"/>
      <x:c r="AD218" s="52"/>
      <x:c r="AE218" s="52"/>
      <x:c r="AF218" s="52"/>
      <x:c r="AG218" s="52"/>
      <x:c r="AH218" s="52"/>
      <x:c r="AI218" s="52"/>
      <x:c r="AJ218" s="52"/>
    </x:row>
    <x:row r="219">
      <x:c r="A219" s="52"/>
      <x:c r="B219" s="52"/>
      <x:c r="C219" s="52"/>
      <x:c r="D219" s="52"/>
      <x:c r="E219" s="52"/>
      <x:c r="F219" s="52"/>
      <x:c r="G219" s="52"/>
      <x:c r="H219" s="52"/>
      <x:c r="I219" s="52"/>
      <x:c r="J219" s="52"/>
      <x:c r="K219" s="52"/>
      <x:c r="L219" s="55"/>
      <x:c r="M219" s="55"/>
      <x:c r="N219" s="55"/>
      <x:c r="O219" s="52"/>
      <x:c r="P219" s="52"/>
      <x:c r="Q219" s="52"/>
      <x:c r="R219" s="52"/>
      <x:c r="S219" s="52"/>
      <x:c r="T219" s="52"/>
      <x:c r="U219" s="52"/>
      <x:c r="V219" s="52"/>
      <x:c r="W219" s="52"/>
      <x:c r="X219" s="52"/>
      <x:c r="Y219" s="52"/>
      <x:c r="Z219" s="52"/>
      <x:c r="AA219" s="52"/>
      <x:c r="AB219" s="52"/>
      <x:c r="AC219" s="52"/>
      <x:c r="AD219" s="52"/>
      <x:c r="AE219" s="52"/>
      <x:c r="AF219" s="52"/>
      <x:c r="AG219" s="52"/>
      <x:c r="AH219" s="52"/>
      <x:c r="AI219" s="52"/>
      <x:c r="AJ219" s="52"/>
    </x:row>
    <x:row r="220">
      <x:c r="A220" s="52"/>
      <x:c r="B220" s="52"/>
      <x:c r="C220" s="52"/>
      <x:c r="D220" s="52"/>
      <x:c r="E220" s="52"/>
      <x:c r="F220" s="52"/>
      <x:c r="G220" s="52"/>
      <x:c r="H220" s="52"/>
      <x:c r="I220" s="52"/>
      <x:c r="J220" s="52"/>
      <x:c r="K220" s="52"/>
      <x:c r="L220" s="55"/>
      <x:c r="M220" s="55"/>
      <x:c r="N220" s="55"/>
      <x:c r="O220" s="52"/>
      <x:c r="P220" s="52"/>
      <x:c r="Q220" s="52"/>
      <x:c r="R220" s="52"/>
      <x:c r="S220" s="52"/>
      <x:c r="T220" s="52"/>
      <x:c r="U220" s="52"/>
      <x:c r="V220" s="52"/>
      <x:c r="W220" s="52"/>
      <x:c r="X220" s="52"/>
      <x:c r="Y220" s="52"/>
      <x:c r="Z220" s="52"/>
      <x:c r="AA220" s="52"/>
      <x:c r="AB220" s="52"/>
      <x:c r="AC220" s="52"/>
      <x:c r="AD220" s="52"/>
      <x:c r="AE220" s="52"/>
      <x:c r="AF220" s="52"/>
      <x:c r="AG220" s="52"/>
      <x:c r="AH220" s="52"/>
      <x:c r="AI220" s="52"/>
      <x:c r="AJ220" s="52"/>
    </x:row>
    <x:row r="221">
      <x:c r="A221" s="52"/>
      <x:c r="B221" s="52"/>
      <x:c r="C221" s="52"/>
      <x:c r="D221" s="52"/>
      <x:c r="E221" s="52"/>
      <x:c r="F221" s="52"/>
      <x:c r="G221" s="52"/>
      <x:c r="H221" s="52"/>
      <x:c r="I221" s="52"/>
      <x:c r="J221" s="52"/>
      <x:c r="K221" s="52"/>
      <x:c r="L221" s="55"/>
      <x:c r="M221" s="55"/>
      <x:c r="N221" s="55"/>
      <x:c r="O221" s="52"/>
      <x:c r="P221" s="52"/>
      <x:c r="Q221" s="52"/>
      <x:c r="R221" s="52"/>
      <x:c r="S221" s="52"/>
      <x:c r="T221" s="52"/>
      <x:c r="U221" s="52"/>
      <x:c r="V221" s="52"/>
      <x:c r="W221" s="52"/>
      <x:c r="X221" s="52"/>
      <x:c r="Y221" s="52"/>
      <x:c r="Z221" s="52"/>
      <x:c r="AA221" s="52"/>
      <x:c r="AB221" s="52"/>
      <x:c r="AC221" s="52"/>
      <x:c r="AD221" s="52"/>
      <x:c r="AE221" s="52"/>
      <x:c r="AF221" s="52"/>
      <x:c r="AG221" s="52"/>
      <x:c r="AH221" s="52"/>
      <x:c r="AI221" s="52"/>
      <x:c r="AJ221" s="52"/>
    </x:row>
    <x:row r="222">
      <x:c r="A222" s="52"/>
      <x:c r="B222" s="52"/>
      <x:c r="C222" s="52"/>
      <x:c r="D222" s="52"/>
      <x:c r="E222" s="52"/>
      <x:c r="F222" s="52"/>
      <x:c r="G222" s="52"/>
      <x:c r="H222" s="52"/>
      <x:c r="I222" s="52"/>
      <x:c r="J222" s="52"/>
      <x:c r="K222" s="52"/>
      <x:c r="L222" s="55"/>
      <x:c r="M222" s="55"/>
      <x:c r="N222" s="55"/>
      <x:c r="O222" s="52"/>
      <x:c r="P222" s="52"/>
      <x:c r="Q222" s="52"/>
      <x:c r="R222" s="52"/>
      <x:c r="S222" s="52"/>
      <x:c r="T222" s="52"/>
      <x:c r="U222" s="52"/>
      <x:c r="V222" s="52"/>
      <x:c r="W222" s="52"/>
      <x:c r="X222" s="52"/>
      <x:c r="Y222" s="52"/>
      <x:c r="Z222" s="52"/>
      <x:c r="AA222" s="52"/>
      <x:c r="AB222" s="52"/>
      <x:c r="AC222" s="52"/>
      <x:c r="AD222" s="52"/>
      <x:c r="AE222" s="52"/>
      <x:c r="AF222" s="52"/>
      <x:c r="AG222" s="52"/>
      <x:c r="AH222" s="52"/>
      <x:c r="AI222" s="52"/>
      <x:c r="AJ222" s="52"/>
    </x:row>
    <x:row r="223">
      <x:c r="A223" s="52"/>
      <x:c r="B223" s="52"/>
      <x:c r="C223" s="52"/>
      <x:c r="D223" s="52"/>
      <x:c r="E223" s="52"/>
      <x:c r="F223" s="52"/>
      <x:c r="G223" s="52"/>
      <x:c r="H223" s="52"/>
      <x:c r="I223" s="52"/>
      <x:c r="J223" s="52"/>
      <x:c r="K223" s="52"/>
      <x:c r="L223" s="55"/>
      <x:c r="M223" s="55"/>
      <x:c r="N223" s="55"/>
      <x:c r="O223" s="52"/>
      <x:c r="P223" s="52"/>
      <x:c r="Q223" s="52"/>
      <x:c r="R223" s="52"/>
      <x:c r="S223" s="52"/>
      <x:c r="T223" s="52"/>
      <x:c r="U223" s="52"/>
      <x:c r="V223" s="52"/>
      <x:c r="W223" s="52"/>
      <x:c r="X223" s="52"/>
      <x:c r="Y223" s="52"/>
      <x:c r="Z223" s="52"/>
      <x:c r="AA223" s="52"/>
      <x:c r="AB223" s="52"/>
      <x:c r="AC223" s="52"/>
      <x:c r="AD223" s="52"/>
      <x:c r="AE223" s="52"/>
      <x:c r="AF223" s="52"/>
      <x:c r="AG223" s="52"/>
      <x:c r="AH223" s="52"/>
      <x:c r="AI223" s="52"/>
      <x:c r="AJ223" s="52"/>
    </x:row>
    <x:row r="224">
      <x:c r="A224" s="52"/>
      <x:c r="B224" s="52"/>
      <x:c r="C224" s="52"/>
      <x:c r="D224" s="52"/>
      <x:c r="E224" s="52"/>
      <x:c r="F224" s="52"/>
      <x:c r="G224" s="52"/>
      <x:c r="H224" s="52"/>
      <x:c r="I224" s="52"/>
      <x:c r="J224" s="52"/>
      <x:c r="K224" s="52"/>
      <x:c r="L224" s="55"/>
      <x:c r="M224" s="55"/>
      <x:c r="N224" s="55"/>
      <x:c r="O224" s="52"/>
      <x:c r="P224" s="52"/>
      <x:c r="Q224" s="52"/>
      <x:c r="R224" s="52"/>
      <x:c r="S224" s="52"/>
      <x:c r="T224" s="52"/>
      <x:c r="U224" s="52"/>
      <x:c r="V224" s="52"/>
      <x:c r="W224" s="52"/>
      <x:c r="X224" s="52"/>
      <x:c r="Y224" s="52"/>
      <x:c r="Z224" s="52"/>
      <x:c r="AA224" s="52"/>
      <x:c r="AB224" s="52"/>
      <x:c r="AC224" s="52"/>
      <x:c r="AD224" s="52"/>
      <x:c r="AE224" s="52"/>
      <x:c r="AF224" s="52"/>
      <x:c r="AG224" s="52"/>
      <x:c r="AH224" s="52"/>
      <x:c r="AI224" s="52"/>
      <x:c r="AJ224" s="52"/>
    </x:row>
    <x:row r="225">
      <x:c r="A225" s="52"/>
      <x:c r="B225" s="52"/>
      <x:c r="C225" s="52"/>
      <x:c r="D225" s="52"/>
      <x:c r="E225" s="52"/>
      <x:c r="F225" s="52"/>
      <x:c r="G225" s="52"/>
      <x:c r="H225" s="52"/>
      <x:c r="I225" s="52"/>
      <x:c r="J225" s="52"/>
      <x:c r="K225" s="52"/>
      <x:c r="L225" s="55"/>
      <x:c r="M225" s="55"/>
      <x:c r="N225" s="55"/>
      <x:c r="O225" s="52"/>
      <x:c r="P225" s="52"/>
      <x:c r="Q225" s="52"/>
      <x:c r="R225" s="52"/>
      <x:c r="S225" s="52"/>
      <x:c r="T225" s="52"/>
      <x:c r="U225" s="52"/>
      <x:c r="V225" s="52"/>
      <x:c r="W225" s="52"/>
      <x:c r="X225" s="52"/>
      <x:c r="Y225" s="52"/>
      <x:c r="Z225" s="52"/>
      <x:c r="AA225" s="52"/>
      <x:c r="AB225" s="52"/>
      <x:c r="AC225" s="52"/>
      <x:c r="AD225" s="52"/>
      <x:c r="AE225" s="52"/>
      <x:c r="AF225" s="52"/>
      <x:c r="AG225" s="52"/>
      <x:c r="AH225" s="52"/>
      <x:c r="AI225" s="52"/>
      <x:c r="AJ225" s="52"/>
    </x:row>
    <x:row r="226">
      <x:c r="A226" s="52"/>
      <x:c r="B226" s="52"/>
      <x:c r="C226" s="52"/>
      <x:c r="D226" s="52"/>
      <x:c r="E226" s="52"/>
      <x:c r="F226" s="52"/>
      <x:c r="G226" s="52"/>
      <x:c r="H226" s="52"/>
      <x:c r="I226" s="52"/>
      <x:c r="J226" s="52"/>
      <x:c r="K226" s="52"/>
      <x:c r="L226" s="55"/>
      <x:c r="M226" s="55"/>
      <x:c r="N226" s="55"/>
      <x:c r="O226" s="52"/>
      <x:c r="P226" s="52"/>
      <x:c r="Q226" s="52"/>
      <x:c r="R226" s="52"/>
      <x:c r="S226" s="52"/>
      <x:c r="T226" s="52"/>
      <x:c r="U226" s="52"/>
      <x:c r="V226" s="52"/>
      <x:c r="W226" s="52"/>
      <x:c r="X226" s="52"/>
      <x:c r="Y226" s="52"/>
      <x:c r="Z226" s="52"/>
      <x:c r="AA226" s="52"/>
      <x:c r="AB226" s="52"/>
      <x:c r="AC226" s="52"/>
      <x:c r="AD226" s="52"/>
      <x:c r="AE226" s="52"/>
      <x:c r="AF226" s="52"/>
      <x:c r="AG226" s="52"/>
      <x:c r="AH226" s="52"/>
      <x:c r="AI226" s="52"/>
      <x:c r="AJ226" s="52"/>
    </x:row>
    <x:row r="227">
      <x:c r="A227" s="52"/>
      <x:c r="B227" s="52"/>
      <x:c r="C227" s="52"/>
      <x:c r="D227" s="52"/>
      <x:c r="E227" s="52"/>
      <x:c r="F227" s="52"/>
      <x:c r="G227" s="52"/>
      <x:c r="H227" s="52"/>
      <x:c r="I227" s="52"/>
      <x:c r="J227" s="52"/>
      <x:c r="K227" s="52"/>
      <x:c r="L227" s="55"/>
      <x:c r="M227" s="55"/>
      <x:c r="N227" s="55"/>
      <x:c r="O227" s="52"/>
      <x:c r="P227" s="52"/>
      <x:c r="Q227" s="52"/>
      <x:c r="R227" s="52"/>
      <x:c r="S227" s="52"/>
      <x:c r="T227" s="52"/>
      <x:c r="U227" s="52"/>
      <x:c r="V227" s="52"/>
      <x:c r="W227" s="52"/>
      <x:c r="X227" s="52"/>
      <x:c r="Y227" s="52"/>
      <x:c r="Z227" s="52"/>
      <x:c r="AA227" s="52"/>
      <x:c r="AB227" s="52"/>
      <x:c r="AC227" s="52"/>
      <x:c r="AD227" s="52"/>
      <x:c r="AE227" s="52"/>
      <x:c r="AF227" s="52"/>
      <x:c r="AG227" s="52"/>
      <x:c r="AH227" s="52"/>
      <x:c r="AI227" s="52"/>
      <x:c r="AJ227" s="52"/>
    </x:row>
    <x:row r="228">
      <x:c r="A228" s="52"/>
      <x:c r="B228" s="52"/>
      <x:c r="C228" s="52"/>
      <x:c r="D228" s="52"/>
      <x:c r="E228" s="52"/>
      <x:c r="F228" s="52"/>
      <x:c r="G228" s="52"/>
      <x:c r="H228" s="52"/>
      <x:c r="I228" s="52"/>
      <x:c r="J228" s="52"/>
      <x:c r="K228" s="52"/>
      <x:c r="L228" s="55"/>
      <x:c r="M228" s="55"/>
      <x:c r="N228" s="55"/>
      <x:c r="O228" s="52"/>
      <x:c r="P228" s="52"/>
      <x:c r="Q228" s="52"/>
      <x:c r="R228" s="52"/>
      <x:c r="S228" s="52"/>
      <x:c r="T228" s="52"/>
      <x:c r="U228" s="52"/>
      <x:c r="V228" s="52"/>
      <x:c r="W228" s="52"/>
      <x:c r="X228" s="52"/>
      <x:c r="Y228" s="52"/>
      <x:c r="Z228" s="52"/>
      <x:c r="AA228" s="52"/>
      <x:c r="AB228" s="52"/>
      <x:c r="AC228" s="52"/>
      <x:c r="AD228" s="52"/>
      <x:c r="AE228" s="52"/>
      <x:c r="AF228" s="52"/>
      <x:c r="AG228" s="52"/>
      <x:c r="AH228" s="52"/>
      <x:c r="AI228" s="52"/>
      <x:c r="AJ228" s="52"/>
    </x:row>
    <x:row r="229">
      <x:c r="A229" s="52"/>
      <x:c r="B229" s="52"/>
      <x:c r="C229" s="52"/>
      <x:c r="D229" s="52"/>
      <x:c r="E229" s="52"/>
      <x:c r="F229" s="52"/>
      <x:c r="G229" s="52"/>
      <x:c r="H229" s="52"/>
      <x:c r="I229" s="52"/>
      <x:c r="J229" s="52"/>
      <x:c r="K229" s="52"/>
      <x:c r="L229" s="55"/>
      <x:c r="M229" s="55"/>
      <x:c r="N229" s="55"/>
      <x:c r="O229" s="52"/>
      <x:c r="P229" s="52"/>
      <x:c r="Q229" s="52"/>
      <x:c r="R229" s="52"/>
      <x:c r="S229" s="52"/>
      <x:c r="T229" s="52"/>
      <x:c r="U229" s="52"/>
      <x:c r="V229" s="52"/>
      <x:c r="W229" s="52"/>
      <x:c r="X229" s="52"/>
      <x:c r="Y229" s="52"/>
      <x:c r="Z229" s="52"/>
      <x:c r="AA229" s="52"/>
      <x:c r="AB229" s="52"/>
      <x:c r="AC229" s="52"/>
      <x:c r="AD229" s="52"/>
      <x:c r="AE229" s="52"/>
      <x:c r="AF229" s="52"/>
      <x:c r="AG229" s="52"/>
      <x:c r="AH229" s="52"/>
      <x:c r="AI229" s="52"/>
      <x:c r="AJ229" s="52"/>
    </x:row>
    <x:row r="230">
      <x:c r="A230" s="52"/>
      <x:c r="B230" s="52"/>
      <x:c r="C230" s="52"/>
      <x:c r="D230" s="52"/>
      <x:c r="E230" s="52"/>
      <x:c r="F230" s="52"/>
      <x:c r="G230" s="52"/>
      <x:c r="H230" s="52"/>
      <x:c r="I230" s="52"/>
      <x:c r="J230" s="52"/>
      <x:c r="K230" s="52"/>
      <x:c r="L230" s="55"/>
      <x:c r="M230" s="55"/>
      <x:c r="N230" s="55"/>
      <x:c r="O230" s="52"/>
      <x:c r="P230" s="52"/>
      <x:c r="Q230" s="52"/>
      <x:c r="R230" s="52"/>
      <x:c r="S230" s="52"/>
      <x:c r="T230" s="52"/>
      <x:c r="U230" s="52"/>
      <x:c r="V230" s="52"/>
      <x:c r="W230" s="52"/>
      <x:c r="X230" s="52"/>
      <x:c r="Y230" s="52"/>
      <x:c r="Z230" s="52"/>
      <x:c r="AA230" s="52"/>
      <x:c r="AB230" s="52"/>
      <x:c r="AC230" s="52"/>
      <x:c r="AD230" s="52"/>
      <x:c r="AE230" s="52"/>
      <x:c r="AF230" s="52"/>
      <x:c r="AG230" s="52"/>
      <x:c r="AH230" s="52"/>
      <x:c r="AI230" s="52"/>
      <x:c r="AJ230" s="52"/>
    </x:row>
    <x:row r="231">
      <x:c r="A231" s="52"/>
      <x:c r="B231" s="52"/>
      <x:c r="C231" s="52"/>
      <x:c r="D231" s="52"/>
      <x:c r="E231" s="52"/>
      <x:c r="F231" s="52"/>
      <x:c r="G231" s="52"/>
      <x:c r="H231" s="52"/>
      <x:c r="I231" s="52"/>
      <x:c r="J231" s="52"/>
      <x:c r="K231" s="52"/>
      <x:c r="L231" s="55"/>
      <x:c r="M231" s="55"/>
      <x:c r="N231" s="55"/>
      <x:c r="O231" s="52"/>
      <x:c r="P231" s="52"/>
      <x:c r="Q231" s="52"/>
      <x:c r="R231" s="52"/>
      <x:c r="S231" s="52"/>
      <x:c r="T231" s="52"/>
      <x:c r="U231" s="52"/>
      <x:c r="V231" s="52"/>
      <x:c r="W231" s="52"/>
      <x:c r="X231" s="52"/>
      <x:c r="Y231" s="52"/>
      <x:c r="Z231" s="52"/>
      <x:c r="AA231" s="52"/>
      <x:c r="AB231" s="52"/>
      <x:c r="AC231" s="52"/>
      <x:c r="AD231" s="52"/>
      <x:c r="AE231" s="52"/>
      <x:c r="AF231" s="52"/>
      <x:c r="AG231" s="52"/>
      <x:c r="AH231" s="52"/>
      <x:c r="AI231" s="52"/>
      <x:c r="AJ231" s="52"/>
    </x:row>
    <x:row r="232">
      <x:c r="A232" s="52"/>
      <x:c r="B232" s="52"/>
      <x:c r="C232" s="52"/>
      <x:c r="D232" s="52"/>
      <x:c r="E232" s="52"/>
      <x:c r="F232" s="52"/>
      <x:c r="G232" s="52"/>
      <x:c r="H232" s="52"/>
      <x:c r="I232" s="52"/>
      <x:c r="J232" s="52"/>
      <x:c r="K232" s="52"/>
      <x:c r="L232" s="55"/>
      <x:c r="M232" s="55"/>
      <x:c r="N232" s="55"/>
      <x:c r="O232" s="52"/>
      <x:c r="P232" s="52"/>
      <x:c r="Q232" s="52"/>
      <x:c r="R232" s="52"/>
      <x:c r="S232" s="52"/>
      <x:c r="T232" s="52"/>
      <x:c r="U232" s="52"/>
      <x:c r="V232" s="52"/>
      <x:c r="W232" s="52"/>
      <x:c r="X232" s="52"/>
      <x:c r="Y232" s="52"/>
      <x:c r="Z232" s="52"/>
      <x:c r="AA232" s="52"/>
      <x:c r="AB232" s="52"/>
      <x:c r="AC232" s="52"/>
      <x:c r="AD232" s="52"/>
      <x:c r="AE232" s="52"/>
      <x:c r="AF232" s="52"/>
      <x:c r="AG232" s="52"/>
      <x:c r="AH232" s="52"/>
      <x:c r="AI232" s="52"/>
      <x:c r="AJ232" s="52"/>
    </x:row>
    <x:row r="233">
      <x:c r="A233" s="52"/>
      <x:c r="B233" s="52"/>
      <x:c r="C233" s="52"/>
      <x:c r="D233" s="52"/>
      <x:c r="E233" s="52"/>
      <x:c r="F233" s="52"/>
      <x:c r="G233" s="52"/>
      <x:c r="H233" s="52"/>
      <x:c r="I233" s="52"/>
      <x:c r="J233" s="52"/>
      <x:c r="K233" s="52"/>
      <x:c r="L233" s="55"/>
      <x:c r="M233" s="55"/>
      <x:c r="N233" s="55"/>
      <x:c r="O233" s="52"/>
      <x:c r="P233" s="52"/>
      <x:c r="Q233" s="52"/>
      <x:c r="R233" s="52"/>
      <x:c r="S233" s="52"/>
      <x:c r="T233" s="52"/>
      <x:c r="U233" s="52"/>
      <x:c r="V233" s="52"/>
      <x:c r="W233" s="52"/>
      <x:c r="X233" s="52"/>
      <x:c r="Y233" s="52"/>
      <x:c r="Z233" s="52"/>
      <x:c r="AA233" s="52"/>
      <x:c r="AB233" s="52"/>
      <x:c r="AC233" s="52"/>
      <x:c r="AD233" s="52"/>
      <x:c r="AE233" s="52"/>
      <x:c r="AF233" s="52"/>
      <x:c r="AG233" s="52"/>
      <x:c r="AH233" s="52"/>
      <x:c r="AI233" s="52"/>
      <x:c r="AJ233" s="52"/>
    </x:row>
    <x:row r="234">
      <x:c r="A234" s="52"/>
      <x:c r="B234" s="52"/>
      <x:c r="C234" s="52"/>
      <x:c r="D234" s="52"/>
      <x:c r="E234" s="52"/>
      <x:c r="F234" s="52"/>
      <x:c r="G234" s="52"/>
      <x:c r="H234" s="52"/>
      <x:c r="I234" s="52"/>
      <x:c r="J234" s="52"/>
      <x:c r="K234" s="52"/>
      <x:c r="L234" s="55"/>
      <x:c r="M234" s="55"/>
      <x:c r="N234" s="55"/>
      <x:c r="O234" s="52"/>
      <x:c r="P234" s="52"/>
      <x:c r="Q234" s="52"/>
      <x:c r="R234" s="52"/>
      <x:c r="S234" s="52"/>
      <x:c r="T234" s="52"/>
      <x:c r="U234" s="52"/>
      <x:c r="V234" s="52"/>
      <x:c r="W234" s="52"/>
      <x:c r="X234" s="52"/>
      <x:c r="Y234" s="52"/>
      <x:c r="Z234" s="52"/>
      <x:c r="AA234" s="52"/>
      <x:c r="AB234" s="52"/>
      <x:c r="AC234" s="52"/>
      <x:c r="AD234" s="52"/>
      <x:c r="AE234" s="52"/>
      <x:c r="AF234" s="52"/>
      <x:c r="AG234" s="52"/>
      <x:c r="AH234" s="52"/>
      <x:c r="AI234" s="52"/>
      <x:c r="AJ234" s="52"/>
    </x:row>
    <x:row r="235">
      <x:c r="A235" s="52"/>
      <x:c r="B235" s="52"/>
      <x:c r="C235" s="52"/>
      <x:c r="D235" s="52"/>
      <x:c r="E235" s="52"/>
      <x:c r="F235" s="52"/>
      <x:c r="G235" s="52"/>
      <x:c r="H235" s="52"/>
      <x:c r="I235" s="52"/>
      <x:c r="J235" s="52"/>
      <x:c r="K235" s="52"/>
      <x:c r="L235" s="55"/>
      <x:c r="M235" s="55"/>
      <x:c r="N235" s="55"/>
      <x:c r="O235" s="52"/>
      <x:c r="P235" s="52"/>
      <x:c r="Q235" s="52"/>
      <x:c r="R235" s="52"/>
      <x:c r="S235" s="52"/>
      <x:c r="T235" s="52"/>
      <x:c r="U235" s="52"/>
      <x:c r="V235" s="52"/>
      <x:c r="W235" s="52"/>
      <x:c r="X235" s="52"/>
      <x:c r="Y235" s="52"/>
      <x:c r="Z235" s="52"/>
      <x:c r="AA235" s="52"/>
      <x:c r="AB235" s="52"/>
      <x:c r="AC235" s="52"/>
      <x:c r="AD235" s="52"/>
      <x:c r="AE235" s="52"/>
      <x:c r="AF235" s="52"/>
      <x:c r="AG235" s="52"/>
      <x:c r="AH235" s="52"/>
      <x:c r="AI235" s="52"/>
      <x:c r="AJ235" s="52"/>
    </x:row>
    <x:row r="236">
      <x:c r="A236" s="52"/>
      <x:c r="B236" s="52"/>
      <x:c r="C236" s="52"/>
      <x:c r="D236" s="52"/>
      <x:c r="E236" s="52"/>
      <x:c r="F236" s="52"/>
      <x:c r="G236" s="52"/>
      <x:c r="H236" s="52"/>
      <x:c r="I236" s="52"/>
      <x:c r="J236" s="52"/>
      <x:c r="K236" s="52"/>
      <x:c r="L236" s="55"/>
      <x:c r="M236" s="55"/>
      <x:c r="N236" s="55"/>
      <x:c r="O236" s="52"/>
      <x:c r="P236" s="52"/>
      <x:c r="Q236" s="52"/>
      <x:c r="R236" s="52"/>
      <x:c r="S236" s="52"/>
      <x:c r="T236" s="52"/>
      <x:c r="U236" s="52"/>
      <x:c r="V236" s="52"/>
      <x:c r="W236" s="52"/>
      <x:c r="X236" s="52"/>
      <x:c r="Y236" s="52"/>
      <x:c r="Z236" s="52"/>
      <x:c r="AA236" s="52"/>
      <x:c r="AB236" s="52"/>
      <x:c r="AC236" s="52"/>
      <x:c r="AD236" s="52"/>
      <x:c r="AE236" s="52"/>
      <x:c r="AF236" s="52"/>
      <x:c r="AG236" s="52"/>
      <x:c r="AH236" s="52"/>
      <x:c r="AI236" s="52"/>
      <x:c r="AJ236" s="52"/>
    </x:row>
    <x:row r="237">
      <x:c r="A237" s="52"/>
      <x:c r="B237" s="52"/>
      <x:c r="C237" s="52"/>
      <x:c r="D237" s="52"/>
      <x:c r="E237" s="52"/>
      <x:c r="F237" s="52"/>
      <x:c r="G237" s="52"/>
      <x:c r="H237" s="52"/>
      <x:c r="I237" s="52"/>
      <x:c r="J237" s="52"/>
      <x:c r="K237" s="52"/>
      <x:c r="L237" s="55"/>
      <x:c r="M237" s="55"/>
      <x:c r="N237" s="55"/>
      <x:c r="O237" s="52"/>
      <x:c r="P237" s="52"/>
      <x:c r="Q237" s="52"/>
      <x:c r="R237" s="52"/>
      <x:c r="S237" s="52"/>
      <x:c r="T237" s="52"/>
      <x:c r="U237" s="52"/>
      <x:c r="V237" s="52"/>
      <x:c r="W237" s="52"/>
      <x:c r="X237" s="52"/>
      <x:c r="Y237" s="52"/>
      <x:c r="Z237" s="52"/>
      <x:c r="AA237" s="52"/>
      <x:c r="AB237" s="52"/>
      <x:c r="AC237" s="52"/>
      <x:c r="AD237" s="52"/>
      <x:c r="AE237" s="52"/>
      <x:c r="AF237" s="52"/>
      <x:c r="AG237" s="52"/>
      <x:c r="AH237" s="52"/>
      <x:c r="AI237" s="52"/>
      <x:c r="AJ237" s="52"/>
    </x:row>
    <x:row r="238">
      <x:c r="A238" s="52"/>
      <x:c r="B238" s="52"/>
      <x:c r="C238" s="52"/>
      <x:c r="D238" s="52"/>
      <x:c r="E238" s="52"/>
      <x:c r="F238" s="52"/>
      <x:c r="G238" s="52"/>
      <x:c r="H238" s="52"/>
      <x:c r="I238" s="52"/>
      <x:c r="J238" s="52"/>
      <x:c r="K238" s="52"/>
      <x:c r="L238" s="55"/>
      <x:c r="M238" s="55"/>
      <x:c r="N238" s="55"/>
      <x:c r="O238" s="52"/>
      <x:c r="P238" s="52"/>
      <x:c r="Q238" s="52"/>
      <x:c r="R238" s="52"/>
      <x:c r="S238" s="52"/>
      <x:c r="T238" s="52"/>
      <x:c r="U238" s="52"/>
      <x:c r="V238" s="52"/>
      <x:c r="W238" s="52"/>
      <x:c r="X238" s="52"/>
      <x:c r="Y238" s="52"/>
      <x:c r="Z238" s="52"/>
      <x:c r="AA238" s="52"/>
      <x:c r="AB238" s="52"/>
      <x:c r="AC238" s="52"/>
      <x:c r="AD238" s="52"/>
      <x:c r="AE238" s="52"/>
      <x:c r="AF238" s="52"/>
      <x:c r="AG238" s="52"/>
      <x:c r="AH238" s="52"/>
      <x:c r="AI238" s="52"/>
      <x:c r="AJ238" s="52"/>
    </x:row>
    <x:row r="239">
      <x:c r="A239" s="52"/>
      <x:c r="B239" s="52"/>
      <x:c r="C239" s="52"/>
      <x:c r="D239" s="52"/>
      <x:c r="E239" s="52"/>
      <x:c r="F239" s="52"/>
      <x:c r="G239" s="52"/>
      <x:c r="H239" s="52"/>
      <x:c r="I239" s="52"/>
      <x:c r="J239" s="52"/>
      <x:c r="K239" s="52"/>
      <x:c r="L239" s="55"/>
      <x:c r="M239" s="55"/>
      <x:c r="N239" s="55"/>
      <x:c r="O239" s="52"/>
      <x:c r="P239" s="52"/>
      <x:c r="Q239" s="52"/>
      <x:c r="R239" s="52"/>
      <x:c r="S239" s="52"/>
      <x:c r="T239" s="52"/>
      <x:c r="U239" s="52"/>
      <x:c r="V239" s="52"/>
      <x:c r="W239" s="52"/>
      <x:c r="X239" s="52"/>
      <x:c r="Y239" s="52"/>
      <x:c r="Z239" s="52"/>
      <x:c r="AA239" s="52"/>
      <x:c r="AB239" s="52"/>
      <x:c r="AC239" s="52"/>
      <x:c r="AD239" s="52"/>
      <x:c r="AE239" s="52"/>
      <x:c r="AF239" s="52"/>
      <x:c r="AG239" s="52"/>
      <x:c r="AH239" s="52"/>
      <x:c r="AI239" s="52"/>
      <x:c r="AJ239" s="52"/>
    </x:row>
    <x:row r="240">
      <x:c r="A240" s="52"/>
      <x:c r="B240" s="52"/>
      <x:c r="C240" s="52"/>
      <x:c r="D240" s="52"/>
      <x:c r="E240" s="52"/>
      <x:c r="F240" s="52"/>
      <x:c r="G240" s="52"/>
      <x:c r="H240" s="52"/>
      <x:c r="I240" s="52"/>
      <x:c r="J240" s="52"/>
      <x:c r="K240" s="52"/>
      <x:c r="L240" s="55"/>
      <x:c r="M240" s="55"/>
      <x:c r="N240" s="55"/>
      <x:c r="O240" s="52"/>
      <x:c r="P240" s="52"/>
      <x:c r="Q240" s="52"/>
      <x:c r="R240" s="52"/>
      <x:c r="S240" s="52"/>
      <x:c r="T240" s="52"/>
      <x:c r="U240" s="52"/>
      <x:c r="V240" s="52"/>
      <x:c r="W240" s="52"/>
      <x:c r="X240" s="52"/>
      <x:c r="Y240" s="52"/>
      <x:c r="Z240" s="52"/>
      <x:c r="AA240" s="52"/>
      <x:c r="AB240" s="52"/>
      <x:c r="AC240" s="52"/>
      <x:c r="AD240" s="52"/>
      <x:c r="AE240" s="52"/>
      <x:c r="AF240" s="52"/>
      <x:c r="AG240" s="52"/>
      <x:c r="AH240" s="52"/>
      <x:c r="AI240" s="52"/>
      <x:c r="AJ240" s="52"/>
    </x:row>
    <x:row r="241">
      <x:c r="A241" s="52"/>
      <x:c r="B241" s="52"/>
      <x:c r="C241" s="52"/>
      <x:c r="D241" s="52"/>
      <x:c r="E241" s="52"/>
      <x:c r="F241" s="52"/>
      <x:c r="G241" s="52"/>
      <x:c r="H241" s="52"/>
      <x:c r="I241" s="52"/>
      <x:c r="J241" s="52"/>
      <x:c r="K241" s="52"/>
      <x:c r="L241" s="55"/>
      <x:c r="M241" s="55"/>
      <x:c r="N241" s="55"/>
      <x:c r="O241" s="52"/>
      <x:c r="P241" s="52"/>
      <x:c r="Q241" s="52"/>
      <x:c r="R241" s="52"/>
      <x:c r="S241" s="52"/>
      <x:c r="T241" s="52"/>
      <x:c r="U241" s="52"/>
      <x:c r="V241" s="52"/>
      <x:c r="W241" s="52"/>
      <x:c r="X241" s="52"/>
      <x:c r="Y241" s="52"/>
      <x:c r="Z241" s="52"/>
      <x:c r="AA241" s="52"/>
      <x:c r="AB241" s="52"/>
      <x:c r="AC241" s="52"/>
      <x:c r="AD241" s="52"/>
      <x:c r="AE241" s="52"/>
      <x:c r="AF241" s="52"/>
      <x:c r="AG241" s="52"/>
      <x:c r="AH241" s="52"/>
      <x:c r="AI241" s="52"/>
      <x:c r="AJ241" s="52"/>
    </x:row>
    <x:row r="242">
      <x:c r="A242" s="52"/>
      <x:c r="B242" s="52"/>
      <x:c r="C242" s="52"/>
      <x:c r="D242" s="52"/>
      <x:c r="E242" s="52"/>
      <x:c r="F242" s="52"/>
      <x:c r="G242" s="52"/>
      <x:c r="H242" s="52"/>
      <x:c r="I242" s="52"/>
      <x:c r="J242" s="52"/>
      <x:c r="K242" s="52"/>
      <x:c r="L242" s="55"/>
      <x:c r="M242" s="55"/>
      <x:c r="N242" s="55"/>
      <x:c r="O242" s="52"/>
      <x:c r="P242" s="52"/>
      <x:c r="Q242" s="52"/>
      <x:c r="R242" s="52"/>
      <x:c r="S242" s="52"/>
      <x:c r="T242" s="52"/>
      <x:c r="U242" s="52"/>
      <x:c r="V242" s="52"/>
      <x:c r="W242" s="52"/>
      <x:c r="X242" s="52"/>
      <x:c r="Y242" s="52"/>
      <x:c r="Z242" s="52"/>
      <x:c r="AA242" s="52"/>
      <x:c r="AB242" s="52"/>
      <x:c r="AC242" s="52"/>
      <x:c r="AD242" s="52"/>
      <x:c r="AE242" s="52"/>
      <x:c r="AF242" s="52"/>
      <x:c r="AG242" s="52"/>
      <x:c r="AH242" s="52"/>
      <x:c r="AI242" s="52"/>
      <x:c r="AJ242" s="52"/>
    </x:row>
    <x:row r="243">
      <x:c r="A243" s="52"/>
      <x:c r="B243" s="52"/>
      <x:c r="C243" s="52"/>
      <x:c r="D243" s="52"/>
      <x:c r="E243" s="52"/>
      <x:c r="F243" s="52"/>
      <x:c r="G243" s="52"/>
      <x:c r="H243" s="52"/>
      <x:c r="I243" s="52"/>
      <x:c r="J243" s="52"/>
      <x:c r="K243" s="52"/>
      <x:c r="L243" s="55"/>
      <x:c r="M243" s="55"/>
      <x:c r="N243" s="55"/>
      <x:c r="O243" s="52"/>
      <x:c r="P243" s="52"/>
      <x:c r="Q243" s="52"/>
      <x:c r="R243" s="52"/>
      <x:c r="S243" s="52"/>
      <x:c r="T243" s="52"/>
      <x:c r="U243" s="52"/>
      <x:c r="V243" s="52"/>
      <x:c r="W243" s="52"/>
      <x:c r="X243" s="52"/>
      <x:c r="Y243" s="52"/>
      <x:c r="Z243" s="52"/>
      <x:c r="AA243" s="52"/>
      <x:c r="AB243" s="52"/>
      <x:c r="AC243" s="52"/>
      <x:c r="AD243" s="52"/>
      <x:c r="AE243" s="52"/>
      <x:c r="AF243" s="52"/>
      <x:c r="AG243" s="52"/>
      <x:c r="AH243" s="52"/>
      <x:c r="AI243" s="52"/>
      <x:c r="AJ243" s="52"/>
    </x:row>
    <x:row r="244">
      <x:c r="A244" s="52"/>
      <x:c r="B244" s="52"/>
      <x:c r="C244" s="52"/>
      <x:c r="D244" s="52"/>
      <x:c r="E244" s="52"/>
      <x:c r="F244" s="52"/>
      <x:c r="G244" s="52"/>
      <x:c r="H244" s="52"/>
      <x:c r="I244" s="52"/>
      <x:c r="J244" s="52"/>
      <x:c r="K244" s="52"/>
      <x:c r="L244" s="55"/>
      <x:c r="M244" s="55"/>
      <x:c r="N244" s="55"/>
      <x:c r="O244" s="52"/>
      <x:c r="P244" s="52"/>
      <x:c r="Q244" s="52"/>
      <x:c r="R244" s="52"/>
      <x:c r="S244" s="52"/>
      <x:c r="T244" s="52"/>
      <x:c r="U244" s="52"/>
      <x:c r="V244" s="52"/>
      <x:c r="W244" s="52"/>
      <x:c r="X244" s="52"/>
      <x:c r="Y244" s="52"/>
      <x:c r="Z244" s="52"/>
      <x:c r="AA244" s="52"/>
      <x:c r="AB244" s="52"/>
      <x:c r="AC244" s="52"/>
      <x:c r="AD244" s="52"/>
      <x:c r="AE244" s="52"/>
      <x:c r="AF244" s="52"/>
      <x:c r="AG244" s="52"/>
      <x:c r="AH244" s="52"/>
      <x:c r="AI244" s="52"/>
      <x:c r="AJ244" s="52"/>
    </x:row>
    <x:row r="245">
      <x:c r="A245" s="52"/>
      <x:c r="B245" s="52"/>
      <x:c r="C245" s="52"/>
      <x:c r="D245" s="52"/>
      <x:c r="E245" s="52"/>
      <x:c r="F245" s="52"/>
      <x:c r="G245" s="52"/>
      <x:c r="H245" s="52"/>
      <x:c r="I245" s="52"/>
      <x:c r="J245" s="52"/>
      <x:c r="K245" s="52"/>
      <x:c r="L245" s="55"/>
      <x:c r="M245" s="55"/>
      <x:c r="N245" s="55"/>
      <x:c r="O245" s="52"/>
      <x:c r="P245" s="52"/>
      <x:c r="Q245" s="52"/>
      <x:c r="R245" s="52"/>
      <x:c r="S245" s="52"/>
      <x:c r="T245" s="52"/>
      <x:c r="U245" s="52"/>
      <x:c r="V245" s="52"/>
      <x:c r="W245" s="52"/>
      <x:c r="X245" s="52"/>
      <x:c r="Y245" s="52"/>
      <x:c r="Z245" s="52"/>
      <x:c r="AA245" s="52"/>
      <x:c r="AB245" s="52"/>
      <x:c r="AC245" s="52"/>
      <x:c r="AD245" s="52"/>
      <x:c r="AE245" s="52"/>
      <x:c r="AF245" s="52"/>
      <x:c r="AG245" s="52"/>
      <x:c r="AH245" s="52"/>
      <x:c r="AI245" s="52"/>
      <x:c r="AJ245" s="52"/>
    </x:row>
    <x:row r="246">
      <x:c r="A246" s="52"/>
      <x:c r="B246" s="52"/>
      <x:c r="C246" s="52"/>
      <x:c r="D246" s="52"/>
      <x:c r="E246" s="52"/>
      <x:c r="F246" s="52"/>
      <x:c r="G246" s="52"/>
      <x:c r="H246" s="52"/>
      <x:c r="I246" s="52"/>
      <x:c r="J246" s="52"/>
      <x:c r="K246" s="52"/>
      <x:c r="L246" s="55"/>
      <x:c r="M246" s="55"/>
      <x:c r="N246" s="55"/>
      <x:c r="O246" s="52"/>
      <x:c r="P246" s="52"/>
      <x:c r="Q246" s="52"/>
      <x:c r="R246" s="52"/>
      <x:c r="S246" s="52"/>
      <x:c r="T246" s="52"/>
      <x:c r="U246" s="52"/>
      <x:c r="V246" s="52"/>
      <x:c r="W246" s="52"/>
      <x:c r="X246" s="52"/>
      <x:c r="Y246" s="52"/>
      <x:c r="Z246" s="52"/>
      <x:c r="AA246" s="52"/>
      <x:c r="AB246" s="52"/>
      <x:c r="AC246" s="52"/>
      <x:c r="AD246" s="52"/>
      <x:c r="AE246" s="52"/>
      <x:c r="AF246" s="52"/>
      <x:c r="AG246" s="52"/>
      <x:c r="AH246" s="52"/>
      <x:c r="AI246" s="52"/>
      <x:c r="AJ246" s="52"/>
    </x:row>
    <x:row r="247">
      <x:c r="A247" s="52"/>
      <x:c r="B247" s="52"/>
      <x:c r="C247" s="52"/>
      <x:c r="D247" s="52"/>
      <x:c r="E247" s="52"/>
      <x:c r="F247" s="52"/>
      <x:c r="G247" s="52"/>
      <x:c r="H247" s="52"/>
      <x:c r="I247" s="52"/>
      <x:c r="J247" s="52"/>
      <x:c r="K247" s="52"/>
      <x:c r="L247" s="55"/>
      <x:c r="M247" s="55"/>
      <x:c r="N247" s="55"/>
      <x:c r="O247" s="52"/>
      <x:c r="P247" s="52"/>
      <x:c r="Q247" s="52"/>
      <x:c r="R247" s="52"/>
      <x:c r="S247" s="52"/>
      <x:c r="T247" s="52"/>
      <x:c r="U247" s="52"/>
      <x:c r="V247" s="52"/>
      <x:c r="W247" s="52"/>
      <x:c r="X247" s="52"/>
      <x:c r="Y247" s="52"/>
      <x:c r="Z247" s="52"/>
      <x:c r="AA247" s="52"/>
      <x:c r="AB247" s="52"/>
      <x:c r="AC247" s="52"/>
      <x:c r="AD247" s="52"/>
      <x:c r="AE247" s="52"/>
      <x:c r="AF247" s="52"/>
      <x:c r="AG247" s="52"/>
      <x:c r="AH247" s="52"/>
      <x:c r="AI247" s="52"/>
      <x:c r="AJ247" s="52"/>
    </x:row>
    <x:row r="248">
      <x:c r="A248" s="52"/>
      <x:c r="B248" s="52"/>
      <x:c r="C248" s="52"/>
      <x:c r="D248" s="52"/>
      <x:c r="E248" s="52"/>
      <x:c r="F248" s="52"/>
      <x:c r="G248" s="52"/>
      <x:c r="H248" s="52"/>
      <x:c r="I248" s="52"/>
      <x:c r="J248" s="52"/>
      <x:c r="K248" s="52"/>
      <x:c r="L248" s="55"/>
      <x:c r="M248" s="55"/>
      <x:c r="N248" s="55"/>
      <x:c r="O248" s="52"/>
      <x:c r="P248" s="52"/>
      <x:c r="Q248" s="52"/>
      <x:c r="R248" s="52"/>
      <x:c r="S248" s="52"/>
      <x:c r="T248" s="52"/>
      <x:c r="U248" s="52"/>
      <x:c r="V248" s="52"/>
      <x:c r="W248" s="52"/>
      <x:c r="X248" s="52"/>
      <x:c r="Y248" s="52"/>
      <x:c r="Z248" s="52"/>
      <x:c r="AA248" s="52"/>
      <x:c r="AB248" s="52"/>
      <x:c r="AC248" s="52"/>
      <x:c r="AD248" s="52"/>
      <x:c r="AE248" s="52"/>
      <x:c r="AF248" s="52"/>
      <x:c r="AG248" s="52"/>
      <x:c r="AH248" s="52"/>
      <x:c r="AI248" s="52"/>
      <x:c r="AJ248" s="52"/>
    </x:row>
    <x:row r="249">
      <x:c r="A249" s="52"/>
      <x:c r="B249" s="52"/>
      <x:c r="C249" s="52"/>
      <x:c r="D249" s="52"/>
      <x:c r="E249" s="52"/>
      <x:c r="F249" s="52"/>
      <x:c r="G249" s="52"/>
      <x:c r="H249" s="52"/>
      <x:c r="I249" s="52"/>
      <x:c r="J249" s="52"/>
      <x:c r="K249" s="52"/>
      <x:c r="L249" s="55"/>
      <x:c r="M249" s="55"/>
      <x:c r="N249" s="55"/>
      <x:c r="O249" s="52"/>
      <x:c r="P249" s="52"/>
      <x:c r="Q249" s="52"/>
      <x:c r="R249" s="52"/>
      <x:c r="S249" s="52"/>
      <x:c r="T249" s="52"/>
      <x:c r="U249" s="52"/>
      <x:c r="V249" s="52"/>
      <x:c r="W249" s="52"/>
      <x:c r="X249" s="52"/>
      <x:c r="Y249" s="52"/>
      <x:c r="Z249" s="52"/>
      <x:c r="AA249" s="52"/>
      <x:c r="AB249" s="52"/>
      <x:c r="AC249" s="52"/>
      <x:c r="AD249" s="52"/>
      <x:c r="AE249" s="52"/>
      <x:c r="AF249" s="52"/>
      <x:c r="AG249" s="52"/>
      <x:c r="AH249" s="52"/>
      <x:c r="AI249" s="52"/>
      <x:c r="AJ249" s="52"/>
    </x:row>
    <x:row r="250">
      <x:c r="A250" s="52"/>
      <x:c r="B250" s="52"/>
      <x:c r="C250" s="52"/>
      <x:c r="D250" s="52"/>
      <x:c r="E250" s="52"/>
      <x:c r="F250" s="52"/>
      <x:c r="G250" s="52"/>
      <x:c r="H250" s="52"/>
      <x:c r="I250" s="52"/>
      <x:c r="J250" s="52"/>
      <x:c r="K250" s="52"/>
      <x:c r="L250" s="55"/>
      <x:c r="M250" s="55"/>
      <x:c r="N250" s="55"/>
      <x:c r="O250" s="52"/>
      <x:c r="P250" s="52"/>
      <x:c r="Q250" s="52"/>
      <x:c r="R250" s="52"/>
      <x:c r="S250" s="52"/>
      <x:c r="T250" s="52"/>
      <x:c r="U250" s="52"/>
      <x:c r="V250" s="52"/>
      <x:c r="W250" s="52"/>
      <x:c r="X250" s="52"/>
      <x:c r="Y250" s="52"/>
      <x:c r="Z250" s="52"/>
      <x:c r="AA250" s="52"/>
      <x:c r="AB250" s="52"/>
      <x:c r="AC250" s="52"/>
      <x:c r="AD250" s="52"/>
      <x:c r="AE250" s="52"/>
      <x:c r="AF250" s="52"/>
      <x:c r="AG250" s="52"/>
      <x:c r="AH250" s="52"/>
      <x:c r="AI250" s="52"/>
      <x:c r="AJ250" s="52"/>
    </x:row>
    <x:row r="251">
      <x:c r="A251" s="52"/>
      <x:c r="B251" s="52"/>
      <x:c r="C251" s="52"/>
      <x:c r="D251" s="52"/>
      <x:c r="E251" s="52"/>
      <x:c r="F251" s="52"/>
      <x:c r="G251" s="52"/>
      <x:c r="H251" s="52"/>
      <x:c r="I251" s="52"/>
      <x:c r="J251" s="52"/>
      <x:c r="K251" s="52"/>
      <x:c r="L251" s="55"/>
      <x:c r="M251" s="55"/>
      <x:c r="N251" s="55"/>
      <x:c r="O251" s="52"/>
      <x:c r="P251" s="52"/>
      <x:c r="Q251" s="52"/>
      <x:c r="R251" s="52"/>
      <x:c r="S251" s="52"/>
      <x:c r="T251" s="52"/>
      <x:c r="U251" s="52"/>
      <x:c r="V251" s="52"/>
      <x:c r="W251" s="52"/>
      <x:c r="X251" s="52"/>
      <x:c r="Y251" s="52"/>
      <x:c r="Z251" s="52"/>
      <x:c r="AA251" s="52"/>
      <x:c r="AB251" s="52"/>
      <x:c r="AC251" s="52"/>
      <x:c r="AD251" s="52"/>
      <x:c r="AE251" s="52"/>
      <x:c r="AF251" s="52"/>
      <x:c r="AG251" s="52"/>
      <x:c r="AH251" s="52"/>
      <x:c r="AI251" s="52"/>
      <x:c r="AJ251" s="52"/>
    </x:row>
    <x:row r="252">
      <x:c r="A252" s="52"/>
      <x:c r="B252" s="52"/>
      <x:c r="C252" s="52"/>
      <x:c r="D252" s="52"/>
      <x:c r="E252" s="52"/>
      <x:c r="F252" s="52"/>
      <x:c r="G252" s="52"/>
      <x:c r="H252" s="52"/>
      <x:c r="I252" s="52"/>
      <x:c r="J252" s="52"/>
      <x:c r="K252" s="52"/>
      <x:c r="L252" s="55"/>
      <x:c r="M252" s="55"/>
      <x:c r="N252" s="55"/>
      <x:c r="O252" s="52"/>
      <x:c r="P252" s="52"/>
      <x:c r="Q252" s="52"/>
      <x:c r="R252" s="52"/>
      <x:c r="S252" s="52"/>
      <x:c r="T252" s="52"/>
      <x:c r="U252" s="52"/>
      <x:c r="V252" s="52"/>
      <x:c r="W252" s="52"/>
      <x:c r="X252" s="52"/>
      <x:c r="Y252" s="52"/>
      <x:c r="Z252" s="52"/>
      <x:c r="AA252" s="52"/>
      <x:c r="AB252" s="52"/>
      <x:c r="AC252" s="52"/>
      <x:c r="AD252" s="52"/>
      <x:c r="AE252" s="52"/>
      <x:c r="AF252" s="52"/>
      <x:c r="AG252" s="52"/>
      <x:c r="AH252" s="52"/>
      <x:c r="AI252" s="52"/>
      <x:c r="AJ252" s="52"/>
    </x:row>
    <x:row r="253">
      <x:c r="A253" s="52"/>
      <x:c r="B253" s="52"/>
      <x:c r="C253" s="52"/>
      <x:c r="D253" s="52"/>
      <x:c r="E253" s="52"/>
      <x:c r="F253" s="52"/>
      <x:c r="G253" s="52"/>
      <x:c r="H253" s="52"/>
      <x:c r="I253" s="52"/>
      <x:c r="J253" s="52"/>
      <x:c r="K253" s="52"/>
      <x:c r="L253" s="55"/>
      <x:c r="M253" s="55"/>
      <x:c r="N253" s="55"/>
      <x:c r="O253" s="52"/>
      <x:c r="P253" s="52"/>
      <x:c r="Q253" s="52"/>
      <x:c r="R253" s="52"/>
      <x:c r="S253" s="52"/>
      <x:c r="T253" s="52"/>
      <x:c r="U253" s="52"/>
      <x:c r="V253" s="52"/>
      <x:c r="W253" s="52"/>
      <x:c r="X253" s="52"/>
      <x:c r="Y253" s="52"/>
      <x:c r="Z253" s="52"/>
      <x:c r="AA253" s="52"/>
      <x:c r="AB253" s="52"/>
      <x:c r="AC253" s="52"/>
      <x:c r="AD253" s="52"/>
      <x:c r="AE253" s="52"/>
      <x:c r="AF253" s="52"/>
      <x:c r="AG253" s="52"/>
      <x:c r="AH253" s="52"/>
      <x:c r="AI253" s="52"/>
      <x:c r="AJ253" s="52"/>
    </x:row>
    <x:row r="254">
      <x:c r="A254" s="52"/>
      <x:c r="B254" s="52"/>
      <x:c r="C254" s="52"/>
      <x:c r="D254" s="52"/>
      <x:c r="E254" s="52"/>
      <x:c r="F254" s="52"/>
      <x:c r="G254" s="52"/>
      <x:c r="H254" s="52"/>
      <x:c r="I254" s="52"/>
      <x:c r="J254" s="52"/>
      <x:c r="K254" s="52"/>
      <x:c r="L254" s="55"/>
      <x:c r="M254" s="55"/>
      <x:c r="N254" s="55"/>
      <x:c r="O254" s="52"/>
      <x:c r="P254" s="52"/>
      <x:c r="Q254" s="52"/>
      <x:c r="R254" s="52"/>
      <x:c r="S254" s="52"/>
      <x:c r="T254" s="52"/>
      <x:c r="U254" s="52"/>
      <x:c r="V254" s="52"/>
      <x:c r="W254" s="52"/>
      <x:c r="X254" s="52"/>
      <x:c r="Y254" s="52"/>
      <x:c r="Z254" s="52"/>
      <x:c r="AA254" s="52"/>
      <x:c r="AB254" s="52"/>
      <x:c r="AC254" s="52"/>
      <x:c r="AD254" s="52"/>
      <x:c r="AE254" s="52"/>
      <x:c r="AF254" s="52"/>
      <x:c r="AG254" s="52"/>
      <x:c r="AH254" s="52"/>
      <x:c r="AI254" s="52"/>
      <x:c r="AJ254" s="52"/>
    </x:row>
    <x:row r="255">
      <x:c r="A255" s="52"/>
      <x:c r="B255" s="52"/>
      <x:c r="C255" s="52"/>
      <x:c r="D255" s="52"/>
      <x:c r="E255" s="52"/>
      <x:c r="F255" s="52"/>
      <x:c r="G255" s="52"/>
      <x:c r="H255" s="52"/>
      <x:c r="I255" s="52"/>
      <x:c r="J255" s="52"/>
      <x:c r="K255" s="52"/>
      <x:c r="L255" s="55"/>
      <x:c r="M255" s="55"/>
      <x:c r="N255" s="55"/>
      <x:c r="O255" s="52"/>
      <x:c r="P255" s="52"/>
      <x:c r="Q255" s="52"/>
      <x:c r="R255" s="52"/>
      <x:c r="S255" s="52"/>
      <x:c r="T255" s="52"/>
      <x:c r="U255" s="52"/>
      <x:c r="V255" s="52"/>
      <x:c r="W255" s="52"/>
      <x:c r="X255" s="52"/>
      <x:c r="Y255" s="52"/>
      <x:c r="Z255" s="52"/>
      <x:c r="AA255" s="52"/>
      <x:c r="AB255" s="52"/>
      <x:c r="AC255" s="52"/>
      <x:c r="AD255" s="52"/>
      <x:c r="AE255" s="52"/>
      <x:c r="AF255" s="52"/>
      <x:c r="AG255" s="52"/>
      <x:c r="AH255" s="52"/>
      <x:c r="AI255" s="52"/>
      <x:c r="AJ255" s="52"/>
    </x:row>
    <x:row r="256">
      <x:c r="A256" s="52"/>
      <x:c r="B256" s="52"/>
      <x:c r="C256" s="52"/>
      <x:c r="D256" s="52"/>
      <x:c r="E256" s="52"/>
      <x:c r="F256" s="52"/>
      <x:c r="G256" s="52"/>
      <x:c r="H256" s="52"/>
      <x:c r="I256" s="52"/>
      <x:c r="J256" s="52"/>
      <x:c r="K256" s="52"/>
      <x:c r="L256" s="55"/>
      <x:c r="M256" s="55"/>
      <x:c r="N256" s="55"/>
      <x:c r="O256" s="52"/>
      <x:c r="P256" s="52"/>
      <x:c r="Q256" s="52"/>
      <x:c r="R256" s="52"/>
      <x:c r="S256" s="52"/>
      <x:c r="T256" s="52"/>
      <x:c r="U256" s="52"/>
      <x:c r="V256" s="52"/>
      <x:c r="W256" s="52"/>
      <x:c r="X256" s="52"/>
      <x:c r="Y256" s="52"/>
      <x:c r="Z256" s="52"/>
      <x:c r="AA256" s="52"/>
      <x:c r="AB256" s="52"/>
      <x:c r="AC256" s="52"/>
      <x:c r="AD256" s="52"/>
      <x:c r="AE256" s="52"/>
      <x:c r="AF256" s="52"/>
      <x:c r="AG256" s="52"/>
      <x:c r="AH256" s="52"/>
      <x:c r="AI256" s="52"/>
      <x:c r="AJ256" s="52"/>
    </x:row>
    <x:row r="257">
      <x:c r="A257" s="52"/>
      <x:c r="B257" s="52"/>
      <x:c r="C257" s="52"/>
      <x:c r="D257" s="52"/>
      <x:c r="E257" s="52"/>
      <x:c r="F257" s="52"/>
      <x:c r="G257" s="52"/>
      <x:c r="H257" s="52"/>
      <x:c r="I257" s="52"/>
      <x:c r="J257" s="52"/>
      <x:c r="K257" s="52"/>
      <x:c r="L257" s="55"/>
      <x:c r="M257" s="55"/>
      <x:c r="N257" s="55"/>
      <x:c r="O257" s="52"/>
      <x:c r="P257" s="52"/>
      <x:c r="Q257" s="52"/>
      <x:c r="R257" s="52"/>
      <x:c r="S257" s="52"/>
      <x:c r="T257" s="52"/>
      <x:c r="U257" s="52"/>
      <x:c r="V257" s="52"/>
      <x:c r="W257" s="52"/>
      <x:c r="X257" s="52"/>
      <x:c r="Y257" s="52"/>
      <x:c r="Z257" s="52"/>
      <x:c r="AA257" s="52"/>
      <x:c r="AB257" s="52"/>
      <x:c r="AC257" s="52"/>
      <x:c r="AD257" s="52"/>
      <x:c r="AE257" s="52"/>
      <x:c r="AF257" s="52"/>
      <x:c r="AG257" s="52"/>
      <x:c r="AH257" s="52"/>
      <x:c r="AI257" s="52"/>
      <x:c r="AJ257" s="52"/>
    </x:row>
    <x:row r="258">
      <x:c r="A258" s="52"/>
      <x:c r="B258" s="52"/>
      <x:c r="C258" s="52"/>
      <x:c r="D258" s="52"/>
      <x:c r="E258" s="52"/>
      <x:c r="F258" s="52"/>
      <x:c r="G258" s="52"/>
      <x:c r="H258" s="52"/>
      <x:c r="I258" s="52"/>
      <x:c r="J258" s="52"/>
      <x:c r="K258" s="52"/>
      <x:c r="L258" s="55"/>
      <x:c r="M258" s="55"/>
      <x:c r="N258" s="55"/>
      <x:c r="O258" s="52"/>
      <x:c r="P258" s="52"/>
      <x:c r="Q258" s="52"/>
      <x:c r="R258" s="52"/>
      <x:c r="S258" s="52"/>
      <x:c r="T258" s="52"/>
      <x:c r="U258" s="52"/>
      <x:c r="V258" s="52"/>
      <x:c r="W258" s="52"/>
      <x:c r="X258" s="52"/>
      <x:c r="Y258" s="52"/>
      <x:c r="Z258" s="52"/>
      <x:c r="AA258" s="52"/>
      <x:c r="AB258" s="52"/>
      <x:c r="AC258" s="52"/>
      <x:c r="AD258" s="52"/>
      <x:c r="AE258" s="52"/>
      <x:c r="AF258" s="52"/>
      <x:c r="AG258" s="52"/>
      <x:c r="AH258" s="52"/>
      <x:c r="AI258" s="52"/>
      <x:c r="AJ258" s="52"/>
    </x:row>
    <x:row r="259">
      <x:c r="A259" s="52"/>
      <x:c r="B259" s="52"/>
      <x:c r="C259" s="52"/>
      <x:c r="D259" s="52"/>
      <x:c r="E259" s="52"/>
      <x:c r="F259" s="52"/>
      <x:c r="G259" s="52"/>
      <x:c r="H259" s="52"/>
      <x:c r="I259" s="52"/>
      <x:c r="J259" s="52"/>
      <x:c r="K259" s="52"/>
      <x:c r="L259" s="55"/>
      <x:c r="M259" s="55"/>
      <x:c r="N259" s="55"/>
      <x:c r="O259" s="52"/>
      <x:c r="P259" s="52"/>
      <x:c r="Q259" s="52"/>
      <x:c r="R259" s="52"/>
      <x:c r="S259" s="52"/>
      <x:c r="T259" s="52"/>
      <x:c r="U259" s="52"/>
      <x:c r="V259" s="52"/>
      <x:c r="W259" s="52"/>
      <x:c r="X259" s="52"/>
      <x:c r="Y259" s="52"/>
      <x:c r="Z259" s="52"/>
      <x:c r="AA259" s="52"/>
      <x:c r="AB259" s="52"/>
      <x:c r="AC259" s="52"/>
      <x:c r="AD259" s="52"/>
      <x:c r="AE259" s="52"/>
      <x:c r="AF259" s="52"/>
      <x:c r="AG259" s="52"/>
      <x:c r="AH259" s="52"/>
      <x:c r="AI259" s="52"/>
      <x:c r="AJ259" s="52"/>
    </x:row>
    <x:row r="260">
      <x:c r="A260" s="52"/>
      <x:c r="B260" s="52"/>
      <x:c r="C260" s="52"/>
      <x:c r="D260" s="52"/>
      <x:c r="E260" s="52"/>
      <x:c r="F260" s="52"/>
      <x:c r="G260" s="52"/>
      <x:c r="H260" s="52"/>
      <x:c r="I260" s="52"/>
      <x:c r="J260" s="52"/>
      <x:c r="K260" s="52"/>
      <x:c r="L260" s="55"/>
      <x:c r="M260" s="55"/>
      <x:c r="N260" s="55"/>
      <x:c r="O260" s="52"/>
      <x:c r="P260" s="52"/>
      <x:c r="Q260" s="52"/>
      <x:c r="R260" s="52"/>
      <x:c r="S260" s="52"/>
      <x:c r="T260" s="52"/>
      <x:c r="U260" s="52"/>
      <x:c r="V260" s="52"/>
      <x:c r="W260" s="52"/>
      <x:c r="X260" s="52"/>
      <x:c r="Y260" s="52"/>
      <x:c r="Z260" s="52"/>
      <x:c r="AA260" s="52"/>
      <x:c r="AB260" s="52"/>
      <x:c r="AC260" s="52"/>
      <x:c r="AD260" s="52"/>
      <x:c r="AE260" s="52"/>
      <x:c r="AF260" s="52"/>
      <x:c r="AG260" s="52"/>
      <x:c r="AH260" s="52"/>
      <x:c r="AI260" s="52"/>
      <x:c r="AJ260" s="52"/>
    </x:row>
    <x:row r="261">
      <x:c r="A261" s="52"/>
      <x:c r="B261" s="52"/>
      <x:c r="C261" s="52"/>
      <x:c r="D261" s="52"/>
      <x:c r="E261" s="52"/>
      <x:c r="F261" s="52"/>
      <x:c r="G261" s="52"/>
      <x:c r="H261" s="52"/>
      <x:c r="I261" s="52"/>
      <x:c r="J261" s="52"/>
      <x:c r="K261" s="52"/>
      <x:c r="L261" s="55"/>
      <x:c r="M261" s="55"/>
      <x:c r="N261" s="55"/>
      <x:c r="O261" s="52"/>
      <x:c r="P261" s="52"/>
      <x:c r="Q261" s="52"/>
      <x:c r="R261" s="52"/>
      <x:c r="S261" s="52"/>
      <x:c r="T261" s="52"/>
      <x:c r="U261" s="52"/>
      <x:c r="V261" s="52"/>
      <x:c r="W261" s="52"/>
      <x:c r="X261" s="52"/>
      <x:c r="Y261" s="52"/>
      <x:c r="Z261" s="52"/>
      <x:c r="AA261" s="52"/>
      <x:c r="AB261" s="52"/>
      <x:c r="AC261" s="52"/>
      <x:c r="AD261" s="52"/>
      <x:c r="AE261" s="52"/>
      <x:c r="AF261" s="52"/>
      <x:c r="AG261" s="52"/>
      <x:c r="AH261" s="52"/>
      <x:c r="AI261" s="52"/>
      <x:c r="AJ261" s="52"/>
    </x:row>
    <x:row r="262">
      <x:c r="A262" s="52"/>
      <x:c r="B262" s="52"/>
      <x:c r="C262" s="52"/>
      <x:c r="D262" s="52"/>
      <x:c r="E262" s="52"/>
      <x:c r="F262" s="52"/>
      <x:c r="G262" s="52"/>
      <x:c r="H262" s="52"/>
      <x:c r="I262" s="52"/>
      <x:c r="J262" s="52"/>
      <x:c r="K262" s="52"/>
      <x:c r="L262" s="55"/>
      <x:c r="M262" s="55"/>
      <x:c r="N262" s="55"/>
      <x:c r="O262" s="52"/>
      <x:c r="P262" s="52"/>
      <x:c r="Q262" s="52"/>
      <x:c r="R262" s="52"/>
      <x:c r="S262" s="52"/>
      <x:c r="T262" s="52"/>
      <x:c r="U262" s="52"/>
      <x:c r="V262" s="52"/>
      <x:c r="W262" s="52"/>
      <x:c r="X262" s="52"/>
      <x:c r="Y262" s="52"/>
      <x:c r="Z262" s="52"/>
      <x:c r="AA262" s="52"/>
      <x:c r="AB262" s="52"/>
      <x:c r="AC262" s="52"/>
      <x:c r="AD262" s="52"/>
      <x:c r="AE262" s="52"/>
      <x:c r="AF262" s="52"/>
      <x:c r="AG262" s="52"/>
      <x:c r="AH262" s="52"/>
      <x:c r="AI262" s="52"/>
      <x:c r="AJ262" s="52"/>
    </x:row>
    <x:row r="263">
      <x:c r="A263" s="52"/>
      <x:c r="B263" s="52"/>
      <x:c r="C263" s="52"/>
      <x:c r="D263" s="52"/>
      <x:c r="E263" s="52"/>
      <x:c r="F263" s="52"/>
      <x:c r="G263" s="52"/>
      <x:c r="H263" s="52"/>
      <x:c r="I263" s="52"/>
      <x:c r="J263" s="52"/>
      <x:c r="K263" s="52"/>
      <x:c r="L263" s="55"/>
      <x:c r="M263" s="55"/>
      <x:c r="N263" s="55"/>
      <x:c r="O263" s="52"/>
      <x:c r="P263" s="52"/>
      <x:c r="Q263" s="52"/>
      <x:c r="R263" s="52"/>
      <x:c r="S263" s="52"/>
      <x:c r="T263" s="52"/>
      <x:c r="U263" s="52"/>
      <x:c r="V263" s="52"/>
      <x:c r="W263" s="52"/>
      <x:c r="X263" s="52"/>
      <x:c r="Y263" s="52"/>
      <x:c r="Z263" s="52"/>
      <x:c r="AA263" s="52"/>
      <x:c r="AB263" s="52"/>
      <x:c r="AC263" s="52"/>
      <x:c r="AD263" s="52"/>
      <x:c r="AE263" s="52"/>
      <x:c r="AF263" s="52"/>
      <x:c r="AG263" s="52"/>
      <x:c r="AH263" s="52"/>
      <x:c r="AI263" s="52"/>
      <x:c r="AJ263" s="52"/>
    </x:row>
    <x:row r="264">
      <x:c r="A264" s="52"/>
      <x:c r="B264" s="52"/>
      <x:c r="C264" s="52"/>
      <x:c r="D264" s="52"/>
      <x:c r="E264" s="52"/>
      <x:c r="F264" s="52"/>
      <x:c r="G264" s="52"/>
      <x:c r="H264" s="52"/>
      <x:c r="I264" s="52"/>
      <x:c r="J264" s="52"/>
      <x:c r="K264" s="52"/>
      <x:c r="L264" s="55"/>
      <x:c r="M264" s="55"/>
      <x:c r="N264" s="55"/>
      <x:c r="O264" s="52"/>
      <x:c r="P264" s="52"/>
      <x:c r="Q264" s="52"/>
      <x:c r="R264" s="52"/>
      <x:c r="S264" s="52"/>
      <x:c r="T264" s="52"/>
      <x:c r="U264" s="52"/>
      <x:c r="V264" s="52"/>
      <x:c r="W264" s="52"/>
      <x:c r="X264" s="52"/>
      <x:c r="Y264" s="52"/>
      <x:c r="Z264" s="52"/>
      <x:c r="AA264" s="52"/>
      <x:c r="AB264" s="52"/>
      <x:c r="AC264" s="52"/>
      <x:c r="AD264" s="52"/>
      <x:c r="AE264" s="52"/>
      <x:c r="AF264" s="52"/>
      <x:c r="AG264" s="52"/>
      <x:c r="AH264" s="52"/>
      <x:c r="AI264" s="52"/>
      <x:c r="AJ264" s="52"/>
    </x:row>
    <x:row r="265">
      <x:c r="A265" s="52"/>
      <x:c r="B265" s="52"/>
      <x:c r="C265" s="52"/>
      <x:c r="D265" s="52"/>
      <x:c r="E265" s="52"/>
      <x:c r="F265" s="52"/>
      <x:c r="G265" s="52"/>
      <x:c r="H265" s="52"/>
      <x:c r="I265" s="52"/>
      <x:c r="J265" s="52"/>
      <x:c r="K265" s="52"/>
      <x:c r="L265" s="55"/>
      <x:c r="M265" s="55"/>
      <x:c r="N265" s="55"/>
      <x:c r="O265" s="52"/>
      <x:c r="P265" s="52"/>
      <x:c r="Q265" s="52"/>
      <x:c r="R265" s="52"/>
      <x:c r="S265" s="52"/>
      <x:c r="T265" s="52"/>
      <x:c r="U265" s="52"/>
      <x:c r="V265" s="52"/>
      <x:c r="W265" s="52"/>
      <x:c r="X265" s="52"/>
      <x:c r="Y265" s="52"/>
      <x:c r="Z265" s="52"/>
      <x:c r="AA265" s="52"/>
      <x:c r="AB265" s="52"/>
      <x:c r="AC265" s="52"/>
      <x:c r="AD265" s="52"/>
      <x:c r="AE265" s="52"/>
      <x:c r="AF265" s="52"/>
      <x:c r="AG265" s="52"/>
      <x:c r="AH265" s="52"/>
      <x:c r="AI265" s="52"/>
      <x:c r="AJ265" s="52"/>
    </x:row>
    <x:row r="266">
      <x:c r="A266" s="52"/>
      <x:c r="B266" s="52"/>
      <x:c r="C266" s="52"/>
      <x:c r="D266" s="52"/>
      <x:c r="E266" s="52"/>
      <x:c r="F266" s="52"/>
      <x:c r="G266" s="52"/>
      <x:c r="H266" s="52"/>
      <x:c r="I266" s="52"/>
      <x:c r="J266" s="52"/>
      <x:c r="K266" s="52"/>
      <x:c r="L266" s="55"/>
      <x:c r="M266" s="55"/>
      <x:c r="N266" s="55"/>
      <x:c r="O266" s="52"/>
      <x:c r="P266" s="52"/>
      <x:c r="Q266" s="52"/>
      <x:c r="R266" s="52"/>
      <x:c r="S266" s="52"/>
      <x:c r="T266" s="52"/>
      <x:c r="U266" s="52"/>
      <x:c r="V266" s="52"/>
      <x:c r="W266" s="52"/>
      <x:c r="X266" s="52"/>
      <x:c r="Y266" s="52"/>
      <x:c r="Z266" s="52"/>
      <x:c r="AA266" s="52"/>
      <x:c r="AB266" s="52"/>
      <x:c r="AC266" s="52"/>
      <x:c r="AD266" s="52"/>
      <x:c r="AE266" s="52"/>
      <x:c r="AF266" s="52"/>
      <x:c r="AG266" s="52"/>
      <x:c r="AH266" s="52"/>
      <x:c r="AI266" s="52"/>
      <x:c r="AJ266" s="52"/>
    </x:row>
    <x:row r="267">
      <x:c r="A267" s="52"/>
      <x:c r="B267" s="52"/>
      <x:c r="C267" s="52"/>
      <x:c r="D267" s="52"/>
      <x:c r="E267" s="52"/>
      <x:c r="F267" s="52"/>
      <x:c r="G267" s="52"/>
      <x:c r="H267" s="52"/>
      <x:c r="I267" s="52"/>
      <x:c r="J267" s="52"/>
      <x:c r="K267" s="52"/>
      <x:c r="L267" s="55"/>
      <x:c r="M267" s="55"/>
      <x:c r="N267" s="55"/>
      <x:c r="O267" s="52"/>
      <x:c r="P267" s="52"/>
      <x:c r="Q267" s="52"/>
      <x:c r="R267" s="52"/>
      <x:c r="S267" s="52"/>
      <x:c r="T267" s="52"/>
      <x:c r="U267" s="52"/>
      <x:c r="V267" s="52"/>
      <x:c r="W267" s="52"/>
      <x:c r="X267" s="52"/>
      <x:c r="Y267" s="52"/>
      <x:c r="Z267" s="52"/>
      <x:c r="AA267" s="52"/>
      <x:c r="AB267" s="52"/>
      <x:c r="AC267" s="52"/>
      <x:c r="AD267" s="52"/>
      <x:c r="AE267" s="52"/>
      <x:c r="AF267" s="52"/>
      <x:c r="AG267" s="52"/>
      <x:c r="AH267" s="52"/>
      <x:c r="AI267" s="52"/>
      <x:c r="AJ267" s="52"/>
    </x:row>
    <x:row r="268">
      <x:c r="A268" s="52"/>
      <x:c r="B268" s="52"/>
      <x:c r="C268" s="52"/>
      <x:c r="D268" s="52"/>
      <x:c r="E268" s="52"/>
      <x:c r="F268" s="52"/>
      <x:c r="G268" s="52"/>
      <x:c r="H268" s="52"/>
      <x:c r="I268" s="52"/>
      <x:c r="J268" s="52"/>
      <x:c r="K268" s="52"/>
      <x:c r="L268" s="55"/>
      <x:c r="M268" s="55"/>
      <x:c r="N268" s="55"/>
      <x:c r="O268" s="52"/>
      <x:c r="P268" s="52"/>
      <x:c r="Q268" s="52"/>
      <x:c r="R268" s="52"/>
      <x:c r="S268" s="52"/>
      <x:c r="T268" s="52"/>
      <x:c r="U268" s="52"/>
      <x:c r="V268" s="52"/>
      <x:c r="W268" s="52"/>
      <x:c r="X268" s="52"/>
      <x:c r="Y268" s="52"/>
      <x:c r="Z268" s="52"/>
      <x:c r="AA268" s="52"/>
      <x:c r="AB268" s="52"/>
      <x:c r="AC268" s="52"/>
      <x:c r="AD268" s="52"/>
      <x:c r="AE268" s="52"/>
      <x:c r="AF268" s="52"/>
      <x:c r="AG268" s="52"/>
      <x:c r="AH268" s="52"/>
      <x:c r="AI268" s="52"/>
      <x:c r="AJ268" s="52"/>
    </x:row>
    <x:row r="269">
      <x:c r="A269" s="52"/>
      <x:c r="B269" s="52"/>
      <x:c r="C269" s="52"/>
      <x:c r="D269" s="52"/>
      <x:c r="E269" s="52"/>
      <x:c r="F269" s="52"/>
      <x:c r="G269" s="52"/>
      <x:c r="H269" s="52"/>
      <x:c r="I269" s="52"/>
      <x:c r="J269" s="52"/>
      <x:c r="K269" s="52"/>
      <x:c r="L269" s="55"/>
      <x:c r="M269" s="55"/>
      <x:c r="N269" s="55"/>
      <x:c r="O269" s="52"/>
      <x:c r="P269" s="52"/>
      <x:c r="Q269" s="52"/>
      <x:c r="R269" s="52"/>
      <x:c r="S269" s="52"/>
      <x:c r="T269" s="52"/>
      <x:c r="U269" s="52"/>
      <x:c r="V269" s="52"/>
      <x:c r="W269" s="52"/>
      <x:c r="X269" s="52"/>
      <x:c r="Y269" s="52"/>
      <x:c r="Z269" s="52"/>
      <x:c r="AA269" s="52"/>
      <x:c r="AB269" s="52"/>
      <x:c r="AC269" s="52"/>
      <x:c r="AD269" s="52"/>
      <x:c r="AE269" s="52"/>
      <x:c r="AF269" s="52"/>
      <x:c r="AG269" s="52"/>
      <x:c r="AH269" s="52"/>
      <x:c r="AI269" s="52"/>
      <x:c r="AJ269" s="52"/>
    </x:row>
    <x:row r="270">
      <x:c r="A270" s="52"/>
      <x:c r="B270" s="52"/>
      <x:c r="C270" s="52"/>
      <x:c r="D270" s="52"/>
      <x:c r="E270" s="52"/>
      <x:c r="F270" s="52"/>
      <x:c r="G270" s="52"/>
      <x:c r="H270" s="52"/>
      <x:c r="I270" s="52"/>
      <x:c r="J270" s="52"/>
      <x:c r="K270" s="52"/>
      <x:c r="L270" s="55"/>
      <x:c r="M270" s="55"/>
      <x:c r="N270" s="55"/>
      <x:c r="O270" s="52"/>
      <x:c r="P270" s="52"/>
      <x:c r="Q270" s="52"/>
      <x:c r="R270" s="52"/>
      <x:c r="S270" s="52"/>
      <x:c r="T270" s="52"/>
      <x:c r="U270" s="52"/>
      <x:c r="V270" s="52"/>
      <x:c r="W270" s="52"/>
      <x:c r="X270" s="52"/>
      <x:c r="Y270" s="52"/>
      <x:c r="Z270" s="52"/>
      <x:c r="AA270" s="52"/>
      <x:c r="AB270" s="52"/>
      <x:c r="AC270" s="52"/>
      <x:c r="AD270" s="52"/>
      <x:c r="AE270" s="52"/>
      <x:c r="AF270" s="52"/>
      <x:c r="AG270" s="52"/>
      <x:c r="AH270" s="52"/>
      <x:c r="AI270" s="52"/>
      <x:c r="AJ270" s="52"/>
    </x:row>
    <x:row r="271">
      <x:c r="A271" s="52"/>
      <x:c r="B271" s="52"/>
      <x:c r="C271" s="52"/>
      <x:c r="D271" s="52"/>
      <x:c r="E271" s="52"/>
      <x:c r="F271" s="52"/>
      <x:c r="G271" s="52"/>
      <x:c r="H271" s="52"/>
      <x:c r="I271" s="52"/>
      <x:c r="J271" s="52"/>
      <x:c r="K271" s="52"/>
      <x:c r="L271" s="55"/>
      <x:c r="M271" s="55"/>
      <x:c r="N271" s="55"/>
      <x:c r="O271" s="52"/>
      <x:c r="P271" s="52"/>
      <x:c r="Q271" s="52"/>
      <x:c r="R271" s="52"/>
      <x:c r="S271" s="52"/>
      <x:c r="T271" s="52"/>
      <x:c r="U271" s="52"/>
      <x:c r="V271" s="52"/>
      <x:c r="W271" s="52"/>
      <x:c r="X271" s="52"/>
      <x:c r="Y271" s="52"/>
      <x:c r="Z271" s="52"/>
      <x:c r="AA271" s="52"/>
      <x:c r="AB271" s="52"/>
      <x:c r="AC271" s="52"/>
      <x:c r="AD271" s="52"/>
      <x:c r="AE271" s="52"/>
      <x:c r="AF271" s="52"/>
      <x:c r="AG271" s="52"/>
      <x:c r="AH271" s="52"/>
      <x:c r="AI271" s="52"/>
      <x:c r="AJ271" s="52"/>
    </x:row>
    <x:row r="272">
      <x:c r="A272" s="52"/>
      <x:c r="B272" s="52"/>
      <x:c r="C272" s="52"/>
      <x:c r="D272" s="52"/>
      <x:c r="E272" s="52"/>
      <x:c r="F272" s="52"/>
      <x:c r="G272" s="52"/>
      <x:c r="H272" s="52"/>
      <x:c r="I272" s="52"/>
      <x:c r="J272" s="52"/>
      <x:c r="K272" s="52"/>
      <x:c r="L272" s="55"/>
      <x:c r="M272" s="55"/>
      <x:c r="N272" s="55"/>
      <x:c r="O272" s="52"/>
      <x:c r="P272" s="52"/>
      <x:c r="Q272" s="52"/>
      <x:c r="R272" s="52"/>
      <x:c r="S272" s="52"/>
      <x:c r="T272" s="52"/>
      <x:c r="U272" s="52"/>
      <x:c r="V272" s="52"/>
      <x:c r="W272" s="52"/>
      <x:c r="X272" s="52"/>
      <x:c r="Y272" s="52"/>
      <x:c r="Z272" s="52"/>
      <x:c r="AA272" s="52"/>
      <x:c r="AB272" s="52"/>
      <x:c r="AC272" s="52"/>
      <x:c r="AD272" s="52"/>
      <x:c r="AE272" s="52"/>
      <x:c r="AF272" s="52"/>
      <x:c r="AG272" s="52"/>
      <x:c r="AH272" s="52"/>
      <x:c r="AI272" s="52"/>
      <x:c r="AJ272" s="52"/>
    </x:row>
    <x:row r="273">
      <x:c r="A273" s="52"/>
      <x:c r="B273" s="52"/>
      <x:c r="C273" s="52"/>
      <x:c r="D273" s="52"/>
      <x:c r="E273" s="52"/>
      <x:c r="F273" s="52"/>
      <x:c r="G273" s="52"/>
      <x:c r="H273" s="52"/>
      <x:c r="I273" s="52"/>
      <x:c r="J273" s="52"/>
      <x:c r="K273" s="52"/>
      <x:c r="L273" s="55"/>
      <x:c r="M273" s="55"/>
      <x:c r="N273" s="55"/>
      <x:c r="O273" s="52"/>
      <x:c r="P273" s="52"/>
      <x:c r="Q273" s="52"/>
      <x:c r="R273" s="52"/>
      <x:c r="S273" s="52"/>
      <x:c r="T273" s="52"/>
      <x:c r="U273" s="52"/>
      <x:c r="V273" s="52"/>
      <x:c r="W273" s="52"/>
      <x:c r="X273" s="52"/>
      <x:c r="Y273" s="52"/>
      <x:c r="Z273" s="52"/>
      <x:c r="AA273" s="52"/>
      <x:c r="AB273" s="52"/>
      <x:c r="AC273" s="52"/>
      <x:c r="AD273" s="52"/>
      <x:c r="AE273" s="52"/>
      <x:c r="AF273" s="52"/>
      <x:c r="AG273" s="52"/>
      <x:c r="AH273" s="52"/>
      <x:c r="AI273" s="52"/>
      <x:c r="AJ273" s="52"/>
    </x:row>
    <x:row r="274">
      <x:c r="A274" s="52"/>
      <x:c r="B274" s="52"/>
      <x:c r="C274" s="52"/>
      <x:c r="D274" s="52"/>
      <x:c r="E274" s="52"/>
      <x:c r="F274" s="52"/>
      <x:c r="G274" s="52"/>
      <x:c r="H274" s="52"/>
      <x:c r="I274" s="52"/>
      <x:c r="J274" s="52"/>
      <x:c r="K274" s="52"/>
      <x:c r="L274" s="55"/>
      <x:c r="M274" s="55"/>
      <x:c r="N274" s="55"/>
      <x:c r="O274" s="52"/>
      <x:c r="P274" s="52"/>
      <x:c r="Q274" s="52"/>
      <x:c r="R274" s="52"/>
      <x:c r="S274" s="52"/>
      <x:c r="T274" s="52"/>
      <x:c r="U274" s="52"/>
      <x:c r="V274" s="52"/>
      <x:c r="W274" s="52"/>
      <x:c r="X274" s="52"/>
      <x:c r="Y274" s="52"/>
      <x:c r="Z274" s="52"/>
      <x:c r="AA274" s="52"/>
      <x:c r="AB274" s="52"/>
      <x:c r="AC274" s="52"/>
      <x:c r="AD274" s="52"/>
      <x:c r="AE274" s="52"/>
      <x:c r="AF274" s="52"/>
      <x:c r="AG274" s="52"/>
      <x:c r="AH274" s="52"/>
      <x:c r="AI274" s="52"/>
      <x:c r="AJ274" s="52"/>
    </x:row>
    <x:row r="275">
      <x:c r="A275" s="52"/>
      <x:c r="B275" s="52"/>
      <x:c r="C275" s="52"/>
      <x:c r="D275" s="52"/>
      <x:c r="E275" s="52"/>
      <x:c r="F275" s="52"/>
      <x:c r="G275" s="52"/>
      <x:c r="H275" s="52"/>
      <x:c r="I275" s="52"/>
      <x:c r="J275" s="52"/>
      <x:c r="K275" s="52"/>
      <x:c r="L275" s="55"/>
      <x:c r="M275" s="55"/>
      <x:c r="N275" s="55"/>
      <x:c r="O275" s="52"/>
      <x:c r="P275" s="52"/>
      <x:c r="Q275" s="52"/>
      <x:c r="R275" s="52"/>
      <x:c r="S275" s="52"/>
      <x:c r="T275" s="52"/>
      <x:c r="U275" s="52"/>
      <x:c r="V275" s="52"/>
      <x:c r="W275" s="52"/>
      <x:c r="X275" s="52"/>
      <x:c r="Y275" s="52"/>
      <x:c r="Z275" s="52"/>
      <x:c r="AA275" s="52"/>
      <x:c r="AB275" s="52"/>
      <x:c r="AC275" s="52"/>
      <x:c r="AD275" s="52"/>
      <x:c r="AE275" s="52"/>
      <x:c r="AF275" s="52"/>
      <x:c r="AG275" s="52"/>
      <x:c r="AH275" s="52"/>
      <x:c r="AI275" s="52"/>
      <x:c r="AJ275" s="52"/>
    </x:row>
    <x:row r="276">
      <x:c r="A276" s="52"/>
      <x:c r="B276" s="52"/>
      <x:c r="C276" s="52"/>
      <x:c r="D276" s="52"/>
      <x:c r="E276" s="52"/>
      <x:c r="F276" s="52"/>
      <x:c r="G276" s="52"/>
      <x:c r="H276" s="52"/>
      <x:c r="I276" s="52"/>
      <x:c r="J276" s="52"/>
      <x:c r="K276" s="52"/>
      <x:c r="L276" s="55"/>
      <x:c r="M276" s="55"/>
      <x:c r="N276" s="55"/>
      <x:c r="O276" s="52"/>
      <x:c r="P276" s="52"/>
      <x:c r="Q276" s="52"/>
      <x:c r="R276" s="52"/>
      <x:c r="S276" s="52"/>
      <x:c r="T276" s="52"/>
      <x:c r="U276" s="52"/>
      <x:c r="V276" s="52"/>
      <x:c r="W276" s="52"/>
      <x:c r="X276" s="52"/>
      <x:c r="Y276" s="52"/>
      <x:c r="Z276" s="52"/>
      <x:c r="AA276" s="52"/>
      <x:c r="AB276" s="52"/>
      <x:c r="AC276" s="52"/>
      <x:c r="AD276" s="52"/>
      <x:c r="AE276" s="52"/>
      <x:c r="AF276" s="52"/>
      <x:c r="AG276" s="52"/>
      <x:c r="AH276" s="52"/>
      <x:c r="AI276" s="52"/>
      <x:c r="AJ276" s="52"/>
    </x:row>
    <x:row r="277">
      <x:c r="A277" s="52"/>
      <x:c r="B277" s="52"/>
      <x:c r="C277" s="52"/>
      <x:c r="D277" s="52"/>
      <x:c r="E277" s="52"/>
      <x:c r="F277" s="52"/>
      <x:c r="G277" s="52"/>
      <x:c r="H277" s="52"/>
      <x:c r="I277" s="52"/>
      <x:c r="J277" s="52"/>
      <x:c r="K277" s="52"/>
      <x:c r="L277" s="55"/>
      <x:c r="M277" s="55"/>
      <x:c r="N277" s="55"/>
      <x:c r="O277" s="52"/>
      <x:c r="P277" s="52"/>
      <x:c r="Q277" s="52"/>
      <x:c r="R277" s="52"/>
      <x:c r="S277" s="52"/>
      <x:c r="T277" s="52"/>
      <x:c r="U277" s="52"/>
      <x:c r="V277" s="52"/>
      <x:c r="W277" s="52"/>
      <x:c r="X277" s="52"/>
      <x:c r="Y277" s="52"/>
      <x:c r="Z277" s="52"/>
      <x:c r="AA277" s="52"/>
      <x:c r="AB277" s="52"/>
      <x:c r="AC277" s="52"/>
      <x:c r="AD277" s="52"/>
      <x:c r="AE277" s="52"/>
      <x:c r="AF277" s="52"/>
      <x:c r="AG277" s="52"/>
      <x:c r="AH277" s="52"/>
      <x:c r="AI277" s="52"/>
      <x:c r="AJ277" s="52"/>
    </x:row>
    <x:row r="278">
      <x:c r="A278" s="52"/>
      <x:c r="B278" s="52"/>
      <x:c r="C278" s="52"/>
      <x:c r="D278" s="52"/>
      <x:c r="E278" s="52"/>
      <x:c r="F278" s="52"/>
      <x:c r="G278" s="52"/>
      <x:c r="H278" s="52"/>
      <x:c r="I278" s="52"/>
      <x:c r="J278" s="52"/>
      <x:c r="K278" s="52"/>
      <x:c r="L278" s="55"/>
      <x:c r="M278" s="55"/>
      <x:c r="N278" s="55"/>
      <x:c r="O278" s="52"/>
      <x:c r="P278" s="52"/>
      <x:c r="Q278" s="52"/>
      <x:c r="R278" s="52"/>
      <x:c r="S278" s="52"/>
      <x:c r="T278" s="52"/>
      <x:c r="U278" s="52"/>
      <x:c r="V278" s="52"/>
      <x:c r="W278" s="52"/>
      <x:c r="X278" s="52"/>
      <x:c r="Y278" s="52"/>
      <x:c r="Z278" s="52"/>
      <x:c r="AA278" s="52"/>
      <x:c r="AB278" s="52"/>
      <x:c r="AC278" s="52"/>
      <x:c r="AD278" s="52"/>
      <x:c r="AE278" s="52"/>
      <x:c r="AF278" s="52"/>
      <x:c r="AG278" s="52"/>
      <x:c r="AH278" s="52"/>
      <x:c r="AI278" s="52"/>
      <x:c r="AJ278" s="52"/>
    </x:row>
    <x:row r="279">
      <x:c r="A279" s="52"/>
      <x:c r="B279" s="52"/>
      <x:c r="C279" s="52"/>
      <x:c r="D279" s="52"/>
      <x:c r="E279" s="52"/>
      <x:c r="F279" s="52"/>
      <x:c r="G279" s="52"/>
      <x:c r="H279" s="52"/>
      <x:c r="I279" s="52"/>
      <x:c r="J279" s="52"/>
      <x:c r="K279" s="52"/>
      <x:c r="L279" s="55"/>
      <x:c r="M279" s="55"/>
      <x:c r="N279" s="55"/>
      <x:c r="O279" s="52"/>
      <x:c r="P279" s="52"/>
      <x:c r="Q279" s="52"/>
      <x:c r="R279" s="52"/>
      <x:c r="S279" s="52"/>
      <x:c r="T279" s="52"/>
      <x:c r="U279" s="52"/>
      <x:c r="V279" s="52"/>
      <x:c r="W279" s="52"/>
      <x:c r="X279" s="52"/>
      <x:c r="Y279" s="52"/>
      <x:c r="Z279" s="52"/>
      <x:c r="AA279" s="52"/>
      <x:c r="AB279" s="52"/>
      <x:c r="AC279" s="52"/>
      <x:c r="AD279" s="52"/>
      <x:c r="AE279" s="52"/>
      <x:c r="AF279" s="52"/>
      <x:c r="AG279" s="52"/>
      <x:c r="AH279" s="52"/>
      <x:c r="AI279" s="52"/>
      <x:c r="AJ279" s="52"/>
    </x:row>
    <x:row r="280">
      <x:c r="A280" s="52"/>
      <x:c r="B280" s="52"/>
      <x:c r="C280" s="52"/>
      <x:c r="D280" s="52"/>
      <x:c r="E280" s="52"/>
      <x:c r="F280" s="52"/>
      <x:c r="G280" s="52"/>
      <x:c r="H280" s="52"/>
      <x:c r="I280" s="52"/>
      <x:c r="J280" s="52"/>
      <x:c r="K280" s="52"/>
      <x:c r="L280" s="55"/>
      <x:c r="M280" s="55"/>
      <x:c r="N280" s="55"/>
      <x:c r="O280" s="52"/>
      <x:c r="P280" s="52"/>
      <x:c r="Q280" s="52"/>
      <x:c r="R280" s="52"/>
      <x:c r="S280" s="52"/>
      <x:c r="T280" s="52"/>
      <x:c r="U280" s="52"/>
      <x:c r="V280" s="52"/>
      <x:c r="W280" s="52"/>
      <x:c r="X280" s="52"/>
      <x:c r="Y280" s="52"/>
      <x:c r="Z280" s="52"/>
      <x:c r="AA280" s="52"/>
      <x:c r="AB280" s="52"/>
      <x:c r="AC280" s="52"/>
      <x:c r="AD280" s="52"/>
      <x:c r="AE280" s="52"/>
      <x:c r="AF280" s="52"/>
      <x:c r="AG280" s="52"/>
      <x:c r="AH280" s="52"/>
      <x:c r="AI280" s="52"/>
      <x:c r="AJ280" s="52"/>
    </x:row>
    <x:row r="281">
      <x:c r="A281" s="52"/>
      <x:c r="B281" s="52"/>
      <x:c r="C281" s="52"/>
      <x:c r="D281" s="52"/>
      <x:c r="E281" s="52"/>
      <x:c r="F281" s="52"/>
      <x:c r="G281" s="52"/>
      <x:c r="H281" s="52"/>
      <x:c r="I281" s="52"/>
      <x:c r="J281" s="52"/>
      <x:c r="K281" s="52"/>
      <x:c r="L281" s="55"/>
      <x:c r="M281" s="55"/>
      <x:c r="N281" s="55"/>
      <x:c r="O281" s="52"/>
      <x:c r="P281" s="52"/>
      <x:c r="Q281" s="52"/>
      <x:c r="R281" s="52"/>
      <x:c r="S281" s="52"/>
      <x:c r="T281" s="52"/>
      <x:c r="U281" s="52"/>
      <x:c r="V281" s="52"/>
      <x:c r="W281" s="52"/>
      <x:c r="X281" s="52"/>
      <x:c r="Y281" s="52"/>
      <x:c r="Z281" s="52"/>
      <x:c r="AA281" s="52"/>
      <x:c r="AB281" s="52"/>
      <x:c r="AC281" s="52"/>
      <x:c r="AD281" s="52"/>
      <x:c r="AE281" s="52"/>
      <x:c r="AF281" s="52"/>
      <x:c r="AG281" s="52"/>
      <x:c r="AH281" s="52"/>
      <x:c r="AI281" s="52"/>
      <x:c r="AJ281" s="52"/>
    </x:row>
    <x:row r="282">
      <x:c r="A282" s="52"/>
      <x:c r="B282" s="52"/>
      <x:c r="C282" s="52"/>
      <x:c r="D282" s="52"/>
      <x:c r="E282" s="52"/>
      <x:c r="F282" s="52"/>
      <x:c r="G282" s="52"/>
      <x:c r="H282" s="52"/>
      <x:c r="I282" s="52"/>
      <x:c r="J282" s="52"/>
      <x:c r="K282" s="52"/>
      <x:c r="L282" s="55"/>
      <x:c r="M282" s="55"/>
      <x:c r="N282" s="55"/>
      <x:c r="O282" s="52"/>
      <x:c r="P282" s="52"/>
      <x:c r="Q282" s="52"/>
      <x:c r="R282" s="52"/>
      <x:c r="S282" s="52"/>
      <x:c r="T282" s="52"/>
      <x:c r="U282" s="52"/>
      <x:c r="V282" s="52"/>
      <x:c r="W282" s="52"/>
      <x:c r="X282" s="52"/>
      <x:c r="Y282" s="52"/>
      <x:c r="Z282" s="52"/>
      <x:c r="AA282" s="52"/>
      <x:c r="AB282" s="52"/>
      <x:c r="AC282" s="52"/>
      <x:c r="AD282" s="52"/>
      <x:c r="AE282" s="52"/>
      <x:c r="AF282" s="52"/>
      <x:c r="AG282" s="52"/>
      <x:c r="AH282" s="52"/>
      <x:c r="AI282" s="52"/>
      <x:c r="AJ282" s="52"/>
    </x:row>
    <x:row r="283">
      <x:c r="A283" s="52"/>
      <x:c r="B283" s="52"/>
      <x:c r="C283" s="52"/>
      <x:c r="D283" s="52"/>
      <x:c r="E283" s="52"/>
      <x:c r="F283" s="52"/>
      <x:c r="G283" s="52"/>
      <x:c r="H283" s="52"/>
      <x:c r="I283" s="52"/>
      <x:c r="J283" s="52"/>
      <x:c r="K283" s="52"/>
      <x:c r="L283" s="55"/>
      <x:c r="M283" s="55"/>
      <x:c r="N283" s="55"/>
      <x:c r="O283" s="52"/>
      <x:c r="P283" s="52"/>
      <x:c r="Q283" s="52"/>
      <x:c r="R283" s="52"/>
      <x:c r="S283" s="52"/>
      <x:c r="T283" s="52"/>
      <x:c r="U283" s="52"/>
      <x:c r="V283" s="52"/>
      <x:c r="W283" s="52"/>
      <x:c r="X283" s="52"/>
      <x:c r="Y283" s="52"/>
      <x:c r="Z283" s="52"/>
      <x:c r="AA283" s="52"/>
      <x:c r="AB283" s="52"/>
      <x:c r="AC283" s="52"/>
      <x:c r="AD283" s="52"/>
      <x:c r="AE283" s="52"/>
      <x:c r="AF283" s="52"/>
      <x:c r="AG283" s="52"/>
      <x:c r="AH283" s="52"/>
      <x:c r="AI283" s="52"/>
      <x:c r="AJ283" s="52"/>
    </x:row>
    <x:row r="284">
      <x:c r="A284" s="52"/>
      <x:c r="B284" s="52"/>
      <x:c r="C284" s="52"/>
      <x:c r="D284" s="52"/>
      <x:c r="E284" s="52"/>
      <x:c r="F284" s="52"/>
      <x:c r="G284" s="52"/>
      <x:c r="H284" s="52"/>
      <x:c r="I284" s="52"/>
      <x:c r="J284" s="52"/>
      <x:c r="K284" s="52"/>
      <x:c r="L284" s="55"/>
      <x:c r="M284" s="55"/>
      <x:c r="N284" s="55"/>
      <x:c r="O284" s="52"/>
      <x:c r="P284" s="52"/>
      <x:c r="Q284" s="52"/>
      <x:c r="R284" s="52"/>
      <x:c r="S284" s="52"/>
      <x:c r="T284" s="52"/>
      <x:c r="U284" s="52"/>
      <x:c r="V284" s="52"/>
      <x:c r="W284" s="52"/>
      <x:c r="X284" s="52"/>
      <x:c r="Y284" s="52"/>
      <x:c r="Z284" s="52"/>
      <x:c r="AA284" s="52"/>
      <x:c r="AB284" s="52"/>
      <x:c r="AC284" s="52"/>
      <x:c r="AD284" s="52"/>
      <x:c r="AE284" s="52"/>
      <x:c r="AF284" s="52"/>
      <x:c r="AG284" s="52"/>
      <x:c r="AH284" s="52"/>
      <x:c r="AI284" s="52"/>
      <x:c r="AJ284" s="52"/>
    </x:row>
    <x:row r="285">
      <x:c r="A285" s="52"/>
      <x:c r="B285" s="52"/>
      <x:c r="C285" s="52"/>
      <x:c r="D285" s="52"/>
      <x:c r="E285" s="52"/>
      <x:c r="F285" s="52"/>
      <x:c r="G285" s="52"/>
      <x:c r="H285" s="52"/>
      <x:c r="I285" s="52"/>
      <x:c r="J285" s="52"/>
      <x:c r="K285" s="52"/>
      <x:c r="L285" s="55"/>
      <x:c r="M285" s="55"/>
      <x:c r="N285" s="55"/>
      <x:c r="O285" s="52"/>
      <x:c r="P285" s="52"/>
      <x:c r="Q285" s="52"/>
      <x:c r="R285" s="52"/>
      <x:c r="S285" s="52"/>
      <x:c r="T285" s="52"/>
      <x:c r="U285" s="52"/>
      <x:c r="V285" s="52"/>
      <x:c r="W285" s="52"/>
      <x:c r="X285" s="52"/>
      <x:c r="Y285" s="52"/>
      <x:c r="Z285" s="52"/>
      <x:c r="AA285" s="52"/>
      <x:c r="AB285" s="52"/>
      <x:c r="AC285" s="52"/>
      <x:c r="AD285" s="52"/>
      <x:c r="AE285" s="52"/>
      <x:c r="AF285" s="52"/>
      <x:c r="AG285" s="52"/>
      <x:c r="AH285" s="52"/>
      <x:c r="AI285" s="52"/>
      <x:c r="AJ285" s="52"/>
    </x:row>
    <x:row r="286">
      <x:c r="A286" s="52"/>
      <x:c r="B286" s="52"/>
      <x:c r="C286" s="52"/>
      <x:c r="D286" s="52"/>
      <x:c r="E286" s="52"/>
      <x:c r="F286" s="52"/>
      <x:c r="G286" s="52"/>
      <x:c r="H286" s="52"/>
      <x:c r="I286" s="52"/>
      <x:c r="J286" s="52"/>
      <x:c r="K286" s="52"/>
      <x:c r="L286" s="55"/>
      <x:c r="M286" s="55"/>
      <x:c r="N286" s="55"/>
      <x:c r="O286" s="52"/>
      <x:c r="P286" s="52"/>
      <x:c r="Q286" s="52"/>
      <x:c r="R286" s="52"/>
      <x:c r="S286" s="52"/>
      <x:c r="T286" s="52"/>
      <x:c r="U286" s="52"/>
      <x:c r="V286" s="52"/>
      <x:c r="W286" s="52"/>
      <x:c r="X286" s="52"/>
      <x:c r="Y286" s="52"/>
      <x:c r="Z286" s="52"/>
      <x:c r="AA286" s="52"/>
      <x:c r="AB286" s="52"/>
      <x:c r="AC286" s="52"/>
      <x:c r="AD286" s="52"/>
      <x:c r="AE286" s="52"/>
      <x:c r="AF286" s="52"/>
      <x:c r="AG286" s="52"/>
      <x:c r="AH286" s="52"/>
      <x:c r="AI286" s="52"/>
      <x:c r="AJ286" s="52"/>
    </x:row>
    <x:row r="287">
      <x:c r="A287" s="52"/>
      <x:c r="B287" s="52"/>
      <x:c r="C287" s="52"/>
      <x:c r="D287" s="52"/>
      <x:c r="E287" s="52"/>
      <x:c r="F287" s="52"/>
      <x:c r="G287" s="52"/>
      <x:c r="H287" s="52"/>
      <x:c r="I287" s="52"/>
      <x:c r="J287" s="52"/>
      <x:c r="K287" s="52"/>
      <x:c r="L287" s="55"/>
      <x:c r="M287" s="55"/>
      <x:c r="N287" s="55"/>
      <x:c r="O287" s="52"/>
      <x:c r="P287" s="52"/>
      <x:c r="Q287" s="52"/>
      <x:c r="R287" s="52"/>
      <x:c r="S287" s="52"/>
      <x:c r="T287" s="52"/>
      <x:c r="U287" s="52"/>
      <x:c r="V287" s="52"/>
      <x:c r="W287" s="52"/>
      <x:c r="X287" s="52"/>
      <x:c r="Y287" s="52"/>
      <x:c r="Z287" s="52"/>
      <x:c r="AA287" s="52"/>
      <x:c r="AB287" s="52"/>
      <x:c r="AC287" s="52"/>
      <x:c r="AD287" s="52"/>
      <x:c r="AE287" s="52"/>
      <x:c r="AF287" s="52"/>
      <x:c r="AG287" s="52"/>
      <x:c r="AH287" s="52"/>
      <x:c r="AI287" s="52"/>
      <x:c r="AJ287" s="52"/>
    </x:row>
    <x:row r="288">
      <x:c r="A288" s="52"/>
      <x:c r="B288" s="52"/>
      <x:c r="C288" s="52"/>
      <x:c r="D288" s="52"/>
      <x:c r="E288" s="52"/>
      <x:c r="F288" s="52"/>
      <x:c r="G288" s="52"/>
      <x:c r="H288" s="52"/>
      <x:c r="I288" s="52"/>
      <x:c r="J288" s="52"/>
      <x:c r="K288" s="52"/>
      <x:c r="L288" s="55"/>
      <x:c r="M288" s="55"/>
      <x:c r="N288" s="55"/>
      <x:c r="O288" s="52"/>
      <x:c r="P288" s="52"/>
      <x:c r="Q288" s="52"/>
      <x:c r="R288" s="52"/>
      <x:c r="S288" s="52"/>
      <x:c r="T288" s="52"/>
      <x:c r="U288" s="52"/>
      <x:c r="V288" s="52"/>
      <x:c r="W288" s="52"/>
      <x:c r="X288" s="52"/>
      <x:c r="Y288" s="52"/>
      <x:c r="Z288" s="52"/>
      <x:c r="AA288" s="52"/>
      <x:c r="AB288" s="52"/>
      <x:c r="AC288" s="52"/>
      <x:c r="AD288" s="52"/>
      <x:c r="AE288" s="52"/>
      <x:c r="AF288" s="52"/>
      <x:c r="AG288" s="52"/>
      <x:c r="AH288" s="52"/>
      <x:c r="AI288" s="52"/>
      <x:c r="AJ288" s="52"/>
    </x:row>
    <x:row r="289">
      <x:c r="A289" s="52"/>
      <x:c r="B289" s="52"/>
      <x:c r="C289" s="52"/>
      <x:c r="D289" s="52"/>
      <x:c r="E289" s="52"/>
      <x:c r="F289" s="52"/>
      <x:c r="G289" s="52"/>
      <x:c r="H289" s="52"/>
      <x:c r="I289" s="52"/>
      <x:c r="J289" s="52"/>
      <x:c r="K289" s="52"/>
      <x:c r="L289" s="55"/>
      <x:c r="M289" s="55"/>
      <x:c r="N289" s="55"/>
      <x:c r="O289" s="52"/>
      <x:c r="P289" s="52"/>
      <x:c r="Q289" s="52"/>
      <x:c r="R289" s="52"/>
      <x:c r="S289" s="52"/>
      <x:c r="T289" s="52"/>
      <x:c r="U289" s="52"/>
      <x:c r="V289" s="52"/>
      <x:c r="W289" s="52"/>
      <x:c r="X289" s="52"/>
      <x:c r="Y289" s="52"/>
      <x:c r="Z289" s="52"/>
      <x:c r="AA289" s="52"/>
      <x:c r="AB289" s="52"/>
      <x:c r="AC289" s="52"/>
      <x:c r="AD289" s="52"/>
      <x:c r="AE289" s="52"/>
      <x:c r="AF289" s="52"/>
      <x:c r="AG289" s="52"/>
      <x:c r="AH289" s="52"/>
      <x:c r="AI289" s="52"/>
      <x:c r="AJ289" s="52"/>
    </x:row>
    <x:row r="290">
      <x:c r="A290" s="52"/>
      <x:c r="B290" s="52"/>
      <x:c r="C290" s="52"/>
      <x:c r="D290" s="52"/>
      <x:c r="E290" s="52"/>
      <x:c r="F290" s="52"/>
      <x:c r="G290" s="52"/>
      <x:c r="H290" s="52"/>
      <x:c r="I290" s="52"/>
      <x:c r="J290" s="52"/>
      <x:c r="K290" s="52"/>
      <x:c r="L290" s="55"/>
      <x:c r="M290" s="55"/>
      <x:c r="N290" s="55"/>
      <x:c r="O290" s="52"/>
      <x:c r="P290" s="52"/>
      <x:c r="Q290" s="52"/>
      <x:c r="R290" s="52"/>
      <x:c r="S290" s="52"/>
      <x:c r="T290" s="52"/>
      <x:c r="U290" s="52"/>
      <x:c r="V290" s="52"/>
      <x:c r="W290" s="52"/>
      <x:c r="X290" s="52"/>
      <x:c r="Y290" s="52"/>
      <x:c r="Z290" s="52"/>
      <x:c r="AA290" s="52"/>
      <x:c r="AB290" s="52"/>
      <x:c r="AC290" s="52"/>
      <x:c r="AD290" s="52"/>
      <x:c r="AE290" s="52"/>
      <x:c r="AF290" s="52"/>
      <x:c r="AG290" s="52"/>
      <x:c r="AH290" s="52"/>
      <x:c r="AI290" s="52"/>
      <x:c r="AJ290" s="52"/>
    </x:row>
    <x:row r="291">
      <x:c r="A291" s="52"/>
      <x:c r="B291" s="52"/>
      <x:c r="C291" s="52"/>
      <x:c r="D291" s="52"/>
      <x:c r="E291" s="52"/>
      <x:c r="F291" s="52"/>
      <x:c r="G291" s="52"/>
      <x:c r="H291" s="52"/>
      <x:c r="I291" s="52"/>
      <x:c r="J291" s="52"/>
      <x:c r="K291" s="52"/>
      <x:c r="L291" s="55"/>
      <x:c r="M291" s="55"/>
      <x:c r="N291" s="55"/>
      <x:c r="O291" s="52"/>
      <x:c r="P291" s="52"/>
      <x:c r="Q291" s="52"/>
      <x:c r="R291" s="52"/>
      <x:c r="S291" s="52"/>
      <x:c r="T291" s="52"/>
      <x:c r="U291" s="52"/>
      <x:c r="V291" s="52"/>
      <x:c r="W291" s="52"/>
      <x:c r="X291" s="52"/>
      <x:c r="Y291" s="52"/>
      <x:c r="Z291" s="52"/>
      <x:c r="AA291" s="52"/>
      <x:c r="AB291" s="52"/>
      <x:c r="AC291" s="52"/>
      <x:c r="AD291" s="52"/>
      <x:c r="AE291" s="52"/>
      <x:c r="AF291" s="52"/>
      <x:c r="AG291" s="52"/>
      <x:c r="AH291" s="52"/>
      <x:c r="AI291" s="52"/>
      <x:c r="AJ291" s="52"/>
    </x:row>
    <x:row r="292">
      <x:c r="A292" s="52"/>
      <x:c r="B292" s="52"/>
      <x:c r="C292" s="52"/>
      <x:c r="D292" s="52"/>
      <x:c r="E292" s="52"/>
      <x:c r="F292" s="52"/>
      <x:c r="G292" s="52"/>
      <x:c r="H292" s="52"/>
      <x:c r="I292" s="52"/>
      <x:c r="J292" s="52"/>
      <x:c r="K292" s="52"/>
      <x:c r="L292" s="55"/>
      <x:c r="M292" s="55"/>
      <x:c r="N292" s="55"/>
      <x:c r="O292" s="52"/>
      <x:c r="P292" s="52"/>
      <x:c r="Q292" s="52"/>
      <x:c r="R292" s="52"/>
      <x:c r="S292" s="52"/>
      <x:c r="T292" s="52"/>
      <x:c r="U292" s="52"/>
      <x:c r="V292" s="52"/>
      <x:c r="W292" s="52"/>
      <x:c r="X292" s="52"/>
      <x:c r="Y292" s="52"/>
      <x:c r="Z292" s="52"/>
      <x:c r="AA292" s="52"/>
      <x:c r="AB292" s="52"/>
      <x:c r="AC292" s="52"/>
      <x:c r="AD292" s="52"/>
      <x:c r="AE292" s="52"/>
      <x:c r="AF292" s="52"/>
      <x:c r="AG292" s="52"/>
      <x:c r="AH292" s="52"/>
      <x:c r="AI292" s="52"/>
      <x:c r="AJ292" s="52"/>
    </x:row>
    <x:row r="293">
      <x:c r="A293" s="52"/>
      <x:c r="B293" s="52"/>
      <x:c r="C293" s="52"/>
      <x:c r="D293" s="52"/>
      <x:c r="E293" s="52"/>
      <x:c r="F293" s="52"/>
      <x:c r="G293" s="52"/>
      <x:c r="H293" s="52"/>
      <x:c r="I293" s="52"/>
      <x:c r="J293" s="52"/>
      <x:c r="K293" s="52"/>
      <x:c r="L293" s="55"/>
      <x:c r="M293" s="55"/>
      <x:c r="N293" s="55"/>
      <x:c r="O293" s="52"/>
      <x:c r="P293" s="52"/>
      <x:c r="Q293" s="52"/>
      <x:c r="R293" s="52"/>
      <x:c r="S293" s="52"/>
      <x:c r="T293" s="52"/>
      <x:c r="U293" s="52"/>
      <x:c r="V293" s="52"/>
      <x:c r="W293" s="52"/>
      <x:c r="X293" s="52"/>
      <x:c r="Y293" s="52"/>
      <x:c r="Z293" s="52"/>
      <x:c r="AA293" s="52"/>
      <x:c r="AB293" s="52"/>
      <x:c r="AC293" s="52"/>
      <x:c r="AD293" s="52"/>
      <x:c r="AE293" s="52"/>
      <x:c r="AF293" s="52"/>
      <x:c r="AG293" s="52"/>
      <x:c r="AH293" s="52"/>
      <x:c r="AI293" s="52"/>
      <x:c r="AJ293" s="52"/>
    </x:row>
    <x:row r="294">
      <x:c r="A294" s="52"/>
      <x:c r="B294" s="52"/>
      <x:c r="C294" s="52"/>
      <x:c r="D294" s="52"/>
      <x:c r="E294" s="52"/>
      <x:c r="F294" s="52"/>
      <x:c r="G294" s="52"/>
      <x:c r="H294" s="52"/>
      <x:c r="I294" s="52"/>
      <x:c r="J294" s="52"/>
      <x:c r="K294" s="52"/>
      <x:c r="L294" s="55"/>
      <x:c r="M294" s="55"/>
      <x:c r="N294" s="55"/>
      <x:c r="O294" s="52"/>
      <x:c r="P294" s="52"/>
      <x:c r="Q294" s="52"/>
      <x:c r="R294" s="52"/>
      <x:c r="S294" s="52"/>
      <x:c r="T294" s="52"/>
      <x:c r="U294" s="52"/>
      <x:c r="V294" s="52"/>
      <x:c r="W294" s="52"/>
      <x:c r="X294" s="52"/>
      <x:c r="Y294" s="52"/>
      <x:c r="Z294" s="52"/>
      <x:c r="AA294" s="52"/>
      <x:c r="AB294" s="52"/>
      <x:c r="AC294" s="52"/>
      <x:c r="AD294" s="52"/>
      <x:c r="AE294" s="52"/>
      <x:c r="AF294" s="52"/>
      <x:c r="AG294" s="52"/>
      <x:c r="AH294" s="52"/>
      <x:c r="AI294" s="52"/>
      <x:c r="AJ294" s="52"/>
    </x:row>
    <x:row r="295">
      <x:c r="A295" s="52"/>
      <x:c r="B295" s="52"/>
      <x:c r="C295" s="52"/>
      <x:c r="D295" s="52"/>
      <x:c r="E295" s="52"/>
      <x:c r="F295" s="52"/>
      <x:c r="G295" s="52"/>
      <x:c r="H295" s="52"/>
      <x:c r="I295" s="52"/>
      <x:c r="J295" s="52"/>
      <x:c r="K295" s="52"/>
      <x:c r="L295" s="55"/>
      <x:c r="M295" s="55"/>
      <x:c r="N295" s="55"/>
      <x:c r="O295" s="52"/>
      <x:c r="P295" s="52"/>
      <x:c r="Q295" s="52"/>
      <x:c r="R295" s="52"/>
      <x:c r="S295" s="52"/>
      <x:c r="T295" s="52"/>
      <x:c r="U295" s="52"/>
      <x:c r="V295" s="52"/>
      <x:c r="W295" s="52"/>
      <x:c r="X295" s="52"/>
      <x:c r="Y295" s="52"/>
      <x:c r="Z295" s="52"/>
      <x:c r="AA295" s="52"/>
      <x:c r="AB295" s="52"/>
      <x:c r="AC295" s="52"/>
      <x:c r="AD295" s="52"/>
      <x:c r="AE295" s="52"/>
      <x:c r="AF295" s="52"/>
      <x:c r="AG295" s="52"/>
      <x:c r="AH295" s="52"/>
      <x:c r="AI295" s="52"/>
      <x:c r="AJ295" s="52"/>
    </x:row>
    <x:row r="296">
      <x:c r="A296" s="52"/>
      <x:c r="B296" s="52"/>
      <x:c r="C296" s="52"/>
      <x:c r="D296" s="52"/>
      <x:c r="E296" s="52"/>
      <x:c r="F296" s="52"/>
      <x:c r="G296" s="52"/>
      <x:c r="H296" s="52"/>
      <x:c r="I296" s="52"/>
      <x:c r="J296" s="52"/>
      <x:c r="K296" s="52"/>
      <x:c r="L296" s="55"/>
      <x:c r="M296" s="55"/>
      <x:c r="N296" s="55"/>
      <x:c r="O296" s="52"/>
      <x:c r="P296" s="52"/>
      <x:c r="Q296" s="52"/>
      <x:c r="R296" s="52"/>
      <x:c r="S296" s="52"/>
      <x:c r="T296" s="52"/>
      <x:c r="U296" s="52"/>
      <x:c r="V296" s="52"/>
      <x:c r="W296" s="52"/>
      <x:c r="X296" s="52"/>
      <x:c r="Y296" s="52"/>
      <x:c r="Z296" s="52"/>
      <x:c r="AA296" s="52"/>
      <x:c r="AB296" s="52"/>
      <x:c r="AC296" s="52"/>
      <x:c r="AD296" s="52"/>
      <x:c r="AE296" s="52"/>
      <x:c r="AF296" s="52"/>
      <x:c r="AG296" s="52"/>
      <x:c r="AH296" s="52"/>
      <x:c r="AI296" s="52"/>
      <x:c r="AJ296" s="52"/>
    </x:row>
    <x:row r="297">
      <x:c r="A297" s="52"/>
      <x:c r="B297" s="52"/>
      <x:c r="C297" s="52"/>
      <x:c r="D297" s="52"/>
      <x:c r="E297" s="52"/>
      <x:c r="F297" s="52"/>
      <x:c r="G297" s="52"/>
      <x:c r="H297" s="52"/>
      <x:c r="I297" s="52"/>
      <x:c r="J297" s="52"/>
      <x:c r="K297" s="52"/>
      <x:c r="L297" s="55"/>
      <x:c r="M297" s="55"/>
      <x:c r="N297" s="55"/>
      <x:c r="O297" s="52"/>
      <x:c r="P297" s="52"/>
      <x:c r="Q297" s="52"/>
      <x:c r="R297" s="52"/>
      <x:c r="S297" s="52"/>
      <x:c r="T297" s="52"/>
      <x:c r="U297" s="52"/>
      <x:c r="V297" s="52"/>
      <x:c r="W297" s="52"/>
      <x:c r="X297" s="52"/>
      <x:c r="Y297" s="52"/>
      <x:c r="Z297" s="52"/>
      <x:c r="AA297" s="52"/>
      <x:c r="AB297" s="52"/>
      <x:c r="AC297" s="52"/>
      <x:c r="AD297" s="52"/>
      <x:c r="AE297" s="52"/>
      <x:c r="AF297" s="52"/>
      <x:c r="AG297" s="52"/>
      <x:c r="AH297" s="52"/>
      <x:c r="AI297" s="52"/>
      <x:c r="AJ297" s="52"/>
    </x:row>
    <x:row r="298">
      <x:c r="A298" s="52"/>
      <x:c r="B298" s="52"/>
      <x:c r="C298" s="52"/>
      <x:c r="D298" s="52"/>
      <x:c r="E298" s="52"/>
      <x:c r="F298" s="52"/>
      <x:c r="G298" s="52"/>
      <x:c r="H298" s="52"/>
      <x:c r="I298" s="52"/>
      <x:c r="J298" s="52"/>
      <x:c r="K298" s="52"/>
      <x:c r="L298" s="55"/>
      <x:c r="M298" s="55"/>
      <x:c r="N298" s="55"/>
      <x:c r="O298" s="52"/>
      <x:c r="P298" s="52"/>
      <x:c r="Q298" s="52"/>
      <x:c r="R298" s="52"/>
      <x:c r="S298" s="52"/>
      <x:c r="T298" s="52"/>
      <x:c r="U298" s="52"/>
      <x:c r="V298" s="52"/>
      <x:c r="W298" s="52"/>
      <x:c r="X298" s="52"/>
      <x:c r="Y298" s="52"/>
      <x:c r="Z298" s="52"/>
      <x:c r="AA298" s="52"/>
      <x:c r="AB298" s="52"/>
      <x:c r="AC298" s="52"/>
      <x:c r="AD298" s="52"/>
      <x:c r="AE298" s="52"/>
      <x:c r="AF298" s="52"/>
      <x:c r="AG298" s="52"/>
      <x:c r="AH298" s="52"/>
      <x:c r="AI298" s="52"/>
      <x:c r="AJ298" s="52"/>
    </x:row>
    <x:row r="299">
      <x:c r="A299" s="52"/>
      <x:c r="B299" s="52"/>
      <x:c r="C299" s="52"/>
      <x:c r="D299" s="52"/>
      <x:c r="E299" s="52"/>
      <x:c r="F299" s="52"/>
      <x:c r="G299" s="52"/>
      <x:c r="H299" s="52"/>
      <x:c r="I299" s="52"/>
      <x:c r="J299" s="52"/>
      <x:c r="K299" s="52"/>
      <x:c r="L299" s="55"/>
      <x:c r="M299" s="55"/>
      <x:c r="N299" s="55"/>
      <x:c r="O299" s="52"/>
      <x:c r="P299" s="52"/>
      <x:c r="Q299" s="52"/>
      <x:c r="R299" s="52"/>
      <x:c r="S299" s="52"/>
      <x:c r="T299" s="52"/>
      <x:c r="U299" s="52"/>
      <x:c r="V299" s="52"/>
      <x:c r="W299" s="52"/>
      <x:c r="X299" s="52"/>
      <x:c r="Y299" s="52"/>
      <x:c r="Z299" s="52"/>
      <x:c r="AA299" s="52"/>
      <x:c r="AB299" s="52"/>
      <x:c r="AC299" s="52"/>
      <x:c r="AD299" s="52"/>
      <x:c r="AE299" s="52"/>
      <x:c r="AF299" s="52"/>
      <x:c r="AG299" s="52"/>
      <x:c r="AH299" s="52"/>
      <x:c r="AI299" s="52"/>
      <x:c r="AJ299" s="52"/>
    </x:row>
    <x:row r="300">
      <x:c r="A300" s="52"/>
      <x:c r="B300" s="52"/>
      <x:c r="C300" s="52"/>
      <x:c r="D300" s="52"/>
      <x:c r="E300" s="52"/>
      <x:c r="F300" s="52"/>
      <x:c r="G300" s="52"/>
      <x:c r="H300" s="52"/>
      <x:c r="I300" s="52"/>
      <x:c r="J300" s="52"/>
      <x:c r="K300" s="52"/>
      <x:c r="L300" s="55"/>
      <x:c r="M300" s="55"/>
      <x:c r="N300" s="55"/>
      <x:c r="O300" s="52"/>
      <x:c r="P300" s="52"/>
      <x:c r="Q300" s="52"/>
      <x:c r="R300" s="52"/>
      <x:c r="S300" s="52"/>
      <x:c r="T300" s="52"/>
      <x:c r="U300" s="52"/>
      <x:c r="V300" s="52"/>
      <x:c r="W300" s="52"/>
      <x:c r="X300" s="52"/>
      <x:c r="Y300" s="52"/>
      <x:c r="Z300" s="52"/>
      <x:c r="AA300" s="52"/>
      <x:c r="AB300" s="52"/>
      <x:c r="AC300" s="52"/>
      <x:c r="AD300" s="52"/>
      <x:c r="AE300" s="52"/>
      <x:c r="AF300" s="52"/>
      <x:c r="AG300" s="52"/>
      <x:c r="AH300" s="52"/>
      <x:c r="AI300" s="52"/>
      <x:c r="AJ300" s="52"/>
    </x:row>
    <x:row r="301">
      <x:c r="A301" s="52"/>
      <x:c r="B301" s="52"/>
      <x:c r="C301" s="52"/>
      <x:c r="D301" s="52"/>
      <x:c r="E301" s="52"/>
      <x:c r="F301" s="52"/>
      <x:c r="G301" s="52"/>
      <x:c r="H301" s="52"/>
      <x:c r="I301" s="52"/>
      <x:c r="J301" s="52"/>
      <x:c r="K301" s="52"/>
      <x:c r="L301" s="55"/>
      <x:c r="M301" s="55"/>
      <x:c r="N301" s="55"/>
      <x:c r="O301" s="52"/>
      <x:c r="P301" s="52"/>
      <x:c r="Q301" s="52"/>
      <x:c r="R301" s="52"/>
      <x:c r="S301" s="52"/>
      <x:c r="T301" s="52"/>
      <x:c r="U301" s="52"/>
      <x:c r="V301" s="52"/>
      <x:c r="W301" s="52"/>
      <x:c r="X301" s="52"/>
      <x:c r="Y301" s="52"/>
      <x:c r="Z301" s="52"/>
      <x:c r="AA301" s="52"/>
      <x:c r="AB301" s="52"/>
      <x:c r="AC301" s="52"/>
      <x:c r="AD301" s="52"/>
      <x:c r="AE301" s="52"/>
      <x:c r="AF301" s="52"/>
      <x:c r="AG301" s="52"/>
      <x:c r="AH301" s="52"/>
      <x:c r="AI301" s="52"/>
      <x:c r="AJ301" s="52"/>
    </x:row>
    <x:row r="302">
      <x:c r="A302" s="52"/>
      <x:c r="B302" s="52"/>
      <x:c r="C302" s="52"/>
      <x:c r="D302" s="52"/>
      <x:c r="E302" s="52"/>
      <x:c r="F302" s="52"/>
      <x:c r="G302" s="52"/>
      <x:c r="H302" s="52"/>
      <x:c r="I302" s="52"/>
      <x:c r="J302" s="52"/>
      <x:c r="K302" s="52"/>
      <x:c r="L302" s="55"/>
      <x:c r="M302" s="55"/>
      <x:c r="N302" s="55"/>
      <x:c r="O302" s="52"/>
      <x:c r="P302" s="52"/>
      <x:c r="Q302" s="52"/>
      <x:c r="R302" s="52"/>
      <x:c r="S302" s="52"/>
      <x:c r="T302" s="52"/>
      <x:c r="U302" s="52"/>
      <x:c r="V302" s="52"/>
      <x:c r="W302" s="52"/>
      <x:c r="X302" s="52"/>
      <x:c r="Y302" s="52"/>
      <x:c r="Z302" s="52"/>
      <x:c r="AA302" s="52"/>
      <x:c r="AB302" s="52"/>
      <x:c r="AC302" s="52"/>
      <x:c r="AD302" s="52"/>
      <x:c r="AE302" s="52"/>
      <x:c r="AF302" s="52"/>
      <x:c r="AG302" s="52"/>
      <x:c r="AH302" s="52"/>
      <x:c r="AI302" s="52"/>
      <x:c r="AJ302" s="52"/>
    </x:row>
    <x:row r="303">
      <x:c r="A303" s="52"/>
      <x:c r="B303" s="52"/>
      <x:c r="C303" s="52"/>
      <x:c r="D303" s="52"/>
      <x:c r="E303" s="52"/>
      <x:c r="F303" s="52"/>
      <x:c r="G303" s="52"/>
      <x:c r="H303" s="52"/>
      <x:c r="I303" s="52"/>
      <x:c r="J303" s="52"/>
      <x:c r="K303" s="52"/>
      <x:c r="L303" s="55"/>
      <x:c r="M303" s="55"/>
      <x:c r="N303" s="55"/>
      <x:c r="O303" s="52"/>
      <x:c r="P303" s="52"/>
      <x:c r="Q303" s="52"/>
      <x:c r="R303" s="52"/>
      <x:c r="S303" s="52"/>
      <x:c r="T303" s="52"/>
      <x:c r="U303" s="52"/>
      <x:c r="V303" s="52"/>
      <x:c r="W303" s="52"/>
      <x:c r="X303" s="52"/>
      <x:c r="Y303" s="52"/>
      <x:c r="Z303" s="52"/>
      <x:c r="AA303" s="52"/>
      <x:c r="AB303" s="52"/>
      <x:c r="AC303" s="52"/>
      <x:c r="AD303" s="52"/>
      <x:c r="AE303" s="52"/>
      <x:c r="AF303" s="52"/>
      <x:c r="AG303" s="52"/>
      <x:c r="AH303" s="52"/>
      <x:c r="AI303" s="52"/>
      <x:c r="AJ303" s="52"/>
    </x:row>
    <x:row r="304">
      <x:c r="A304" s="52"/>
      <x:c r="B304" s="52"/>
      <x:c r="C304" s="52"/>
      <x:c r="D304" s="52"/>
      <x:c r="E304" s="52"/>
      <x:c r="F304" s="52"/>
      <x:c r="G304" s="52"/>
      <x:c r="H304" s="52"/>
      <x:c r="I304" s="52"/>
      <x:c r="J304" s="52"/>
      <x:c r="K304" s="52"/>
      <x:c r="L304" s="55"/>
      <x:c r="M304" s="55"/>
      <x:c r="N304" s="55"/>
      <x:c r="O304" s="52"/>
      <x:c r="P304" s="52"/>
      <x:c r="Q304" s="52"/>
      <x:c r="R304" s="52"/>
      <x:c r="S304" s="52"/>
      <x:c r="T304" s="52"/>
      <x:c r="U304" s="52"/>
      <x:c r="V304" s="52"/>
      <x:c r="W304" s="52"/>
      <x:c r="X304" s="52"/>
      <x:c r="Y304" s="52"/>
      <x:c r="Z304" s="52"/>
      <x:c r="AA304" s="52"/>
      <x:c r="AB304" s="52"/>
      <x:c r="AC304" s="52"/>
      <x:c r="AD304" s="52"/>
      <x:c r="AE304" s="52"/>
      <x:c r="AF304" s="52"/>
      <x:c r="AG304" s="52"/>
      <x:c r="AH304" s="52"/>
      <x:c r="AI304" s="52"/>
      <x:c r="AJ304" s="52"/>
    </x:row>
    <x:row r="305">
      <x:c r="A305" s="52"/>
      <x:c r="B305" s="52"/>
      <x:c r="C305" s="52"/>
      <x:c r="D305" s="52"/>
      <x:c r="E305" s="52"/>
      <x:c r="F305" s="52"/>
      <x:c r="G305" s="52"/>
      <x:c r="H305" s="52"/>
      <x:c r="I305" s="52"/>
      <x:c r="J305" s="52"/>
      <x:c r="K305" s="52"/>
      <x:c r="L305" s="55"/>
      <x:c r="M305" s="55"/>
      <x:c r="N305" s="55"/>
      <x:c r="O305" s="52"/>
      <x:c r="P305" s="52"/>
      <x:c r="Q305" s="52"/>
      <x:c r="R305" s="52"/>
      <x:c r="S305" s="52"/>
      <x:c r="T305" s="52"/>
      <x:c r="U305" s="52"/>
      <x:c r="V305" s="52"/>
      <x:c r="W305" s="52"/>
      <x:c r="X305" s="52"/>
      <x:c r="Y305" s="52"/>
      <x:c r="Z305" s="52"/>
      <x:c r="AA305" s="52"/>
      <x:c r="AB305" s="52"/>
      <x:c r="AC305" s="52"/>
      <x:c r="AD305" s="52"/>
      <x:c r="AE305" s="52"/>
      <x:c r="AF305" s="52"/>
      <x:c r="AG305" s="52"/>
      <x:c r="AH305" s="52"/>
      <x:c r="AI305" s="52"/>
      <x:c r="AJ305" s="52"/>
    </x:row>
    <x:row r="306">
      <x:c r="A306" s="52"/>
      <x:c r="B306" s="52"/>
      <x:c r="C306" s="52"/>
      <x:c r="D306" s="52"/>
      <x:c r="E306" s="52"/>
      <x:c r="F306" s="52"/>
      <x:c r="G306" s="52"/>
      <x:c r="H306" s="52"/>
      <x:c r="I306" s="52"/>
      <x:c r="J306" s="52"/>
      <x:c r="K306" s="52"/>
      <x:c r="L306" s="55"/>
      <x:c r="M306" s="55"/>
      <x:c r="N306" s="55"/>
      <x:c r="O306" s="52"/>
      <x:c r="P306" s="52"/>
      <x:c r="Q306" s="52"/>
      <x:c r="R306" s="52"/>
      <x:c r="S306" s="52"/>
      <x:c r="T306" s="52"/>
      <x:c r="U306" s="52"/>
      <x:c r="V306" s="52"/>
      <x:c r="W306" s="52"/>
      <x:c r="X306" s="52"/>
      <x:c r="Y306" s="52"/>
      <x:c r="Z306" s="52"/>
      <x:c r="AA306" s="52"/>
      <x:c r="AB306" s="52"/>
      <x:c r="AC306" s="52"/>
      <x:c r="AD306" s="52"/>
      <x:c r="AE306" s="52"/>
      <x:c r="AF306" s="52"/>
      <x:c r="AG306" s="52"/>
      <x:c r="AH306" s="52"/>
      <x:c r="AI306" s="52"/>
      <x:c r="AJ306" s="52"/>
    </x:row>
    <x:row r="307">
      <x:c r="A307" s="52"/>
      <x:c r="B307" s="52"/>
      <x:c r="C307" s="52"/>
      <x:c r="D307" s="52"/>
      <x:c r="E307" s="52"/>
      <x:c r="F307" s="52"/>
      <x:c r="G307" s="52"/>
      <x:c r="H307" s="52"/>
      <x:c r="I307" s="52"/>
      <x:c r="J307" s="52"/>
      <x:c r="K307" s="52"/>
      <x:c r="L307" s="55"/>
      <x:c r="M307" s="55"/>
      <x:c r="N307" s="55"/>
      <x:c r="O307" s="52"/>
      <x:c r="P307" s="52"/>
      <x:c r="Q307" s="52"/>
      <x:c r="R307" s="52"/>
      <x:c r="S307" s="52"/>
      <x:c r="T307" s="52"/>
      <x:c r="U307" s="52"/>
      <x:c r="V307" s="52"/>
      <x:c r="W307" s="52"/>
      <x:c r="X307" s="52"/>
      <x:c r="Y307" s="52"/>
      <x:c r="Z307" s="52"/>
      <x:c r="AA307" s="52"/>
      <x:c r="AB307" s="52"/>
      <x:c r="AC307" s="52"/>
      <x:c r="AD307" s="52"/>
      <x:c r="AE307" s="52"/>
      <x:c r="AF307" s="52"/>
      <x:c r="AG307" s="52"/>
      <x:c r="AH307" s="52"/>
      <x:c r="AI307" s="52"/>
      <x:c r="AJ307" s="52"/>
    </x:row>
    <x:row r="308">
      <x:c r="A308" s="52"/>
      <x:c r="B308" s="52"/>
      <x:c r="C308" s="52"/>
      <x:c r="D308" s="52"/>
      <x:c r="E308" s="52"/>
      <x:c r="F308" s="52"/>
      <x:c r="G308" s="52"/>
      <x:c r="H308" s="52"/>
      <x:c r="I308" s="52"/>
      <x:c r="J308" s="52"/>
      <x:c r="K308" s="52"/>
      <x:c r="L308" s="55"/>
      <x:c r="M308" s="55"/>
      <x:c r="N308" s="55"/>
      <x:c r="O308" s="52"/>
      <x:c r="P308" s="52"/>
      <x:c r="Q308" s="52"/>
      <x:c r="R308" s="52"/>
      <x:c r="S308" s="52"/>
      <x:c r="T308" s="52"/>
      <x:c r="U308" s="52"/>
      <x:c r="V308" s="52"/>
      <x:c r="W308" s="52"/>
      <x:c r="X308" s="52"/>
      <x:c r="Y308" s="52"/>
      <x:c r="Z308" s="52"/>
      <x:c r="AA308" s="52"/>
      <x:c r="AB308" s="52"/>
      <x:c r="AC308" s="52"/>
      <x:c r="AD308" s="52"/>
      <x:c r="AE308" s="52"/>
      <x:c r="AF308" s="52"/>
      <x:c r="AG308" s="52"/>
      <x:c r="AH308" s="52"/>
      <x:c r="AI308" s="52"/>
      <x:c r="AJ308" s="52"/>
    </x:row>
    <x:row r="309">
      <x:c r="A309" s="52"/>
      <x:c r="B309" s="52"/>
      <x:c r="C309" s="52"/>
      <x:c r="D309" s="52"/>
      <x:c r="E309" s="52"/>
      <x:c r="F309" s="52"/>
      <x:c r="G309" s="52"/>
      <x:c r="H309" s="52"/>
      <x:c r="I309" s="52"/>
      <x:c r="J309" s="52"/>
      <x:c r="K309" s="52"/>
      <x:c r="L309" s="55"/>
      <x:c r="M309" s="55"/>
      <x:c r="N309" s="55"/>
      <x:c r="O309" s="52"/>
      <x:c r="P309" s="52"/>
      <x:c r="Q309" s="52"/>
      <x:c r="R309" s="52"/>
      <x:c r="S309" s="52"/>
      <x:c r="T309" s="52"/>
      <x:c r="U309" s="52"/>
      <x:c r="V309" s="52"/>
      <x:c r="W309" s="52"/>
      <x:c r="X309" s="52"/>
      <x:c r="Y309" s="52"/>
      <x:c r="Z309" s="52"/>
      <x:c r="AA309" s="52"/>
      <x:c r="AB309" s="52"/>
      <x:c r="AC309" s="52"/>
      <x:c r="AD309" s="52"/>
      <x:c r="AE309" s="52"/>
      <x:c r="AF309" s="52"/>
      <x:c r="AG309" s="52"/>
      <x:c r="AH309" s="52"/>
      <x:c r="AI309" s="52"/>
      <x:c r="AJ309" s="52"/>
    </x:row>
    <x:row r="310">
      <x:c r="A310" s="52"/>
      <x:c r="B310" s="52"/>
      <x:c r="C310" s="52"/>
      <x:c r="D310" s="52"/>
      <x:c r="E310" s="52"/>
      <x:c r="F310" s="52"/>
      <x:c r="G310" s="52"/>
      <x:c r="H310" s="52"/>
      <x:c r="I310" s="52"/>
      <x:c r="J310" s="52"/>
      <x:c r="K310" s="52"/>
      <x:c r="L310" s="55"/>
      <x:c r="M310" s="55"/>
      <x:c r="N310" s="55"/>
      <x:c r="O310" s="52"/>
      <x:c r="P310" s="52"/>
      <x:c r="Q310" s="52"/>
      <x:c r="R310" s="52"/>
      <x:c r="S310" s="52"/>
      <x:c r="T310" s="52"/>
      <x:c r="U310" s="52"/>
      <x:c r="V310" s="52"/>
      <x:c r="W310" s="52"/>
      <x:c r="X310" s="52"/>
      <x:c r="Y310" s="52"/>
      <x:c r="Z310" s="52"/>
      <x:c r="AA310" s="52"/>
      <x:c r="AB310" s="52"/>
      <x:c r="AC310" s="52"/>
      <x:c r="AD310" s="52"/>
      <x:c r="AE310" s="52"/>
      <x:c r="AF310" s="52"/>
      <x:c r="AG310" s="52"/>
      <x:c r="AH310" s="52"/>
      <x:c r="AI310" s="52"/>
      <x:c r="AJ310" s="52"/>
    </x:row>
    <x:row r="311">
      <x:c r="A311" s="52"/>
      <x:c r="B311" s="52"/>
      <x:c r="C311" s="52"/>
      <x:c r="D311" s="52"/>
      <x:c r="E311" s="52"/>
      <x:c r="F311" s="52"/>
      <x:c r="G311" s="52"/>
      <x:c r="H311" s="52"/>
      <x:c r="I311" s="52"/>
      <x:c r="J311" s="52"/>
      <x:c r="K311" s="52"/>
      <x:c r="L311" s="55"/>
      <x:c r="M311" s="55"/>
      <x:c r="N311" s="55"/>
      <x:c r="O311" s="52"/>
      <x:c r="P311" s="52"/>
      <x:c r="Q311" s="52"/>
      <x:c r="R311" s="52"/>
      <x:c r="S311" s="52"/>
      <x:c r="T311" s="52"/>
      <x:c r="U311" s="52"/>
      <x:c r="V311" s="52"/>
      <x:c r="W311" s="52"/>
      <x:c r="X311" s="52"/>
      <x:c r="Y311" s="52"/>
      <x:c r="Z311" s="52"/>
      <x:c r="AA311" s="52"/>
      <x:c r="AB311" s="52"/>
      <x:c r="AC311" s="52"/>
      <x:c r="AD311" s="52"/>
      <x:c r="AE311" s="52"/>
      <x:c r="AF311" s="52"/>
      <x:c r="AG311" s="52"/>
      <x:c r="AH311" s="52"/>
      <x:c r="AI311" s="52"/>
      <x:c r="AJ311" s="52"/>
    </x:row>
    <x:row r="312">
      <x:c r="A312" s="52"/>
      <x:c r="B312" s="52"/>
      <x:c r="C312" s="52"/>
      <x:c r="D312" s="52"/>
      <x:c r="E312" s="52"/>
      <x:c r="F312" s="52"/>
      <x:c r="G312" s="52"/>
      <x:c r="H312" s="52"/>
      <x:c r="I312" s="52"/>
      <x:c r="J312" s="52"/>
      <x:c r="K312" s="52"/>
      <x:c r="L312" s="55"/>
      <x:c r="M312" s="55"/>
      <x:c r="N312" s="55"/>
      <x:c r="O312" s="52"/>
      <x:c r="P312" s="52"/>
      <x:c r="Q312" s="52"/>
      <x:c r="R312" s="52"/>
      <x:c r="S312" s="52"/>
      <x:c r="T312" s="52"/>
      <x:c r="U312" s="52"/>
      <x:c r="V312" s="52"/>
      <x:c r="W312" s="52"/>
      <x:c r="X312" s="52"/>
      <x:c r="Y312" s="52"/>
      <x:c r="Z312" s="52"/>
      <x:c r="AA312" s="52"/>
      <x:c r="AB312" s="52"/>
      <x:c r="AC312" s="52"/>
      <x:c r="AD312" s="52"/>
      <x:c r="AE312" s="52"/>
      <x:c r="AF312" s="52"/>
      <x:c r="AG312" s="52"/>
      <x:c r="AH312" s="52"/>
      <x:c r="AI312" s="52"/>
      <x:c r="AJ312" s="52"/>
    </x:row>
    <x:row r="313">
      <x:c r="A313" s="52"/>
      <x:c r="B313" s="52"/>
      <x:c r="C313" s="52"/>
      <x:c r="D313" s="52"/>
      <x:c r="E313" s="52"/>
      <x:c r="F313" s="52"/>
      <x:c r="G313" s="52"/>
      <x:c r="H313" s="52"/>
      <x:c r="I313" s="52"/>
      <x:c r="J313" s="52"/>
      <x:c r="K313" s="52"/>
      <x:c r="L313" s="55"/>
      <x:c r="M313" s="55"/>
      <x:c r="N313" s="55"/>
      <x:c r="O313" s="52"/>
      <x:c r="P313" s="52"/>
      <x:c r="Q313" s="52"/>
      <x:c r="R313" s="52"/>
      <x:c r="S313" s="52"/>
      <x:c r="T313" s="52"/>
      <x:c r="U313" s="52"/>
      <x:c r="V313" s="52"/>
      <x:c r="W313" s="52"/>
      <x:c r="X313" s="52"/>
      <x:c r="Y313" s="52"/>
      <x:c r="Z313" s="52"/>
      <x:c r="AA313" s="52"/>
      <x:c r="AB313" s="52"/>
      <x:c r="AC313" s="52"/>
      <x:c r="AD313" s="52"/>
      <x:c r="AE313" s="52"/>
      <x:c r="AF313" s="52"/>
      <x:c r="AG313" s="52"/>
      <x:c r="AH313" s="52"/>
      <x:c r="AI313" s="52"/>
      <x:c r="AJ313" s="52"/>
    </x:row>
    <x:row r="314">
      <x:c r="A314" s="52"/>
      <x:c r="B314" s="52"/>
      <x:c r="C314" s="52"/>
      <x:c r="D314" s="52"/>
      <x:c r="E314" s="52"/>
      <x:c r="F314" s="52"/>
      <x:c r="G314" s="52"/>
      <x:c r="H314" s="52"/>
      <x:c r="I314" s="52"/>
      <x:c r="J314" s="52"/>
      <x:c r="K314" s="52"/>
      <x:c r="L314" s="55"/>
      <x:c r="M314" s="55"/>
      <x:c r="N314" s="55"/>
      <x:c r="O314" s="52"/>
      <x:c r="P314" s="52"/>
      <x:c r="Q314" s="52"/>
      <x:c r="R314" s="52"/>
      <x:c r="S314" s="52"/>
      <x:c r="T314" s="52"/>
      <x:c r="U314" s="52"/>
      <x:c r="V314" s="52"/>
      <x:c r="W314" s="52"/>
      <x:c r="X314" s="52"/>
      <x:c r="Y314" s="52"/>
      <x:c r="Z314" s="52"/>
      <x:c r="AA314" s="52"/>
      <x:c r="AB314" s="52"/>
      <x:c r="AC314" s="52"/>
      <x:c r="AD314" s="52"/>
      <x:c r="AE314" s="52"/>
      <x:c r="AF314" s="52"/>
      <x:c r="AG314" s="52"/>
      <x:c r="AH314" s="52"/>
      <x:c r="AI314" s="52"/>
      <x:c r="AJ314" s="52"/>
    </x:row>
    <x:row r="315">
      <x:c r="A315" s="52"/>
      <x:c r="B315" s="52"/>
      <x:c r="C315" s="52"/>
      <x:c r="D315" s="52"/>
      <x:c r="E315" s="52"/>
      <x:c r="F315" s="52"/>
      <x:c r="G315" s="52"/>
      <x:c r="H315" s="52"/>
      <x:c r="I315" s="52"/>
      <x:c r="J315" s="52"/>
      <x:c r="K315" s="52"/>
      <x:c r="L315" s="55"/>
      <x:c r="M315" s="55"/>
      <x:c r="N315" s="55"/>
      <x:c r="O315" s="52"/>
      <x:c r="P315" s="52"/>
      <x:c r="Q315" s="52"/>
      <x:c r="R315" s="52"/>
      <x:c r="S315" s="52"/>
      <x:c r="T315" s="52"/>
      <x:c r="U315" s="52"/>
      <x:c r="V315" s="52"/>
      <x:c r="W315" s="52"/>
      <x:c r="X315" s="52"/>
      <x:c r="Y315" s="52"/>
      <x:c r="Z315" s="52"/>
      <x:c r="AA315" s="52"/>
      <x:c r="AB315" s="52"/>
      <x:c r="AC315" s="52"/>
      <x:c r="AD315" s="52"/>
      <x:c r="AE315" s="52"/>
      <x:c r="AF315" s="52"/>
      <x:c r="AG315" s="52"/>
      <x:c r="AH315" s="52"/>
      <x:c r="AI315" s="52"/>
      <x:c r="AJ315" s="52"/>
    </x:row>
    <x:row r="316">
      <x:c r="A316" s="52"/>
      <x:c r="B316" s="52"/>
      <x:c r="C316" s="52"/>
      <x:c r="D316" s="52"/>
      <x:c r="E316" s="52"/>
      <x:c r="F316" s="52"/>
      <x:c r="G316" s="52"/>
      <x:c r="H316" s="52"/>
      <x:c r="I316" s="52"/>
      <x:c r="J316" s="52"/>
      <x:c r="K316" s="52"/>
      <x:c r="L316" s="55"/>
      <x:c r="M316" s="55"/>
      <x:c r="N316" s="55"/>
      <x:c r="O316" s="52"/>
      <x:c r="P316" s="52"/>
      <x:c r="Q316" s="52"/>
      <x:c r="R316" s="52"/>
      <x:c r="S316" s="52"/>
      <x:c r="T316" s="52"/>
      <x:c r="U316" s="52"/>
      <x:c r="V316" s="52"/>
      <x:c r="W316" s="52"/>
      <x:c r="X316" s="52"/>
      <x:c r="Y316" s="52"/>
      <x:c r="Z316" s="52"/>
      <x:c r="AA316" s="52"/>
      <x:c r="AB316" s="52"/>
      <x:c r="AC316" s="52"/>
      <x:c r="AD316" s="52"/>
      <x:c r="AE316" s="52"/>
      <x:c r="AF316" s="52"/>
      <x:c r="AG316" s="52"/>
      <x:c r="AH316" s="52"/>
      <x:c r="AI316" s="52"/>
      <x:c r="AJ316" s="52"/>
    </x:row>
    <x:row r="317">
      <x:c r="A317" s="52"/>
      <x:c r="B317" s="52"/>
      <x:c r="C317" s="52"/>
      <x:c r="D317" s="52"/>
      <x:c r="E317" s="52"/>
      <x:c r="F317" s="52"/>
      <x:c r="G317" s="52"/>
      <x:c r="H317" s="52"/>
      <x:c r="I317" s="52"/>
      <x:c r="J317" s="52"/>
      <x:c r="K317" s="52"/>
      <x:c r="L317" s="55"/>
      <x:c r="M317" s="55"/>
      <x:c r="N317" s="55"/>
      <x:c r="O317" s="52"/>
      <x:c r="P317" s="52"/>
      <x:c r="Q317" s="52"/>
      <x:c r="R317" s="52"/>
      <x:c r="S317" s="52"/>
      <x:c r="T317" s="52"/>
      <x:c r="U317" s="52"/>
      <x:c r="V317" s="52"/>
      <x:c r="W317" s="52"/>
      <x:c r="X317" s="52"/>
      <x:c r="Y317" s="52"/>
      <x:c r="Z317" s="52"/>
      <x:c r="AA317" s="52"/>
      <x:c r="AB317" s="52"/>
      <x:c r="AC317" s="52"/>
      <x:c r="AD317" s="52"/>
      <x:c r="AE317" s="52"/>
      <x:c r="AF317" s="52"/>
      <x:c r="AG317" s="52"/>
      <x:c r="AH317" s="52"/>
      <x:c r="AI317" s="52"/>
      <x:c r="AJ317" s="52"/>
    </x:row>
    <x:row r="318">
      <x:c r="A318" s="52"/>
      <x:c r="B318" s="52"/>
      <x:c r="C318" s="52"/>
      <x:c r="D318" s="52"/>
      <x:c r="E318" s="52"/>
      <x:c r="F318" s="52"/>
      <x:c r="G318" s="52"/>
      <x:c r="H318" s="52"/>
      <x:c r="I318" s="52"/>
      <x:c r="J318" s="52"/>
      <x:c r="K318" s="52"/>
      <x:c r="L318" s="55"/>
      <x:c r="M318" s="55"/>
      <x:c r="N318" s="55"/>
      <x:c r="O318" s="52"/>
      <x:c r="P318" s="52"/>
      <x:c r="Q318" s="52"/>
      <x:c r="R318" s="52"/>
      <x:c r="S318" s="52"/>
      <x:c r="T318" s="52"/>
      <x:c r="U318" s="52"/>
      <x:c r="V318" s="52"/>
      <x:c r="W318" s="52"/>
      <x:c r="X318" s="52"/>
      <x:c r="Y318" s="52"/>
      <x:c r="Z318" s="52"/>
      <x:c r="AA318" s="52"/>
      <x:c r="AB318" s="52"/>
      <x:c r="AC318" s="52"/>
      <x:c r="AD318" s="52"/>
      <x:c r="AE318" s="52"/>
      <x:c r="AF318" s="52"/>
      <x:c r="AG318" s="52"/>
      <x:c r="AH318" s="52"/>
      <x:c r="AI318" s="52"/>
      <x:c r="AJ318" s="52"/>
    </x:row>
    <x:row r="319">
      <x:c r="A319" s="52"/>
      <x:c r="B319" s="52"/>
      <x:c r="C319" s="52"/>
      <x:c r="D319" s="52"/>
      <x:c r="E319" s="52"/>
      <x:c r="F319" s="52"/>
      <x:c r="G319" s="52"/>
      <x:c r="H319" s="52"/>
      <x:c r="I319" s="52"/>
      <x:c r="J319" s="52"/>
      <x:c r="K319" s="52"/>
      <x:c r="L319" s="55"/>
      <x:c r="M319" s="55"/>
      <x:c r="N319" s="55"/>
      <x:c r="O319" s="52"/>
      <x:c r="P319" s="52"/>
      <x:c r="Q319" s="52"/>
      <x:c r="R319" s="52"/>
      <x:c r="S319" s="52"/>
      <x:c r="T319" s="52"/>
      <x:c r="U319" s="52"/>
      <x:c r="V319" s="52"/>
      <x:c r="W319" s="52"/>
      <x:c r="X319" s="52"/>
      <x:c r="Y319" s="52"/>
      <x:c r="Z319" s="52"/>
      <x:c r="AA319" s="52"/>
      <x:c r="AB319" s="52"/>
      <x:c r="AC319" s="52"/>
      <x:c r="AD319" s="52"/>
      <x:c r="AE319" s="52"/>
      <x:c r="AF319" s="52"/>
      <x:c r="AG319" s="52"/>
      <x:c r="AH319" s="52"/>
      <x:c r="AI319" s="52"/>
      <x:c r="AJ319" s="52"/>
    </x:row>
    <x:row r="320">
      <x:c r="A320" s="52"/>
      <x:c r="B320" s="52"/>
      <x:c r="C320" s="52"/>
      <x:c r="D320" s="52"/>
      <x:c r="E320" s="52"/>
      <x:c r="F320" s="52"/>
      <x:c r="G320" s="52"/>
      <x:c r="H320" s="52"/>
      <x:c r="I320" s="52"/>
      <x:c r="J320" s="52"/>
      <x:c r="K320" s="52"/>
      <x:c r="L320" s="55"/>
      <x:c r="M320" s="55"/>
      <x:c r="N320" s="55"/>
      <x:c r="O320" s="52"/>
      <x:c r="P320" s="52"/>
      <x:c r="Q320" s="52"/>
      <x:c r="R320" s="52"/>
      <x:c r="S320" s="52"/>
      <x:c r="T320" s="52"/>
      <x:c r="U320" s="52"/>
      <x:c r="V320" s="52"/>
      <x:c r="W320" s="52"/>
      <x:c r="X320" s="52"/>
      <x:c r="Y320" s="52"/>
      <x:c r="Z320" s="52"/>
      <x:c r="AA320" s="52"/>
      <x:c r="AB320" s="52"/>
      <x:c r="AC320" s="52"/>
      <x:c r="AD320" s="52"/>
      <x:c r="AE320" s="52"/>
      <x:c r="AF320" s="52"/>
      <x:c r="AG320" s="52"/>
      <x:c r="AH320" s="52"/>
      <x:c r="AI320" s="52"/>
      <x:c r="AJ320" s="52"/>
    </x:row>
    <x:row r="321">
      <x:c r="A321" s="52"/>
      <x:c r="B321" s="52"/>
      <x:c r="C321" s="52"/>
      <x:c r="D321" s="52"/>
      <x:c r="E321" s="52"/>
      <x:c r="F321" s="52"/>
      <x:c r="G321" s="52"/>
      <x:c r="H321" s="52"/>
      <x:c r="I321" s="52"/>
      <x:c r="J321" s="52"/>
      <x:c r="K321" s="52"/>
      <x:c r="L321" s="55"/>
      <x:c r="M321" s="55"/>
      <x:c r="N321" s="55"/>
      <x:c r="O321" s="52"/>
      <x:c r="P321" s="52"/>
      <x:c r="Q321" s="52"/>
      <x:c r="R321" s="52"/>
      <x:c r="S321" s="52"/>
      <x:c r="T321" s="52"/>
      <x:c r="U321" s="52"/>
      <x:c r="V321" s="52"/>
      <x:c r="W321" s="52"/>
      <x:c r="X321" s="52"/>
      <x:c r="Y321" s="52"/>
      <x:c r="Z321" s="52"/>
      <x:c r="AA321" s="52"/>
      <x:c r="AB321" s="52"/>
      <x:c r="AC321" s="52"/>
      <x:c r="AD321" s="52"/>
      <x:c r="AE321" s="52"/>
      <x:c r="AF321" s="52"/>
      <x:c r="AG321" s="52"/>
      <x:c r="AH321" s="52"/>
      <x:c r="AI321" s="52"/>
      <x:c r="AJ321" s="52"/>
    </x:row>
    <x:row r="322">
      <x:c r="A322" s="52"/>
      <x:c r="B322" s="52"/>
      <x:c r="C322" s="52"/>
      <x:c r="D322" s="52"/>
      <x:c r="E322" s="52"/>
      <x:c r="F322" s="52"/>
      <x:c r="G322" s="52"/>
      <x:c r="H322" s="52"/>
      <x:c r="I322" s="52"/>
      <x:c r="J322" s="52"/>
      <x:c r="K322" s="52"/>
      <x:c r="L322" s="55"/>
      <x:c r="M322" s="55"/>
      <x:c r="N322" s="55"/>
      <x:c r="O322" s="52"/>
      <x:c r="P322" s="52"/>
      <x:c r="Q322" s="52"/>
      <x:c r="R322" s="52"/>
      <x:c r="S322" s="52"/>
      <x:c r="T322" s="52"/>
      <x:c r="U322" s="52"/>
      <x:c r="V322" s="52"/>
      <x:c r="W322" s="52"/>
      <x:c r="X322" s="52"/>
      <x:c r="Y322" s="52"/>
      <x:c r="Z322" s="52"/>
      <x:c r="AA322" s="52"/>
      <x:c r="AB322" s="52"/>
      <x:c r="AC322" s="52"/>
      <x:c r="AD322" s="52"/>
      <x:c r="AE322" s="52"/>
      <x:c r="AF322" s="52"/>
      <x:c r="AG322" s="52"/>
      <x:c r="AH322" s="52"/>
      <x:c r="AI322" s="52"/>
      <x:c r="AJ322" s="52"/>
    </x:row>
    <x:row r="323">
      <x:c r="A323" s="52"/>
      <x:c r="B323" s="52"/>
      <x:c r="C323" s="52"/>
      <x:c r="D323" s="52"/>
      <x:c r="E323" s="52"/>
      <x:c r="F323" s="52"/>
      <x:c r="G323" s="52"/>
      <x:c r="H323" s="52"/>
      <x:c r="I323" s="52"/>
      <x:c r="J323" s="52"/>
      <x:c r="K323" s="52"/>
      <x:c r="L323" s="55"/>
      <x:c r="M323" s="55"/>
      <x:c r="N323" s="55"/>
      <x:c r="O323" s="52"/>
      <x:c r="P323" s="52"/>
      <x:c r="Q323" s="52"/>
      <x:c r="R323" s="52"/>
      <x:c r="S323" s="52"/>
      <x:c r="T323" s="52"/>
      <x:c r="U323" s="52"/>
      <x:c r="V323" s="52"/>
      <x:c r="W323" s="52"/>
      <x:c r="X323" s="52"/>
      <x:c r="Y323" s="52"/>
      <x:c r="Z323" s="52"/>
      <x:c r="AA323" s="52"/>
      <x:c r="AB323" s="52"/>
      <x:c r="AC323" s="52"/>
      <x:c r="AD323" s="52"/>
      <x:c r="AE323" s="52"/>
      <x:c r="AF323" s="52"/>
      <x:c r="AG323" s="52"/>
      <x:c r="AH323" s="52"/>
      <x:c r="AI323" s="52"/>
      <x:c r="AJ323" s="52"/>
    </x:row>
    <x:row r="324">
      <x:c r="A324" s="52"/>
      <x:c r="B324" s="52"/>
      <x:c r="C324" s="52"/>
      <x:c r="D324" s="52"/>
      <x:c r="E324" s="52"/>
      <x:c r="F324" s="52"/>
      <x:c r="G324" s="52"/>
      <x:c r="H324" s="52"/>
      <x:c r="I324" s="52"/>
      <x:c r="J324" s="52"/>
      <x:c r="K324" s="52"/>
      <x:c r="L324" s="55"/>
      <x:c r="M324" s="55"/>
      <x:c r="N324" s="55"/>
      <x:c r="O324" s="52"/>
      <x:c r="P324" s="52"/>
      <x:c r="Q324" s="52"/>
      <x:c r="R324" s="52"/>
      <x:c r="S324" s="52"/>
      <x:c r="T324" s="52"/>
      <x:c r="U324" s="52"/>
      <x:c r="V324" s="52"/>
      <x:c r="W324" s="52"/>
      <x:c r="X324" s="52"/>
      <x:c r="Y324" s="52"/>
      <x:c r="Z324" s="52"/>
      <x:c r="AA324" s="52"/>
      <x:c r="AB324" s="52"/>
      <x:c r="AC324" s="52"/>
      <x:c r="AD324" s="52"/>
      <x:c r="AE324" s="52"/>
      <x:c r="AF324" s="52"/>
      <x:c r="AG324" s="52"/>
      <x:c r="AH324" s="52"/>
      <x:c r="AI324" s="52"/>
      <x:c r="AJ324" s="52"/>
    </x:row>
    <x:row r="325">
      <x:c r="A325" s="52"/>
      <x:c r="B325" s="52"/>
      <x:c r="C325" s="52"/>
      <x:c r="D325" s="52"/>
      <x:c r="E325" s="52"/>
      <x:c r="F325" s="52"/>
      <x:c r="G325" s="52"/>
      <x:c r="H325" s="52"/>
      <x:c r="I325" s="52"/>
      <x:c r="J325" s="52"/>
      <x:c r="K325" s="52"/>
      <x:c r="L325" s="55"/>
      <x:c r="M325" s="55"/>
      <x:c r="N325" s="55"/>
      <x:c r="O325" s="52"/>
      <x:c r="P325" s="52"/>
      <x:c r="Q325" s="52"/>
      <x:c r="R325" s="52"/>
      <x:c r="S325" s="52"/>
      <x:c r="T325" s="52"/>
      <x:c r="U325" s="52"/>
      <x:c r="V325" s="52"/>
      <x:c r="W325" s="52"/>
      <x:c r="X325" s="52"/>
      <x:c r="Y325" s="52"/>
      <x:c r="Z325" s="52"/>
      <x:c r="AA325" s="52"/>
      <x:c r="AB325" s="52"/>
      <x:c r="AC325" s="52"/>
      <x:c r="AD325" s="52"/>
      <x:c r="AE325" s="52"/>
      <x:c r="AF325" s="52"/>
      <x:c r="AG325" s="52"/>
      <x:c r="AH325" s="52"/>
      <x:c r="AI325" s="52"/>
      <x:c r="AJ325" s="52"/>
    </x:row>
    <x:row r="326">
      <x:c r="A326" s="52"/>
      <x:c r="B326" s="52"/>
      <x:c r="C326" s="52"/>
      <x:c r="D326" s="52"/>
      <x:c r="E326" s="52"/>
      <x:c r="F326" s="52"/>
      <x:c r="G326" s="52"/>
      <x:c r="H326" s="52"/>
      <x:c r="I326" s="52"/>
      <x:c r="J326" s="52"/>
      <x:c r="K326" s="52"/>
      <x:c r="L326" s="55"/>
      <x:c r="M326" s="55"/>
      <x:c r="N326" s="55"/>
      <x:c r="O326" s="52"/>
      <x:c r="P326" s="52"/>
      <x:c r="Q326" s="52"/>
      <x:c r="R326" s="52"/>
      <x:c r="S326" s="52"/>
      <x:c r="T326" s="52"/>
      <x:c r="U326" s="52"/>
      <x:c r="V326" s="52"/>
      <x:c r="W326" s="52"/>
      <x:c r="X326" s="52"/>
      <x:c r="Y326" s="52"/>
      <x:c r="Z326" s="52"/>
      <x:c r="AA326" s="52"/>
      <x:c r="AB326" s="52"/>
      <x:c r="AC326" s="52"/>
      <x:c r="AD326" s="52"/>
      <x:c r="AE326" s="52"/>
      <x:c r="AF326" s="52"/>
      <x:c r="AG326" s="52"/>
      <x:c r="AH326" s="52"/>
      <x:c r="AI326" s="52"/>
      <x:c r="AJ326" s="52"/>
    </x:row>
    <x:row r="327">
      <x:c r="A327" s="52"/>
      <x:c r="B327" s="52"/>
      <x:c r="C327" s="52"/>
      <x:c r="D327" s="52"/>
      <x:c r="E327" s="52"/>
      <x:c r="F327" s="52"/>
      <x:c r="G327" s="52"/>
      <x:c r="H327" s="52"/>
      <x:c r="I327" s="52"/>
      <x:c r="J327" s="52"/>
      <x:c r="K327" s="52"/>
      <x:c r="L327" s="55"/>
      <x:c r="M327" s="55"/>
      <x:c r="N327" s="55"/>
      <x:c r="O327" s="52"/>
      <x:c r="P327" s="52"/>
      <x:c r="Q327" s="52"/>
      <x:c r="R327" s="52"/>
      <x:c r="S327" s="52"/>
      <x:c r="T327" s="52"/>
      <x:c r="U327" s="52"/>
      <x:c r="V327" s="52"/>
      <x:c r="W327" s="52"/>
      <x:c r="X327" s="52"/>
      <x:c r="Y327" s="52"/>
      <x:c r="Z327" s="52"/>
      <x:c r="AA327" s="52"/>
      <x:c r="AB327" s="52"/>
      <x:c r="AC327" s="52"/>
      <x:c r="AD327" s="52"/>
      <x:c r="AE327" s="52"/>
      <x:c r="AF327" s="52"/>
      <x:c r="AG327" s="52"/>
      <x:c r="AH327" s="52"/>
      <x:c r="AI327" s="52"/>
      <x:c r="AJ327" s="52"/>
    </x:row>
    <x:row r="328">
      <x:c r="A328" s="52"/>
      <x:c r="B328" s="52"/>
      <x:c r="C328" s="52"/>
      <x:c r="D328" s="52"/>
      <x:c r="E328" s="52"/>
      <x:c r="F328" s="52"/>
      <x:c r="G328" s="52"/>
      <x:c r="H328" s="52"/>
      <x:c r="I328" s="52"/>
      <x:c r="J328" s="52"/>
      <x:c r="K328" s="52"/>
      <x:c r="L328" s="55"/>
      <x:c r="M328" s="55"/>
      <x:c r="N328" s="55"/>
      <x:c r="O328" s="52"/>
      <x:c r="P328" s="52"/>
      <x:c r="Q328" s="52"/>
      <x:c r="R328" s="52"/>
      <x:c r="S328" s="52"/>
      <x:c r="T328" s="52"/>
      <x:c r="U328" s="52"/>
      <x:c r="V328" s="52"/>
      <x:c r="W328" s="52"/>
      <x:c r="X328" s="52"/>
      <x:c r="Y328" s="52"/>
      <x:c r="Z328" s="52"/>
      <x:c r="AA328" s="52"/>
      <x:c r="AB328" s="52"/>
      <x:c r="AC328" s="52"/>
      <x:c r="AD328" s="52"/>
      <x:c r="AE328" s="52"/>
      <x:c r="AF328" s="52"/>
      <x:c r="AG328" s="52"/>
      <x:c r="AH328" s="52"/>
      <x:c r="AI328" s="52"/>
      <x:c r="AJ328" s="52"/>
    </x:row>
    <x:row r="329">
      <x:c r="A329" s="52"/>
      <x:c r="B329" s="52"/>
      <x:c r="C329" s="52"/>
      <x:c r="D329" s="52"/>
      <x:c r="E329" s="52"/>
      <x:c r="F329" s="52"/>
      <x:c r="G329" s="52"/>
      <x:c r="H329" s="52"/>
      <x:c r="I329" s="52"/>
      <x:c r="J329" s="52"/>
      <x:c r="K329" s="52"/>
      <x:c r="L329" s="55"/>
      <x:c r="M329" s="55"/>
      <x:c r="N329" s="55"/>
      <x:c r="O329" s="52"/>
      <x:c r="P329" s="52"/>
      <x:c r="Q329" s="52"/>
      <x:c r="R329" s="52"/>
      <x:c r="S329" s="52"/>
      <x:c r="T329" s="52"/>
      <x:c r="U329" s="52"/>
      <x:c r="V329" s="52"/>
      <x:c r="W329" s="52"/>
      <x:c r="X329" s="52"/>
      <x:c r="Y329" s="52"/>
      <x:c r="Z329" s="52"/>
      <x:c r="AA329" s="52"/>
      <x:c r="AB329" s="52"/>
      <x:c r="AC329" s="52"/>
      <x:c r="AD329" s="52"/>
      <x:c r="AE329" s="52"/>
      <x:c r="AF329" s="52"/>
      <x:c r="AG329" s="52"/>
      <x:c r="AH329" s="52"/>
      <x:c r="AI329" s="52"/>
      <x:c r="AJ329" s="52"/>
    </x:row>
    <x:row r="330">
      <x:c r="A330" s="52"/>
      <x:c r="B330" s="52"/>
      <x:c r="C330" s="52"/>
      <x:c r="D330" s="52"/>
      <x:c r="E330" s="52"/>
      <x:c r="F330" s="52"/>
      <x:c r="G330" s="52"/>
      <x:c r="H330" s="52"/>
      <x:c r="I330" s="52"/>
      <x:c r="J330" s="52"/>
      <x:c r="K330" s="52"/>
      <x:c r="L330" s="55"/>
      <x:c r="M330" s="55"/>
      <x:c r="N330" s="55"/>
      <x:c r="O330" s="52"/>
      <x:c r="P330" s="52"/>
      <x:c r="Q330" s="52"/>
      <x:c r="R330" s="52"/>
      <x:c r="S330" s="52"/>
      <x:c r="T330" s="52"/>
      <x:c r="U330" s="52"/>
      <x:c r="V330" s="52"/>
      <x:c r="W330" s="52"/>
      <x:c r="X330" s="52"/>
      <x:c r="Y330" s="52"/>
      <x:c r="Z330" s="52"/>
      <x:c r="AA330" s="52"/>
      <x:c r="AB330" s="52"/>
      <x:c r="AC330" s="52"/>
      <x:c r="AD330" s="52"/>
      <x:c r="AE330" s="52"/>
      <x:c r="AF330" s="52"/>
      <x:c r="AG330" s="52"/>
      <x:c r="AH330" s="52"/>
      <x:c r="AI330" s="52"/>
      <x:c r="AJ330" s="52"/>
    </x:row>
    <x:row r="331">
      <x:c r="A331" s="52"/>
      <x:c r="B331" s="52"/>
      <x:c r="C331" s="52"/>
      <x:c r="D331" s="52"/>
      <x:c r="E331" s="52"/>
      <x:c r="F331" s="52"/>
      <x:c r="G331" s="52"/>
      <x:c r="H331" s="52"/>
      <x:c r="I331" s="52"/>
      <x:c r="J331" s="52"/>
      <x:c r="K331" s="52"/>
      <x:c r="L331" s="55"/>
      <x:c r="M331" s="55"/>
      <x:c r="N331" s="55"/>
      <x:c r="O331" s="52"/>
      <x:c r="P331" s="52"/>
      <x:c r="Q331" s="52"/>
      <x:c r="R331" s="52"/>
      <x:c r="S331" s="52"/>
      <x:c r="T331" s="52"/>
      <x:c r="U331" s="52"/>
      <x:c r="V331" s="52"/>
      <x:c r="W331" s="52"/>
      <x:c r="X331" s="52"/>
      <x:c r="Y331" s="52"/>
      <x:c r="Z331" s="52"/>
      <x:c r="AA331" s="52"/>
      <x:c r="AB331" s="52"/>
      <x:c r="AC331" s="52"/>
      <x:c r="AD331" s="52"/>
      <x:c r="AE331" s="52"/>
      <x:c r="AF331" s="52"/>
      <x:c r="AG331" s="52"/>
      <x:c r="AH331" s="52"/>
      <x:c r="AI331" s="52"/>
      <x:c r="AJ331" s="52"/>
    </x:row>
    <x:row r="332">
      <x:c r="A332" s="52"/>
      <x:c r="B332" s="52"/>
      <x:c r="C332" s="52"/>
      <x:c r="D332" s="52"/>
      <x:c r="E332" s="52"/>
      <x:c r="F332" s="52"/>
      <x:c r="G332" s="52"/>
      <x:c r="H332" s="52"/>
      <x:c r="I332" s="52"/>
      <x:c r="J332" s="52"/>
      <x:c r="K332" s="52"/>
      <x:c r="L332" s="55"/>
      <x:c r="M332" s="55"/>
      <x:c r="N332" s="55"/>
      <x:c r="O332" s="52"/>
      <x:c r="P332" s="52"/>
      <x:c r="Q332" s="52"/>
      <x:c r="R332" s="52"/>
      <x:c r="S332" s="52"/>
      <x:c r="T332" s="52"/>
      <x:c r="U332" s="52"/>
      <x:c r="V332" s="52"/>
      <x:c r="W332" s="52"/>
      <x:c r="X332" s="52"/>
      <x:c r="Y332" s="52"/>
      <x:c r="Z332" s="52"/>
      <x:c r="AA332" s="52"/>
      <x:c r="AB332" s="52"/>
      <x:c r="AC332" s="52"/>
      <x:c r="AD332" s="52"/>
      <x:c r="AE332" s="52"/>
      <x:c r="AF332" s="52"/>
      <x:c r="AG332" s="52"/>
      <x:c r="AH332" s="52"/>
      <x:c r="AI332" s="52"/>
      <x:c r="AJ332" s="52"/>
    </x:row>
    <x:row r="333">
      <x:c r="A333" s="52"/>
      <x:c r="B333" s="52"/>
      <x:c r="C333" s="52"/>
      <x:c r="D333" s="52"/>
      <x:c r="E333" s="52"/>
      <x:c r="F333" s="52"/>
      <x:c r="G333" s="52"/>
      <x:c r="H333" s="52"/>
      <x:c r="I333" s="52"/>
      <x:c r="J333" s="52"/>
      <x:c r="K333" s="52"/>
      <x:c r="L333" s="55"/>
      <x:c r="M333" s="55"/>
      <x:c r="N333" s="55"/>
      <x:c r="O333" s="52"/>
      <x:c r="P333" s="52"/>
      <x:c r="Q333" s="52"/>
      <x:c r="R333" s="52"/>
      <x:c r="S333" s="52"/>
      <x:c r="T333" s="52"/>
      <x:c r="U333" s="52"/>
      <x:c r="V333" s="52"/>
      <x:c r="W333" s="52"/>
      <x:c r="X333" s="52"/>
      <x:c r="Y333" s="52"/>
      <x:c r="Z333" s="52"/>
      <x:c r="AA333" s="52"/>
      <x:c r="AB333" s="52"/>
      <x:c r="AC333" s="52"/>
      <x:c r="AD333" s="52"/>
      <x:c r="AE333" s="52"/>
      <x:c r="AF333" s="52"/>
      <x:c r="AG333" s="52"/>
      <x:c r="AH333" s="52"/>
      <x:c r="AI333" s="52"/>
      <x:c r="AJ333" s="52"/>
    </x:row>
    <x:row r="334">
      <x:c r="A334" s="52"/>
      <x:c r="B334" s="52"/>
      <x:c r="C334" s="52"/>
      <x:c r="D334" s="52"/>
      <x:c r="E334" s="52"/>
      <x:c r="F334" s="52"/>
      <x:c r="G334" s="52"/>
      <x:c r="H334" s="52"/>
      <x:c r="I334" s="52"/>
      <x:c r="J334" s="52"/>
      <x:c r="K334" s="52"/>
      <x:c r="L334" s="55"/>
      <x:c r="M334" s="55"/>
      <x:c r="N334" s="55"/>
      <x:c r="O334" s="52"/>
      <x:c r="P334" s="52"/>
      <x:c r="Q334" s="52"/>
      <x:c r="R334" s="52"/>
      <x:c r="S334" s="52"/>
      <x:c r="T334" s="52"/>
      <x:c r="U334" s="52"/>
      <x:c r="V334" s="52"/>
      <x:c r="W334" s="52"/>
      <x:c r="X334" s="52"/>
      <x:c r="Y334" s="52"/>
      <x:c r="Z334" s="52"/>
      <x:c r="AA334" s="52"/>
      <x:c r="AB334" s="52"/>
      <x:c r="AC334" s="52"/>
      <x:c r="AD334" s="52"/>
      <x:c r="AE334" s="52"/>
      <x:c r="AF334" s="52"/>
      <x:c r="AG334" s="52"/>
      <x:c r="AH334" s="52"/>
      <x:c r="AI334" s="52"/>
      <x:c r="AJ334" s="52"/>
    </x:row>
    <x:row r="335">
      <x:c r="A335" s="52"/>
      <x:c r="B335" s="52"/>
      <x:c r="C335" s="52"/>
      <x:c r="D335" s="52"/>
      <x:c r="E335" s="52"/>
      <x:c r="F335" s="52"/>
      <x:c r="G335" s="52"/>
      <x:c r="H335" s="52"/>
      <x:c r="I335" s="52"/>
      <x:c r="J335" s="52"/>
      <x:c r="K335" s="52"/>
      <x:c r="L335" s="55"/>
      <x:c r="M335" s="55"/>
      <x:c r="N335" s="55"/>
      <x:c r="O335" s="52"/>
      <x:c r="P335" s="52"/>
      <x:c r="Q335" s="52"/>
      <x:c r="R335" s="52"/>
      <x:c r="S335" s="52"/>
      <x:c r="T335" s="52"/>
      <x:c r="U335" s="52"/>
      <x:c r="V335" s="52"/>
      <x:c r="W335" s="52"/>
      <x:c r="X335" s="52"/>
      <x:c r="Y335" s="52"/>
      <x:c r="Z335" s="52"/>
      <x:c r="AA335" s="52"/>
      <x:c r="AB335" s="52"/>
      <x:c r="AC335" s="52"/>
      <x:c r="AD335" s="52"/>
      <x:c r="AE335" s="52"/>
      <x:c r="AF335" s="52"/>
      <x:c r="AG335" s="52"/>
      <x:c r="AH335" s="52"/>
      <x:c r="AI335" s="52"/>
      <x:c r="AJ335" s="52"/>
    </x:row>
    <x:row r="336">
      <x:c r="A336" s="52"/>
      <x:c r="B336" s="52"/>
      <x:c r="C336" s="52"/>
      <x:c r="D336" s="52"/>
      <x:c r="E336" s="52"/>
      <x:c r="F336" s="52"/>
      <x:c r="G336" s="52"/>
      <x:c r="H336" s="52"/>
      <x:c r="I336" s="52"/>
      <x:c r="J336" s="52"/>
      <x:c r="K336" s="52"/>
      <x:c r="L336" s="55"/>
      <x:c r="M336" s="55"/>
      <x:c r="N336" s="55"/>
      <x:c r="O336" s="52"/>
      <x:c r="P336" s="52"/>
      <x:c r="Q336" s="52"/>
      <x:c r="R336" s="52"/>
      <x:c r="S336" s="52"/>
      <x:c r="T336" s="52"/>
      <x:c r="U336" s="52"/>
      <x:c r="V336" s="52"/>
      <x:c r="W336" s="52"/>
      <x:c r="X336" s="52"/>
      <x:c r="Y336" s="52"/>
      <x:c r="Z336" s="52"/>
      <x:c r="AA336" s="52"/>
      <x:c r="AB336" s="52"/>
      <x:c r="AC336" s="52"/>
      <x:c r="AD336" s="52"/>
      <x:c r="AE336" s="52"/>
      <x:c r="AF336" s="52"/>
      <x:c r="AG336" s="52"/>
      <x:c r="AH336" s="52"/>
      <x:c r="AI336" s="52"/>
      <x:c r="AJ336" s="52"/>
    </x:row>
    <x:row r="337">
      <x:c r="A337" s="52"/>
      <x:c r="B337" s="52"/>
      <x:c r="C337" s="52"/>
      <x:c r="D337" s="52"/>
      <x:c r="E337" s="52"/>
      <x:c r="F337" s="52"/>
      <x:c r="G337" s="52"/>
      <x:c r="H337" s="52"/>
      <x:c r="I337" s="52"/>
      <x:c r="J337" s="52"/>
      <x:c r="K337" s="52"/>
      <x:c r="L337" s="55"/>
      <x:c r="M337" s="55"/>
      <x:c r="N337" s="55"/>
      <x:c r="O337" s="52"/>
      <x:c r="P337" s="52"/>
      <x:c r="Q337" s="52"/>
      <x:c r="R337" s="52"/>
      <x:c r="S337" s="52"/>
      <x:c r="T337" s="52"/>
      <x:c r="U337" s="52"/>
      <x:c r="V337" s="52"/>
      <x:c r="W337" s="52"/>
      <x:c r="X337" s="52"/>
      <x:c r="Y337" s="52"/>
      <x:c r="Z337" s="52"/>
      <x:c r="AA337" s="52"/>
      <x:c r="AB337" s="52"/>
      <x:c r="AC337" s="52"/>
      <x:c r="AD337" s="52"/>
      <x:c r="AE337" s="52"/>
      <x:c r="AF337" s="52"/>
      <x:c r="AG337" s="52"/>
      <x:c r="AH337" s="52"/>
      <x:c r="AI337" s="52"/>
      <x:c r="AJ337" s="52"/>
    </x:row>
    <x:row r="338">
      <x:c r="A338" s="52"/>
      <x:c r="B338" s="52"/>
      <x:c r="C338" s="52"/>
      <x:c r="D338" s="52"/>
      <x:c r="E338" s="52"/>
      <x:c r="F338" s="52"/>
      <x:c r="G338" s="52"/>
      <x:c r="H338" s="52"/>
      <x:c r="I338" s="52"/>
      <x:c r="J338" s="52"/>
      <x:c r="K338" s="52"/>
      <x:c r="L338" s="55"/>
      <x:c r="M338" s="55"/>
      <x:c r="N338" s="55"/>
      <x:c r="O338" s="52"/>
      <x:c r="P338" s="52"/>
      <x:c r="Q338" s="52"/>
      <x:c r="R338" s="52"/>
      <x:c r="S338" s="52"/>
      <x:c r="T338" s="52"/>
      <x:c r="U338" s="52"/>
      <x:c r="V338" s="52"/>
      <x:c r="W338" s="52"/>
      <x:c r="X338" s="52"/>
      <x:c r="Y338" s="52"/>
      <x:c r="Z338" s="52"/>
      <x:c r="AA338" s="52"/>
      <x:c r="AB338" s="52"/>
      <x:c r="AC338" s="52"/>
      <x:c r="AD338" s="52"/>
      <x:c r="AE338" s="52"/>
      <x:c r="AF338" s="52"/>
      <x:c r="AG338" s="52"/>
      <x:c r="AH338" s="52"/>
      <x:c r="AI338" s="52"/>
      <x:c r="AJ338" s="52"/>
    </x:row>
    <x:row r="339">
      <x:c r="A339" s="52"/>
      <x:c r="B339" s="52"/>
      <x:c r="C339" s="52"/>
      <x:c r="D339" s="52"/>
      <x:c r="E339" s="52"/>
      <x:c r="F339" s="52"/>
      <x:c r="G339" s="52"/>
      <x:c r="H339" s="52"/>
      <x:c r="I339" s="52"/>
      <x:c r="J339" s="52"/>
      <x:c r="K339" s="52"/>
      <x:c r="L339" s="55"/>
      <x:c r="M339" s="55"/>
      <x:c r="N339" s="55"/>
      <x:c r="O339" s="52"/>
      <x:c r="P339" s="52"/>
      <x:c r="Q339" s="52"/>
      <x:c r="R339" s="52"/>
      <x:c r="S339" s="52"/>
      <x:c r="T339" s="52"/>
      <x:c r="U339" s="52"/>
      <x:c r="V339" s="52"/>
      <x:c r="W339" s="52"/>
      <x:c r="X339" s="52"/>
      <x:c r="Y339" s="52"/>
      <x:c r="Z339" s="52"/>
      <x:c r="AA339" s="52"/>
      <x:c r="AB339" s="52"/>
      <x:c r="AC339" s="52"/>
      <x:c r="AD339" s="52"/>
      <x:c r="AE339" s="52"/>
      <x:c r="AF339" s="52"/>
      <x:c r="AG339" s="52"/>
      <x:c r="AH339" s="52"/>
      <x:c r="AI339" s="52"/>
      <x:c r="AJ339" s="52"/>
    </x:row>
    <x:row r="340">
      <x:c r="A340" s="52"/>
      <x:c r="B340" s="52"/>
      <x:c r="C340" s="52"/>
      <x:c r="D340" s="52"/>
      <x:c r="E340" s="52"/>
      <x:c r="F340" s="52"/>
      <x:c r="G340" s="52"/>
      <x:c r="H340" s="52"/>
      <x:c r="I340" s="52"/>
      <x:c r="J340" s="52"/>
      <x:c r="K340" s="52"/>
      <x:c r="L340" s="55"/>
      <x:c r="M340" s="55"/>
      <x:c r="N340" s="55"/>
      <x:c r="O340" s="52"/>
      <x:c r="P340" s="52"/>
      <x:c r="Q340" s="52"/>
      <x:c r="R340" s="52"/>
      <x:c r="S340" s="52"/>
      <x:c r="T340" s="52"/>
      <x:c r="U340" s="52"/>
      <x:c r="V340" s="52"/>
      <x:c r="W340" s="52"/>
      <x:c r="X340" s="52"/>
      <x:c r="Y340" s="52"/>
      <x:c r="Z340" s="52"/>
      <x:c r="AA340" s="52"/>
      <x:c r="AB340" s="52"/>
      <x:c r="AC340" s="52"/>
      <x:c r="AD340" s="52"/>
      <x:c r="AE340" s="52"/>
      <x:c r="AF340" s="52"/>
      <x:c r="AG340" s="52"/>
      <x:c r="AH340" s="52"/>
      <x:c r="AI340" s="52"/>
      <x:c r="AJ340" s="52"/>
    </x:row>
    <x:row r="341">
      <x:c r="A341" s="52"/>
      <x:c r="B341" s="52"/>
      <x:c r="C341" s="52"/>
      <x:c r="D341" s="52"/>
      <x:c r="E341" s="52"/>
      <x:c r="F341" s="52"/>
      <x:c r="G341" s="52"/>
      <x:c r="H341" s="52"/>
      <x:c r="I341" s="52"/>
      <x:c r="J341" s="52"/>
      <x:c r="K341" s="52"/>
      <x:c r="L341" s="55"/>
      <x:c r="M341" s="55"/>
      <x:c r="N341" s="55"/>
      <x:c r="O341" s="52"/>
      <x:c r="P341" s="52"/>
      <x:c r="Q341" s="52"/>
      <x:c r="R341" s="52"/>
      <x:c r="S341" s="52"/>
      <x:c r="T341" s="52"/>
      <x:c r="U341" s="52"/>
      <x:c r="V341" s="52"/>
      <x:c r="W341" s="52"/>
      <x:c r="X341" s="52"/>
      <x:c r="Y341" s="52"/>
      <x:c r="Z341" s="52"/>
      <x:c r="AA341" s="52"/>
      <x:c r="AB341" s="52"/>
      <x:c r="AC341" s="52"/>
      <x:c r="AD341" s="52"/>
      <x:c r="AE341" s="52"/>
      <x:c r="AF341" s="52"/>
      <x:c r="AG341" s="52"/>
      <x:c r="AH341" s="52"/>
      <x:c r="AI341" s="52"/>
      <x:c r="AJ341" s="52"/>
    </x:row>
    <x:row r="342">
      <x:c r="A342" s="52"/>
      <x:c r="B342" s="52"/>
      <x:c r="C342" s="52"/>
      <x:c r="D342" s="52"/>
      <x:c r="E342" s="52"/>
      <x:c r="F342" s="52"/>
      <x:c r="G342" s="52"/>
      <x:c r="H342" s="52"/>
      <x:c r="I342" s="52"/>
      <x:c r="J342" s="52"/>
      <x:c r="K342" s="52"/>
      <x:c r="L342" s="55"/>
      <x:c r="M342" s="55"/>
      <x:c r="N342" s="55"/>
      <x:c r="O342" s="52"/>
      <x:c r="P342" s="52"/>
      <x:c r="Q342" s="52"/>
      <x:c r="R342" s="52"/>
      <x:c r="S342" s="52"/>
      <x:c r="T342" s="52"/>
      <x:c r="U342" s="52"/>
      <x:c r="V342" s="52"/>
      <x:c r="W342" s="52"/>
      <x:c r="X342" s="52"/>
      <x:c r="Y342" s="52"/>
      <x:c r="Z342" s="52"/>
      <x:c r="AA342" s="52"/>
      <x:c r="AB342" s="52"/>
      <x:c r="AC342" s="52"/>
      <x:c r="AD342" s="52"/>
      <x:c r="AE342" s="52"/>
      <x:c r="AF342" s="52"/>
      <x:c r="AG342" s="52"/>
      <x:c r="AH342" s="52"/>
      <x:c r="AI342" s="52"/>
      <x:c r="AJ342" s="52"/>
    </x:row>
    <x:row r="343">
      <x:c r="A343" s="52"/>
      <x:c r="B343" s="52"/>
      <x:c r="C343" s="52"/>
      <x:c r="D343" s="52"/>
      <x:c r="E343" s="52"/>
      <x:c r="F343" s="52"/>
      <x:c r="G343" s="52"/>
      <x:c r="H343" s="52"/>
      <x:c r="I343" s="52"/>
      <x:c r="J343" s="52"/>
      <x:c r="K343" s="52"/>
      <x:c r="L343" s="55"/>
      <x:c r="M343" s="55"/>
      <x:c r="N343" s="55"/>
      <x:c r="O343" s="52"/>
      <x:c r="P343" s="52"/>
      <x:c r="Q343" s="52"/>
      <x:c r="R343" s="52"/>
      <x:c r="S343" s="52"/>
      <x:c r="T343" s="52"/>
      <x:c r="U343" s="52"/>
      <x:c r="V343" s="52"/>
      <x:c r="W343" s="52"/>
      <x:c r="X343" s="52"/>
      <x:c r="Y343" s="52"/>
      <x:c r="Z343" s="52"/>
      <x:c r="AA343" s="52"/>
      <x:c r="AB343" s="52"/>
      <x:c r="AC343" s="52"/>
      <x:c r="AD343" s="52"/>
      <x:c r="AE343" s="52"/>
      <x:c r="AF343" s="52"/>
      <x:c r="AG343" s="52"/>
      <x:c r="AH343" s="52"/>
      <x:c r="AI343" s="52"/>
      <x:c r="AJ343" s="52"/>
    </x:row>
    <x:row r="344">
      <x:c r="A344" s="52"/>
      <x:c r="B344" s="52"/>
      <x:c r="C344" s="52"/>
      <x:c r="D344" s="52"/>
      <x:c r="E344" s="52"/>
      <x:c r="F344" s="52"/>
      <x:c r="G344" s="52"/>
      <x:c r="H344" s="52"/>
      <x:c r="I344" s="52"/>
      <x:c r="J344" s="52"/>
      <x:c r="K344" s="52"/>
      <x:c r="L344" s="55"/>
      <x:c r="M344" s="55"/>
      <x:c r="N344" s="55"/>
      <x:c r="O344" s="52"/>
      <x:c r="P344" s="52"/>
      <x:c r="Q344" s="52"/>
      <x:c r="R344" s="52"/>
      <x:c r="S344" s="52"/>
      <x:c r="T344" s="52"/>
      <x:c r="U344" s="52"/>
      <x:c r="V344" s="52"/>
      <x:c r="W344" s="52"/>
      <x:c r="X344" s="52"/>
      <x:c r="Y344" s="52"/>
      <x:c r="Z344" s="52"/>
      <x:c r="AA344" s="52"/>
      <x:c r="AB344" s="52"/>
      <x:c r="AC344" s="52"/>
      <x:c r="AD344" s="52"/>
      <x:c r="AE344" s="52"/>
      <x:c r="AF344" s="52"/>
      <x:c r="AG344" s="52"/>
      <x:c r="AH344" s="52"/>
      <x:c r="AI344" s="52"/>
      <x:c r="AJ344" s="52"/>
    </x:row>
    <x:row r="345">
      <x:c r="A345" s="52"/>
      <x:c r="B345" s="52"/>
      <x:c r="C345" s="52"/>
      <x:c r="D345" s="52"/>
      <x:c r="E345" s="52"/>
      <x:c r="F345" s="52"/>
      <x:c r="G345" s="52"/>
      <x:c r="H345" s="52"/>
      <x:c r="I345" s="52"/>
      <x:c r="J345" s="52"/>
      <x:c r="K345" s="52"/>
      <x:c r="L345" s="55"/>
      <x:c r="M345" s="55"/>
      <x:c r="N345" s="55"/>
      <x:c r="O345" s="52"/>
      <x:c r="P345" s="52"/>
      <x:c r="Q345" s="52"/>
      <x:c r="R345" s="52"/>
      <x:c r="S345" s="52"/>
      <x:c r="T345" s="52"/>
      <x:c r="U345" s="52"/>
      <x:c r="V345" s="52"/>
      <x:c r="W345" s="52"/>
      <x:c r="X345" s="52"/>
      <x:c r="Y345" s="52"/>
      <x:c r="Z345" s="52"/>
      <x:c r="AA345" s="52"/>
      <x:c r="AB345" s="52"/>
      <x:c r="AC345" s="52"/>
      <x:c r="AD345" s="52"/>
      <x:c r="AE345" s="52"/>
      <x:c r="AF345" s="52"/>
      <x:c r="AG345" s="52"/>
      <x:c r="AH345" s="52"/>
      <x:c r="AI345" s="52"/>
      <x:c r="AJ345" s="52"/>
    </x:row>
    <x:row r="346">
      <x:c r="A346" s="52"/>
      <x:c r="B346" s="52"/>
      <x:c r="C346" s="52"/>
      <x:c r="D346" s="52"/>
      <x:c r="E346" s="52"/>
      <x:c r="F346" s="52"/>
      <x:c r="G346" s="52"/>
      <x:c r="H346" s="52"/>
      <x:c r="I346" s="52"/>
      <x:c r="J346" s="52"/>
      <x:c r="K346" s="52"/>
      <x:c r="L346" s="55"/>
      <x:c r="M346" s="55"/>
      <x:c r="N346" s="55"/>
      <x:c r="O346" s="52"/>
      <x:c r="P346" s="52"/>
      <x:c r="Q346" s="52"/>
      <x:c r="R346" s="52"/>
      <x:c r="S346" s="52"/>
      <x:c r="T346" s="52"/>
      <x:c r="U346" s="52"/>
      <x:c r="V346" s="52"/>
      <x:c r="W346" s="52"/>
      <x:c r="X346" s="52"/>
      <x:c r="Y346" s="52"/>
      <x:c r="Z346" s="52"/>
      <x:c r="AA346" s="52"/>
      <x:c r="AB346" s="52"/>
      <x:c r="AC346" s="52"/>
      <x:c r="AD346" s="52"/>
      <x:c r="AE346" s="52"/>
      <x:c r="AF346" s="52"/>
      <x:c r="AG346" s="52"/>
      <x:c r="AH346" s="52"/>
      <x:c r="AI346" s="52"/>
      <x:c r="AJ346" s="52"/>
    </x:row>
    <x:row r="347">
      <x:c r="A347" s="52"/>
      <x:c r="B347" s="52"/>
      <x:c r="C347" s="52"/>
      <x:c r="D347" s="52"/>
      <x:c r="E347" s="52"/>
      <x:c r="F347" s="52"/>
      <x:c r="G347" s="52"/>
      <x:c r="H347" s="52"/>
      <x:c r="I347" s="52"/>
      <x:c r="J347" s="52"/>
      <x:c r="K347" s="52"/>
      <x:c r="L347" s="55"/>
      <x:c r="M347" s="55"/>
      <x:c r="N347" s="55"/>
      <x:c r="O347" s="52"/>
      <x:c r="P347" s="52"/>
      <x:c r="Q347" s="52"/>
      <x:c r="R347" s="52"/>
      <x:c r="S347" s="52"/>
      <x:c r="T347" s="52"/>
      <x:c r="U347" s="52"/>
      <x:c r="V347" s="52"/>
      <x:c r="W347" s="52"/>
      <x:c r="X347" s="52"/>
      <x:c r="Y347" s="52"/>
      <x:c r="Z347" s="52"/>
      <x:c r="AA347" s="52"/>
      <x:c r="AB347" s="52"/>
      <x:c r="AC347" s="52"/>
      <x:c r="AD347" s="52"/>
      <x:c r="AE347" s="52"/>
      <x:c r="AF347" s="52"/>
      <x:c r="AG347" s="52"/>
      <x:c r="AH347" s="52"/>
      <x:c r="AI347" s="52"/>
      <x:c r="AJ347" s="52"/>
    </x:row>
    <x:row r="348">
      <x:c r="A348" s="52"/>
      <x:c r="B348" s="52"/>
      <x:c r="C348" s="52"/>
      <x:c r="D348" s="52"/>
      <x:c r="E348" s="52"/>
      <x:c r="F348" s="52"/>
      <x:c r="G348" s="52"/>
      <x:c r="H348" s="52"/>
      <x:c r="I348" s="52"/>
      <x:c r="J348" s="52"/>
      <x:c r="K348" s="52"/>
      <x:c r="L348" s="55"/>
      <x:c r="M348" s="55"/>
      <x:c r="N348" s="55"/>
      <x:c r="O348" s="52"/>
      <x:c r="P348" s="52"/>
      <x:c r="Q348" s="52"/>
      <x:c r="R348" s="52"/>
      <x:c r="S348" s="52"/>
      <x:c r="T348" s="52"/>
      <x:c r="U348" s="52"/>
      <x:c r="V348" s="52"/>
      <x:c r="W348" s="52"/>
      <x:c r="X348" s="52"/>
      <x:c r="Y348" s="52"/>
      <x:c r="Z348" s="52"/>
      <x:c r="AA348" s="52"/>
      <x:c r="AB348" s="52"/>
      <x:c r="AC348" s="52"/>
      <x:c r="AD348" s="52"/>
      <x:c r="AE348" s="52"/>
      <x:c r="AF348" s="52"/>
      <x:c r="AG348" s="52"/>
      <x:c r="AH348" s="52"/>
      <x:c r="AI348" s="52"/>
      <x:c r="AJ348" s="52"/>
    </x:row>
    <x:row r="349">
      <x:c r="A349" s="52"/>
      <x:c r="B349" s="52"/>
      <x:c r="C349" s="52"/>
      <x:c r="D349" s="52"/>
      <x:c r="E349" s="52"/>
      <x:c r="F349" s="52"/>
      <x:c r="G349" s="52"/>
      <x:c r="H349" s="52"/>
      <x:c r="I349" s="52"/>
      <x:c r="J349" s="52"/>
      <x:c r="K349" s="52"/>
      <x:c r="L349" s="55"/>
      <x:c r="M349" s="55"/>
      <x:c r="N349" s="55"/>
      <x:c r="O349" s="52"/>
      <x:c r="P349" s="52"/>
      <x:c r="Q349" s="52"/>
      <x:c r="R349" s="52"/>
      <x:c r="S349" s="52"/>
      <x:c r="T349" s="52"/>
      <x:c r="U349" s="52"/>
      <x:c r="V349" s="52"/>
      <x:c r="W349" s="52"/>
      <x:c r="X349" s="52"/>
      <x:c r="Y349" s="52"/>
      <x:c r="Z349" s="52"/>
      <x:c r="AA349" s="52"/>
      <x:c r="AB349" s="52"/>
      <x:c r="AC349" s="52"/>
      <x:c r="AD349" s="52"/>
      <x:c r="AE349" s="52"/>
      <x:c r="AF349" s="52"/>
      <x:c r="AG349" s="52"/>
      <x:c r="AH349" s="52"/>
      <x:c r="AI349" s="52"/>
      <x:c r="AJ349" s="52"/>
    </x:row>
    <x:row r="350">
      <x:c r="A350" s="52"/>
      <x:c r="B350" s="52"/>
      <x:c r="C350" s="52"/>
      <x:c r="D350" s="52"/>
      <x:c r="E350" s="52"/>
      <x:c r="F350" s="52"/>
      <x:c r="G350" s="52"/>
      <x:c r="H350" s="52"/>
      <x:c r="I350" s="52"/>
      <x:c r="J350" s="52"/>
      <x:c r="K350" s="52"/>
      <x:c r="L350" s="55"/>
      <x:c r="M350" s="55"/>
      <x:c r="N350" s="55"/>
      <x:c r="O350" s="52"/>
      <x:c r="P350" s="52"/>
      <x:c r="Q350" s="52"/>
      <x:c r="R350" s="52"/>
      <x:c r="S350" s="52"/>
      <x:c r="T350" s="52"/>
      <x:c r="U350" s="52"/>
      <x:c r="V350" s="52"/>
      <x:c r="W350" s="52"/>
      <x:c r="X350" s="52"/>
      <x:c r="Y350" s="52"/>
      <x:c r="Z350" s="52"/>
      <x:c r="AA350" s="52"/>
      <x:c r="AB350" s="52"/>
      <x:c r="AC350" s="52"/>
      <x:c r="AD350" s="52"/>
      <x:c r="AE350" s="52"/>
      <x:c r="AF350" s="52"/>
      <x:c r="AG350" s="52"/>
      <x:c r="AH350" s="52"/>
      <x:c r="AI350" s="52"/>
      <x:c r="AJ350" s="52"/>
    </x:row>
    <x:row r="351">
      <x:c r="A351" s="52"/>
      <x:c r="B351" s="52"/>
      <x:c r="C351" s="52"/>
      <x:c r="D351" s="52"/>
      <x:c r="E351" s="52"/>
      <x:c r="F351" s="52"/>
      <x:c r="G351" s="52"/>
      <x:c r="H351" s="52"/>
      <x:c r="I351" s="52"/>
      <x:c r="J351" s="52"/>
      <x:c r="K351" s="52"/>
      <x:c r="L351" s="55"/>
      <x:c r="M351" s="55"/>
      <x:c r="N351" s="55"/>
      <x:c r="O351" s="52"/>
      <x:c r="P351" s="52"/>
      <x:c r="Q351" s="52"/>
      <x:c r="R351" s="52"/>
      <x:c r="S351" s="52"/>
      <x:c r="T351" s="52"/>
      <x:c r="U351" s="52"/>
      <x:c r="V351" s="52"/>
      <x:c r="W351" s="52"/>
      <x:c r="X351" s="52"/>
      <x:c r="Y351" s="52"/>
      <x:c r="Z351" s="52"/>
      <x:c r="AA351" s="52"/>
      <x:c r="AB351" s="52"/>
      <x:c r="AC351" s="52"/>
      <x:c r="AD351" s="52"/>
      <x:c r="AE351" s="52"/>
      <x:c r="AF351" s="52"/>
      <x:c r="AG351" s="52"/>
      <x:c r="AH351" s="52"/>
      <x:c r="AI351" s="52"/>
      <x:c r="AJ351" s="52"/>
    </x:row>
    <x:row r="352">
      <x:c r="A352" s="52"/>
      <x:c r="B352" s="52"/>
      <x:c r="C352" s="52"/>
      <x:c r="D352" s="52"/>
      <x:c r="E352" s="52"/>
      <x:c r="F352" s="52"/>
      <x:c r="G352" s="52"/>
      <x:c r="H352" s="52"/>
      <x:c r="I352" s="52"/>
      <x:c r="J352" s="52"/>
      <x:c r="K352" s="52"/>
      <x:c r="L352" s="55"/>
      <x:c r="M352" s="55"/>
      <x:c r="N352" s="55"/>
      <x:c r="O352" s="52"/>
      <x:c r="P352" s="52"/>
      <x:c r="Q352" s="52"/>
      <x:c r="R352" s="52"/>
      <x:c r="S352" s="52"/>
      <x:c r="T352" s="52"/>
      <x:c r="U352" s="52"/>
      <x:c r="V352" s="52"/>
      <x:c r="W352" s="52"/>
      <x:c r="X352" s="52"/>
      <x:c r="Y352" s="52"/>
      <x:c r="Z352" s="52"/>
      <x:c r="AA352" s="52"/>
      <x:c r="AB352" s="52"/>
      <x:c r="AC352" s="52"/>
      <x:c r="AD352" s="52"/>
      <x:c r="AE352" s="52"/>
      <x:c r="AF352" s="52"/>
      <x:c r="AG352" s="52"/>
      <x:c r="AH352" s="52"/>
      <x:c r="AI352" s="52"/>
      <x:c r="AJ352" s="52"/>
    </x:row>
    <x:row r="353">
      <x:c r="A353" s="52"/>
      <x:c r="B353" s="52"/>
      <x:c r="C353" s="52"/>
      <x:c r="D353" s="52"/>
      <x:c r="E353" s="52"/>
      <x:c r="F353" s="52"/>
      <x:c r="G353" s="52"/>
      <x:c r="H353" s="52"/>
      <x:c r="I353" s="52"/>
      <x:c r="J353" s="52"/>
      <x:c r="K353" s="52"/>
      <x:c r="L353" s="55"/>
      <x:c r="M353" s="55"/>
      <x:c r="N353" s="55"/>
      <x:c r="O353" s="52"/>
      <x:c r="P353" s="52"/>
      <x:c r="Q353" s="52"/>
      <x:c r="R353" s="52"/>
      <x:c r="S353" s="52"/>
      <x:c r="T353" s="52"/>
      <x:c r="U353" s="52"/>
      <x:c r="V353" s="52"/>
      <x:c r="W353" s="52"/>
      <x:c r="X353" s="52"/>
      <x:c r="Y353" s="52"/>
      <x:c r="Z353" s="52"/>
      <x:c r="AA353" s="52"/>
      <x:c r="AB353" s="52"/>
      <x:c r="AC353" s="52"/>
      <x:c r="AD353" s="52"/>
      <x:c r="AE353" s="52"/>
      <x:c r="AF353" s="52"/>
      <x:c r="AG353" s="52"/>
      <x:c r="AH353" s="52"/>
      <x:c r="AI353" s="52"/>
      <x:c r="AJ353" s="52"/>
    </x:row>
    <x:row r="354">
      <x:c r="A354" s="52"/>
      <x:c r="B354" s="52"/>
      <x:c r="C354" s="52"/>
      <x:c r="D354" s="52"/>
      <x:c r="E354" s="52"/>
      <x:c r="F354" s="52"/>
      <x:c r="G354" s="52"/>
      <x:c r="H354" s="52"/>
      <x:c r="I354" s="52"/>
      <x:c r="J354" s="52"/>
      <x:c r="K354" s="52"/>
      <x:c r="L354" s="55"/>
      <x:c r="M354" s="55"/>
      <x:c r="N354" s="55"/>
      <x:c r="O354" s="52"/>
      <x:c r="P354" s="52"/>
      <x:c r="Q354" s="52"/>
      <x:c r="R354" s="52"/>
      <x:c r="S354" s="52"/>
      <x:c r="T354" s="52"/>
      <x:c r="U354" s="52"/>
      <x:c r="V354" s="52"/>
      <x:c r="W354" s="52"/>
      <x:c r="X354" s="52"/>
      <x:c r="Y354" s="52"/>
      <x:c r="Z354" s="52"/>
      <x:c r="AA354" s="52"/>
      <x:c r="AB354" s="52"/>
      <x:c r="AC354" s="52"/>
      <x:c r="AD354" s="52"/>
      <x:c r="AE354" s="52"/>
      <x:c r="AF354" s="52"/>
      <x:c r="AG354" s="52"/>
      <x:c r="AH354" s="52"/>
      <x:c r="AI354" s="52"/>
      <x:c r="AJ354" s="52"/>
    </x:row>
    <x:row r="355">
      <x:c r="A355" s="52"/>
      <x:c r="B355" s="52"/>
      <x:c r="C355" s="52"/>
      <x:c r="D355" s="52"/>
      <x:c r="E355" s="52"/>
      <x:c r="F355" s="52"/>
      <x:c r="G355" s="52"/>
      <x:c r="H355" s="52"/>
      <x:c r="I355" s="52"/>
      <x:c r="J355" s="52"/>
      <x:c r="K355" s="52"/>
      <x:c r="L355" s="55"/>
      <x:c r="M355" s="55"/>
      <x:c r="N355" s="55"/>
      <x:c r="O355" s="52"/>
      <x:c r="P355" s="52"/>
      <x:c r="Q355" s="52"/>
      <x:c r="R355" s="52"/>
      <x:c r="S355" s="52"/>
      <x:c r="T355" s="52"/>
      <x:c r="U355" s="52"/>
      <x:c r="V355" s="52"/>
      <x:c r="W355" s="52"/>
      <x:c r="X355" s="52"/>
      <x:c r="Y355" s="52"/>
      <x:c r="Z355" s="52"/>
      <x:c r="AA355" s="52"/>
      <x:c r="AB355" s="52"/>
      <x:c r="AC355" s="52"/>
      <x:c r="AD355" s="52"/>
      <x:c r="AE355" s="52"/>
      <x:c r="AF355" s="52"/>
      <x:c r="AG355" s="52"/>
      <x:c r="AH355" s="52"/>
      <x:c r="AI355" s="52"/>
      <x:c r="AJ355" s="52"/>
    </x:row>
    <x:row r="356">
      <x:c r="A356" s="52"/>
      <x:c r="B356" s="52"/>
      <x:c r="C356" s="52"/>
      <x:c r="D356" s="52"/>
      <x:c r="E356" s="52"/>
      <x:c r="F356" s="52"/>
      <x:c r="G356" s="52"/>
      <x:c r="H356" s="52"/>
      <x:c r="I356" s="52"/>
      <x:c r="J356" s="52"/>
      <x:c r="K356" s="52"/>
      <x:c r="L356" s="55"/>
      <x:c r="M356" s="55"/>
      <x:c r="N356" s="55"/>
      <x:c r="O356" s="52"/>
      <x:c r="P356" s="52"/>
      <x:c r="Q356" s="52"/>
      <x:c r="R356" s="52"/>
      <x:c r="S356" s="52"/>
      <x:c r="T356" s="52"/>
      <x:c r="U356" s="52"/>
      <x:c r="V356" s="52"/>
      <x:c r="W356" s="52"/>
      <x:c r="X356" s="52"/>
      <x:c r="Y356" s="52"/>
      <x:c r="Z356" s="52"/>
      <x:c r="AA356" s="52"/>
      <x:c r="AB356" s="52"/>
      <x:c r="AC356" s="52"/>
      <x:c r="AD356" s="52"/>
      <x:c r="AE356" s="52"/>
      <x:c r="AF356" s="52"/>
      <x:c r="AG356" s="52"/>
      <x:c r="AH356" s="52"/>
      <x:c r="AI356" s="52"/>
      <x:c r="AJ356" s="52"/>
    </x:row>
    <x:row r="357">
      <x:c r="A357" s="52"/>
      <x:c r="B357" s="52"/>
      <x:c r="C357" s="52"/>
      <x:c r="D357" s="52"/>
      <x:c r="E357" s="52"/>
      <x:c r="F357" s="52"/>
      <x:c r="G357" s="52"/>
      <x:c r="H357" s="52"/>
      <x:c r="I357" s="52"/>
      <x:c r="J357" s="52"/>
      <x:c r="K357" s="52"/>
      <x:c r="L357" s="55"/>
      <x:c r="M357" s="55"/>
      <x:c r="N357" s="55"/>
      <x:c r="O357" s="52"/>
      <x:c r="P357" s="52"/>
      <x:c r="Q357" s="52"/>
      <x:c r="R357" s="52"/>
      <x:c r="S357" s="52"/>
      <x:c r="T357" s="52"/>
      <x:c r="U357" s="52"/>
      <x:c r="V357" s="52"/>
      <x:c r="W357" s="52"/>
      <x:c r="X357" s="52"/>
      <x:c r="Y357" s="52"/>
      <x:c r="Z357" s="52"/>
      <x:c r="AA357" s="52"/>
      <x:c r="AB357" s="52"/>
      <x:c r="AC357" s="52"/>
      <x:c r="AD357" s="52"/>
      <x:c r="AE357" s="52"/>
      <x:c r="AF357" s="52"/>
      <x:c r="AG357" s="52"/>
      <x:c r="AH357" s="52"/>
      <x:c r="AI357" s="52"/>
      <x:c r="AJ357" s="52"/>
    </x:row>
    <x:row r="358">
      <x:c r="A358" s="52"/>
      <x:c r="B358" s="52"/>
      <x:c r="C358" s="52"/>
      <x:c r="D358" s="52"/>
      <x:c r="E358" s="52"/>
      <x:c r="F358" s="52"/>
      <x:c r="G358" s="52"/>
      <x:c r="H358" s="52"/>
      <x:c r="I358" s="52"/>
      <x:c r="J358" s="52"/>
      <x:c r="K358" s="52"/>
      <x:c r="L358" s="55"/>
      <x:c r="M358" s="55"/>
      <x:c r="N358" s="55"/>
      <x:c r="O358" s="52"/>
      <x:c r="P358" s="52"/>
      <x:c r="Q358" s="52"/>
      <x:c r="R358" s="52"/>
      <x:c r="S358" s="52"/>
      <x:c r="T358" s="52"/>
      <x:c r="U358" s="52"/>
      <x:c r="V358" s="52"/>
      <x:c r="W358" s="52"/>
      <x:c r="X358" s="52"/>
      <x:c r="Y358" s="52"/>
      <x:c r="Z358" s="52"/>
      <x:c r="AA358" s="52"/>
      <x:c r="AB358" s="52"/>
      <x:c r="AC358" s="52"/>
      <x:c r="AD358" s="52"/>
      <x:c r="AE358" s="52"/>
      <x:c r="AF358" s="52"/>
      <x:c r="AG358" s="52"/>
      <x:c r="AH358" s="52"/>
      <x:c r="AI358" s="52"/>
      <x:c r="AJ358" s="52"/>
    </x:row>
    <x:row r="359">
      <x:c r="A359" s="52"/>
      <x:c r="B359" s="52"/>
      <x:c r="C359" s="52"/>
      <x:c r="D359" s="52"/>
      <x:c r="E359" s="52"/>
      <x:c r="F359" s="52"/>
      <x:c r="G359" s="52"/>
      <x:c r="H359" s="52"/>
      <x:c r="I359" s="52"/>
      <x:c r="J359" s="52"/>
      <x:c r="K359" s="52"/>
      <x:c r="L359" s="55"/>
      <x:c r="M359" s="55"/>
      <x:c r="N359" s="55"/>
      <x:c r="O359" s="52"/>
      <x:c r="P359" s="52"/>
      <x:c r="Q359" s="52"/>
      <x:c r="R359" s="52"/>
      <x:c r="S359" s="52"/>
      <x:c r="T359" s="52"/>
      <x:c r="U359" s="52"/>
      <x:c r="V359" s="52"/>
      <x:c r="W359" s="52"/>
      <x:c r="X359" s="52"/>
      <x:c r="Y359" s="52"/>
      <x:c r="Z359" s="52"/>
      <x:c r="AA359" s="52"/>
      <x:c r="AB359" s="52"/>
      <x:c r="AC359" s="52"/>
      <x:c r="AD359" s="52"/>
      <x:c r="AE359" s="52"/>
      <x:c r="AF359" s="52"/>
      <x:c r="AG359" s="52"/>
      <x:c r="AH359" s="52"/>
      <x:c r="AI359" s="52"/>
      <x:c r="AJ359" s="52"/>
    </x:row>
    <x:row r="360">
      <x:c r="A360" s="52"/>
      <x:c r="B360" s="52"/>
      <x:c r="C360" s="52"/>
      <x:c r="D360" s="52"/>
      <x:c r="E360" s="52"/>
      <x:c r="F360" s="52"/>
      <x:c r="G360" s="52"/>
      <x:c r="H360" s="52"/>
      <x:c r="I360" s="52"/>
      <x:c r="J360" s="52"/>
      <x:c r="K360" s="52"/>
      <x:c r="L360" s="55"/>
      <x:c r="M360" s="55"/>
      <x:c r="N360" s="55"/>
      <x:c r="O360" s="52"/>
      <x:c r="P360" s="52"/>
      <x:c r="Q360" s="52"/>
      <x:c r="R360" s="52"/>
      <x:c r="S360" s="52"/>
      <x:c r="T360" s="52"/>
      <x:c r="U360" s="52"/>
      <x:c r="V360" s="52"/>
      <x:c r="W360" s="52"/>
      <x:c r="X360" s="52"/>
      <x:c r="Y360" s="52"/>
      <x:c r="Z360" s="52"/>
      <x:c r="AA360" s="52"/>
      <x:c r="AB360" s="52"/>
      <x:c r="AC360" s="52"/>
      <x:c r="AD360" s="52"/>
      <x:c r="AE360" s="52"/>
      <x:c r="AF360" s="52"/>
      <x:c r="AG360" s="52"/>
      <x:c r="AH360" s="52"/>
      <x:c r="AI360" s="52"/>
      <x:c r="AJ360" s="52"/>
    </x:row>
    <x:row r="361">
      <x:c r="A361" s="52"/>
      <x:c r="B361" s="52"/>
      <x:c r="C361" s="52"/>
      <x:c r="D361" s="52"/>
      <x:c r="E361" s="52"/>
      <x:c r="F361" s="52"/>
      <x:c r="G361" s="52"/>
      <x:c r="H361" s="52"/>
      <x:c r="I361" s="52"/>
      <x:c r="J361" s="52"/>
      <x:c r="K361" s="52"/>
      <x:c r="L361" s="55"/>
      <x:c r="M361" s="55"/>
      <x:c r="N361" s="55"/>
      <x:c r="O361" s="52"/>
      <x:c r="P361" s="52"/>
      <x:c r="Q361" s="52"/>
      <x:c r="R361" s="52"/>
      <x:c r="S361" s="52"/>
      <x:c r="T361" s="52"/>
      <x:c r="U361" s="52"/>
      <x:c r="V361" s="52"/>
      <x:c r="W361" s="52"/>
      <x:c r="X361" s="52"/>
      <x:c r="Y361" s="52"/>
      <x:c r="Z361" s="52"/>
      <x:c r="AA361" s="52"/>
      <x:c r="AB361" s="52"/>
      <x:c r="AC361" s="52"/>
      <x:c r="AD361" s="52"/>
      <x:c r="AE361" s="52"/>
      <x:c r="AF361" s="52"/>
      <x:c r="AG361" s="52"/>
      <x:c r="AH361" s="52"/>
      <x:c r="AI361" s="52"/>
      <x:c r="AJ361" s="52"/>
    </x:row>
    <x:row r="362">
      <x:c r="A362" s="52"/>
      <x:c r="B362" s="52"/>
      <x:c r="C362" s="52"/>
      <x:c r="D362" s="52"/>
      <x:c r="E362" s="52"/>
      <x:c r="F362" s="52"/>
      <x:c r="G362" s="52"/>
      <x:c r="H362" s="52"/>
      <x:c r="I362" s="52"/>
      <x:c r="J362" s="52"/>
      <x:c r="K362" s="52"/>
      <x:c r="L362" s="55"/>
      <x:c r="M362" s="55"/>
      <x:c r="N362" s="55"/>
      <x:c r="O362" s="52"/>
      <x:c r="P362" s="52"/>
      <x:c r="Q362" s="52"/>
      <x:c r="R362" s="52"/>
      <x:c r="S362" s="52"/>
      <x:c r="T362" s="52"/>
      <x:c r="U362" s="52"/>
      <x:c r="V362" s="52"/>
      <x:c r="W362" s="52"/>
      <x:c r="X362" s="52"/>
      <x:c r="Y362" s="52"/>
      <x:c r="Z362" s="52"/>
      <x:c r="AA362" s="52"/>
      <x:c r="AB362" s="52"/>
      <x:c r="AC362" s="52"/>
      <x:c r="AD362" s="52"/>
      <x:c r="AE362" s="52"/>
      <x:c r="AF362" s="52"/>
      <x:c r="AG362" s="52"/>
      <x:c r="AH362" s="52"/>
      <x:c r="AI362" s="52"/>
      <x:c r="AJ362" s="52"/>
    </x:row>
    <x:row r="363">
      <x:c r="A363" s="52"/>
      <x:c r="B363" s="52"/>
      <x:c r="C363" s="52"/>
      <x:c r="D363" s="52"/>
      <x:c r="E363" s="52"/>
      <x:c r="F363" s="52"/>
      <x:c r="G363" s="52"/>
      <x:c r="H363" s="52"/>
      <x:c r="I363" s="52"/>
      <x:c r="J363" s="52"/>
      <x:c r="K363" s="52"/>
      <x:c r="L363" s="55"/>
      <x:c r="M363" s="55"/>
      <x:c r="N363" s="55"/>
      <x:c r="O363" s="52"/>
      <x:c r="P363" s="52"/>
      <x:c r="Q363" s="52"/>
      <x:c r="R363" s="52"/>
      <x:c r="S363" s="52"/>
      <x:c r="T363" s="52"/>
      <x:c r="U363" s="52"/>
      <x:c r="V363" s="52"/>
      <x:c r="W363" s="52"/>
      <x:c r="X363" s="52"/>
      <x:c r="Y363" s="52"/>
      <x:c r="Z363" s="52"/>
      <x:c r="AA363" s="52"/>
      <x:c r="AB363" s="52"/>
      <x:c r="AC363" s="52"/>
      <x:c r="AD363" s="52"/>
      <x:c r="AE363" s="52"/>
      <x:c r="AF363" s="52"/>
      <x:c r="AG363" s="52"/>
      <x:c r="AH363" s="52"/>
      <x:c r="AI363" s="52"/>
      <x:c r="AJ363" s="52"/>
    </x:row>
    <x:row r="364">
      <x:c r="A364" s="52"/>
      <x:c r="B364" s="52"/>
      <x:c r="C364" s="52"/>
      <x:c r="D364" s="52"/>
      <x:c r="E364" s="52"/>
      <x:c r="F364" s="52"/>
      <x:c r="G364" s="52"/>
      <x:c r="H364" s="52"/>
      <x:c r="I364" s="52"/>
      <x:c r="J364" s="52"/>
      <x:c r="K364" s="52"/>
      <x:c r="L364" s="55"/>
      <x:c r="M364" s="55"/>
      <x:c r="N364" s="55"/>
      <x:c r="O364" s="52"/>
      <x:c r="P364" s="52"/>
      <x:c r="Q364" s="52"/>
      <x:c r="R364" s="52"/>
      <x:c r="S364" s="52"/>
      <x:c r="T364" s="52"/>
      <x:c r="U364" s="52"/>
      <x:c r="V364" s="52"/>
      <x:c r="W364" s="52"/>
      <x:c r="X364" s="52"/>
      <x:c r="Y364" s="52"/>
      <x:c r="Z364" s="52"/>
      <x:c r="AA364" s="52"/>
      <x:c r="AB364" s="52"/>
      <x:c r="AC364" s="52"/>
      <x:c r="AD364" s="52"/>
      <x:c r="AE364" s="52"/>
      <x:c r="AF364" s="52"/>
      <x:c r="AG364" s="52"/>
      <x:c r="AH364" s="52"/>
      <x:c r="AI364" s="52"/>
      <x:c r="AJ364" s="52"/>
    </x:row>
    <x:row r="365">
      <x:c r="A365" s="52"/>
      <x:c r="B365" s="52"/>
      <x:c r="C365" s="52"/>
      <x:c r="D365" s="52"/>
      <x:c r="E365" s="52"/>
      <x:c r="F365" s="52"/>
      <x:c r="G365" s="52"/>
      <x:c r="H365" s="52"/>
      <x:c r="I365" s="52"/>
      <x:c r="J365" s="52"/>
      <x:c r="K365" s="52"/>
      <x:c r="L365" s="55"/>
      <x:c r="M365" s="55"/>
      <x:c r="N365" s="55"/>
      <x:c r="O365" s="52"/>
      <x:c r="P365" s="52"/>
      <x:c r="Q365" s="52"/>
      <x:c r="R365" s="52"/>
      <x:c r="S365" s="52"/>
      <x:c r="T365" s="52"/>
      <x:c r="U365" s="52"/>
      <x:c r="V365" s="52"/>
      <x:c r="W365" s="52"/>
      <x:c r="X365" s="52"/>
      <x:c r="Y365" s="52"/>
      <x:c r="Z365" s="52"/>
      <x:c r="AA365" s="52"/>
      <x:c r="AB365" s="52"/>
      <x:c r="AC365" s="52"/>
      <x:c r="AD365" s="52"/>
      <x:c r="AE365" s="52"/>
      <x:c r="AF365" s="52"/>
      <x:c r="AG365" s="52"/>
      <x:c r="AH365" s="52"/>
      <x:c r="AI365" s="52"/>
      <x:c r="AJ365" s="52"/>
    </x:row>
    <x:row r="366">
      <x:c r="A366" s="52"/>
      <x:c r="B366" s="52"/>
      <x:c r="C366" s="52"/>
      <x:c r="D366" s="52"/>
      <x:c r="E366" s="52"/>
      <x:c r="F366" s="52"/>
      <x:c r="G366" s="52"/>
      <x:c r="H366" s="52"/>
      <x:c r="I366" s="52"/>
      <x:c r="J366" s="52"/>
      <x:c r="K366" s="52"/>
      <x:c r="L366" s="55"/>
      <x:c r="M366" s="55"/>
      <x:c r="N366" s="55"/>
      <x:c r="O366" s="52"/>
      <x:c r="P366" s="52"/>
      <x:c r="Q366" s="52"/>
      <x:c r="R366" s="52"/>
      <x:c r="S366" s="52"/>
      <x:c r="T366" s="52"/>
      <x:c r="U366" s="52"/>
      <x:c r="V366" s="52"/>
      <x:c r="W366" s="52"/>
      <x:c r="X366" s="52"/>
      <x:c r="Y366" s="52"/>
      <x:c r="Z366" s="52"/>
      <x:c r="AA366" s="52"/>
      <x:c r="AB366" s="52"/>
      <x:c r="AC366" s="52"/>
      <x:c r="AD366" s="52"/>
      <x:c r="AE366" s="52"/>
      <x:c r="AF366" s="52"/>
      <x:c r="AG366" s="52"/>
      <x:c r="AH366" s="52"/>
      <x:c r="AI366" s="52"/>
      <x:c r="AJ366" s="52"/>
    </x:row>
    <x:row r="367">
      <x:c r="A367" s="52"/>
      <x:c r="B367" s="52"/>
      <x:c r="C367" s="52"/>
      <x:c r="D367" s="52"/>
      <x:c r="E367" s="52"/>
      <x:c r="F367" s="52"/>
      <x:c r="G367" s="52"/>
      <x:c r="H367" s="52"/>
      <x:c r="I367" s="52"/>
      <x:c r="J367" s="52"/>
      <x:c r="K367" s="52"/>
      <x:c r="L367" s="55"/>
      <x:c r="M367" s="55"/>
      <x:c r="N367" s="55"/>
      <x:c r="O367" s="52"/>
      <x:c r="P367" s="52"/>
      <x:c r="Q367" s="52"/>
      <x:c r="R367" s="52"/>
      <x:c r="S367" s="52"/>
      <x:c r="T367" s="52"/>
      <x:c r="U367" s="52"/>
      <x:c r="V367" s="52"/>
      <x:c r="W367" s="52"/>
      <x:c r="X367" s="52"/>
      <x:c r="Y367" s="52"/>
      <x:c r="Z367" s="52"/>
      <x:c r="AA367" s="52"/>
      <x:c r="AB367" s="52"/>
      <x:c r="AC367" s="52"/>
      <x:c r="AD367" s="52"/>
      <x:c r="AE367" s="52"/>
      <x:c r="AF367" s="52"/>
      <x:c r="AG367" s="52"/>
      <x:c r="AH367" s="52"/>
      <x:c r="AI367" s="52"/>
      <x:c r="AJ367" s="52"/>
    </x:row>
    <x:row r="368">
      <x:c r="A368" s="52"/>
      <x:c r="B368" s="52"/>
      <x:c r="C368" s="52"/>
      <x:c r="D368" s="52"/>
      <x:c r="E368" s="52"/>
      <x:c r="F368" s="52"/>
      <x:c r="G368" s="52"/>
      <x:c r="H368" s="52"/>
      <x:c r="I368" s="52"/>
      <x:c r="J368" s="52"/>
      <x:c r="K368" s="52"/>
      <x:c r="L368" s="55"/>
      <x:c r="M368" s="55"/>
      <x:c r="N368" s="55"/>
      <x:c r="O368" s="52"/>
      <x:c r="P368" s="52"/>
      <x:c r="Q368" s="52"/>
      <x:c r="R368" s="52"/>
      <x:c r="S368" s="52"/>
      <x:c r="T368" s="52"/>
      <x:c r="U368" s="52"/>
      <x:c r="V368" s="52"/>
      <x:c r="W368" s="52"/>
      <x:c r="X368" s="52"/>
      <x:c r="Y368" s="52"/>
      <x:c r="Z368" s="52"/>
      <x:c r="AA368" s="52"/>
      <x:c r="AB368" s="52"/>
      <x:c r="AC368" s="52"/>
      <x:c r="AD368" s="52"/>
      <x:c r="AE368" s="52"/>
      <x:c r="AF368" s="52"/>
      <x:c r="AG368" s="52"/>
      <x:c r="AH368" s="52"/>
      <x:c r="AI368" s="52"/>
      <x:c r="AJ368" s="52"/>
    </x:row>
    <x:row r="369">
      <x:c r="A369" s="52"/>
      <x:c r="B369" s="52"/>
      <x:c r="C369" s="52"/>
      <x:c r="D369" s="52"/>
      <x:c r="E369" s="52"/>
      <x:c r="F369" s="52"/>
      <x:c r="G369" s="52"/>
      <x:c r="H369" s="52"/>
      <x:c r="I369" s="52"/>
      <x:c r="J369" s="52"/>
      <x:c r="K369" s="52"/>
      <x:c r="L369" s="55"/>
      <x:c r="M369" s="55"/>
      <x:c r="N369" s="55"/>
      <x:c r="O369" s="52"/>
      <x:c r="P369" s="52"/>
      <x:c r="Q369" s="52"/>
      <x:c r="R369" s="52"/>
      <x:c r="S369" s="52"/>
      <x:c r="T369" s="52"/>
      <x:c r="U369" s="52"/>
      <x:c r="V369" s="52"/>
      <x:c r="W369" s="52"/>
      <x:c r="X369" s="52"/>
      <x:c r="Y369" s="52"/>
      <x:c r="Z369" s="52"/>
      <x:c r="AA369" s="52"/>
      <x:c r="AB369" s="52"/>
      <x:c r="AC369" s="52"/>
      <x:c r="AD369" s="52"/>
      <x:c r="AE369" s="52"/>
      <x:c r="AF369" s="52"/>
      <x:c r="AG369" s="52"/>
      <x:c r="AH369" s="52"/>
      <x:c r="AI369" s="52"/>
      <x:c r="AJ369" s="52"/>
    </x:row>
    <x:row r="370">
      <x:c r="A370" s="52"/>
      <x:c r="B370" s="52"/>
      <x:c r="C370" s="52"/>
      <x:c r="D370" s="52"/>
      <x:c r="E370" s="52"/>
      <x:c r="F370" s="52"/>
      <x:c r="G370" s="52"/>
      <x:c r="H370" s="52"/>
      <x:c r="I370" s="52"/>
      <x:c r="J370" s="52"/>
      <x:c r="K370" s="52"/>
      <x:c r="L370" s="55"/>
      <x:c r="M370" s="55"/>
      <x:c r="N370" s="55"/>
      <x:c r="O370" s="52"/>
      <x:c r="P370" s="52"/>
      <x:c r="Q370" s="52"/>
      <x:c r="R370" s="52"/>
      <x:c r="S370" s="52"/>
      <x:c r="T370" s="52"/>
      <x:c r="U370" s="52"/>
      <x:c r="V370" s="52"/>
      <x:c r="W370" s="52"/>
      <x:c r="X370" s="52"/>
      <x:c r="Y370" s="52"/>
      <x:c r="Z370" s="52"/>
      <x:c r="AA370" s="52"/>
      <x:c r="AB370" s="52"/>
      <x:c r="AC370" s="52"/>
      <x:c r="AD370" s="52"/>
      <x:c r="AE370" s="52"/>
      <x:c r="AF370" s="52"/>
      <x:c r="AG370" s="52"/>
      <x:c r="AH370" s="52"/>
      <x:c r="AI370" s="52"/>
      <x:c r="AJ370" s="52"/>
    </x:row>
    <x:row r="371">
      <x:c r="A371" s="52"/>
      <x:c r="B371" s="52"/>
      <x:c r="C371" s="52"/>
      <x:c r="D371" s="52"/>
      <x:c r="E371" s="52"/>
      <x:c r="F371" s="52"/>
      <x:c r="G371" s="52"/>
      <x:c r="H371" s="52"/>
      <x:c r="I371" s="52"/>
      <x:c r="J371" s="52"/>
      <x:c r="K371" s="52"/>
      <x:c r="L371" s="55"/>
      <x:c r="M371" s="55"/>
      <x:c r="N371" s="55"/>
      <x:c r="O371" s="52"/>
      <x:c r="P371" s="52"/>
      <x:c r="Q371" s="52"/>
      <x:c r="R371" s="52"/>
      <x:c r="S371" s="52"/>
      <x:c r="T371" s="52"/>
      <x:c r="U371" s="52"/>
      <x:c r="V371" s="52"/>
      <x:c r="W371" s="52"/>
      <x:c r="X371" s="52"/>
      <x:c r="Y371" s="52"/>
      <x:c r="Z371" s="52"/>
      <x:c r="AA371" s="52"/>
      <x:c r="AB371" s="52"/>
      <x:c r="AC371" s="52"/>
      <x:c r="AD371" s="52"/>
      <x:c r="AE371" s="52"/>
      <x:c r="AF371" s="52"/>
      <x:c r="AG371" s="52"/>
      <x:c r="AH371" s="52"/>
      <x:c r="AI371" s="52"/>
      <x:c r="AJ371" s="52"/>
    </x:row>
    <x:row r="372">
      <x:c r="A372" s="52"/>
      <x:c r="B372" s="52"/>
      <x:c r="C372" s="52"/>
      <x:c r="D372" s="52"/>
      <x:c r="E372" s="52"/>
      <x:c r="F372" s="52"/>
      <x:c r="G372" s="52"/>
      <x:c r="H372" s="52"/>
      <x:c r="I372" s="52"/>
      <x:c r="J372" s="52"/>
      <x:c r="K372" s="52"/>
      <x:c r="L372" s="55"/>
      <x:c r="M372" s="55"/>
      <x:c r="N372" s="55"/>
      <x:c r="O372" s="52"/>
      <x:c r="P372" s="52"/>
      <x:c r="Q372" s="52"/>
      <x:c r="R372" s="52"/>
      <x:c r="S372" s="52"/>
      <x:c r="T372" s="52"/>
      <x:c r="U372" s="52"/>
      <x:c r="V372" s="52"/>
      <x:c r="W372" s="52"/>
      <x:c r="X372" s="52"/>
      <x:c r="Y372" s="52"/>
      <x:c r="Z372" s="52"/>
      <x:c r="AA372" s="52"/>
      <x:c r="AB372" s="52"/>
      <x:c r="AC372" s="52"/>
      <x:c r="AD372" s="52"/>
      <x:c r="AE372" s="52"/>
      <x:c r="AF372" s="52"/>
      <x:c r="AG372" s="52"/>
      <x:c r="AH372" s="52"/>
      <x:c r="AI372" s="52"/>
      <x:c r="AJ372" s="52"/>
    </x:row>
    <x:row r="373">
      <x:c r="A373" s="52"/>
      <x:c r="B373" s="52"/>
      <x:c r="C373" s="52"/>
      <x:c r="D373" s="52"/>
      <x:c r="E373" s="52"/>
      <x:c r="F373" s="52"/>
      <x:c r="G373" s="52"/>
      <x:c r="H373" s="52"/>
      <x:c r="I373" s="52"/>
      <x:c r="J373" s="52"/>
      <x:c r="K373" s="52"/>
      <x:c r="L373" s="55"/>
      <x:c r="M373" s="55"/>
      <x:c r="N373" s="55"/>
      <x:c r="O373" s="52"/>
      <x:c r="P373" s="52"/>
      <x:c r="Q373" s="52"/>
      <x:c r="R373" s="52"/>
      <x:c r="S373" s="52"/>
      <x:c r="T373" s="52"/>
      <x:c r="U373" s="52"/>
      <x:c r="V373" s="52"/>
      <x:c r="W373" s="52"/>
      <x:c r="X373" s="52"/>
      <x:c r="Y373" s="52"/>
      <x:c r="Z373" s="52"/>
      <x:c r="AA373" s="52"/>
      <x:c r="AB373" s="52"/>
      <x:c r="AC373" s="52"/>
      <x:c r="AD373" s="52"/>
      <x:c r="AE373" s="52"/>
      <x:c r="AF373" s="52"/>
      <x:c r="AG373" s="52"/>
      <x:c r="AH373" s="52"/>
      <x:c r="AI373" s="52"/>
      <x:c r="AJ373" s="52"/>
    </x:row>
    <x:row r="374">
      <x:c r="A374" s="52"/>
      <x:c r="B374" s="52"/>
      <x:c r="C374" s="52"/>
      <x:c r="D374" s="52"/>
      <x:c r="E374" s="52"/>
      <x:c r="F374" s="52"/>
      <x:c r="G374" s="52"/>
      <x:c r="H374" s="52"/>
      <x:c r="I374" s="52"/>
      <x:c r="J374" s="52"/>
      <x:c r="K374" s="52"/>
      <x:c r="L374" s="55"/>
      <x:c r="M374" s="55"/>
      <x:c r="N374" s="55"/>
      <x:c r="O374" s="52"/>
      <x:c r="P374" s="52"/>
      <x:c r="Q374" s="52"/>
      <x:c r="R374" s="52"/>
      <x:c r="S374" s="52"/>
      <x:c r="T374" s="52"/>
      <x:c r="U374" s="52"/>
      <x:c r="V374" s="52"/>
      <x:c r="W374" s="52"/>
      <x:c r="X374" s="52"/>
      <x:c r="Y374" s="52"/>
      <x:c r="Z374" s="52"/>
      <x:c r="AA374" s="52"/>
      <x:c r="AB374" s="52"/>
      <x:c r="AC374" s="52"/>
      <x:c r="AD374" s="52"/>
      <x:c r="AE374" s="52"/>
      <x:c r="AF374" s="52"/>
      <x:c r="AG374" s="52"/>
      <x:c r="AH374" s="52"/>
      <x:c r="AI374" s="52"/>
      <x:c r="AJ374" s="52"/>
    </x:row>
    <x:row r="375">
      <x:c r="A375" s="52"/>
      <x:c r="B375" s="52"/>
      <x:c r="C375" s="52"/>
      <x:c r="D375" s="52"/>
      <x:c r="E375" s="52"/>
      <x:c r="F375" s="52"/>
      <x:c r="G375" s="52"/>
      <x:c r="H375" s="52"/>
      <x:c r="I375" s="52"/>
      <x:c r="J375" s="52"/>
      <x:c r="K375" s="52"/>
      <x:c r="L375" s="55"/>
      <x:c r="M375" s="55"/>
      <x:c r="N375" s="55"/>
      <x:c r="O375" s="52"/>
      <x:c r="P375" s="52"/>
      <x:c r="Q375" s="52"/>
      <x:c r="R375" s="52"/>
      <x:c r="S375" s="52"/>
      <x:c r="T375" s="52"/>
      <x:c r="U375" s="52"/>
      <x:c r="V375" s="52"/>
      <x:c r="W375" s="52"/>
      <x:c r="X375" s="52"/>
      <x:c r="Y375" s="52"/>
      <x:c r="Z375" s="52"/>
      <x:c r="AA375" s="52"/>
      <x:c r="AB375" s="52"/>
      <x:c r="AC375" s="52"/>
      <x:c r="AD375" s="52"/>
      <x:c r="AE375" s="52"/>
      <x:c r="AF375" s="52"/>
      <x:c r="AG375" s="52"/>
      <x:c r="AH375" s="52"/>
      <x:c r="AI375" s="52"/>
      <x:c r="AJ375" s="52"/>
    </x:row>
    <x:row r="376">
      <x:c r="A376" s="52"/>
      <x:c r="B376" s="52"/>
      <x:c r="C376" s="52"/>
      <x:c r="D376" s="52"/>
      <x:c r="E376" s="52"/>
      <x:c r="F376" s="52"/>
      <x:c r="G376" s="52"/>
      <x:c r="H376" s="52"/>
      <x:c r="I376" s="52"/>
      <x:c r="J376" s="52"/>
      <x:c r="K376" s="52"/>
      <x:c r="L376" s="55"/>
      <x:c r="M376" s="55"/>
      <x:c r="N376" s="55"/>
      <x:c r="O376" s="52"/>
      <x:c r="P376" s="52"/>
      <x:c r="Q376" s="52"/>
      <x:c r="R376" s="52"/>
      <x:c r="S376" s="52"/>
      <x:c r="T376" s="52"/>
      <x:c r="U376" s="52"/>
      <x:c r="V376" s="52"/>
      <x:c r="W376" s="52"/>
      <x:c r="X376" s="52"/>
      <x:c r="Y376" s="52"/>
      <x:c r="Z376" s="52"/>
      <x:c r="AA376" s="52"/>
      <x:c r="AB376" s="52"/>
      <x:c r="AC376" s="52"/>
      <x:c r="AD376" s="52"/>
      <x:c r="AE376" s="52"/>
      <x:c r="AF376" s="52"/>
      <x:c r="AG376" s="52"/>
      <x:c r="AH376" s="52"/>
      <x:c r="AI376" s="52"/>
      <x:c r="AJ376" s="52"/>
    </x:row>
    <x:row r="377">
      <x:c r="A377" s="52"/>
      <x:c r="B377" s="52"/>
      <x:c r="C377" s="52"/>
      <x:c r="D377" s="52"/>
      <x:c r="E377" s="52"/>
      <x:c r="F377" s="52"/>
      <x:c r="G377" s="52"/>
      <x:c r="H377" s="52"/>
      <x:c r="I377" s="52"/>
      <x:c r="J377" s="52"/>
      <x:c r="K377" s="52"/>
      <x:c r="L377" s="55"/>
      <x:c r="M377" s="55"/>
      <x:c r="N377" s="55"/>
      <x:c r="O377" s="52"/>
      <x:c r="P377" s="52"/>
      <x:c r="Q377" s="52"/>
      <x:c r="R377" s="52"/>
      <x:c r="S377" s="52"/>
      <x:c r="T377" s="52"/>
      <x:c r="U377" s="52"/>
      <x:c r="V377" s="52"/>
      <x:c r="W377" s="52"/>
      <x:c r="X377" s="52"/>
      <x:c r="Y377" s="52"/>
      <x:c r="Z377" s="52"/>
      <x:c r="AA377" s="52"/>
      <x:c r="AB377" s="52"/>
      <x:c r="AC377" s="52"/>
      <x:c r="AD377" s="52"/>
      <x:c r="AE377" s="52"/>
      <x:c r="AF377" s="52"/>
      <x:c r="AG377" s="52"/>
      <x:c r="AH377" s="52"/>
      <x:c r="AI377" s="52"/>
      <x:c r="AJ377" s="52"/>
    </x:row>
    <x:row r="378">
      <x:c r="A378" s="52"/>
      <x:c r="B378" s="52"/>
      <x:c r="C378" s="52"/>
      <x:c r="D378" s="52"/>
      <x:c r="E378" s="52"/>
      <x:c r="F378" s="52"/>
      <x:c r="G378" s="52"/>
      <x:c r="H378" s="52"/>
      <x:c r="I378" s="52"/>
      <x:c r="J378" s="52"/>
      <x:c r="K378" s="52"/>
      <x:c r="L378" s="55"/>
      <x:c r="M378" s="55"/>
      <x:c r="N378" s="55"/>
      <x:c r="O378" s="52"/>
      <x:c r="P378" s="52"/>
      <x:c r="Q378" s="52"/>
      <x:c r="R378" s="52"/>
      <x:c r="S378" s="52"/>
      <x:c r="T378" s="52"/>
      <x:c r="U378" s="52"/>
      <x:c r="V378" s="52"/>
      <x:c r="W378" s="52"/>
      <x:c r="X378" s="52"/>
      <x:c r="Y378" s="52"/>
      <x:c r="Z378" s="52"/>
      <x:c r="AA378" s="52"/>
      <x:c r="AB378" s="52"/>
      <x:c r="AC378" s="52"/>
      <x:c r="AD378" s="52"/>
      <x:c r="AE378" s="52"/>
      <x:c r="AF378" s="52"/>
      <x:c r="AG378" s="52"/>
      <x:c r="AH378" s="52"/>
      <x:c r="AI378" s="52"/>
      <x:c r="AJ378" s="52"/>
    </x:row>
    <x:row r="379">
      <x:c r="A379" s="52"/>
      <x:c r="B379" s="52"/>
      <x:c r="C379" s="52"/>
      <x:c r="D379" s="52"/>
      <x:c r="E379" s="52"/>
      <x:c r="F379" s="52"/>
      <x:c r="G379" s="52"/>
      <x:c r="H379" s="52"/>
      <x:c r="I379" s="52"/>
      <x:c r="J379" s="52"/>
      <x:c r="K379" s="52"/>
      <x:c r="L379" s="55"/>
      <x:c r="M379" s="55"/>
      <x:c r="N379" s="55"/>
      <x:c r="O379" s="52"/>
      <x:c r="P379" s="52"/>
      <x:c r="Q379" s="52"/>
      <x:c r="R379" s="52"/>
      <x:c r="S379" s="52"/>
      <x:c r="T379" s="52"/>
      <x:c r="U379" s="52"/>
      <x:c r="V379" s="52"/>
      <x:c r="W379" s="52"/>
      <x:c r="X379" s="52"/>
      <x:c r="Y379" s="52"/>
      <x:c r="Z379" s="52"/>
      <x:c r="AA379" s="52"/>
      <x:c r="AB379" s="52"/>
      <x:c r="AC379" s="52"/>
      <x:c r="AD379" s="52"/>
      <x:c r="AE379" s="52"/>
      <x:c r="AF379" s="52"/>
      <x:c r="AG379" s="52"/>
      <x:c r="AH379" s="52"/>
      <x:c r="AI379" s="52"/>
      <x:c r="AJ379" s="52"/>
    </x:row>
    <x:row r="380">
      <x:c r="A380" s="52"/>
      <x:c r="B380" s="52"/>
      <x:c r="C380" s="52"/>
      <x:c r="D380" s="52"/>
      <x:c r="E380" s="52"/>
      <x:c r="F380" s="52"/>
      <x:c r="G380" s="52"/>
      <x:c r="H380" s="52"/>
      <x:c r="I380" s="52"/>
      <x:c r="J380" s="52"/>
      <x:c r="K380" s="52"/>
      <x:c r="L380" s="55"/>
      <x:c r="M380" s="55"/>
      <x:c r="N380" s="55"/>
      <x:c r="O380" s="52"/>
      <x:c r="P380" s="52"/>
      <x:c r="Q380" s="52"/>
      <x:c r="R380" s="52"/>
      <x:c r="S380" s="52"/>
      <x:c r="T380" s="52"/>
      <x:c r="U380" s="52"/>
      <x:c r="V380" s="52"/>
      <x:c r="W380" s="52"/>
      <x:c r="X380" s="52"/>
      <x:c r="Y380" s="52"/>
      <x:c r="Z380" s="52"/>
      <x:c r="AA380" s="52"/>
      <x:c r="AB380" s="52"/>
      <x:c r="AC380" s="52"/>
      <x:c r="AD380" s="52"/>
      <x:c r="AE380" s="52"/>
      <x:c r="AF380" s="52"/>
      <x:c r="AG380" s="52"/>
      <x:c r="AH380" s="52"/>
      <x:c r="AI380" s="52"/>
      <x:c r="AJ380" s="52"/>
    </x:row>
    <x:row r="381">
      <x:c r="A381" s="52"/>
      <x:c r="B381" s="52"/>
      <x:c r="C381" s="52"/>
      <x:c r="D381" s="52"/>
      <x:c r="E381" s="52"/>
      <x:c r="F381" s="52"/>
      <x:c r="G381" s="52"/>
      <x:c r="H381" s="52"/>
      <x:c r="I381" s="52"/>
      <x:c r="J381" s="52"/>
      <x:c r="K381" s="52"/>
      <x:c r="L381" s="55"/>
      <x:c r="M381" s="55"/>
      <x:c r="N381" s="55"/>
      <x:c r="O381" s="52"/>
      <x:c r="P381" s="52"/>
      <x:c r="Q381" s="52"/>
      <x:c r="R381" s="52"/>
      <x:c r="S381" s="52"/>
      <x:c r="T381" s="52"/>
      <x:c r="U381" s="52"/>
      <x:c r="V381" s="52"/>
      <x:c r="W381" s="52"/>
      <x:c r="X381" s="52"/>
      <x:c r="Y381" s="52"/>
      <x:c r="Z381" s="52"/>
      <x:c r="AA381" s="52"/>
      <x:c r="AB381" s="52"/>
      <x:c r="AC381" s="52"/>
      <x:c r="AD381" s="52"/>
      <x:c r="AE381" s="52"/>
      <x:c r="AF381" s="52"/>
      <x:c r="AG381" s="52"/>
      <x:c r="AH381" s="52"/>
      <x:c r="AI381" s="52"/>
      <x:c r="AJ381" s="52"/>
    </x:row>
    <x:row r="382">
      <x:c r="A382" s="52"/>
      <x:c r="B382" s="52"/>
      <x:c r="C382" s="52"/>
      <x:c r="D382" s="52"/>
      <x:c r="E382" s="52"/>
      <x:c r="F382" s="52"/>
      <x:c r="G382" s="52"/>
      <x:c r="H382" s="52"/>
      <x:c r="I382" s="52"/>
      <x:c r="J382" s="52"/>
      <x:c r="K382" s="52"/>
      <x:c r="L382" s="55"/>
      <x:c r="M382" s="55"/>
      <x:c r="N382" s="55"/>
      <x:c r="O382" s="52"/>
      <x:c r="P382" s="52"/>
      <x:c r="Q382" s="52"/>
      <x:c r="R382" s="52"/>
      <x:c r="S382" s="52"/>
      <x:c r="T382" s="52"/>
      <x:c r="U382" s="52"/>
      <x:c r="V382" s="52"/>
      <x:c r="W382" s="52"/>
      <x:c r="X382" s="52"/>
      <x:c r="Y382" s="52"/>
      <x:c r="Z382" s="52"/>
      <x:c r="AA382" s="52"/>
      <x:c r="AB382" s="52"/>
      <x:c r="AC382" s="52"/>
      <x:c r="AD382" s="52"/>
      <x:c r="AE382" s="52"/>
      <x:c r="AF382" s="52"/>
      <x:c r="AG382" s="52"/>
      <x:c r="AH382" s="52"/>
      <x:c r="AI382" s="52"/>
      <x:c r="AJ382" s="52"/>
    </x:row>
    <x:row r="383">
      <x:c r="A383" s="52"/>
      <x:c r="B383" s="52"/>
      <x:c r="C383" s="52"/>
      <x:c r="D383" s="52"/>
      <x:c r="E383" s="52"/>
      <x:c r="F383" s="52"/>
      <x:c r="G383" s="52"/>
      <x:c r="H383" s="52"/>
      <x:c r="I383" s="52"/>
      <x:c r="J383" s="52"/>
      <x:c r="K383" s="52"/>
      <x:c r="L383" s="55"/>
      <x:c r="M383" s="55"/>
      <x:c r="N383" s="55"/>
      <x:c r="O383" s="52"/>
      <x:c r="P383" s="52"/>
      <x:c r="Q383" s="52"/>
      <x:c r="R383" s="52"/>
      <x:c r="S383" s="52"/>
      <x:c r="T383" s="52"/>
      <x:c r="U383" s="52"/>
      <x:c r="V383" s="52"/>
      <x:c r="W383" s="52"/>
      <x:c r="X383" s="52"/>
      <x:c r="Y383" s="52"/>
      <x:c r="Z383" s="52"/>
      <x:c r="AA383" s="52"/>
      <x:c r="AB383" s="52"/>
      <x:c r="AC383" s="52"/>
      <x:c r="AD383" s="52"/>
      <x:c r="AE383" s="52"/>
      <x:c r="AF383" s="52"/>
      <x:c r="AG383" s="52"/>
      <x:c r="AH383" s="52"/>
      <x:c r="AI383" s="52"/>
      <x:c r="AJ383" s="52"/>
    </x:row>
    <x:row r="384">
      <x:c r="A384" s="52"/>
      <x:c r="B384" s="52"/>
      <x:c r="C384" s="52"/>
      <x:c r="D384" s="52"/>
      <x:c r="E384" s="52"/>
      <x:c r="F384" s="52"/>
      <x:c r="G384" s="52"/>
      <x:c r="H384" s="52"/>
      <x:c r="I384" s="52"/>
      <x:c r="J384" s="52"/>
      <x:c r="K384" s="52"/>
      <x:c r="L384" s="55"/>
      <x:c r="M384" s="55"/>
      <x:c r="N384" s="55"/>
      <x:c r="O384" s="52"/>
      <x:c r="P384" s="52"/>
      <x:c r="Q384" s="52"/>
      <x:c r="R384" s="52"/>
      <x:c r="S384" s="52"/>
      <x:c r="T384" s="52"/>
      <x:c r="U384" s="52"/>
      <x:c r="V384" s="52"/>
      <x:c r="W384" s="52"/>
      <x:c r="X384" s="52"/>
      <x:c r="Y384" s="52"/>
      <x:c r="Z384" s="52"/>
      <x:c r="AA384" s="52"/>
      <x:c r="AB384" s="52"/>
      <x:c r="AC384" s="52"/>
      <x:c r="AD384" s="52"/>
      <x:c r="AE384" s="52"/>
      <x:c r="AF384" s="52"/>
      <x:c r="AG384" s="52"/>
      <x:c r="AH384" s="52"/>
      <x:c r="AI384" s="52"/>
      <x:c r="AJ384" s="52"/>
    </x:row>
    <x:row r="385">
      <x:c r="A385" s="52"/>
      <x:c r="B385" s="52"/>
      <x:c r="C385" s="52"/>
      <x:c r="D385" s="52"/>
      <x:c r="E385" s="52"/>
      <x:c r="F385" s="52"/>
      <x:c r="G385" s="52"/>
      <x:c r="H385" s="52"/>
      <x:c r="I385" s="52"/>
      <x:c r="J385" s="52"/>
      <x:c r="K385" s="52"/>
      <x:c r="L385" s="55"/>
      <x:c r="M385" s="55"/>
      <x:c r="N385" s="55"/>
      <x:c r="O385" s="52"/>
      <x:c r="P385" s="52"/>
      <x:c r="Q385" s="52"/>
      <x:c r="R385" s="52"/>
      <x:c r="S385" s="52"/>
      <x:c r="T385" s="52"/>
      <x:c r="U385" s="52"/>
      <x:c r="V385" s="52"/>
      <x:c r="W385" s="52"/>
      <x:c r="X385" s="52"/>
      <x:c r="Y385" s="52"/>
      <x:c r="Z385" s="52"/>
      <x:c r="AA385" s="52"/>
      <x:c r="AB385" s="52"/>
      <x:c r="AC385" s="52"/>
      <x:c r="AD385" s="52"/>
      <x:c r="AE385" s="52"/>
      <x:c r="AF385" s="52"/>
      <x:c r="AG385" s="52"/>
      <x:c r="AH385" s="52"/>
      <x:c r="AI385" s="52"/>
      <x:c r="AJ385" s="52"/>
    </x:row>
    <x:row r="386">
      <x:c r="A386" s="52"/>
      <x:c r="B386" s="52"/>
      <x:c r="C386" s="52"/>
      <x:c r="D386" s="52"/>
      <x:c r="E386" s="52"/>
      <x:c r="F386" s="52"/>
      <x:c r="G386" s="52"/>
      <x:c r="H386" s="52"/>
      <x:c r="I386" s="52"/>
      <x:c r="J386" s="52"/>
      <x:c r="K386" s="52"/>
      <x:c r="L386" s="55"/>
      <x:c r="M386" s="55"/>
      <x:c r="N386" s="55"/>
      <x:c r="O386" s="52"/>
      <x:c r="P386" s="52"/>
      <x:c r="Q386" s="52"/>
      <x:c r="R386" s="52"/>
      <x:c r="S386" s="52"/>
      <x:c r="T386" s="52"/>
      <x:c r="U386" s="52"/>
      <x:c r="V386" s="52"/>
      <x:c r="W386" s="52"/>
      <x:c r="X386" s="52"/>
      <x:c r="Y386" s="52"/>
      <x:c r="Z386" s="52"/>
      <x:c r="AA386" s="52"/>
      <x:c r="AB386" s="52"/>
      <x:c r="AC386" s="52"/>
      <x:c r="AD386" s="52"/>
      <x:c r="AE386" s="52"/>
      <x:c r="AF386" s="52"/>
      <x:c r="AG386" s="52"/>
      <x:c r="AH386" s="52"/>
      <x:c r="AI386" s="52"/>
      <x:c r="AJ386" s="52"/>
    </x:row>
    <x:row r="387">
      <x:c r="A387" s="52"/>
      <x:c r="B387" s="52"/>
      <x:c r="C387" s="52"/>
      <x:c r="D387" s="52"/>
      <x:c r="E387" s="52"/>
      <x:c r="F387" s="52"/>
      <x:c r="G387" s="52"/>
      <x:c r="H387" s="52"/>
      <x:c r="I387" s="52"/>
      <x:c r="J387" s="52"/>
      <x:c r="K387" s="52"/>
      <x:c r="L387" s="55"/>
      <x:c r="M387" s="55"/>
      <x:c r="N387" s="55"/>
      <x:c r="O387" s="52"/>
      <x:c r="P387" s="52"/>
      <x:c r="Q387" s="52"/>
      <x:c r="R387" s="52"/>
      <x:c r="S387" s="52"/>
      <x:c r="T387" s="52"/>
      <x:c r="U387" s="52"/>
      <x:c r="V387" s="52"/>
      <x:c r="W387" s="52"/>
      <x:c r="X387" s="52"/>
      <x:c r="Y387" s="52"/>
      <x:c r="Z387" s="52"/>
      <x:c r="AA387" s="52"/>
      <x:c r="AB387" s="52"/>
      <x:c r="AC387" s="52"/>
      <x:c r="AD387" s="52"/>
      <x:c r="AE387" s="52"/>
      <x:c r="AF387" s="52"/>
      <x:c r="AG387" s="52"/>
      <x:c r="AH387" s="52"/>
      <x:c r="AI387" s="52"/>
      <x:c r="AJ387" s="52"/>
    </x:row>
    <x:row r="388">
      <x:c r="A388" s="52"/>
      <x:c r="B388" s="52"/>
      <x:c r="C388" s="52"/>
      <x:c r="D388" s="52"/>
      <x:c r="E388" s="52"/>
      <x:c r="F388" s="52"/>
      <x:c r="G388" s="52"/>
      <x:c r="H388" s="52"/>
      <x:c r="I388" s="52"/>
      <x:c r="J388" s="52"/>
      <x:c r="K388" s="52"/>
      <x:c r="L388" s="55"/>
      <x:c r="M388" s="55"/>
      <x:c r="N388" s="55"/>
      <x:c r="O388" s="52"/>
      <x:c r="P388" s="52"/>
      <x:c r="Q388" s="52"/>
      <x:c r="R388" s="52"/>
      <x:c r="S388" s="52"/>
      <x:c r="T388" s="52"/>
      <x:c r="U388" s="52"/>
      <x:c r="V388" s="52"/>
      <x:c r="W388" s="52"/>
      <x:c r="X388" s="52"/>
      <x:c r="Y388" s="52"/>
      <x:c r="Z388" s="52"/>
      <x:c r="AA388" s="52"/>
      <x:c r="AB388" s="52"/>
      <x:c r="AC388" s="52"/>
      <x:c r="AD388" s="52"/>
      <x:c r="AE388" s="52"/>
      <x:c r="AF388" s="52"/>
      <x:c r="AG388" s="52"/>
      <x:c r="AH388" s="52"/>
      <x:c r="AI388" s="52"/>
      <x:c r="AJ388" s="52"/>
    </x:row>
    <x:row r="389">
      <x:c r="A389" s="52"/>
      <x:c r="B389" s="52"/>
      <x:c r="C389" s="52"/>
      <x:c r="D389" s="52"/>
      <x:c r="E389" s="52"/>
      <x:c r="F389" s="52"/>
      <x:c r="G389" s="52"/>
      <x:c r="H389" s="52"/>
      <x:c r="I389" s="52"/>
      <x:c r="J389" s="52"/>
      <x:c r="K389" s="52"/>
      <x:c r="L389" s="55"/>
      <x:c r="M389" s="55"/>
      <x:c r="N389" s="55"/>
      <x:c r="O389" s="52"/>
      <x:c r="P389" s="52"/>
      <x:c r="Q389" s="52"/>
      <x:c r="R389" s="52"/>
      <x:c r="S389" s="52"/>
      <x:c r="T389" s="52"/>
      <x:c r="U389" s="52"/>
      <x:c r="V389" s="52"/>
      <x:c r="W389" s="52"/>
      <x:c r="X389" s="52"/>
      <x:c r="Y389" s="52"/>
      <x:c r="Z389" s="52"/>
      <x:c r="AA389" s="52"/>
      <x:c r="AB389" s="52"/>
      <x:c r="AC389" s="52"/>
      <x:c r="AD389" s="52"/>
      <x:c r="AE389" s="52"/>
      <x:c r="AF389" s="52"/>
      <x:c r="AG389" s="52"/>
      <x:c r="AH389" s="52"/>
      <x:c r="AI389" s="52"/>
      <x:c r="AJ389" s="52"/>
    </x:row>
    <x:row r="390">
      <x:c r="A390" s="52"/>
      <x:c r="B390" s="52"/>
      <x:c r="C390" s="52"/>
      <x:c r="D390" s="52"/>
      <x:c r="E390" s="52"/>
      <x:c r="F390" s="52"/>
      <x:c r="G390" s="52"/>
      <x:c r="H390" s="52"/>
      <x:c r="I390" s="52"/>
      <x:c r="J390" s="52"/>
      <x:c r="K390" s="52"/>
      <x:c r="L390" s="55"/>
      <x:c r="M390" s="55"/>
      <x:c r="N390" s="55"/>
      <x:c r="O390" s="52"/>
      <x:c r="P390" s="52"/>
      <x:c r="Q390" s="52"/>
      <x:c r="R390" s="52"/>
      <x:c r="S390" s="52"/>
      <x:c r="T390" s="52"/>
      <x:c r="U390" s="52"/>
      <x:c r="V390" s="52"/>
      <x:c r="W390" s="52"/>
      <x:c r="X390" s="52"/>
      <x:c r="Y390" s="52"/>
      <x:c r="Z390" s="52"/>
      <x:c r="AA390" s="52"/>
      <x:c r="AB390" s="52"/>
      <x:c r="AC390" s="52"/>
      <x:c r="AD390" s="52"/>
      <x:c r="AE390" s="52"/>
      <x:c r="AF390" s="52"/>
      <x:c r="AG390" s="52"/>
      <x:c r="AH390" s="52"/>
      <x:c r="AI390" s="52"/>
      <x:c r="AJ390" s="52"/>
    </x:row>
    <x:row r="391">
      <x:c r="A391" s="52"/>
      <x:c r="B391" s="52"/>
      <x:c r="C391" s="52"/>
      <x:c r="D391" s="52"/>
      <x:c r="E391" s="52"/>
      <x:c r="F391" s="52"/>
      <x:c r="G391" s="52"/>
      <x:c r="H391" s="52"/>
      <x:c r="I391" s="52"/>
      <x:c r="J391" s="52"/>
      <x:c r="K391" s="52"/>
      <x:c r="L391" s="55"/>
      <x:c r="M391" s="55"/>
      <x:c r="N391" s="55"/>
      <x:c r="O391" s="52"/>
      <x:c r="P391" s="52"/>
      <x:c r="Q391" s="52"/>
      <x:c r="R391" s="52"/>
      <x:c r="S391" s="52"/>
      <x:c r="T391" s="52"/>
      <x:c r="U391" s="52"/>
      <x:c r="V391" s="52"/>
      <x:c r="W391" s="52"/>
      <x:c r="X391" s="52"/>
      <x:c r="Y391" s="52"/>
      <x:c r="Z391" s="52"/>
      <x:c r="AA391" s="52"/>
      <x:c r="AB391" s="52"/>
      <x:c r="AC391" s="52"/>
      <x:c r="AD391" s="52"/>
      <x:c r="AE391" s="52"/>
      <x:c r="AF391" s="52"/>
      <x:c r="AG391" s="52"/>
      <x:c r="AH391" s="52"/>
      <x:c r="AI391" s="52"/>
      <x:c r="AJ391" s="52"/>
    </x:row>
    <x:row r="392">
      <x:c r="A392" s="52"/>
      <x:c r="B392" s="52"/>
      <x:c r="C392" s="52"/>
      <x:c r="D392" s="52"/>
      <x:c r="E392" s="52"/>
      <x:c r="F392" s="52"/>
      <x:c r="G392" s="52"/>
      <x:c r="H392" s="52"/>
      <x:c r="I392" s="52"/>
      <x:c r="J392" s="52"/>
      <x:c r="K392" s="52"/>
      <x:c r="L392" s="55"/>
      <x:c r="M392" s="55"/>
      <x:c r="N392" s="55"/>
      <x:c r="O392" s="52"/>
      <x:c r="P392" s="52"/>
      <x:c r="Q392" s="52"/>
      <x:c r="R392" s="52"/>
      <x:c r="S392" s="52"/>
      <x:c r="T392" s="52"/>
      <x:c r="U392" s="52"/>
      <x:c r="V392" s="52"/>
      <x:c r="W392" s="52"/>
      <x:c r="X392" s="52"/>
      <x:c r="Y392" s="52"/>
      <x:c r="Z392" s="52"/>
      <x:c r="AA392" s="52"/>
      <x:c r="AB392" s="52"/>
      <x:c r="AC392" s="52"/>
      <x:c r="AD392" s="52"/>
      <x:c r="AE392" s="52"/>
      <x:c r="AF392" s="52"/>
      <x:c r="AG392" s="52"/>
      <x:c r="AH392" s="52"/>
      <x:c r="AI392" s="52"/>
      <x:c r="AJ392" s="52"/>
    </x:row>
    <x:row r="393">
      <x:c r="A393" s="52"/>
      <x:c r="B393" s="52"/>
      <x:c r="C393" s="52"/>
      <x:c r="D393" s="52"/>
      <x:c r="E393" s="52"/>
      <x:c r="F393" s="52"/>
      <x:c r="G393" s="52"/>
      <x:c r="H393" s="52"/>
      <x:c r="I393" s="52"/>
      <x:c r="J393" s="52"/>
      <x:c r="K393" s="52"/>
      <x:c r="L393" s="55"/>
      <x:c r="M393" s="55"/>
      <x:c r="N393" s="55"/>
      <x:c r="O393" s="52"/>
      <x:c r="P393" s="52"/>
      <x:c r="Q393" s="52"/>
      <x:c r="R393" s="52"/>
      <x:c r="S393" s="52"/>
      <x:c r="T393" s="52"/>
      <x:c r="U393" s="52"/>
      <x:c r="V393" s="52"/>
      <x:c r="W393" s="52"/>
      <x:c r="X393" s="52"/>
      <x:c r="Y393" s="52"/>
      <x:c r="Z393" s="52"/>
      <x:c r="AA393" s="52"/>
      <x:c r="AB393" s="52"/>
      <x:c r="AC393" s="52"/>
      <x:c r="AD393" s="52"/>
      <x:c r="AE393" s="52"/>
      <x:c r="AF393" s="52"/>
      <x:c r="AG393" s="52"/>
      <x:c r="AH393" s="52"/>
      <x:c r="AI393" s="52"/>
      <x:c r="AJ393" s="52"/>
    </x:row>
    <x:row r="394">
      <x:c r="A394" s="52"/>
      <x:c r="B394" s="52"/>
      <x:c r="C394" s="52"/>
      <x:c r="D394" s="52"/>
      <x:c r="E394" s="52"/>
      <x:c r="F394" s="52"/>
      <x:c r="G394" s="52"/>
      <x:c r="H394" s="52"/>
      <x:c r="I394" s="52"/>
      <x:c r="J394" s="52"/>
      <x:c r="K394" s="52"/>
      <x:c r="L394" s="55"/>
      <x:c r="M394" s="55"/>
      <x:c r="N394" s="55"/>
      <x:c r="O394" s="52"/>
      <x:c r="P394" s="52"/>
      <x:c r="Q394" s="52"/>
      <x:c r="R394" s="52"/>
      <x:c r="S394" s="52"/>
      <x:c r="T394" s="52"/>
      <x:c r="U394" s="52"/>
      <x:c r="V394" s="52"/>
      <x:c r="W394" s="52"/>
      <x:c r="X394" s="52"/>
      <x:c r="Y394" s="52"/>
      <x:c r="Z394" s="52"/>
      <x:c r="AA394" s="52"/>
      <x:c r="AB394" s="52"/>
      <x:c r="AC394" s="52"/>
      <x:c r="AD394" s="52"/>
      <x:c r="AE394" s="52"/>
      <x:c r="AF394" s="52"/>
      <x:c r="AG394" s="52"/>
      <x:c r="AH394" s="52"/>
      <x:c r="AI394" s="52"/>
      <x:c r="AJ394" s="52"/>
    </x:row>
    <x:row r="395">
      <x:c r="A395" s="52"/>
      <x:c r="B395" s="52"/>
      <x:c r="C395" s="52"/>
      <x:c r="D395" s="52"/>
      <x:c r="E395" s="52"/>
      <x:c r="F395" s="52"/>
      <x:c r="G395" s="52"/>
      <x:c r="H395" s="52"/>
      <x:c r="I395" s="52"/>
      <x:c r="J395" s="52"/>
      <x:c r="K395" s="52"/>
      <x:c r="L395" s="55"/>
      <x:c r="M395" s="55"/>
      <x:c r="N395" s="55"/>
      <x:c r="O395" s="52"/>
      <x:c r="P395" s="52"/>
      <x:c r="Q395" s="52"/>
      <x:c r="R395" s="52"/>
      <x:c r="S395" s="52"/>
      <x:c r="T395" s="52"/>
      <x:c r="U395" s="52"/>
      <x:c r="V395" s="52"/>
      <x:c r="W395" s="52"/>
      <x:c r="X395" s="52"/>
      <x:c r="Y395" s="52"/>
      <x:c r="Z395" s="52"/>
      <x:c r="AA395" s="52"/>
      <x:c r="AB395" s="52"/>
      <x:c r="AC395" s="52"/>
      <x:c r="AD395" s="52"/>
      <x:c r="AE395" s="52"/>
      <x:c r="AF395" s="52"/>
      <x:c r="AG395" s="52"/>
      <x:c r="AH395" s="52"/>
      <x:c r="AI395" s="52"/>
      <x:c r="AJ395" s="52"/>
    </x:row>
    <x:row r="396">
      <x:c r="A396" s="52"/>
      <x:c r="B396" s="52"/>
      <x:c r="C396" s="52"/>
      <x:c r="D396" s="52"/>
      <x:c r="E396" s="52"/>
      <x:c r="F396" s="52"/>
      <x:c r="G396" s="52"/>
      <x:c r="H396" s="52"/>
      <x:c r="I396" s="52"/>
      <x:c r="J396" s="52"/>
      <x:c r="K396" s="52"/>
      <x:c r="L396" s="55"/>
      <x:c r="M396" s="55"/>
      <x:c r="N396" s="55"/>
      <x:c r="O396" s="52"/>
      <x:c r="P396" s="52"/>
      <x:c r="Q396" s="52"/>
      <x:c r="R396" s="52"/>
      <x:c r="S396" s="52"/>
      <x:c r="T396" s="52"/>
      <x:c r="U396" s="52"/>
      <x:c r="V396" s="52"/>
      <x:c r="W396" s="52"/>
      <x:c r="X396" s="52"/>
      <x:c r="Y396" s="52"/>
      <x:c r="Z396" s="52"/>
      <x:c r="AA396" s="52"/>
      <x:c r="AB396" s="52"/>
      <x:c r="AC396" s="52"/>
      <x:c r="AD396" s="52"/>
      <x:c r="AE396" s="52"/>
      <x:c r="AF396" s="52"/>
      <x:c r="AG396" s="52"/>
      <x:c r="AH396" s="52"/>
      <x:c r="AI396" s="52"/>
      <x:c r="AJ396" s="52"/>
    </x:row>
    <x:row r="397">
      <x:c r="A397" s="52"/>
      <x:c r="B397" s="52"/>
      <x:c r="C397" s="52"/>
      <x:c r="D397" s="52"/>
      <x:c r="E397" s="52"/>
      <x:c r="F397" s="52"/>
      <x:c r="G397" s="52"/>
      <x:c r="H397" s="52"/>
      <x:c r="I397" s="52"/>
      <x:c r="J397" s="52"/>
      <x:c r="K397" s="52"/>
      <x:c r="L397" s="55"/>
      <x:c r="M397" s="55"/>
      <x:c r="N397" s="55"/>
      <x:c r="O397" s="52"/>
      <x:c r="P397" s="52"/>
      <x:c r="Q397" s="52"/>
      <x:c r="R397" s="52"/>
      <x:c r="S397" s="52"/>
      <x:c r="T397" s="52"/>
      <x:c r="U397" s="52"/>
      <x:c r="V397" s="52"/>
      <x:c r="W397" s="52"/>
      <x:c r="X397" s="52"/>
      <x:c r="Y397" s="52"/>
      <x:c r="Z397" s="52"/>
      <x:c r="AA397" s="52"/>
      <x:c r="AB397" s="52"/>
      <x:c r="AC397" s="52"/>
      <x:c r="AD397" s="52"/>
      <x:c r="AE397" s="52"/>
      <x:c r="AF397" s="52"/>
      <x:c r="AG397" s="52"/>
      <x:c r="AH397" s="52"/>
      <x:c r="AI397" s="52"/>
      <x:c r="AJ397" s="52"/>
    </x:row>
    <x:row r="398">
      <x:c r="A398" s="52"/>
      <x:c r="B398" s="52"/>
      <x:c r="C398" s="52"/>
      <x:c r="D398" s="52"/>
      <x:c r="E398" s="52"/>
      <x:c r="F398" s="52"/>
      <x:c r="G398" s="52"/>
      <x:c r="H398" s="52"/>
      <x:c r="I398" s="52"/>
      <x:c r="J398" s="52"/>
      <x:c r="K398" s="52"/>
      <x:c r="L398" s="55"/>
      <x:c r="M398" s="55"/>
      <x:c r="N398" s="55"/>
      <x:c r="O398" s="52"/>
      <x:c r="P398" s="52"/>
      <x:c r="Q398" s="52"/>
      <x:c r="R398" s="52"/>
      <x:c r="S398" s="52"/>
      <x:c r="T398" s="52"/>
      <x:c r="U398" s="52"/>
      <x:c r="V398" s="52"/>
      <x:c r="W398" s="52"/>
      <x:c r="X398" s="52"/>
      <x:c r="Y398" s="52"/>
      <x:c r="Z398" s="52"/>
      <x:c r="AA398" s="52"/>
      <x:c r="AB398" s="52"/>
      <x:c r="AC398" s="52"/>
      <x:c r="AD398" s="52"/>
      <x:c r="AE398" s="52"/>
      <x:c r="AF398" s="52"/>
      <x:c r="AG398" s="52"/>
      <x:c r="AH398" s="52"/>
      <x:c r="AI398" s="52"/>
      <x:c r="AJ398" s="52"/>
    </x:row>
    <x:row r="399">
      <x:c r="A399" s="52"/>
      <x:c r="B399" s="52"/>
      <x:c r="C399" s="52"/>
      <x:c r="D399" s="52"/>
      <x:c r="E399" s="52"/>
      <x:c r="F399" s="52"/>
      <x:c r="G399" s="52"/>
      <x:c r="H399" s="52"/>
      <x:c r="I399" s="52"/>
      <x:c r="J399" s="52"/>
      <x:c r="K399" s="52"/>
      <x:c r="L399" s="55"/>
      <x:c r="M399" s="55"/>
      <x:c r="N399" s="55"/>
      <x:c r="O399" s="52"/>
      <x:c r="P399" s="52"/>
      <x:c r="Q399" s="52"/>
      <x:c r="R399" s="52"/>
      <x:c r="S399" s="52"/>
      <x:c r="T399" s="52"/>
      <x:c r="U399" s="52"/>
      <x:c r="V399" s="52"/>
      <x:c r="W399" s="52"/>
      <x:c r="X399" s="52"/>
      <x:c r="Y399" s="52"/>
      <x:c r="Z399" s="52"/>
      <x:c r="AA399" s="52"/>
      <x:c r="AB399" s="52"/>
      <x:c r="AC399" s="52"/>
      <x:c r="AD399" s="52"/>
      <x:c r="AE399" s="52"/>
      <x:c r="AF399" s="52"/>
      <x:c r="AG399" s="52"/>
      <x:c r="AH399" s="52"/>
      <x:c r="AI399" s="52"/>
      <x:c r="AJ399" s="52"/>
    </x:row>
    <x:row r="400">
      <x:c r="A400" s="52"/>
      <x:c r="B400" s="52"/>
      <x:c r="C400" s="52"/>
      <x:c r="D400" s="52"/>
      <x:c r="E400" s="52"/>
      <x:c r="F400" s="52"/>
      <x:c r="G400" s="52"/>
      <x:c r="H400" s="52"/>
      <x:c r="I400" s="52"/>
      <x:c r="J400" s="52"/>
      <x:c r="K400" s="52"/>
      <x:c r="L400" s="55"/>
      <x:c r="M400" s="55"/>
      <x:c r="N400" s="55"/>
      <x:c r="O400" s="52"/>
      <x:c r="P400" s="52"/>
      <x:c r="Q400" s="52"/>
      <x:c r="R400" s="52"/>
      <x:c r="S400" s="52"/>
      <x:c r="T400" s="52"/>
      <x:c r="U400" s="52"/>
      <x:c r="V400" s="52"/>
      <x:c r="W400" s="52"/>
      <x:c r="X400" s="52"/>
      <x:c r="Y400" s="52"/>
      <x:c r="Z400" s="52"/>
      <x:c r="AA400" s="52"/>
      <x:c r="AB400" s="52"/>
      <x:c r="AC400" s="52"/>
      <x:c r="AD400" s="52"/>
      <x:c r="AE400" s="52"/>
      <x:c r="AF400" s="52"/>
      <x:c r="AG400" s="52"/>
      <x:c r="AH400" s="52"/>
      <x:c r="AI400" s="52"/>
      <x:c r="AJ400" s="52"/>
    </x:row>
    <x:row r="401">
      <x:c r="A401" s="52"/>
      <x:c r="B401" s="52"/>
      <x:c r="C401" s="52"/>
      <x:c r="D401" s="52"/>
      <x:c r="E401" s="52"/>
      <x:c r="F401" s="52"/>
      <x:c r="G401" s="52"/>
      <x:c r="H401" s="52"/>
      <x:c r="I401" s="52"/>
      <x:c r="J401" s="52"/>
      <x:c r="K401" s="52"/>
      <x:c r="L401" s="55"/>
      <x:c r="M401" s="55"/>
      <x:c r="N401" s="55"/>
      <x:c r="O401" s="52"/>
      <x:c r="P401" s="52"/>
      <x:c r="Q401" s="52"/>
      <x:c r="R401" s="52"/>
      <x:c r="S401" s="52"/>
      <x:c r="T401" s="52"/>
      <x:c r="U401" s="52"/>
      <x:c r="V401" s="52"/>
      <x:c r="W401" s="52"/>
      <x:c r="X401" s="52"/>
      <x:c r="Y401" s="52"/>
      <x:c r="Z401" s="52"/>
      <x:c r="AA401" s="52"/>
      <x:c r="AB401" s="52"/>
      <x:c r="AC401" s="52"/>
      <x:c r="AD401" s="52"/>
      <x:c r="AE401" s="52"/>
      <x:c r="AF401" s="52"/>
      <x:c r="AG401" s="52"/>
      <x:c r="AH401" s="52"/>
      <x:c r="AI401" s="52"/>
      <x:c r="AJ401" s="52"/>
    </x:row>
    <x:row r="402">
      <x:c r="A402" s="52"/>
      <x:c r="B402" s="52"/>
      <x:c r="C402" s="52"/>
      <x:c r="D402" s="52"/>
      <x:c r="E402" s="52"/>
      <x:c r="F402" s="52"/>
      <x:c r="G402" s="52"/>
      <x:c r="H402" s="52"/>
      <x:c r="I402" s="52"/>
      <x:c r="J402" s="52"/>
      <x:c r="K402" s="52"/>
      <x:c r="L402" s="55"/>
      <x:c r="M402" s="55"/>
      <x:c r="N402" s="55"/>
      <x:c r="O402" s="52"/>
      <x:c r="P402" s="52"/>
      <x:c r="Q402" s="52"/>
      <x:c r="R402" s="52"/>
      <x:c r="S402" s="52"/>
      <x:c r="T402" s="52"/>
      <x:c r="U402" s="52"/>
      <x:c r="V402" s="52"/>
      <x:c r="W402" s="52"/>
      <x:c r="X402" s="52"/>
      <x:c r="Y402" s="52"/>
      <x:c r="Z402" s="52"/>
      <x:c r="AA402" s="52"/>
      <x:c r="AB402" s="52"/>
      <x:c r="AC402" s="52"/>
      <x:c r="AD402" s="52"/>
      <x:c r="AE402" s="52"/>
      <x:c r="AF402" s="52"/>
      <x:c r="AG402" s="52"/>
      <x:c r="AH402" s="52"/>
      <x:c r="AI402" s="52"/>
      <x:c r="AJ402" s="52"/>
    </x:row>
    <x:row r="403">
      <x:c r="A403" s="52"/>
      <x:c r="B403" s="52"/>
      <x:c r="C403" s="52"/>
      <x:c r="D403" s="52"/>
      <x:c r="E403" s="52"/>
      <x:c r="F403" s="52"/>
      <x:c r="G403" s="52"/>
      <x:c r="H403" s="52"/>
      <x:c r="I403" s="52"/>
      <x:c r="J403" s="52"/>
      <x:c r="K403" s="52"/>
      <x:c r="L403" s="55"/>
      <x:c r="M403" s="55"/>
      <x:c r="N403" s="55"/>
      <x:c r="O403" s="52"/>
      <x:c r="P403" s="52"/>
      <x:c r="Q403" s="52"/>
      <x:c r="R403" s="52"/>
      <x:c r="S403" s="52"/>
      <x:c r="T403" s="52"/>
      <x:c r="U403" s="52"/>
      <x:c r="V403" s="52"/>
      <x:c r="W403" s="52"/>
      <x:c r="X403" s="52"/>
      <x:c r="Y403" s="52"/>
      <x:c r="Z403" s="52"/>
      <x:c r="AA403" s="52"/>
      <x:c r="AB403" s="52"/>
      <x:c r="AC403" s="52"/>
      <x:c r="AD403" s="52"/>
      <x:c r="AE403" s="52"/>
      <x:c r="AF403" s="52"/>
      <x:c r="AG403" s="52"/>
      <x:c r="AH403" s="52"/>
      <x:c r="AI403" s="52"/>
      <x:c r="AJ403" s="52"/>
    </x:row>
    <x:row r="404">
      <x:c r="A404" s="52"/>
      <x:c r="B404" s="52"/>
      <x:c r="C404" s="52"/>
      <x:c r="D404" s="52"/>
      <x:c r="E404" s="52"/>
      <x:c r="F404" s="52"/>
      <x:c r="G404" s="52"/>
      <x:c r="H404" s="52"/>
      <x:c r="I404" s="52"/>
      <x:c r="J404" s="52"/>
      <x:c r="K404" s="52"/>
      <x:c r="L404" s="55"/>
      <x:c r="M404" s="55"/>
      <x:c r="N404" s="55"/>
      <x:c r="O404" s="52"/>
      <x:c r="P404" s="52"/>
      <x:c r="Q404" s="52"/>
      <x:c r="R404" s="52"/>
      <x:c r="S404" s="52"/>
      <x:c r="T404" s="52"/>
      <x:c r="U404" s="52"/>
      <x:c r="V404" s="52"/>
      <x:c r="W404" s="52"/>
      <x:c r="X404" s="52"/>
      <x:c r="Y404" s="52"/>
      <x:c r="Z404" s="52"/>
      <x:c r="AA404" s="52"/>
      <x:c r="AB404" s="52"/>
      <x:c r="AC404" s="52"/>
      <x:c r="AD404" s="52"/>
      <x:c r="AE404" s="52"/>
      <x:c r="AF404" s="52"/>
      <x:c r="AG404" s="52"/>
      <x:c r="AH404" s="52"/>
      <x:c r="AI404" s="52"/>
      <x:c r="AJ404" s="52"/>
    </x:row>
    <x:row r="405">
      <x:c r="A405" s="52"/>
      <x:c r="B405" s="52"/>
      <x:c r="C405" s="52"/>
      <x:c r="D405" s="52"/>
      <x:c r="E405" s="52"/>
      <x:c r="F405" s="52"/>
      <x:c r="G405" s="52"/>
      <x:c r="H405" s="52"/>
      <x:c r="I405" s="52"/>
      <x:c r="J405" s="52"/>
      <x:c r="K405" s="52"/>
      <x:c r="L405" s="55"/>
      <x:c r="M405" s="55"/>
      <x:c r="N405" s="55"/>
      <x:c r="O405" s="52"/>
      <x:c r="P405" s="52"/>
      <x:c r="Q405" s="52"/>
      <x:c r="R405" s="52"/>
      <x:c r="S405" s="52"/>
      <x:c r="T405" s="52"/>
      <x:c r="U405" s="52"/>
      <x:c r="V405" s="52"/>
      <x:c r="W405" s="52"/>
      <x:c r="X405" s="52"/>
      <x:c r="Y405" s="52"/>
      <x:c r="Z405" s="52"/>
      <x:c r="AA405" s="52"/>
      <x:c r="AB405" s="52"/>
      <x:c r="AC405" s="52"/>
      <x:c r="AD405" s="52"/>
      <x:c r="AE405" s="52"/>
      <x:c r="AF405" s="52"/>
      <x:c r="AG405" s="52"/>
      <x:c r="AH405" s="52"/>
      <x:c r="AI405" s="52"/>
      <x:c r="AJ405" s="52"/>
    </x:row>
    <x:row r="406">
      <x:c r="A406" s="52"/>
      <x:c r="B406" s="52"/>
      <x:c r="C406" s="52"/>
      <x:c r="D406" s="52"/>
      <x:c r="E406" s="52"/>
      <x:c r="F406" s="52"/>
      <x:c r="G406" s="52"/>
      <x:c r="H406" s="52"/>
      <x:c r="I406" s="52"/>
      <x:c r="J406" s="52"/>
      <x:c r="K406" s="52"/>
      <x:c r="L406" s="55"/>
      <x:c r="M406" s="55"/>
      <x:c r="N406" s="55"/>
      <x:c r="O406" s="52"/>
      <x:c r="P406" s="52"/>
      <x:c r="Q406" s="52"/>
      <x:c r="R406" s="52"/>
      <x:c r="S406" s="52"/>
      <x:c r="T406" s="52"/>
      <x:c r="U406" s="52"/>
      <x:c r="V406" s="52"/>
      <x:c r="W406" s="52"/>
      <x:c r="X406" s="52"/>
      <x:c r="Y406" s="52"/>
      <x:c r="Z406" s="52"/>
      <x:c r="AA406" s="52"/>
      <x:c r="AB406" s="52"/>
      <x:c r="AC406" s="52"/>
      <x:c r="AD406" s="52"/>
      <x:c r="AE406" s="52"/>
      <x:c r="AF406" s="52"/>
      <x:c r="AG406" s="52"/>
      <x:c r="AH406" s="52"/>
      <x:c r="AI406" s="52"/>
      <x:c r="AJ406" s="52"/>
    </x:row>
    <x:row r="407">
      <x:c r="A407" s="52"/>
      <x:c r="B407" s="52"/>
      <x:c r="C407" s="52"/>
      <x:c r="D407" s="52"/>
      <x:c r="E407" s="52"/>
      <x:c r="F407" s="52"/>
      <x:c r="G407" s="52"/>
      <x:c r="H407" s="52"/>
      <x:c r="I407" s="52"/>
      <x:c r="J407" s="52"/>
      <x:c r="K407" s="52"/>
      <x:c r="L407" s="55"/>
      <x:c r="M407" s="55"/>
      <x:c r="N407" s="55"/>
      <x:c r="O407" s="52"/>
      <x:c r="P407" s="52"/>
      <x:c r="Q407" s="52"/>
      <x:c r="R407" s="52"/>
      <x:c r="S407" s="52"/>
      <x:c r="T407" s="52"/>
      <x:c r="U407" s="52"/>
      <x:c r="V407" s="52"/>
      <x:c r="W407" s="52"/>
      <x:c r="X407" s="52"/>
      <x:c r="Y407" s="52"/>
      <x:c r="Z407" s="52"/>
      <x:c r="AA407" s="52"/>
      <x:c r="AB407" s="52"/>
      <x:c r="AC407" s="52"/>
      <x:c r="AD407" s="52"/>
      <x:c r="AE407" s="52"/>
      <x:c r="AF407" s="52"/>
      <x:c r="AG407" s="52"/>
      <x:c r="AH407" s="52"/>
      <x:c r="AI407" s="52"/>
      <x:c r="AJ407" s="52"/>
    </x:row>
    <x:row r="408">
      <x:c r="A408" s="52"/>
      <x:c r="B408" s="52"/>
      <x:c r="C408" s="52"/>
      <x:c r="D408" s="52"/>
      <x:c r="E408" s="52"/>
      <x:c r="F408" s="52"/>
      <x:c r="G408" s="52"/>
      <x:c r="H408" s="52"/>
      <x:c r="I408" s="52"/>
      <x:c r="J408" s="52"/>
      <x:c r="K408" s="52"/>
      <x:c r="L408" s="55"/>
      <x:c r="M408" s="55"/>
      <x:c r="N408" s="55"/>
      <x:c r="O408" s="52"/>
      <x:c r="P408" s="52"/>
      <x:c r="Q408" s="52"/>
      <x:c r="R408" s="52"/>
      <x:c r="S408" s="52"/>
      <x:c r="T408" s="52"/>
      <x:c r="U408" s="52"/>
      <x:c r="V408" s="52"/>
      <x:c r="W408" s="52"/>
      <x:c r="X408" s="52"/>
      <x:c r="Y408" s="52"/>
      <x:c r="Z408" s="52"/>
      <x:c r="AA408" s="52"/>
      <x:c r="AB408" s="52"/>
      <x:c r="AC408" s="52"/>
      <x:c r="AD408" s="52"/>
      <x:c r="AE408" s="52"/>
      <x:c r="AF408" s="52"/>
      <x:c r="AG408" s="52"/>
      <x:c r="AH408" s="52"/>
      <x:c r="AI408" s="52"/>
      <x:c r="AJ408" s="52"/>
    </x:row>
    <x:row r="409">
      <x:c r="A409" s="52"/>
      <x:c r="B409" s="52"/>
      <x:c r="C409" s="52"/>
      <x:c r="D409" s="52"/>
      <x:c r="E409" s="52"/>
      <x:c r="F409" s="52"/>
      <x:c r="G409" s="52"/>
      <x:c r="H409" s="52"/>
      <x:c r="I409" s="52"/>
      <x:c r="J409" s="52"/>
      <x:c r="K409" s="52"/>
      <x:c r="L409" s="55"/>
      <x:c r="M409" s="55"/>
      <x:c r="N409" s="55"/>
      <x:c r="O409" s="52"/>
      <x:c r="P409" s="52"/>
      <x:c r="Q409" s="52"/>
      <x:c r="R409" s="52"/>
      <x:c r="S409" s="52"/>
      <x:c r="T409" s="52"/>
      <x:c r="U409" s="52"/>
      <x:c r="V409" s="52"/>
      <x:c r="W409" s="52"/>
      <x:c r="X409" s="52"/>
      <x:c r="Y409" s="52"/>
      <x:c r="Z409" s="52"/>
      <x:c r="AA409" s="52"/>
      <x:c r="AB409" s="52"/>
      <x:c r="AC409" s="52"/>
      <x:c r="AD409" s="52"/>
      <x:c r="AE409" s="52"/>
      <x:c r="AF409" s="52"/>
      <x:c r="AG409" s="52"/>
      <x:c r="AH409" s="52"/>
      <x:c r="AI409" s="52"/>
      <x:c r="AJ409" s="52"/>
    </x:row>
    <x:row r="410">
      <x:c r="A410" s="52"/>
      <x:c r="B410" s="52"/>
      <x:c r="C410" s="52"/>
      <x:c r="D410" s="52"/>
      <x:c r="E410" s="52"/>
      <x:c r="F410" s="52"/>
      <x:c r="G410" s="52"/>
      <x:c r="H410" s="52"/>
      <x:c r="I410" s="52"/>
      <x:c r="J410" s="52"/>
      <x:c r="K410" s="52"/>
      <x:c r="L410" s="55"/>
      <x:c r="M410" s="55"/>
      <x:c r="N410" s="55"/>
      <x:c r="O410" s="52"/>
      <x:c r="P410" s="52"/>
      <x:c r="Q410" s="52"/>
      <x:c r="R410" s="52"/>
      <x:c r="S410" s="52"/>
      <x:c r="T410" s="52"/>
      <x:c r="U410" s="52"/>
      <x:c r="V410" s="52"/>
      <x:c r="W410" s="52"/>
      <x:c r="X410" s="52"/>
      <x:c r="Y410" s="52"/>
      <x:c r="Z410" s="52"/>
      <x:c r="AA410" s="52"/>
      <x:c r="AB410" s="52"/>
      <x:c r="AC410" s="52"/>
      <x:c r="AD410" s="52"/>
      <x:c r="AE410" s="52"/>
      <x:c r="AF410" s="52"/>
      <x:c r="AG410" s="52"/>
      <x:c r="AH410" s="52"/>
      <x:c r="AI410" s="52"/>
      <x:c r="AJ410" s="52"/>
    </x:row>
    <x:row r="411">
      <x:c r="A411" s="52"/>
      <x:c r="B411" s="52"/>
      <x:c r="C411" s="52"/>
      <x:c r="D411" s="52"/>
      <x:c r="E411" s="52"/>
      <x:c r="F411" s="52"/>
      <x:c r="G411" s="52"/>
      <x:c r="H411" s="52"/>
      <x:c r="I411" s="52"/>
      <x:c r="J411" s="52"/>
      <x:c r="K411" s="52"/>
      <x:c r="L411" s="55"/>
      <x:c r="M411" s="55"/>
      <x:c r="N411" s="55"/>
      <x:c r="O411" s="52"/>
      <x:c r="P411" s="52"/>
      <x:c r="Q411" s="52"/>
      <x:c r="R411" s="52"/>
      <x:c r="S411" s="52"/>
      <x:c r="T411" s="52"/>
      <x:c r="U411" s="52"/>
      <x:c r="V411" s="52"/>
      <x:c r="W411" s="52"/>
      <x:c r="X411" s="52"/>
      <x:c r="Y411" s="52"/>
      <x:c r="Z411" s="52"/>
      <x:c r="AA411" s="52"/>
      <x:c r="AB411" s="52"/>
      <x:c r="AC411" s="52"/>
      <x:c r="AD411" s="52"/>
      <x:c r="AE411" s="52"/>
      <x:c r="AF411" s="52"/>
      <x:c r="AG411" s="52"/>
      <x:c r="AH411" s="52"/>
      <x:c r="AI411" s="52"/>
      <x:c r="AJ411" s="52"/>
    </x:row>
    <x:row r="412">
      <x:c r="A412" s="52"/>
      <x:c r="B412" s="52"/>
      <x:c r="C412" s="52"/>
      <x:c r="D412" s="52"/>
      <x:c r="E412" s="52"/>
      <x:c r="F412" s="52"/>
      <x:c r="G412" s="52"/>
      <x:c r="H412" s="52"/>
      <x:c r="I412" s="52"/>
      <x:c r="J412" s="52"/>
      <x:c r="K412" s="52"/>
      <x:c r="L412" s="55"/>
      <x:c r="M412" s="55"/>
      <x:c r="N412" s="55"/>
      <x:c r="O412" s="52"/>
      <x:c r="P412" s="52"/>
      <x:c r="Q412" s="52"/>
      <x:c r="R412" s="52"/>
      <x:c r="S412" s="52"/>
      <x:c r="T412" s="52"/>
      <x:c r="U412" s="52"/>
      <x:c r="V412" s="52"/>
      <x:c r="W412" s="52"/>
      <x:c r="X412" s="52"/>
      <x:c r="Y412" s="52"/>
      <x:c r="Z412" s="52"/>
      <x:c r="AA412" s="52"/>
      <x:c r="AB412" s="52"/>
      <x:c r="AC412" s="52"/>
      <x:c r="AD412" s="52"/>
      <x:c r="AE412" s="52"/>
      <x:c r="AF412" s="52"/>
      <x:c r="AG412" s="52"/>
      <x:c r="AH412" s="52"/>
      <x:c r="AI412" s="52"/>
      <x:c r="AJ412" s="52"/>
    </x:row>
    <x:row r="413">
      <x:c r="A413" s="52"/>
      <x:c r="B413" s="52"/>
      <x:c r="C413" s="52"/>
      <x:c r="D413" s="52"/>
      <x:c r="E413" s="52"/>
      <x:c r="F413" s="52"/>
      <x:c r="G413" s="52"/>
      <x:c r="H413" s="52"/>
      <x:c r="I413" s="52"/>
      <x:c r="J413" s="52"/>
      <x:c r="K413" s="52"/>
      <x:c r="L413" s="55"/>
      <x:c r="M413" s="55"/>
      <x:c r="N413" s="55"/>
      <x:c r="O413" s="52"/>
      <x:c r="P413" s="52"/>
      <x:c r="Q413" s="52"/>
      <x:c r="R413" s="52"/>
      <x:c r="S413" s="52"/>
      <x:c r="T413" s="52"/>
      <x:c r="U413" s="52"/>
      <x:c r="V413" s="52"/>
      <x:c r="W413" s="52"/>
      <x:c r="X413" s="52"/>
      <x:c r="Y413" s="52"/>
      <x:c r="Z413" s="52"/>
      <x:c r="AA413" s="52"/>
      <x:c r="AB413" s="52"/>
      <x:c r="AC413" s="52"/>
      <x:c r="AD413" s="52"/>
      <x:c r="AE413" s="52"/>
      <x:c r="AF413" s="52"/>
      <x:c r="AG413" s="52"/>
      <x:c r="AH413" s="52"/>
      <x:c r="AI413" s="52"/>
      <x:c r="AJ413" s="52"/>
    </x:row>
    <x:row r="414">
      <x:c r="A414" s="52"/>
      <x:c r="B414" s="52"/>
      <x:c r="C414" s="52"/>
      <x:c r="D414" s="52"/>
      <x:c r="E414" s="52"/>
      <x:c r="F414" s="52"/>
      <x:c r="G414" s="52"/>
      <x:c r="H414" s="52"/>
      <x:c r="I414" s="52"/>
      <x:c r="J414" s="52"/>
      <x:c r="K414" s="52"/>
      <x:c r="L414" s="55"/>
      <x:c r="M414" s="55"/>
      <x:c r="N414" s="55"/>
      <x:c r="O414" s="52"/>
      <x:c r="P414" s="52"/>
      <x:c r="Q414" s="52"/>
      <x:c r="R414" s="52"/>
      <x:c r="S414" s="52"/>
      <x:c r="T414" s="52"/>
      <x:c r="U414" s="52"/>
      <x:c r="V414" s="52"/>
      <x:c r="W414" s="52"/>
      <x:c r="X414" s="52"/>
      <x:c r="Y414" s="52"/>
      <x:c r="Z414" s="52"/>
      <x:c r="AA414" s="52"/>
      <x:c r="AB414" s="52"/>
      <x:c r="AC414" s="52"/>
      <x:c r="AD414" s="52"/>
      <x:c r="AE414" s="52"/>
      <x:c r="AF414" s="52"/>
      <x:c r="AG414" s="52"/>
      <x:c r="AH414" s="52"/>
      <x:c r="AI414" s="52"/>
      <x:c r="AJ414" s="52"/>
    </x:row>
    <x:row r="415">
      <x:c r="A415" s="52"/>
      <x:c r="B415" s="52"/>
      <x:c r="C415" s="52"/>
      <x:c r="D415" s="52"/>
      <x:c r="E415" s="52"/>
      <x:c r="F415" s="52"/>
      <x:c r="G415" s="52"/>
      <x:c r="H415" s="52"/>
      <x:c r="I415" s="52"/>
      <x:c r="J415" s="52"/>
      <x:c r="K415" s="52"/>
      <x:c r="L415" s="55"/>
      <x:c r="M415" s="55"/>
      <x:c r="N415" s="55"/>
      <x:c r="O415" s="52"/>
      <x:c r="P415" s="52"/>
      <x:c r="Q415" s="52"/>
      <x:c r="R415" s="52"/>
      <x:c r="S415" s="52"/>
      <x:c r="T415" s="52"/>
      <x:c r="U415" s="52"/>
      <x:c r="V415" s="52"/>
      <x:c r="W415" s="52"/>
      <x:c r="X415" s="52"/>
      <x:c r="Y415" s="52"/>
      <x:c r="Z415" s="52"/>
      <x:c r="AA415" s="52"/>
      <x:c r="AB415" s="52"/>
      <x:c r="AC415" s="52"/>
      <x:c r="AD415" s="52"/>
      <x:c r="AE415" s="52"/>
      <x:c r="AF415" s="52"/>
      <x:c r="AG415" s="52"/>
      <x:c r="AH415" s="52"/>
      <x:c r="AI415" s="52"/>
      <x:c r="AJ415" s="52"/>
    </x:row>
    <x:row r="416">
      <x:c r="A416" s="52"/>
      <x:c r="B416" s="52"/>
      <x:c r="C416" s="52"/>
      <x:c r="D416" s="52"/>
      <x:c r="E416" s="52"/>
      <x:c r="F416" s="52"/>
      <x:c r="G416" s="52"/>
      <x:c r="H416" s="52"/>
      <x:c r="I416" s="52"/>
      <x:c r="J416" s="52"/>
      <x:c r="K416" s="52"/>
      <x:c r="L416" s="55"/>
      <x:c r="M416" s="55"/>
      <x:c r="N416" s="55"/>
      <x:c r="O416" s="52"/>
      <x:c r="P416" s="52"/>
      <x:c r="Q416" s="52"/>
      <x:c r="R416" s="52"/>
      <x:c r="S416" s="52"/>
      <x:c r="T416" s="52"/>
      <x:c r="U416" s="52"/>
      <x:c r="V416" s="52"/>
      <x:c r="W416" s="52"/>
      <x:c r="X416" s="52"/>
      <x:c r="Y416" s="52"/>
      <x:c r="Z416" s="52"/>
      <x:c r="AA416" s="52"/>
      <x:c r="AB416" s="52"/>
      <x:c r="AC416" s="52"/>
      <x:c r="AD416" s="52"/>
      <x:c r="AE416" s="52"/>
      <x:c r="AF416" s="52"/>
      <x:c r="AG416" s="52"/>
      <x:c r="AH416" s="52"/>
      <x:c r="AI416" s="52"/>
      <x:c r="AJ416" s="52"/>
    </x:row>
    <x:row r="417">
      <x:c r="A417" s="52"/>
      <x:c r="B417" s="52"/>
      <x:c r="C417" s="52"/>
      <x:c r="D417" s="52"/>
      <x:c r="E417" s="52"/>
      <x:c r="F417" s="52"/>
      <x:c r="G417" s="52"/>
      <x:c r="H417" s="52"/>
      <x:c r="I417" s="52"/>
      <x:c r="J417" s="52"/>
      <x:c r="K417" s="52"/>
      <x:c r="L417" s="55"/>
      <x:c r="M417" s="55"/>
      <x:c r="N417" s="55"/>
      <x:c r="O417" s="52"/>
      <x:c r="P417" s="52"/>
      <x:c r="Q417" s="52"/>
      <x:c r="R417" s="52"/>
      <x:c r="S417" s="52"/>
      <x:c r="T417" s="52"/>
      <x:c r="U417" s="52"/>
      <x:c r="V417" s="52"/>
      <x:c r="W417" s="52"/>
      <x:c r="X417" s="52"/>
      <x:c r="Y417" s="52"/>
      <x:c r="Z417" s="52"/>
      <x:c r="AA417" s="52"/>
      <x:c r="AB417" s="52"/>
      <x:c r="AC417" s="52"/>
      <x:c r="AD417" s="52"/>
      <x:c r="AE417" s="52"/>
      <x:c r="AF417" s="52"/>
      <x:c r="AG417" s="52"/>
      <x:c r="AH417" s="52"/>
      <x:c r="AI417" s="52"/>
      <x:c r="AJ417" s="52"/>
    </x:row>
    <x:row r="418">
      <x:c r="A418" s="52"/>
      <x:c r="B418" s="52"/>
      <x:c r="C418" s="52"/>
      <x:c r="D418" s="52"/>
      <x:c r="E418" s="52"/>
      <x:c r="F418" s="52"/>
      <x:c r="G418" s="52"/>
      <x:c r="H418" s="52"/>
      <x:c r="I418" s="52"/>
      <x:c r="J418" s="52"/>
      <x:c r="K418" s="52"/>
      <x:c r="L418" s="55"/>
      <x:c r="M418" s="55"/>
      <x:c r="N418" s="55"/>
      <x:c r="O418" s="52"/>
      <x:c r="P418" s="52"/>
      <x:c r="Q418" s="52"/>
      <x:c r="R418" s="52"/>
      <x:c r="S418" s="52"/>
      <x:c r="T418" s="52"/>
      <x:c r="U418" s="52"/>
      <x:c r="V418" s="52"/>
      <x:c r="W418" s="52"/>
      <x:c r="X418" s="52"/>
      <x:c r="Y418" s="52"/>
      <x:c r="Z418" s="52"/>
      <x:c r="AA418" s="52"/>
      <x:c r="AB418" s="52"/>
      <x:c r="AC418" s="52"/>
      <x:c r="AD418" s="52"/>
      <x:c r="AE418" s="52"/>
      <x:c r="AF418" s="52"/>
      <x:c r="AG418" s="52"/>
      <x:c r="AH418" s="52"/>
      <x:c r="AI418" s="52"/>
      <x:c r="AJ418" s="52"/>
    </x:row>
    <x:row r="419">
      <x:c r="A419" s="52"/>
      <x:c r="B419" s="52"/>
      <x:c r="C419" s="52"/>
      <x:c r="D419" s="52"/>
      <x:c r="E419" s="52"/>
      <x:c r="F419" s="52"/>
      <x:c r="G419" s="52"/>
      <x:c r="H419" s="52"/>
      <x:c r="I419" s="52"/>
      <x:c r="J419" s="52"/>
      <x:c r="K419" s="52"/>
      <x:c r="L419" s="55"/>
      <x:c r="M419" s="55"/>
      <x:c r="N419" s="55"/>
      <x:c r="O419" s="52"/>
      <x:c r="P419" s="52"/>
      <x:c r="Q419" s="52"/>
      <x:c r="R419" s="52"/>
      <x:c r="S419" s="52"/>
      <x:c r="T419" s="52"/>
      <x:c r="U419" s="52"/>
      <x:c r="V419" s="52"/>
      <x:c r="W419" s="52"/>
      <x:c r="X419" s="52"/>
      <x:c r="Y419" s="52"/>
      <x:c r="Z419" s="52"/>
      <x:c r="AA419" s="52"/>
      <x:c r="AB419" s="52"/>
      <x:c r="AC419" s="52"/>
      <x:c r="AD419" s="52"/>
      <x:c r="AE419" s="52"/>
      <x:c r="AF419" s="52"/>
      <x:c r="AG419" s="52"/>
      <x:c r="AH419" s="52"/>
      <x:c r="AI419" s="52"/>
      <x:c r="AJ419" s="52"/>
    </x:row>
    <x:row r="420">
      <x:c r="A420" s="52"/>
      <x:c r="B420" s="52"/>
      <x:c r="C420" s="52"/>
      <x:c r="D420" s="52"/>
      <x:c r="E420" s="52"/>
      <x:c r="F420" s="52"/>
      <x:c r="G420" s="52"/>
      <x:c r="H420" s="52"/>
      <x:c r="I420" s="52"/>
      <x:c r="J420" s="52"/>
      <x:c r="K420" s="52"/>
      <x:c r="L420" s="55"/>
      <x:c r="M420" s="55"/>
      <x:c r="N420" s="55"/>
      <x:c r="O420" s="52"/>
      <x:c r="P420" s="52"/>
      <x:c r="Q420" s="52"/>
      <x:c r="R420" s="52"/>
      <x:c r="S420" s="52"/>
      <x:c r="T420" s="52"/>
      <x:c r="U420" s="52"/>
      <x:c r="V420" s="52"/>
      <x:c r="W420" s="52"/>
      <x:c r="X420" s="52"/>
      <x:c r="Y420" s="52"/>
      <x:c r="Z420" s="52"/>
      <x:c r="AA420" s="52"/>
      <x:c r="AB420" s="52"/>
      <x:c r="AC420" s="52"/>
      <x:c r="AD420" s="52"/>
      <x:c r="AE420" s="52"/>
      <x:c r="AF420" s="52"/>
      <x:c r="AG420" s="52"/>
      <x:c r="AH420" s="52"/>
      <x:c r="AI420" s="52"/>
      <x:c r="AJ420" s="52"/>
    </x:row>
    <x:row r="421">
      <x:c r="A421" s="52"/>
      <x:c r="B421" s="52"/>
      <x:c r="C421" s="52"/>
      <x:c r="D421" s="52"/>
      <x:c r="E421" s="52"/>
      <x:c r="F421" s="52"/>
      <x:c r="G421" s="52"/>
      <x:c r="H421" s="52"/>
      <x:c r="I421" s="52"/>
      <x:c r="J421" s="52"/>
      <x:c r="K421" s="52"/>
      <x:c r="L421" s="55"/>
      <x:c r="M421" s="55"/>
      <x:c r="N421" s="55"/>
      <x:c r="O421" s="52"/>
      <x:c r="P421" s="52"/>
      <x:c r="Q421" s="52"/>
      <x:c r="R421" s="52"/>
      <x:c r="S421" s="52"/>
      <x:c r="T421" s="52"/>
      <x:c r="U421" s="52"/>
      <x:c r="V421" s="52"/>
      <x:c r="W421" s="52"/>
      <x:c r="X421" s="52"/>
      <x:c r="Y421" s="52"/>
      <x:c r="Z421" s="52"/>
      <x:c r="AA421" s="52"/>
      <x:c r="AB421" s="52"/>
      <x:c r="AC421" s="52"/>
      <x:c r="AD421" s="52"/>
      <x:c r="AE421" s="52"/>
      <x:c r="AF421" s="52"/>
      <x:c r="AG421" s="52"/>
      <x:c r="AH421" s="52"/>
      <x:c r="AI421" s="52"/>
      <x:c r="AJ421" s="52"/>
    </x:row>
    <x:row r="422">
      <x:c r="A422" s="52"/>
      <x:c r="B422" s="52"/>
      <x:c r="C422" s="52"/>
      <x:c r="D422" s="52"/>
      <x:c r="E422" s="52"/>
      <x:c r="F422" s="52"/>
      <x:c r="G422" s="52"/>
      <x:c r="H422" s="52"/>
      <x:c r="I422" s="52"/>
      <x:c r="J422" s="52"/>
      <x:c r="K422" s="52"/>
      <x:c r="L422" s="55"/>
      <x:c r="M422" s="55"/>
      <x:c r="N422" s="55"/>
      <x:c r="O422" s="52"/>
      <x:c r="P422" s="52"/>
      <x:c r="Q422" s="52"/>
      <x:c r="R422" s="52"/>
      <x:c r="S422" s="52"/>
      <x:c r="T422" s="52"/>
      <x:c r="U422" s="52"/>
      <x:c r="V422" s="52"/>
      <x:c r="W422" s="52"/>
      <x:c r="X422" s="52"/>
      <x:c r="Y422" s="52"/>
      <x:c r="Z422" s="52"/>
      <x:c r="AA422" s="52"/>
      <x:c r="AB422" s="52"/>
      <x:c r="AC422" s="52"/>
      <x:c r="AD422" s="52"/>
      <x:c r="AE422" s="52"/>
      <x:c r="AF422" s="52"/>
      <x:c r="AG422" s="52"/>
      <x:c r="AH422" s="52"/>
      <x:c r="AI422" s="52"/>
      <x:c r="AJ422" s="52"/>
    </x:row>
    <x:row r="423">
      <x:c r="A423" s="52"/>
      <x:c r="B423" s="52"/>
      <x:c r="C423" s="52"/>
      <x:c r="D423" s="52"/>
      <x:c r="E423" s="52"/>
      <x:c r="F423" s="52"/>
      <x:c r="G423" s="52"/>
      <x:c r="H423" s="52"/>
      <x:c r="I423" s="52"/>
      <x:c r="J423" s="52"/>
      <x:c r="K423" s="52"/>
      <x:c r="L423" s="55"/>
      <x:c r="M423" s="55"/>
      <x:c r="N423" s="55"/>
      <x:c r="O423" s="52"/>
      <x:c r="P423" s="52"/>
      <x:c r="Q423" s="52"/>
      <x:c r="R423" s="52"/>
      <x:c r="S423" s="52"/>
      <x:c r="T423" s="52"/>
      <x:c r="U423" s="52"/>
      <x:c r="V423" s="52"/>
      <x:c r="W423" s="52"/>
      <x:c r="X423" s="52"/>
      <x:c r="Y423" s="52"/>
      <x:c r="Z423" s="52"/>
      <x:c r="AA423" s="52"/>
      <x:c r="AB423" s="52"/>
      <x:c r="AC423" s="52"/>
      <x:c r="AD423" s="52"/>
      <x:c r="AE423" s="52"/>
      <x:c r="AF423" s="52"/>
      <x:c r="AG423" s="52"/>
      <x:c r="AH423" s="52"/>
      <x:c r="AI423" s="52"/>
      <x:c r="AJ423" s="52"/>
    </x:row>
    <x:row r="424">
      <x:c r="A424" s="52"/>
      <x:c r="B424" s="52"/>
      <x:c r="C424" s="52"/>
      <x:c r="D424" s="52"/>
      <x:c r="E424" s="52"/>
      <x:c r="F424" s="52"/>
      <x:c r="G424" s="52"/>
      <x:c r="H424" s="52"/>
      <x:c r="I424" s="52"/>
      <x:c r="J424" s="52"/>
      <x:c r="K424" s="52"/>
      <x:c r="L424" s="55"/>
      <x:c r="M424" s="55"/>
      <x:c r="N424" s="55"/>
      <x:c r="O424" s="52"/>
      <x:c r="P424" s="52"/>
      <x:c r="Q424" s="52"/>
      <x:c r="R424" s="52"/>
      <x:c r="S424" s="52"/>
      <x:c r="T424" s="52"/>
      <x:c r="U424" s="52"/>
      <x:c r="V424" s="52"/>
      <x:c r="W424" s="52"/>
      <x:c r="X424" s="52"/>
      <x:c r="Y424" s="52"/>
      <x:c r="Z424" s="52"/>
      <x:c r="AA424" s="52"/>
      <x:c r="AB424" s="52"/>
      <x:c r="AC424" s="52"/>
      <x:c r="AD424" s="52"/>
      <x:c r="AE424" s="52"/>
      <x:c r="AF424" s="52"/>
      <x:c r="AG424" s="52"/>
      <x:c r="AH424" s="52"/>
      <x:c r="AI424" s="52"/>
      <x:c r="AJ424" s="52"/>
    </x:row>
    <x:row r="425">
      <x:c r="A425" s="52"/>
      <x:c r="B425" s="52"/>
      <x:c r="C425" s="52"/>
      <x:c r="D425" s="52"/>
      <x:c r="E425" s="52"/>
      <x:c r="F425" s="52"/>
      <x:c r="G425" s="52"/>
      <x:c r="H425" s="52"/>
      <x:c r="I425" s="52"/>
      <x:c r="J425" s="52"/>
      <x:c r="K425" s="52"/>
      <x:c r="L425" s="55"/>
      <x:c r="M425" s="55"/>
      <x:c r="N425" s="55"/>
      <x:c r="O425" s="52"/>
      <x:c r="P425" s="52"/>
      <x:c r="Q425" s="52"/>
      <x:c r="R425" s="52"/>
      <x:c r="S425" s="52"/>
      <x:c r="T425" s="52"/>
      <x:c r="U425" s="52"/>
      <x:c r="V425" s="52"/>
      <x:c r="W425" s="52"/>
      <x:c r="X425" s="52"/>
      <x:c r="Y425" s="52"/>
      <x:c r="Z425" s="52"/>
      <x:c r="AA425" s="52"/>
      <x:c r="AB425" s="52"/>
      <x:c r="AC425" s="52"/>
      <x:c r="AD425" s="52"/>
      <x:c r="AE425" s="52"/>
      <x:c r="AF425" s="52"/>
      <x:c r="AG425" s="52"/>
      <x:c r="AH425" s="52"/>
      <x:c r="AI425" s="52"/>
      <x:c r="AJ425" s="52"/>
    </x:row>
    <x:row r="426">
      <x:c r="A426" s="52"/>
      <x:c r="B426" s="52"/>
      <x:c r="C426" s="52"/>
      <x:c r="D426" s="52"/>
      <x:c r="E426" s="52"/>
      <x:c r="F426" s="52"/>
      <x:c r="G426" s="52"/>
      <x:c r="H426" s="52"/>
      <x:c r="I426" s="52"/>
      <x:c r="J426" s="52"/>
      <x:c r="K426" s="52"/>
      <x:c r="L426" s="55"/>
      <x:c r="M426" s="55"/>
      <x:c r="N426" s="55"/>
      <x:c r="O426" s="52"/>
      <x:c r="P426" s="52"/>
      <x:c r="Q426" s="52"/>
      <x:c r="R426" s="52"/>
      <x:c r="S426" s="52"/>
      <x:c r="T426" s="52"/>
      <x:c r="U426" s="52"/>
      <x:c r="V426" s="52"/>
      <x:c r="W426" s="52"/>
      <x:c r="X426" s="52"/>
      <x:c r="Y426" s="52"/>
      <x:c r="Z426" s="52"/>
      <x:c r="AA426" s="52"/>
      <x:c r="AB426" s="52"/>
      <x:c r="AC426" s="52"/>
      <x:c r="AD426" s="52"/>
      <x:c r="AE426" s="52"/>
      <x:c r="AF426" s="52"/>
      <x:c r="AG426" s="52"/>
      <x:c r="AH426" s="52"/>
      <x:c r="AI426" s="52"/>
      <x:c r="AJ426" s="52"/>
    </x:row>
    <x:row r="427">
      <x:c r="A427" s="52"/>
      <x:c r="B427" s="52"/>
      <x:c r="C427" s="52"/>
      <x:c r="D427" s="52"/>
      <x:c r="E427" s="52"/>
      <x:c r="F427" s="52"/>
      <x:c r="G427" s="52"/>
      <x:c r="H427" s="52"/>
      <x:c r="I427" s="52"/>
      <x:c r="J427" s="52"/>
      <x:c r="K427" s="52"/>
      <x:c r="L427" s="55"/>
      <x:c r="M427" s="55"/>
      <x:c r="N427" s="55"/>
      <x:c r="O427" s="52"/>
      <x:c r="P427" s="52"/>
      <x:c r="Q427" s="52"/>
      <x:c r="R427" s="52"/>
      <x:c r="S427" s="52"/>
      <x:c r="T427" s="52"/>
      <x:c r="U427" s="52"/>
      <x:c r="V427" s="52"/>
      <x:c r="W427" s="52"/>
      <x:c r="X427" s="52"/>
      <x:c r="Y427" s="52"/>
      <x:c r="Z427" s="52"/>
      <x:c r="AA427" s="52"/>
      <x:c r="AB427" s="52"/>
      <x:c r="AC427" s="52"/>
      <x:c r="AD427" s="52"/>
      <x:c r="AE427" s="52"/>
      <x:c r="AF427" s="52"/>
      <x:c r="AG427" s="52"/>
      <x:c r="AH427" s="52"/>
      <x:c r="AI427" s="52"/>
      <x:c r="AJ427" s="52"/>
    </x:row>
    <x:row r="428">
      <x:c r="A428" s="52"/>
      <x:c r="B428" s="52"/>
      <x:c r="C428" s="52"/>
      <x:c r="D428" s="52"/>
      <x:c r="E428" s="52"/>
      <x:c r="F428" s="52"/>
      <x:c r="G428" s="52"/>
      <x:c r="H428" s="52"/>
      <x:c r="I428" s="52"/>
      <x:c r="J428" s="52"/>
      <x:c r="K428" s="52"/>
      <x:c r="L428" s="55"/>
      <x:c r="M428" s="55"/>
      <x:c r="N428" s="55"/>
      <x:c r="O428" s="52"/>
      <x:c r="P428" s="52"/>
      <x:c r="Q428" s="52"/>
      <x:c r="R428" s="52"/>
      <x:c r="S428" s="52"/>
      <x:c r="T428" s="52"/>
      <x:c r="U428" s="52"/>
      <x:c r="V428" s="52"/>
      <x:c r="W428" s="52"/>
      <x:c r="X428" s="52"/>
      <x:c r="Y428" s="52"/>
      <x:c r="Z428" s="52"/>
      <x:c r="AA428" s="52"/>
      <x:c r="AB428" s="52"/>
      <x:c r="AC428" s="52"/>
      <x:c r="AD428" s="52"/>
      <x:c r="AE428" s="52"/>
      <x:c r="AF428" s="52"/>
      <x:c r="AG428" s="52"/>
      <x:c r="AH428" s="52"/>
      <x:c r="AI428" s="52"/>
      <x:c r="AJ428" s="52"/>
    </x:row>
    <x:row r="429">
      <x:c r="A429" s="52"/>
      <x:c r="B429" s="52"/>
      <x:c r="C429" s="52"/>
      <x:c r="D429" s="52"/>
      <x:c r="E429" s="52"/>
      <x:c r="F429" s="52"/>
      <x:c r="G429" s="52"/>
      <x:c r="H429" s="52"/>
      <x:c r="I429" s="52"/>
      <x:c r="J429" s="52"/>
      <x:c r="K429" s="52"/>
      <x:c r="L429" s="55"/>
      <x:c r="M429" s="55"/>
      <x:c r="N429" s="55"/>
      <x:c r="O429" s="52"/>
      <x:c r="P429" s="52"/>
      <x:c r="Q429" s="52"/>
      <x:c r="R429" s="52"/>
      <x:c r="S429" s="52"/>
      <x:c r="T429" s="52"/>
      <x:c r="U429" s="52"/>
      <x:c r="V429" s="52"/>
      <x:c r="W429" s="52"/>
      <x:c r="X429" s="52"/>
      <x:c r="Y429" s="52"/>
      <x:c r="Z429" s="52"/>
      <x:c r="AA429" s="52"/>
      <x:c r="AB429" s="52"/>
      <x:c r="AC429" s="52"/>
      <x:c r="AD429" s="52"/>
      <x:c r="AE429" s="52"/>
      <x:c r="AF429" s="52"/>
      <x:c r="AG429" s="52"/>
      <x:c r="AH429" s="52"/>
      <x:c r="AI429" s="52"/>
      <x:c r="AJ429" s="52"/>
    </x:row>
    <x:row r="430">
      <x:c r="A430" s="52"/>
      <x:c r="B430" s="52"/>
      <x:c r="C430" s="52"/>
      <x:c r="D430" s="52"/>
      <x:c r="E430" s="52"/>
      <x:c r="F430" s="52"/>
      <x:c r="G430" s="52"/>
      <x:c r="H430" s="52"/>
      <x:c r="I430" s="52"/>
      <x:c r="J430" s="52"/>
      <x:c r="K430" s="52"/>
      <x:c r="L430" s="55"/>
      <x:c r="M430" s="55"/>
      <x:c r="N430" s="55"/>
      <x:c r="O430" s="52"/>
      <x:c r="P430" s="52"/>
      <x:c r="Q430" s="52"/>
      <x:c r="R430" s="52"/>
      <x:c r="S430" s="52"/>
      <x:c r="T430" s="52"/>
      <x:c r="U430" s="52"/>
      <x:c r="V430" s="52"/>
      <x:c r="W430" s="52"/>
      <x:c r="X430" s="52"/>
      <x:c r="Y430" s="52"/>
      <x:c r="Z430" s="52"/>
      <x:c r="AA430" s="52"/>
      <x:c r="AB430" s="52"/>
      <x:c r="AC430" s="52"/>
      <x:c r="AD430" s="52"/>
      <x:c r="AE430" s="52"/>
      <x:c r="AF430" s="52"/>
      <x:c r="AG430" s="52"/>
      <x:c r="AH430" s="52"/>
      <x:c r="AI430" s="52"/>
      <x:c r="AJ430" s="52"/>
    </x:row>
    <x:row r="431">
      <x:c r="A431" s="52"/>
      <x:c r="B431" s="52"/>
      <x:c r="C431" s="52"/>
      <x:c r="D431" s="52"/>
      <x:c r="E431" s="52"/>
      <x:c r="F431" s="52"/>
      <x:c r="G431" s="52"/>
      <x:c r="H431" s="52"/>
      <x:c r="I431" s="52"/>
      <x:c r="J431" s="52"/>
      <x:c r="K431" s="52"/>
      <x:c r="L431" s="55"/>
      <x:c r="M431" s="55"/>
      <x:c r="N431" s="55"/>
      <x:c r="O431" s="52"/>
      <x:c r="P431" s="52"/>
      <x:c r="Q431" s="52"/>
      <x:c r="R431" s="52"/>
      <x:c r="S431" s="52"/>
      <x:c r="T431" s="52"/>
      <x:c r="U431" s="52"/>
      <x:c r="V431" s="52"/>
      <x:c r="W431" s="52"/>
      <x:c r="X431" s="52"/>
      <x:c r="Y431" s="52"/>
      <x:c r="Z431" s="52"/>
      <x:c r="AA431" s="52"/>
      <x:c r="AB431" s="52"/>
      <x:c r="AC431" s="52"/>
      <x:c r="AD431" s="52"/>
      <x:c r="AE431" s="52"/>
      <x:c r="AF431" s="52"/>
      <x:c r="AG431" s="52"/>
      <x:c r="AH431" s="52"/>
      <x:c r="AI431" s="52"/>
      <x:c r="AJ431" s="52"/>
    </x:row>
    <x:row r="432">
      <x:c r="A432" s="52"/>
      <x:c r="B432" s="52"/>
      <x:c r="C432" s="52"/>
      <x:c r="D432" s="52"/>
      <x:c r="E432" s="52"/>
      <x:c r="F432" s="52"/>
      <x:c r="G432" s="52"/>
      <x:c r="H432" s="52"/>
      <x:c r="I432" s="52"/>
      <x:c r="J432" s="52"/>
      <x:c r="K432" s="52"/>
      <x:c r="L432" s="55"/>
      <x:c r="M432" s="55"/>
      <x:c r="N432" s="55"/>
      <x:c r="O432" s="52"/>
      <x:c r="P432" s="52"/>
      <x:c r="Q432" s="52"/>
      <x:c r="R432" s="52"/>
      <x:c r="S432" s="52"/>
      <x:c r="T432" s="52"/>
      <x:c r="U432" s="52"/>
      <x:c r="V432" s="52"/>
      <x:c r="W432" s="52"/>
      <x:c r="X432" s="52"/>
      <x:c r="Y432" s="52"/>
      <x:c r="Z432" s="52"/>
      <x:c r="AA432" s="52"/>
      <x:c r="AB432" s="52"/>
      <x:c r="AC432" s="52"/>
      <x:c r="AD432" s="52"/>
      <x:c r="AE432" s="52"/>
      <x:c r="AF432" s="52"/>
      <x:c r="AG432" s="52"/>
      <x:c r="AH432" s="52"/>
      <x:c r="AI432" s="52"/>
      <x:c r="AJ432" s="52"/>
    </x:row>
    <x:row r="433">
      <x:c r="A433" s="52"/>
      <x:c r="B433" s="52"/>
      <x:c r="C433" s="52"/>
      <x:c r="D433" s="52"/>
      <x:c r="E433" s="52"/>
      <x:c r="F433" s="52"/>
      <x:c r="G433" s="52"/>
      <x:c r="H433" s="52"/>
      <x:c r="I433" s="52"/>
      <x:c r="J433" s="52"/>
      <x:c r="K433" s="52"/>
      <x:c r="L433" s="55"/>
      <x:c r="M433" s="55"/>
      <x:c r="N433" s="55"/>
      <x:c r="O433" s="52"/>
      <x:c r="P433" s="52"/>
      <x:c r="Q433" s="52"/>
      <x:c r="R433" s="52"/>
      <x:c r="S433" s="52"/>
      <x:c r="T433" s="52"/>
      <x:c r="U433" s="52"/>
      <x:c r="V433" s="52"/>
      <x:c r="W433" s="52"/>
      <x:c r="X433" s="52"/>
      <x:c r="Y433" s="52"/>
      <x:c r="Z433" s="52"/>
      <x:c r="AA433" s="52"/>
      <x:c r="AB433" s="52"/>
      <x:c r="AC433" s="52"/>
      <x:c r="AD433" s="52"/>
      <x:c r="AE433" s="52"/>
      <x:c r="AF433" s="52"/>
      <x:c r="AG433" s="52"/>
      <x:c r="AH433" s="52"/>
      <x:c r="AI433" s="52"/>
      <x:c r="AJ433" s="52"/>
    </x:row>
    <x:row r="434">
      <x:c r="A434" s="52"/>
      <x:c r="B434" s="52"/>
      <x:c r="C434" s="52"/>
      <x:c r="D434" s="52"/>
      <x:c r="E434" s="52"/>
      <x:c r="F434" s="52"/>
      <x:c r="G434" s="52"/>
      <x:c r="H434" s="52"/>
      <x:c r="I434" s="52"/>
      <x:c r="J434" s="52"/>
      <x:c r="K434" s="52"/>
      <x:c r="L434" s="55"/>
      <x:c r="M434" s="55"/>
      <x:c r="N434" s="55"/>
      <x:c r="O434" s="52"/>
      <x:c r="P434" s="52"/>
      <x:c r="Q434" s="52"/>
      <x:c r="R434" s="52"/>
      <x:c r="S434" s="52"/>
      <x:c r="T434" s="52"/>
      <x:c r="U434" s="52"/>
      <x:c r="V434" s="52"/>
      <x:c r="W434" s="52"/>
      <x:c r="X434" s="52"/>
      <x:c r="Y434" s="52"/>
      <x:c r="Z434" s="52"/>
      <x:c r="AA434" s="52"/>
      <x:c r="AB434" s="52"/>
      <x:c r="AC434" s="52"/>
      <x:c r="AD434" s="52"/>
      <x:c r="AE434" s="52"/>
      <x:c r="AF434" s="52"/>
      <x:c r="AG434" s="52"/>
      <x:c r="AH434" s="52"/>
      <x:c r="AI434" s="52"/>
      <x:c r="AJ434" s="52"/>
    </x:row>
    <x:row r="435">
      <x:c r="A435" s="52"/>
      <x:c r="B435" s="52"/>
      <x:c r="C435" s="52"/>
      <x:c r="D435" s="52"/>
      <x:c r="E435" s="52"/>
      <x:c r="F435" s="52"/>
      <x:c r="G435" s="52"/>
      <x:c r="H435" s="52"/>
      <x:c r="I435" s="52"/>
      <x:c r="J435" s="52"/>
      <x:c r="K435" s="52"/>
      <x:c r="L435" s="55"/>
      <x:c r="M435" s="55"/>
      <x:c r="N435" s="55"/>
      <x:c r="O435" s="52"/>
      <x:c r="P435" s="52"/>
      <x:c r="Q435" s="52"/>
      <x:c r="R435" s="52"/>
      <x:c r="S435" s="52"/>
      <x:c r="T435" s="52"/>
      <x:c r="U435" s="52"/>
      <x:c r="V435" s="52"/>
      <x:c r="W435" s="52"/>
      <x:c r="X435" s="52"/>
      <x:c r="Y435" s="52"/>
      <x:c r="Z435" s="52"/>
      <x:c r="AA435" s="52"/>
      <x:c r="AB435" s="52"/>
      <x:c r="AC435" s="52"/>
      <x:c r="AD435" s="52"/>
      <x:c r="AE435" s="52"/>
      <x:c r="AF435" s="52"/>
      <x:c r="AG435" s="52"/>
      <x:c r="AH435" s="52"/>
      <x:c r="AI435" s="52"/>
      <x:c r="AJ435" s="52"/>
    </x:row>
    <x:row r="436">
      <x:c r="A436" s="52"/>
      <x:c r="B436" s="52"/>
      <x:c r="C436" s="52"/>
      <x:c r="D436" s="52"/>
      <x:c r="E436" s="52"/>
      <x:c r="F436" s="52"/>
      <x:c r="G436" s="52"/>
      <x:c r="H436" s="52"/>
      <x:c r="I436" s="52"/>
      <x:c r="J436" s="52"/>
      <x:c r="K436" s="52"/>
      <x:c r="L436" s="55"/>
      <x:c r="M436" s="55"/>
      <x:c r="N436" s="55"/>
      <x:c r="O436" s="52"/>
      <x:c r="P436" s="52"/>
      <x:c r="Q436" s="52"/>
      <x:c r="R436" s="52"/>
      <x:c r="S436" s="52"/>
      <x:c r="T436" s="52"/>
      <x:c r="U436" s="52"/>
      <x:c r="V436" s="52"/>
      <x:c r="W436" s="52"/>
      <x:c r="X436" s="52"/>
      <x:c r="Y436" s="52"/>
      <x:c r="Z436" s="52"/>
      <x:c r="AA436" s="52"/>
      <x:c r="AB436" s="52"/>
      <x:c r="AC436" s="52"/>
      <x:c r="AD436" s="52"/>
      <x:c r="AE436" s="52"/>
      <x:c r="AF436" s="52"/>
      <x:c r="AG436" s="52"/>
      <x:c r="AH436" s="52"/>
      <x:c r="AI436" s="52"/>
      <x:c r="AJ436" s="52"/>
    </x:row>
    <x:row r="437">
      <x:c r="A437" s="52"/>
      <x:c r="B437" s="52"/>
      <x:c r="C437" s="52"/>
      <x:c r="D437" s="52"/>
      <x:c r="E437" s="52"/>
      <x:c r="F437" s="52"/>
      <x:c r="G437" s="52"/>
      <x:c r="H437" s="52"/>
      <x:c r="I437" s="52"/>
      <x:c r="J437" s="52"/>
      <x:c r="K437" s="52"/>
      <x:c r="L437" s="55"/>
      <x:c r="M437" s="55"/>
      <x:c r="N437" s="55"/>
      <x:c r="O437" s="52"/>
      <x:c r="P437" s="52"/>
      <x:c r="Q437" s="52"/>
      <x:c r="R437" s="52"/>
      <x:c r="S437" s="52"/>
      <x:c r="T437" s="52"/>
      <x:c r="U437" s="52"/>
      <x:c r="V437" s="52"/>
      <x:c r="W437" s="52"/>
      <x:c r="X437" s="52"/>
      <x:c r="Y437" s="52"/>
      <x:c r="Z437" s="52"/>
      <x:c r="AA437" s="52"/>
      <x:c r="AB437" s="52"/>
      <x:c r="AC437" s="52"/>
      <x:c r="AD437" s="52"/>
      <x:c r="AE437" s="52"/>
      <x:c r="AF437" s="52"/>
      <x:c r="AG437" s="52"/>
      <x:c r="AH437" s="52"/>
      <x:c r="AI437" s="52"/>
      <x:c r="AJ437" s="52"/>
    </x:row>
    <x:row r="438">
      <x:c r="A438" s="52"/>
      <x:c r="B438" s="52"/>
      <x:c r="C438" s="52"/>
      <x:c r="D438" s="52"/>
      <x:c r="E438" s="52"/>
      <x:c r="F438" s="52"/>
      <x:c r="G438" s="52"/>
      <x:c r="H438" s="52"/>
      <x:c r="I438" s="52"/>
      <x:c r="J438" s="52"/>
      <x:c r="K438" s="52"/>
      <x:c r="L438" s="55"/>
      <x:c r="M438" s="55"/>
      <x:c r="N438" s="55"/>
      <x:c r="O438" s="52"/>
      <x:c r="P438" s="52"/>
      <x:c r="Q438" s="52"/>
      <x:c r="R438" s="52"/>
      <x:c r="S438" s="52"/>
      <x:c r="T438" s="52"/>
      <x:c r="U438" s="52"/>
      <x:c r="V438" s="52"/>
      <x:c r="W438" s="52"/>
      <x:c r="X438" s="52"/>
      <x:c r="Y438" s="52"/>
      <x:c r="Z438" s="52"/>
      <x:c r="AA438" s="52"/>
      <x:c r="AB438" s="52"/>
      <x:c r="AC438" s="52"/>
      <x:c r="AD438" s="52"/>
      <x:c r="AE438" s="52"/>
      <x:c r="AF438" s="52"/>
      <x:c r="AG438" s="52"/>
      <x:c r="AH438" s="52"/>
      <x:c r="AI438" s="52"/>
      <x:c r="AJ438" s="52"/>
    </x:row>
    <x:row r="439">
      <x:c r="A439" s="52"/>
      <x:c r="B439" s="52"/>
      <x:c r="C439" s="52"/>
      <x:c r="D439" s="52"/>
      <x:c r="E439" s="52"/>
      <x:c r="F439" s="52"/>
      <x:c r="G439" s="52"/>
      <x:c r="H439" s="52"/>
      <x:c r="I439" s="52"/>
      <x:c r="J439" s="52"/>
      <x:c r="K439" s="52"/>
      <x:c r="L439" s="55"/>
      <x:c r="M439" s="55"/>
      <x:c r="N439" s="55"/>
      <x:c r="O439" s="52"/>
      <x:c r="P439" s="52"/>
      <x:c r="Q439" s="52"/>
      <x:c r="R439" s="52"/>
      <x:c r="S439" s="52"/>
      <x:c r="T439" s="52"/>
      <x:c r="U439" s="52"/>
      <x:c r="V439" s="52"/>
      <x:c r="W439" s="52"/>
      <x:c r="X439" s="52"/>
      <x:c r="Y439" s="52"/>
      <x:c r="Z439" s="52"/>
      <x:c r="AA439" s="52"/>
      <x:c r="AB439" s="52"/>
      <x:c r="AC439" s="52"/>
      <x:c r="AD439" s="52"/>
      <x:c r="AE439" s="52"/>
      <x:c r="AF439" s="52"/>
      <x:c r="AG439" s="52"/>
      <x:c r="AH439" s="52"/>
      <x:c r="AI439" s="52"/>
      <x:c r="AJ439" s="52"/>
    </x:row>
    <x:row r="440">
      <x:c r="A440" s="52"/>
      <x:c r="B440" s="52"/>
      <x:c r="C440" s="52"/>
      <x:c r="D440" s="52"/>
      <x:c r="E440" s="52"/>
      <x:c r="F440" s="52"/>
      <x:c r="G440" s="52"/>
      <x:c r="H440" s="52"/>
      <x:c r="I440" s="52"/>
      <x:c r="J440" s="52"/>
      <x:c r="K440" s="52"/>
      <x:c r="L440" s="55"/>
      <x:c r="M440" s="55"/>
      <x:c r="N440" s="55"/>
      <x:c r="O440" s="52"/>
      <x:c r="P440" s="52"/>
      <x:c r="Q440" s="52"/>
      <x:c r="R440" s="52"/>
      <x:c r="S440" s="52"/>
      <x:c r="T440" s="52"/>
      <x:c r="U440" s="52"/>
      <x:c r="V440" s="52"/>
      <x:c r="W440" s="52"/>
      <x:c r="X440" s="52"/>
      <x:c r="Y440" s="52"/>
      <x:c r="Z440" s="52"/>
      <x:c r="AA440" s="52"/>
      <x:c r="AB440" s="52"/>
      <x:c r="AC440" s="52"/>
      <x:c r="AD440" s="52"/>
      <x:c r="AE440" s="52"/>
      <x:c r="AF440" s="52"/>
      <x:c r="AG440" s="52"/>
      <x:c r="AH440" s="52"/>
      <x:c r="AI440" s="52"/>
      <x:c r="AJ440" s="52"/>
    </x:row>
    <x:row r="441">
      <x:c r="A441" s="52"/>
      <x:c r="B441" s="52"/>
      <x:c r="C441" s="52"/>
      <x:c r="D441" s="52"/>
      <x:c r="E441" s="52"/>
      <x:c r="F441" s="52"/>
      <x:c r="G441" s="52"/>
      <x:c r="H441" s="52"/>
      <x:c r="I441" s="52"/>
      <x:c r="J441" s="52"/>
      <x:c r="K441" s="52"/>
      <x:c r="L441" s="55"/>
      <x:c r="M441" s="55"/>
      <x:c r="N441" s="55"/>
      <x:c r="O441" s="52"/>
      <x:c r="P441" s="52"/>
      <x:c r="Q441" s="52"/>
      <x:c r="R441" s="52"/>
      <x:c r="S441" s="52"/>
      <x:c r="T441" s="52"/>
      <x:c r="U441" s="52"/>
      <x:c r="V441" s="52"/>
      <x:c r="W441" s="52"/>
      <x:c r="X441" s="52"/>
      <x:c r="Y441" s="52"/>
      <x:c r="Z441" s="52"/>
      <x:c r="AA441" s="52"/>
      <x:c r="AB441" s="52"/>
      <x:c r="AC441" s="52"/>
      <x:c r="AD441" s="52"/>
      <x:c r="AE441" s="52"/>
      <x:c r="AF441" s="52"/>
      <x:c r="AG441" s="52"/>
      <x:c r="AH441" s="52"/>
      <x:c r="AI441" s="52"/>
      <x:c r="AJ441" s="52"/>
    </x:row>
    <x:row r="442">
      <x:c r="A442" s="52"/>
      <x:c r="B442" s="52"/>
      <x:c r="C442" s="52"/>
      <x:c r="D442" s="52"/>
      <x:c r="E442" s="52"/>
      <x:c r="F442" s="52"/>
      <x:c r="G442" s="52"/>
      <x:c r="H442" s="52"/>
      <x:c r="I442" s="52"/>
      <x:c r="J442" s="52"/>
      <x:c r="K442" s="52"/>
      <x:c r="L442" s="55"/>
      <x:c r="M442" s="55"/>
      <x:c r="N442" s="55"/>
      <x:c r="O442" s="52"/>
      <x:c r="P442" s="52"/>
      <x:c r="Q442" s="52"/>
      <x:c r="R442" s="52"/>
      <x:c r="S442" s="52"/>
      <x:c r="T442" s="52"/>
      <x:c r="U442" s="52"/>
      <x:c r="V442" s="52"/>
      <x:c r="W442" s="52"/>
      <x:c r="X442" s="52"/>
      <x:c r="Y442" s="52"/>
      <x:c r="Z442" s="52"/>
      <x:c r="AA442" s="52"/>
      <x:c r="AB442" s="52"/>
      <x:c r="AC442" s="52"/>
      <x:c r="AD442" s="52"/>
      <x:c r="AE442" s="52"/>
      <x:c r="AF442" s="52"/>
      <x:c r="AG442" s="52"/>
      <x:c r="AH442" s="52"/>
      <x:c r="AI442" s="52"/>
      <x:c r="AJ442" s="52"/>
    </x:row>
    <x:row r="443">
      <x:c r="A443" s="52"/>
      <x:c r="B443" s="52"/>
      <x:c r="C443" s="52"/>
      <x:c r="D443" s="52"/>
      <x:c r="E443" s="52"/>
      <x:c r="F443" s="52"/>
      <x:c r="G443" s="52"/>
      <x:c r="H443" s="52"/>
      <x:c r="I443" s="52"/>
      <x:c r="J443" s="52"/>
      <x:c r="K443" s="52"/>
      <x:c r="L443" s="55"/>
      <x:c r="M443" s="55"/>
      <x:c r="N443" s="55"/>
      <x:c r="O443" s="52"/>
      <x:c r="P443" s="52"/>
      <x:c r="Q443" s="52"/>
      <x:c r="R443" s="52"/>
      <x:c r="S443" s="52"/>
      <x:c r="T443" s="52"/>
      <x:c r="U443" s="52"/>
      <x:c r="V443" s="52"/>
      <x:c r="W443" s="52"/>
      <x:c r="X443" s="52"/>
      <x:c r="Y443" s="52"/>
      <x:c r="Z443" s="52"/>
      <x:c r="AA443" s="52"/>
      <x:c r="AB443" s="52"/>
      <x:c r="AC443" s="52"/>
      <x:c r="AD443" s="52"/>
      <x:c r="AE443" s="52"/>
      <x:c r="AF443" s="52"/>
      <x:c r="AG443" s="52"/>
      <x:c r="AH443" s="52"/>
      <x:c r="AI443" s="52"/>
      <x:c r="AJ443" s="52"/>
    </x:row>
    <x:row r="444">
      <x:c r="A444" s="52"/>
      <x:c r="B444" s="52"/>
      <x:c r="C444" s="52"/>
      <x:c r="D444" s="52"/>
      <x:c r="E444" s="52"/>
      <x:c r="F444" s="52"/>
      <x:c r="G444" s="52"/>
      <x:c r="H444" s="52"/>
      <x:c r="I444" s="52"/>
      <x:c r="J444" s="52"/>
      <x:c r="K444" s="52"/>
      <x:c r="L444" s="55"/>
      <x:c r="M444" s="55"/>
      <x:c r="N444" s="55"/>
      <x:c r="O444" s="52"/>
      <x:c r="P444" s="52"/>
      <x:c r="Q444" s="52"/>
      <x:c r="R444" s="52"/>
      <x:c r="S444" s="52"/>
      <x:c r="T444" s="52"/>
      <x:c r="U444" s="52"/>
      <x:c r="V444" s="52"/>
      <x:c r="W444" s="52"/>
      <x:c r="X444" s="52"/>
      <x:c r="Y444" s="52"/>
      <x:c r="Z444" s="52"/>
      <x:c r="AA444" s="52"/>
      <x:c r="AB444" s="52"/>
      <x:c r="AC444" s="52"/>
      <x:c r="AD444" s="52"/>
      <x:c r="AE444" s="52"/>
      <x:c r="AF444" s="52"/>
      <x:c r="AG444" s="52"/>
      <x:c r="AH444" s="52"/>
      <x:c r="AI444" s="52"/>
      <x:c r="AJ444" s="52"/>
    </x:row>
    <x:row r="445">
      <x:c r="A445" s="52"/>
      <x:c r="B445" s="52"/>
      <x:c r="C445" s="52"/>
      <x:c r="D445" s="52"/>
      <x:c r="E445" s="52"/>
      <x:c r="F445" s="52"/>
      <x:c r="G445" s="52"/>
      <x:c r="H445" s="52"/>
      <x:c r="I445" s="52"/>
      <x:c r="J445" s="52"/>
      <x:c r="K445" s="52"/>
      <x:c r="L445" s="55"/>
      <x:c r="M445" s="55"/>
      <x:c r="N445" s="55"/>
      <x:c r="O445" s="52"/>
      <x:c r="P445" s="52"/>
      <x:c r="Q445" s="52"/>
      <x:c r="R445" s="52"/>
      <x:c r="S445" s="52"/>
      <x:c r="T445" s="52"/>
      <x:c r="U445" s="52"/>
      <x:c r="V445" s="52"/>
      <x:c r="W445" s="52"/>
      <x:c r="X445" s="52"/>
      <x:c r="Y445" s="52"/>
      <x:c r="Z445" s="52"/>
      <x:c r="AA445" s="52"/>
      <x:c r="AB445" s="52"/>
      <x:c r="AC445" s="52"/>
      <x:c r="AD445" s="52"/>
      <x:c r="AE445" s="52"/>
      <x:c r="AF445" s="52"/>
      <x:c r="AG445" s="52"/>
      <x:c r="AH445" s="52"/>
      <x:c r="AI445" s="52"/>
      <x:c r="AJ445" s="52"/>
    </x:row>
    <x:row r="446">
      <x:c r="A446" s="52"/>
      <x:c r="B446" s="52"/>
      <x:c r="C446" s="52"/>
      <x:c r="D446" s="52"/>
      <x:c r="E446" s="52"/>
      <x:c r="F446" s="52"/>
      <x:c r="G446" s="52"/>
      <x:c r="H446" s="52"/>
      <x:c r="I446" s="52"/>
      <x:c r="J446" s="52"/>
      <x:c r="K446" s="52"/>
      <x:c r="L446" s="55"/>
      <x:c r="M446" s="55"/>
      <x:c r="N446" s="55"/>
      <x:c r="O446" s="52"/>
      <x:c r="P446" s="52"/>
      <x:c r="Q446" s="52"/>
      <x:c r="R446" s="52"/>
      <x:c r="S446" s="52"/>
      <x:c r="T446" s="52"/>
      <x:c r="U446" s="52"/>
      <x:c r="V446" s="52"/>
      <x:c r="W446" s="52"/>
      <x:c r="X446" s="52"/>
      <x:c r="Y446" s="52"/>
      <x:c r="Z446" s="52"/>
      <x:c r="AA446" s="52"/>
      <x:c r="AB446" s="52"/>
      <x:c r="AC446" s="52"/>
      <x:c r="AD446" s="52"/>
      <x:c r="AE446" s="52"/>
      <x:c r="AF446" s="52"/>
      <x:c r="AG446" s="52"/>
      <x:c r="AH446" s="52"/>
      <x:c r="AI446" s="52"/>
      <x:c r="AJ446" s="52"/>
    </x:row>
    <x:row r="447">
      <x:c r="A447" s="52"/>
      <x:c r="B447" s="52"/>
      <x:c r="C447" s="52"/>
      <x:c r="D447" s="52"/>
      <x:c r="E447" s="52"/>
      <x:c r="F447" s="52"/>
      <x:c r="G447" s="52"/>
      <x:c r="H447" s="52"/>
      <x:c r="I447" s="52"/>
      <x:c r="J447" s="52"/>
      <x:c r="K447" s="52"/>
      <x:c r="L447" s="55"/>
      <x:c r="M447" s="55"/>
      <x:c r="N447" s="55"/>
      <x:c r="O447" s="52"/>
      <x:c r="P447" s="52"/>
      <x:c r="Q447" s="52"/>
      <x:c r="R447" s="52"/>
      <x:c r="S447" s="52"/>
      <x:c r="T447" s="52"/>
      <x:c r="U447" s="52"/>
      <x:c r="V447" s="52"/>
      <x:c r="W447" s="52"/>
      <x:c r="X447" s="52"/>
      <x:c r="Y447" s="52"/>
      <x:c r="Z447" s="52"/>
      <x:c r="AA447" s="52"/>
      <x:c r="AB447" s="52"/>
      <x:c r="AC447" s="52"/>
      <x:c r="AD447" s="52"/>
      <x:c r="AE447" s="52"/>
      <x:c r="AF447" s="52"/>
      <x:c r="AG447" s="52"/>
      <x:c r="AH447" s="52"/>
      <x:c r="AI447" s="52"/>
      <x:c r="AJ447" s="52"/>
    </x:row>
    <x:row r="448">
      <x:c r="A448" s="52"/>
      <x:c r="B448" s="52"/>
      <x:c r="C448" s="52"/>
      <x:c r="D448" s="52"/>
      <x:c r="E448" s="52"/>
      <x:c r="F448" s="52"/>
      <x:c r="G448" s="52"/>
      <x:c r="H448" s="52"/>
      <x:c r="I448" s="52"/>
      <x:c r="J448" s="52"/>
      <x:c r="K448" s="52"/>
      <x:c r="L448" s="55"/>
      <x:c r="M448" s="55"/>
      <x:c r="N448" s="55"/>
      <x:c r="O448" s="52"/>
      <x:c r="P448" s="52"/>
      <x:c r="Q448" s="52"/>
      <x:c r="R448" s="52"/>
      <x:c r="S448" s="52"/>
      <x:c r="T448" s="52"/>
      <x:c r="U448" s="52"/>
      <x:c r="V448" s="52"/>
      <x:c r="W448" s="52"/>
      <x:c r="X448" s="52"/>
      <x:c r="Y448" s="52"/>
      <x:c r="Z448" s="52"/>
      <x:c r="AA448" s="52"/>
      <x:c r="AB448" s="52"/>
      <x:c r="AC448" s="52"/>
      <x:c r="AD448" s="52"/>
      <x:c r="AE448" s="52"/>
      <x:c r="AF448" s="52"/>
      <x:c r="AG448" s="52"/>
      <x:c r="AH448" s="52"/>
      <x:c r="AI448" s="52"/>
      <x:c r="AJ448" s="52"/>
    </x:row>
    <x:row r="449">
      <x:c r="A449" s="52"/>
      <x:c r="B449" s="52"/>
      <x:c r="C449" s="52"/>
      <x:c r="D449" s="52"/>
      <x:c r="E449" s="52"/>
      <x:c r="F449" s="52"/>
      <x:c r="G449" s="52"/>
      <x:c r="H449" s="52"/>
      <x:c r="I449" s="52"/>
      <x:c r="J449" s="52"/>
      <x:c r="K449" s="52"/>
      <x:c r="L449" s="55"/>
      <x:c r="M449" s="55"/>
      <x:c r="N449" s="55"/>
      <x:c r="O449" s="52"/>
      <x:c r="P449" s="52"/>
      <x:c r="Q449" s="52"/>
      <x:c r="R449" s="52"/>
      <x:c r="S449" s="52"/>
      <x:c r="T449" s="52"/>
      <x:c r="U449" s="52"/>
      <x:c r="V449" s="52"/>
      <x:c r="W449" s="52"/>
      <x:c r="X449" s="52"/>
      <x:c r="Y449" s="52"/>
      <x:c r="Z449" s="52"/>
      <x:c r="AA449" s="52"/>
      <x:c r="AB449" s="52"/>
      <x:c r="AC449" s="52"/>
      <x:c r="AD449" s="52"/>
      <x:c r="AE449" s="52"/>
      <x:c r="AF449" s="52"/>
      <x:c r="AG449" s="52"/>
      <x:c r="AH449" s="52"/>
      <x:c r="AI449" s="52"/>
      <x:c r="AJ449" s="52"/>
    </x:row>
    <x:row r="450">
      <x:c r="A450" s="52"/>
      <x:c r="B450" s="52"/>
      <x:c r="C450" s="52"/>
      <x:c r="D450" s="52"/>
      <x:c r="E450" s="52"/>
      <x:c r="F450" s="52"/>
      <x:c r="G450" s="52"/>
      <x:c r="H450" s="52"/>
      <x:c r="I450" s="52"/>
      <x:c r="J450" s="52"/>
      <x:c r="K450" s="52"/>
      <x:c r="L450" s="55"/>
      <x:c r="M450" s="55"/>
      <x:c r="N450" s="55"/>
      <x:c r="O450" s="52"/>
      <x:c r="P450" s="52"/>
      <x:c r="Q450" s="52"/>
      <x:c r="R450" s="52"/>
      <x:c r="S450" s="52"/>
      <x:c r="T450" s="52"/>
      <x:c r="U450" s="52"/>
      <x:c r="V450" s="52"/>
      <x:c r="W450" s="52"/>
      <x:c r="X450" s="52"/>
      <x:c r="Y450" s="52"/>
      <x:c r="Z450" s="52"/>
      <x:c r="AA450" s="52"/>
      <x:c r="AB450" s="52"/>
      <x:c r="AC450" s="52"/>
      <x:c r="AD450" s="52"/>
      <x:c r="AE450" s="52"/>
      <x:c r="AF450" s="52"/>
      <x:c r="AG450" s="52"/>
      <x:c r="AH450" s="52"/>
      <x:c r="AI450" s="52"/>
      <x:c r="AJ450" s="52"/>
    </x:row>
    <x:row r="451">
      <x:c r="A451" s="52"/>
      <x:c r="B451" s="52"/>
      <x:c r="C451" s="52"/>
      <x:c r="D451" s="52"/>
      <x:c r="E451" s="52"/>
      <x:c r="F451" s="52"/>
      <x:c r="G451" s="52"/>
      <x:c r="H451" s="52"/>
      <x:c r="I451" s="52"/>
      <x:c r="J451" s="52"/>
      <x:c r="K451" s="52"/>
      <x:c r="L451" s="55"/>
      <x:c r="M451" s="55"/>
      <x:c r="N451" s="55"/>
      <x:c r="O451" s="52"/>
      <x:c r="P451" s="52"/>
      <x:c r="Q451" s="52"/>
      <x:c r="R451" s="52"/>
      <x:c r="S451" s="52"/>
      <x:c r="T451" s="52"/>
      <x:c r="U451" s="52"/>
      <x:c r="V451" s="52"/>
      <x:c r="W451" s="52"/>
      <x:c r="X451" s="52"/>
      <x:c r="Y451" s="52"/>
      <x:c r="Z451" s="52"/>
      <x:c r="AA451" s="52"/>
      <x:c r="AB451" s="52"/>
      <x:c r="AC451" s="52"/>
      <x:c r="AD451" s="52"/>
      <x:c r="AE451" s="52"/>
      <x:c r="AF451" s="52"/>
      <x:c r="AG451" s="52"/>
      <x:c r="AH451" s="52"/>
      <x:c r="AI451" s="52"/>
      <x:c r="AJ451" s="52"/>
    </x:row>
    <x:row r="452">
      <x:c r="A452" s="52"/>
      <x:c r="B452" s="52"/>
      <x:c r="C452" s="52"/>
      <x:c r="D452" s="52"/>
      <x:c r="E452" s="52"/>
      <x:c r="F452" s="52"/>
      <x:c r="G452" s="52"/>
      <x:c r="H452" s="52"/>
      <x:c r="I452" s="52"/>
      <x:c r="J452" s="52"/>
      <x:c r="K452" s="52"/>
      <x:c r="L452" s="55"/>
      <x:c r="M452" s="55"/>
      <x:c r="N452" s="55"/>
      <x:c r="O452" s="52"/>
      <x:c r="P452" s="52"/>
      <x:c r="Q452" s="52"/>
      <x:c r="R452" s="52"/>
      <x:c r="S452" s="52"/>
      <x:c r="T452" s="52"/>
      <x:c r="U452" s="52"/>
      <x:c r="V452" s="52"/>
      <x:c r="W452" s="52"/>
      <x:c r="X452" s="52"/>
      <x:c r="Y452" s="52"/>
      <x:c r="Z452" s="52"/>
      <x:c r="AA452" s="52"/>
      <x:c r="AB452" s="52"/>
      <x:c r="AC452" s="52"/>
      <x:c r="AD452" s="52"/>
      <x:c r="AE452" s="52"/>
      <x:c r="AF452" s="52"/>
      <x:c r="AG452" s="52"/>
      <x:c r="AH452" s="52"/>
      <x:c r="AI452" s="52"/>
      <x:c r="AJ452" s="52"/>
    </x:row>
    <x:row r="453">
      <x:c r="A453" s="52"/>
      <x:c r="B453" s="52"/>
      <x:c r="C453" s="52"/>
      <x:c r="D453" s="52"/>
      <x:c r="E453" s="52"/>
      <x:c r="F453" s="52"/>
      <x:c r="G453" s="52"/>
      <x:c r="H453" s="52"/>
      <x:c r="I453" s="52"/>
      <x:c r="J453" s="52"/>
      <x:c r="K453" s="52"/>
      <x:c r="L453" s="55"/>
      <x:c r="M453" s="55"/>
      <x:c r="N453" s="55"/>
      <x:c r="O453" s="52"/>
      <x:c r="P453" s="52"/>
      <x:c r="Q453" s="52"/>
      <x:c r="R453" s="52"/>
      <x:c r="S453" s="52"/>
      <x:c r="T453" s="52"/>
      <x:c r="U453" s="52"/>
      <x:c r="V453" s="52"/>
      <x:c r="W453" s="52"/>
      <x:c r="X453" s="52"/>
      <x:c r="Y453" s="52"/>
      <x:c r="Z453" s="52"/>
      <x:c r="AA453" s="52"/>
      <x:c r="AB453" s="52"/>
      <x:c r="AC453" s="52"/>
      <x:c r="AD453" s="52"/>
      <x:c r="AE453" s="52"/>
      <x:c r="AF453" s="52"/>
      <x:c r="AG453" s="52"/>
      <x:c r="AH453" s="52"/>
      <x:c r="AI453" s="52"/>
      <x:c r="AJ453" s="52"/>
    </x:row>
    <x:row r="454">
      <x:c r="A454" s="52"/>
      <x:c r="B454" s="52"/>
      <x:c r="C454" s="52"/>
      <x:c r="D454" s="52"/>
      <x:c r="E454" s="52"/>
      <x:c r="F454" s="52"/>
      <x:c r="G454" s="52"/>
      <x:c r="H454" s="52"/>
      <x:c r="I454" s="52"/>
      <x:c r="J454" s="52"/>
      <x:c r="K454" s="52"/>
      <x:c r="L454" s="55"/>
      <x:c r="M454" s="55"/>
      <x:c r="N454" s="55"/>
      <x:c r="O454" s="52"/>
      <x:c r="P454" s="52"/>
      <x:c r="Q454" s="52"/>
      <x:c r="R454" s="52"/>
      <x:c r="S454" s="52"/>
      <x:c r="T454" s="52"/>
      <x:c r="U454" s="52"/>
      <x:c r="V454" s="52"/>
      <x:c r="W454" s="52"/>
      <x:c r="X454" s="52"/>
      <x:c r="Y454" s="52"/>
      <x:c r="Z454" s="52"/>
      <x:c r="AA454" s="52"/>
      <x:c r="AB454" s="52"/>
      <x:c r="AC454" s="52"/>
      <x:c r="AD454" s="52"/>
      <x:c r="AE454" s="52"/>
      <x:c r="AF454" s="52"/>
      <x:c r="AG454" s="52"/>
      <x:c r="AH454" s="52"/>
      <x:c r="AI454" s="52"/>
      <x:c r="AJ454" s="52"/>
    </x:row>
    <x:row r="455">
      <x:c r="A455" s="52"/>
      <x:c r="B455" s="52"/>
      <x:c r="C455" s="52"/>
      <x:c r="D455" s="52"/>
      <x:c r="E455" s="52"/>
      <x:c r="F455" s="52"/>
      <x:c r="G455" s="52"/>
      <x:c r="H455" s="52"/>
      <x:c r="I455" s="52"/>
      <x:c r="J455" s="52"/>
      <x:c r="K455" s="52"/>
      <x:c r="L455" s="55"/>
      <x:c r="M455" s="55"/>
      <x:c r="N455" s="55"/>
      <x:c r="O455" s="52"/>
      <x:c r="P455" s="52"/>
      <x:c r="Q455" s="52"/>
      <x:c r="R455" s="52"/>
      <x:c r="S455" s="52"/>
      <x:c r="T455" s="52"/>
      <x:c r="U455" s="52"/>
      <x:c r="V455" s="52"/>
      <x:c r="W455" s="52"/>
      <x:c r="X455" s="52"/>
      <x:c r="Y455" s="52"/>
      <x:c r="Z455" s="52"/>
      <x:c r="AA455" s="52"/>
      <x:c r="AB455" s="52"/>
      <x:c r="AC455" s="52"/>
      <x:c r="AD455" s="52"/>
      <x:c r="AE455" s="52"/>
      <x:c r="AF455" s="52"/>
      <x:c r="AG455" s="52"/>
      <x:c r="AH455" s="52"/>
      <x:c r="AI455" s="52"/>
      <x:c r="AJ455" s="52"/>
    </x:row>
    <x:row r="456">
      <x:c r="A456" s="52"/>
      <x:c r="B456" s="52"/>
      <x:c r="C456" s="52"/>
      <x:c r="D456" s="52"/>
      <x:c r="E456" s="52"/>
      <x:c r="F456" s="52"/>
      <x:c r="G456" s="52"/>
      <x:c r="H456" s="52"/>
      <x:c r="I456" s="52"/>
      <x:c r="J456" s="52"/>
      <x:c r="K456" s="52"/>
      <x:c r="L456" s="55"/>
      <x:c r="M456" s="55"/>
      <x:c r="N456" s="55"/>
      <x:c r="O456" s="52"/>
      <x:c r="P456" s="52"/>
      <x:c r="Q456" s="52"/>
      <x:c r="R456" s="52"/>
      <x:c r="S456" s="52"/>
      <x:c r="T456" s="52"/>
      <x:c r="U456" s="52"/>
      <x:c r="V456" s="52"/>
      <x:c r="W456" s="52"/>
      <x:c r="X456" s="52"/>
      <x:c r="Y456" s="52"/>
      <x:c r="Z456" s="52"/>
      <x:c r="AA456" s="52"/>
      <x:c r="AB456" s="52"/>
      <x:c r="AC456" s="52"/>
      <x:c r="AD456" s="52"/>
      <x:c r="AE456" s="52"/>
      <x:c r="AF456" s="52"/>
      <x:c r="AG456" s="52"/>
      <x:c r="AH456" s="52"/>
      <x:c r="AI456" s="52"/>
      <x:c r="AJ456" s="52"/>
    </x:row>
    <x:row r="457">
      <x:c r="A457" s="52"/>
      <x:c r="B457" s="52"/>
      <x:c r="C457" s="52"/>
      <x:c r="D457" s="52"/>
      <x:c r="E457" s="52"/>
      <x:c r="F457" s="52"/>
      <x:c r="G457" s="52"/>
      <x:c r="H457" s="52"/>
      <x:c r="I457" s="52"/>
      <x:c r="J457" s="52"/>
      <x:c r="K457" s="52"/>
      <x:c r="L457" s="55"/>
      <x:c r="M457" s="55"/>
      <x:c r="N457" s="55"/>
      <x:c r="O457" s="52"/>
      <x:c r="P457" s="52"/>
      <x:c r="Q457" s="52"/>
      <x:c r="R457" s="52"/>
      <x:c r="S457" s="52"/>
      <x:c r="T457" s="52"/>
      <x:c r="U457" s="52"/>
      <x:c r="V457" s="52"/>
      <x:c r="W457" s="52"/>
      <x:c r="X457" s="52"/>
      <x:c r="Y457" s="52"/>
      <x:c r="Z457" s="52"/>
      <x:c r="AA457" s="52"/>
      <x:c r="AB457" s="52"/>
      <x:c r="AC457" s="52"/>
      <x:c r="AD457" s="52"/>
      <x:c r="AE457" s="52"/>
      <x:c r="AF457" s="52"/>
      <x:c r="AG457" s="52"/>
      <x:c r="AH457" s="52"/>
      <x:c r="AI457" s="52"/>
      <x:c r="AJ457" s="52"/>
    </x:row>
    <x:row r="458">
      <x:c r="A458" s="52"/>
      <x:c r="B458" s="52"/>
      <x:c r="C458" s="52"/>
      <x:c r="D458" s="52"/>
      <x:c r="E458" s="52"/>
      <x:c r="F458" s="52"/>
      <x:c r="G458" s="52"/>
      <x:c r="H458" s="52"/>
      <x:c r="I458" s="52"/>
      <x:c r="J458" s="52"/>
      <x:c r="K458" s="52"/>
      <x:c r="L458" s="55"/>
      <x:c r="M458" s="55"/>
      <x:c r="N458" s="55"/>
      <x:c r="O458" s="52"/>
      <x:c r="P458" s="52"/>
      <x:c r="Q458" s="52"/>
      <x:c r="R458" s="52"/>
      <x:c r="S458" s="52"/>
      <x:c r="T458" s="52"/>
      <x:c r="U458" s="52"/>
      <x:c r="V458" s="52"/>
      <x:c r="W458" s="52"/>
      <x:c r="X458" s="52"/>
      <x:c r="Y458" s="52"/>
      <x:c r="Z458" s="52"/>
      <x:c r="AA458" s="52"/>
      <x:c r="AB458" s="52"/>
      <x:c r="AC458" s="52"/>
      <x:c r="AD458" s="52"/>
      <x:c r="AE458" s="52"/>
      <x:c r="AF458" s="52"/>
      <x:c r="AG458" s="52"/>
      <x:c r="AH458" s="52"/>
      <x:c r="AI458" s="52"/>
      <x:c r="AJ458" s="52"/>
    </x:row>
    <x:row r="459">
      <x:c r="A459" s="52"/>
      <x:c r="B459" s="52"/>
      <x:c r="C459" s="52"/>
      <x:c r="D459" s="52"/>
      <x:c r="E459" s="52"/>
      <x:c r="F459" s="52"/>
      <x:c r="G459" s="52"/>
      <x:c r="H459" s="52"/>
      <x:c r="I459" s="52"/>
      <x:c r="J459" s="52"/>
      <x:c r="K459" s="52"/>
      <x:c r="L459" s="55"/>
      <x:c r="M459" s="55"/>
      <x:c r="N459" s="55"/>
      <x:c r="O459" s="52"/>
      <x:c r="P459" s="52"/>
      <x:c r="Q459" s="52"/>
      <x:c r="R459" s="52"/>
      <x:c r="S459" s="52"/>
      <x:c r="T459" s="52"/>
      <x:c r="U459" s="52"/>
      <x:c r="V459" s="52"/>
      <x:c r="W459" s="52"/>
      <x:c r="X459" s="52"/>
      <x:c r="Y459" s="52"/>
      <x:c r="Z459" s="52"/>
      <x:c r="AA459" s="52"/>
      <x:c r="AB459" s="52"/>
      <x:c r="AC459" s="52"/>
      <x:c r="AD459" s="52"/>
      <x:c r="AE459" s="52"/>
      <x:c r="AF459" s="52"/>
      <x:c r="AG459" s="52"/>
      <x:c r="AH459" s="52"/>
      <x:c r="AI459" s="52"/>
      <x:c r="AJ459" s="52"/>
    </x:row>
    <x:row r="460">
      <x:c r="A460" s="52"/>
      <x:c r="B460" s="52"/>
      <x:c r="C460" s="52"/>
      <x:c r="D460" s="52"/>
      <x:c r="E460" s="52"/>
      <x:c r="F460" s="52"/>
      <x:c r="G460" s="52"/>
      <x:c r="H460" s="52"/>
      <x:c r="I460" s="52"/>
      <x:c r="J460" s="52"/>
      <x:c r="K460" s="52"/>
      <x:c r="L460" s="55"/>
      <x:c r="M460" s="55"/>
      <x:c r="N460" s="55"/>
      <x:c r="O460" s="52"/>
      <x:c r="P460" s="52"/>
      <x:c r="Q460" s="52"/>
      <x:c r="R460" s="52"/>
      <x:c r="S460" s="52"/>
      <x:c r="T460" s="52"/>
      <x:c r="U460" s="52"/>
      <x:c r="V460" s="52"/>
      <x:c r="W460" s="52"/>
      <x:c r="X460" s="52"/>
      <x:c r="Y460" s="52"/>
      <x:c r="Z460" s="52"/>
      <x:c r="AA460" s="52"/>
      <x:c r="AB460" s="52"/>
      <x:c r="AC460" s="52"/>
      <x:c r="AD460" s="52"/>
      <x:c r="AE460" s="52"/>
      <x:c r="AF460" s="52"/>
      <x:c r="AG460" s="52"/>
      <x:c r="AH460" s="52"/>
      <x:c r="AI460" s="52"/>
      <x:c r="AJ460" s="52"/>
    </x:row>
    <x:row r="461">
      <x:c r="A461" s="52"/>
      <x:c r="B461" s="52"/>
      <x:c r="C461" s="52"/>
      <x:c r="D461" s="52"/>
      <x:c r="E461" s="52"/>
      <x:c r="F461" s="52"/>
      <x:c r="G461" s="52"/>
      <x:c r="H461" s="52"/>
      <x:c r="I461" s="52"/>
      <x:c r="J461" s="52"/>
      <x:c r="K461" s="52"/>
      <x:c r="L461" s="55"/>
      <x:c r="M461" s="55"/>
      <x:c r="N461" s="55"/>
      <x:c r="O461" s="52"/>
      <x:c r="P461" s="52"/>
      <x:c r="Q461" s="52"/>
      <x:c r="R461" s="52"/>
      <x:c r="S461" s="52"/>
      <x:c r="T461" s="52"/>
      <x:c r="U461" s="52"/>
      <x:c r="V461" s="52"/>
      <x:c r="W461" s="52"/>
      <x:c r="X461" s="52"/>
      <x:c r="Y461" s="52"/>
      <x:c r="Z461" s="52"/>
      <x:c r="AA461" s="52"/>
      <x:c r="AB461" s="52"/>
      <x:c r="AC461" s="52"/>
      <x:c r="AD461" s="52"/>
      <x:c r="AE461" s="52"/>
      <x:c r="AF461" s="52"/>
      <x:c r="AG461" s="52"/>
      <x:c r="AH461" s="52"/>
      <x:c r="AI461" s="52"/>
      <x:c r="AJ461" s="52"/>
    </x:row>
    <x:row r="462">
      <x:c r="A462" s="52"/>
      <x:c r="B462" s="52"/>
      <x:c r="C462" s="52"/>
      <x:c r="D462" s="52"/>
      <x:c r="E462" s="52"/>
      <x:c r="F462" s="52"/>
      <x:c r="G462" s="52"/>
      <x:c r="H462" s="52"/>
      <x:c r="I462" s="52"/>
      <x:c r="J462" s="52"/>
      <x:c r="K462" s="52"/>
      <x:c r="L462" s="55"/>
      <x:c r="M462" s="55"/>
      <x:c r="N462" s="55"/>
      <x:c r="O462" s="52"/>
      <x:c r="P462" s="52"/>
      <x:c r="Q462" s="52"/>
      <x:c r="R462" s="52"/>
      <x:c r="S462" s="52"/>
      <x:c r="T462" s="52"/>
      <x:c r="U462" s="52"/>
      <x:c r="V462" s="52"/>
      <x:c r="W462" s="52"/>
      <x:c r="X462" s="52"/>
      <x:c r="Y462" s="52"/>
      <x:c r="Z462" s="52"/>
      <x:c r="AA462" s="52"/>
      <x:c r="AB462" s="52"/>
      <x:c r="AC462" s="52"/>
      <x:c r="AD462" s="52"/>
      <x:c r="AE462" s="52"/>
      <x:c r="AF462" s="52"/>
      <x:c r="AG462" s="52"/>
      <x:c r="AH462" s="52"/>
      <x:c r="AI462" s="52"/>
      <x:c r="AJ462" s="52"/>
    </x:row>
    <x:row r="463">
      <x:c r="A463" s="52"/>
      <x:c r="B463" s="52"/>
      <x:c r="C463" s="52"/>
      <x:c r="D463" s="52"/>
      <x:c r="E463" s="52"/>
      <x:c r="F463" s="52"/>
      <x:c r="G463" s="52"/>
      <x:c r="H463" s="52"/>
      <x:c r="I463" s="52"/>
      <x:c r="J463" s="52"/>
      <x:c r="K463" s="52"/>
      <x:c r="L463" s="55"/>
      <x:c r="M463" s="55"/>
      <x:c r="N463" s="55"/>
      <x:c r="O463" s="52"/>
      <x:c r="P463" s="52"/>
      <x:c r="Q463" s="52"/>
      <x:c r="R463" s="52"/>
      <x:c r="S463" s="52"/>
      <x:c r="T463" s="52"/>
      <x:c r="U463" s="52"/>
      <x:c r="V463" s="52"/>
      <x:c r="W463" s="52"/>
      <x:c r="X463" s="52"/>
      <x:c r="Y463" s="52"/>
      <x:c r="Z463" s="52"/>
      <x:c r="AA463" s="52"/>
      <x:c r="AB463" s="52"/>
      <x:c r="AC463" s="52"/>
      <x:c r="AD463" s="52"/>
      <x:c r="AE463" s="52"/>
      <x:c r="AF463" s="52"/>
      <x:c r="AG463" s="52"/>
      <x:c r="AH463" s="52"/>
      <x:c r="AI463" s="52"/>
      <x:c r="AJ463" s="52"/>
    </x:row>
    <x:row r="464">
      <x:c r="A464" s="52"/>
      <x:c r="B464" s="52"/>
      <x:c r="C464" s="52"/>
      <x:c r="D464" s="52"/>
      <x:c r="E464" s="52"/>
      <x:c r="F464" s="52"/>
      <x:c r="G464" s="52"/>
      <x:c r="H464" s="52"/>
      <x:c r="I464" s="52"/>
      <x:c r="J464" s="52"/>
      <x:c r="K464" s="52"/>
      <x:c r="L464" s="55"/>
      <x:c r="M464" s="55"/>
      <x:c r="N464" s="55"/>
      <x:c r="O464" s="52"/>
      <x:c r="P464" s="52"/>
      <x:c r="Q464" s="52"/>
      <x:c r="R464" s="52"/>
      <x:c r="S464" s="52"/>
      <x:c r="T464" s="52"/>
      <x:c r="U464" s="52"/>
      <x:c r="V464" s="52"/>
      <x:c r="W464" s="52"/>
      <x:c r="X464" s="52"/>
      <x:c r="Y464" s="52"/>
      <x:c r="Z464" s="52"/>
      <x:c r="AA464" s="52"/>
      <x:c r="AB464" s="52"/>
      <x:c r="AC464" s="52"/>
      <x:c r="AD464" s="52"/>
      <x:c r="AE464" s="52"/>
      <x:c r="AF464" s="52"/>
      <x:c r="AG464" s="52"/>
      <x:c r="AH464" s="52"/>
      <x:c r="AI464" s="52"/>
      <x:c r="AJ464" s="52"/>
    </x:row>
    <x:row r="465">
      <x:c r="A465" s="52"/>
      <x:c r="B465" s="52"/>
      <x:c r="C465" s="52"/>
      <x:c r="D465" s="52"/>
      <x:c r="E465" s="52"/>
      <x:c r="F465" s="52"/>
      <x:c r="G465" s="52"/>
      <x:c r="H465" s="52"/>
      <x:c r="I465" s="52"/>
      <x:c r="J465" s="52"/>
      <x:c r="K465" s="52"/>
      <x:c r="L465" s="55"/>
      <x:c r="M465" s="55"/>
      <x:c r="N465" s="55"/>
      <x:c r="O465" s="52"/>
      <x:c r="P465" s="52"/>
      <x:c r="Q465" s="52"/>
      <x:c r="R465" s="52"/>
      <x:c r="S465" s="52"/>
      <x:c r="T465" s="52"/>
      <x:c r="U465" s="52"/>
      <x:c r="V465" s="52"/>
      <x:c r="W465" s="52"/>
      <x:c r="X465" s="52"/>
      <x:c r="Y465" s="52"/>
      <x:c r="Z465" s="52"/>
      <x:c r="AA465" s="52"/>
      <x:c r="AB465" s="52"/>
      <x:c r="AC465" s="52"/>
      <x:c r="AD465" s="52"/>
      <x:c r="AE465" s="52"/>
      <x:c r="AF465" s="52"/>
      <x:c r="AG465" s="52"/>
      <x:c r="AH465" s="52"/>
      <x:c r="AI465" s="52"/>
      <x:c r="AJ465" s="52"/>
    </x:row>
    <x:row r="466">
      <x:c r="A466" s="52"/>
      <x:c r="B466" s="52"/>
      <x:c r="C466" s="52"/>
      <x:c r="D466" s="52"/>
      <x:c r="E466" s="52"/>
      <x:c r="F466" s="52"/>
      <x:c r="G466" s="52"/>
      <x:c r="H466" s="52"/>
      <x:c r="I466" s="52"/>
      <x:c r="J466" s="52"/>
      <x:c r="K466" s="52"/>
      <x:c r="L466" s="55"/>
      <x:c r="M466" s="55"/>
      <x:c r="N466" s="55"/>
      <x:c r="O466" s="52"/>
      <x:c r="P466" s="52"/>
      <x:c r="Q466" s="52"/>
      <x:c r="R466" s="52"/>
      <x:c r="S466" s="52"/>
      <x:c r="T466" s="52"/>
      <x:c r="U466" s="52"/>
      <x:c r="V466" s="52"/>
      <x:c r="W466" s="52"/>
      <x:c r="X466" s="52"/>
      <x:c r="Y466" s="52"/>
      <x:c r="Z466" s="52"/>
      <x:c r="AA466" s="52"/>
      <x:c r="AB466" s="52"/>
      <x:c r="AC466" s="52"/>
      <x:c r="AD466" s="52"/>
      <x:c r="AE466" s="52"/>
      <x:c r="AF466" s="52"/>
      <x:c r="AG466" s="52"/>
      <x:c r="AH466" s="52"/>
      <x:c r="AI466" s="52"/>
      <x:c r="AJ466" s="52"/>
    </x:row>
    <x:row r="467">
      <x:c r="A467" s="52"/>
      <x:c r="B467" s="52"/>
      <x:c r="C467" s="52"/>
      <x:c r="D467" s="52"/>
      <x:c r="E467" s="52"/>
      <x:c r="F467" s="52"/>
      <x:c r="G467" s="52"/>
      <x:c r="H467" s="52"/>
      <x:c r="I467" s="52"/>
      <x:c r="J467" s="52"/>
      <x:c r="K467" s="52"/>
      <x:c r="L467" s="55"/>
      <x:c r="M467" s="55"/>
      <x:c r="N467" s="55"/>
      <x:c r="O467" s="52"/>
      <x:c r="P467" s="52"/>
      <x:c r="Q467" s="52"/>
      <x:c r="R467" s="52"/>
      <x:c r="S467" s="52"/>
      <x:c r="T467" s="52"/>
      <x:c r="U467" s="52"/>
      <x:c r="V467" s="52"/>
      <x:c r="W467" s="52"/>
      <x:c r="X467" s="52"/>
      <x:c r="Y467" s="52"/>
      <x:c r="Z467" s="52"/>
      <x:c r="AA467" s="52"/>
      <x:c r="AB467" s="52"/>
      <x:c r="AC467" s="52"/>
      <x:c r="AD467" s="52"/>
      <x:c r="AE467" s="52"/>
      <x:c r="AF467" s="52"/>
      <x:c r="AG467" s="52"/>
      <x:c r="AH467" s="52"/>
      <x:c r="AI467" s="52"/>
      <x:c r="AJ467" s="52"/>
    </x:row>
    <x:row r="468">
      <x:c r="A468" s="52"/>
      <x:c r="B468" s="52"/>
      <x:c r="C468" s="52"/>
      <x:c r="D468" s="52"/>
      <x:c r="E468" s="52"/>
      <x:c r="F468" s="52"/>
      <x:c r="G468" s="52"/>
      <x:c r="H468" s="52"/>
      <x:c r="I468" s="52"/>
      <x:c r="J468" s="52"/>
      <x:c r="K468" s="52"/>
      <x:c r="L468" s="55"/>
      <x:c r="M468" s="55"/>
      <x:c r="N468" s="55"/>
      <x:c r="O468" s="52"/>
      <x:c r="P468" s="52"/>
      <x:c r="Q468" s="52"/>
      <x:c r="R468" s="52"/>
      <x:c r="S468" s="52"/>
      <x:c r="T468" s="52"/>
      <x:c r="U468" s="52"/>
      <x:c r="V468" s="52"/>
      <x:c r="W468" s="52"/>
      <x:c r="X468" s="52"/>
      <x:c r="Y468" s="52"/>
      <x:c r="Z468" s="52"/>
      <x:c r="AA468" s="52"/>
      <x:c r="AB468" s="52"/>
      <x:c r="AC468" s="52"/>
      <x:c r="AD468" s="52"/>
      <x:c r="AE468" s="52"/>
      <x:c r="AF468" s="52"/>
      <x:c r="AG468" s="52"/>
      <x:c r="AH468" s="52"/>
      <x:c r="AI468" s="52"/>
      <x:c r="AJ468" s="52"/>
    </x:row>
    <x:row r="469">
      <x:c r="A469" s="52"/>
      <x:c r="B469" s="52"/>
      <x:c r="C469" s="52"/>
      <x:c r="D469" s="52"/>
      <x:c r="E469" s="52"/>
      <x:c r="F469" s="52"/>
      <x:c r="G469" s="52"/>
      <x:c r="H469" s="52"/>
      <x:c r="I469" s="52"/>
      <x:c r="J469" s="52"/>
      <x:c r="K469" s="52"/>
      <x:c r="L469" s="55"/>
      <x:c r="M469" s="55"/>
      <x:c r="N469" s="55"/>
      <x:c r="O469" s="52"/>
      <x:c r="P469" s="52"/>
      <x:c r="Q469" s="52"/>
      <x:c r="R469" s="52"/>
      <x:c r="S469" s="52"/>
      <x:c r="T469" s="52"/>
      <x:c r="U469" s="52"/>
      <x:c r="V469" s="52"/>
      <x:c r="W469" s="52"/>
      <x:c r="X469" s="52"/>
      <x:c r="Y469" s="52"/>
      <x:c r="Z469" s="52"/>
      <x:c r="AA469" s="52"/>
      <x:c r="AB469" s="52"/>
      <x:c r="AC469" s="52"/>
      <x:c r="AD469" s="52"/>
      <x:c r="AE469" s="52"/>
      <x:c r="AF469" s="52"/>
      <x:c r="AG469" s="52"/>
      <x:c r="AH469" s="52"/>
      <x:c r="AI469" s="52"/>
      <x:c r="AJ469" s="52"/>
    </x:row>
    <x:row r="470">
      <x:c r="A470" s="52"/>
      <x:c r="B470" s="52"/>
      <x:c r="C470" s="52"/>
      <x:c r="D470" s="52"/>
      <x:c r="E470" s="52"/>
      <x:c r="F470" s="52"/>
      <x:c r="G470" s="52"/>
      <x:c r="H470" s="52"/>
      <x:c r="I470" s="52"/>
      <x:c r="J470" s="52"/>
      <x:c r="K470" s="52"/>
      <x:c r="L470" s="55"/>
      <x:c r="M470" s="55"/>
      <x:c r="N470" s="55"/>
      <x:c r="O470" s="52"/>
      <x:c r="P470" s="52"/>
      <x:c r="Q470" s="52"/>
      <x:c r="R470" s="52"/>
      <x:c r="S470" s="52"/>
      <x:c r="T470" s="52"/>
      <x:c r="U470" s="52"/>
      <x:c r="V470" s="52"/>
      <x:c r="W470" s="52"/>
      <x:c r="X470" s="52"/>
      <x:c r="Y470" s="52"/>
      <x:c r="Z470" s="52"/>
      <x:c r="AA470" s="52"/>
      <x:c r="AB470" s="52"/>
      <x:c r="AC470" s="52"/>
      <x:c r="AD470" s="52"/>
      <x:c r="AE470" s="52"/>
      <x:c r="AF470" s="52"/>
      <x:c r="AG470" s="52"/>
      <x:c r="AH470" s="52"/>
      <x:c r="AI470" s="52"/>
      <x:c r="AJ470" s="52"/>
    </x:row>
    <x:row r="471">
      <x:c r="A471" s="52"/>
      <x:c r="B471" s="52"/>
      <x:c r="C471" s="52"/>
      <x:c r="D471" s="52"/>
      <x:c r="E471" s="52"/>
      <x:c r="F471" s="52"/>
      <x:c r="G471" s="52"/>
      <x:c r="H471" s="52"/>
      <x:c r="I471" s="52"/>
      <x:c r="J471" s="52"/>
      <x:c r="K471" s="52"/>
      <x:c r="L471" s="55"/>
      <x:c r="M471" s="55"/>
      <x:c r="N471" s="55"/>
      <x:c r="O471" s="52"/>
      <x:c r="P471" s="52"/>
      <x:c r="Q471" s="52"/>
      <x:c r="R471" s="52"/>
      <x:c r="S471" s="52"/>
      <x:c r="T471" s="52"/>
      <x:c r="U471" s="52"/>
      <x:c r="V471" s="52"/>
      <x:c r="W471" s="52"/>
      <x:c r="X471" s="52"/>
      <x:c r="Y471" s="52"/>
      <x:c r="Z471" s="52"/>
      <x:c r="AA471" s="52"/>
      <x:c r="AB471" s="52"/>
      <x:c r="AC471" s="52"/>
      <x:c r="AD471" s="52"/>
      <x:c r="AE471" s="52"/>
      <x:c r="AF471" s="52"/>
      <x:c r="AG471" s="52"/>
      <x:c r="AH471" s="52"/>
      <x:c r="AI471" s="52"/>
      <x:c r="AJ471" s="52"/>
    </x:row>
    <x:row r="472">
      <x:c r="A472" s="52"/>
      <x:c r="B472" s="52"/>
      <x:c r="C472" s="52"/>
      <x:c r="D472" s="52"/>
      <x:c r="E472" s="52"/>
      <x:c r="F472" s="52"/>
      <x:c r="G472" s="52"/>
      <x:c r="H472" s="52"/>
      <x:c r="I472" s="52"/>
      <x:c r="J472" s="52"/>
      <x:c r="K472" s="52"/>
      <x:c r="L472" s="55"/>
      <x:c r="M472" s="55"/>
      <x:c r="N472" s="55"/>
      <x:c r="O472" s="52"/>
      <x:c r="P472" s="52"/>
      <x:c r="Q472" s="52"/>
      <x:c r="R472" s="52"/>
      <x:c r="S472" s="52"/>
      <x:c r="T472" s="52"/>
      <x:c r="U472" s="52"/>
      <x:c r="V472" s="52"/>
      <x:c r="W472" s="52"/>
      <x:c r="X472" s="52"/>
      <x:c r="Y472" s="52"/>
      <x:c r="Z472" s="52"/>
      <x:c r="AA472" s="52"/>
      <x:c r="AB472" s="52"/>
      <x:c r="AC472" s="52"/>
      <x:c r="AD472" s="52"/>
      <x:c r="AE472" s="52"/>
      <x:c r="AF472" s="52"/>
      <x:c r="AG472" s="52"/>
      <x:c r="AH472" s="52"/>
      <x:c r="AI472" s="52"/>
      <x:c r="AJ472" s="52"/>
    </x:row>
    <x:row r="473">
      <x:c r="A473" s="52"/>
      <x:c r="B473" s="52"/>
      <x:c r="C473" s="52"/>
      <x:c r="D473" s="52"/>
      <x:c r="E473" s="52"/>
      <x:c r="F473" s="52"/>
      <x:c r="G473" s="52"/>
      <x:c r="H473" s="52"/>
      <x:c r="I473" s="52"/>
      <x:c r="J473" s="52"/>
      <x:c r="K473" s="52"/>
      <x:c r="L473" s="55"/>
      <x:c r="M473" s="55"/>
      <x:c r="N473" s="55"/>
      <x:c r="O473" s="52"/>
      <x:c r="P473" s="52"/>
      <x:c r="Q473" s="52"/>
      <x:c r="R473" s="52"/>
      <x:c r="S473" s="52"/>
      <x:c r="T473" s="52"/>
      <x:c r="U473" s="52"/>
      <x:c r="V473" s="52"/>
      <x:c r="W473" s="52"/>
      <x:c r="X473" s="52"/>
      <x:c r="Y473" s="52"/>
      <x:c r="Z473" s="52"/>
      <x:c r="AA473" s="52"/>
      <x:c r="AB473" s="52"/>
      <x:c r="AC473" s="52"/>
      <x:c r="AD473" s="52"/>
      <x:c r="AE473" s="52"/>
      <x:c r="AF473" s="52"/>
      <x:c r="AG473" s="52"/>
      <x:c r="AH473" s="52"/>
      <x:c r="AI473" s="52"/>
      <x:c r="AJ473" s="52"/>
    </x:row>
    <x:row r="474">
      <x:c r="A474" s="52"/>
      <x:c r="B474" s="52"/>
      <x:c r="C474" s="52"/>
      <x:c r="D474" s="52"/>
      <x:c r="E474" s="52"/>
      <x:c r="F474" s="52"/>
      <x:c r="G474" s="52"/>
      <x:c r="H474" s="52"/>
      <x:c r="I474" s="52"/>
      <x:c r="J474" s="52"/>
      <x:c r="K474" s="52"/>
      <x:c r="L474" s="55"/>
      <x:c r="M474" s="55"/>
      <x:c r="N474" s="55"/>
      <x:c r="O474" s="52"/>
      <x:c r="P474" s="52"/>
      <x:c r="Q474" s="52"/>
      <x:c r="R474" s="52"/>
      <x:c r="S474" s="52"/>
      <x:c r="T474" s="52"/>
      <x:c r="U474" s="52"/>
      <x:c r="V474" s="52"/>
      <x:c r="W474" s="52"/>
      <x:c r="X474" s="52"/>
      <x:c r="Y474" s="52"/>
      <x:c r="Z474" s="52"/>
      <x:c r="AA474" s="52"/>
      <x:c r="AB474" s="52"/>
      <x:c r="AC474" s="52"/>
      <x:c r="AD474" s="52"/>
      <x:c r="AE474" s="52"/>
      <x:c r="AF474" s="52"/>
      <x:c r="AG474" s="52"/>
      <x:c r="AH474" s="52"/>
      <x:c r="AI474" s="52"/>
      <x:c r="AJ474" s="52"/>
    </x:row>
    <x:row r="475">
      <x:c r="A475" s="52"/>
      <x:c r="B475" s="52"/>
      <x:c r="C475" s="52"/>
      <x:c r="D475" s="52"/>
      <x:c r="E475" s="52"/>
      <x:c r="F475" s="52"/>
      <x:c r="G475" s="52"/>
      <x:c r="H475" s="52"/>
      <x:c r="I475" s="52"/>
      <x:c r="J475" s="52"/>
      <x:c r="K475" s="52"/>
      <x:c r="L475" s="55"/>
      <x:c r="M475" s="55"/>
      <x:c r="N475" s="55"/>
      <x:c r="O475" s="52"/>
      <x:c r="P475" s="52"/>
      <x:c r="Q475" s="52"/>
      <x:c r="R475" s="52"/>
      <x:c r="S475" s="52"/>
      <x:c r="T475" s="52"/>
      <x:c r="U475" s="52"/>
      <x:c r="V475" s="52"/>
      <x:c r="W475" s="52"/>
      <x:c r="X475" s="52"/>
      <x:c r="Y475" s="52"/>
      <x:c r="Z475" s="52"/>
      <x:c r="AA475" s="52"/>
      <x:c r="AB475" s="52"/>
      <x:c r="AC475" s="52"/>
      <x:c r="AD475" s="52"/>
      <x:c r="AE475" s="52"/>
      <x:c r="AF475" s="52"/>
      <x:c r="AG475" s="52"/>
      <x:c r="AH475" s="52"/>
      <x:c r="AI475" s="52"/>
      <x:c r="AJ475" s="52"/>
    </x:row>
    <x:row r="476">
      <x:c r="A476" s="52"/>
      <x:c r="B476" s="52"/>
      <x:c r="C476" s="52"/>
      <x:c r="D476" s="52"/>
      <x:c r="E476" s="52"/>
      <x:c r="F476" s="52"/>
      <x:c r="G476" s="52"/>
      <x:c r="H476" s="52"/>
      <x:c r="I476" s="52"/>
      <x:c r="J476" s="52"/>
      <x:c r="K476" s="52"/>
      <x:c r="L476" s="55"/>
      <x:c r="M476" s="55"/>
      <x:c r="N476" s="55"/>
      <x:c r="O476" s="52"/>
      <x:c r="P476" s="52"/>
      <x:c r="Q476" s="52"/>
      <x:c r="R476" s="52"/>
      <x:c r="S476" s="52"/>
      <x:c r="T476" s="52"/>
      <x:c r="U476" s="52"/>
      <x:c r="V476" s="52"/>
      <x:c r="W476" s="52"/>
      <x:c r="X476" s="52"/>
      <x:c r="Y476" s="52"/>
      <x:c r="Z476" s="52"/>
      <x:c r="AA476" s="52"/>
      <x:c r="AB476" s="52"/>
      <x:c r="AC476" s="52"/>
      <x:c r="AD476" s="52"/>
      <x:c r="AE476" s="52"/>
      <x:c r="AF476" s="52"/>
      <x:c r="AG476" s="52"/>
      <x:c r="AH476" s="52"/>
      <x:c r="AI476" s="52"/>
      <x:c r="AJ476" s="52"/>
    </x:row>
    <x:row r="477">
      <x:c r="A477" s="52"/>
      <x:c r="B477" s="52"/>
      <x:c r="C477" s="52"/>
      <x:c r="D477" s="52"/>
      <x:c r="E477" s="52"/>
      <x:c r="F477" s="52"/>
      <x:c r="G477" s="52"/>
      <x:c r="H477" s="52"/>
      <x:c r="I477" s="52"/>
      <x:c r="J477" s="52"/>
      <x:c r="K477" s="52"/>
      <x:c r="L477" s="55"/>
      <x:c r="M477" s="55"/>
      <x:c r="N477" s="55"/>
      <x:c r="O477" s="52"/>
      <x:c r="P477" s="52"/>
      <x:c r="Q477" s="52"/>
      <x:c r="R477" s="52"/>
      <x:c r="S477" s="52"/>
      <x:c r="T477" s="52"/>
      <x:c r="U477" s="52"/>
      <x:c r="V477" s="52"/>
      <x:c r="W477" s="52"/>
      <x:c r="X477" s="52"/>
      <x:c r="Y477" s="52"/>
      <x:c r="Z477" s="52"/>
      <x:c r="AA477" s="52"/>
      <x:c r="AB477" s="52"/>
      <x:c r="AC477" s="52"/>
      <x:c r="AD477" s="52"/>
      <x:c r="AE477" s="52"/>
      <x:c r="AF477" s="52"/>
      <x:c r="AG477" s="52"/>
      <x:c r="AH477" s="52"/>
      <x:c r="AI477" s="52"/>
      <x:c r="AJ477" s="52"/>
    </x:row>
    <x:row r="478">
      <x:c r="A478" s="52"/>
      <x:c r="B478" s="52"/>
      <x:c r="C478" s="52"/>
      <x:c r="D478" s="52"/>
      <x:c r="E478" s="52"/>
      <x:c r="F478" s="52"/>
      <x:c r="G478" s="52"/>
      <x:c r="H478" s="52"/>
      <x:c r="I478" s="52"/>
      <x:c r="J478" s="52"/>
      <x:c r="K478" s="52"/>
      <x:c r="L478" s="55"/>
      <x:c r="M478" s="55"/>
      <x:c r="N478" s="55"/>
      <x:c r="O478" s="52"/>
      <x:c r="P478" s="52"/>
      <x:c r="Q478" s="52"/>
      <x:c r="R478" s="52"/>
      <x:c r="S478" s="52"/>
      <x:c r="T478" s="52"/>
      <x:c r="U478" s="52"/>
      <x:c r="V478" s="52"/>
      <x:c r="W478" s="52"/>
      <x:c r="X478" s="52"/>
      <x:c r="Y478" s="52"/>
      <x:c r="Z478" s="52"/>
      <x:c r="AA478" s="52"/>
      <x:c r="AB478" s="52"/>
      <x:c r="AC478" s="52"/>
      <x:c r="AD478" s="52"/>
      <x:c r="AE478" s="52"/>
      <x:c r="AF478" s="52"/>
      <x:c r="AG478" s="52"/>
      <x:c r="AH478" s="52"/>
      <x:c r="AI478" s="52"/>
      <x:c r="AJ478" s="52"/>
    </x:row>
    <x:row r="479">
      <x:c r="A479" s="52"/>
      <x:c r="B479" s="52"/>
      <x:c r="C479" s="52"/>
      <x:c r="D479" s="52"/>
      <x:c r="E479" s="52"/>
      <x:c r="F479" s="52"/>
      <x:c r="G479" s="52"/>
      <x:c r="H479" s="52"/>
      <x:c r="I479" s="52"/>
      <x:c r="J479" s="52"/>
      <x:c r="K479" s="52"/>
      <x:c r="L479" s="55"/>
      <x:c r="M479" s="55"/>
      <x:c r="N479" s="55"/>
      <x:c r="O479" s="52"/>
      <x:c r="P479" s="52"/>
      <x:c r="Q479" s="52"/>
      <x:c r="R479" s="52"/>
      <x:c r="S479" s="52"/>
      <x:c r="T479" s="52"/>
      <x:c r="U479" s="52"/>
      <x:c r="V479" s="52"/>
      <x:c r="W479" s="52"/>
      <x:c r="X479" s="52"/>
      <x:c r="Y479" s="52"/>
      <x:c r="Z479" s="52"/>
      <x:c r="AA479" s="52"/>
      <x:c r="AB479" s="52"/>
      <x:c r="AC479" s="52"/>
      <x:c r="AD479" s="52"/>
      <x:c r="AE479" s="52"/>
      <x:c r="AF479" s="52"/>
      <x:c r="AG479" s="52"/>
      <x:c r="AH479" s="52"/>
      <x:c r="AI479" s="52"/>
      <x:c r="AJ479" s="52"/>
    </x:row>
    <x:row r="480">
      <x:c r="A480" s="52"/>
      <x:c r="B480" s="52"/>
      <x:c r="C480" s="52"/>
      <x:c r="D480" s="52"/>
      <x:c r="E480" s="52"/>
      <x:c r="F480" s="52"/>
      <x:c r="G480" s="52"/>
      <x:c r="H480" s="52"/>
      <x:c r="I480" s="52"/>
      <x:c r="J480" s="52"/>
      <x:c r="K480" s="52"/>
      <x:c r="L480" s="55"/>
      <x:c r="M480" s="55"/>
      <x:c r="N480" s="55"/>
      <x:c r="O480" s="52"/>
      <x:c r="P480" s="52"/>
      <x:c r="Q480" s="52"/>
      <x:c r="R480" s="52"/>
      <x:c r="S480" s="52"/>
      <x:c r="T480" s="52"/>
      <x:c r="U480" s="52"/>
      <x:c r="V480" s="52"/>
      <x:c r="W480" s="52"/>
      <x:c r="X480" s="52"/>
      <x:c r="Y480" s="52"/>
      <x:c r="Z480" s="52"/>
      <x:c r="AA480" s="52"/>
      <x:c r="AB480" s="52"/>
      <x:c r="AC480" s="52"/>
      <x:c r="AD480" s="52"/>
      <x:c r="AE480" s="52"/>
      <x:c r="AF480" s="52"/>
      <x:c r="AG480" s="52"/>
      <x:c r="AH480" s="52"/>
      <x:c r="AI480" s="52"/>
      <x:c r="AJ480" s="52"/>
    </x:row>
    <x:row r="481">
      <x:c r="A481" s="52"/>
      <x:c r="B481" s="52"/>
      <x:c r="C481" s="52"/>
      <x:c r="D481" s="52"/>
      <x:c r="E481" s="52"/>
      <x:c r="F481" s="52"/>
      <x:c r="G481" s="52"/>
      <x:c r="H481" s="52"/>
      <x:c r="I481" s="52"/>
      <x:c r="J481" s="52"/>
      <x:c r="K481" s="52"/>
      <x:c r="L481" s="55"/>
      <x:c r="M481" s="55"/>
      <x:c r="N481" s="55"/>
      <x:c r="O481" s="52"/>
      <x:c r="P481" s="52"/>
      <x:c r="Q481" s="52"/>
      <x:c r="R481" s="52"/>
      <x:c r="S481" s="52"/>
      <x:c r="T481" s="52"/>
      <x:c r="U481" s="52"/>
      <x:c r="V481" s="52"/>
      <x:c r="W481" s="52"/>
      <x:c r="X481" s="52"/>
      <x:c r="Y481" s="52"/>
      <x:c r="Z481" s="52"/>
      <x:c r="AA481" s="52"/>
      <x:c r="AB481" s="52"/>
      <x:c r="AC481" s="52"/>
      <x:c r="AD481" s="52"/>
      <x:c r="AE481" s="52"/>
      <x:c r="AF481" s="52"/>
      <x:c r="AG481" s="52"/>
      <x:c r="AH481" s="52"/>
      <x:c r="AI481" s="52"/>
      <x:c r="AJ481" s="52"/>
    </x:row>
    <x:row r="482">
      <x:c r="A482" s="52"/>
      <x:c r="B482" s="52"/>
      <x:c r="C482" s="52"/>
      <x:c r="D482" s="52"/>
      <x:c r="E482" s="52"/>
      <x:c r="F482" s="52"/>
      <x:c r="G482" s="52"/>
      <x:c r="H482" s="52"/>
      <x:c r="I482" s="52"/>
      <x:c r="J482" s="52"/>
      <x:c r="K482" s="52"/>
      <x:c r="L482" s="55"/>
      <x:c r="M482" s="55"/>
      <x:c r="N482" s="55"/>
      <x:c r="O482" s="52"/>
      <x:c r="P482" s="52"/>
      <x:c r="Q482" s="52"/>
      <x:c r="R482" s="52"/>
      <x:c r="S482" s="52"/>
      <x:c r="T482" s="52"/>
      <x:c r="U482" s="52"/>
      <x:c r="V482" s="52"/>
      <x:c r="W482" s="52"/>
      <x:c r="X482" s="52"/>
      <x:c r="Y482" s="52"/>
      <x:c r="Z482" s="52"/>
      <x:c r="AA482" s="52"/>
      <x:c r="AB482" s="52"/>
      <x:c r="AC482" s="52"/>
      <x:c r="AD482" s="52"/>
      <x:c r="AE482" s="52"/>
      <x:c r="AF482" s="52"/>
      <x:c r="AG482" s="52"/>
      <x:c r="AH482" s="52"/>
      <x:c r="AI482" s="52"/>
      <x:c r="AJ482" s="52"/>
    </x:row>
    <x:row r="483">
      <x:c r="A483" s="52"/>
      <x:c r="B483" s="52"/>
      <x:c r="C483" s="52"/>
      <x:c r="D483" s="52"/>
      <x:c r="E483" s="52"/>
      <x:c r="F483" s="52"/>
      <x:c r="G483" s="52"/>
      <x:c r="H483" s="52"/>
      <x:c r="I483" s="52"/>
      <x:c r="J483" s="52"/>
      <x:c r="K483" s="52"/>
      <x:c r="L483" s="55"/>
      <x:c r="M483" s="55"/>
      <x:c r="N483" s="55"/>
      <x:c r="O483" s="52"/>
      <x:c r="P483" s="52"/>
      <x:c r="Q483" s="52"/>
      <x:c r="R483" s="52"/>
      <x:c r="S483" s="52"/>
      <x:c r="T483" s="52"/>
      <x:c r="U483" s="52"/>
      <x:c r="V483" s="52"/>
      <x:c r="W483" s="52"/>
      <x:c r="X483" s="52"/>
      <x:c r="Y483" s="52"/>
      <x:c r="Z483" s="52"/>
      <x:c r="AA483" s="52"/>
      <x:c r="AB483" s="52"/>
      <x:c r="AC483" s="52"/>
      <x:c r="AD483" s="52"/>
      <x:c r="AE483" s="52"/>
      <x:c r="AF483" s="52"/>
      <x:c r="AG483" s="52"/>
      <x:c r="AH483" s="52"/>
      <x:c r="AI483" s="52"/>
      <x:c r="AJ483" s="52"/>
    </x:row>
    <x:row r="484">
      <x:c r="A484" s="52"/>
      <x:c r="B484" s="52"/>
      <x:c r="C484" s="52"/>
      <x:c r="D484" s="52"/>
      <x:c r="E484" s="52"/>
      <x:c r="F484" s="52"/>
      <x:c r="G484" s="52"/>
      <x:c r="H484" s="52"/>
      <x:c r="I484" s="52"/>
      <x:c r="J484" s="52"/>
      <x:c r="K484" s="52"/>
      <x:c r="L484" s="55"/>
      <x:c r="M484" s="55"/>
      <x:c r="N484" s="55"/>
      <x:c r="O484" s="52"/>
      <x:c r="P484" s="52"/>
      <x:c r="Q484" s="52"/>
      <x:c r="R484" s="52"/>
      <x:c r="S484" s="52"/>
      <x:c r="T484" s="52"/>
      <x:c r="U484" s="52"/>
      <x:c r="V484" s="52"/>
      <x:c r="W484" s="52"/>
      <x:c r="X484" s="52"/>
      <x:c r="Y484" s="52"/>
      <x:c r="Z484" s="52"/>
      <x:c r="AA484" s="52"/>
      <x:c r="AB484" s="52"/>
      <x:c r="AC484" s="52"/>
      <x:c r="AD484" s="52"/>
      <x:c r="AE484" s="52"/>
      <x:c r="AF484" s="52"/>
      <x:c r="AG484" s="52"/>
      <x:c r="AH484" s="52"/>
      <x:c r="AI484" s="52"/>
      <x:c r="AJ484" s="52"/>
    </x:row>
    <x:row r="485">
      <x:c r="A485" s="52"/>
      <x:c r="B485" s="52"/>
      <x:c r="C485" s="52"/>
      <x:c r="D485" s="52"/>
      <x:c r="E485" s="52"/>
      <x:c r="F485" s="52"/>
      <x:c r="G485" s="52"/>
      <x:c r="H485" s="52"/>
      <x:c r="I485" s="52"/>
      <x:c r="J485" s="52"/>
      <x:c r="K485" s="52"/>
      <x:c r="L485" s="55"/>
      <x:c r="M485" s="55"/>
      <x:c r="N485" s="55"/>
      <x:c r="O485" s="52"/>
      <x:c r="P485" s="52"/>
      <x:c r="Q485" s="52"/>
      <x:c r="R485" s="52"/>
      <x:c r="S485" s="52"/>
      <x:c r="T485" s="52"/>
      <x:c r="U485" s="52"/>
      <x:c r="V485" s="52"/>
      <x:c r="W485" s="52"/>
      <x:c r="X485" s="52"/>
      <x:c r="Y485" s="52"/>
      <x:c r="Z485" s="52"/>
      <x:c r="AA485" s="52"/>
      <x:c r="AB485" s="52"/>
      <x:c r="AC485" s="52"/>
      <x:c r="AD485" s="52"/>
      <x:c r="AE485" s="52"/>
      <x:c r="AF485" s="52"/>
      <x:c r="AG485" s="52"/>
      <x:c r="AH485" s="52"/>
      <x:c r="AI485" s="52"/>
      <x:c r="AJ485" s="52"/>
    </x:row>
    <x:row r="486">
      <x:c r="A486" s="52"/>
      <x:c r="B486" s="52"/>
      <x:c r="C486" s="52"/>
      <x:c r="D486" s="52"/>
      <x:c r="E486" s="52"/>
      <x:c r="F486" s="52"/>
      <x:c r="G486" s="52"/>
      <x:c r="H486" s="52"/>
      <x:c r="I486" s="52"/>
      <x:c r="J486" s="52"/>
      <x:c r="K486" s="52"/>
      <x:c r="L486" s="55"/>
      <x:c r="M486" s="55"/>
      <x:c r="N486" s="55"/>
      <x:c r="O486" s="52"/>
      <x:c r="P486" s="52"/>
      <x:c r="Q486" s="52"/>
      <x:c r="R486" s="52"/>
      <x:c r="S486" s="52"/>
      <x:c r="T486" s="52"/>
      <x:c r="U486" s="52"/>
      <x:c r="V486" s="52"/>
      <x:c r="W486" s="52"/>
      <x:c r="X486" s="52"/>
      <x:c r="Y486" s="52"/>
      <x:c r="Z486" s="52"/>
      <x:c r="AA486" s="52"/>
      <x:c r="AB486" s="52"/>
      <x:c r="AC486" s="52"/>
      <x:c r="AD486" s="52"/>
      <x:c r="AE486" s="52"/>
      <x:c r="AF486" s="52"/>
      <x:c r="AG486" s="52"/>
      <x:c r="AH486" s="52"/>
      <x:c r="AI486" s="52"/>
      <x:c r="AJ486" s="52"/>
    </x:row>
    <x:row r="487">
      <x:c r="A487" s="52"/>
      <x:c r="B487" s="52"/>
      <x:c r="C487" s="52"/>
      <x:c r="D487" s="52"/>
      <x:c r="E487" s="52"/>
      <x:c r="F487" s="52"/>
      <x:c r="G487" s="52"/>
      <x:c r="H487" s="52"/>
      <x:c r="I487" s="52"/>
      <x:c r="J487" s="52"/>
      <x:c r="K487" s="52"/>
      <x:c r="L487" s="55"/>
      <x:c r="M487" s="55"/>
      <x:c r="N487" s="55"/>
      <x:c r="O487" s="52"/>
      <x:c r="P487" s="52"/>
      <x:c r="Q487" s="52"/>
      <x:c r="R487" s="52"/>
      <x:c r="S487" s="52"/>
      <x:c r="T487" s="52"/>
      <x:c r="U487" s="52"/>
      <x:c r="V487" s="52"/>
      <x:c r="W487" s="52"/>
      <x:c r="X487" s="52"/>
      <x:c r="Y487" s="52"/>
      <x:c r="Z487" s="52"/>
      <x:c r="AA487" s="52"/>
      <x:c r="AB487" s="52"/>
      <x:c r="AC487" s="52"/>
      <x:c r="AD487" s="52"/>
      <x:c r="AE487" s="52"/>
      <x:c r="AF487" s="52"/>
      <x:c r="AG487" s="52"/>
      <x:c r="AH487" s="52"/>
      <x:c r="AI487" s="52"/>
      <x:c r="AJ487" s="52"/>
    </x:row>
    <x:row r="488">
      <x:c r="A488" s="52"/>
      <x:c r="B488" s="52"/>
      <x:c r="C488" s="52"/>
      <x:c r="D488" s="52"/>
      <x:c r="E488" s="52"/>
      <x:c r="F488" s="52"/>
      <x:c r="G488" s="52"/>
      <x:c r="H488" s="52"/>
      <x:c r="I488" s="52"/>
      <x:c r="J488" s="52"/>
      <x:c r="K488" s="52"/>
      <x:c r="L488" s="55"/>
      <x:c r="M488" s="55"/>
      <x:c r="N488" s="55"/>
      <x:c r="O488" s="52"/>
      <x:c r="P488" s="52"/>
      <x:c r="Q488" s="52"/>
      <x:c r="R488" s="52"/>
      <x:c r="S488" s="52"/>
      <x:c r="T488" s="52"/>
      <x:c r="U488" s="52"/>
      <x:c r="V488" s="52"/>
      <x:c r="W488" s="52"/>
      <x:c r="X488" s="52"/>
      <x:c r="Y488" s="52"/>
      <x:c r="Z488" s="52"/>
      <x:c r="AA488" s="52"/>
      <x:c r="AB488" s="52"/>
      <x:c r="AC488" s="52"/>
      <x:c r="AD488" s="52"/>
      <x:c r="AE488" s="52"/>
      <x:c r="AF488" s="52"/>
      <x:c r="AG488" s="52"/>
      <x:c r="AH488" s="52"/>
      <x:c r="AI488" s="52"/>
      <x:c r="AJ488" s="52"/>
    </x:row>
    <x:row r="489">
      <x:c r="A489" s="52"/>
      <x:c r="B489" s="52"/>
      <x:c r="C489" s="52"/>
      <x:c r="D489" s="52"/>
      <x:c r="E489" s="52"/>
      <x:c r="F489" s="52"/>
      <x:c r="G489" s="52"/>
      <x:c r="H489" s="52"/>
      <x:c r="I489" s="52"/>
      <x:c r="J489" s="52"/>
      <x:c r="K489" s="52"/>
      <x:c r="L489" s="55"/>
      <x:c r="M489" s="55"/>
      <x:c r="N489" s="55"/>
      <x:c r="O489" s="52"/>
      <x:c r="P489" s="52"/>
      <x:c r="Q489" s="52"/>
      <x:c r="R489" s="52"/>
      <x:c r="S489" s="52"/>
      <x:c r="T489" s="52"/>
      <x:c r="U489" s="52"/>
      <x:c r="V489" s="52"/>
      <x:c r="W489" s="52"/>
      <x:c r="X489" s="52"/>
      <x:c r="Y489" s="52"/>
      <x:c r="Z489" s="52"/>
      <x:c r="AA489" s="52"/>
      <x:c r="AB489" s="52"/>
      <x:c r="AC489" s="52"/>
      <x:c r="AD489" s="52"/>
      <x:c r="AE489" s="52"/>
      <x:c r="AF489" s="52"/>
      <x:c r="AG489" s="52"/>
      <x:c r="AH489" s="52"/>
      <x:c r="AI489" s="52"/>
      <x:c r="AJ489" s="52"/>
    </x:row>
    <x:row r="490">
      <x:c r="A490" s="52"/>
      <x:c r="B490" s="52"/>
      <x:c r="C490" s="52"/>
      <x:c r="D490" s="52"/>
      <x:c r="E490" s="52"/>
      <x:c r="F490" s="52"/>
      <x:c r="G490" s="52"/>
      <x:c r="H490" s="52"/>
      <x:c r="I490" s="52"/>
      <x:c r="J490" s="52"/>
      <x:c r="K490" s="52"/>
      <x:c r="L490" s="55"/>
      <x:c r="M490" s="55"/>
      <x:c r="N490" s="55"/>
      <x:c r="O490" s="52"/>
      <x:c r="P490" s="52"/>
      <x:c r="Q490" s="52"/>
      <x:c r="R490" s="52"/>
      <x:c r="S490" s="52"/>
      <x:c r="T490" s="52"/>
      <x:c r="U490" s="52"/>
      <x:c r="V490" s="52"/>
      <x:c r="W490" s="52"/>
      <x:c r="X490" s="52"/>
      <x:c r="Y490" s="52"/>
      <x:c r="Z490" s="52"/>
      <x:c r="AA490" s="52"/>
      <x:c r="AB490" s="52"/>
      <x:c r="AC490" s="52"/>
      <x:c r="AD490" s="52"/>
      <x:c r="AE490" s="52"/>
      <x:c r="AF490" s="52"/>
      <x:c r="AG490" s="52"/>
      <x:c r="AH490" s="52"/>
      <x:c r="AI490" s="52"/>
      <x:c r="AJ490" s="52"/>
    </x:row>
    <x:row r="491">
      <x:c r="A491" s="52"/>
      <x:c r="B491" s="52"/>
      <x:c r="C491" s="52"/>
      <x:c r="D491" s="52"/>
      <x:c r="E491" s="52"/>
      <x:c r="F491" s="52"/>
      <x:c r="G491" s="52"/>
      <x:c r="H491" s="52"/>
      <x:c r="I491" s="52"/>
      <x:c r="J491" s="52"/>
      <x:c r="K491" s="52"/>
      <x:c r="L491" s="55"/>
      <x:c r="M491" s="55"/>
      <x:c r="N491" s="55"/>
      <x:c r="O491" s="52"/>
      <x:c r="P491" s="52"/>
      <x:c r="Q491" s="52"/>
      <x:c r="R491" s="52"/>
      <x:c r="S491" s="52"/>
      <x:c r="T491" s="52"/>
      <x:c r="U491" s="52"/>
      <x:c r="V491" s="52"/>
      <x:c r="W491" s="52"/>
      <x:c r="X491" s="52"/>
      <x:c r="Y491" s="52"/>
      <x:c r="Z491" s="52"/>
      <x:c r="AA491" s="52"/>
      <x:c r="AB491" s="52"/>
      <x:c r="AC491" s="52"/>
      <x:c r="AD491" s="52"/>
      <x:c r="AE491" s="52"/>
      <x:c r="AF491" s="52"/>
      <x:c r="AG491" s="52"/>
      <x:c r="AH491" s="52"/>
      <x:c r="AI491" s="52"/>
      <x:c r="AJ491" s="52"/>
    </x:row>
    <x:row r="492">
      <x:c r="A492" s="52"/>
      <x:c r="B492" s="52"/>
      <x:c r="C492" s="52"/>
      <x:c r="D492" s="52"/>
      <x:c r="E492" s="52"/>
      <x:c r="F492" s="52"/>
      <x:c r="G492" s="52"/>
      <x:c r="H492" s="52"/>
      <x:c r="I492" s="52"/>
      <x:c r="J492" s="52"/>
      <x:c r="K492" s="52"/>
      <x:c r="L492" s="55"/>
      <x:c r="M492" s="55"/>
      <x:c r="N492" s="55"/>
      <x:c r="O492" s="52"/>
      <x:c r="P492" s="52"/>
      <x:c r="Q492" s="52"/>
      <x:c r="R492" s="52"/>
      <x:c r="S492" s="52"/>
      <x:c r="T492" s="52"/>
      <x:c r="U492" s="52"/>
      <x:c r="V492" s="52"/>
      <x:c r="W492" s="52"/>
      <x:c r="X492" s="52"/>
      <x:c r="Y492" s="52"/>
      <x:c r="Z492" s="52"/>
      <x:c r="AA492" s="52"/>
      <x:c r="AB492" s="52"/>
      <x:c r="AC492" s="52"/>
      <x:c r="AD492" s="52"/>
      <x:c r="AE492" s="52"/>
      <x:c r="AF492" s="52"/>
      <x:c r="AG492" s="52"/>
      <x:c r="AH492" s="52"/>
      <x:c r="AI492" s="52"/>
      <x:c r="AJ492" s="52"/>
    </x:row>
    <x:row r="493">
      <x:c r="A493" s="52"/>
      <x:c r="B493" s="52"/>
      <x:c r="C493" s="52"/>
      <x:c r="D493" s="52"/>
      <x:c r="E493" s="52"/>
      <x:c r="F493" s="52"/>
      <x:c r="G493" s="52"/>
      <x:c r="H493" s="52"/>
      <x:c r="I493" s="52"/>
      <x:c r="J493" s="52"/>
      <x:c r="K493" s="52"/>
      <x:c r="L493" s="55"/>
      <x:c r="M493" s="55"/>
      <x:c r="N493" s="55"/>
      <x:c r="O493" s="52"/>
      <x:c r="P493" s="52"/>
      <x:c r="Q493" s="52"/>
      <x:c r="R493" s="52"/>
      <x:c r="S493" s="52"/>
      <x:c r="T493" s="52"/>
      <x:c r="U493" s="52"/>
      <x:c r="V493" s="52"/>
      <x:c r="W493" s="52"/>
      <x:c r="X493" s="52"/>
      <x:c r="Y493" s="52"/>
      <x:c r="Z493" s="52"/>
      <x:c r="AA493" s="52"/>
      <x:c r="AB493" s="52"/>
      <x:c r="AC493" s="52"/>
      <x:c r="AD493" s="52"/>
      <x:c r="AE493" s="52"/>
      <x:c r="AF493" s="52"/>
      <x:c r="AG493" s="52"/>
      <x:c r="AH493" s="52"/>
      <x:c r="AI493" s="52"/>
      <x:c r="AJ493" s="52"/>
    </x:row>
    <x:row r="494">
      <x:c r="A494" s="52"/>
      <x:c r="B494" s="52"/>
      <x:c r="C494" s="52"/>
      <x:c r="D494" s="52"/>
      <x:c r="E494" s="52"/>
      <x:c r="F494" s="52"/>
      <x:c r="G494" s="52"/>
      <x:c r="H494" s="52"/>
      <x:c r="I494" s="52"/>
      <x:c r="J494" s="52"/>
      <x:c r="K494" s="52"/>
      <x:c r="L494" s="55"/>
      <x:c r="M494" s="55"/>
      <x:c r="N494" s="55"/>
      <x:c r="O494" s="52"/>
      <x:c r="P494" s="52"/>
      <x:c r="Q494" s="52"/>
      <x:c r="R494" s="52"/>
      <x:c r="S494" s="52"/>
      <x:c r="T494" s="52"/>
      <x:c r="U494" s="52"/>
      <x:c r="V494" s="52"/>
      <x:c r="W494" s="52"/>
      <x:c r="X494" s="52"/>
      <x:c r="Y494" s="52"/>
      <x:c r="Z494" s="52"/>
      <x:c r="AA494" s="52"/>
      <x:c r="AB494" s="52"/>
      <x:c r="AC494" s="52"/>
      <x:c r="AD494" s="52"/>
      <x:c r="AE494" s="52"/>
      <x:c r="AF494" s="52"/>
      <x:c r="AG494" s="52"/>
      <x:c r="AH494" s="52"/>
      <x:c r="AI494" s="52"/>
      <x:c r="AJ494" s="52"/>
    </x:row>
    <x:row r="495">
      <x:c r="A495" s="52"/>
      <x:c r="B495" s="52"/>
      <x:c r="C495" s="52"/>
      <x:c r="D495" s="52"/>
      <x:c r="E495" s="52"/>
      <x:c r="F495" s="52"/>
      <x:c r="G495" s="52"/>
      <x:c r="H495" s="52"/>
      <x:c r="I495" s="52"/>
      <x:c r="J495" s="52"/>
      <x:c r="K495" s="52"/>
      <x:c r="L495" s="55"/>
      <x:c r="M495" s="55"/>
      <x:c r="N495" s="55"/>
      <x:c r="O495" s="52"/>
      <x:c r="P495" s="52"/>
      <x:c r="Q495" s="52"/>
      <x:c r="R495" s="52"/>
      <x:c r="S495" s="52"/>
      <x:c r="T495" s="52"/>
      <x:c r="U495" s="52"/>
      <x:c r="V495" s="52"/>
      <x:c r="W495" s="52"/>
      <x:c r="X495" s="52"/>
      <x:c r="Y495" s="52"/>
      <x:c r="Z495" s="52"/>
      <x:c r="AA495" s="52"/>
      <x:c r="AB495" s="52"/>
      <x:c r="AC495" s="52"/>
      <x:c r="AD495" s="52"/>
      <x:c r="AE495" s="52"/>
      <x:c r="AF495" s="52"/>
      <x:c r="AG495" s="52"/>
      <x:c r="AH495" s="52"/>
      <x:c r="AI495" s="52"/>
      <x:c r="AJ495" s="52"/>
    </x:row>
    <x:row r="496">
      <x:c r="A496" s="52"/>
      <x:c r="B496" s="52"/>
      <x:c r="C496" s="52"/>
      <x:c r="D496" s="52"/>
      <x:c r="E496" s="52"/>
      <x:c r="F496" s="52"/>
      <x:c r="G496" s="52"/>
      <x:c r="H496" s="52"/>
      <x:c r="I496" s="52"/>
      <x:c r="J496" s="52"/>
      <x:c r="K496" s="52"/>
      <x:c r="L496" s="55"/>
      <x:c r="M496" s="55"/>
      <x:c r="N496" s="55"/>
      <x:c r="O496" s="52"/>
      <x:c r="P496" s="52"/>
      <x:c r="Q496" s="52"/>
      <x:c r="R496" s="52"/>
      <x:c r="S496" s="52"/>
      <x:c r="T496" s="52"/>
      <x:c r="U496" s="52"/>
      <x:c r="V496" s="52"/>
      <x:c r="W496" s="52"/>
      <x:c r="X496" s="52"/>
      <x:c r="Y496" s="52"/>
      <x:c r="Z496" s="52"/>
      <x:c r="AA496" s="52"/>
      <x:c r="AB496" s="52"/>
      <x:c r="AC496" s="52"/>
      <x:c r="AD496" s="52"/>
      <x:c r="AE496" s="52"/>
      <x:c r="AF496" s="52"/>
      <x:c r="AG496" s="52"/>
      <x:c r="AH496" s="52"/>
      <x:c r="AI496" s="52"/>
      <x:c r="AJ496" s="52"/>
    </x:row>
    <x:row r="497">
      <x:c r="A497" s="52"/>
      <x:c r="B497" s="52"/>
      <x:c r="C497" s="52"/>
      <x:c r="D497" s="52"/>
      <x:c r="E497" s="52"/>
      <x:c r="F497" s="52"/>
      <x:c r="G497" s="52"/>
      <x:c r="H497" s="52"/>
      <x:c r="I497" s="52"/>
      <x:c r="J497" s="52"/>
      <x:c r="K497" s="52"/>
      <x:c r="L497" s="55"/>
      <x:c r="M497" s="55"/>
      <x:c r="N497" s="55"/>
      <x:c r="O497" s="52"/>
      <x:c r="P497" s="52"/>
      <x:c r="Q497" s="52"/>
      <x:c r="R497" s="52"/>
      <x:c r="S497" s="52"/>
      <x:c r="T497" s="52"/>
      <x:c r="U497" s="52"/>
      <x:c r="V497" s="52"/>
      <x:c r="W497" s="52"/>
      <x:c r="X497" s="52"/>
      <x:c r="Y497" s="52"/>
      <x:c r="Z497" s="52"/>
      <x:c r="AA497" s="52"/>
      <x:c r="AB497" s="52"/>
      <x:c r="AC497" s="52"/>
      <x:c r="AD497" s="52"/>
      <x:c r="AE497" s="52"/>
      <x:c r="AF497" s="52"/>
      <x:c r="AG497" s="52"/>
      <x:c r="AH497" s="52"/>
      <x:c r="AI497" s="52"/>
      <x:c r="AJ497" s="52"/>
    </x:row>
    <x:row r="498">
      <x:c r="A498" s="52"/>
      <x:c r="B498" s="52"/>
      <x:c r="C498" s="52"/>
      <x:c r="D498" s="52"/>
      <x:c r="E498" s="52"/>
      <x:c r="F498" s="52"/>
      <x:c r="G498" s="52"/>
      <x:c r="H498" s="52"/>
      <x:c r="I498" s="52"/>
      <x:c r="J498" s="52"/>
      <x:c r="K498" s="52"/>
      <x:c r="L498" s="55"/>
      <x:c r="M498" s="55"/>
      <x:c r="N498" s="55"/>
      <x:c r="O498" s="52"/>
      <x:c r="P498" s="52"/>
      <x:c r="Q498" s="52"/>
      <x:c r="R498" s="52"/>
      <x:c r="S498" s="52"/>
      <x:c r="T498" s="52"/>
      <x:c r="U498" s="52"/>
      <x:c r="V498" s="52"/>
      <x:c r="W498" s="52"/>
      <x:c r="X498" s="52"/>
      <x:c r="Y498" s="52"/>
      <x:c r="Z498" s="52"/>
      <x:c r="AA498" s="52"/>
      <x:c r="AB498" s="52"/>
      <x:c r="AC498" s="52"/>
      <x:c r="AD498" s="52"/>
      <x:c r="AE498" s="52"/>
      <x:c r="AF498" s="52"/>
      <x:c r="AG498" s="52"/>
      <x:c r="AH498" s="52"/>
      <x:c r="AI498" s="52"/>
      <x:c r="AJ498" s="52"/>
    </x:row>
    <x:row r="499">
      <x:c r="A499" s="52"/>
      <x:c r="B499" s="52"/>
      <x:c r="C499" s="52"/>
      <x:c r="D499" s="52"/>
      <x:c r="E499" s="52"/>
      <x:c r="F499" s="52"/>
      <x:c r="G499" s="52"/>
      <x:c r="H499" s="52"/>
      <x:c r="I499" s="52"/>
      <x:c r="J499" s="52"/>
      <x:c r="K499" s="52"/>
      <x:c r="L499" s="55"/>
      <x:c r="M499" s="55"/>
      <x:c r="N499" s="55"/>
      <x:c r="O499" s="52"/>
      <x:c r="P499" s="52"/>
      <x:c r="Q499" s="52"/>
      <x:c r="R499" s="52"/>
      <x:c r="S499" s="52"/>
      <x:c r="T499" s="52"/>
      <x:c r="U499" s="52"/>
      <x:c r="V499" s="52"/>
      <x:c r="W499" s="52"/>
      <x:c r="X499" s="52"/>
      <x:c r="Y499" s="52"/>
      <x:c r="Z499" s="52"/>
      <x:c r="AA499" s="52"/>
      <x:c r="AB499" s="52"/>
      <x:c r="AC499" s="52"/>
      <x:c r="AD499" s="52"/>
      <x:c r="AE499" s="52"/>
      <x:c r="AF499" s="52"/>
      <x:c r="AG499" s="52"/>
      <x:c r="AH499" s="52"/>
      <x:c r="AI499" s="52"/>
      <x:c r="AJ499" s="52"/>
    </x:row>
    <x:row r="500">
      <x:c r="A500" s="52"/>
      <x:c r="B500" s="52"/>
      <x:c r="C500" s="52"/>
      <x:c r="D500" s="52"/>
      <x:c r="E500" s="52"/>
      <x:c r="F500" s="52"/>
      <x:c r="G500" s="52"/>
      <x:c r="H500" s="52"/>
      <x:c r="I500" s="52"/>
      <x:c r="J500" s="52"/>
      <x:c r="K500" s="52"/>
      <x:c r="L500" s="55"/>
      <x:c r="M500" s="55"/>
      <x:c r="N500" s="55"/>
      <x:c r="O500" s="52"/>
      <x:c r="P500" s="52"/>
      <x:c r="Q500" s="52"/>
      <x:c r="R500" s="52"/>
      <x:c r="S500" s="52"/>
      <x:c r="T500" s="52"/>
      <x:c r="U500" s="52"/>
      <x:c r="V500" s="52"/>
      <x:c r="W500" s="52"/>
      <x:c r="X500" s="52"/>
      <x:c r="Y500" s="52"/>
      <x:c r="Z500" s="52"/>
      <x:c r="AA500" s="52"/>
      <x:c r="AB500" s="52"/>
      <x:c r="AC500" s="52"/>
      <x:c r="AD500" s="52"/>
      <x:c r="AE500" s="52"/>
      <x:c r="AF500" s="52"/>
      <x:c r="AG500" s="52"/>
      <x:c r="AH500" s="52"/>
      <x:c r="AI500" s="52"/>
      <x:c r="AJ500" s="52"/>
    </x:row>
  </x:sheetData>
  <x:conditionalFormatting sqref="C2:C500">
    <x:cfRule type="expression" dxfId="0" priority="1">
      <x:formula>$C2="Yes"</x:formula>
    </x:cfRule>
  </x:conditionalFormatting>
  <x:conditionalFormatting sqref="D2:D500">
    <x:cfRule type="expression" dxfId="1" priority="2">
      <x:formula>$D2="Publish"</x:formula>
    </x:cfRule>
  </x:conditionalFormatting>
  <x:conditionalFormatting sqref="AH2:AH500">
    <x:cfRule type="expression" dxfId="2" priority="3">
      <x:formula>$AH2="Consent received"</x:formula>
    </x:cfRule>
  </x:conditionalFormatting>
  <x:dataValidations count="7">
    <x:dataValidation type="list" sqref="B2:B500">
      <x:formula1>Lists!$A$2:$A$3</x:formula1>
    </x:dataValidation>
    <x:dataValidation type="list" sqref="C2:C500">
      <x:formula1>Lists!$B$2:$B$3</x:formula1>
    </x:dataValidation>
    <x:dataValidation type="list" sqref="D2:D500">
      <x:formula1>Lists!$C$2:$C$4</x:formula1>
    </x:dataValidation>
    <x:dataValidation type="list" sqref="E2:E500">
      <x:formula1>Lists!$D$2:$D$3</x:formula1>
    </x:dataValidation>
    <x:dataValidation type="list" sqref="K2:K500">
      <x:formula1>Lists!$E$2:$E$5</x:formula1>
    </x:dataValidation>
    <x:dataValidation type="list" sqref="L2:L500">
      <x:formula1>Lists!$F$2:$F$11</x:formula1>
    </x:dataValidation>
    <x:dataValidation type="list" sqref="AH2:AH500">
      <x:formula1>Lists!$G$2:$G$4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20" hidden="0" customWidth="1"/>
    <x:col min="7" max="7" width="60" hidden="0" customWidth="1"/>
  </x:cols>
  <x:sheetData>
    <x:row r="1" ht="24" customHeight="1">
      <x:c r="A1" s="32" t="str">
        <x:v>period_label</x:v>
      </x:c>
      <x:c r="B1" s="32" t="str">
        <x:v>period_sort</x:v>
      </x:c>
      <x:c r="C1" s="36" t="str">
        <x:v>month_start</x:v>
      </x:c>
      <x:c r="D1" s="34" t="str">
        <x:v>donations_general</x:v>
      </x:c>
      <x:c r="E1" s="34" t="str">
        <x:v>donations_zakat</x:v>
      </x:c>
      <x:c r="F1" s="34" t="str">
        <x:v>closing_balance_general</x:v>
      </x:c>
      <x:c r="G1" s="32" t="str">
        <x:v>finance_notes</x:v>
      </x:c>
    </x:row>
    <x:row r="2">
      <x:c r="A2" t="str">
        <x:v>Aug 2024</x:v>
      </x:c>
      <x:c r="B2" t="n">
        <x:v>202408</x:v>
      </x:c>
      <x:c r="C2" t="str">
        <x:v>2024-08-01</x:v>
      </x:c>
      <x:c r="D2" t="n">
        <x:v>20631</x:v>
      </x:c>
      <x:c r="E2"/>
      <x:c r="F2"/>
      <x:c r="G2" t="str">
        <x:v>Optional helper: edit only if you want donation/balance columns in public reports.</x:v>
      </x:c>
    </x:row>
    <x:row r="3">
      <x:c r="A3" t="str">
        <x:v>Sep 2024</x:v>
      </x:c>
      <x:c r="B3" t="n">
        <x:v>202409</x:v>
      </x:c>
      <x:c r="C3" t="str">
        <x:v>2024-09-01</x:v>
      </x:c>
      <x:c r="D3" t="n">
        <x:v>25187</x:v>
      </x:c>
      <x:c r="E3"/>
      <x:c r="F3" t="n">
        <x:v>13445</x:v>
      </x:c>
      <x:c r="G3" t="str">
        <x:v>Optional helper: edit only if you want donation/balance columns in public reports.</x:v>
      </x:c>
    </x:row>
    <x:row r="4">
      <x:c r="A4" t="str">
        <x:v>Oct 2024</x:v>
      </x:c>
      <x:c r="B4" t="n">
        <x:v>202410</x:v>
      </x:c>
      <x:c r="C4" t="str">
        <x:v>2024-10-01</x:v>
      </x:c>
      <x:c r="D4" t="n">
        <x:v>11100</x:v>
      </x:c>
      <x:c r="E4"/>
      <x:c r="F4" t="n">
        <x:v>14705</x:v>
      </x:c>
      <x:c r="G4" t="str">
        <x:v>Optional helper: edit only if you want donation/balance columns in public reports.</x:v>
      </x:c>
    </x:row>
    <x:row r="5">
      <x:c r="A5" t="str">
        <x:v>Nov 2024</x:v>
      </x:c>
      <x:c r="B5" t="n">
        <x:v>202411</x:v>
      </x:c>
      <x:c r="C5" t="str">
        <x:v>2024-11-01</x:v>
      </x:c>
      <x:c r="D5" t="n">
        <x:v>13900</x:v>
      </x:c>
      <x:c r="E5"/>
      <x:c r="F5" t="n">
        <x:v>13605</x:v>
      </x:c>
      <x:c r="G5" t="str">
        <x:v>Optional helper: edit only if you want donation/balance columns in public reports.</x:v>
      </x:c>
    </x:row>
    <x:row r="6">
      <x:c r="A6" t="str">
        <x:v>Dec 2024</x:v>
      </x:c>
      <x:c r="B6" t="n">
        <x:v>202412</x:v>
      </x:c>
      <x:c r="C6" t="str">
        <x:v>2024-12-01</x:v>
      </x:c>
      <x:c r="D6" t="n">
        <x:v>39300</x:v>
      </x:c>
      <x:c r="E6"/>
      <x:c r="F6" t="n">
        <x:v>1075</x:v>
      </x:c>
      <x:c r="G6" t="str">
        <x:v>Optional helper: edit only if you want donation/balance columns in public reports.</x:v>
      </x:c>
    </x:row>
    <x:row r="7">
      <x:c r="A7" t="str">
        <x:v>Jan 2025</x:v>
      </x:c>
      <x:c r="B7" t="n">
        <x:v>202501</x:v>
      </x:c>
      <x:c r="C7" t="str">
        <x:v>2025-01-01</x:v>
      </x:c>
      <x:c r="D7" t="n">
        <x:v>26500</x:v>
      </x:c>
      <x:c r="E7" t="n">
        <x:v>8000</x:v>
      </x:c>
      <x:c r="F7" t="n">
        <x:v>575</x:v>
      </x:c>
      <x:c r="G7" t="str">
        <x:v>Optional helper: edit only if you want donation/balance columns in public reports.</x:v>
      </x:c>
    </x:row>
    <x:row r="8">
      <x:c r="A8" t="str">
        <x:v>Feb 2025</x:v>
      </x:c>
      <x:c r="B8" t="n">
        <x:v>202502</x:v>
      </x:c>
      <x:c r="C8" t="str">
        <x:v>2025-02-01</x:v>
      </x:c>
      <x:c r="D8" t="n">
        <x:v>14600</x:v>
      </x:c>
      <x:c r="E8" t="n">
        <x:v>28000</x:v>
      </x:c>
      <x:c r="F8" t="n">
        <x:v>3175</x:v>
      </x:c>
      <x:c r="G8" t="str">
        <x:v>Optional helper: edit only if you want donation/balance columns in public reports.</x:v>
      </x:c>
    </x:row>
    <x:row r="9">
      <x:c r="A9" t="str">
        <x:v>Mar 2025</x:v>
      </x:c>
      <x:c r="B9" t="n">
        <x:v>202503</x:v>
      </x:c>
      <x:c r="C9" t="str">
        <x:v>2025-03-01</x:v>
      </x:c>
      <x:c r="D9" t="n">
        <x:v>37350</x:v>
      </x:c>
      <x:c r="E9" t="n">
        <x:v>100000</x:v>
      </x:c>
      <x:c r="F9" t="n">
        <x:v>525</x:v>
      </x:c>
      <x:c r="G9" t="str">
        <x:v>Optional helper: edit only if you want donation/balance columns in public reports.</x:v>
      </x:c>
    </x:row>
    <x:row r="10">
      <x:c r="A10" t="str">
        <x:v>Apr 2025</x:v>
      </x:c>
      <x:c r="B10" t="n">
        <x:v>202504</x:v>
      </x:c>
      <x:c r="C10" t="str">
        <x:v>2025-04-01</x:v>
      </x:c>
      <x:c r="D10" t="n">
        <x:v>12200</x:v>
      </x:c>
      <x:c r="E10"/>
      <x:c r="F10" t="n">
        <x:v>4525</x:v>
      </x:c>
      <x:c r="G10" t="str">
        <x:v>Optional helper: edit only if you want donation/balance columns in public reports.</x:v>
      </x:c>
    </x:row>
    <x:row r="11">
      <x:c r="A11" t="str">
        <x:v>May 2025</x:v>
      </x:c>
      <x:c r="B11" t="n">
        <x:v>202505</x:v>
      </x:c>
      <x:c r="C11" t="str">
        <x:v>2025-05-01</x:v>
      </x:c>
      <x:c r="D11" t="n">
        <x:v>42500</x:v>
      </x:c>
      <x:c r="E11" t="n">
        <x:v>41200</x:v>
      </x:c>
      <x:c r="F11" t="n">
        <x:v>1225</x:v>
      </x:c>
      <x:c r="G11" t="str">
        <x:v>Optional helper: edit only if you want donation/balance columns in public reports.</x:v>
      </x:c>
    </x:row>
    <x:row r="12">
      <x:c r="A12" t="str">
        <x:v>Jun 2025</x:v>
      </x:c>
      <x:c r="B12" t="n">
        <x:v>202506</x:v>
      </x:c>
      <x:c r="C12" t="str">
        <x:v>2025-06-01</x:v>
      </x:c>
      <x:c r="D12" t="n">
        <x:v>6800</x:v>
      </x:c>
      <x:c r="E12" t="n">
        <x:v>12600</x:v>
      </x:c>
      <x:c r="F12" t="n">
        <x:v>625</x:v>
      </x:c>
      <x:c r="G12" t="str">
        <x:v>Optional helper: edit only if you want donation/balance columns in public reports.</x:v>
      </x:c>
    </x:row>
    <x:row r="13">
      <x:c r="A13" t="str">
        <x:v>Jul 2025</x:v>
      </x:c>
      <x:c r="B13" t="n">
        <x:v>202507</x:v>
      </x:c>
      <x:c r="C13" t="str">
        <x:v>2025-07-01</x:v>
      </x:c>
      <x:c r="D13" t="n">
        <x:v>20300</x:v>
      </x:c>
      <x:c r="E13"/>
      <x:c r="F13" t="n">
        <x:v>14925</x:v>
      </x:c>
      <x:c r="G13" t="str">
        <x:v>Optional helper: edit only if you want donation/balance columns in public reports.</x:v>
      </x:c>
    </x:row>
    <x:row r="14">
      <x:c r="A14" t="str">
        <x:v>Aug 2025</x:v>
      </x:c>
      <x:c r="B14" t="n">
        <x:v>202508</x:v>
      </x:c>
      <x:c r="C14" t="str">
        <x:v>2025-08-01</x:v>
      </x:c>
      <x:c r="D14" t="n">
        <x:v>36300</x:v>
      </x:c>
      <x:c r="E14"/>
      <x:c r="F14" t="n">
        <x:v>1225</x:v>
      </x:c>
      <x:c r="G14" t="str">
        <x:v>Optional helper: edit only if you want donation/balance columns in public reports.</x:v>
      </x:c>
    </x:row>
    <x:row r="15">
      <x:c r="A15" t="str">
        <x:v>Sep 2025</x:v>
      </x:c>
      <x:c r="B15" t="n">
        <x:v>202509</x:v>
      </x:c>
      <x:c r="C15" t="str">
        <x:v>2025-09-01</x:v>
      </x:c>
      <x:c r="D15" t="n">
        <x:v>73038</x:v>
      </x:c>
      <x:c r="E15" t="n">
        <x:v>14900</x:v>
      </x:c>
      <x:c r="F15" t="n">
        <x:v>363</x:v>
      </x:c>
      <x:c r="G15" t="str">
        <x:v>Optional helper: edit only if you want donation/balance columns in public reports.</x:v>
      </x:c>
    </x:row>
    <x:row r="16">
      <x:c r="A16" t="str">
        <x:v>Oct 2025</x:v>
      </x:c>
      <x:c r="B16" t="n">
        <x:v>202510</x:v>
      </x:c>
      <x:c r="C16" t="str">
        <x:v>2025-10-01</x:v>
      </x:c>
      <x:c r="D16" t="n">
        <x:v>20400</x:v>
      </x:c>
      <x:c r="E16"/>
      <x:c r="F16" t="n">
        <x:v>20763</x:v>
      </x:c>
      <x:c r="G16" t="str">
        <x:v>Optional helper: edit only if you want donation/balance columns in public reports.</x:v>
      </x:c>
    </x:row>
    <x:row r="17">
      <x:c r="A17" t="str">
        <x:v>Nov 2025</x:v>
      </x:c>
      <x:c r="B17" t="n">
        <x:v>202511</x:v>
      </x:c>
      <x:c r="C17" t="str">
        <x:v>2025-11-01</x:v>
      </x:c>
      <x:c r="D17" t="n">
        <x:v>10000</x:v>
      </x:c>
      <x:c r="E17"/>
      <x:c r="F17" t="n">
        <x:v>30763</x:v>
      </x:c>
      <x:c r="G17" t="str">
        <x:v>Optional helper: edit only if you want donation/balance columns in public reports.</x:v>
      </x:c>
    </x:row>
    <x:row r="18">
      <x:c r="A18" t="str">
        <x:v>Dec 2025</x:v>
      </x:c>
      <x:c r="B18" t="n">
        <x:v>202512</x:v>
      </x:c>
      <x:c r="C18" t="str">
        <x:v>2025-12-01</x:v>
      </x:c>
      <x:c r="D18" t="n">
        <x:v>800</x:v>
      </x:c>
      <x:c r="E18"/>
      <x:c r="F18" t="n">
        <x:v>31563</x:v>
      </x:c>
      <x:c r="G18" t="str">
        <x:v>Optional helper: edit only if you want donation/balance columns in public reports.</x:v>
      </x:c>
    </x:row>
    <x:row r="19">
      <x:c r="A19" t="str">
        <x:v>Jan 2026</x:v>
      </x:c>
      <x:c r="B19" t="n">
        <x:v>202601</x:v>
      </x:c>
      <x:c r="C19" t="str">
        <x:v>2026-01-01</x:v>
      </x:c>
      <x:c r="D19" t="n">
        <x:v>2600</x:v>
      </x:c>
      <x:c r="E19"/>
      <x:c r="F19" t="n">
        <x:v>3149</x:v>
      </x:c>
      <x:c r="G19" t="str">
        <x:v>Optional helper: edit only if you want donation/balance columns in public reports.</x:v>
      </x:c>
    </x:row>
    <x:row r="20">
      <x:c r="A20" t="str">
        <x:v>Feb 2026</x:v>
      </x:c>
      <x:c r="B20" t="n">
        <x:v>202602</x:v>
      </x:c>
      <x:c r="C20" t="str">
        <x:v>2026-02-01</x:v>
      </x:c>
      <x:c r="D20" t="n">
        <x:v>2400</x:v>
      </x:c>
      <x:c r="E20"/>
      <x:c r="F20" t="n">
        <x:v>5549</x:v>
      </x:c>
      <x:c r="G20" t="str">
        <x:v>Optional helper: edit only if you want donation/balance columns in public reports.</x:v>
      </x:c>
    </x:row>
    <x:row r="21">
      <x:c r="A21" t="str">
        <x:v>Mar 2026</x:v>
      </x:c>
      <x:c r="B21" t="n">
        <x:v>202603</x:v>
      </x:c>
      <x:c r="C21" t="str">
        <x:v>2026-03-01</x:v>
      </x:c>
      <x:c r="D21" t="n">
        <x:v>70325</x:v>
      </x:c>
      <x:c r="E21"/>
      <x:c r="F21" t="n">
        <x:v>1874</x:v>
      </x:c>
      <x:c r="G21" t="str">
        <x:v>Optional helper: edit only if you want donation/balance columns in public reports.</x:v>
      </x:c>
    </x:row>
    <x:row r="22">
      <x:c r="A22" t="str">
        <x:v>Apr 2026</x:v>
      </x:c>
      <x:c r="B22" t="n">
        <x:v>202604</x:v>
      </x:c>
      <x:c r="C22" t="str">
        <x:v>2026-04-01</x:v>
      </x:c>
      <x:c r="D22" t="n">
        <x:v>5500</x:v>
      </x:c>
      <x:c r="E22"/>
      <x:c r="F22" t="n">
        <x:v>2874</x:v>
      </x:c>
      <x:c r="G22" t="str">
        <x:v>Optional helper: edit only if you want donation/balance columns in public reports.</x:v>
      </x:c>
    </x:row>
    <x:row r="23">
      <x:c r="A23"/>
      <x:c r="B23"/>
      <x:c r="C23"/>
      <x:c r="D23"/>
      <x:c r="E23"/>
      <x:c r="F23"/>
      <x:c r="G2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49" t="str">
        <x:v>period_label</x:v>
      </x:c>
      <x:c r="B1" s="49" t="str">
        <x:v>period_sort</x:v>
      </x:c>
      <x:c r="C1" s="50" t="str">
        <x:v>month_start</x:v>
      </x:c>
      <x:c r="D1" s="49" t="str">
        <x:v>total_cases</x:v>
      </x:c>
      <x:c r="E1" s="49" t="str">
        <x:v>zakat_cases</x:v>
      </x:c>
      <x:c r="F1" s="49" t="str">
        <x:v>sadaqah_cases</x:v>
      </x:c>
      <x:c r="G1" s="49" t="str">
        <x:v>mixed_cases</x:v>
      </x:c>
      <x:c r="H1" s="49" t="str">
        <x:v>livelihood_cases</x:v>
      </x:c>
      <x:c r="I1" s="49" t="str">
        <x:v>skill_cases</x:v>
      </x:c>
      <x:c r="J1" s="49" t="str">
        <x:v>emergency_cases</x:v>
      </x:c>
      <x:c r="K1" s="49" t="str">
        <x:v>community_cases</x:v>
      </x:c>
      <x:c r="L1" s="51" t="str">
        <x:v>amount_zakat</x:v>
      </x:c>
      <x:c r="M1" s="51" t="str">
        <x:v>amount_sadaqah</x:v>
      </x:c>
      <x:c r="N1" s="51" t="str">
        <x:v>amount_mixed</x:v>
      </x:c>
      <x:c r="O1" s="51" t="str">
        <x:v>total_amount</x:v>
      </x:c>
      <x:c r="P1" s="51" t="str">
        <x:v>donations_general</x:v>
      </x:c>
      <x:c r="Q1" s="51" t="str">
        <x:v>donations_zakat</x:v>
      </x:c>
      <x:c r="R1" s="51" t="str">
        <x:v>closing_balance_general</x:v>
      </x:c>
      <x:c r="S1" s="49" t="str">
        <x:v>source_notes</x:v>
      </x:c>
      <x:c r="T1" s="49" t="str">
        <x:v>include_in_public</x:v>
      </x:c>
      <x:c r="U1" s="47"/>
      <x:c r="V1" s="47"/>
      <x:c r="W1" s="47"/>
      <x:c r="X1" s="47"/>
      <x:c r="Y1" s="47"/>
      <x:c r="Z1" s="47"/>
      <x:c r="AA1" s="47"/>
      <x:c r="AB1" s="47"/>
      <x:c r="AC1" s="47"/>
    </x:row>
    <x:row r="2">
      <x:c r="A2" s="52" t="str">
        <x:f>TEXT(C2,"mmm yyyy")</x:f>
        <x:v>Aug 2024</x:v>
      </x:c>
      <x:c r="B2" s="52" t="n">
        <x:f>YEAR(C2)*100+MONTH(C2)</x:f>
        <x:v>202408</x:v>
      </x:c>
      <x:c r="C2" s="54" t="n">
        <x:f>DATE(2024,8,1)</x:f>
        <x:v>45505</x:v>
      </x:c>
      <x:c r="D2" s="52" t="n">
        <x:f>IF($A2="","",SUMPRODUCT((CaseLedger!$E$2:$E$500=$A2)*--(((CaseLedger!$B$2:$B$500=TRUE)+(CaseLedger!$B$2:$B$500="TRUE"))&gt;0)))</x:f>
        <x:v>0</x:v>
      </x:c>
      <x:c r="E2" s="52" t="n">
        <x:f>IF($A2="","",SUMPRODUCT((CaseLedger!$E$2:$E$500=$A2)*--(((CaseLedger!$B$2:$B$500=TRUE)+(CaseLedger!$B$2:$B$500="TRUE"))&gt;0)*(CaseLedger!$O$2:$O$500="Zakat")))</x:f>
        <x:v>0</x:v>
      </x:c>
      <x:c r="F2" s="52" t="n">
        <x:f>IF($A2="","",SUMPRODUCT((CaseLedger!$E$2:$E$500=$A2)*--(((CaseLedger!$B$2:$B$500=TRUE)+(CaseLedger!$B$2:$B$500="TRUE"))&gt;0)*(CaseLedger!$O$2:$O$500="Sadaqah")))</x:f>
        <x:v>0</x:v>
      </x:c>
      <x:c r="G2" s="52" t="n">
        <x:f>IF($A2="","",SUMPRODUCT((CaseLedger!$E$2:$E$500=$A2)*--(((CaseLedger!$B$2:$B$500=TRUE)+(CaseLedger!$B$2:$B$500="TRUE"))&gt;0)*(CaseLedger!$O$2:$O$500="Mixed")))</x:f>
        <x:v>0</x:v>
      </x:c>
      <x:c r="H2" s="52" t="n">
        <x:f>IF($A2="","",SUMPRODUCT((CaseLedger!$E$2:$E$500=$A2)*--(((CaseLedger!$B$2:$B$500=TRUE)+(CaseLedger!$B$2:$B$500="TRUE"))&gt;0)*(CaseLedger!$J$2:$J$500="Livelihood")))</x:f>
        <x:v>0</x:v>
      </x:c>
      <x:c r="I2" s="52" t="n">
        <x:f>IF($A2="","",SUMPRODUCT((CaseLedger!$E$2:$E$500=$A2)*--(((CaseLedger!$B$2:$B$500=TRUE)+(CaseLedger!$B$2:$B$500="TRUE"))&gt;0)*--(((CaseLedger!$J$2:$J$500="Skill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2" s="52" t="n">
        <x:f>IF($A2="","",SUMPRODUCT((CaseLedger!$E$2:$E$500=$A2)*--(((CaseLedger!$B$2:$B$500=TRUE)+(CaseLedger!$B$2:$B$500="TRUE"))&gt;0)*(CaseLedger!$J$2:$J$500="Emergency Support")))</x:f>
        <x:v>0</x:v>
      </x:c>
      <x:c r="K2" s="52" t="n">
        <x:f>IF($A2="","",SUMPRODUCT((CaseLedger!$E$2:$E$500=$A2)*--(((CaseLedger!$B$2:$B$500=TRUE)+(CaseLedger!$B$2:$B$500="TRUE"))&gt;0)*(CaseLedger!$J$2:$J$500="Community Support")))</x:f>
        <x:v>0</x:v>
      </x:c>
      <x:c r="L2" s="55" t="n">
        <x:f>IF($A2="","",SUMPRODUCT((CaseLedger!$E$2:$E$500=$A2)*--(((CaseLedger!$B$2:$B$500=TRUE)+(CaseLedger!$B$2:$B$500="TRUE"))&gt;0)*CaseLedger!$L$2:$L$500))</x:f>
        <x:v>0</x:v>
      </x:c>
      <x:c r="M2" s="55" t="n">
        <x:f>IF($A2="","",SUMPRODUCT((CaseLedger!$E$2:$E$500=$A2)*--(((CaseLedger!$B$2:$B$500=TRUE)+(CaseLedger!$B$2:$B$500="TRUE"))&gt;0)*CaseLedger!$M$2:$M$500))</x:f>
        <x:v>0</x:v>
      </x:c>
      <x:c r="N2" s="55" t="n">
        <x:f>IF($A2="","",SUMPRODUCT((CaseLedger!$E$2:$E$500=$A2)*--(((CaseLedger!$B$2:$B$500=TRUE)+(CaseLedger!$B$2:$B$500="TRUE"))&gt;0)*(CaseLedger!$O$2:$O$500="Mixed")*CaseLedger!$N$2:$N$500))</x:f>
        <x:v>0</x:v>
      </x:c>
      <x:c r="O2" s="55" t="n">
        <x:f>IF($A2="","",SUMPRODUCT((CaseLedger!$E$2:$E$500=$A2)*--(((CaseLedger!$B$2:$B$500=TRUE)+(CaseLedger!$B$2:$B$500="TRUE"))&gt;0)*CaseLedger!$N$2:$N$500))</x:f>
        <x:v>0</x:v>
      </x:c>
      <x:c r="P2" s="55" t="n">
        <x:f>IFERROR(INDEX(MonthlyFinance!$D$2:$D$200,MATCH($B2,MonthlyFinance!$B$2:$B$200,0)),"")</x:f>
        <x:v>20631</x:v>
      </x:c>
      <x:c r="Q2" s="55" t="str">
        <x:f>IFERROR(INDEX(MonthlyFinance!$E$2:$E$200,MATCH($B2,MonthlyFinance!$B$2:$B$200,0)),"")</x:f>
      </x:c>
      <x:c r="R2" s="55" t="str">
        <x:f>IFERROR(INDEX(MonthlyFinance!$F$2:$F$200,MATCH($B2,MonthlyFinance!$B$2:$B$200,0)),"")</x:f>
      </x:c>
      <x:c r="S2" s="52" t="str">
        <x:f>IF($D2&gt;0,"Formula-linked from CaseLedger","")</x:f>
      </x:c>
      <x:c r="T2" s="52" t="str">
        <x:f>IF($D2&gt;0,"TRUE","FALSE")</x:f>
        <x:v>FALSE</x:v>
      </x:c>
    </x:row>
    <x:row r="3">
      <x:c r="A3" s="52" t="str">
        <x:f>TEXT(C3,"mmm yyyy")</x:f>
        <x:v>Sep 2024</x:v>
      </x:c>
      <x:c r="B3" s="52" t="n">
        <x:f>YEAR(C3)*100+MONTH(C3)</x:f>
        <x:v>202409</x:v>
      </x:c>
      <x:c r="C3" s="54" t="n">
        <x:f>EDATE(C2,1)</x:f>
        <x:v>45536</x:v>
      </x:c>
      <x:c r="D3" s="52" t="n">
        <x:f>IF($A3="","",SUMPRODUCT((CaseLedger!$E$2:$E$500=$A3)*--(((CaseLedger!$B$2:$B$500=TRUE)+(CaseLedger!$B$2:$B$500="TRUE"))&gt;0)))</x:f>
        <x:v>4</x:v>
      </x:c>
      <x:c r="E3" s="52" t="n">
        <x:f>IF($A3="","",SUMPRODUCT((CaseLedger!$E$2:$E$500=$A3)*--(((CaseLedger!$B$2:$B$500=TRUE)+(CaseLedger!$B$2:$B$500="TRUE"))&gt;0)*(CaseLedger!$O$2:$O$500="Zakat")))</x:f>
        <x:v>0</x:v>
      </x:c>
      <x:c r="F3" s="52" t="n">
        <x:f>IF($A3="","",SUMPRODUCT((CaseLedger!$E$2:$E$500=$A3)*--(((CaseLedger!$B$2:$B$500=TRUE)+(CaseLedger!$B$2:$B$500="TRUE"))&gt;0)*(CaseLedger!$O$2:$O$500="Sadaqah")))</x:f>
        <x:v>4</x:v>
      </x:c>
      <x:c r="G3" s="52" t="n">
        <x:f>IF($A3="","",SUMPRODUCT((CaseLedger!$E$2:$E$500=$A3)*--(((CaseLedger!$B$2:$B$500=TRUE)+(CaseLedger!$B$2:$B$500="TRUE"))&gt;0)*(CaseLedger!$O$2:$O$500="Mixed")))</x:f>
        <x:v>0</x:v>
      </x:c>
      <x:c r="H3" s="52" t="n">
        <x:f>IF($A3="","",SUMPRODUCT((CaseLedger!$E$2:$E$500=$A3)*--(((CaseLedger!$B$2:$B$500=TRUE)+(CaseLedger!$B$2:$B$500="TRUE"))&gt;0)*(CaseLedger!$J$2:$J$500="Livelihood")))</x:f>
        <x:v>3</x:v>
      </x:c>
      <x:c r="I3" s="52" t="n">
        <x:f>IF($A3="","",SUMPRODUCT((CaseLedger!$E$2:$E$500=$A3)*--(((CaseLedger!$B$2:$B$500=TRUE)+(CaseLedger!$B$2:$B$500="TRUE"))&gt;0)*--(((CaseLedger!$J$2:$J$500="Skill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" s="52" t="n">
        <x:f>IF($A3="","",SUMPRODUCT((CaseLedger!$E$2:$E$500=$A3)*--(((CaseLedger!$B$2:$B$500=TRUE)+(CaseLedger!$B$2:$B$500="TRUE"))&gt;0)*(CaseLedger!$J$2:$J$500="Emergency Support")))</x:f>
        <x:v>1</x:v>
      </x:c>
      <x:c r="K3" s="52" t="n">
        <x:f>IF($A3="","",SUMPRODUCT((CaseLedger!$E$2:$E$500=$A3)*--(((CaseLedger!$B$2:$B$500=TRUE)+(CaseLedger!$B$2:$B$500="TRUE"))&gt;0)*(CaseLedger!$J$2:$J$500="Community Support")))</x:f>
        <x:v>0</x:v>
      </x:c>
      <x:c r="L3" s="55" t="n">
        <x:f>IF($A3="","",SUMPRODUCT((CaseLedger!$E$2:$E$500=$A3)*--(((CaseLedger!$B$2:$B$500=TRUE)+(CaseLedger!$B$2:$B$500="TRUE"))&gt;0)*CaseLedger!$L$2:$L$500))</x:f>
        <x:v>0</x:v>
      </x:c>
      <x:c r="M3" s="55" t="n">
        <x:f>IF($A3="","",SUMPRODUCT((CaseLedger!$E$2:$E$500=$A3)*--(((CaseLedger!$B$2:$B$500=TRUE)+(CaseLedger!$B$2:$B$500="TRUE"))&gt;0)*CaseLedger!$M$2:$M$500))</x:f>
        <x:v>32373</x:v>
      </x:c>
      <x:c r="N3" s="55" t="n">
        <x:f>IF($A3="","",SUMPRODUCT((CaseLedger!$E$2:$E$500=$A3)*--(((CaseLedger!$B$2:$B$500=TRUE)+(CaseLedger!$B$2:$B$500="TRUE"))&gt;0)*(CaseLedger!$O$2:$O$500="Mixed")*CaseLedger!$N$2:$N$500))</x:f>
        <x:v>0</x:v>
      </x:c>
      <x:c r="O3" s="55" t="n">
        <x:f>IF($A3="","",SUMPRODUCT((CaseLedger!$E$2:$E$500=$A3)*--(((CaseLedger!$B$2:$B$500=TRUE)+(CaseLedger!$B$2:$B$500="TRUE"))&gt;0)*CaseLedger!$N$2:$N$500))</x:f>
        <x:v>32373</x:v>
      </x:c>
      <x:c r="P3" s="55" t="n">
        <x:f>IFERROR(INDEX(MonthlyFinance!$D$2:$D$200,MATCH($B3,MonthlyFinance!$B$2:$B$200,0)),"")</x:f>
        <x:v>25187</x:v>
      </x:c>
      <x:c r="Q3" s="55" t="str">
        <x:f>IFERROR(INDEX(MonthlyFinance!$E$2:$E$200,MATCH($B3,MonthlyFinance!$B$2:$B$200,0)),"")</x:f>
      </x:c>
      <x:c r="R3" s="55" t="n">
        <x:f>IFERROR(INDEX(MonthlyFinance!$F$2:$F$200,MATCH($B3,MonthlyFinance!$B$2:$B$200,0)),"")</x:f>
        <x:v>13445</x:v>
      </x:c>
      <x:c r="S3" s="52" t="str">
        <x:f>IF($D3&gt;0,"Formula-linked from CaseLedger","")</x:f>
        <x:v>Formula-linked from CaseLedger</x:v>
      </x:c>
      <x:c r="T3" s="52" t="str">
        <x:f>IF($D3&gt;0,"TRUE","FALSE")</x:f>
        <x:v>TRUE</x:v>
      </x:c>
    </x:row>
    <x:row r="4">
      <x:c r="A4" s="52" t="str">
        <x:f>TEXT(C4,"mmm yyyy")</x:f>
        <x:v>Oct 2024</x:v>
      </x:c>
      <x:c r="B4" s="52" t="n">
        <x:f>YEAR(C4)*100+MONTH(C4)</x:f>
        <x:v>202410</x:v>
      </x:c>
      <x:c r="C4" s="54" t="n">
        <x:f>EDATE(C3,1)</x:f>
        <x:v>45566</x:v>
      </x:c>
      <x:c r="D4" s="52" t="n">
        <x:f>IF($A4="","",SUMPRODUCT((CaseLedger!$E$2:$E$500=$A4)*--(((CaseLedger!$B$2:$B$500=TRUE)+(CaseLedger!$B$2:$B$500="TRUE"))&gt;0)))</x:f>
        <x:v>2</x:v>
      </x:c>
      <x:c r="E4" s="52" t="n">
        <x:f>IF($A4="","",SUMPRODUCT((CaseLedger!$E$2:$E$500=$A4)*--(((CaseLedger!$B$2:$B$500=TRUE)+(CaseLedger!$B$2:$B$500="TRUE"))&gt;0)*(CaseLedger!$O$2:$O$500="Zakat")))</x:f>
        <x:v>0</x:v>
      </x:c>
      <x:c r="F4" s="52" t="n">
        <x:f>IF($A4="","",SUMPRODUCT((CaseLedger!$E$2:$E$500=$A4)*--(((CaseLedger!$B$2:$B$500=TRUE)+(CaseLedger!$B$2:$B$500="TRUE"))&gt;0)*(CaseLedger!$O$2:$O$500="Sadaqah")))</x:f>
        <x:v>2</x:v>
      </x:c>
      <x:c r="G4" s="52" t="n">
        <x:f>IF($A4="","",SUMPRODUCT((CaseLedger!$E$2:$E$500=$A4)*--(((CaseLedger!$B$2:$B$500=TRUE)+(CaseLedger!$B$2:$B$500="TRUE"))&gt;0)*(CaseLedger!$O$2:$O$500="Mixed")))</x:f>
        <x:v>0</x:v>
      </x:c>
      <x:c r="H4" s="52" t="n">
        <x:f>IF($A4="","",SUMPRODUCT((CaseLedger!$E$2:$E$500=$A4)*--(((CaseLedger!$B$2:$B$500=TRUE)+(CaseLedger!$B$2:$B$500="TRUE"))&gt;0)*(CaseLedger!$J$2:$J$500="Livelihood")))</x:f>
        <x:v>1</x:v>
      </x:c>
      <x:c r="I4" s="52" t="n">
        <x:f>IF($A4="","",SUMPRODUCT((CaseLedger!$E$2:$E$500=$A4)*--(((CaseLedger!$B$2:$B$500=TRUE)+(CaseLedger!$B$2:$B$500="TRUE"))&gt;0)*--(((CaseLedger!$J$2:$J$500="Skill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4" s="52" t="n">
        <x:f>IF($A4="","",SUMPRODUCT((CaseLedger!$E$2:$E$500=$A4)*--(((CaseLedger!$B$2:$B$500=TRUE)+(CaseLedger!$B$2:$B$500="TRUE"))&gt;0)*(CaseLedger!$J$2:$J$500="Emergency Support")))</x:f>
        <x:v>1</x:v>
      </x:c>
      <x:c r="K4" s="52" t="n">
        <x:f>IF($A4="","",SUMPRODUCT((CaseLedger!$E$2:$E$500=$A4)*--(((CaseLedger!$B$2:$B$500=TRUE)+(CaseLedger!$B$2:$B$500="TRUE"))&gt;0)*(CaseLedger!$J$2:$J$500="Community Support")))</x:f>
        <x:v>0</x:v>
      </x:c>
      <x:c r="L4" s="55" t="n">
        <x:f>IF($A4="","",SUMPRODUCT((CaseLedger!$E$2:$E$500=$A4)*--(((CaseLedger!$B$2:$B$500=TRUE)+(CaseLedger!$B$2:$B$500="TRUE"))&gt;0)*CaseLedger!$L$2:$L$500))</x:f>
        <x:v>0</x:v>
      </x:c>
      <x:c r="M4" s="55" t="n">
        <x:f>IF($A4="","",SUMPRODUCT((CaseLedger!$E$2:$E$500=$A4)*--(((CaseLedger!$B$2:$B$500=TRUE)+(CaseLedger!$B$2:$B$500="TRUE"))&gt;0)*CaseLedger!$M$2:$M$500))</x:f>
        <x:v>9803</x:v>
      </x:c>
      <x:c r="N4" s="55" t="n">
        <x:f>IF($A4="","",SUMPRODUCT((CaseLedger!$E$2:$E$500=$A4)*--(((CaseLedger!$B$2:$B$500=TRUE)+(CaseLedger!$B$2:$B$500="TRUE"))&gt;0)*(CaseLedger!$O$2:$O$500="Mixed")*CaseLedger!$N$2:$N$500))</x:f>
        <x:v>0</x:v>
      </x:c>
      <x:c r="O4" s="55" t="n">
        <x:f>IF($A4="","",SUMPRODUCT((CaseLedger!$E$2:$E$500=$A4)*--(((CaseLedger!$B$2:$B$500=TRUE)+(CaseLedger!$B$2:$B$500="TRUE"))&gt;0)*CaseLedger!$N$2:$N$500))</x:f>
        <x:v>9803</x:v>
      </x:c>
      <x:c r="P4" s="55" t="n">
        <x:f>IFERROR(INDEX(MonthlyFinance!$D$2:$D$200,MATCH($B4,MonthlyFinance!$B$2:$B$200,0)),"")</x:f>
        <x:v>11100</x:v>
      </x:c>
      <x:c r="Q4" s="55" t="str">
        <x:f>IFERROR(INDEX(MonthlyFinance!$E$2:$E$200,MATCH($B4,MonthlyFinance!$B$2:$B$200,0)),"")</x:f>
      </x:c>
      <x:c r="R4" s="55" t="n">
        <x:f>IFERROR(INDEX(MonthlyFinance!$F$2:$F$200,MATCH($B4,MonthlyFinance!$B$2:$B$200,0)),"")</x:f>
        <x:v>14705</x:v>
      </x:c>
      <x:c r="S4" s="52" t="str">
        <x:f>IF($D4&gt;0,"Formula-linked from CaseLedger","")</x:f>
        <x:v>Formula-linked from CaseLedger</x:v>
      </x:c>
      <x:c r="T4" s="52" t="str">
        <x:f>IF($D4&gt;0,"TRUE","FALSE")</x:f>
        <x:v>TRUE</x:v>
      </x:c>
    </x:row>
    <x:row r="5">
      <x:c r="A5" s="52" t="str">
        <x:f>TEXT(C5,"mmm yyyy")</x:f>
        <x:v>Nov 2024</x:v>
      </x:c>
      <x:c r="B5" s="52" t="n">
        <x:f>YEAR(C5)*100+MONTH(C5)</x:f>
        <x:v>202411</x:v>
      </x:c>
      <x:c r="C5" s="54" t="n">
        <x:f>EDATE(C4,1)</x:f>
        <x:v>45597</x:v>
      </x:c>
      <x:c r="D5" s="52" t="n">
        <x:f>IF($A5="","",SUMPRODUCT((CaseLedger!$E$2:$E$500=$A5)*--(((CaseLedger!$B$2:$B$500=TRUE)+(CaseLedger!$B$2:$B$500="TRUE"))&gt;0)))</x:f>
        <x:v>1</x:v>
      </x:c>
      <x:c r="E5" s="52" t="n">
        <x:f>IF($A5="","",SUMPRODUCT((CaseLedger!$E$2:$E$500=$A5)*--(((CaseLedger!$B$2:$B$500=TRUE)+(CaseLedger!$B$2:$B$500="TRUE"))&gt;0)*(CaseLedger!$O$2:$O$500="Zakat")))</x:f>
        <x:v>0</x:v>
      </x:c>
      <x:c r="F5" s="52" t="n">
        <x:f>IF($A5="","",SUMPRODUCT((CaseLedger!$E$2:$E$500=$A5)*--(((CaseLedger!$B$2:$B$500=TRUE)+(CaseLedger!$B$2:$B$500="TRUE"))&gt;0)*(CaseLedger!$O$2:$O$500="Sadaqah")))</x:f>
        <x:v>1</x:v>
      </x:c>
      <x:c r="G5" s="52" t="n">
        <x:f>IF($A5="","",SUMPRODUCT((CaseLedger!$E$2:$E$500=$A5)*--(((CaseLedger!$B$2:$B$500=TRUE)+(CaseLedger!$B$2:$B$500="TRUE"))&gt;0)*(CaseLedger!$O$2:$O$500="Mixed")))</x:f>
        <x:v>0</x:v>
      </x:c>
      <x:c r="H5" s="52" t="n">
        <x:f>IF($A5="","",SUMPRODUCT((CaseLedger!$E$2:$E$500=$A5)*--(((CaseLedger!$B$2:$B$500=TRUE)+(CaseLedger!$B$2:$B$500="TRUE"))&gt;0)*(CaseLedger!$J$2:$J$500="Livelihood")))</x:f>
        <x:v>1</x:v>
      </x:c>
      <x:c r="I5" s="52" t="n">
        <x:f>IF($A5="","",SUMPRODUCT((CaseLedger!$E$2:$E$500=$A5)*--(((CaseLedger!$B$2:$B$500=TRUE)+(CaseLedger!$B$2:$B$500="TRUE"))&gt;0)*--(((CaseLedger!$J$2:$J$500="Skill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5" s="52" t="n">
        <x:f>IF($A5="","",SUMPRODUCT((CaseLedger!$E$2:$E$500=$A5)*--(((CaseLedger!$B$2:$B$500=TRUE)+(CaseLedger!$B$2:$B$500="TRUE"))&gt;0)*(CaseLedger!$J$2:$J$500="Emergency Support")))</x:f>
        <x:v>0</x:v>
      </x:c>
      <x:c r="K5" s="52" t="n">
        <x:f>IF($A5="","",SUMPRODUCT((CaseLedger!$E$2:$E$500=$A5)*--(((CaseLedger!$B$2:$B$500=TRUE)+(CaseLedger!$B$2:$B$500="TRUE"))&gt;0)*(CaseLedger!$J$2:$J$500="Community Support")))</x:f>
        <x:v>0</x:v>
      </x:c>
      <x:c r="L5" s="55" t="n">
        <x:f>IF($A5="","",SUMPRODUCT((CaseLedger!$E$2:$E$500=$A5)*--(((CaseLedger!$B$2:$B$500=TRUE)+(CaseLedger!$B$2:$B$500="TRUE"))&gt;0)*CaseLedger!$L$2:$L$500))</x:f>
        <x:v>0</x:v>
      </x:c>
      <x:c r="M5" s="55" t="n">
        <x:f>IF($A5="","",SUMPRODUCT((CaseLedger!$E$2:$E$500=$A5)*--(((CaseLedger!$B$2:$B$500=TRUE)+(CaseLedger!$B$2:$B$500="TRUE"))&gt;0)*CaseLedger!$M$2:$M$500))</x:f>
        <x:v>15000</x:v>
      </x:c>
      <x:c r="N5" s="55" t="n">
        <x:f>IF($A5="","",SUMPRODUCT((CaseLedger!$E$2:$E$500=$A5)*--(((CaseLedger!$B$2:$B$500=TRUE)+(CaseLedger!$B$2:$B$500="TRUE"))&gt;0)*(CaseLedger!$O$2:$O$500="Mixed")*CaseLedger!$N$2:$N$500))</x:f>
        <x:v>0</x:v>
      </x:c>
      <x:c r="O5" s="55" t="n">
        <x:f>IF($A5="","",SUMPRODUCT((CaseLedger!$E$2:$E$500=$A5)*--(((CaseLedger!$B$2:$B$500=TRUE)+(CaseLedger!$B$2:$B$500="TRUE"))&gt;0)*CaseLedger!$N$2:$N$500))</x:f>
        <x:v>15000</x:v>
      </x:c>
      <x:c r="P5" s="55" t="n">
        <x:f>IFERROR(INDEX(MonthlyFinance!$D$2:$D$200,MATCH($B5,MonthlyFinance!$B$2:$B$200,0)),"")</x:f>
        <x:v>13900</x:v>
      </x:c>
      <x:c r="Q5" s="55" t="str">
        <x:f>IFERROR(INDEX(MonthlyFinance!$E$2:$E$200,MATCH($B5,MonthlyFinance!$B$2:$B$200,0)),"")</x:f>
      </x:c>
      <x:c r="R5" s="55" t="n">
        <x:f>IFERROR(INDEX(MonthlyFinance!$F$2:$F$200,MATCH($B5,MonthlyFinance!$B$2:$B$200,0)),"")</x:f>
        <x:v>13605</x:v>
      </x:c>
      <x:c r="S5" s="52" t="str">
        <x:f>IF($D5&gt;0,"Formula-linked from CaseLedger","")</x:f>
        <x:v>Formula-linked from CaseLedger</x:v>
      </x:c>
      <x:c r="T5" s="52" t="str">
        <x:f>IF($D5&gt;0,"TRUE","FALSE")</x:f>
        <x:v>TRUE</x:v>
      </x:c>
    </x:row>
    <x:row r="6">
      <x:c r="A6" s="52" t="str">
        <x:f>TEXT(C6,"mmm yyyy")</x:f>
        <x:v>Dec 2024</x:v>
      </x:c>
      <x:c r="B6" s="52" t="n">
        <x:f>YEAR(C6)*100+MONTH(C6)</x:f>
        <x:v>202412</x:v>
      </x:c>
      <x:c r="C6" s="54" t="n">
        <x:f>EDATE(C5,1)</x:f>
        <x:v>45627</x:v>
      </x:c>
      <x:c r="D6" s="52" t="n">
        <x:f>IF($A6="","",SUMPRODUCT((CaseLedger!$E$2:$E$500=$A6)*--(((CaseLedger!$B$2:$B$500=TRUE)+(CaseLedger!$B$2:$B$500="TRUE"))&gt;0)))</x:f>
        <x:v>4</x:v>
      </x:c>
      <x:c r="E6" s="52" t="n">
        <x:f>IF($A6="","",SUMPRODUCT((CaseLedger!$E$2:$E$500=$A6)*--(((CaseLedger!$B$2:$B$500=TRUE)+(CaseLedger!$B$2:$B$500="TRUE"))&gt;0)*(CaseLedger!$O$2:$O$500="Zakat")))</x:f>
        <x:v>0</x:v>
      </x:c>
      <x:c r="F6" s="52" t="n">
        <x:f>IF($A6="","",SUMPRODUCT((CaseLedger!$E$2:$E$500=$A6)*--(((CaseLedger!$B$2:$B$500=TRUE)+(CaseLedger!$B$2:$B$500="TRUE"))&gt;0)*(CaseLedger!$O$2:$O$500="Sadaqah")))</x:f>
        <x:v>4</x:v>
      </x:c>
      <x:c r="G6" s="52" t="n">
        <x:f>IF($A6="","",SUMPRODUCT((CaseLedger!$E$2:$E$500=$A6)*--(((CaseLedger!$B$2:$B$500=TRUE)+(CaseLedger!$B$2:$B$500="TRUE"))&gt;0)*(CaseLedger!$O$2:$O$500="Mixed")))</x:f>
        <x:v>0</x:v>
      </x:c>
      <x:c r="H6" s="52" t="n">
        <x:f>IF($A6="","",SUMPRODUCT((CaseLedger!$E$2:$E$500=$A6)*--(((CaseLedger!$B$2:$B$500=TRUE)+(CaseLedger!$B$2:$B$500="TRUE"))&gt;0)*(CaseLedger!$J$2:$J$500="Livelihood")))</x:f>
        <x:v>2</x:v>
      </x:c>
      <x:c r="I6" s="52" t="n">
        <x:f>IF($A6="","",SUMPRODUCT((CaseLedger!$E$2:$E$500=$A6)*--(((CaseLedger!$B$2:$B$500=TRUE)+(CaseLedger!$B$2:$B$500="TRUE"))&gt;0)*--(((CaseLedger!$J$2:$J$500="Skill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6" s="52" t="n">
        <x:f>IF($A6="","",SUMPRODUCT((CaseLedger!$E$2:$E$500=$A6)*--(((CaseLedger!$B$2:$B$500=TRUE)+(CaseLedger!$B$2:$B$500="TRUE"))&gt;0)*(CaseLedger!$J$2:$J$500="Emergency Support")))</x:f>
        <x:v>2</x:v>
      </x:c>
      <x:c r="K6" s="52" t="n">
        <x:f>IF($A6="","",SUMPRODUCT((CaseLedger!$E$2:$E$500=$A6)*--(((CaseLedger!$B$2:$B$500=TRUE)+(CaseLedger!$B$2:$B$500="TRUE"))&gt;0)*(CaseLedger!$J$2:$J$500="Community Support")))</x:f>
        <x:v>0</x:v>
      </x:c>
      <x:c r="L6" s="55" t="n">
        <x:f>IF($A6="","",SUMPRODUCT((CaseLedger!$E$2:$E$500=$A6)*--(((CaseLedger!$B$2:$B$500=TRUE)+(CaseLedger!$B$2:$B$500="TRUE"))&gt;0)*CaseLedger!$L$2:$L$500))</x:f>
        <x:v>0</x:v>
      </x:c>
      <x:c r="M6" s="55" t="n">
        <x:f>IF($A6="","",SUMPRODUCT((CaseLedger!$E$2:$E$500=$A6)*--(((CaseLedger!$B$2:$B$500=TRUE)+(CaseLedger!$B$2:$B$500="TRUE"))&gt;0)*CaseLedger!$M$2:$M$500))</x:f>
        <x:v>51830</x:v>
      </x:c>
      <x:c r="N6" s="55" t="n">
        <x:f>IF($A6="","",SUMPRODUCT((CaseLedger!$E$2:$E$500=$A6)*--(((CaseLedger!$B$2:$B$500=TRUE)+(CaseLedger!$B$2:$B$500="TRUE"))&gt;0)*(CaseLedger!$O$2:$O$500="Mixed")*CaseLedger!$N$2:$N$500))</x:f>
        <x:v>0</x:v>
      </x:c>
      <x:c r="O6" s="55" t="n">
        <x:f>IF($A6="","",SUMPRODUCT((CaseLedger!$E$2:$E$500=$A6)*--(((CaseLedger!$B$2:$B$500=TRUE)+(CaseLedger!$B$2:$B$500="TRUE"))&gt;0)*CaseLedger!$N$2:$N$500))</x:f>
        <x:v>51830</x:v>
      </x:c>
      <x:c r="P6" s="55" t="n">
        <x:f>IFERROR(INDEX(MonthlyFinance!$D$2:$D$200,MATCH($B6,MonthlyFinance!$B$2:$B$200,0)),"")</x:f>
        <x:v>39300</x:v>
      </x:c>
      <x:c r="Q6" s="55" t="str">
        <x:f>IFERROR(INDEX(MonthlyFinance!$E$2:$E$200,MATCH($B6,MonthlyFinance!$B$2:$B$200,0)),"")</x:f>
      </x:c>
      <x:c r="R6" s="55" t="n">
        <x:f>IFERROR(INDEX(MonthlyFinance!$F$2:$F$200,MATCH($B6,MonthlyFinance!$B$2:$B$200,0)),"")</x:f>
        <x:v>1075</x:v>
      </x:c>
      <x:c r="S6" s="52" t="str">
        <x:f>IF($D6&gt;0,"Formula-linked from CaseLedger","")</x:f>
        <x:v>Formula-linked from CaseLedger</x:v>
      </x:c>
      <x:c r="T6" s="52" t="str">
        <x:f>IF($D6&gt;0,"TRUE","FALSE")</x:f>
        <x:v>TRUE</x:v>
      </x:c>
    </x:row>
    <x:row r="7">
      <x:c r="A7" s="52" t="str">
        <x:f>TEXT(C7,"mmm yyyy")</x:f>
        <x:v>Jan 2025</x:v>
      </x:c>
      <x:c r="B7" s="52" t="n">
        <x:f>YEAR(C7)*100+MONTH(C7)</x:f>
        <x:v>202501</x:v>
      </x:c>
      <x:c r="C7" s="54" t="n">
        <x:f>EDATE(C6,1)</x:f>
        <x:v>45658</x:v>
      </x:c>
      <x:c r="D7" s="52" t="n">
        <x:f>IF($A7="","",SUMPRODUCT((CaseLedger!$E$2:$E$500=$A7)*--(((CaseLedger!$B$2:$B$500=TRUE)+(CaseLedger!$B$2:$B$500="TRUE"))&gt;0)))</x:f>
        <x:v>3</x:v>
      </x:c>
      <x:c r="E7" s="52" t="n">
        <x:f>IF($A7="","",SUMPRODUCT((CaseLedger!$E$2:$E$500=$A7)*--(((CaseLedger!$B$2:$B$500=TRUE)+(CaseLedger!$B$2:$B$500="TRUE"))&gt;0)*(CaseLedger!$O$2:$O$500="Zakat")))</x:f>
        <x:v>0</x:v>
      </x:c>
      <x:c r="F7" s="52" t="n">
        <x:f>IF($A7="","",SUMPRODUCT((CaseLedger!$E$2:$E$500=$A7)*--(((CaseLedger!$B$2:$B$500=TRUE)+(CaseLedger!$B$2:$B$500="TRUE"))&gt;0)*(CaseLedger!$O$2:$O$500="Sadaqah")))</x:f>
        <x:v>2</x:v>
      </x:c>
      <x:c r="G7" s="52" t="n">
        <x:f>IF($A7="","",SUMPRODUCT((CaseLedger!$E$2:$E$500=$A7)*--(((CaseLedger!$B$2:$B$500=TRUE)+(CaseLedger!$B$2:$B$500="TRUE"))&gt;0)*(CaseLedger!$O$2:$O$500="Mixed")))</x:f>
        <x:v>1</x:v>
      </x:c>
      <x:c r="H7" s="52" t="n">
        <x:f>IF($A7="","",SUMPRODUCT((CaseLedger!$E$2:$E$500=$A7)*--(((CaseLedger!$B$2:$B$500=TRUE)+(CaseLedger!$B$2:$B$500="TRUE"))&gt;0)*(CaseLedger!$J$2:$J$500="Livelihood")))</x:f>
        <x:v>3</x:v>
      </x:c>
      <x:c r="I7" s="52" t="n">
        <x:f>IF($A7="","",SUMPRODUCT((CaseLedger!$E$2:$E$500=$A7)*--(((CaseLedger!$B$2:$B$500=TRUE)+(CaseLedger!$B$2:$B$500="TRUE"))&gt;0)*--(((CaseLedger!$J$2:$J$500="Skill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7" s="52" t="n">
        <x:f>IF($A7="","",SUMPRODUCT((CaseLedger!$E$2:$E$500=$A7)*--(((CaseLedger!$B$2:$B$500=TRUE)+(CaseLedger!$B$2:$B$500="TRUE"))&gt;0)*(CaseLedger!$J$2:$J$500="Emergency Support")))</x:f>
        <x:v>0</x:v>
      </x:c>
      <x:c r="K7" s="52" t="n">
        <x:f>IF($A7="","",SUMPRODUCT((CaseLedger!$E$2:$E$500=$A7)*--(((CaseLedger!$B$2:$B$500=TRUE)+(CaseLedger!$B$2:$B$500="TRUE"))&gt;0)*(CaseLedger!$J$2:$J$500="Community Support")))</x:f>
        <x:v>0</x:v>
      </x:c>
      <x:c r="L7" s="55" t="n">
        <x:f>IF($A7="","",SUMPRODUCT((CaseLedger!$E$2:$E$500=$A7)*--(((CaseLedger!$B$2:$B$500=TRUE)+(CaseLedger!$B$2:$B$500="TRUE"))&gt;0)*CaseLedger!$L$2:$L$500))</x:f>
        <x:v>8000</x:v>
      </x:c>
      <x:c r="M7" s="55" t="n">
        <x:f>IF($A7="","",SUMPRODUCT((CaseLedger!$E$2:$E$500=$A7)*--(((CaseLedger!$B$2:$B$500=TRUE)+(CaseLedger!$B$2:$B$500="TRUE"))&gt;0)*CaseLedger!$M$2:$M$500))</x:f>
        <x:v>27000</x:v>
      </x:c>
      <x:c r="N7" s="55" t="n">
        <x:f>IF($A7="","",SUMPRODUCT((CaseLedger!$E$2:$E$500=$A7)*--(((CaseLedger!$B$2:$B$500=TRUE)+(CaseLedger!$B$2:$B$500="TRUE"))&gt;0)*(CaseLedger!$O$2:$O$500="Mixed")*CaseLedger!$N$2:$N$500))</x:f>
        <x:v>15000</x:v>
      </x:c>
      <x:c r="O7" s="55" t="n">
        <x:f>IF($A7="","",SUMPRODUCT((CaseLedger!$E$2:$E$500=$A7)*--(((CaseLedger!$B$2:$B$500=TRUE)+(CaseLedger!$B$2:$B$500="TRUE"))&gt;0)*CaseLedger!$N$2:$N$500))</x:f>
        <x:v>35000</x:v>
      </x:c>
      <x:c r="P7" s="55" t="n">
        <x:f>IFERROR(INDEX(MonthlyFinance!$D$2:$D$200,MATCH($B7,MonthlyFinance!$B$2:$B$200,0)),"")</x:f>
        <x:v>26500</x:v>
      </x:c>
      <x:c r="Q7" s="55" t="n">
        <x:f>IFERROR(INDEX(MonthlyFinance!$E$2:$E$200,MATCH($B7,MonthlyFinance!$B$2:$B$200,0)),"")</x:f>
        <x:v>8000</x:v>
      </x:c>
      <x:c r="R7" s="55" t="n">
        <x:f>IFERROR(INDEX(MonthlyFinance!$F$2:$F$200,MATCH($B7,MonthlyFinance!$B$2:$B$200,0)),"")</x:f>
        <x:v>575</x:v>
      </x:c>
      <x:c r="S7" s="52" t="str">
        <x:f>IF($D7&gt;0,"Formula-linked from CaseLedger","")</x:f>
        <x:v>Formula-linked from CaseLedger</x:v>
      </x:c>
      <x:c r="T7" s="52" t="str">
        <x:f>IF($D7&gt;0,"TRUE","FALSE")</x:f>
        <x:v>TRUE</x:v>
      </x:c>
    </x:row>
    <x:row r="8">
      <x:c r="A8" s="52" t="str">
        <x:f>TEXT(C8,"mmm yyyy")</x:f>
        <x:v>Feb 2025</x:v>
      </x:c>
      <x:c r="B8" s="52" t="n">
        <x:f>YEAR(C8)*100+MONTH(C8)</x:f>
        <x:v>202502</x:v>
      </x:c>
      <x:c r="C8" s="54" t="n">
        <x:f>EDATE(C7,1)</x:f>
        <x:v>45689</x:v>
      </x:c>
      <x:c r="D8" s="52" t="n">
        <x:f>IF($A8="","",SUMPRODUCT((CaseLedger!$E$2:$E$500=$A8)*--(((CaseLedger!$B$2:$B$500=TRUE)+(CaseLedger!$B$2:$B$500="TRUE"))&gt;0)))</x:f>
        <x:v>3</x:v>
      </x:c>
      <x:c r="E8" s="52" t="n">
        <x:f>IF($A8="","",SUMPRODUCT((CaseLedger!$E$2:$E$500=$A8)*--(((CaseLedger!$B$2:$B$500=TRUE)+(CaseLedger!$B$2:$B$500="TRUE"))&gt;0)*(CaseLedger!$O$2:$O$500="Zakat")))</x:f>
        <x:v>2</x:v>
      </x:c>
      <x:c r="F8" s="52" t="n">
        <x:f>IF($A8="","",SUMPRODUCT((CaseLedger!$E$2:$E$500=$A8)*--(((CaseLedger!$B$2:$B$500=TRUE)+(CaseLedger!$B$2:$B$500="TRUE"))&gt;0)*(CaseLedger!$O$2:$O$500="Sadaqah")))</x:f>
        <x:v>1</x:v>
      </x:c>
      <x:c r="G8" s="52" t="n">
        <x:f>IF($A8="","",SUMPRODUCT((CaseLedger!$E$2:$E$500=$A8)*--(((CaseLedger!$B$2:$B$500=TRUE)+(CaseLedger!$B$2:$B$500="TRUE"))&gt;0)*(CaseLedger!$O$2:$O$500="Mixed")))</x:f>
        <x:v>0</x:v>
      </x:c>
      <x:c r="H8" s="52" t="n">
        <x:f>IF($A8="","",SUMPRODUCT((CaseLedger!$E$2:$E$500=$A8)*--(((CaseLedger!$B$2:$B$500=TRUE)+(CaseLedger!$B$2:$B$500="TRUE"))&gt;0)*(CaseLedger!$J$2:$J$500="Livelihood")))</x:f>
        <x:v>3</x:v>
      </x:c>
      <x:c r="I8" s="52" t="n">
        <x:f>IF($A8="","",SUMPRODUCT((CaseLedger!$E$2:$E$500=$A8)*--(((CaseLedger!$B$2:$B$500=TRUE)+(CaseLedger!$B$2:$B$500="TRUE"))&gt;0)*--(((CaseLedger!$J$2:$J$500="Skill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8" s="52" t="n">
        <x:f>IF($A8="","",SUMPRODUCT((CaseLedger!$E$2:$E$500=$A8)*--(((CaseLedger!$B$2:$B$500=TRUE)+(CaseLedger!$B$2:$B$500="TRUE"))&gt;0)*(CaseLedger!$J$2:$J$500="Emergency Support")))</x:f>
        <x:v>0</x:v>
      </x:c>
      <x:c r="K8" s="52" t="n">
        <x:f>IF($A8="","",SUMPRODUCT((CaseLedger!$E$2:$E$500=$A8)*--(((CaseLedger!$B$2:$B$500=TRUE)+(CaseLedger!$B$2:$B$500="TRUE"))&gt;0)*(CaseLedger!$J$2:$J$500="Community Support")))</x:f>
        <x:v>0</x:v>
      </x:c>
      <x:c r="L8" s="55" t="n">
        <x:f>IF($A8="","",SUMPRODUCT((CaseLedger!$E$2:$E$500=$A8)*--(((CaseLedger!$B$2:$B$500=TRUE)+(CaseLedger!$B$2:$B$500="TRUE"))&gt;0)*CaseLedger!$L$2:$L$500))</x:f>
        <x:v>28000</x:v>
      </x:c>
      <x:c r="M8" s="55" t="n">
        <x:f>IF($A8="","",SUMPRODUCT((CaseLedger!$E$2:$E$500=$A8)*--(((CaseLedger!$B$2:$B$500=TRUE)+(CaseLedger!$B$2:$B$500="TRUE"))&gt;0)*CaseLedger!$M$2:$M$500))</x:f>
        <x:v>12000</x:v>
      </x:c>
      <x:c r="N8" s="55" t="n">
        <x:f>IF($A8="","",SUMPRODUCT((CaseLedger!$E$2:$E$500=$A8)*--(((CaseLedger!$B$2:$B$500=TRUE)+(CaseLedger!$B$2:$B$500="TRUE"))&gt;0)*(CaseLedger!$O$2:$O$500="Mixed")*CaseLedger!$N$2:$N$500))</x:f>
        <x:v>0</x:v>
      </x:c>
      <x:c r="O8" s="55" t="n">
        <x:f>IF($A8="","",SUMPRODUCT((CaseLedger!$E$2:$E$500=$A8)*--(((CaseLedger!$B$2:$B$500=TRUE)+(CaseLedger!$B$2:$B$500="TRUE"))&gt;0)*CaseLedger!$N$2:$N$500))</x:f>
        <x:v>40000</x:v>
      </x:c>
      <x:c r="P8" s="55" t="n">
        <x:f>IFERROR(INDEX(MonthlyFinance!$D$2:$D$200,MATCH($B8,MonthlyFinance!$B$2:$B$200,0)),"")</x:f>
        <x:v>14600</x:v>
      </x:c>
      <x:c r="Q8" s="55" t="n">
        <x:f>IFERROR(INDEX(MonthlyFinance!$E$2:$E$200,MATCH($B8,MonthlyFinance!$B$2:$B$200,0)),"")</x:f>
        <x:v>28000</x:v>
      </x:c>
      <x:c r="R8" s="55" t="n">
        <x:f>IFERROR(INDEX(MonthlyFinance!$F$2:$F$200,MATCH($B8,MonthlyFinance!$B$2:$B$200,0)),"")</x:f>
        <x:v>3175</x:v>
      </x:c>
      <x:c r="S8" s="52" t="str">
        <x:f>IF($D8&gt;0,"Formula-linked from CaseLedger","")</x:f>
        <x:v>Formula-linked from CaseLedger</x:v>
      </x:c>
      <x:c r="T8" s="52" t="str">
        <x:f>IF($D8&gt;0,"TRUE","FALSE")</x:f>
        <x:v>TRUE</x:v>
      </x:c>
    </x:row>
    <x:row r="9">
      <x:c r="A9" s="52" t="str">
        <x:f>TEXT(C9,"mmm yyyy")</x:f>
        <x:v>Mar 2025</x:v>
      </x:c>
      <x:c r="B9" s="52" t="n">
        <x:f>YEAR(C9)*100+MONTH(C9)</x:f>
        <x:v>202503</x:v>
      </x:c>
      <x:c r="C9" s="54" t="n">
        <x:f>EDATE(C8,1)</x:f>
        <x:v>45717</x:v>
      </x:c>
      <x:c r="D9" s="52" t="n">
        <x:f>IF($A9="","",SUMPRODUCT((CaseLedger!$E$2:$E$500=$A9)*--(((CaseLedger!$B$2:$B$500=TRUE)+(CaseLedger!$B$2:$B$500="TRUE"))&gt;0)))</x:f>
        <x:v>7</x:v>
      </x:c>
      <x:c r="E9" s="52" t="n">
        <x:f>IF($A9="","",SUMPRODUCT((CaseLedger!$E$2:$E$500=$A9)*--(((CaseLedger!$B$2:$B$500=TRUE)+(CaseLedger!$B$2:$B$500="TRUE"))&gt;0)*(CaseLedger!$O$2:$O$500="Zakat")))</x:f>
        <x:v>5</x:v>
      </x:c>
      <x:c r="F9" s="52" t="n">
        <x:f>IF($A9="","",SUMPRODUCT((CaseLedger!$E$2:$E$500=$A9)*--(((CaseLedger!$B$2:$B$500=TRUE)+(CaseLedger!$B$2:$B$500="TRUE"))&gt;0)*(CaseLedger!$O$2:$O$500="Sadaqah")))</x:f>
        <x:v>2</x:v>
      </x:c>
      <x:c r="G9" s="52" t="n">
        <x:f>IF($A9="","",SUMPRODUCT((CaseLedger!$E$2:$E$500=$A9)*--(((CaseLedger!$B$2:$B$500=TRUE)+(CaseLedger!$B$2:$B$500="TRUE"))&gt;0)*(CaseLedger!$O$2:$O$500="Mixed")))</x:f>
        <x:v>0</x:v>
      </x:c>
      <x:c r="H9" s="52" t="n">
        <x:f>IF($A9="","",SUMPRODUCT((CaseLedger!$E$2:$E$500=$A9)*--(((CaseLedger!$B$2:$B$500=TRUE)+(CaseLedger!$B$2:$B$500="TRUE"))&gt;0)*(CaseLedger!$J$2:$J$500="Livelihood")))</x:f>
        <x:v>7</x:v>
      </x:c>
      <x:c r="I9" s="52" t="n">
        <x:f>IF($A9="","",SUMPRODUCT((CaseLedger!$E$2:$E$500=$A9)*--(((CaseLedger!$B$2:$B$500=TRUE)+(CaseLedger!$B$2:$B$500="TRUE"))&gt;0)*--(((CaseLedger!$J$2:$J$500="Skill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9" s="52" t="n">
        <x:f>IF($A9="","",SUMPRODUCT((CaseLedger!$E$2:$E$500=$A9)*--(((CaseLedger!$B$2:$B$500=TRUE)+(CaseLedger!$B$2:$B$500="TRUE"))&gt;0)*(CaseLedger!$J$2:$J$500="Emergency Support")))</x:f>
        <x:v>0</x:v>
      </x:c>
      <x:c r="K9" s="52" t="n">
        <x:f>IF($A9="","",SUMPRODUCT((CaseLedger!$E$2:$E$500=$A9)*--(((CaseLedger!$B$2:$B$500=TRUE)+(CaseLedger!$B$2:$B$500="TRUE"))&gt;0)*(CaseLedger!$J$2:$J$500="Community Support")))</x:f>
        <x:v>0</x:v>
      </x:c>
      <x:c r="L9" s="55" t="n">
        <x:f>IF($A9="","",SUMPRODUCT((CaseLedger!$E$2:$E$500=$A9)*--(((CaseLedger!$B$2:$B$500=TRUE)+(CaseLedger!$B$2:$B$500="TRUE"))&gt;0)*CaseLedger!$L$2:$L$500))</x:f>
        <x:v>100000</x:v>
      </x:c>
      <x:c r="M9" s="55" t="n">
        <x:f>IF($A9="","",SUMPRODUCT((CaseLedger!$E$2:$E$500=$A9)*--(((CaseLedger!$B$2:$B$500=TRUE)+(CaseLedger!$B$2:$B$500="TRUE"))&gt;0)*CaseLedger!$M$2:$M$500))</x:f>
        <x:v>40000</x:v>
      </x:c>
      <x:c r="N9" s="55" t="n">
        <x:f>IF($A9="","",SUMPRODUCT((CaseLedger!$E$2:$E$500=$A9)*--(((CaseLedger!$B$2:$B$500=TRUE)+(CaseLedger!$B$2:$B$500="TRUE"))&gt;0)*(CaseLedger!$O$2:$O$500="Mixed")*CaseLedger!$N$2:$N$500))</x:f>
        <x:v>0</x:v>
      </x:c>
      <x:c r="O9" s="55" t="n">
        <x:f>IF($A9="","",SUMPRODUCT((CaseLedger!$E$2:$E$500=$A9)*--(((CaseLedger!$B$2:$B$500=TRUE)+(CaseLedger!$B$2:$B$500="TRUE"))&gt;0)*CaseLedger!$N$2:$N$500))</x:f>
        <x:v>140000</x:v>
      </x:c>
      <x:c r="P9" s="55" t="n">
        <x:f>IFERROR(INDEX(MonthlyFinance!$D$2:$D$200,MATCH($B9,MonthlyFinance!$B$2:$B$200,0)),"")</x:f>
        <x:v>37350</x:v>
      </x:c>
      <x:c r="Q9" s="55" t="n">
        <x:f>IFERROR(INDEX(MonthlyFinance!$E$2:$E$200,MATCH($B9,MonthlyFinance!$B$2:$B$200,0)),"")</x:f>
        <x:v>100000</x:v>
      </x:c>
      <x:c r="R9" s="55" t="n">
        <x:f>IFERROR(INDEX(MonthlyFinance!$F$2:$F$200,MATCH($B9,MonthlyFinance!$B$2:$B$200,0)),"")</x:f>
        <x:v>525</x:v>
      </x:c>
      <x:c r="S9" s="52" t="str">
        <x:f>IF($D9&gt;0,"Formula-linked from CaseLedger","")</x:f>
        <x:v>Formula-linked from CaseLedger</x:v>
      </x:c>
      <x:c r="T9" s="52" t="str">
        <x:f>IF($D9&gt;0,"TRUE","FALSE")</x:f>
        <x:v>TRUE</x:v>
      </x:c>
    </x:row>
    <x:row r="10">
      <x:c r="A10" s="52" t="str">
        <x:f>TEXT(C10,"mmm yyyy")</x:f>
        <x:v>Apr 2025</x:v>
      </x:c>
      <x:c r="B10" s="52" t="n">
        <x:f>YEAR(C10)*100+MONTH(C10)</x:f>
        <x:v>202504</x:v>
      </x:c>
      <x:c r="C10" s="54" t="n">
        <x:f>EDATE(C9,1)</x:f>
        <x:v>45748</x:v>
      </x:c>
      <x:c r="D10" s="52" t="n">
        <x:f>IF($A10="","",SUMPRODUCT((CaseLedger!$E$2:$E$500=$A10)*--(((CaseLedger!$B$2:$B$500=TRUE)+(CaseLedger!$B$2:$B$500="TRUE"))&gt;0)))</x:f>
        <x:v>1</x:v>
      </x:c>
      <x:c r="E10" s="52" t="n">
        <x:f>IF($A10="","",SUMPRODUCT((CaseLedger!$E$2:$E$500=$A10)*--(((CaseLedger!$B$2:$B$500=TRUE)+(CaseLedger!$B$2:$B$500="TRUE"))&gt;0)*(CaseLedger!$O$2:$O$500="Zakat")))</x:f>
        <x:v>0</x:v>
      </x:c>
      <x:c r="F10" s="52" t="n">
        <x:f>IF($A10="","",SUMPRODUCT((CaseLedger!$E$2:$E$500=$A10)*--(((CaseLedger!$B$2:$B$500=TRUE)+(CaseLedger!$B$2:$B$500="TRUE"))&gt;0)*(CaseLedger!$O$2:$O$500="Sadaqah")))</x:f>
        <x:v>1</x:v>
      </x:c>
      <x:c r="G10" s="52" t="n">
        <x:f>IF($A10="","",SUMPRODUCT((CaseLedger!$E$2:$E$500=$A10)*--(((CaseLedger!$B$2:$B$500=TRUE)+(CaseLedger!$B$2:$B$500="TRUE"))&gt;0)*(CaseLedger!$O$2:$O$500="Mixed")))</x:f>
        <x:v>0</x:v>
      </x:c>
      <x:c r="H10" s="52" t="n">
        <x:f>IF($A10="","",SUMPRODUCT((CaseLedger!$E$2:$E$500=$A10)*--(((CaseLedger!$B$2:$B$500=TRUE)+(CaseLedger!$B$2:$B$500="TRUE"))&gt;0)*(CaseLedger!$J$2:$J$500="Livelihood")))</x:f>
        <x:v>1</x:v>
      </x:c>
      <x:c r="I10" s="52" t="n">
        <x:f>IF($A10="","",SUMPRODUCT((CaseLedger!$E$2:$E$500=$A10)*--(((CaseLedger!$B$2:$B$500=TRUE)+(CaseLedger!$B$2:$B$500="TRUE"))&gt;0)*--(((CaseLedger!$J$2:$J$500="Skill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10" s="52" t="n">
        <x:f>IF($A10="","",SUMPRODUCT((CaseLedger!$E$2:$E$500=$A10)*--(((CaseLedger!$B$2:$B$500=TRUE)+(CaseLedger!$B$2:$B$500="TRUE"))&gt;0)*(CaseLedger!$J$2:$J$500="Emergency Support")))</x:f>
        <x:v>0</x:v>
      </x:c>
      <x:c r="K10" s="52" t="n">
        <x:f>IF($A10="","",SUMPRODUCT((CaseLedger!$E$2:$E$500=$A10)*--(((CaseLedger!$B$2:$B$500=TRUE)+(CaseLedger!$B$2:$B$500="TRUE"))&gt;0)*(CaseLedger!$J$2:$J$500="Community Support")))</x:f>
        <x:v>0</x:v>
      </x:c>
      <x:c r="L10" s="55" t="n">
        <x:f>IF($A10="","",SUMPRODUCT((CaseLedger!$E$2:$E$500=$A10)*--(((CaseLedger!$B$2:$B$500=TRUE)+(CaseLedger!$B$2:$B$500="TRUE"))&gt;0)*CaseLedger!$L$2:$L$500))</x:f>
        <x:v>0</x:v>
      </x:c>
      <x:c r="M10" s="55" t="n">
        <x:f>IF($A10="","",SUMPRODUCT((CaseLedger!$E$2:$E$500=$A10)*--(((CaseLedger!$B$2:$B$500=TRUE)+(CaseLedger!$B$2:$B$500="TRUE"))&gt;0)*CaseLedger!$M$2:$M$500))</x:f>
        <x:v>8200</x:v>
      </x:c>
      <x:c r="N10" s="55" t="n">
        <x:f>IF($A10="","",SUMPRODUCT((CaseLedger!$E$2:$E$500=$A10)*--(((CaseLedger!$B$2:$B$500=TRUE)+(CaseLedger!$B$2:$B$500="TRUE"))&gt;0)*(CaseLedger!$O$2:$O$500="Mixed")*CaseLedger!$N$2:$N$500))</x:f>
        <x:v>0</x:v>
      </x:c>
      <x:c r="O10" s="55" t="n">
        <x:f>IF($A10="","",SUMPRODUCT((CaseLedger!$E$2:$E$500=$A10)*--(((CaseLedger!$B$2:$B$500=TRUE)+(CaseLedger!$B$2:$B$500="TRUE"))&gt;0)*CaseLedger!$N$2:$N$500))</x:f>
        <x:v>8200</x:v>
      </x:c>
      <x:c r="P10" s="55" t="n">
        <x:f>IFERROR(INDEX(MonthlyFinance!$D$2:$D$200,MATCH($B10,MonthlyFinance!$B$2:$B$200,0)),"")</x:f>
        <x:v>12200</x:v>
      </x:c>
      <x:c r="Q10" s="55" t="str">
        <x:f>IFERROR(INDEX(MonthlyFinance!$E$2:$E$200,MATCH($B10,MonthlyFinance!$B$2:$B$200,0)),"")</x:f>
      </x:c>
      <x:c r="R10" s="55" t="n">
        <x:f>IFERROR(INDEX(MonthlyFinance!$F$2:$F$200,MATCH($B10,MonthlyFinance!$B$2:$B$200,0)),"")</x:f>
        <x:v>4525</x:v>
      </x:c>
      <x:c r="S10" s="52" t="str">
        <x:f>IF($D10&gt;0,"Formula-linked from CaseLedger","")</x:f>
        <x:v>Formula-linked from CaseLedger</x:v>
      </x:c>
      <x:c r="T10" s="52" t="str">
        <x:f>IF($D10&gt;0,"TRUE","FALSE")</x:f>
        <x:v>TRUE</x:v>
      </x:c>
    </x:row>
    <x:row r="11">
      <x:c r="A11" s="52" t="str">
        <x:f>TEXT(C11,"mmm yyyy")</x:f>
        <x:v>May 2025</x:v>
      </x:c>
      <x:c r="B11" s="52" t="n">
        <x:f>YEAR(C11)*100+MONTH(C11)</x:f>
        <x:v>202505</x:v>
      </x:c>
      <x:c r="C11" s="54" t="n">
        <x:f>EDATE(C10,1)</x:f>
        <x:v>45778</x:v>
      </x:c>
      <x:c r="D11" s="52" t="n">
        <x:f>IF($A11="","",SUMPRODUCT((CaseLedger!$E$2:$E$500=$A11)*--(((CaseLedger!$B$2:$B$500=TRUE)+(CaseLedger!$B$2:$B$500="TRUE"))&gt;0)))</x:f>
        <x:v>4</x:v>
      </x:c>
      <x:c r="E11" s="52" t="n">
        <x:f>IF($A11="","",SUMPRODUCT((CaseLedger!$E$2:$E$500=$A11)*--(((CaseLedger!$B$2:$B$500=TRUE)+(CaseLedger!$B$2:$B$500="TRUE"))&gt;0)*(CaseLedger!$O$2:$O$500="Zakat")))</x:f>
        <x:v>0</x:v>
      </x:c>
      <x:c r="F11" s="52" t="n">
        <x:f>IF($A11="","",SUMPRODUCT((CaseLedger!$E$2:$E$500=$A11)*--(((CaseLedger!$B$2:$B$500=TRUE)+(CaseLedger!$B$2:$B$500="TRUE"))&gt;0)*(CaseLedger!$O$2:$O$500="Sadaqah")))</x:f>
        <x:v>1</x:v>
      </x:c>
      <x:c r="G11" s="52" t="n">
        <x:f>IF($A11="","",SUMPRODUCT((CaseLedger!$E$2:$E$500=$A11)*--(((CaseLedger!$B$2:$B$500=TRUE)+(CaseLedger!$B$2:$B$500="TRUE"))&gt;0)*(CaseLedger!$O$2:$O$500="Mixed")))</x:f>
        <x:v>3</x:v>
      </x:c>
      <x:c r="H11" s="52" t="n">
        <x:f>IF($A11="","",SUMPRODUCT((CaseLedger!$E$2:$E$500=$A11)*--(((CaseLedger!$B$2:$B$500=TRUE)+(CaseLedger!$B$2:$B$500="TRUE"))&gt;0)*(CaseLedger!$J$2:$J$500="Livelihood")))</x:f>
        <x:v>4</x:v>
      </x:c>
      <x:c r="I11" s="52" t="n">
        <x:f>IF($A11="","",SUMPRODUCT((CaseLedger!$E$2:$E$500=$A11)*--(((CaseLedger!$B$2:$B$500=TRUE)+(CaseLedger!$B$2:$B$500="TRUE"))&gt;0)*--(((CaseLedger!$J$2:$J$500="Skill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11" s="52" t="n">
        <x:f>IF($A11="","",SUMPRODUCT((CaseLedger!$E$2:$E$500=$A11)*--(((CaseLedger!$B$2:$B$500=TRUE)+(CaseLedger!$B$2:$B$500="TRUE"))&gt;0)*(CaseLedger!$J$2:$J$500="Emergency Support")))</x:f>
        <x:v>0</x:v>
      </x:c>
      <x:c r="K11" s="52" t="n">
        <x:f>IF($A11="","",SUMPRODUCT((CaseLedger!$E$2:$E$500=$A11)*--(((CaseLedger!$B$2:$B$500=TRUE)+(CaseLedger!$B$2:$B$500="TRUE"))&gt;0)*(CaseLedger!$J$2:$J$500="Community Support")))</x:f>
        <x:v>0</x:v>
      </x:c>
      <x:c r="L11" s="55" t="n">
        <x:f>IF($A11="","",SUMPRODUCT((CaseLedger!$E$2:$E$500=$A11)*--(((CaseLedger!$B$2:$B$500=TRUE)+(CaseLedger!$B$2:$B$500="TRUE"))&gt;0)*CaseLedger!$L$2:$L$500))</x:f>
        <x:v>41200</x:v>
      </x:c>
      <x:c r="M11" s="55" t="n">
        <x:f>IF($A11="","",SUMPRODUCT((CaseLedger!$E$2:$E$500=$A11)*--(((CaseLedger!$B$2:$B$500=TRUE)+(CaseLedger!$B$2:$B$500="TRUE"))&gt;0)*CaseLedger!$M$2:$M$500))</x:f>
        <x:v>45800</x:v>
      </x:c>
      <x:c r="N11" s="55" t="n">
        <x:f>IF($A11="","",SUMPRODUCT((CaseLedger!$E$2:$E$500=$A11)*--(((CaseLedger!$B$2:$B$500=TRUE)+(CaseLedger!$B$2:$B$500="TRUE"))&gt;0)*(CaseLedger!$O$2:$O$500="Mixed")*CaseLedger!$N$2:$N$500))</x:f>
        <x:v>62000</x:v>
      </x:c>
      <x:c r="O11" s="55" t="n">
        <x:f>IF($A11="","",SUMPRODUCT((CaseLedger!$E$2:$E$500=$A11)*--(((CaseLedger!$B$2:$B$500=TRUE)+(CaseLedger!$B$2:$B$500="TRUE"))&gt;0)*CaseLedger!$N$2:$N$500))</x:f>
        <x:v>87000</x:v>
      </x:c>
      <x:c r="P11" s="55" t="n">
        <x:f>IFERROR(INDEX(MonthlyFinance!$D$2:$D$200,MATCH($B11,MonthlyFinance!$B$2:$B$200,0)),"")</x:f>
        <x:v>42500</x:v>
      </x:c>
      <x:c r="Q11" s="55" t="n">
        <x:f>IFERROR(INDEX(MonthlyFinance!$E$2:$E$200,MATCH($B11,MonthlyFinance!$B$2:$B$200,0)),"")</x:f>
        <x:v>41200</x:v>
      </x:c>
      <x:c r="R11" s="55" t="n">
        <x:f>IFERROR(INDEX(MonthlyFinance!$F$2:$F$200,MATCH($B11,MonthlyFinance!$B$2:$B$200,0)),"")</x:f>
        <x:v>1225</x:v>
      </x:c>
      <x:c r="S11" s="52" t="str">
        <x:f>IF($D11&gt;0,"Formula-linked from CaseLedger","")</x:f>
        <x:v>Formula-linked from CaseLedger</x:v>
      </x:c>
      <x:c r="T11" s="52" t="str">
        <x:f>IF($D11&gt;0,"TRUE","FALSE")</x:f>
        <x:v>TRUE</x:v>
      </x:c>
    </x:row>
    <x:row r="12">
      <x:c r="A12" s="52" t="str">
        <x:f>TEXT(C12,"mmm yyyy")</x:f>
        <x:v>Jun 2025</x:v>
      </x:c>
      <x:c r="B12" s="52" t="n">
        <x:f>YEAR(C12)*100+MONTH(C12)</x:f>
        <x:v>202506</x:v>
      </x:c>
      <x:c r="C12" s="54" t="n">
        <x:f>EDATE(C11,1)</x:f>
        <x:v>45809</x:v>
      </x:c>
      <x:c r="D12" s="52" t="n">
        <x:f>IF($A12="","",SUMPRODUCT((CaseLedger!$E$2:$E$500=$A12)*--(((CaseLedger!$B$2:$B$500=TRUE)+(CaseLedger!$B$2:$B$500="TRUE"))&gt;0)))</x:f>
        <x:v>1</x:v>
      </x:c>
      <x:c r="E12" s="52" t="n">
        <x:f>IF($A12="","",SUMPRODUCT((CaseLedger!$E$2:$E$500=$A12)*--(((CaseLedger!$B$2:$B$500=TRUE)+(CaseLedger!$B$2:$B$500="TRUE"))&gt;0)*(CaseLedger!$O$2:$O$500="Zakat")))</x:f>
        <x:v>0</x:v>
      </x:c>
      <x:c r="F12" s="52" t="n">
        <x:f>IF($A12="","",SUMPRODUCT((CaseLedger!$E$2:$E$500=$A12)*--(((CaseLedger!$B$2:$B$500=TRUE)+(CaseLedger!$B$2:$B$500="TRUE"))&gt;0)*(CaseLedger!$O$2:$O$500="Sadaqah")))</x:f>
        <x:v>0</x:v>
      </x:c>
      <x:c r="G12" s="52" t="n">
        <x:f>IF($A12="","",SUMPRODUCT((CaseLedger!$E$2:$E$500=$A12)*--(((CaseLedger!$B$2:$B$500=TRUE)+(CaseLedger!$B$2:$B$500="TRUE"))&gt;0)*(CaseLedger!$O$2:$O$500="Mixed")))</x:f>
        <x:v>1</x:v>
      </x:c>
      <x:c r="H12" s="52" t="n">
        <x:f>IF($A12="","",SUMPRODUCT((CaseLedger!$E$2:$E$500=$A12)*--(((CaseLedger!$B$2:$B$500=TRUE)+(CaseLedger!$B$2:$B$500="TRUE"))&gt;0)*(CaseLedger!$J$2:$J$500="Livelihood")))</x:f>
        <x:v>1</x:v>
      </x:c>
      <x:c r="I12" s="52" t="n">
        <x:f>IF($A12="","",SUMPRODUCT((CaseLedger!$E$2:$E$500=$A12)*--(((CaseLedger!$B$2:$B$500=TRUE)+(CaseLedger!$B$2:$B$500="TRUE"))&gt;0)*--(((CaseLedger!$J$2:$J$500="Skill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12" s="52" t="n">
        <x:f>IF($A12="","",SUMPRODUCT((CaseLedger!$E$2:$E$500=$A12)*--(((CaseLedger!$B$2:$B$500=TRUE)+(CaseLedger!$B$2:$B$500="TRUE"))&gt;0)*(CaseLedger!$J$2:$J$500="Emergency Support")))</x:f>
        <x:v>0</x:v>
      </x:c>
      <x:c r="K12" s="52" t="n">
        <x:f>IF($A12="","",SUMPRODUCT((CaseLedger!$E$2:$E$500=$A12)*--(((CaseLedger!$B$2:$B$500=TRUE)+(CaseLedger!$B$2:$B$500="TRUE"))&gt;0)*(CaseLedger!$J$2:$J$500="Community Support")))</x:f>
        <x:v>0</x:v>
      </x:c>
      <x:c r="L12" s="55" t="n">
        <x:f>IF($A12="","",SUMPRODUCT((CaseLedger!$E$2:$E$500=$A12)*--(((CaseLedger!$B$2:$B$500=TRUE)+(CaseLedger!$B$2:$B$500="TRUE"))&gt;0)*CaseLedger!$L$2:$L$500))</x:f>
        <x:v>12600</x:v>
      </x:c>
      <x:c r="M12" s="55" t="n">
        <x:f>IF($A12="","",SUMPRODUCT((CaseLedger!$E$2:$E$500=$A12)*--(((CaseLedger!$B$2:$B$500=TRUE)+(CaseLedger!$B$2:$B$500="TRUE"))&gt;0)*CaseLedger!$M$2:$M$500))</x:f>
        <x:v>7400</x:v>
      </x:c>
      <x:c r="N12" s="55" t="n">
        <x:f>IF($A12="","",SUMPRODUCT((CaseLedger!$E$2:$E$500=$A12)*--(((CaseLedger!$B$2:$B$500=TRUE)+(CaseLedger!$B$2:$B$500="TRUE"))&gt;0)*(CaseLedger!$O$2:$O$500="Mixed")*CaseLedger!$N$2:$N$500))</x:f>
        <x:v>20000</x:v>
      </x:c>
      <x:c r="O12" s="55" t="n">
        <x:f>IF($A12="","",SUMPRODUCT((CaseLedger!$E$2:$E$500=$A12)*--(((CaseLedger!$B$2:$B$500=TRUE)+(CaseLedger!$B$2:$B$500="TRUE"))&gt;0)*CaseLedger!$N$2:$N$500))</x:f>
        <x:v>20000</x:v>
      </x:c>
      <x:c r="P12" s="55" t="n">
        <x:f>IFERROR(INDEX(MonthlyFinance!$D$2:$D$200,MATCH($B12,MonthlyFinance!$B$2:$B$200,0)),"")</x:f>
        <x:v>6800</x:v>
      </x:c>
      <x:c r="Q12" s="55" t="n">
        <x:f>IFERROR(INDEX(MonthlyFinance!$E$2:$E$200,MATCH($B12,MonthlyFinance!$B$2:$B$200,0)),"")</x:f>
        <x:v>12600</x:v>
      </x:c>
      <x:c r="R12" s="55" t="n">
        <x:f>IFERROR(INDEX(MonthlyFinance!$F$2:$F$200,MATCH($B12,MonthlyFinance!$B$2:$B$200,0)),"")</x:f>
        <x:v>625</x:v>
      </x:c>
      <x:c r="S12" s="52" t="str">
        <x:f>IF($D12&gt;0,"Formula-linked from CaseLedger","")</x:f>
        <x:v>Formula-linked from CaseLedger</x:v>
      </x:c>
      <x:c r="T12" s="52" t="str">
        <x:f>IF($D12&gt;0,"TRUE","FALSE")</x:f>
        <x:v>TRUE</x:v>
      </x:c>
    </x:row>
    <x:row r="13">
      <x:c r="A13" s="52" t="str">
        <x:f>TEXT(C13,"mmm yyyy")</x:f>
        <x:v>Jul 2025</x:v>
      </x:c>
      <x:c r="B13" s="52" t="n">
        <x:f>YEAR(C13)*100+MONTH(C13)</x:f>
        <x:v>202507</x:v>
      </x:c>
      <x:c r="C13" s="54" t="n">
        <x:f>EDATE(C12,1)</x:f>
        <x:v>45839</x:v>
      </x:c>
      <x:c r="D13" s="52" t="n">
        <x:f>IF($A13="","",SUMPRODUCT((CaseLedger!$E$2:$E$500=$A13)*--(((CaseLedger!$B$2:$B$500=TRUE)+(CaseLedger!$B$2:$B$500="TRUE"))&gt;0)))</x:f>
        <x:v>1</x:v>
      </x:c>
      <x:c r="E13" s="52" t="n">
        <x:f>IF($A13="","",SUMPRODUCT((CaseLedger!$E$2:$E$500=$A13)*--(((CaseLedger!$B$2:$B$500=TRUE)+(CaseLedger!$B$2:$B$500="TRUE"))&gt;0)*(CaseLedger!$O$2:$O$500="Zakat")))</x:f>
        <x:v>0</x:v>
      </x:c>
      <x:c r="F13" s="52" t="n">
        <x:f>IF($A13="","",SUMPRODUCT((CaseLedger!$E$2:$E$500=$A13)*--(((CaseLedger!$B$2:$B$500=TRUE)+(CaseLedger!$B$2:$B$500="TRUE"))&gt;0)*(CaseLedger!$O$2:$O$500="Sadaqah")))</x:f>
        <x:v>1</x:v>
      </x:c>
      <x:c r="G13" s="52" t="n">
        <x:f>IF($A13="","",SUMPRODUCT((CaseLedger!$E$2:$E$500=$A13)*--(((CaseLedger!$B$2:$B$500=TRUE)+(CaseLedger!$B$2:$B$500="TRUE"))&gt;0)*(CaseLedger!$O$2:$O$500="Mixed")))</x:f>
        <x:v>0</x:v>
      </x:c>
      <x:c r="H13" s="52" t="n">
        <x:f>IF($A13="","",SUMPRODUCT((CaseLedger!$E$2:$E$500=$A13)*--(((CaseLedger!$B$2:$B$500=TRUE)+(CaseLedger!$B$2:$B$500="TRUE"))&gt;0)*(CaseLedger!$J$2:$J$500="Livelihood")))</x:f>
        <x:v>1</x:v>
      </x:c>
      <x:c r="I13" s="52" t="n">
        <x:f>IF($A13="","",SUMPRODUCT((CaseLedger!$E$2:$E$500=$A13)*--(((CaseLedger!$B$2:$B$500=TRUE)+(CaseLedger!$B$2:$B$500="TRUE"))&gt;0)*--(((CaseLedger!$J$2:$J$500="Skill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13" s="52" t="n">
        <x:f>IF($A13="","",SUMPRODUCT((CaseLedger!$E$2:$E$500=$A13)*--(((CaseLedger!$B$2:$B$500=TRUE)+(CaseLedger!$B$2:$B$500="TRUE"))&gt;0)*(CaseLedger!$J$2:$J$500="Emergency Support")))</x:f>
        <x:v>0</x:v>
      </x:c>
      <x:c r="K13" s="52" t="n">
        <x:f>IF($A13="","",SUMPRODUCT((CaseLedger!$E$2:$E$500=$A13)*--(((CaseLedger!$B$2:$B$500=TRUE)+(CaseLedger!$B$2:$B$500="TRUE"))&gt;0)*(CaseLedger!$J$2:$J$500="Community Support")))</x:f>
        <x:v>0</x:v>
      </x:c>
      <x:c r="L13" s="55" t="n">
        <x:f>IF($A13="","",SUMPRODUCT((CaseLedger!$E$2:$E$500=$A13)*--(((CaseLedger!$B$2:$B$500=TRUE)+(CaseLedger!$B$2:$B$500="TRUE"))&gt;0)*CaseLedger!$L$2:$L$500))</x:f>
        <x:v>0</x:v>
      </x:c>
      <x:c r="M13" s="55" t="n">
        <x:f>IF($A13="","",SUMPRODUCT((CaseLedger!$E$2:$E$500=$A13)*--(((CaseLedger!$B$2:$B$500=TRUE)+(CaseLedger!$B$2:$B$500="TRUE"))&gt;0)*CaseLedger!$M$2:$M$500))</x:f>
        <x:v>6000</x:v>
      </x:c>
      <x:c r="N13" s="55" t="n">
        <x:f>IF($A13="","",SUMPRODUCT((CaseLedger!$E$2:$E$500=$A13)*--(((CaseLedger!$B$2:$B$500=TRUE)+(CaseLedger!$B$2:$B$500="TRUE"))&gt;0)*(CaseLedger!$O$2:$O$500="Mixed")*CaseLedger!$N$2:$N$500))</x:f>
        <x:v>0</x:v>
      </x:c>
      <x:c r="O13" s="55" t="n">
        <x:f>IF($A13="","",SUMPRODUCT((CaseLedger!$E$2:$E$500=$A13)*--(((CaseLedger!$B$2:$B$500=TRUE)+(CaseLedger!$B$2:$B$500="TRUE"))&gt;0)*CaseLedger!$N$2:$N$500))</x:f>
        <x:v>6000</x:v>
      </x:c>
      <x:c r="P13" s="55" t="n">
        <x:f>IFERROR(INDEX(MonthlyFinance!$D$2:$D$200,MATCH($B13,MonthlyFinance!$B$2:$B$200,0)),"")</x:f>
        <x:v>20300</x:v>
      </x:c>
      <x:c r="Q13" s="55" t="str">
        <x:f>IFERROR(INDEX(MonthlyFinance!$E$2:$E$200,MATCH($B13,MonthlyFinance!$B$2:$B$200,0)),"")</x:f>
      </x:c>
      <x:c r="R13" s="55" t="n">
        <x:f>IFERROR(INDEX(MonthlyFinance!$F$2:$F$200,MATCH($B13,MonthlyFinance!$B$2:$B$200,0)),"")</x:f>
        <x:v>14925</x:v>
      </x:c>
      <x:c r="S13" s="52" t="str">
        <x:f>IF($D13&gt;0,"Formula-linked from CaseLedger","")</x:f>
        <x:v>Formula-linked from CaseLedger</x:v>
      </x:c>
      <x:c r="T13" s="52" t="str">
        <x:f>IF($D13&gt;0,"TRUE","FALSE")</x:f>
        <x:v>TRUE</x:v>
      </x:c>
    </x:row>
    <x:row r="14">
      <x:c r="A14" s="52" t="str">
        <x:f>TEXT(C14,"mmm yyyy")</x:f>
        <x:v>Aug 2025</x:v>
      </x:c>
      <x:c r="B14" s="52" t="n">
        <x:f>YEAR(C14)*100+MONTH(C14)</x:f>
        <x:v>202508</x:v>
      </x:c>
      <x:c r="C14" s="54" t="n">
        <x:f>EDATE(C13,1)</x:f>
        <x:v>45870</x:v>
      </x:c>
      <x:c r="D14" s="52" t="n">
        <x:f>IF($A14="","",SUMPRODUCT((CaseLedger!$E$2:$E$500=$A14)*--(((CaseLedger!$B$2:$B$500=TRUE)+(CaseLedger!$B$2:$B$500="TRUE"))&gt;0)))</x:f>
        <x:v>3</x:v>
      </x:c>
      <x:c r="E14" s="52" t="n">
        <x:f>IF($A14="","",SUMPRODUCT((CaseLedger!$E$2:$E$500=$A14)*--(((CaseLedger!$B$2:$B$500=TRUE)+(CaseLedger!$B$2:$B$500="TRUE"))&gt;0)*(CaseLedger!$O$2:$O$500="Zakat")))</x:f>
        <x:v>0</x:v>
      </x:c>
      <x:c r="F14" s="52" t="n">
        <x:f>IF($A14="","",SUMPRODUCT((CaseLedger!$E$2:$E$500=$A14)*--(((CaseLedger!$B$2:$B$500=TRUE)+(CaseLedger!$B$2:$B$500="TRUE"))&gt;0)*(CaseLedger!$O$2:$O$500="Sadaqah")))</x:f>
        <x:v>3</x:v>
      </x:c>
      <x:c r="G14" s="52" t="n">
        <x:f>IF($A14="","",SUMPRODUCT((CaseLedger!$E$2:$E$500=$A14)*--(((CaseLedger!$B$2:$B$500=TRUE)+(CaseLedger!$B$2:$B$500="TRUE"))&gt;0)*(CaseLedger!$O$2:$O$500="Mixed")))</x:f>
        <x:v>0</x:v>
      </x:c>
      <x:c r="H14" s="52" t="n">
        <x:f>IF($A14="","",SUMPRODUCT((CaseLedger!$E$2:$E$500=$A14)*--(((CaseLedger!$B$2:$B$500=TRUE)+(CaseLedger!$B$2:$B$500="TRUE"))&gt;0)*(CaseLedger!$J$2:$J$500="Livelihood")))</x:f>
        <x:v>3</x:v>
      </x:c>
      <x:c r="I14" s="52" t="n">
        <x:f>IF($A14="","",SUMPRODUCT((CaseLedger!$E$2:$E$500=$A14)*--(((CaseLedger!$B$2:$B$500=TRUE)+(CaseLedger!$B$2:$B$500="TRUE"))&gt;0)*--(((CaseLedger!$J$2:$J$500="Skill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14" s="52" t="n">
        <x:f>IF($A14="","",SUMPRODUCT((CaseLedger!$E$2:$E$500=$A14)*--(((CaseLedger!$B$2:$B$500=TRUE)+(CaseLedger!$B$2:$B$500="TRUE"))&gt;0)*(CaseLedger!$J$2:$J$500="Emergency Support")))</x:f>
        <x:v>0</x:v>
      </x:c>
      <x:c r="K14" s="52" t="n">
        <x:f>IF($A14="","",SUMPRODUCT((CaseLedger!$E$2:$E$500=$A14)*--(((CaseLedger!$B$2:$B$500=TRUE)+(CaseLedger!$B$2:$B$500="TRUE"))&gt;0)*(CaseLedger!$J$2:$J$500="Community Support")))</x:f>
        <x:v>0</x:v>
      </x:c>
      <x:c r="L14" s="55" t="n">
        <x:f>IF($A14="","",SUMPRODUCT((CaseLedger!$E$2:$E$500=$A14)*--(((CaseLedger!$B$2:$B$500=TRUE)+(CaseLedger!$B$2:$B$500="TRUE"))&gt;0)*CaseLedger!$L$2:$L$500))</x:f>
        <x:v>0</x:v>
      </x:c>
      <x:c r="M14" s="55" t="n">
        <x:f>IF($A14="","",SUMPRODUCT((CaseLedger!$E$2:$E$500=$A14)*--(((CaseLedger!$B$2:$B$500=TRUE)+(CaseLedger!$B$2:$B$500="TRUE"))&gt;0)*CaseLedger!$M$2:$M$500))</x:f>
        <x:v>50000</x:v>
      </x:c>
      <x:c r="N14" s="55" t="n">
        <x:f>IF($A14="","",SUMPRODUCT((CaseLedger!$E$2:$E$500=$A14)*--(((CaseLedger!$B$2:$B$500=TRUE)+(CaseLedger!$B$2:$B$500="TRUE"))&gt;0)*(CaseLedger!$O$2:$O$500="Mixed")*CaseLedger!$N$2:$N$500))</x:f>
        <x:v>0</x:v>
      </x:c>
      <x:c r="O14" s="55" t="n">
        <x:f>IF($A14="","",SUMPRODUCT((CaseLedger!$E$2:$E$500=$A14)*--(((CaseLedger!$B$2:$B$500=TRUE)+(CaseLedger!$B$2:$B$500="TRUE"))&gt;0)*CaseLedger!$N$2:$N$500))</x:f>
        <x:v>50000</x:v>
      </x:c>
      <x:c r="P14" s="55" t="n">
        <x:f>IFERROR(INDEX(MonthlyFinance!$D$2:$D$200,MATCH($B14,MonthlyFinance!$B$2:$B$200,0)),"")</x:f>
        <x:v>36300</x:v>
      </x:c>
      <x:c r="Q14" s="55" t="str">
        <x:f>IFERROR(INDEX(MonthlyFinance!$E$2:$E$200,MATCH($B14,MonthlyFinance!$B$2:$B$200,0)),"")</x:f>
      </x:c>
      <x:c r="R14" s="55" t="n">
        <x:f>IFERROR(INDEX(MonthlyFinance!$F$2:$F$200,MATCH($B14,MonthlyFinance!$B$2:$B$200,0)),"")</x:f>
        <x:v>1225</x:v>
      </x:c>
      <x:c r="S14" s="52" t="str">
        <x:f>IF($D14&gt;0,"Formula-linked from CaseLedger","")</x:f>
        <x:v>Formula-linked from CaseLedger</x:v>
      </x:c>
      <x:c r="T14" s="52" t="str">
        <x:f>IF($D14&gt;0,"TRUE","FALSE")</x:f>
        <x:v>TRUE</x:v>
      </x:c>
    </x:row>
    <x:row r="15">
      <x:c r="A15" s="52" t="str">
        <x:f>TEXT(C15,"mmm yyyy")</x:f>
        <x:v>Sep 2025</x:v>
      </x:c>
      <x:c r="B15" s="52" t="n">
        <x:f>YEAR(C15)*100+MONTH(C15)</x:f>
        <x:v>202509</x:v>
      </x:c>
      <x:c r="C15" s="54" t="n">
        <x:f>EDATE(C14,1)</x:f>
        <x:v>45901</x:v>
      </x:c>
      <x:c r="D15" s="52" t="n">
        <x:f>IF($A15="","",SUMPRODUCT((CaseLedger!$E$2:$E$500=$A15)*--(((CaseLedger!$B$2:$B$500=TRUE)+(CaseLedger!$B$2:$B$500="TRUE"))&gt;0)))</x:f>
        <x:v>5</x:v>
      </x:c>
      <x:c r="E15" s="52" t="n">
        <x:f>IF($A15="","",SUMPRODUCT((CaseLedger!$E$2:$E$500=$A15)*--(((CaseLedger!$B$2:$B$500=TRUE)+(CaseLedger!$B$2:$B$500="TRUE"))&gt;0)*(CaseLedger!$O$2:$O$500="Zakat")))</x:f>
        <x:v>0</x:v>
      </x:c>
      <x:c r="F15" s="52" t="n">
        <x:f>IF($A15="","",SUMPRODUCT((CaseLedger!$E$2:$E$500=$A15)*--(((CaseLedger!$B$2:$B$500=TRUE)+(CaseLedger!$B$2:$B$500="TRUE"))&gt;0)*(CaseLedger!$O$2:$O$500="Sadaqah")))</x:f>
        <x:v>4</x:v>
      </x:c>
      <x:c r="G15" s="52" t="n">
        <x:f>IF($A15="","",SUMPRODUCT((CaseLedger!$E$2:$E$500=$A15)*--(((CaseLedger!$B$2:$B$500=TRUE)+(CaseLedger!$B$2:$B$500="TRUE"))&gt;0)*(CaseLedger!$O$2:$O$500="Mixed")))</x:f>
        <x:v>1</x:v>
      </x:c>
      <x:c r="H15" s="52" t="n">
        <x:f>IF($A15="","",SUMPRODUCT((CaseLedger!$E$2:$E$500=$A15)*--(((CaseLedger!$B$2:$B$500=TRUE)+(CaseLedger!$B$2:$B$500="TRUE"))&gt;0)*(CaseLedger!$J$2:$J$500="Livelihood")))</x:f>
        <x:v>4</x:v>
      </x:c>
      <x:c r="I15" s="52" t="n">
        <x:f>IF($A15="","",SUMPRODUCT((CaseLedger!$E$2:$E$500=$A15)*--(((CaseLedger!$B$2:$B$500=TRUE)+(CaseLedger!$B$2:$B$500="TRUE"))&gt;0)*--(((CaseLedger!$J$2:$J$500="Skill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1</x:v>
      </x:c>
      <x:c r="J15" s="52" t="n">
        <x:f>IF($A15="","",SUMPRODUCT((CaseLedger!$E$2:$E$500=$A15)*--(((CaseLedger!$B$2:$B$500=TRUE)+(CaseLedger!$B$2:$B$500="TRUE"))&gt;0)*(CaseLedger!$J$2:$J$500="Emergency Support")))</x:f>
        <x:v>0</x:v>
      </x:c>
      <x:c r="K15" s="52" t="n">
        <x:f>IF($A15="","",SUMPRODUCT((CaseLedger!$E$2:$E$500=$A15)*--(((CaseLedger!$B$2:$B$500=TRUE)+(CaseLedger!$B$2:$B$500="TRUE"))&gt;0)*(CaseLedger!$J$2:$J$500="Community Support")))</x:f>
        <x:v>0</x:v>
      </x:c>
      <x:c r="L15" s="55" t="n">
        <x:f>IF($A15="","",SUMPRODUCT((CaseLedger!$E$2:$E$500=$A15)*--(((CaseLedger!$B$2:$B$500=TRUE)+(CaseLedger!$B$2:$B$500="TRUE"))&gt;0)*CaseLedger!$L$2:$L$500))</x:f>
        <x:v>14900</x:v>
      </x:c>
      <x:c r="M15" s="55" t="n">
        <x:f>IF($A15="","",SUMPRODUCT((CaseLedger!$E$2:$E$500=$A15)*--(((CaseLedger!$B$2:$B$500=TRUE)+(CaseLedger!$B$2:$B$500="TRUE"))&gt;0)*CaseLedger!$M$2:$M$500))</x:f>
        <x:v>73900</x:v>
      </x:c>
      <x:c r="N15" s="55" t="n">
        <x:f>IF($A15="","",SUMPRODUCT((CaseLedger!$E$2:$E$500=$A15)*--(((CaseLedger!$B$2:$B$500=TRUE)+(CaseLedger!$B$2:$B$500="TRUE"))&gt;0)*(CaseLedger!$O$2:$O$500="Mixed")*CaseLedger!$N$2:$N$500))</x:f>
        <x:v>30000</x:v>
      </x:c>
      <x:c r="O15" s="55" t="n">
        <x:f>IF($A15="","",SUMPRODUCT((CaseLedger!$E$2:$E$500=$A15)*--(((CaseLedger!$B$2:$B$500=TRUE)+(CaseLedger!$B$2:$B$500="TRUE"))&gt;0)*CaseLedger!$N$2:$N$500))</x:f>
        <x:v>88800</x:v>
      </x:c>
      <x:c r="P15" s="55" t="n">
        <x:f>IFERROR(INDEX(MonthlyFinance!$D$2:$D$200,MATCH($B15,MonthlyFinance!$B$2:$B$200,0)),"")</x:f>
        <x:v>73038</x:v>
      </x:c>
      <x:c r="Q15" s="55" t="n">
        <x:f>IFERROR(INDEX(MonthlyFinance!$E$2:$E$200,MATCH($B15,MonthlyFinance!$B$2:$B$200,0)),"")</x:f>
        <x:v>14900</x:v>
      </x:c>
      <x:c r="R15" s="55" t="n">
        <x:f>IFERROR(INDEX(MonthlyFinance!$F$2:$F$200,MATCH($B15,MonthlyFinance!$B$2:$B$200,0)),"")</x:f>
        <x:v>363</x:v>
      </x:c>
      <x:c r="S15" s="52" t="str">
        <x:f>IF($D15&gt;0,"Formula-linked from CaseLedger","")</x:f>
        <x:v>Formula-linked from CaseLedger</x:v>
      </x:c>
      <x:c r="T15" s="52" t="str">
        <x:f>IF($D15&gt;0,"TRUE","FALSE")</x:f>
        <x:v>TRUE</x:v>
      </x:c>
    </x:row>
    <x:row r="16">
      <x:c r="A16" s="52" t="str">
        <x:f>TEXT(C16,"mmm yyyy")</x:f>
        <x:v>Oct 2025</x:v>
      </x:c>
      <x:c r="B16" s="52" t="n">
        <x:f>YEAR(C16)*100+MONTH(C16)</x:f>
        <x:v>202510</x:v>
      </x:c>
      <x:c r="C16" s="54" t="n">
        <x:f>EDATE(C15,1)</x:f>
        <x:v>45931</x:v>
      </x:c>
      <x:c r="D16" s="52" t="n">
        <x:f>IF($A16="","",SUMPRODUCT((CaseLedger!$E$2:$E$500=$A16)*--(((CaseLedger!$B$2:$B$500=TRUE)+(CaseLedger!$B$2:$B$500="TRUE"))&gt;0)))</x:f>
        <x:v>0</x:v>
      </x:c>
      <x:c r="E16" s="52" t="n">
        <x:f>IF($A16="","",SUMPRODUCT((CaseLedger!$E$2:$E$500=$A16)*--(((CaseLedger!$B$2:$B$500=TRUE)+(CaseLedger!$B$2:$B$500="TRUE"))&gt;0)*(CaseLedger!$O$2:$O$500="Zakat")))</x:f>
        <x:v>0</x:v>
      </x:c>
      <x:c r="F16" s="52" t="n">
        <x:f>IF($A16="","",SUMPRODUCT((CaseLedger!$E$2:$E$500=$A16)*--(((CaseLedger!$B$2:$B$500=TRUE)+(CaseLedger!$B$2:$B$500="TRUE"))&gt;0)*(CaseLedger!$O$2:$O$500="Sadaqah")))</x:f>
        <x:v>0</x:v>
      </x:c>
      <x:c r="G16" s="52" t="n">
        <x:f>IF($A16="","",SUMPRODUCT((CaseLedger!$E$2:$E$500=$A16)*--(((CaseLedger!$B$2:$B$500=TRUE)+(CaseLedger!$B$2:$B$500="TRUE"))&gt;0)*(CaseLedger!$O$2:$O$500="Mixed")))</x:f>
        <x:v>0</x:v>
      </x:c>
      <x:c r="H16" s="52" t="n">
        <x:f>IF($A16="","",SUMPRODUCT((CaseLedger!$E$2:$E$500=$A16)*--(((CaseLedger!$B$2:$B$500=TRUE)+(CaseLedger!$B$2:$B$500="TRUE"))&gt;0)*(CaseLedger!$J$2:$J$500="Livelihood")))</x:f>
        <x:v>0</x:v>
      </x:c>
      <x:c r="I16" s="52" t="n">
        <x:f>IF($A16="","",SUMPRODUCT((CaseLedger!$E$2:$E$500=$A16)*--(((CaseLedger!$B$2:$B$500=TRUE)+(CaseLedger!$B$2:$B$500="TRUE"))&gt;0)*--(((CaseLedger!$J$2:$J$500="Skill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16" s="52" t="n">
        <x:f>IF($A16="","",SUMPRODUCT((CaseLedger!$E$2:$E$500=$A16)*--(((CaseLedger!$B$2:$B$500=TRUE)+(CaseLedger!$B$2:$B$500="TRUE"))&gt;0)*(CaseLedger!$J$2:$J$500="Emergency Support")))</x:f>
        <x:v>0</x:v>
      </x:c>
      <x:c r="K16" s="52" t="n">
        <x:f>IF($A16="","",SUMPRODUCT((CaseLedger!$E$2:$E$500=$A16)*--(((CaseLedger!$B$2:$B$500=TRUE)+(CaseLedger!$B$2:$B$500="TRUE"))&gt;0)*(CaseLedger!$J$2:$J$500="Community Support")))</x:f>
        <x:v>0</x:v>
      </x:c>
      <x:c r="L16" s="55" t="n">
        <x:f>IF($A16="","",SUMPRODUCT((CaseLedger!$E$2:$E$500=$A16)*--(((CaseLedger!$B$2:$B$500=TRUE)+(CaseLedger!$B$2:$B$500="TRUE"))&gt;0)*CaseLedger!$L$2:$L$500))</x:f>
        <x:v>0</x:v>
      </x:c>
      <x:c r="M16" s="55" t="n">
        <x:f>IF($A16="","",SUMPRODUCT((CaseLedger!$E$2:$E$500=$A16)*--(((CaseLedger!$B$2:$B$500=TRUE)+(CaseLedger!$B$2:$B$500="TRUE"))&gt;0)*CaseLedger!$M$2:$M$500))</x:f>
        <x:v>0</x:v>
      </x:c>
      <x:c r="N16" s="55" t="n">
        <x:f>IF($A16="","",SUMPRODUCT((CaseLedger!$E$2:$E$500=$A16)*--(((CaseLedger!$B$2:$B$500=TRUE)+(CaseLedger!$B$2:$B$500="TRUE"))&gt;0)*(CaseLedger!$O$2:$O$500="Mixed")*CaseLedger!$N$2:$N$500))</x:f>
        <x:v>0</x:v>
      </x:c>
      <x:c r="O16" s="55" t="n">
        <x:f>IF($A16="","",SUMPRODUCT((CaseLedger!$E$2:$E$500=$A16)*--(((CaseLedger!$B$2:$B$500=TRUE)+(CaseLedger!$B$2:$B$500="TRUE"))&gt;0)*CaseLedger!$N$2:$N$500))</x:f>
        <x:v>0</x:v>
      </x:c>
      <x:c r="P16" s="55" t="n">
        <x:f>IFERROR(INDEX(MonthlyFinance!$D$2:$D$200,MATCH($B16,MonthlyFinance!$B$2:$B$200,0)),"")</x:f>
        <x:v>20400</x:v>
      </x:c>
      <x:c r="Q16" s="55" t="str">
        <x:f>IFERROR(INDEX(MonthlyFinance!$E$2:$E$200,MATCH($B16,MonthlyFinance!$B$2:$B$200,0)),"")</x:f>
      </x:c>
      <x:c r="R16" s="55" t="n">
        <x:f>IFERROR(INDEX(MonthlyFinance!$F$2:$F$200,MATCH($B16,MonthlyFinance!$B$2:$B$200,0)),"")</x:f>
        <x:v>20763</x:v>
      </x:c>
      <x:c r="S16" s="52" t="str">
        <x:f>IF($D16&gt;0,"Formula-linked from CaseLedger","")</x:f>
      </x:c>
      <x:c r="T16" s="52" t="str">
        <x:f>IF($D16&gt;0,"TRUE","FALSE")</x:f>
        <x:v>FALSE</x:v>
      </x:c>
    </x:row>
    <x:row r="17">
      <x:c r="A17" s="52" t="str">
        <x:f>TEXT(C17,"mmm yyyy")</x:f>
        <x:v>Nov 2025</x:v>
      </x:c>
      <x:c r="B17" s="52" t="n">
        <x:f>YEAR(C17)*100+MONTH(C17)</x:f>
        <x:v>202511</x:v>
      </x:c>
      <x:c r="C17" s="54" t="n">
        <x:f>EDATE(C16,1)</x:f>
        <x:v>45962</x:v>
      </x:c>
      <x:c r="D17" s="52" t="n">
        <x:f>IF($A17="","",SUMPRODUCT((CaseLedger!$E$2:$E$500=$A17)*--(((CaseLedger!$B$2:$B$500=TRUE)+(CaseLedger!$B$2:$B$500="TRUE"))&gt;0)))</x:f>
        <x:v>0</x:v>
      </x:c>
      <x:c r="E17" s="52" t="n">
        <x:f>IF($A17="","",SUMPRODUCT((CaseLedger!$E$2:$E$500=$A17)*--(((CaseLedger!$B$2:$B$500=TRUE)+(CaseLedger!$B$2:$B$500="TRUE"))&gt;0)*(CaseLedger!$O$2:$O$500="Zakat")))</x:f>
        <x:v>0</x:v>
      </x:c>
      <x:c r="F17" s="52" t="n">
        <x:f>IF($A17="","",SUMPRODUCT((CaseLedger!$E$2:$E$500=$A17)*--(((CaseLedger!$B$2:$B$500=TRUE)+(CaseLedger!$B$2:$B$500="TRUE"))&gt;0)*(CaseLedger!$O$2:$O$500="Sadaqah")))</x:f>
        <x:v>0</x:v>
      </x:c>
      <x:c r="G17" s="52" t="n">
        <x:f>IF($A17="","",SUMPRODUCT((CaseLedger!$E$2:$E$500=$A17)*--(((CaseLedger!$B$2:$B$500=TRUE)+(CaseLedger!$B$2:$B$500="TRUE"))&gt;0)*(CaseLedger!$O$2:$O$500="Mixed")))</x:f>
        <x:v>0</x:v>
      </x:c>
      <x:c r="H17" s="52" t="n">
        <x:f>IF($A17="","",SUMPRODUCT((CaseLedger!$E$2:$E$500=$A17)*--(((CaseLedger!$B$2:$B$500=TRUE)+(CaseLedger!$B$2:$B$500="TRUE"))&gt;0)*(CaseLedger!$J$2:$J$500="Livelihood")))</x:f>
        <x:v>0</x:v>
      </x:c>
      <x:c r="I17" s="52" t="n">
        <x:f>IF($A17="","",SUMPRODUCT((CaseLedger!$E$2:$E$500=$A17)*--(((CaseLedger!$B$2:$B$500=TRUE)+(CaseLedger!$B$2:$B$500="TRUE"))&gt;0)*--(((CaseLedger!$J$2:$J$500="Skill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17" s="52" t="n">
        <x:f>IF($A17="","",SUMPRODUCT((CaseLedger!$E$2:$E$500=$A17)*--(((CaseLedger!$B$2:$B$500=TRUE)+(CaseLedger!$B$2:$B$500="TRUE"))&gt;0)*(CaseLedger!$J$2:$J$500="Emergency Support")))</x:f>
        <x:v>0</x:v>
      </x:c>
      <x:c r="K17" s="52" t="n">
        <x:f>IF($A17="","",SUMPRODUCT((CaseLedger!$E$2:$E$500=$A17)*--(((CaseLedger!$B$2:$B$500=TRUE)+(CaseLedger!$B$2:$B$500="TRUE"))&gt;0)*(CaseLedger!$J$2:$J$500="Community Support")))</x:f>
        <x:v>0</x:v>
      </x:c>
      <x:c r="L17" s="55" t="n">
        <x:f>IF($A17="","",SUMPRODUCT((CaseLedger!$E$2:$E$500=$A17)*--(((CaseLedger!$B$2:$B$500=TRUE)+(CaseLedger!$B$2:$B$500="TRUE"))&gt;0)*CaseLedger!$L$2:$L$500))</x:f>
        <x:v>0</x:v>
      </x:c>
      <x:c r="M17" s="55" t="n">
        <x:f>IF($A17="","",SUMPRODUCT((CaseLedger!$E$2:$E$500=$A17)*--(((CaseLedger!$B$2:$B$500=TRUE)+(CaseLedger!$B$2:$B$500="TRUE"))&gt;0)*CaseLedger!$M$2:$M$500))</x:f>
        <x:v>0</x:v>
      </x:c>
      <x:c r="N17" s="55" t="n">
        <x:f>IF($A17="","",SUMPRODUCT((CaseLedger!$E$2:$E$500=$A17)*--(((CaseLedger!$B$2:$B$500=TRUE)+(CaseLedger!$B$2:$B$500="TRUE"))&gt;0)*(CaseLedger!$O$2:$O$500="Mixed")*CaseLedger!$N$2:$N$500))</x:f>
        <x:v>0</x:v>
      </x:c>
      <x:c r="O17" s="55" t="n">
        <x:f>IF($A17="","",SUMPRODUCT((CaseLedger!$E$2:$E$500=$A17)*--(((CaseLedger!$B$2:$B$500=TRUE)+(CaseLedger!$B$2:$B$500="TRUE"))&gt;0)*CaseLedger!$N$2:$N$500))</x:f>
        <x:v>0</x:v>
      </x:c>
      <x:c r="P17" s="55" t="n">
        <x:f>IFERROR(INDEX(MonthlyFinance!$D$2:$D$200,MATCH($B17,MonthlyFinance!$B$2:$B$200,0)),"")</x:f>
        <x:v>10000</x:v>
      </x:c>
      <x:c r="Q17" s="55" t="str">
        <x:f>IFERROR(INDEX(MonthlyFinance!$E$2:$E$200,MATCH($B17,MonthlyFinance!$B$2:$B$200,0)),"")</x:f>
      </x:c>
      <x:c r="R17" s="55" t="n">
        <x:f>IFERROR(INDEX(MonthlyFinance!$F$2:$F$200,MATCH($B17,MonthlyFinance!$B$2:$B$200,0)),"")</x:f>
        <x:v>30763</x:v>
      </x:c>
      <x:c r="S17" s="52" t="str">
        <x:f>IF($D17&gt;0,"Formula-linked from CaseLedger","")</x:f>
      </x:c>
      <x:c r="T17" s="52" t="str">
        <x:f>IF($D17&gt;0,"TRUE","FALSE")</x:f>
        <x:v>FALSE</x:v>
      </x:c>
    </x:row>
    <x:row r="18">
      <x:c r="A18" s="52" t="str">
        <x:f>TEXT(C18,"mmm yyyy")</x:f>
        <x:v>Dec 2025</x:v>
      </x:c>
      <x:c r="B18" s="52" t="n">
        <x:f>YEAR(C18)*100+MONTH(C18)</x:f>
        <x:v>202512</x:v>
      </x:c>
      <x:c r="C18" s="54" t="n">
        <x:f>EDATE(C17,1)</x:f>
        <x:v>45992</x:v>
      </x:c>
      <x:c r="D18" s="52" t="n">
        <x:f>IF($A18="","",SUMPRODUCT((CaseLedger!$E$2:$E$500=$A18)*--(((CaseLedger!$B$2:$B$500=TRUE)+(CaseLedger!$B$2:$B$500="TRUE"))&gt;0)))</x:f>
        <x:v>0</x:v>
      </x:c>
      <x:c r="E18" s="52" t="n">
        <x:f>IF($A18="","",SUMPRODUCT((CaseLedger!$E$2:$E$500=$A18)*--(((CaseLedger!$B$2:$B$500=TRUE)+(CaseLedger!$B$2:$B$500="TRUE"))&gt;0)*(CaseLedger!$O$2:$O$500="Zakat")))</x:f>
        <x:v>0</x:v>
      </x:c>
      <x:c r="F18" s="52" t="n">
        <x:f>IF($A18="","",SUMPRODUCT((CaseLedger!$E$2:$E$500=$A18)*--(((CaseLedger!$B$2:$B$500=TRUE)+(CaseLedger!$B$2:$B$500="TRUE"))&gt;0)*(CaseLedger!$O$2:$O$500="Sadaqah")))</x:f>
        <x:v>0</x:v>
      </x:c>
      <x:c r="G18" s="52" t="n">
        <x:f>IF($A18="","",SUMPRODUCT((CaseLedger!$E$2:$E$500=$A18)*--(((CaseLedger!$B$2:$B$500=TRUE)+(CaseLedger!$B$2:$B$500="TRUE"))&gt;0)*(CaseLedger!$O$2:$O$500="Mixed")))</x:f>
        <x:v>0</x:v>
      </x:c>
      <x:c r="H18" s="52" t="n">
        <x:f>IF($A18="","",SUMPRODUCT((CaseLedger!$E$2:$E$500=$A18)*--(((CaseLedger!$B$2:$B$500=TRUE)+(CaseLedger!$B$2:$B$500="TRUE"))&gt;0)*(CaseLedger!$J$2:$J$500="Livelihood")))</x:f>
        <x:v>0</x:v>
      </x:c>
      <x:c r="I18" s="52" t="n">
        <x:f>IF($A18="","",SUMPRODUCT((CaseLedger!$E$2:$E$500=$A18)*--(((CaseLedger!$B$2:$B$500=TRUE)+(CaseLedger!$B$2:$B$500="TRUE"))&gt;0)*--(((CaseLedger!$J$2:$J$500="Skill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18" s="52" t="n">
        <x:f>IF($A18="","",SUMPRODUCT((CaseLedger!$E$2:$E$500=$A18)*--(((CaseLedger!$B$2:$B$500=TRUE)+(CaseLedger!$B$2:$B$500="TRUE"))&gt;0)*(CaseLedger!$J$2:$J$500="Emergency Support")))</x:f>
        <x:v>0</x:v>
      </x:c>
      <x:c r="K18" s="52" t="n">
        <x:f>IF($A18="","",SUMPRODUCT((CaseLedger!$E$2:$E$500=$A18)*--(((CaseLedger!$B$2:$B$500=TRUE)+(CaseLedger!$B$2:$B$500="TRUE"))&gt;0)*(CaseLedger!$J$2:$J$500="Community Support")))</x:f>
        <x:v>0</x:v>
      </x:c>
      <x:c r="L18" s="55" t="n">
        <x:f>IF($A18="","",SUMPRODUCT((CaseLedger!$E$2:$E$500=$A18)*--(((CaseLedger!$B$2:$B$500=TRUE)+(CaseLedger!$B$2:$B$500="TRUE"))&gt;0)*CaseLedger!$L$2:$L$500))</x:f>
        <x:v>0</x:v>
      </x:c>
      <x:c r="M18" s="55" t="n">
        <x:f>IF($A18="","",SUMPRODUCT((CaseLedger!$E$2:$E$500=$A18)*--(((CaseLedger!$B$2:$B$500=TRUE)+(CaseLedger!$B$2:$B$500="TRUE"))&gt;0)*CaseLedger!$M$2:$M$500))</x:f>
        <x:v>0</x:v>
      </x:c>
      <x:c r="N18" s="55" t="n">
        <x:f>IF($A18="","",SUMPRODUCT((CaseLedger!$E$2:$E$500=$A18)*--(((CaseLedger!$B$2:$B$500=TRUE)+(CaseLedger!$B$2:$B$500="TRUE"))&gt;0)*(CaseLedger!$O$2:$O$500="Mixed")*CaseLedger!$N$2:$N$500))</x:f>
        <x:v>0</x:v>
      </x:c>
      <x:c r="O18" s="55" t="n">
        <x:f>IF($A18="","",SUMPRODUCT((CaseLedger!$E$2:$E$500=$A18)*--(((CaseLedger!$B$2:$B$500=TRUE)+(CaseLedger!$B$2:$B$500="TRUE"))&gt;0)*CaseLedger!$N$2:$N$500))</x:f>
        <x:v>0</x:v>
      </x:c>
      <x:c r="P18" s="55" t="n">
        <x:f>IFERROR(INDEX(MonthlyFinance!$D$2:$D$200,MATCH($B18,MonthlyFinance!$B$2:$B$200,0)),"")</x:f>
        <x:v>800</x:v>
      </x:c>
      <x:c r="Q18" s="55" t="str">
        <x:f>IFERROR(INDEX(MonthlyFinance!$E$2:$E$200,MATCH($B18,MonthlyFinance!$B$2:$B$200,0)),"")</x:f>
      </x:c>
      <x:c r="R18" s="55" t="n">
        <x:f>IFERROR(INDEX(MonthlyFinance!$F$2:$F$200,MATCH($B18,MonthlyFinance!$B$2:$B$200,0)),"")</x:f>
        <x:v>31563</x:v>
      </x:c>
      <x:c r="S18" s="52" t="str">
        <x:f>IF($D18&gt;0,"Formula-linked from CaseLedger","")</x:f>
      </x:c>
      <x:c r="T18" s="52" t="str">
        <x:f>IF($D18&gt;0,"TRUE","FALSE")</x:f>
        <x:v>FALSE</x:v>
      </x:c>
    </x:row>
    <x:row r="19">
      <x:c r="A19" s="52" t="str">
        <x:f>TEXT(C19,"mmm yyyy")</x:f>
        <x:v>Jan 2026</x:v>
      </x:c>
      <x:c r="B19" s="52" t="n">
        <x:f>YEAR(C19)*100+MONTH(C19)</x:f>
        <x:v>202601</x:v>
      </x:c>
      <x:c r="C19" s="54" t="n">
        <x:f>EDATE(C18,1)</x:f>
        <x:v>46023</x:v>
      </x:c>
      <x:c r="D19" s="52" t="n">
        <x:f>IF($A19="","",SUMPRODUCT((CaseLedger!$E$2:$E$500=$A19)*--(((CaseLedger!$B$2:$B$500=TRUE)+(CaseLedger!$B$2:$B$500="TRUE"))&gt;0)))</x:f>
        <x:v>2</x:v>
      </x:c>
      <x:c r="E19" s="52" t="n">
        <x:f>IF($A19="","",SUMPRODUCT((CaseLedger!$E$2:$E$500=$A19)*--(((CaseLedger!$B$2:$B$500=TRUE)+(CaseLedger!$B$2:$B$500="TRUE"))&gt;0)*(CaseLedger!$O$2:$O$500="Zakat")))</x:f>
        <x:v>0</x:v>
      </x:c>
      <x:c r="F19" s="52" t="n">
        <x:f>IF($A19="","",SUMPRODUCT((CaseLedger!$E$2:$E$500=$A19)*--(((CaseLedger!$B$2:$B$500=TRUE)+(CaseLedger!$B$2:$B$500="TRUE"))&gt;0)*(CaseLedger!$O$2:$O$500="Sadaqah")))</x:f>
        <x:v>2</x:v>
      </x:c>
      <x:c r="G19" s="52" t="n">
        <x:f>IF($A19="","",SUMPRODUCT((CaseLedger!$E$2:$E$500=$A19)*--(((CaseLedger!$B$2:$B$500=TRUE)+(CaseLedger!$B$2:$B$500="TRUE"))&gt;0)*(CaseLedger!$O$2:$O$500="Mixed")))</x:f>
        <x:v>0</x:v>
      </x:c>
      <x:c r="H19" s="52" t="n">
        <x:f>IF($A19="","",SUMPRODUCT((CaseLedger!$E$2:$E$500=$A19)*--(((CaseLedger!$B$2:$B$500=TRUE)+(CaseLedger!$B$2:$B$500="TRUE"))&gt;0)*(CaseLedger!$J$2:$J$500="Livelihood")))</x:f>
        <x:v>2</x:v>
      </x:c>
      <x:c r="I19" s="52" t="n">
        <x:f>IF($A19="","",SUMPRODUCT((CaseLedger!$E$2:$E$500=$A19)*--(((CaseLedger!$B$2:$B$500=TRUE)+(CaseLedger!$B$2:$B$500="TRUE"))&gt;0)*--(((CaseLedger!$J$2:$J$500="Skill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19" s="52" t="n">
        <x:f>IF($A19="","",SUMPRODUCT((CaseLedger!$E$2:$E$500=$A19)*--(((CaseLedger!$B$2:$B$500=TRUE)+(CaseLedger!$B$2:$B$500="TRUE"))&gt;0)*(CaseLedger!$J$2:$J$500="Emergency Support")))</x:f>
        <x:v>0</x:v>
      </x:c>
      <x:c r="K19" s="52" t="n">
        <x:f>IF($A19="","",SUMPRODUCT((CaseLedger!$E$2:$E$500=$A19)*--(((CaseLedger!$B$2:$B$500=TRUE)+(CaseLedger!$B$2:$B$500="TRUE"))&gt;0)*(CaseLedger!$J$2:$J$500="Community Support")))</x:f>
        <x:v>0</x:v>
      </x:c>
      <x:c r="L19" s="55" t="n">
        <x:f>IF($A19="","",SUMPRODUCT((CaseLedger!$E$2:$E$500=$A19)*--(((CaseLedger!$B$2:$B$500=TRUE)+(CaseLedger!$B$2:$B$500="TRUE"))&gt;0)*CaseLedger!$L$2:$L$500))</x:f>
        <x:v>0</x:v>
      </x:c>
      <x:c r="M19" s="55" t="n">
        <x:f>IF($A19="","",SUMPRODUCT((CaseLedger!$E$2:$E$500=$A19)*--(((CaseLedger!$B$2:$B$500=TRUE)+(CaseLedger!$B$2:$B$500="TRUE"))&gt;0)*CaseLedger!$M$2:$M$500))</x:f>
        <x:v>30000</x:v>
      </x:c>
      <x:c r="N19" s="55" t="n">
        <x:f>IF($A19="","",SUMPRODUCT((CaseLedger!$E$2:$E$500=$A19)*--(((CaseLedger!$B$2:$B$500=TRUE)+(CaseLedger!$B$2:$B$500="TRUE"))&gt;0)*(CaseLedger!$O$2:$O$500="Mixed")*CaseLedger!$N$2:$N$500))</x:f>
        <x:v>0</x:v>
      </x:c>
      <x:c r="O19" s="55" t="n">
        <x:f>IF($A19="","",SUMPRODUCT((CaseLedger!$E$2:$E$500=$A19)*--(((CaseLedger!$B$2:$B$500=TRUE)+(CaseLedger!$B$2:$B$500="TRUE"))&gt;0)*CaseLedger!$N$2:$N$500))</x:f>
        <x:v>30000</x:v>
      </x:c>
      <x:c r="P19" s="55" t="n">
        <x:f>IFERROR(INDEX(MonthlyFinance!$D$2:$D$200,MATCH($B19,MonthlyFinance!$B$2:$B$200,0)),"")</x:f>
        <x:v>2600</x:v>
      </x:c>
      <x:c r="Q19" s="55" t="str">
        <x:f>IFERROR(INDEX(MonthlyFinance!$E$2:$E$200,MATCH($B19,MonthlyFinance!$B$2:$B$200,0)),"")</x:f>
      </x:c>
      <x:c r="R19" s="55" t="n">
        <x:f>IFERROR(INDEX(MonthlyFinance!$F$2:$F$200,MATCH($B19,MonthlyFinance!$B$2:$B$200,0)),"")</x:f>
        <x:v>3149</x:v>
      </x:c>
      <x:c r="S19" s="52" t="str">
        <x:f>IF($D19&gt;0,"Formula-linked from CaseLedger","")</x:f>
        <x:v>Formula-linked from CaseLedger</x:v>
      </x:c>
      <x:c r="T19" s="52" t="str">
        <x:f>IF($D19&gt;0,"TRUE","FALSE")</x:f>
        <x:v>TRUE</x:v>
      </x:c>
    </x:row>
    <x:row r="20">
      <x:c r="A20" s="52" t="str">
        <x:f>TEXT(C20,"mmm yyyy")</x:f>
        <x:v>Feb 2026</x:v>
      </x:c>
      <x:c r="B20" s="52" t="n">
        <x:f>YEAR(C20)*100+MONTH(C20)</x:f>
        <x:v>202602</x:v>
      </x:c>
      <x:c r="C20" s="54" t="n">
        <x:f>EDATE(C19,1)</x:f>
        <x:v>46054</x:v>
      </x:c>
      <x:c r="D20" s="52" t="n">
        <x:f>IF($A20="","",SUMPRODUCT((CaseLedger!$E$2:$E$500=$A20)*--(((CaseLedger!$B$2:$B$500=TRUE)+(CaseLedger!$B$2:$B$500="TRUE"))&gt;0)))</x:f>
        <x:v>0</x:v>
      </x:c>
      <x:c r="E20" s="52" t="n">
        <x:f>IF($A20="","",SUMPRODUCT((CaseLedger!$E$2:$E$500=$A20)*--(((CaseLedger!$B$2:$B$500=TRUE)+(CaseLedger!$B$2:$B$500="TRUE"))&gt;0)*(CaseLedger!$O$2:$O$500="Zakat")))</x:f>
        <x:v>0</x:v>
      </x:c>
      <x:c r="F20" s="52" t="n">
        <x:f>IF($A20="","",SUMPRODUCT((CaseLedger!$E$2:$E$500=$A20)*--(((CaseLedger!$B$2:$B$500=TRUE)+(CaseLedger!$B$2:$B$500="TRUE"))&gt;0)*(CaseLedger!$O$2:$O$500="Sadaqah")))</x:f>
        <x:v>0</x:v>
      </x:c>
      <x:c r="G20" s="52" t="n">
        <x:f>IF($A20="","",SUMPRODUCT((CaseLedger!$E$2:$E$500=$A20)*--(((CaseLedger!$B$2:$B$500=TRUE)+(CaseLedger!$B$2:$B$500="TRUE"))&gt;0)*(CaseLedger!$O$2:$O$500="Mixed")))</x:f>
        <x:v>0</x:v>
      </x:c>
      <x:c r="H20" s="52" t="n">
        <x:f>IF($A20="","",SUMPRODUCT((CaseLedger!$E$2:$E$500=$A20)*--(((CaseLedger!$B$2:$B$500=TRUE)+(CaseLedger!$B$2:$B$500="TRUE"))&gt;0)*(CaseLedger!$J$2:$J$500="Livelihood")))</x:f>
        <x:v>0</x:v>
      </x:c>
      <x:c r="I20" s="52" t="n">
        <x:f>IF($A20="","",SUMPRODUCT((CaseLedger!$E$2:$E$500=$A20)*--(((CaseLedger!$B$2:$B$500=TRUE)+(CaseLedger!$B$2:$B$500="TRUE"))&gt;0)*--(((CaseLedger!$J$2:$J$500="Skill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20" s="52" t="n">
        <x:f>IF($A20="","",SUMPRODUCT((CaseLedger!$E$2:$E$500=$A20)*--(((CaseLedger!$B$2:$B$500=TRUE)+(CaseLedger!$B$2:$B$500="TRUE"))&gt;0)*(CaseLedger!$J$2:$J$500="Emergency Support")))</x:f>
        <x:v>0</x:v>
      </x:c>
      <x:c r="K20" s="52" t="n">
        <x:f>IF($A20="","",SUMPRODUCT((CaseLedger!$E$2:$E$500=$A20)*--(((CaseLedger!$B$2:$B$500=TRUE)+(CaseLedger!$B$2:$B$500="TRUE"))&gt;0)*(CaseLedger!$J$2:$J$500="Community Support")))</x:f>
        <x:v>0</x:v>
      </x:c>
      <x:c r="L20" s="55" t="n">
        <x:f>IF($A20="","",SUMPRODUCT((CaseLedger!$E$2:$E$500=$A20)*--(((CaseLedger!$B$2:$B$500=TRUE)+(CaseLedger!$B$2:$B$500="TRUE"))&gt;0)*CaseLedger!$L$2:$L$500))</x:f>
        <x:v>0</x:v>
      </x:c>
      <x:c r="M20" s="55" t="n">
        <x:f>IF($A20="","",SUMPRODUCT((CaseLedger!$E$2:$E$500=$A20)*--(((CaseLedger!$B$2:$B$500=TRUE)+(CaseLedger!$B$2:$B$500="TRUE"))&gt;0)*CaseLedger!$M$2:$M$500))</x:f>
        <x:v>0</x:v>
      </x:c>
      <x:c r="N20" s="55" t="n">
        <x:f>IF($A20="","",SUMPRODUCT((CaseLedger!$E$2:$E$500=$A20)*--(((CaseLedger!$B$2:$B$500=TRUE)+(CaseLedger!$B$2:$B$500="TRUE"))&gt;0)*(CaseLedger!$O$2:$O$500="Mixed")*CaseLedger!$N$2:$N$500))</x:f>
        <x:v>0</x:v>
      </x:c>
      <x:c r="O20" s="55" t="n">
        <x:f>IF($A20="","",SUMPRODUCT((CaseLedger!$E$2:$E$500=$A20)*--(((CaseLedger!$B$2:$B$500=TRUE)+(CaseLedger!$B$2:$B$500="TRUE"))&gt;0)*CaseLedger!$N$2:$N$500))</x:f>
        <x:v>0</x:v>
      </x:c>
      <x:c r="P20" s="55" t="n">
        <x:f>IFERROR(INDEX(MonthlyFinance!$D$2:$D$200,MATCH($B20,MonthlyFinance!$B$2:$B$200,0)),"")</x:f>
        <x:v>2400</x:v>
      </x:c>
      <x:c r="Q20" s="55" t="str">
        <x:f>IFERROR(INDEX(MonthlyFinance!$E$2:$E$200,MATCH($B20,MonthlyFinance!$B$2:$B$200,0)),"")</x:f>
      </x:c>
      <x:c r="R20" s="55" t="n">
        <x:f>IFERROR(INDEX(MonthlyFinance!$F$2:$F$200,MATCH($B20,MonthlyFinance!$B$2:$B$200,0)),"")</x:f>
        <x:v>5549</x:v>
      </x:c>
      <x:c r="S20" s="52" t="str">
        <x:f>IF($D20&gt;0,"Formula-linked from CaseLedger","")</x:f>
      </x:c>
      <x:c r="T20" s="52" t="str">
        <x:f>IF($D20&gt;0,"TRUE","FALSE")</x:f>
        <x:v>FALSE</x:v>
      </x:c>
    </x:row>
    <x:row r="21">
      <x:c r="A21" s="52" t="str">
        <x:f>TEXT(C21,"mmm yyyy")</x:f>
        <x:v>Mar 2026</x:v>
      </x:c>
      <x:c r="B21" s="52" t="n">
        <x:f>YEAR(C21)*100+MONTH(C21)</x:f>
        <x:v>202603</x:v>
      </x:c>
      <x:c r="C21" s="54" t="n">
        <x:f>EDATE(C20,1)</x:f>
        <x:v>46082</x:v>
      </x:c>
      <x:c r="D21" s="52" t="n">
        <x:f>IF($A21="","",SUMPRODUCT((CaseLedger!$E$2:$E$500=$A21)*--(((CaseLedger!$B$2:$B$500=TRUE)+(CaseLedger!$B$2:$B$500="TRUE"))&gt;0)))</x:f>
        <x:v>4</x:v>
      </x:c>
      <x:c r="E21" s="52" t="n">
        <x:f>IF($A21="","",SUMPRODUCT((CaseLedger!$E$2:$E$500=$A21)*--(((CaseLedger!$B$2:$B$500=TRUE)+(CaseLedger!$B$2:$B$500="TRUE"))&gt;0)*(CaseLedger!$O$2:$O$500="Zakat")))</x:f>
        <x:v>2</x:v>
      </x:c>
      <x:c r="F21" s="52" t="n">
        <x:f>IF($A21="","",SUMPRODUCT((CaseLedger!$E$2:$E$500=$A21)*--(((CaseLedger!$B$2:$B$500=TRUE)+(CaseLedger!$B$2:$B$500="TRUE"))&gt;0)*(CaseLedger!$O$2:$O$500="Sadaqah")))</x:f>
        <x:v>2</x:v>
      </x:c>
      <x:c r="G21" s="52" t="n">
        <x:f>IF($A21="","",SUMPRODUCT((CaseLedger!$E$2:$E$500=$A21)*--(((CaseLedger!$B$2:$B$500=TRUE)+(CaseLedger!$B$2:$B$500="TRUE"))&gt;0)*(CaseLedger!$O$2:$O$500="Mixed")))</x:f>
        <x:v>0</x:v>
      </x:c>
      <x:c r="H21" s="52" t="n">
        <x:f>IF($A21="","",SUMPRODUCT((CaseLedger!$E$2:$E$500=$A21)*--(((CaseLedger!$B$2:$B$500=TRUE)+(CaseLedger!$B$2:$B$500="TRUE"))&gt;0)*(CaseLedger!$J$2:$J$500="Livelihood")))</x:f>
        <x:v>2</x:v>
      </x:c>
      <x:c r="I21" s="52" t="n">
        <x:f>IF($A21="","",SUMPRODUCT((CaseLedger!$E$2:$E$500=$A21)*--(((CaseLedger!$B$2:$B$500=TRUE)+(CaseLedger!$B$2:$B$500="TRUE"))&gt;0)*--(((CaseLedger!$J$2:$J$500="Skill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1</x:v>
      </x:c>
      <x:c r="J21" s="52" t="n">
        <x:f>IF($A21="","",SUMPRODUCT((CaseLedger!$E$2:$E$500=$A21)*--(((CaseLedger!$B$2:$B$500=TRUE)+(CaseLedger!$B$2:$B$500="TRUE"))&gt;0)*(CaseLedger!$J$2:$J$500="Emergency Support")))</x:f>
        <x:v>1</x:v>
      </x:c>
      <x:c r="K21" s="52" t="n">
        <x:f>IF($A21="","",SUMPRODUCT((CaseLedger!$E$2:$E$500=$A21)*--(((CaseLedger!$B$2:$B$500=TRUE)+(CaseLedger!$B$2:$B$500="TRUE"))&gt;0)*(CaseLedger!$J$2:$J$500="Community Support")))</x:f>
        <x:v>0</x:v>
      </x:c>
      <x:c r="L21" s="55" t="n">
        <x:f>IF($A21="","",SUMPRODUCT((CaseLedger!$E$2:$E$500=$A21)*--(((CaseLedger!$B$2:$B$500=TRUE)+(CaseLedger!$B$2:$B$500="TRUE"))&gt;0)*CaseLedger!$L$2:$L$500))</x:f>
        <x:v>50000</x:v>
      </x:c>
      <x:c r="M21" s="55" t="n">
        <x:f>IF($A21="","",SUMPRODUCT((CaseLedger!$E$2:$E$500=$A21)*--(((CaseLedger!$B$2:$B$500=TRUE)+(CaseLedger!$B$2:$B$500="TRUE"))&gt;0)*CaseLedger!$M$2:$M$500))</x:f>
        <x:v>24000</x:v>
      </x:c>
      <x:c r="N21" s="55" t="n">
        <x:f>IF($A21="","",SUMPRODUCT((CaseLedger!$E$2:$E$500=$A21)*--(((CaseLedger!$B$2:$B$500=TRUE)+(CaseLedger!$B$2:$B$500="TRUE"))&gt;0)*(CaseLedger!$O$2:$O$500="Mixed")*CaseLedger!$N$2:$N$500))</x:f>
        <x:v>0</x:v>
      </x:c>
      <x:c r="O21" s="55" t="n">
        <x:f>IF($A21="","",SUMPRODUCT((CaseLedger!$E$2:$E$500=$A21)*--(((CaseLedger!$B$2:$B$500=TRUE)+(CaseLedger!$B$2:$B$500="TRUE"))&gt;0)*CaseLedger!$N$2:$N$500))</x:f>
        <x:v>74000</x:v>
      </x:c>
      <x:c r="P21" s="55" t="n">
        <x:f>IFERROR(INDEX(MonthlyFinance!$D$2:$D$200,MATCH($B21,MonthlyFinance!$B$2:$B$200,0)),"")</x:f>
        <x:v>70325</x:v>
      </x:c>
      <x:c r="Q21" s="55" t="str">
        <x:f>IFERROR(INDEX(MonthlyFinance!$E$2:$E$200,MATCH($B21,MonthlyFinance!$B$2:$B$200,0)),"")</x:f>
      </x:c>
      <x:c r="R21" s="55" t="n">
        <x:f>IFERROR(INDEX(MonthlyFinance!$F$2:$F$200,MATCH($B21,MonthlyFinance!$B$2:$B$200,0)),"")</x:f>
        <x:v>1874</x:v>
      </x:c>
      <x:c r="S21" s="52" t="str">
        <x:f>IF($D21&gt;0,"Formula-linked from CaseLedger","")</x:f>
        <x:v>Formula-linked from CaseLedger</x:v>
      </x:c>
      <x:c r="T21" s="52" t="str">
        <x:f>IF($D21&gt;0,"TRUE","FALSE")</x:f>
        <x:v>TRUE</x:v>
      </x:c>
    </x:row>
    <x:row r="22">
      <x:c r="A22" s="52" t="str">
        <x:f>TEXT(C22,"mmm yyyy")</x:f>
        <x:v>Apr 2026</x:v>
      </x:c>
      <x:c r="B22" s="52" t="n">
        <x:f>YEAR(C22)*100+MONTH(C22)</x:f>
        <x:v>202604</x:v>
      </x:c>
      <x:c r="C22" s="54" t="n">
        <x:f>EDATE(C21,1)</x:f>
        <x:v>46113</x:v>
      </x:c>
      <x:c r="D22" s="52" t="n">
        <x:f>IF($A22="","",SUMPRODUCT((CaseLedger!$E$2:$E$500=$A22)*--(((CaseLedger!$B$2:$B$500=TRUE)+(CaseLedger!$B$2:$B$500="TRUE"))&gt;0)))</x:f>
        <x:v>1</x:v>
      </x:c>
      <x:c r="E22" s="52" t="n">
        <x:f>IF($A22="","",SUMPRODUCT((CaseLedger!$E$2:$E$500=$A22)*--(((CaseLedger!$B$2:$B$500=TRUE)+(CaseLedger!$B$2:$B$500="TRUE"))&gt;0)*(CaseLedger!$O$2:$O$500="Zakat")))</x:f>
        <x:v>0</x:v>
      </x:c>
      <x:c r="F22" s="52" t="n">
        <x:f>IF($A22="","",SUMPRODUCT((CaseLedger!$E$2:$E$500=$A22)*--(((CaseLedger!$B$2:$B$500=TRUE)+(CaseLedger!$B$2:$B$500="TRUE"))&gt;0)*(CaseLedger!$O$2:$O$500="Sadaqah")))</x:f>
        <x:v>1</x:v>
      </x:c>
      <x:c r="G22" s="52" t="n">
        <x:f>IF($A22="","",SUMPRODUCT((CaseLedger!$E$2:$E$500=$A22)*--(((CaseLedger!$B$2:$B$500=TRUE)+(CaseLedger!$B$2:$B$500="TRUE"))&gt;0)*(CaseLedger!$O$2:$O$500="Mixed")))</x:f>
        <x:v>0</x:v>
      </x:c>
      <x:c r="H22" s="52" t="n">
        <x:f>IF($A22="","",SUMPRODUCT((CaseLedger!$E$2:$E$500=$A22)*--(((CaseLedger!$B$2:$B$500=TRUE)+(CaseLedger!$B$2:$B$500="TRUE"))&gt;0)*(CaseLedger!$J$2:$J$500="Livelihood")))</x:f>
        <x:v>0</x:v>
      </x:c>
      <x:c r="I22" s="52" t="n">
        <x:f>IF($A22="","",SUMPRODUCT((CaseLedger!$E$2:$E$500=$A22)*--(((CaseLedger!$B$2:$B$500=TRUE)+(CaseLedger!$B$2:$B$500="TRUE"))&gt;0)*--(((CaseLedger!$J$2:$J$500="Skill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22" s="52" t="n">
        <x:f>IF($A22="","",SUMPRODUCT((CaseLedger!$E$2:$E$500=$A22)*--(((CaseLedger!$B$2:$B$500=TRUE)+(CaseLedger!$B$2:$B$500="TRUE"))&gt;0)*(CaseLedger!$J$2:$J$500="Emergency Support")))</x:f>
        <x:v>0</x:v>
      </x:c>
      <x:c r="K22" s="52" t="n">
        <x:f>IF($A22="","",SUMPRODUCT((CaseLedger!$E$2:$E$500=$A22)*--(((CaseLedger!$B$2:$B$500=TRUE)+(CaseLedger!$B$2:$B$500="TRUE"))&gt;0)*(CaseLedger!$J$2:$J$500="Community Support")))</x:f>
        <x:v>1</x:v>
      </x:c>
      <x:c r="L22" s="55" t="n">
        <x:f>IF($A22="","",SUMPRODUCT((CaseLedger!$E$2:$E$500=$A22)*--(((CaseLedger!$B$2:$B$500=TRUE)+(CaseLedger!$B$2:$B$500="TRUE"))&gt;0)*CaseLedger!$L$2:$L$500))</x:f>
        <x:v>0</x:v>
      </x:c>
      <x:c r="M22" s="55" t="n">
        <x:f>IF($A22="","",SUMPRODUCT((CaseLedger!$E$2:$E$500=$A22)*--(((CaseLedger!$B$2:$B$500=TRUE)+(CaseLedger!$B$2:$B$500="TRUE"))&gt;0)*CaseLedger!$M$2:$M$500))</x:f>
        <x:v>4500</x:v>
      </x:c>
      <x:c r="N22" s="55" t="n">
        <x:f>IF($A22="","",SUMPRODUCT((CaseLedger!$E$2:$E$500=$A22)*--(((CaseLedger!$B$2:$B$500=TRUE)+(CaseLedger!$B$2:$B$500="TRUE"))&gt;0)*(CaseLedger!$O$2:$O$500="Mixed")*CaseLedger!$N$2:$N$500))</x:f>
        <x:v>0</x:v>
      </x:c>
      <x:c r="O22" s="55" t="n">
        <x:f>IF($A22="","",SUMPRODUCT((CaseLedger!$E$2:$E$500=$A22)*--(((CaseLedger!$B$2:$B$500=TRUE)+(CaseLedger!$B$2:$B$500="TRUE"))&gt;0)*CaseLedger!$N$2:$N$500))</x:f>
        <x:v>4500</x:v>
      </x:c>
      <x:c r="P22" s="55" t="n">
        <x:f>IFERROR(INDEX(MonthlyFinance!$D$2:$D$200,MATCH($B22,MonthlyFinance!$B$2:$B$200,0)),"")</x:f>
        <x:v>5500</x:v>
      </x:c>
      <x:c r="Q22" s="55" t="str">
        <x:f>IFERROR(INDEX(MonthlyFinance!$E$2:$E$200,MATCH($B22,MonthlyFinance!$B$2:$B$200,0)),"")</x:f>
      </x:c>
      <x:c r="R22" s="55" t="n">
        <x:f>IFERROR(INDEX(MonthlyFinance!$F$2:$F$200,MATCH($B22,MonthlyFinance!$B$2:$B$200,0)),"")</x:f>
        <x:v>2874</x:v>
      </x:c>
      <x:c r="S22" s="52" t="str">
        <x:f>IF($D22&gt;0,"Formula-linked from CaseLedger","")</x:f>
        <x:v>Formula-linked from CaseLedger</x:v>
      </x:c>
      <x:c r="T22" s="52" t="str">
        <x:f>IF($D22&gt;0,"TRUE","FALSE")</x:f>
        <x:v>TRUE</x:v>
      </x:c>
    </x:row>
    <x:row r="23">
      <x:c r="A23" s="52" t="str">
        <x:f>TEXT(C23,"mmm yyyy")</x:f>
        <x:v>May 2026</x:v>
      </x:c>
      <x:c r="B23" s="52" t="n">
        <x:f>YEAR(C23)*100+MONTH(C23)</x:f>
        <x:v>202605</x:v>
      </x:c>
      <x:c r="C23" s="54" t="n">
        <x:f>EDATE(C22,1)</x:f>
        <x:v>46143</x:v>
      </x:c>
      <x:c r="D23" s="52" t="n">
        <x:f>IF($A23="","",SUMPRODUCT((CaseLedger!$E$2:$E$500=$A23)*--(((CaseLedger!$B$2:$B$500=TRUE)+(CaseLedger!$B$2:$B$500="TRUE"))&gt;0)))</x:f>
        <x:v>0</x:v>
      </x:c>
      <x:c r="E23" s="52" t="n">
        <x:f>IF($A23="","",SUMPRODUCT((CaseLedger!$E$2:$E$500=$A23)*--(((CaseLedger!$B$2:$B$500=TRUE)+(CaseLedger!$B$2:$B$500="TRUE"))&gt;0)*(CaseLedger!$O$2:$O$500="Zakat")))</x:f>
        <x:v>0</x:v>
      </x:c>
      <x:c r="F23" s="52" t="n">
        <x:f>IF($A23="","",SUMPRODUCT((CaseLedger!$E$2:$E$500=$A23)*--(((CaseLedger!$B$2:$B$500=TRUE)+(CaseLedger!$B$2:$B$500="TRUE"))&gt;0)*(CaseLedger!$O$2:$O$500="Sadaqah")))</x:f>
        <x:v>0</x:v>
      </x:c>
      <x:c r="G23" s="52" t="n">
        <x:f>IF($A23="","",SUMPRODUCT((CaseLedger!$E$2:$E$500=$A23)*--(((CaseLedger!$B$2:$B$500=TRUE)+(CaseLedger!$B$2:$B$500="TRUE"))&gt;0)*(CaseLedger!$O$2:$O$500="Mixed")))</x:f>
        <x:v>0</x:v>
      </x:c>
      <x:c r="H23" s="52" t="n">
        <x:f>IF($A23="","",SUMPRODUCT((CaseLedger!$E$2:$E$500=$A23)*--(((CaseLedger!$B$2:$B$500=TRUE)+(CaseLedger!$B$2:$B$500="TRUE"))&gt;0)*(CaseLedger!$J$2:$J$500="Livelihood")))</x:f>
        <x:v>0</x:v>
      </x:c>
      <x:c r="I23" s="52" t="n">
        <x:f>IF($A23="","",SUMPRODUCT((CaseLedger!$E$2:$E$500=$A23)*--(((CaseLedger!$B$2:$B$500=TRUE)+(CaseLedger!$B$2:$B$500="TRUE"))&gt;0)*--(((CaseLedger!$J$2:$J$500="Skill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23" s="52" t="n">
        <x:f>IF($A23="","",SUMPRODUCT((CaseLedger!$E$2:$E$500=$A23)*--(((CaseLedger!$B$2:$B$500=TRUE)+(CaseLedger!$B$2:$B$500="TRUE"))&gt;0)*(CaseLedger!$J$2:$J$500="Emergency Support")))</x:f>
        <x:v>0</x:v>
      </x:c>
      <x:c r="K23" s="52" t="n">
        <x:f>IF($A23="","",SUMPRODUCT((CaseLedger!$E$2:$E$500=$A23)*--(((CaseLedger!$B$2:$B$500=TRUE)+(CaseLedger!$B$2:$B$500="TRUE"))&gt;0)*(CaseLedger!$J$2:$J$500="Community Support")))</x:f>
        <x:v>0</x:v>
      </x:c>
      <x:c r="L23" s="55" t="n">
        <x:f>IF($A23="","",SUMPRODUCT((CaseLedger!$E$2:$E$500=$A23)*--(((CaseLedger!$B$2:$B$500=TRUE)+(CaseLedger!$B$2:$B$500="TRUE"))&gt;0)*CaseLedger!$L$2:$L$500))</x:f>
        <x:v>0</x:v>
      </x:c>
      <x:c r="M23" s="55" t="n">
        <x:f>IF($A23="","",SUMPRODUCT((CaseLedger!$E$2:$E$500=$A23)*--(((CaseLedger!$B$2:$B$500=TRUE)+(CaseLedger!$B$2:$B$500="TRUE"))&gt;0)*CaseLedger!$M$2:$M$500))</x:f>
        <x:v>0</x:v>
      </x:c>
      <x:c r="N23" s="55" t="n">
        <x:f>IF($A23="","",SUMPRODUCT((CaseLedger!$E$2:$E$500=$A23)*--(((CaseLedger!$B$2:$B$500=TRUE)+(CaseLedger!$B$2:$B$500="TRUE"))&gt;0)*(CaseLedger!$O$2:$O$500="Mixed")*CaseLedger!$N$2:$N$500))</x:f>
        <x:v>0</x:v>
      </x:c>
      <x:c r="O23" s="55" t="n">
        <x:f>IF($A23="","",SUMPRODUCT((CaseLedger!$E$2:$E$500=$A23)*--(((CaseLedger!$B$2:$B$500=TRUE)+(CaseLedger!$B$2:$B$500="TRUE"))&gt;0)*CaseLedger!$N$2:$N$500))</x:f>
        <x:v>0</x:v>
      </x:c>
      <x:c r="P23" s="55" t="str">
        <x:f>IFERROR(INDEX(MonthlyFinance!$D$2:$D$200,MATCH($B23,MonthlyFinance!$B$2:$B$200,0)),"")</x:f>
      </x:c>
      <x:c r="Q23" s="55" t="str">
        <x:f>IFERROR(INDEX(MonthlyFinance!$E$2:$E$200,MATCH($B23,MonthlyFinance!$B$2:$B$200,0)),"")</x:f>
      </x:c>
      <x:c r="R23" s="55" t="str">
        <x:f>IFERROR(INDEX(MonthlyFinance!$F$2:$F$200,MATCH($B23,MonthlyFinance!$B$2:$B$200,0)),"")</x:f>
      </x:c>
      <x:c r="S23" s="52" t="str">
        <x:f>IF($D23&gt;0,"Formula-linked from CaseLedger","")</x:f>
      </x:c>
      <x:c r="T23" s="52" t="str">
        <x:f>IF($D23&gt;0,"TRUE","FALSE")</x:f>
        <x:v>FALSE</x:v>
      </x:c>
    </x:row>
    <x:row r="24">
      <x:c r="A24" s="52" t="str">
        <x:f>TEXT(C24,"mmm yyyy")</x:f>
        <x:v>Jun 2026</x:v>
      </x:c>
      <x:c r="B24" s="52" t="n">
        <x:f>YEAR(C24)*100+MONTH(C24)</x:f>
        <x:v>202606</x:v>
      </x:c>
      <x:c r="C24" s="54" t="n">
        <x:f>EDATE(C23,1)</x:f>
        <x:v>46174</x:v>
      </x:c>
      <x:c r="D24" s="52" t="n">
        <x:f>IF($A24="","",SUMPRODUCT((CaseLedger!$E$2:$E$500=$A24)*--(((CaseLedger!$B$2:$B$500=TRUE)+(CaseLedger!$B$2:$B$500="TRUE"))&gt;0)))</x:f>
        <x:v>0</x:v>
      </x:c>
      <x:c r="E24" s="52" t="n">
        <x:f>IF($A24="","",SUMPRODUCT((CaseLedger!$E$2:$E$500=$A24)*--(((CaseLedger!$B$2:$B$500=TRUE)+(CaseLedger!$B$2:$B$500="TRUE"))&gt;0)*(CaseLedger!$O$2:$O$500="Zakat")))</x:f>
        <x:v>0</x:v>
      </x:c>
      <x:c r="F24" s="52" t="n">
        <x:f>IF($A24="","",SUMPRODUCT((CaseLedger!$E$2:$E$500=$A24)*--(((CaseLedger!$B$2:$B$500=TRUE)+(CaseLedger!$B$2:$B$500="TRUE"))&gt;0)*(CaseLedger!$O$2:$O$500="Sadaqah")))</x:f>
        <x:v>0</x:v>
      </x:c>
      <x:c r="G24" s="52" t="n">
        <x:f>IF($A24="","",SUMPRODUCT((CaseLedger!$E$2:$E$500=$A24)*--(((CaseLedger!$B$2:$B$500=TRUE)+(CaseLedger!$B$2:$B$500="TRUE"))&gt;0)*(CaseLedger!$O$2:$O$500="Mixed")))</x:f>
        <x:v>0</x:v>
      </x:c>
      <x:c r="H24" s="52" t="n">
        <x:f>IF($A24="","",SUMPRODUCT((CaseLedger!$E$2:$E$500=$A24)*--(((CaseLedger!$B$2:$B$500=TRUE)+(CaseLedger!$B$2:$B$500="TRUE"))&gt;0)*(CaseLedger!$J$2:$J$500="Livelihood")))</x:f>
        <x:v>0</x:v>
      </x:c>
      <x:c r="I24" s="52" t="n">
        <x:f>IF($A24="","",SUMPRODUCT((CaseLedger!$E$2:$E$500=$A24)*--(((CaseLedger!$B$2:$B$500=TRUE)+(CaseLedger!$B$2:$B$500="TRUE"))&gt;0)*--(((CaseLedger!$J$2:$J$500="Skill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24" s="52" t="n">
        <x:f>IF($A24="","",SUMPRODUCT((CaseLedger!$E$2:$E$500=$A24)*--(((CaseLedger!$B$2:$B$500=TRUE)+(CaseLedger!$B$2:$B$500="TRUE"))&gt;0)*(CaseLedger!$J$2:$J$500="Emergency Support")))</x:f>
        <x:v>0</x:v>
      </x:c>
      <x:c r="K24" s="52" t="n">
        <x:f>IF($A24="","",SUMPRODUCT((CaseLedger!$E$2:$E$500=$A24)*--(((CaseLedger!$B$2:$B$500=TRUE)+(CaseLedger!$B$2:$B$500="TRUE"))&gt;0)*(CaseLedger!$J$2:$J$500="Community Support")))</x:f>
        <x:v>0</x:v>
      </x:c>
      <x:c r="L24" s="55" t="n">
        <x:f>IF($A24="","",SUMPRODUCT((CaseLedger!$E$2:$E$500=$A24)*--(((CaseLedger!$B$2:$B$500=TRUE)+(CaseLedger!$B$2:$B$500="TRUE"))&gt;0)*CaseLedger!$L$2:$L$500))</x:f>
        <x:v>0</x:v>
      </x:c>
      <x:c r="M24" s="55" t="n">
        <x:f>IF($A24="","",SUMPRODUCT((CaseLedger!$E$2:$E$500=$A24)*--(((CaseLedger!$B$2:$B$500=TRUE)+(CaseLedger!$B$2:$B$500="TRUE"))&gt;0)*CaseLedger!$M$2:$M$500))</x:f>
        <x:v>0</x:v>
      </x:c>
      <x:c r="N24" s="55" t="n">
        <x:f>IF($A24="","",SUMPRODUCT((CaseLedger!$E$2:$E$500=$A24)*--(((CaseLedger!$B$2:$B$500=TRUE)+(CaseLedger!$B$2:$B$500="TRUE"))&gt;0)*(CaseLedger!$O$2:$O$500="Mixed")*CaseLedger!$N$2:$N$500))</x:f>
        <x:v>0</x:v>
      </x:c>
      <x:c r="O24" s="55" t="n">
        <x:f>IF($A24="","",SUMPRODUCT((CaseLedger!$E$2:$E$500=$A24)*--(((CaseLedger!$B$2:$B$500=TRUE)+(CaseLedger!$B$2:$B$500="TRUE"))&gt;0)*CaseLedger!$N$2:$N$500))</x:f>
        <x:v>0</x:v>
      </x:c>
      <x:c r="P24" s="55" t="str">
        <x:f>IFERROR(INDEX(MonthlyFinance!$D$2:$D$200,MATCH($B24,MonthlyFinance!$B$2:$B$200,0)),"")</x:f>
      </x:c>
      <x:c r="Q24" s="55" t="str">
        <x:f>IFERROR(INDEX(MonthlyFinance!$E$2:$E$200,MATCH($B24,MonthlyFinance!$B$2:$B$200,0)),"")</x:f>
      </x:c>
      <x:c r="R24" s="55" t="str">
        <x:f>IFERROR(INDEX(MonthlyFinance!$F$2:$F$200,MATCH($B24,MonthlyFinance!$B$2:$B$200,0)),"")</x:f>
      </x:c>
      <x:c r="S24" s="52" t="str">
        <x:f>IF($D24&gt;0,"Formula-linked from CaseLedger","")</x:f>
      </x:c>
      <x:c r="T24" s="52" t="str">
        <x:f>IF($D24&gt;0,"TRUE","FALSE")</x:f>
        <x:v>FALSE</x:v>
      </x:c>
    </x:row>
    <x:row r="25">
      <x:c r="A25" s="52" t="str">
        <x:f>TEXT(C25,"mmm yyyy")</x:f>
        <x:v>Jul 2026</x:v>
      </x:c>
      <x:c r="B25" s="52" t="n">
        <x:f>YEAR(C25)*100+MONTH(C25)</x:f>
        <x:v>202607</x:v>
      </x:c>
      <x:c r="C25" s="54" t="n">
        <x:f>EDATE(C24,1)</x:f>
        <x:v>46204</x:v>
      </x:c>
      <x:c r="D25" s="52" t="n">
        <x:f>IF($A25="","",SUMPRODUCT((CaseLedger!$E$2:$E$500=$A25)*--(((CaseLedger!$B$2:$B$500=TRUE)+(CaseLedger!$B$2:$B$500="TRUE"))&gt;0)))</x:f>
        <x:v>0</x:v>
      </x:c>
      <x:c r="E25" s="52" t="n">
        <x:f>IF($A25="","",SUMPRODUCT((CaseLedger!$E$2:$E$500=$A25)*--(((CaseLedger!$B$2:$B$500=TRUE)+(CaseLedger!$B$2:$B$500="TRUE"))&gt;0)*(CaseLedger!$O$2:$O$500="Zakat")))</x:f>
        <x:v>0</x:v>
      </x:c>
      <x:c r="F25" s="52" t="n">
        <x:f>IF($A25="","",SUMPRODUCT((CaseLedger!$E$2:$E$500=$A25)*--(((CaseLedger!$B$2:$B$500=TRUE)+(CaseLedger!$B$2:$B$500="TRUE"))&gt;0)*(CaseLedger!$O$2:$O$500="Sadaqah")))</x:f>
        <x:v>0</x:v>
      </x:c>
      <x:c r="G25" s="52" t="n">
        <x:f>IF($A25="","",SUMPRODUCT((CaseLedger!$E$2:$E$500=$A25)*--(((CaseLedger!$B$2:$B$500=TRUE)+(CaseLedger!$B$2:$B$500="TRUE"))&gt;0)*(CaseLedger!$O$2:$O$500="Mixed")))</x:f>
        <x:v>0</x:v>
      </x:c>
      <x:c r="H25" s="52" t="n">
        <x:f>IF($A25="","",SUMPRODUCT((CaseLedger!$E$2:$E$500=$A25)*--(((CaseLedger!$B$2:$B$500=TRUE)+(CaseLedger!$B$2:$B$500="TRUE"))&gt;0)*(CaseLedger!$J$2:$J$500="Livelihood")))</x:f>
        <x:v>0</x:v>
      </x:c>
      <x:c r="I25" s="52" t="n">
        <x:f>IF($A25="","",SUMPRODUCT((CaseLedger!$E$2:$E$500=$A25)*--(((CaseLedger!$B$2:$B$500=TRUE)+(CaseLedger!$B$2:$B$500="TRUE"))&gt;0)*--(((CaseLedger!$J$2:$J$500="Skill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25" s="52" t="n">
        <x:f>IF($A25="","",SUMPRODUCT((CaseLedger!$E$2:$E$500=$A25)*--(((CaseLedger!$B$2:$B$500=TRUE)+(CaseLedger!$B$2:$B$500="TRUE"))&gt;0)*(CaseLedger!$J$2:$J$500="Emergency Support")))</x:f>
        <x:v>0</x:v>
      </x:c>
      <x:c r="K25" s="52" t="n">
        <x:f>IF($A25="","",SUMPRODUCT((CaseLedger!$E$2:$E$500=$A25)*--(((CaseLedger!$B$2:$B$500=TRUE)+(CaseLedger!$B$2:$B$500="TRUE"))&gt;0)*(CaseLedger!$J$2:$J$500="Community Support")))</x:f>
        <x:v>0</x:v>
      </x:c>
      <x:c r="L25" s="55" t="n">
        <x:f>IF($A25="","",SUMPRODUCT((CaseLedger!$E$2:$E$500=$A25)*--(((CaseLedger!$B$2:$B$500=TRUE)+(CaseLedger!$B$2:$B$500="TRUE"))&gt;0)*CaseLedger!$L$2:$L$500))</x:f>
        <x:v>0</x:v>
      </x:c>
      <x:c r="M25" s="55" t="n">
        <x:f>IF($A25="","",SUMPRODUCT((CaseLedger!$E$2:$E$500=$A25)*--(((CaseLedger!$B$2:$B$500=TRUE)+(CaseLedger!$B$2:$B$500="TRUE"))&gt;0)*CaseLedger!$M$2:$M$500))</x:f>
        <x:v>0</x:v>
      </x:c>
      <x:c r="N25" s="55" t="n">
        <x:f>IF($A25="","",SUMPRODUCT((CaseLedger!$E$2:$E$500=$A25)*--(((CaseLedger!$B$2:$B$500=TRUE)+(CaseLedger!$B$2:$B$500="TRUE"))&gt;0)*(CaseLedger!$O$2:$O$500="Mixed")*CaseLedger!$N$2:$N$500))</x:f>
        <x:v>0</x:v>
      </x:c>
      <x:c r="O25" s="55" t="n">
        <x:f>IF($A25="","",SUMPRODUCT((CaseLedger!$E$2:$E$500=$A25)*--(((CaseLedger!$B$2:$B$500=TRUE)+(CaseLedger!$B$2:$B$500="TRUE"))&gt;0)*CaseLedger!$N$2:$N$500))</x:f>
        <x:v>0</x:v>
      </x:c>
      <x:c r="P25" s="55" t="str">
        <x:f>IFERROR(INDEX(MonthlyFinance!$D$2:$D$200,MATCH($B25,MonthlyFinance!$B$2:$B$200,0)),"")</x:f>
      </x:c>
      <x:c r="Q25" s="55" t="str">
        <x:f>IFERROR(INDEX(MonthlyFinance!$E$2:$E$200,MATCH($B25,MonthlyFinance!$B$2:$B$200,0)),"")</x:f>
      </x:c>
      <x:c r="R25" s="55" t="str">
        <x:f>IFERROR(INDEX(MonthlyFinance!$F$2:$F$200,MATCH($B25,MonthlyFinance!$B$2:$B$200,0)),"")</x:f>
      </x:c>
      <x:c r="S25" s="52" t="str">
        <x:f>IF($D25&gt;0,"Formula-linked from CaseLedger","")</x:f>
      </x:c>
      <x:c r="T25" s="52" t="str">
        <x:f>IF($D25&gt;0,"TRUE","FALSE")</x:f>
        <x:v>FALSE</x:v>
      </x:c>
    </x:row>
    <x:row r="26">
      <x:c r="A26" s="52" t="str">
        <x:f>TEXT(C26,"mmm yyyy")</x:f>
        <x:v>Aug 2026</x:v>
      </x:c>
      <x:c r="B26" s="52" t="n">
        <x:f>YEAR(C26)*100+MONTH(C26)</x:f>
        <x:v>202608</x:v>
      </x:c>
      <x:c r="C26" s="54" t="n">
        <x:f>EDATE(C25,1)</x:f>
        <x:v>46235</x:v>
      </x:c>
      <x:c r="D26" s="52" t="n">
        <x:f>IF($A26="","",SUMPRODUCT((CaseLedger!$E$2:$E$500=$A26)*--(((CaseLedger!$B$2:$B$500=TRUE)+(CaseLedger!$B$2:$B$500="TRUE"))&gt;0)))</x:f>
        <x:v>0</x:v>
      </x:c>
      <x:c r="E26" s="52" t="n">
        <x:f>IF($A26="","",SUMPRODUCT((CaseLedger!$E$2:$E$500=$A26)*--(((CaseLedger!$B$2:$B$500=TRUE)+(CaseLedger!$B$2:$B$500="TRUE"))&gt;0)*(CaseLedger!$O$2:$O$500="Zakat")))</x:f>
        <x:v>0</x:v>
      </x:c>
      <x:c r="F26" s="52" t="n">
        <x:f>IF($A26="","",SUMPRODUCT((CaseLedger!$E$2:$E$500=$A26)*--(((CaseLedger!$B$2:$B$500=TRUE)+(CaseLedger!$B$2:$B$500="TRUE"))&gt;0)*(CaseLedger!$O$2:$O$500="Sadaqah")))</x:f>
        <x:v>0</x:v>
      </x:c>
      <x:c r="G26" s="52" t="n">
        <x:f>IF($A26="","",SUMPRODUCT((CaseLedger!$E$2:$E$500=$A26)*--(((CaseLedger!$B$2:$B$500=TRUE)+(CaseLedger!$B$2:$B$500="TRUE"))&gt;0)*(CaseLedger!$O$2:$O$500="Mixed")))</x:f>
        <x:v>0</x:v>
      </x:c>
      <x:c r="H26" s="52" t="n">
        <x:f>IF($A26="","",SUMPRODUCT((CaseLedger!$E$2:$E$500=$A26)*--(((CaseLedger!$B$2:$B$500=TRUE)+(CaseLedger!$B$2:$B$500="TRUE"))&gt;0)*(CaseLedger!$J$2:$J$500="Livelihood")))</x:f>
        <x:v>0</x:v>
      </x:c>
      <x:c r="I26" s="52" t="n">
        <x:f>IF($A26="","",SUMPRODUCT((CaseLedger!$E$2:$E$500=$A26)*--(((CaseLedger!$B$2:$B$500=TRUE)+(CaseLedger!$B$2:$B$500="TRUE"))&gt;0)*--(((CaseLedger!$J$2:$J$500="Skill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26" s="52" t="n">
        <x:f>IF($A26="","",SUMPRODUCT((CaseLedger!$E$2:$E$500=$A26)*--(((CaseLedger!$B$2:$B$500=TRUE)+(CaseLedger!$B$2:$B$500="TRUE"))&gt;0)*(CaseLedger!$J$2:$J$500="Emergency Support")))</x:f>
        <x:v>0</x:v>
      </x:c>
      <x:c r="K26" s="52" t="n">
        <x:f>IF($A26="","",SUMPRODUCT((CaseLedger!$E$2:$E$500=$A26)*--(((CaseLedger!$B$2:$B$500=TRUE)+(CaseLedger!$B$2:$B$500="TRUE"))&gt;0)*(CaseLedger!$J$2:$J$500="Community Support")))</x:f>
        <x:v>0</x:v>
      </x:c>
      <x:c r="L26" s="55" t="n">
        <x:f>IF($A26="","",SUMPRODUCT((CaseLedger!$E$2:$E$500=$A26)*--(((CaseLedger!$B$2:$B$500=TRUE)+(CaseLedger!$B$2:$B$500="TRUE"))&gt;0)*CaseLedger!$L$2:$L$500))</x:f>
        <x:v>0</x:v>
      </x:c>
      <x:c r="M26" s="55" t="n">
        <x:f>IF($A26="","",SUMPRODUCT((CaseLedger!$E$2:$E$500=$A26)*--(((CaseLedger!$B$2:$B$500=TRUE)+(CaseLedger!$B$2:$B$500="TRUE"))&gt;0)*CaseLedger!$M$2:$M$500))</x:f>
        <x:v>0</x:v>
      </x:c>
      <x:c r="N26" s="55" t="n">
        <x:f>IF($A26="","",SUMPRODUCT((CaseLedger!$E$2:$E$500=$A26)*--(((CaseLedger!$B$2:$B$500=TRUE)+(CaseLedger!$B$2:$B$500="TRUE"))&gt;0)*(CaseLedger!$O$2:$O$500="Mixed")*CaseLedger!$N$2:$N$500))</x:f>
        <x:v>0</x:v>
      </x:c>
      <x:c r="O26" s="55" t="n">
        <x:f>IF($A26="","",SUMPRODUCT((CaseLedger!$E$2:$E$500=$A26)*--(((CaseLedger!$B$2:$B$500=TRUE)+(CaseLedger!$B$2:$B$500="TRUE"))&gt;0)*CaseLedger!$N$2:$N$500))</x:f>
        <x:v>0</x:v>
      </x:c>
      <x:c r="P26" s="55" t="str">
        <x:f>IFERROR(INDEX(MonthlyFinance!$D$2:$D$200,MATCH($B26,MonthlyFinance!$B$2:$B$200,0)),"")</x:f>
      </x:c>
      <x:c r="Q26" s="55" t="str">
        <x:f>IFERROR(INDEX(MonthlyFinance!$E$2:$E$200,MATCH($B26,MonthlyFinance!$B$2:$B$200,0)),"")</x:f>
      </x:c>
      <x:c r="R26" s="55" t="str">
        <x:f>IFERROR(INDEX(MonthlyFinance!$F$2:$F$200,MATCH($B26,MonthlyFinance!$B$2:$B$200,0)),"")</x:f>
      </x:c>
      <x:c r="S26" s="52" t="str">
        <x:f>IF($D26&gt;0,"Formula-linked from CaseLedger","")</x:f>
      </x:c>
      <x:c r="T26" s="52" t="str">
        <x:f>IF($D26&gt;0,"TRUE","FALSE")</x:f>
        <x:v>FALSE</x:v>
      </x:c>
    </x:row>
    <x:row r="27">
      <x:c r="A27" s="52" t="str">
        <x:f>TEXT(C27,"mmm yyyy")</x:f>
        <x:v>Sep 2026</x:v>
      </x:c>
      <x:c r="B27" s="52" t="n">
        <x:f>YEAR(C27)*100+MONTH(C27)</x:f>
        <x:v>202609</x:v>
      </x:c>
      <x:c r="C27" s="54" t="n">
        <x:f>EDATE(C26,1)</x:f>
        <x:v>46266</x:v>
      </x:c>
      <x:c r="D27" s="52" t="n">
        <x:f>IF($A27="","",SUMPRODUCT((CaseLedger!$E$2:$E$500=$A27)*--(((CaseLedger!$B$2:$B$500=TRUE)+(CaseLedger!$B$2:$B$500="TRUE"))&gt;0)))</x:f>
        <x:v>0</x:v>
      </x:c>
      <x:c r="E27" s="52" t="n">
        <x:f>IF($A27="","",SUMPRODUCT((CaseLedger!$E$2:$E$500=$A27)*--(((CaseLedger!$B$2:$B$500=TRUE)+(CaseLedger!$B$2:$B$500="TRUE"))&gt;0)*(CaseLedger!$O$2:$O$500="Zakat")))</x:f>
        <x:v>0</x:v>
      </x:c>
      <x:c r="F27" s="52" t="n">
        <x:f>IF($A27="","",SUMPRODUCT((CaseLedger!$E$2:$E$500=$A27)*--(((CaseLedger!$B$2:$B$500=TRUE)+(CaseLedger!$B$2:$B$500="TRUE"))&gt;0)*(CaseLedger!$O$2:$O$500="Sadaqah")))</x:f>
        <x:v>0</x:v>
      </x:c>
      <x:c r="G27" s="52" t="n">
        <x:f>IF($A27="","",SUMPRODUCT((CaseLedger!$E$2:$E$500=$A27)*--(((CaseLedger!$B$2:$B$500=TRUE)+(CaseLedger!$B$2:$B$500="TRUE"))&gt;0)*(CaseLedger!$O$2:$O$500="Mixed")))</x:f>
        <x:v>0</x:v>
      </x:c>
      <x:c r="H27" s="52" t="n">
        <x:f>IF($A27="","",SUMPRODUCT((CaseLedger!$E$2:$E$500=$A27)*--(((CaseLedger!$B$2:$B$500=TRUE)+(CaseLedger!$B$2:$B$500="TRUE"))&gt;0)*(CaseLedger!$J$2:$J$500="Livelihood")))</x:f>
        <x:v>0</x:v>
      </x:c>
      <x:c r="I27" s="52" t="n">
        <x:f>IF($A27="","",SUMPRODUCT((CaseLedger!$E$2:$E$500=$A27)*--(((CaseLedger!$B$2:$B$500=TRUE)+(CaseLedger!$B$2:$B$500="TRUE"))&gt;0)*--(((CaseLedger!$J$2:$J$500="Skill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27" s="52" t="n">
        <x:f>IF($A27="","",SUMPRODUCT((CaseLedger!$E$2:$E$500=$A27)*--(((CaseLedger!$B$2:$B$500=TRUE)+(CaseLedger!$B$2:$B$500="TRUE"))&gt;0)*(CaseLedger!$J$2:$J$500="Emergency Support")))</x:f>
        <x:v>0</x:v>
      </x:c>
      <x:c r="K27" s="52" t="n">
        <x:f>IF($A27="","",SUMPRODUCT((CaseLedger!$E$2:$E$500=$A27)*--(((CaseLedger!$B$2:$B$500=TRUE)+(CaseLedger!$B$2:$B$500="TRUE"))&gt;0)*(CaseLedger!$J$2:$J$500="Community Support")))</x:f>
        <x:v>0</x:v>
      </x:c>
      <x:c r="L27" s="55" t="n">
        <x:f>IF($A27="","",SUMPRODUCT((CaseLedger!$E$2:$E$500=$A27)*--(((CaseLedger!$B$2:$B$500=TRUE)+(CaseLedger!$B$2:$B$500="TRUE"))&gt;0)*CaseLedger!$L$2:$L$500))</x:f>
        <x:v>0</x:v>
      </x:c>
      <x:c r="M27" s="55" t="n">
        <x:f>IF($A27="","",SUMPRODUCT((CaseLedger!$E$2:$E$500=$A27)*--(((CaseLedger!$B$2:$B$500=TRUE)+(CaseLedger!$B$2:$B$500="TRUE"))&gt;0)*CaseLedger!$M$2:$M$500))</x:f>
        <x:v>0</x:v>
      </x:c>
      <x:c r="N27" s="55" t="n">
        <x:f>IF($A27="","",SUMPRODUCT((CaseLedger!$E$2:$E$500=$A27)*--(((CaseLedger!$B$2:$B$500=TRUE)+(CaseLedger!$B$2:$B$500="TRUE"))&gt;0)*(CaseLedger!$O$2:$O$500="Mixed")*CaseLedger!$N$2:$N$500))</x:f>
        <x:v>0</x:v>
      </x:c>
      <x:c r="O27" s="55" t="n">
        <x:f>IF($A27="","",SUMPRODUCT((CaseLedger!$E$2:$E$500=$A27)*--(((CaseLedger!$B$2:$B$500=TRUE)+(CaseLedger!$B$2:$B$500="TRUE"))&gt;0)*CaseLedger!$N$2:$N$500))</x:f>
        <x:v>0</x:v>
      </x:c>
      <x:c r="P27" s="55" t="str">
        <x:f>IFERROR(INDEX(MonthlyFinance!$D$2:$D$200,MATCH($B27,MonthlyFinance!$B$2:$B$200,0)),"")</x:f>
      </x:c>
      <x:c r="Q27" s="55" t="str">
        <x:f>IFERROR(INDEX(MonthlyFinance!$E$2:$E$200,MATCH($B27,MonthlyFinance!$B$2:$B$200,0)),"")</x:f>
      </x:c>
      <x:c r="R27" s="55" t="str">
        <x:f>IFERROR(INDEX(MonthlyFinance!$F$2:$F$200,MATCH($B27,MonthlyFinance!$B$2:$B$200,0)),"")</x:f>
      </x:c>
      <x:c r="S27" s="52" t="str">
        <x:f>IF($D27&gt;0,"Formula-linked from CaseLedger","")</x:f>
      </x:c>
      <x:c r="T27" s="52" t="str">
        <x:f>IF($D27&gt;0,"TRUE","FALSE")</x:f>
        <x:v>FALSE</x:v>
      </x:c>
    </x:row>
    <x:row r="28">
      <x:c r="A28" s="52" t="str">
        <x:f>TEXT(C28,"mmm yyyy")</x:f>
        <x:v>Oct 2026</x:v>
      </x:c>
      <x:c r="B28" s="52" t="n">
        <x:f>YEAR(C28)*100+MONTH(C28)</x:f>
        <x:v>202610</x:v>
      </x:c>
      <x:c r="C28" s="54" t="n">
        <x:f>EDATE(C27,1)</x:f>
        <x:v>46296</x:v>
      </x:c>
      <x:c r="D28" s="52" t="n">
        <x:f>IF($A28="","",SUMPRODUCT((CaseLedger!$E$2:$E$500=$A28)*--(((CaseLedger!$B$2:$B$500=TRUE)+(CaseLedger!$B$2:$B$500="TRUE"))&gt;0)))</x:f>
        <x:v>0</x:v>
      </x:c>
      <x:c r="E28" s="52" t="n">
        <x:f>IF($A28="","",SUMPRODUCT((CaseLedger!$E$2:$E$500=$A28)*--(((CaseLedger!$B$2:$B$500=TRUE)+(CaseLedger!$B$2:$B$500="TRUE"))&gt;0)*(CaseLedger!$O$2:$O$500="Zakat")))</x:f>
        <x:v>0</x:v>
      </x:c>
      <x:c r="F28" s="52" t="n">
        <x:f>IF($A28="","",SUMPRODUCT((CaseLedger!$E$2:$E$500=$A28)*--(((CaseLedger!$B$2:$B$500=TRUE)+(CaseLedger!$B$2:$B$500="TRUE"))&gt;0)*(CaseLedger!$O$2:$O$500="Sadaqah")))</x:f>
        <x:v>0</x:v>
      </x:c>
      <x:c r="G28" s="52" t="n">
        <x:f>IF($A28="","",SUMPRODUCT((CaseLedger!$E$2:$E$500=$A28)*--(((CaseLedger!$B$2:$B$500=TRUE)+(CaseLedger!$B$2:$B$500="TRUE"))&gt;0)*(CaseLedger!$O$2:$O$500="Mixed")))</x:f>
        <x:v>0</x:v>
      </x:c>
      <x:c r="H28" s="52" t="n">
        <x:f>IF($A28="","",SUMPRODUCT((CaseLedger!$E$2:$E$500=$A28)*--(((CaseLedger!$B$2:$B$500=TRUE)+(CaseLedger!$B$2:$B$500="TRUE"))&gt;0)*(CaseLedger!$J$2:$J$500="Livelihood")))</x:f>
        <x:v>0</x:v>
      </x:c>
      <x:c r="I28" s="52" t="n">
        <x:f>IF($A28="","",SUMPRODUCT((CaseLedger!$E$2:$E$500=$A28)*--(((CaseLedger!$B$2:$B$500=TRUE)+(CaseLedger!$B$2:$B$500="TRUE"))&gt;0)*--(((CaseLedger!$J$2:$J$500="Skill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28" s="52" t="n">
        <x:f>IF($A28="","",SUMPRODUCT((CaseLedger!$E$2:$E$500=$A28)*--(((CaseLedger!$B$2:$B$500=TRUE)+(CaseLedger!$B$2:$B$500="TRUE"))&gt;0)*(CaseLedger!$J$2:$J$500="Emergency Support")))</x:f>
        <x:v>0</x:v>
      </x:c>
      <x:c r="K28" s="52" t="n">
        <x:f>IF($A28="","",SUMPRODUCT((CaseLedger!$E$2:$E$500=$A28)*--(((CaseLedger!$B$2:$B$500=TRUE)+(CaseLedger!$B$2:$B$500="TRUE"))&gt;0)*(CaseLedger!$J$2:$J$500="Community Support")))</x:f>
        <x:v>0</x:v>
      </x:c>
      <x:c r="L28" s="55" t="n">
        <x:f>IF($A28="","",SUMPRODUCT((CaseLedger!$E$2:$E$500=$A28)*--(((CaseLedger!$B$2:$B$500=TRUE)+(CaseLedger!$B$2:$B$500="TRUE"))&gt;0)*CaseLedger!$L$2:$L$500))</x:f>
        <x:v>0</x:v>
      </x:c>
      <x:c r="M28" s="55" t="n">
        <x:f>IF($A28="","",SUMPRODUCT((CaseLedger!$E$2:$E$500=$A28)*--(((CaseLedger!$B$2:$B$500=TRUE)+(CaseLedger!$B$2:$B$500="TRUE"))&gt;0)*CaseLedger!$M$2:$M$500))</x:f>
        <x:v>0</x:v>
      </x:c>
      <x:c r="N28" s="55" t="n">
        <x:f>IF($A28="","",SUMPRODUCT((CaseLedger!$E$2:$E$500=$A28)*--(((CaseLedger!$B$2:$B$500=TRUE)+(CaseLedger!$B$2:$B$500="TRUE"))&gt;0)*(CaseLedger!$O$2:$O$500="Mixed")*CaseLedger!$N$2:$N$500))</x:f>
        <x:v>0</x:v>
      </x:c>
      <x:c r="O28" s="55" t="n">
        <x:f>IF($A28="","",SUMPRODUCT((CaseLedger!$E$2:$E$500=$A28)*--(((CaseLedger!$B$2:$B$500=TRUE)+(CaseLedger!$B$2:$B$500="TRUE"))&gt;0)*CaseLedger!$N$2:$N$500))</x:f>
        <x:v>0</x:v>
      </x:c>
      <x:c r="P28" s="55" t="str">
        <x:f>IFERROR(INDEX(MonthlyFinance!$D$2:$D$200,MATCH($B28,MonthlyFinance!$B$2:$B$200,0)),"")</x:f>
      </x:c>
      <x:c r="Q28" s="55" t="str">
        <x:f>IFERROR(INDEX(MonthlyFinance!$E$2:$E$200,MATCH($B28,MonthlyFinance!$B$2:$B$200,0)),"")</x:f>
      </x:c>
      <x:c r="R28" s="55" t="str">
        <x:f>IFERROR(INDEX(MonthlyFinance!$F$2:$F$200,MATCH($B28,MonthlyFinance!$B$2:$B$200,0)),"")</x:f>
      </x:c>
      <x:c r="S28" s="52" t="str">
        <x:f>IF($D28&gt;0,"Formula-linked from CaseLedger","")</x:f>
      </x:c>
      <x:c r="T28" s="52" t="str">
        <x:f>IF($D28&gt;0,"TRUE","FALSE")</x:f>
        <x:v>FALSE</x:v>
      </x:c>
    </x:row>
    <x:row r="29">
      <x:c r="A29" s="52" t="str">
        <x:f>TEXT(C29,"mmm yyyy")</x:f>
        <x:v>Nov 2026</x:v>
      </x:c>
      <x:c r="B29" s="52" t="n">
        <x:f>YEAR(C29)*100+MONTH(C29)</x:f>
        <x:v>202611</x:v>
      </x:c>
      <x:c r="C29" s="54" t="n">
        <x:f>EDATE(C28,1)</x:f>
        <x:v>46327</x:v>
      </x:c>
      <x:c r="D29" s="52" t="n">
        <x:f>IF($A29="","",SUMPRODUCT((CaseLedger!$E$2:$E$500=$A29)*--(((CaseLedger!$B$2:$B$500=TRUE)+(CaseLedger!$B$2:$B$500="TRUE"))&gt;0)))</x:f>
        <x:v>0</x:v>
      </x:c>
      <x:c r="E29" s="52" t="n">
        <x:f>IF($A29="","",SUMPRODUCT((CaseLedger!$E$2:$E$500=$A29)*--(((CaseLedger!$B$2:$B$500=TRUE)+(CaseLedger!$B$2:$B$500="TRUE"))&gt;0)*(CaseLedger!$O$2:$O$500="Zakat")))</x:f>
        <x:v>0</x:v>
      </x:c>
      <x:c r="F29" s="52" t="n">
        <x:f>IF($A29="","",SUMPRODUCT((CaseLedger!$E$2:$E$500=$A29)*--(((CaseLedger!$B$2:$B$500=TRUE)+(CaseLedger!$B$2:$B$500="TRUE"))&gt;0)*(CaseLedger!$O$2:$O$500="Sadaqah")))</x:f>
        <x:v>0</x:v>
      </x:c>
      <x:c r="G29" s="52" t="n">
        <x:f>IF($A29="","",SUMPRODUCT((CaseLedger!$E$2:$E$500=$A29)*--(((CaseLedger!$B$2:$B$500=TRUE)+(CaseLedger!$B$2:$B$500="TRUE"))&gt;0)*(CaseLedger!$O$2:$O$500="Mixed")))</x:f>
        <x:v>0</x:v>
      </x:c>
      <x:c r="H29" s="52" t="n">
        <x:f>IF($A29="","",SUMPRODUCT((CaseLedger!$E$2:$E$500=$A29)*--(((CaseLedger!$B$2:$B$500=TRUE)+(CaseLedger!$B$2:$B$500="TRUE"))&gt;0)*(CaseLedger!$J$2:$J$500="Livelihood")))</x:f>
        <x:v>0</x:v>
      </x:c>
      <x:c r="I29" s="52" t="n">
        <x:f>IF($A29="","",SUMPRODUCT((CaseLedger!$E$2:$E$500=$A29)*--(((CaseLedger!$B$2:$B$500=TRUE)+(CaseLedger!$B$2:$B$500="TRUE"))&gt;0)*--(((CaseLedger!$J$2:$J$500="Skill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29" s="52" t="n">
        <x:f>IF($A29="","",SUMPRODUCT((CaseLedger!$E$2:$E$500=$A29)*--(((CaseLedger!$B$2:$B$500=TRUE)+(CaseLedger!$B$2:$B$500="TRUE"))&gt;0)*(CaseLedger!$J$2:$J$500="Emergency Support")))</x:f>
        <x:v>0</x:v>
      </x:c>
      <x:c r="K29" s="52" t="n">
        <x:f>IF($A29="","",SUMPRODUCT((CaseLedger!$E$2:$E$500=$A29)*--(((CaseLedger!$B$2:$B$500=TRUE)+(CaseLedger!$B$2:$B$500="TRUE"))&gt;0)*(CaseLedger!$J$2:$J$500="Community Support")))</x:f>
        <x:v>0</x:v>
      </x:c>
      <x:c r="L29" s="55" t="n">
        <x:f>IF($A29="","",SUMPRODUCT((CaseLedger!$E$2:$E$500=$A29)*--(((CaseLedger!$B$2:$B$500=TRUE)+(CaseLedger!$B$2:$B$500="TRUE"))&gt;0)*CaseLedger!$L$2:$L$500))</x:f>
        <x:v>0</x:v>
      </x:c>
      <x:c r="M29" s="55" t="n">
        <x:f>IF($A29="","",SUMPRODUCT((CaseLedger!$E$2:$E$500=$A29)*--(((CaseLedger!$B$2:$B$500=TRUE)+(CaseLedger!$B$2:$B$500="TRUE"))&gt;0)*CaseLedger!$M$2:$M$500))</x:f>
        <x:v>0</x:v>
      </x:c>
      <x:c r="N29" s="55" t="n">
        <x:f>IF($A29="","",SUMPRODUCT((CaseLedger!$E$2:$E$500=$A29)*--(((CaseLedger!$B$2:$B$500=TRUE)+(CaseLedger!$B$2:$B$500="TRUE"))&gt;0)*(CaseLedger!$O$2:$O$500="Mixed")*CaseLedger!$N$2:$N$500))</x:f>
        <x:v>0</x:v>
      </x:c>
      <x:c r="O29" s="55" t="n">
        <x:f>IF($A29="","",SUMPRODUCT((CaseLedger!$E$2:$E$500=$A29)*--(((CaseLedger!$B$2:$B$500=TRUE)+(CaseLedger!$B$2:$B$500="TRUE"))&gt;0)*CaseLedger!$N$2:$N$500))</x:f>
        <x:v>0</x:v>
      </x:c>
      <x:c r="P29" s="55" t="str">
        <x:f>IFERROR(INDEX(MonthlyFinance!$D$2:$D$200,MATCH($B29,MonthlyFinance!$B$2:$B$200,0)),"")</x:f>
      </x:c>
      <x:c r="Q29" s="55" t="str">
        <x:f>IFERROR(INDEX(MonthlyFinance!$E$2:$E$200,MATCH($B29,MonthlyFinance!$B$2:$B$200,0)),"")</x:f>
      </x:c>
      <x:c r="R29" s="55" t="str">
        <x:f>IFERROR(INDEX(MonthlyFinance!$F$2:$F$200,MATCH($B29,MonthlyFinance!$B$2:$B$200,0)),"")</x:f>
      </x:c>
      <x:c r="S29" s="52" t="str">
        <x:f>IF($D29&gt;0,"Formula-linked from CaseLedger","")</x:f>
      </x:c>
      <x:c r="T29" s="52" t="str">
        <x:f>IF($D29&gt;0,"TRUE","FALSE")</x:f>
        <x:v>FALSE</x:v>
      </x:c>
    </x:row>
    <x:row r="30">
      <x:c r="A30" s="52" t="str">
        <x:f>TEXT(C30,"mmm yyyy")</x:f>
        <x:v>Dec 2026</x:v>
      </x:c>
      <x:c r="B30" s="52" t="n">
        <x:f>YEAR(C30)*100+MONTH(C30)</x:f>
        <x:v>202612</x:v>
      </x:c>
      <x:c r="C30" s="54" t="n">
        <x:f>EDATE(C29,1)</x:f>
        <x:v>46357</x:v>
      </x:c>
      <x:c r="D30" s="52" t="n">
        <x:f>IF($A30="","",SUMPRODUCT((CaseLedger!$E$2:$E$500=$A30)*--(((CaseLedger!$B$2:$B$500=TRUE)+(CaseLedger!$B$2:$B$500="TRUE"))&gt;0)))</x:f>
        <x:v>0</x:v>
      </x:c>
      <x:c r="E30" s="52" t="n">
        <x:f>IF($A30="","",SUMPRODUCT((CaseLedger!$E$2:$E$500=$A30)*--(((CaseLedger!$B$2:$B$500=TRUE)+(CaseLedger!$B$2:$B$500="TRUE"))&gt;0)*(CaseLedger!$O$2:$O$500="Zakat")))</x:f>
        <x:v>0</x:v>
      </x:c>
      <x:c r="F30" s="52" t="n">
        <x:f>IF($A30="","",SUMPRODUCT((CaseLedger!$E$2:$E$500=$A30)*--(((CaseLedger!$B$2:$B$500=TRUE)+(CaseLedger!$B$2:$B$500="TRUE"))&gt;0)*(CaseLedger!$O$2:$O$500="Sadaqah")))</x:f>
        <x:v>0</x:v>
      </x:c>
      <x:c r="G30" s="52" t="n">
        <x:f>IF($A30="","",SUMPRODUCT((CaseLedger!$E$2:$E$500=$A30)*--(((CaseLedger!$B$2:$B$500=TRUE)+(CaseLedger!$B$2:$B$500="TRUE"))&gt;0)*(CaseLedger!$O$2:$O$500="Mixed")))</x:f>
        <x:v>0</x:v>
      </x:c>
      <x:c r="H30" s="52" t="n">
        <x:f>IF($A30="","",SUMPRODUCT((CaseLedger!$E$2:$E$500=$A30)*--(((CaseLedger!$B$2:$B$500=TRUE)+(CaseLedger!$B$2:$B$500="TRUE"))&gt;0)*(CaseLedger!$J$2:$J$500="Livelihood")))</x:f>
        <x:v>0</x:v>
      </x:c>
      <x:c r="I30" s="52" t="n">
        <x:f>IF($A30="","",SUMPRODUCT((CaseLedger!$E$2:$E$500=$A30)*--(((CaseLedger!$B$2:$B$500=TRUE)+(CaseLedger!$B$2:$B$500="TRUE"))&gt;0)*--(((CaseLedger!$J$2:$J$500="Skill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0" s="52" t="n">
        <x:f>IF($A30="","",SUMPRODUCT((CaseLedger!$E$2:$E$500=$A30)*--(((CaseLedger!$B$2:$B$500=TRUE)+(CaseLedger!$B$2:$B$500="TRUE"))&gt;0)*(CaseLedger!$J$2:$J$500="Emergency Support")))</x:f>
        <x:v>0</x:v>
      </x:c>
      <x:c r="K30" s="52" t="n">
        <x:f>IF($A30="","",SUMPRODUCT((CaseLedger!$E$2:$E$500=$A30)*--(((CaseLedger!$B$2:$B$500=TRUE)+(CaseLedger!$B$2:$B$500="TRUE"))&gt;0)*(CaseLedger!$J$2:$J$500="Community Support")))</x:f>
        <x:v>0</x:v>
      </x:c>
      <x:c r="L30" s="55" t="n">
        <x:f>IF($A30="","",SUMPRODUCT((CaseLedger!$E$2:$E$500=$A30)*--(((CaseLedger!$B$2:$B$500=TRUE)+(CaseLedger!$B$2:$B$500="TRUE"))&gt;0)*CaseLedger!$L$2:$L$500))</x:f>
        <x:v>0</x:v>
      </x:c>
      <x:c r="M30" s="55" t="n">
        <x:f>IF($A30="","",SUMPRODUCT((CaseLedger!$E$2:$E$500=$A30)*--(((CaseLedger!$B$2:$B$500=TRUE)+(CaseLedger!$B$2:$B$500="TRUE"))&gt;0)*CaseLedger!$M$2:$M$500))</x:f>
        <x:v>0</x:v>
      </x:c>
      <x:c r="N30" s="55" t="n">
        <x:f>IF($A30="","",SUMPRODUCT((CaseLedger!$E$2:$E$500=$A30)*--(((CaseLedger!$B$2:$B$500=TRUE)+(CaseLedger!$B$2:$B$500="TRUE"))&gt;0)*(CaseLedger!$O$2:$O$500="Mixed")*CaseLedger!$N$2:$N$500))</x:f>
        <x:v>0</x:v>
      </x:c>
      <x:c r="O30" s="55" t="n">
        <x:f>IF($A30="","",SUMPRODUCT((CaseLedger!$E$2:$E$500=$A30)*--(((CaseLedger!$B$2:$B$500=TRUE)+(CaseLedger!$B$2:$B$500="TRUE"))&gt;0)*CaseLedger!$N$2:$N$500))</x:f>
        <x:v>0</x:v>
      </x:c>
      <x:c r="P30" s="55" t="str">
        <x:f>IFERROR(INDEX(MonthlyFinance!$D$2:$D$200,MATCH($B30,MonthlyFinance!$B$2:$B$200,0)),"")</x:f>
      </x:c>
      <x:c r="Q30" s="55" t="str">
        <x:f>IFERROR(INDEX(MonthlyFinance!$E$2:$E$200,MATCH($B30,MonthlyFinance!$B$2:$B$200,0)),"")</x:f>
      </x:c>
      <x:c r="R30" s="55" t="str">
        <x:f>IFERROR(INDEX(MonthlyFinance!$F$2:$F$200,MATCH($B30,MonthlyFinance!$B$2:$B$200,0)),"")</x:f>
      </x:c>
      <x:c r="S30" s="52" t="str">
        <x:f>IF($D30&gt;0,"Formula-linked from CaseLedger","")</x:f>
      </x:c>
      <x:c r="T30" s="52" t="str">
        <x:f>IF($D30&gt;0,"TRUE","FALSE")</x:f>
        <x:v>FALSE</x:v>
      </x:c>
    </x:row>
    <x:row r="31">
      <x:c r="A31" s="52" t="str">
        <x:f>TEXT(C31,"mmm yyyy")</x:f>
        <x:v>Jan 2027</x:v>
      </x:c>
      <x:c r="B31" s="52" t="n">
        <x:f>YEAR(C31)*100+MONTH(C31)</x:f>
        <x:v>202701</x:v>
      </x:c>
      <x:c r="C31" s="54" t="n">
        <x:f>EDATE(C30,1)</x:f>
        <x:v>46388</x:v>
      </x:c>
      <x:c r="D31" s="52" t="n">
        <x:f>IF($A31="","",SUMPRODUCT((CaseLedger!$E$2:$E$500=$A31)*--(((CaseLedger!$B$2:$B$500=TRUE)+(CaseLedger!$B$2:$B$500="TRUE"))&gt;0)))</x:f>
        <x:v>0</x:v>
      </x:c>
      <x:c r="E31" s="52" t="n">
        <x:f>IF($A31="","",SUMPRODUCT((CaseLedger!$E$2:$E$500=$A31)*--(((CaseLedger!$B$2:$B$500=TRUE)+(CaseLedger!$B$2:$B$500="TRUE"))&gt;0)*(CaseLedger!$O$2:$O$500="Zakat")))</x:f>
        <x:v>0</x:v>
      </x:c>
      <x:c r="F31" s="52" t="n">
        <x:f>IF($A31="","",SUMPRODUCT((CaseLedger!$E$2:$E$500=$A31)*--(((CaseLedger!$B$2:$B$500=TRUE)+(CaseLedger!$B$2:$B$500="TRUE"))&gt;0)*(CaseLedger!$O$2:$O$500="Sadaqah")))</x:f>
        <x:v>0</x:v>
      </x:c>
      <x:c r="G31" s="52" t="n">
        <x:f>IF($A31="","",SUMPRODUCT((CaseLedger!$E$2:$E$500=$A31)*--(((CaseLedger!$B$2:$B$500=TRUE)+(CaseLedger!$B$2:$B$500="TRUE"))&gt;0)*(CaseLedger!$O$2:$O$500="Mixed")))</x:f>
        <x:v>0</x:v>
      </x:c>
      <x:c r="H31" s="52" t="n">
        <x:f>IF($A31="","",SUMPRODUCT((CaseLedger!$E$2:$E$500=$A31)*--(((CaseLedger!$B$2:$B$500=TRUE)+(CaseLedger!$B$2:$B$500="TRUE"))&gt;0)*(CaseLedger!$J$2:$J$500="Livelihood")))</x:f>
        <x:v>0</x:v>
      </x:c>
      <x:c r="I31" s="52" t="n">
        <x:f>IF($A31="","",SUMPRODUCT((CaseLedger!$E$2:$E$500=$A31)*--(((CaseLedger!$B$2:$B$500=TRUE)+(CaseLedger!$B$2:$B$500="TRUE"))&gt;0)*--(((CaseLedger!$J$2:$J$500="Skill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1" s="52" t="n">
        <x:f>IF($A31="","",SUMPRODUCT((CaseLedger!$E$2:$E$500=$A31)*--(((CaseLedger!$B$2:$B$500=TRUE)+(CaseLedger!$B$2:$B$500="TRUE"))&gt;0)*(CaseLedger!$J$2:$J$500="Emergency Support")))</x:f>
        <x:v>0</x:v>
      </x:c>
      <x:c r="K31" s="52" t="n">
        <x:f>IF($A31="","",SUMPRODUCT((CaseLedger!$E$2:$E$500=$A31)*--(((CaseLedger!$B$2:$B$500=TRUE)+(CaseLedger!$B$2:$B$500="TRUE"))&gt;0)*(CaseLedger!$J$2:$J$500="Community Support")))</x:f>
        <x:v>0</x:v>
      </x:c>
      <x:c r="L31" s="55" t="n">
        <x:f>IF($A31="","",SUMPRODUCT((CaseLedger!$E$2:$E$500=$A31)*--(((CaseLedger!$B$2:$B$500=TRUE)+(CaseLedger!$B$2:$B$500="TRUE"))&gt;0)*CaseLedger!$L$2:$L$500))</x:f>
        <x:v>0</x:v>
      </x:c>
      <x:c r="M31" s="55" t="n">
        <x:f>IF($A31="","",SUMPRODUCT((CaseLedger!$E$2:$E$500=$A31)*--(((CaseLedger!$B$2:$B$500=TRUE)+(CaseLedger!$B$2:$B$500="TRUE"))&gt;0)*CaseLedger!$M$2:$M$500))</x:f>
        <x:v>0</x:v>
      </x:c>
      <x:c r="N31" s="55" t="n">
        <x:f>IF($A31="","",SUMPRODUCT((CaseLedger!$E$2:$E$500=$A31)*--(((CaseLedger!$B$2:$B$500=TRUE)+(CaseLedger!$B$2:$B$500="TRUE"))&gt;0)*(CaseLedger!$O$2:$O$500="Mixed")*CaseLedger!$N$2:$N$500))</x:f>
        <x:v>0</x:v>
      </x:c>
      <x:c r="O31" s="55" t="n">
        <x:f>IF($A31="","",SUMPRODUCT((CaseLedger!$E$2:$E$500=$A31)*--(((CaseLedger!$B$2:$B$500=TRUE)+(CaseLedger!$B$2:$B$500="TRUE"))&gt;0)*CaseLedger!$N$2:$N$500))</x:f>
        <x:v>0</x:v>
      </x:c>
      <x:c r="P31" s="55" t="str">
        <x:f>IFERROR(INDEX(MonthlyFinance!$D$2:$D$200,MATCH($B31,MonthlyFinance!$B$2:$B$200,0)),"")</x:f>
      </x:c>
      <x:c r="Q31" s="55" t="str">
        <x:f>IFERROR(INDEX(MonthlyFinance!$E$2:$E$200,MATCH($B31,MonthlyFinance!$B$2:$B$200,0)),"")</x:f>
      </x:c>
      <x:c r="R31" s="55" t="str">
        <x:f>IFERROR(INDEX(MonthlyFinance!$F$2:$F$200,MATCH($B31,MonthlyFinance!$B$2:$B$200,0)),"")</x:f>
      </x:c>
      <x:c r="S31" s="52" t="str">
        <x:f>IF($D31&gt;0,"Formula-linked from CaseLedger","")</x:f>
      </x:c>
      <x:c r="T31" s="52" t="str">
        <x:f>IF($D31&gt;0,"TRUE","FALSE")</x:f>
        <x:v>FALSE</x:v>
      </x:c>
    </x:row>
    <x:row r="32">
      <x:c r="A32" s="52" t="str">
        <x:f>TEXT(C32,"mmm yyyy")</x:f>
        <x:v>Feb 2027</x:v>
      </x:c>
      <x:c r="B32" s="52" t="n">
        <x:f>YEAR(C32)*100+MONTH(C32)</x:f>
        <x:v>202702</x:v>
      </x:c>
      <x:c r="C32" s="54" t="n">
        <x:f>EDATE(C31,1)</x:f>
        <x:v>46419</x:v>
      </x:c>
      <x:c r="D32" s="52" t="n">
        <x:f>IF($A32="","",SUMPRODUCT((CaseLedger!$E$2:$E$500=$A32)*--(((CaseLedger!$B$2:$B$500=TRUE)+(CaseLedger!$B$2:$B$500="TRUE"))&gt;0)))</x:f>
        <x:v>0</x:v>
      </x:c>
      <x:c r="E32" s="52" t="n">
        <x:f>IF($A32="","",SUMPRODUCT((CaseLedger!$E$2:$E$500=$A32)*--(((CaseLedger!$B$2:$B$500=TRUE)+(CaseLedger!$B$2:$B$500="TRUE"))&gt;0)*(CaseLedger!$O$2:$O$500="Zakat")))</x:f>
        <x:v>0</x:v>
      </x:c>
      <x:c r="F32" s="52" t="n">
        <x:f>IF($A32="","",SUMPRODUCT((CaseLedger!$E$2:$E$500=$A32)*--(((CaseLedger!$B$2:$B$500=TRUE)+(CaseLedger!$B$2:$B$500="TRUE"))&gt;0)*(CaseLedger!$O$2:$O$500="Sadaqah")))</x:f>
        <x:v>0</x:v>
      </x:c>
      <x:c r="G32" s="52" t="n">
        <x:f>IF($A32="","",SUMPRODUCT((CaseLedger!$E$2:$E$500=$A32)*--(((CaseLedger!$B$2:$B$500=TRUE)+(CaseLedger!$B$2:$B$500="TRUE"))&gt;0)*(CaseLedger!$O$2:$O$500="Mixed")))</x:f>
        <x:v>0</x:v>
      </x:c>
      <x:c r="H32" s="52" t="n">
        <x:f>IF($A32="","",SUMPRODUCT((CaseLedger!$E$2:$E$500=$A32)*--(((CaseLedger!$B$2:$B$500=TRUE)+(CaseLedger!$B$2:$B$500="TRUE"))&gt;0)*(CaseLedger!$J$2:$J$500="Livelihood")))</x:f>
        <x:v>0</x:v>
      </x:c>
      <x:c r="I32" s="52" t="n">
        <x:f>IF($A32="","",SUMPRODUCT((CaseLedger!$E$2:$E$500=$A32)*--(((CaseLedger!$B$2:$B$500=TRUE)+(CaseLedger!$B$2:$B$500="TRUE"))&gt;0)*--(((CaseLedger!$J$2:$J$500="Skill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2" s="52" t="n">
        <x:f>IF($A32="","",SUMPRODUCT((CaseLedger!$E$2:$E$500=$A32)*--(((CaseLedger!$B$2:$B$500=TRUE)+(CaseLedger!$B$2:$B$500="TRUE"))&gt;0)*(CaseLedger!$J$2:$J$500="Emergency Support")))</x:f>
        <x:v>0</x:v>
      </x:c>
      <x:c r="K32" s="52" t="n">
        <x:f>IF($A32="","",SUMPRODUCT((CaseLedger!$E$2:$E$500=$A32)*--(((CaseLedger!$B$2:$B$500=TRUE)+(CaseLedger!$B$2:$B$500="TRUE"))&gt;0)*(CaseLedger!$J$2:$J$500="Community Support")))</x:f>
        <x:v>0</x:v>
      </x:c>
      <x:c r="L32" s="55" t="n">
        <x:f>IF($A32="","",SUMPRODUCT((CaseLedger!$E$2:$E$500=$A32)*--(((CaseLedger!$B$2:$B$500=TRUE)+(CaseLedger!$B$2:$B$500="TRUE"))&gt;0)*CaseLedger!$L$2:$L$500))</x:f>
        <x:v>0</x:v>
      </x:c>
      <x:c r="M32" s="55" t="n">
        <x:f>IF($A32="","",SUMPRODUCT((CaseLedger!$E$2:$E$500=$A32)*--(((CaseLedger!$B$2:$B$500=TRUE)+(CaseLedger!$B$2:$B$500="TRUE"))&gt;0)*CaseLedger!$M$2:$M$500))</x:f>
        <x:v>0</x:v>
      </x:c>
      <x:c r="N32" s="55" t="n">
        <x:f>IF($A32="","",SUMPRODUCT((CaseLedger!$E$2:$E$500=$A32)*--(((CaseLedger!$B$2:$B$500=TRUE)+(CaseLedger!$B$2:$B$500="TRUE"))&gt;0)*(CaseLedger!$O$2:$O$500="Mixed")*CaseLedger!$N$2:$N$500))</x:f>
        <x:v>0</x:v>
      </x:c>
      <x:c r="O32" s="55" t="n">
        <x:f>IF($A32="","",SUMPRODUCT((CaseLedger!$E$2:$E$500=$A32)*--(((CaseLedger!$B$2:$B$500=TRUE)+(CaseLedger!$B$2:$B$500="TRUE"))&gt;0)*CaseLedger!$N$2:$N$500))</x:f>
        <x:v>0</x:v>
      </x:c>
      <x:c r="P32" s="55" t="str">
        <x:f>IFERROR(INDEX(MonthlyFinance!$D$2:$D$200,MATCH($B32,MonthlyFinance!$B$2:$B$200,0)),"")</x:f>
      </x:c>
      <x:c r="Q32" s="55" t="str">
        <x:f>IFERROR(INDEX(MonthlyFinance!$E$2:$E$200,MATCH($B32,MonthlyFinance!$B$2:$B$200,0)),"")</x:f>
      </x:c>
      <x:c r="R32" s="55" t="str">
        <x:f>IFERROR(INDEX(MonthlyFinance!$F$2:$F$200,MATCH($B32,MonthlyFinance!$B$2:$B$200,0)),"")</x:f>
      </x:c>
      <x:c r="S32" s="52" t="str">
        <x:f>IF($D32&gt;0,"Formula-linked from CaseLedger","")</x:f>
      </x:c>
      <x:c r="T32" s="52" t="str">
        <x:f>IF($D32&gt;0,"TRUE","FALSE")</x:f>
        <x:v>FALSE</x:v>
      </x:c>
    </x:row>
    <x:row r="33">
      <x:c r="A33" s="52" t="str">
        <x:f>TEXT(C33,"mmm yyyy")</x:f>
        <x:v>Mar 2027</x:v>
      </x:c>
      <x:c r="B33" s="52" t="n">
        <x:f>YEAR(C33)*100+MONTH(C33)</x:f>
        <x:v>202703</x:v>
      </x:c>
      <x:c r="C33" s="54" t="n">
        <x:f>EDATE(C32,1)</x:f>
        <x:v>46447</x:v>
      </x:c>
      <x:c r="D33" s="52" t="n">
        <x:f>IF($A33="","",SUMPRODUCT((CaseLedger!$E$2:$E$500=$A33)*--(((CaseLedger!$B$2:$B$500=TRUE)+(CaseLedger!$B$2:$B$500="TRUE"))&gt;0)))</x:f>
        <x:v>0</x:v>
      </x:c>
      <x:c r="E33" s="52" t="n">
        <x:f>IF($A33="","",SUMPRODUCT((CaseLedger!$E$2:$E$500=$A33)*--(((CaseLedger!$B$2:$B$500=TRUE)+(CaseLedger!$B$2:$B$500="TRUE"))&gt;0)*(CaseLedger!$O$2:$O$500="Zakat")))</x:f>
        <x:v>0</x:v>
      </x:c>
      <x:c r="F33" s="52" t="n">
        <x:f>IF($A33="","",SUMPRODUCT((CaseLedger!$E$2:$E$500=$A33)*--(((CaseLedger!$B$2:$B$500=TRUE)+(CaseLedger!$B$2:$B$500="TRUE"))&gt;0)*(CaseLedger!$O$2:$O$500="Sadaqah")))</x:f>
        <x:v>0</x:v>
      </x:c>
      <x:c r="G33" s="52" t="n">
        <x:f>IF($A33="","",SUMPRODUCT((CaseLedger!$E$2:$E$500=$A33)*--(((CaseLedger!$B$2:$B$500=TRUE)+(CaseLedger!$B$2:$B$500="TRUE"))&gt;0)*(CaseLedger!$O$2:$O$500="Mixed")))</x:f>
        <x:v>0</x:v>
      </x:c>
      <x:c r="H33" s="52" t="n">
        <x:f>IF($A33="","",SUMPRODUCT((CaseLedger!$E$2:$E$500=$A33)*--(((CaseLedger!$B$2:$B$500=TRUE)+(CaseLedger!$B$2:$B$500="TRUE"))&gt;0)*(CaseLedger!$J$2:$J$500="Livelihood")))</x:f>
        <x:v>0</x:v>
      </x:c>
      <x:c r="I33" s="52" t="n">
        <x:f>IF($A33="","",SUMPRODUCT((CaseLedger!$E$2:$E$500=$A33)*--(((CaseLedger!$B$2:$B$500=TRUE)+(CaseLedger!$B$2:$B$500="TRUE"))&gt;0)*--(((CaseLedger!$J$2:$J$500="Skill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3" s="52" t="n">
        <x:f>IF($A33="","",SUMPRODUCT((CaseLedger!$E$2:$E$500=$A33)*--(((CaseLedger!$B$2:$B$500=TRUE)+(CaseLedger!$B$2:$B$500="TRUE"))&gt;0)*(CaseLedger!$J$2:$J$500="Emergency Support")))</x:f>
        <x:v>0</x:v>
      </x:c>
      <x:c r="K33" s="52" t="n">
        <x:f>IF($A33="","",SUMPRODUCT((CaseLedger!$E$2:$E$500=$A33)*--(((CaseLedger!$B$2:$B$500=TRUE)+(CaseLedger!$B$2:$B$500="TRUE"))&gt;0)*(CaseLedger!$J$2:$J$500="Community Support")))</x:f>
        <x:v>0</x:v>
      </x:c>
      <x:c r="L33" s="55" t="n">
        <x:f>IF($A33="","",SUMPRODUCT((CaseLedger!$E$2:$E$500=$A33)*--(((CaseLedger!$B$2:$B$500=TRUE)+(CaseLedger!$B$2:$B$500="TRUE"))&gt;0)*CaseLedger!$L$2:$L$500))</x:f>
        <x:v>0</x:v>
      </x:c>
      <x:c r="M33" s="55" t="n">
        <x:f>IF($A33="","",SUMPRODUCT((CaseLedger!$E$2:$E$500=$A33)*--(((CaseLedger!$B$2:$B$500=TRUE)+(CaseLedger!$B$2:$B$500="TRUE"))&gt;0)*CaseLedger!$M$2:$M$500))</x:f>
        <x:v>0</x:v>
      </x:c>
      <x:c r="N33" s="55" t="n">
        <x:f>IF($A33="","",SUMPRODUCT((CaseLedger!$E$2:$E$500=$A33)*--(((CaseLedger!$B$2:$B$500=TRUE)+(CaseLedger!$B$2:$B$500="TRUE"))&gt;0)*(CaseLedger!$O$2:$O$500="Mixed")*CaseLedger!$N$2:$N$500))</x:f>
        <x:v>0</x:v>
      </x:c>
      <x:c r="O33" s="55" t="n">
        <x:f>IF($A33="","",SUMPRODUCT((CaseLedger!$E$2:$E$500=$A33)*--(((CaseLedger!$B$2:$B$500=TRUE)+(CaseLedger!$B$2:$B$500="TRUE"))&gt;0)*CaseLedger!$N$2:$N$500))</x:f>
        <x:v>0</x:v>
      </x:c>
      <x:c r="P33" s="55" t="str">
        <x:f>IFERROR(INDEX(MonthlyFinance!$D$2:$D$200,MATCH($B33,MonthlyFinance!$B$2:$B$200,0)),"")</x:f>
      </x:c>
      <x:c r="Q33" s="55" t="str">
        <x:f>IFERROR(INDEX(MonthlyFinance!$E$2:$E$200,MATCH($B33,MonthlyFinance!$B$2:$B$200,0)),"")</x:f>
      </x:c>
      <x:c r="R33" s="55" t="str">
        <x:f>IFERROR(INDEX(MonthlyFinance!$F$2:$F$200,MATCH($B33,MonthlyFinance!$B$2:$B$200,0)),"")</x:f>
      </x:c>
      <x:c r="S33" s="52" t="str">
        <x:f>IF($D33&gt;0,"Formula-linked from CaseLedger","")</x:f>
      </x:c>
      <x:c r="T33" s="52" t="str">
        <x:f>IF($D33&gt;0,"TRUE","FALSE")</x:f>
        <x:v>FALSE</x:v>
      </x:c>
    </x:row>
    <x:row r="34">
      <x:c r="A34" s="52" t="str">
        <x:f>TEXT(C34,"mmm yyyy")</x:f>
        <x:v>Apr 2027</x:v>
      </x:c>
      <x:c r="B34" s="52" t="n">
        <x:f>YEAR(C34)*100+MONTH(C34)</x:f>
        <x:v>202704</x:v>
      </x:c>
      <x:c r="C34" s="54" t="n">
        <x:f>EDATE(C33,1)</x:f>
        <x:v>46478</x:v>
      </x:c>
      <x:c r="D34" s="52" t="n">
        <x:f>IF($A34="","",SUMPRODUCT((CaseLedger!$E$2:$E$500=$A34)*--(((CaseLedger!$B$2:$B$500=TRUE)+(CaseLedger!$B$2:$B$500="TRUE"))&gt;0)))</x:f>
        <x:v>0</x:v>
      </x:c>
      <x:c r="E34" s="52" t="n">
        <x:f>IF($A34="","",SUMPRODUCT((CaseLedger!$E$2:$E$500=$A34)*--(((CaseLedger!$B$2:$B$500=TRUE)+(CaseLedger!$B$2:$B$500="TRUE"))&gt;0)*(CaseLedger!$O$2:$O$500="Zakat")))</x:f>
        <x:v>0</x:v>
      </x:c>
      <x:c r="F34" s="52" t="n">
        <x:f>IF($A34="","",SUMPRODUCT((CaseLedger!$E$2:$E$500=$A34)*--(((CaseLedger!$B$2:$B$500=TRUE)+(CaseLedger!$B$2:$B$500="TRUE"))&gt;0)*(CaseLedger!$O$2:$O$500="Sadaqah")))</x:f>
        <x:v>0</x:v>
      </x:c>
      <x:c r="G34" s="52" t="n">
        <x:f>IF($A34="","",SUMPRODUCT((CaseLedger!$E$2:$E$500=$A34)*--(((CaseLedger!$B$2:$B$500=TRUE)+(CaseLedger!$B$2:$B$500="TRUE"))&gt;0)*(CaseLedger!$O$2:$O$500="Mixed")))</x:f>
        <x:v>0</x:v>
      </x:c>
      <x:c r="H34" s="52" t="n">
        <x:f>IF($A34="","",SUMPRODUCT((CaseLedger!$E$2:$E$500=$A34)*--(((CaseLedger!$B$2:$B$500=TRUE)+(CaseLedger!$B$2:$B$500="TRUE"))&gt;0)*(CaseLedger!$J$2:$J$500="Livelihood")))</x:f>
        <x:v>0</x:v>
      </x:c>
      <x:c r="I34" s="52" t="n">
        <x:f>IF($A34="","",SUMPRODUCT((CaseLedger!$E$2:$E$500=$A34)*--(((CaseLedger!$B$2:$B$500=TRUE)+(CaseLedger!$B$2:$B$500="TRUE"))&gt;0)*--(((CaseLedger!$J$2:$J$500="Skill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4" s="52" t="n">
        <x:f>IF($A34="","",SUMPRODUCT((CaseLedger!$E$2:$E$500=$A34)*--(((CaseLedger!$B$2:$B$500=TRUE)+(CaseLedger!$B$2:$B$500="TRUE"))&gt;0)*(CaseLedger!$J$2:$J$500="Emergency Support")))</x:f>
        <x:v>0</x:v>
      </x:c>
      <x:c r="K34" s="52" t="n">
        <x:f>IF($A34="","",SUMPRODUCT((CaseLedger!$E$2:$E$500=$A34)*--(((CaseLedger!$B$2:$B$500=TRUE)+(CaseLedger!$B$2:$B$500="TRUE"))&gt;0)*(CaseLedger!$J$2:$J$500="Community Support")))</x:f>
        <x:v>0</x:v>
      </x:c>
      <x:c r="L34" s="55" t="n">
        <x:f>IF($A34="","",SUMPRODUCT((CaseLedger!$E$2:$E$500=$A34)*--(((CaseLedger!$B$2:$B$500=TRUE)+(CaseLedger!$B$2:$B$500="TRUE"))&gt;0)*CaseLedger!$L$2:$L$500))</x:f>
        <x:v>0</x:v>
      </x:c>
      <x:c r="M34" s="55" t="n">
        <x:f>IF($A34="","",SUMPRODUCT((CaseLedger!$E$2:$E$500=$A34)*--(((CaseLedger!$B$2:$B$500=TRUE)+(CaseLedger!$B$2:$B$500="TRUE"))&gt;0)*CaseLedger!$M$2:$M$500))</x:f>
        <x:v>0</x:v>
      </x:c>
      <x:c r="N34" s="55" t="n">
        <x:f>IF($A34="","",SUMPRODUCT((CaseLedger!$E$2:$E$500=$A34)*--(((CaseLedger!$B$2:$B$500=TRUE)+(CaseLedger!$B$2:$B$500="TRUE"))&gt;0)*(CaseLedger!$O$2:$O$500="Mixed")*CaseLedger!$N$2:$N$500))</x:f>
        <x:v>0</x:v>
      </x:c>
      <x:c r="O34" s="55" t="n">
        <x:f>IF($A34="","",SUMPRODUCT((CaseLedger!$E$2:$E$500=$A34)*--(((CaseLedger!$B$2:$B$500=TRUE)+(CaseLedger!$B$2:$B$500="TRUE"))&gt;0)*CaseLedger!$N$2:$N$500))</x:f>
        <x:v>0</x:v>
      </x:c>
      <x:c r="P34" s="55" t="str">
        <x:f>IFERROR(INDEX(MonthlyFinance!$D$2:$D$200,MATCH($B34,MonthlyFinance!$B$2:$B$200,0)),"")</x:f>
      </x:c>
      <x:c r="Q34" s="55" t="str">
        <x:f>IFERROR(INDEX(MonthlyFinance!$E$2:$E$200,MATCH($B34,MonthlyFinance!$B$2:$B$200,0)),"")</x:f>
      </x:c>
      <x:c r="R34" s="55" t="str">
        <x:f>IFERROR(INDEX(MonthlyFinance!$F$2:$F$200,MATCH($B34,MonthlyFinance!$B$2:$B$200,0)),"")</x:f>
      </x:c>
      <x:c r="S34" s="52" t="str">
        <x:f>IF($D34&gt;0,"Formula-linked from CaseLedger","")</x:f>
      </x:c>
      <x:c r="T34" s="52" t="str">
        <x:f>IF($D34&gt;0,"TRUE","FALSE")</x:f>
        <x:v>FALSE</x:v>
      </x:c>
    </x:row>
    <x:row r="35">
      <x:c r="A35" s="52" t="str">
        <x:f>TEXT(C35,"mmm yyyy")</x:f>
        <x:v>May 2027</x:v>
      </x:c>
      <x:c r="B35" s="52" t="n">
        <x:f>YEAR(C35)*100+MONTH(C35)</x:f>
        <x:v>202705</x:v>
      </x:c>
      <x:c r="C35" s="54" t="n">
        <x:f>EDATE(C34,1)</x:f>
        <x:v>46508</x:v>
      </x:c>
      <x:c r="D35" s="52" t="n">
        <x:f>IF($A35="","",SUMPRODUCT((CaseLedger!$E$2:$E$500=$A35)*--(((CaseLedger!$B$2:$B$500=TRUE)+(CaseLedger!$B$2:$B$500="TRUE"))&gt;0)))</x:f>
        <x:v>0</x:v>
      </x:c>
      <x:c r="E35" s="52" t="n">
        <x:f>IF($A35="","",SUMPRODUCT((CaseLedger!$E$2:$E$500=$A35)*--(((CaseLedger!$B$2:$B$500=TRUE)+(CaseLedger!$B$2:$B$500="TRUE"))&gt;0)*(CaseLedger!$O$2:$O$500="Zakat")))</x:f>
        <x:v>0</x:v>
      </x:c>
      <x:c r="F35" s="52" t="n">
        <x:f>IF($A35="","",SUMPRODUCT((CaseLedger!$E$2:$E$500=$A35)*--(((CaseLedger!$B$2:$B$500=TRUE)+(CaseLedger!$B$2:$B$500="TRUE"))&gt;0)*(CaseLedger!$O$2:$O$500="Sadaqah")))</x:f>
        <x:v>0</x:v>
      </x:c>
      <x:c r="G35" s="52" t="n">
        <x:f>IF($A35="","",SUMPRODUCT((CaseLedger!$E$2:$E$500=$A35)*--(((CaseLedger!$B$2:$B$500=TRUE)+(CaseLedger!$B$2:$B$500="TRUE"))&gt;0)*(CaseLedger!$O$2:$O$500="Mixed")))</x:f>
        <x:v>0</x:v>
      </x:c>
      <x:c r="H35" s="52" t="n">
        <x:f>IF($A35="","",SUMPRODUCT((CaseLedger!$E$2:$E$500=$A35)*--(((CaseLedger!$B$2:$B$500=TRUE)+(CaseLedger!$B$2:$B$500="TRUE"))&gt;0)*(CaseLedger!$J$2:$J$500="Livelihood")))</x:f>
        <x:v>0</x:v>
      </x:c>
      <x:c r="I35" s="52" t="n">
        <x:f>IF($A35="","",SUMPRODUCT((CaseLedger!$E$2:$E$500=$A35)*--(((CaseLedger!$B$2:$B$500=TRUE)+(CaseLedger!$B$2:$B$500="TRUE"))&gt;0)*--(((CaseLedger!$J$2:$J$500="Skill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5" s="52" t="n">
        <x:f>IF($A35="","",SUMPRODUCT((CaseLedger!$E$2:$E$500=$A35)*--(((CaseLedger!$B$2:$B$500=TRUE)+(CaseLedger!$B$2:$B$500="TRUE"))&gt;0)*(CaseLedger!$J$2:$J$500="Emergency Support")))</x:f>
        <x:v>0</x:v>
      </x:c>
      <x:c r="K35" s="52" t="n">
        <x:f>IF($A35="","",SUMPRODUCT((CaseLedger!$E$2:$E$500=$A35)*--(((CaseLedger!$B$2:$B$500=TRUE)+(CaseLedger!$B$2:$B$500="TRUE"))&gt;0)*(CaseLedger!$J$2:$J$500="Community Support")))</x:f>
        <x:v>0</x:v>
      </x:c>
      <x:c r="L35" s="55" t="n">
        <x:f>IF($A35="","",SUMPRODUCT((CaseLedger!$E$2:$E$500=$A35)*--(((CaseLedger!$B$2:$B$500=TRUE)+(CaseLedger!$B$2:$B$500="TRUE"))&gt;0)*CaseLedger!$L$2:$L$500))</x:f>
        <x:v>0</x:v>
      </x:c>
      <x:c r="M35" s="55" t="n">
        <x:f>IF($A35="","",SUMPRODUCT((CaseLedger!$E$2:$E$500=$A35)*--(((CaseLedger!$B$2:$B$500=TRUE)+(CaseLedger!$B$2:$B$500="TRUE"))&gt;0)*CaseLedger!$M$2:$M$500))</x:f>
        <x:v>0</x:v>
      </x:c>
      <x:c r="N35" s="55" t="n">
        <x:f>IF($A35="","",SUMPRODUCT((CaseLedger!$E$2:$E$500=$A35)*--(((CaseLedger!$B$2:$B$500=TRUE)+(CaseLedger!$B$2:$B$500="TRUE"))&gt;0)*(CaseLedger!$O$2:$O$500="Mixed")*CaseLedger!$N$2:$N$500))</x:f>
        <x:v>0</x:v>
      </x:c>
      <x:c r="O35" s="55" t="n">
        <x:f>IF($A35="","",SUMPRODUCT((CaseLedger!$E$2:$E$500=$A35)*--(((CaseLedger!$B$2:$B$500=TRUE)+(CaseLedger!$B$2:$B$500="TRUE"))&gt;0)*CaseLedger!$N$2:$N$500))</x:f>
        <x:v>0</x:v>
      </x:c>
      <x:c r="P35" s="55" t="str">
        <x:f>IFERROR(INDEX(MonthlyFinance!$D$2:$D$200,MATCH($B35,MonthlyFinance!$B$2:$B$200,0)),"")</x:f>
      </x:c>
      <x:c r="Q35" s="55" t="str">
        <x:f>IFERROR(INDEX(MonthlyFinance!$E$2:$E$200,MATCH($B35,MonthlyFinance!$B$2:$B$200,0)),"")</x:f>
      </x:c>
      <x:c r="R35" s="55" t="str">
        <x:f>IFERROR(INDEX(MonthlyFinance!$F$2:$F$200,MATCH($B35,MonthlyFinance!$B$2:$B$200,0)),"")</x:f>
      </x:c>
      <x:c r="S35" s="52" t="str">
        <x:f>IF($D35&gt;0,"Formula-linked from CaseLedger","")</x:f>
      </x:c>
      <x:c r="T35" s="52" t="str">
        <x:f>IF($D35&gt;0,"TRUE","FALSE")</x:f>
        <x:v>FALSE</x:v>
      </x:c>
    </x:row>
    <x:row r="36">
      <x:c r="A36" s="52" t="str">
        <x:f>TEXT(C36,"mmm yyyy")</x:f>
        <x:v>Jun 2027</x:v>
      </x:c>
      <x:c r="B36" s="52" t="n">
        <x:f>YEAR(C36)*100+MONTH(C36)</x:f>
        <x:v>202706</x:v>
      </x:c>
      <x:c r="C36" s="54" t="n">
        <x:f>EDATE(C35,1)</x:f>
        <x:v>46539</x:v>
      </x:c>
      <x:c r="D36" s="52" t="n">
        <x:f>IF($A36="","",SUMPRODUCT((CaseLedger!$E$2:$E$500=$A36)*--(((CaseLedger!$B$2:$B$500=TRUE)+(CaseLedger!$B$2:$B$500="TRUE"))&gt;0)))</x:f>
        <x:v>0</x:v>
      </x:c>
      <x:c r="E36" s="52" t="n">
        <x:f>IF($A36="","",SUMPRODUCT((CaseLedger!$E$2:$E$500=$A36)*--(((CaseLedger!$B$2:$B$500=TRUE)+(CaseLedger!$B$2:$B$500="TRUE"))&gt;0)*(CaseLedger!$O$2:$O$500="Zakat")))</x:f>
        <x:v>0</x:v>
      </x:c>
      <x:c r="F36" s="52" t="n">
        <x:f>IF($A36="","",SUMPRODUCT((CaseLedger!$E$2:$E$500=$A36)*--(((CaseLedger!$B$2:$B$500=TRUE)+(CaseLedger!$B$2:$B$500="TRUE"))&gt;0)*(CaseLedger!$O$2:$O$500="Sadaqah")))</x:f>
        <x:v>0</x:v>
      </x:c>
      <x:c r="G36" s="52" t="n">
        <x:f>IF($A36="","",SUMPRODUCT((CaseLedger!$E$2:$E$500=$A36)*--(((CaseLedger!$B$2:$B$500=TRUE)+(CaseLedger!$B$2:$B$500="TRUE"))&gt;0)*(CaseLedger!$O$2:$O$500="Mixed")))</x:f>
        <x:v>0</x:v>
      </x:c>
      <x:c r="H36" s="52" t="n">
        <x:f>IF($A36="","",SUMPRODUCT((CaseLedger!$E$2:$E$500=$A36)*--(((CaseLedger!$B$2:$B$500=TRUE)+(CaseLedger!$B$2:$B$500="TRUE"))&gt;0)*(CaseLedger!$J$2:$J$500="Livelihood")))</x:f>
        <x:v>0</x:v>
      </x:c>
      <x:c r="I36" s="52" t="n">
        <x:f>IF($A36="","",SUMPRODUCT((CaseLedger!$E$2:$E$500=$A36)*--(((CaseLedger!$B$2:$B$500=TRUE)+(CaseLedger!$B$2:$B$500="TRUE"))&gt;0)*--(((CaseLedger!$J$2:$J$500="Skill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6" s="52" t="n">
        <x:f>IF($A36="","",SUMPRODUCT((CaseLedger!$E$2:$E$500=$A36)*--(((CaseLedger!$B$2:$B$500=TRUE)+(CaseLedger!$B$2:$B$500="TRUE"))&gt;0)*(CaseLedger!$J$2:$J$500="Emergency Support")))</x:f>
        <x:v>0</x:v>
      </x:c>
      <x:c r="K36" s="52" t="n">
        <x:f>IF($A36="","",SUMPRODUCT((CaseLedger!$E$2:$E$500=$A36)*--(((CaseLedger!$B$2:$B$500=TRUE)+(CaseLedger!$B$2:$B$500="TRUE"))&gt;0)*(CaseLedger!$J$2:$J$500="Community Support")))</x:f>
        <x:v>0</x:v>
      </x:c>
      <x:c r="L36" s="55" t="n">
        <x:f>IF($A36="","",SUMPRODUCT((CaseLedger!$E$2:$E$500=$A36)*--(((CaseLedger!$B$2:$B$500=TRUE)+(CaseLedger!$B$2:$B$500="TRUE"))&gt;0)*CaseLedger!$L$2:$L$500))</x:f>
        <x:v>0</x:v>
      </x:c>
      <x:c r="M36" s="55" t="n">
        <x:f>IF($A36="","",SUMPRODUCT((CaseLedger!$E$2:$E$500=$A36)*--(((CaseLedger!$B$2:$B$500=TRUE)+(CaseLedger!$B$2:$B$500="TRUE"))&gt;0)*CaseLedger!$M$2:$M$500))</x:f>
        <x:v>0</x:v>
      </x:c>
      <x:c r="N36" s="55" t="n">
        <x:f>IF($A36="","",SUMPRODUCT((CaseLedger!$E$2:$E$500=$A36)*--(((CaseLedger!$B$2:$B$500=TRUE)+(CaseLedger!$B$2:$B$500="TRUE"))&gt;0)*(CaseLedger!$O$2:$O$500="Mixed")*CaseLedger!$N$2:$N$500))</x:f>
        <x:v>0</x:v>
      </x:c>
      <x:c r="O36" s="55" t="n">
        <x:f>IF($A36="","",SUMPRODUCT((CaseLedger!$E$2:$E$500=$A36)*--(((CaseLedger!$B$2:$B$500=TRUE)+(CaseLedger!$B$2:$B$500="TRUE"))&gt;0)*CaseLedger!$N$2:$N$500))</x:f>
        <x:v>0</x:v>
      </x:c>
      <x:c r="P36" s="55" t="str">
        <x:f>IFERROR(INDEX(MonthlyFinance!$D$2:$D$200,MATCH($B36,MonthlyFinance!$B$2:$B$200,0)),"")</x:f>
      </x:c>
      <x:c r="Q36" s="55" t="str">
        <x:f>IFERROR(INDEX(MonthlyFinance!$E$2:$E$200,MATCH($B36,MonthlyFinance!$B$2:$B$200,0)),"")</x:f>
      </x:c>
      <x:c r="R36" s="55" t="str">
        <x:f>IFERROR(INDEX(MonthlyFinance!$F$2:$F$200,MATCH($B36,MonthlyFinance!$B$2:$B$200,0)),"")</x:f>
      </x:c>
      <x:c r="S36" s="52" t="str">
        <x:f>IF($D36&gt;0,"Formula-linked from CaseLedger","")</x:f>
      </x:c>
      <x:c r="T36" s="52" t="str">
        <x:f>IF($D36&gt;0,"TRUE","FALSE")</x:f>
        <x:v>FALSE</x:v>
      </x:c>
    </x:row>
    <x:row r="37">
      <x:c r="A37" s="52" t="str">
        <x:f>TEXT(C37,"mmm yyyy")</x:f>
        <x:v>Jul 2027</x:v>
      </x:c>
      <x:c r="B37" s="52" t="n">
        <x:f>YEAR(C37)*100+MONTH(C37)</x:f>
        <x:v>202707</x:v>
      </x:c>
      <x:c r="C37" s="54" t="n">
        <x:f>EDATE(C36,1)</x:f>
        <x:v>46569</x:v>
      </x:c>
      <x:c r="D37" s="52" t="n">
        <x:f>IF($A37="","",SUMPRODUCT((CaseLedger!$E$2:$E$500=$A37)*--(((CaseLedger!$B$2:$B$500=TRUE)+(CaseLedger!$B$2:$B$500="TRUE"))&gt;0)))</x:f>
        <x:v>0</x:v>
      </x:c>
      <x:c r="E37" s="52" t="n">
        <x:f>IF($A37="","",SUMPRODUCT((CaseLedger!$E$2:$E$500=$A37)*--(((CaseLedger!$B$2:$B$500=TRUE)+(CaseLedger!$B$2:$B$500="TRUE"))&gt;0)*(CaseLedger!$O$2:$O$500="Zakat")))</x:f>
        <x:v>0</x:v>
      </x:c>
      <x:c r="F37" s="52" t="n">
        <x:f>IF($A37="","",SUMPRODUCT((CaseLedger!$E$2:$E$500=$A37)*--(((CaseLedger!$B$2:$B$500=TRUE)+(CaseLedger!$B$2:$B$500="TRUE"))&gt;0)*(CaseLedger!$O$2:$O$500="Sadaqah")))</x:f>
        <x:v>0</x:v>
      </x:c>
      <x:c r="G37" s="52" t="n">
        <x:f>IF($A37="","",SUMPRODUCT((CaseLedger!$E$2:$E$500=$A37)*--(((CaseLedger!$B$2:$B$500=TRUE)+(CaseLedger!$B$2:$B$500="TRUE"))&gt;0)*(CaseLedger!$O$2:$O$500="Mixed")))</x:f>
        <x:v>0</x:v>
      </x:c>
      <x:c r="H37" s="52" t="n">
        <x:f>IF($A37="","",SUMPRODUCT((CaseLedger!$E$2:$E$500=$A37)*--(((CaseLedger!$B$2:$B$500=TRUE)+(CaseLedger!$B$2:$B$500="TRUE"))&gt;0)*(CaseLedger!$J$2:$J$500="Livelihood")))</x:f>
        <x:v>0</x:v>
      </x:c>
      <x:c r="I37" s="52" t="n">
        <x:f>IF($A37="","",SUMPRODUCT((CaseLedger!$E$2:$E$500=$A37)*--(((CaseLedger!$B$2:$B$500=TRUE)+(CaseLedger!$B$2:$B$500="TRUE"))&gt;0)*--(((CaseLedger!$J$2:$J$500="Skill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7" s="52" t="n">
        <x:f>IF($A37="","",SUMPRODUCT((CaseLedger!$E$2:$E$500=$A37)*--(((CaseLedger!$B$2:$B$500=TRUE)+(CaseLedger!$B$2:$B$500="TRUE"))&gt;0)*(CaseLedger!$J$2:$J$500="Emergency Support")))</x:f>
        <x:v>0</x:v>
      </x:c>
      <x:c r="K37" s="52" t="n">
        <x:f>IF($A37="","",SUMPRODUCT((CaseLedger!$E$2:$E$500=$A37)*--(((CaseLedger!$B$2:$B$500=TRUE)+(CaseLedger!$B$2:$B$500="TRUE"))&gt;0)*(CaseLedger!$J$2:$J$500="Community Support")))</x:f>
        <x:v>0</x:v>
      </x:c>
      <x:c r="L37" s="55" t="n">
        <x:f>IF($A37="","",SUMPRODUCT((CaseLedger!$E$2:$E$500=$A37)*--(((CaseLedger!$B$2:$B$500=TRUE)+(CaseLedger!$B$2:$B$500="TRUE"))&gt;0)*CaseLedger!$L$2:$L$500))</x:f>
        <x:v>0</x:v>
      </x:c>
      <x:c r="M37" s="55" t="n">
        <x:f>IF($A37="","",SUMPRODUCT((CaseLedger!$E$2:$E$500=$A37)*--(((CaseLedger!$B$2:$B$500=TRUE)+(CaseLedger!$B$2:$B$500="TRUE"))&gt;0)*CaseLedger!$M$2:$M$500))</x:f>
        <x:v>0</x:v>
      </x:c>
      <x:c r="N37" s="55" t="n">
        <x:f>IF($A37="","",SUMPRODUCT((CaseLedger!$E$2:$E$500=$A37)*--(((CaseLedger!$B$2:$B$500=TRUE)+(CaseLedger!$B$2:$B$500="TRUE"))&gt;0)*(CaseLedger!$O$2:$O$500="Mixed")*CaseLedger!$N$2:$N$500))</x:f>
        <x:v>0</x:v>
      </x:c>
      <x:c r="O37" s="55" t="n">
        <x:f>IF($A37="","",SUMPRODUCT((CaseLedger!$E$2:$E$500=$A37)*--(((CaseLedger!$B$2:$B$500=TRUE)+(CaseLedger!$B$2:$B$500="TRUE"))&gt;0)*CaseLedger!$N$2:$N$500))</x:f>
        <x:v>0</x:v>
      </x:c>
      <x:c r="P37" s="55" t="str">
        <x:f>IFERROR(INDEX(MonthlyFinance!$D$2:$D$200,MATCH($B37,MonthlyFinance!$B$2:$B$200,0)),"")</x:f>
      </x:c>
      <x:c r="Q37" s="55" t="str">
        <x:f>IFERROR(INDEX(MonthlyFinance!$E$2:$E$200,MATCH($B37,MonthlyFinance!$B$2:$B$200,0)),"")</x:f>
      </x:c>
      <x:c r="R37" s="55" t="str">
        <x:f>IFERROR(INDEX(MonthlyFinance!$F$2:$F$200,MATCH($B37,MonthlyFinance!$B$2:$B$200,0)),"")</x:f>
      </x:c>
      <x:c r="S37" s="52" t="str">
        <x:f>IF($D37&gt;0,"Formula-linked from CaseLedger","")</x:f>
      </x:c>
      <x:c r="T37" s="52" t="str">
        <x:f>IF($D37&gt;0,"TRUE","FALSE")</x:f>
        <x:v>FALSE</x:v>
      </x:c>
    </x:row>
    <x:row r="38">
      <x:c r="A38" s="52" t="str">
        <x:f>TEXT(C38,"mmm yyyy")</x:f>
        <x:v>Aug 2027</x:v>
      </x:c>
      <x:c r="B38" s="52" t="n">
        <x:f>YEAR(C38)*100+MONTH(C38)</x:f>
        <x:v>202708</x:v>
      </x:c>
      <x:c r="C38" s="54" t="n">
        <x:f>EDATE(C37,1)</x:f>
        <x:v>46600</x:v>
      </x:c>
      <x:c r="D38" s="52" t="n">
        <x:f>IF($A38="","",SUMPRODUCT((CaseLedger!$E$2:$E$500=$A38)*--(((CaseLedger!$B$2:$B$500=TRUE)+(CaseLedger!$B$2:$B$500="TRUE"))&gt;0)))</x:f>
        <x:v>0</x:v>
      </x:c>
      <x:c r="E38" s="52" t="n">
        <x:f>IF($A38="","",SUMPRODUCT((CaseLedger!$E$2:$E$500=$A38)*--(((CaseLedger!$B$2:$B$500=TRUE)+(CaseLedger!$B$2:$B$500="TRUE"))&gt;0)*(CaseLedger!$O$2:$O$500="Zakat")))</x:f>
        <x:v>0</x:v>
      </x:c>
      <x:c r="F38" s="52" t="n">
        <x:f>IF($A38="","",SUMPRODUCT((CaseLedger!$E$2:$E$500=$A38)*--(((CaseLedger!$B$2:$B$500=TRUE)+(CaseLedger!$B$2:$B$500="TRUE"))&gt;0)*(CaseLedger!$O$2:$O$500="Sadaqah")))</x:f>
        <x:v>0</x:v>
      </x:c>
      <x:c r="G38" s="52" t="n">
        <x:f>IF($A38="","",SUMPRODUCT((CaseLedger!$E$2:$E$500=$A38)*--(((CaseLedger!$B$2:$B$500=TRUE)+(CaseLedger!$B$2:$B$500="TRUE"))&gt;0)*(CaseLedger!$O$2:$O$500="Mixed")))</x:f>
        <x:v>0</x:v>
      </x:c>
      <x:c r="H38" s="52" t="n">
        <x:f>IF($A38="","",SUMPRODUCT((CaseLedger!$E$2:$E$500=$A38)*--(((CaseLedger!$B$2:$B$500=TRUE)+(CaseLedger!$B$2:$B$500="TRUE"))&gt;0)*(CaseLedger!$J$2:$J$500="Livelihood")))</x:f>
        <x:v>0</x:v>
      </x:c>
      <x:c r="I38" s="52" t="n">
        <x:f>IF($A38="","",SUMPRODUCT((CaseLedger!$E$2:$E$500=$A38)*--(((CaseLedger!$B$2:$B$500=TRUE)+(CaseLedger!$B$2:$B$500="TRUE"))&gt;0)*--(((CaseLedger!$J$2:$J$500="Skill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8" s="52" t="n">
        <x:f>IF($A38="","",SUMPRODUCT((CaseLedger!$E$2:$E$500=$A38)*--(((CaseLedger!$B$2:$B$500=TRUE)+(CaseLedger!$B$2:$B$500="TRUE"))&gt;0)*(CaseLedger!$J$2:$J$500="Emergency Support")))</x:f>
        <x:v>0</x:v>
      </x:c>
      <x:c r="K38" s="52" t="n">
        <x:f>IF($A38="","",SUMPRODUCT((CaseLedger!$E$2:$E$500=$A38)*--(((CaseLedger!$B$2:$B$500=TRUE)+(CaseLedger!$B$2:$B$500="TRUE"))&gt;0)*(CaseLedger!$J$2:$J$500="Community Support")))</x:f>
        <x:v>0</x:v>
      </x:c>
      <x:c r="L38" s="55" t="n">
        <x:f>IF($A38="","",SUMPRODUCT((CaseLedger!$E$2:$E$500=$A38)*--(((CaseLedger!$B$2:$B$500=TRUE)+(CaseLedger!$B$2:$B$500="TRUE"))&gt;0)*CaseLedger!$L$2:$L$500))</x:f>
        <x:v>0</x:v>
      </x:c>
      <x:c r="M38" s="55" t="n">
        <x:f>IF($A38="","",SUMPRODUCT((CaseLedger!$E$2:$E$500=$A38)*--(((CaseLedger!$B$2:$B$500=TRUE)+(CaseLedger!$B$2:$B$500="TRUE"))&gt;0)*CaseLedger!$M$2:$M$500))</x:f>
        <x:v>0</x:v>
      </x:c>
      <x:c r="N38" s="55" t="n">
        <x:f>IF($A38="","",SUMPRODUCT((CaseLedger!$E$2:$E$500=$A38)*--(((CaseLedger!$B$2:$B$500=TRUE)+(CaseLedger!$B$2:$B$500="TRUE"))&gt;0)*(CaseLedger!$O$2:$O$500="Mixed")*CaseLedger!$N$2:$N$500))</x:f>
        <x:v>0</x:v>
      </x:c>
      <x:c r="O38" s="55" t="n">
        <x:f>IF($A38="","",SUMPRODUCT((CaseLedger!$E$2:$E$500=$A38)*--(((CaseLedger!$B$2:$B$500=TRUE)+(CaseLedger!$B$2:$B$500="TRUE"))&gt;0)*CaseLedger!$N$2:$N$500))</x:f>
        <x:v>0</x:v>
      </x:c>
      <x:c r="P38" s="55" t="str">
        <x:f>IFERROR(INDEX(MonthlyFinance!$D$2:$D$200,MATCH($B38,MonthlyFinance!$B$2:$B$200,0)),"")</x:f>
      </x:c>
      <x:c r="Q38" s="55" t="str">
        <x:f>IFERROR(INDEX(MonthlyFinance!$E$2:$E$200,MATCH($B38,MonthlyFinance!$B$2:$B$200,0)),"")</x:f>
      </x:c>
      <x:c r="R38" s="55" t="str">
        <x:f>IFERROR(INDEX(MonthlyFinance!$F$2:$F$200,MATCH($B38,MonthlyFinance!$B$2:$B$200,0)),"")</x:f>
      </x:c>
      <x:c r="S38" s="52" t="str">
        <x:f>IF($D38&gt;0,"Formula-linked from CaseLedger","")</x:f>
      </x:c>
      <x:c r="T38" s="52" t="str">
        <x:f>IF($D38&gt;0,"TRUE","FALSE")</x:f>
        <x:v>FALSE</x:v>
      </x:c>
    </x:row>
    <x:row r="39">
      <x:c r="A39" s="52" t="str">
        <x:f>TEXT(C39,"mmm yyyy")</x:f>
        <x:v>Sep 2027</x:v>
      </x:c>
      <x:c r="B39" s="52" t="n">
        <x:f>YEAR(C39)*100+MONTH(C39)</x:f>
        <x:v>202709</x:v>
      </x:c>
      <x:c r="C39" s="54" t="n">
        <x:f>EDATE(C38,1)</x:f>
        <x:v>46631</x:v>
      </x:c>
      <x:c r="D39" s="52" t="n">
        <x:f>IF($A39="","",SUMPRODUCT((CaseLedger!$E$2:$E$500=$A39)*--(((CaseLedger!$B$2:$B$500=TRUE)+(CaseLedger!$B$2:$B$500="TRUE"))&gt;0)))</x:f>
        <x:v>0</x:v>
      </x:c>
      <x:c r="E39" s="52" t="n">
        <x:f>IF($A39="","",SUMPRODUCT((CaseLedger!$E$2:$E$500=$A39)*--(((CaseLedger!$B$2:$B$500=TRUE)+(CaseLedger!$B$2:$B$500="TRUE"))&gt;0)*(CaseLedger!$O$2:$O$500="Zakat")))</x:f>
        <x:v>0</x:v>
      </x:c>
      <x:c r="F39" s="52" t="n">
        <x:f>IF($A39="","",SUMPRODUCT((CaseLedger!$E$2:$E$500=$A39)*--(((CaseLedger!$B$2:$B$500=TRUE)+(CaseLedger!$B$2:$B$500="TRUE"))&gt;0)*(CaseLedger!$O$2:$O$500="Sadaqah")))</x:f>
        <x:v>0</x:v>
      </x:c>
      <x:c r="G39" s="52" t="n">
        <x:f>IF($A39="","",SUMPRODUCT((CaseLedger!$E$2:$E$500=$A39)*--(((CaseLedger!$B$2:$B$500=TRUE)+(CaseLedger!$B$2:$B$500="TRUE"))&gt;0)*(CaseLedger!$O$2:$O$500="Mixed")))</x:f>
        <x:v>0</x:v>
      </x:c>
      <x:c r="H39" s="52" t="n">
        <x:f>IF($A39="","",SUMPRODUCT((CaseLedger!$E$2:$E$500=$A39)*--(((CaseLedger!$B$2:$B$500=TRUE)+(CaseLedger!$B$2:$B$500="TRUE"))&gt;0)*(CaseLedger!$J$2:$J$500="Livelihood")))</x:f>
        <x:v>0</x:v>
      </x:c>
      <x:c r="I39" s="52" t="n">
        <x:f>IF($A39="","",SUMPRODUCT((CaseLedger!$E$2:$E$500=$A39)*--(((CaseLedger!$B$2:$B$500=TRUE)+(CaseLedger!$B$2:$B$500="TRUE"))&gt;0)*--(((CaseLedger!$J$2:$J$500="Skill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39" s="52" t="n">
        <x:f>IF($A39="","",SUMPRODUCT((CaseLedger!$E$2:$E$500=$A39)*--(((CaseLedger!$B$2:$B$500=TRUE)+(CaseLedger!$B$2:$B$500="TRUE"))&gt;0)*(CaseLedger!$J$2:$J$500="Emergency Support")))</x:f>
        <x:v>0</x:v>
      </x:c>
      <x:c r="K39" s="52" t="n">
        <x:f>IF($A39="","",SUMPRODUCT((CaseLedger!$E$2:$E$500=$A39)*--(((CaseLedger!$B$2:$B$500=TRUE)+(CaseLedger!$B$2:$B$500="TRUE"))&gt;0)*(CaseLedger!$J$2:$J$500="Community Support")))</x:f>
        <x:v>0</x:v>
      </x:c>
      <x:c r="L39" s="55" t="n">
        <x:f>IF($A39="","",SUMPRODUCT((CaseLedger!$E$2:$E$500=$A39)*--(((CaseLedger!$B$2:$B$500=TRUE)+(CaseLedger!$B$2:$B$500="TRUE"))&gt;0)*CaseLedger!$L$2:$L$500))</x:f>
        <x:v>0</x:v>
      </x:c>
      <x:c r="M39" s="55" t="n">
        <x:f>IF($A39="","",SUMPRODUCT((CaseLedger!$E$2:$E$500=$A39)*--(((CaseLedger!$B$2:$B$500=TRUE)+(CaseLedger!$B$2:$B$500="TRUE"))&gt;0)*CaseLedger!$M$2:$M$500))</x:f>
        <x:v>0</x:v>
      </x:c>
      <x:c r="N39" s="55" t="n">
        <x:f>IF($A39="","",SUMPRODUCT((CaseLedger!$E$2:$E$500=$A39)*--(((CaseLedger!$B$2:$B$500=TRUE)+(CaseLedger!$B$2:$B$500="TRUE"))&gt;0)*(CaseLedger!$O$2:$O$500="Mixed")*CaseLedger!$N$2:$N$500))</x:f>
        <x:v>0</x:v>
      </x:c>
      <x:c r="O39" s="55" t="n">
        <x:f>IF($A39="","",SUMPRODUCT((CaseLedger!$E$2:$E$500=$A39)*--(((CaseLedger!$B$2:$B$500=TRUE)+(CaseLedger!$B$2:$B$500="TRUE"))&gt;0)*CaseLedger!$N$2:$N$500))</x:f>
        <x:v>0</x:v>
      </x:c>
      <x:c r="P39" s="55" t="str">
        <x:f>IFERROR(INDEX(MonthlyFinance!$D$2:$D$200,MATCH($B39,MonthlyFinance!$B$2:$B$200,0)),"")</x:f>
      </x:c>
      <x:c r="Q39" s="55" t="str">
        <x:f>IFERROR(INDEX(MonthlyFinance!$E$2:$E$200,MATCH($B39,MonthlyFinance!$B$2:$B$200,0)),"")</x:f>
      </x:c>
      <x:c r="R39" s="55" t="str">
        <x:f>IFERROR(INDEX(MonthlyFinance!$F$2:$F$200,MATCH($B39,MonthlyFinance!$B$2:$B$200,0)),"")</x:f>
      </x:c>
      <x:c r="S39" s="52" t="str">
        <x:f>IF($D39&gt;0,"Formula-linked from CaseLedger","")</x:f>
      </x:c>
      <x:c r="T39" s="52" t="str">
        <x:f>IF($D39&gt;0,"TRUE","FALSE")</x:f>
        <x:v>FALSE</x:v>
      </x:c>
    </x:row>
    <x:row r="40">
      <x:c r="A40" s="52" t="str">
        <x:f>TEXT(C40,"mmm yyyy")</x:f>
        <x:v>Oct 2027</x:v>
      </x:c>
      <x:c r="B40" s="52" t="n">
        <x:f>YEAR(C40)*100+MONTH(C40)</x:f>
        <x:v>202710</x:v>
      </x:c>
      <x:c r="C40" s="54" t="n">
        <x:f>EDATE(C39,1)</x:f>
        <x:v>46661</x:v>
      </x:c>
      <x:c r="D40" s="52" t="n">
        <x:f>IF($A40="","",SUMPRODUCT((CaseLedger!$E$2:$E$500=$A40)*--(((CaseLedger!$B$2:$B$500=TRUE)+(CaseLedger!$B$2:$B$500="TRUE"))&gt;0)))</x:f>
        <x:v>0</x:v>
      </x:c>
      <x:c r="E40" s="52" t="n">
        <x:f>IF($A40="","",SUMPRODUCT((CaseLedger!$E$2:$E$500=$A40)*--(((CaseLedger!$B$2:$B$500=TRUE)+(CaseLedger!$B$2:$B$500="TRUE"))&gt;0)*(CaseLedger!$O$2:$O$500="Zakat")))</x:f>
        <x:v>0</x:v>
      </x:c>
      <x:c r="F40" s="52" t="n">
        <x:f>IF($A40="","",SUMPRODUCT((CaseLedger!$E$2:$E$500=$A40)*--(((CaseLedger!$B$2:$B$500=TRUE)+(CaseLedger!$B$2:$B$500="TRUE"))&gt;0)*(CaseLedger!$O$2:$O$500="Sadaqah")))</x:f>
        <x:v>0</x:v>
      </x:c>
      <x:c r="G40" s="52" t="n">
        <x:f>IF($A40="","",SUMPRODUCT((CaseLedger!$E$2:$E$500=$A40)*--(((CaseLedger!$B$2:$B$500=TRUE)+(CaseLedger!$B$2:$B$500="TRUE"))&gt;0)*(CaseLedger!$O$2:$O$500="Mixed")))</x:f>
        <x:v>0</x:v>
      </x:c>
      <x:c r="H40" s="52" t="n">
        <x:f>IF($A40="","",SUMPRODUCT((CaseLedger!$E$2:$E$500=$A40)*--(((CaseLedger!$B$2:$B$500=TRUE)+(CaseLedger!$B$2:$B$500="TRUE"))&gt;0)*(CaseLedger!$J$2:$J$500="Livelihood")))</x:f>
        <x:v>0</x:v>
      </x:c>
      <x:c r="I40" s="52" t="n">
        <x:f>IF($A40="","",SUMPRODUCT((CaseLedger!$E$2:$E$500=$A40)*--(((CaseLedger!$B$2:$B$500=TRUE)+(CaseLedger!$B$2:$B$500="TRUE"))&gt;0)*--(((CaseLedger!$J$2:$J$500="Skill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40" s="52" t="n">
        <x:f>IF($A40="","",SUMPRODUCT((CaseLedger!$E$2:$E$500=$A40)*--(((CaseLedger!$B$2:$B$500=TRUE)+(CaseLedger!$B$2:$B$500="TRUE"))&gt;0)*(CaseLedger!$J$2:$J$500="Emergency Support")))</x:f>
        <x:v>0</x:v>
      </x:c>
      <x:c r="K40" s="52" t="n">
        <x:f>IF($A40="","",SUMPRODUCT((CaseLedger!$E$2:$E$500=$A40)*--(((CaseLedger!$B$2:$B$500=TRUE)+(CaseLedger!$B$2:$B$500="TRUE"))&gt;0)*(CaseLedger!$J$2:$J$500="Community Support")))</x:f>
        <x:v>0</x:v>
      </x:c>
      <x:c r="L40" s="55" t="n">
        <x:f>IF($A40="","",SUMPRODUCT((CaseLedger!$E$2:$E$500=$A40)*--(((CaseLedger!$B$2:$B$500=TRUE)+(CaseLedger!$B$2:$B$500="TRUE"))&gt;0)*CaseLedger!$L$2:$L$500))</x:f>
        <x:v>0</x:v>
      </x:c>
      <x:c r="M40" s="55" t="n">
        <x:f>IF($A40="","",SUMPRODUCT((CaseLedger!$E$2:$E$500=$A40)*--(((CaseLedger!$B$2:$B$500=TRUE)+(CaseLedger!$B$2:$B$500="TRUE"))&gt;0)*CaseLedger!$M$2:$M$500))</x:f>
        <x:v>0</x:v>
      </x:c>
      <x:c r="N40" s="55" t="n">
        <x:f>IF($A40="","",SUMPRODUCT((CaseLedger!$E$2:$E$500=$A40)*--(((CaseLedger!$B$2:$B$500=TRUE)+(CaseLedger!$B$2:$B$500="TRUE"))&gt;0)*(CaseLedger!$O$2:$O$500="Mixed")*CaseLedger!$N$2:$N$500))</x:f>
        <x:v>0</x:v>
      </x:c>
      <x:c r="O40" s="55" t="n">
        <x:f>IF($A40="","",SUMPRODUCT((CaseLedger!$E$2:$E$500=$A40)*--(((CaseLedger!$B$2:$B$500=TRUE)+(CaseLedger!$B$2:$B$500="TRUE"))&gt;0)*CaseLedger!$N$2:$N$500))</x:f>
        <x:v>0</x:v>
      </x:c>
      <x:c r="P40" s="55" t="str">
        <x:f>IFERROR(INDEX(MonthlyFinance!$D$2:$D$200,MATCH($B40,MonthlyFinance!$B$2:$B$200,0)),"")</x:f>
      </x:c>
      <x:c r="Q40" s="55" t="str">
        <x:f>IFERROR(INDEX(MonthlyFinance!$E$2:$E$200,MATCH($B40,MonthlyFinance!$B$2:$B$200,0)),"")</x:f>
      </x:c>
      <x:c r="R40" s="55" t="str">
        <x:f>IFERROR(INDEX(MonthlyFinance!$F$2:$F$200,MATCH($B40,MonthlyFinance!$B$2:$B$200,0)),"")</x:f>
      </x:c>
      <x:c r="S40" s="52" t="str">
        <x:f>IF($D40&gt;0,"Formula-linked from CaseLedger","")</x:f>
      </x:c>
      <x:c r="T40" s="52" t="str">
        <x:f>IF($D40&gt;0,"TRUE","FALSE")</x:f>
        <x:v>FALSE</x:v>
      </x:c>
    </x:row>
    <x:row r="41">
      <x:c r="A41" s="52" t="str">
        <x:f>TEXT(C41,"mmm yyyy")</x:f>
        <x:v>Nov 2027</x:v>
      </x:c>
      <x:c r="B41" s="52" t="n">
        <x:f>YEAR(C41)*100+MONTH(C41)</x:f>
        <x:v>202711</x:v>
      </x:c>
      <x:c r="C41" s="54" t="n">
        <x:f>EDATE(C40,1)</x:f>
        <x:v>46692</x:v>
      </x:c>
      <x:c r="D41" s="52" t="n">
        <x:f>IF($A41="","",SUMPRODUCT((CaseLedger!$E$2:$E$500=$A41)*--(((CaseLedger!$B$2:$B$500=TRUE)+(CaseLedger!$B$2:$B$500="TRUE"))&gt;0)))</x:f>
        <x:v>0</x:v>
      </x:c>
      <x:c r="E41" s="52" t="n">
        <x:f>IF($A41="","",SUMPRODUCT((CaseLedger!$E$2:$E$500=$A41)*--(((CaseLedger!$B$2:$B$500=TRUE)+(CaseLedger!$B$2:$B$500="TRUE"))&gt;0)*(CaseLedger!$O$2:$O$500="Zakat")))</x:f>
        <x:v>0</x:v>
      </x:c>
      <x:c r="F41" s="52" t="n">
        <x:f>IF($A41="","",SUMPRODUCT((CaseLedger!$E$2:$E$500=$A41)*--(((CaseLedger!$B$2:$B$500=TRUE)+(CaseLedger!$B$2:$B$500="TRUE"))&gt;0)*(CaseLedger!$O$2:$O$500="Sadaqah")))</x:f>
        <x:v>0</x:v>
      </x:c>
      <x:c r="G41" s="52" t="n">
        <x:f>IF($A41="","",SUMPRODUCT((CaseLedger!$E$2:$E$500=$A41)*--(((CaseLedger!$B$2:$B$500=TRUE)+(CaseLedger!$B$2:$B$500="TRUE"))&gt;0)*(CaseLedger!$O$2:$O$500="Mixed")))</x:f>
        <x:v>0</x:v>
      </x:c>
      <x:c r="H41" s="52" t="n">
        <x:f>IF($A41="","",SUMPRODUCT((CaseLedger!$E$2:$E$500=$A41)*--(((CaseLedger!$B$2:$B$500=TRUE)+(CaseLedger!$B$2:$B$500="TRUE"))&gt;0)*(CaseLedger!$J$2:$J$500="Livelihood")))</x:f>
        <x:v>0</x:v>
      </x:c>
      <x:c r="I41" s="52" t="n">
        <x:f>IF($A41="","",SUMPRODUCT((CaseLedger!$E$2:$E$500=$A41)*--(((CaseLedger!$B$2:$B$500=TRUE)+(CaseLedger!$B$2:$B$500="TRUE"))&gt;0)*--(((CaseLedger!$J$2:$J$500="Skill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41" s="52" t="n">
        <x:f>IF($A41="","",SUMPRODUCT((CaseLedger!$E$2:$E$500=$A41)*--(((CaseLedger!$B$2:$B$500=TRUE)+(CaseLedger!$B$2:$B$500="TRUE"))&gt;0)*(CaseLedger!$J$2:$J$500="Emergency Support")))</x:f>
        <x:v>0</x:v>
      </x:c>
      <x:c r="K41" s="52" t="n">
        <x:f>IF($A41="","",SUMPRODUCT((CaseLedger!$E$2:$E$500=$A41)*--(((CaseLedger!$B$2:$B$500=TRUE)+(CaseLedger!$B$2:$B$500="TRUE"))&gt;0)*(CaseLedger!$J$2:$J$500="Community Support")))</x:f>
        <x:v>0</x:v>
      </x:c>
      <x:c r="L41" s="55" t="n">
        <x:f>IF($A41="","",SUMPRODUCT((CaseLedger!$E$2:$E$500=$A41)*--(((CaseLedger!$B$2:$B$500=TRUE)+(CaseLedger!$B$2:$B$500="TRUE"))&gt;0)*CaseLedger!$L$2:$L$500))</x:f>
        <x:v>0</x:v>
      </x:c>
      <x:c r="M41" s="55" t="n">
        <x:f>IF($A41="","",SUMPRODUCT((CaseLedger!$E$2:$E$500=$A41)*--(((CaseLedger!$B$2:$B$500=TRUE)+(CaseLedger!$B$2:$B$500="TRUE"))&gt;0)*CaseLedger!$M$2:$M$500))</x:f>
        <x:v>0</x:v>
      </x:c>
      <x:c r="N41" s="55" t="n">
        <x:f>IF($A41="","",SUMPRODUCT((CaseLedger!$E$2:$E$500=$A41)*--(((CaseLedger!$B$2:$B$500=TRUE)+(CaseLedger!$B$2:$B$500="TRUE"))&gt;0)*(CaseLedger!$O$2:$O$500="Mixed")*CaseLedger!$N$2:$N$500))</x:f>
        <x:v>0</x:v>
      </x:c>
      <x:c r="O41" s="55" t="n">
        <x:f>IF($A41="","",SUMPRODUCT((CaseLedger!$E$2:$E$500=$A41)*--(((CaseLedger!$B$2:$B$500=TRUE)+(CaseLedger!$B$2:$B$500="TRUE"))&gt;0)*CaseLedger!$N$2:$N$500))</x:f>
        <x:v>0</x:v>
      </x:c>
      <x:c r="P41" s="55" t="str">
        <x:f>IFERROR(INDEX(MonthlyFinance!$D$2:$D$200,MATCH($B41,MonthlyFinance!$B$2:$B$200,0)),"")</x:f>
      </x:c>
      <x:c r="Q41" s="55" t="str">
        <x:f>IFERROR(INDEX(MonthlyFinance!$E$2:$E$200,MATCH($B41,MonthlyFinance!$B$2:$B$200,0)),"")</x:f>
      </x:c>
      <x:c r="R41" s="55" t="str">
        <x:f>IFERROR(INDEX(MonthlyFinance!$F$2:$F$200,MATCH($B41,MonthlyFinance!$B$2:$B$200,0)),"")</x:f>
      </x:c>
      <x:c r="S41" s="52" t="str">
        <x:f>IF($D41&gt;0,"Formula-linked from CaseLedger","")</x:f>
      </x:c>
      <x:c r="T41" s="52" t="str">
        <x:f>IF($D41&gt;0,"TRUE","FALSE")</x:f>
        <x:v>FALSE</x:v>
      </x:c>
    </x:row>
    <x:row r="42">
      <x:c r="A42" s="52" t="str">
        <x:f>TEXT(C42,"mmm yyyy")</x:f>
        <x:v>Dec 2027</x:v>
      </x:c>
      <x:c r="B42" s="52" t="n">
        <x:f>YEAR(C42)*100+MONTH(C42)</x:f>
        <x:v>202712</x:v>
      </x:c>
      <x:c r="C42" s="54" t="n">
        <x:f>EDATE(C41,1)</x:f>
        <x:v>46722</x:v>
      </x:c>
      <x:c r="D42" s="52" t="n">
        <x:f>IF($A42="","",SUMPRODUCT((CaseLedger!$E$2:$E$500=$A42)*--(((CaseLedger!$B$2:$B$500=TRUE)+(CaseLedger!$B$2:$B$500="TRUE"))&gt;0)))</x:f>
        <x:v>0</x:v>
      </x:c>
      <x:c r="E42" s="52" t="n">
        <x:f>IF($A42="","",SUMPRODUCT((CaseLedger!$E$2:$E$500=$A42)*--(((CaseLedger!$B$2:$B$500=TRUE)+(CaseLedger!$B$2:$B$500="TRUE"))&gt;0)*(CaseLedger!$O$2:$O$500="Zakat")))</x:f>
        <x:v>0</x:v>
      </x:c>
      <x:c r="F42" s="52" t="n">
        <x:f>IF($A42="","",SUMPRODUCT((CaseLedger!$E$2:$E$500=$A42)*--(((CaseLedger!$B$2:$B$500=TRUE)+(CaseLedger!$B$2:$B$500="TRUE"))&gt;0)*(CaseLedger!$O$2:$O$500="Sadaqah")))</x:f>
        <x:v>0</x:v>
      </x:c>
      <x:c r="G42" s="52" t="n">
        <x:f>IF($A42="","",SUMPRODUCT((CaseLedger!$E$2:$E$500=$A42)*--(((CaseLedger!$B$2:$B$500=TRUE)+(CaseLedger!$B$2:$B$500="TRUE"))&gt;0)*(CaseLedger!$O$2:$O$500="Mixed")))</x:f>
        <x:v>0</x:v>
      </x:c>
      <x:c r="H42" s="52" t="n">
        <x:f>IF($A42="","",SUMPRODUCT((CaseLedger!$E$2:$E$500=$A42)*--(((CaseLedger!$B$2:$B$500=TRUE)+(CaseLedger!$B$2:$B$500="TRUE"))&gt;0)*(CaseLedger!$J$2:$J$500="Livelihood")))</x:f>
        <x:v>0</x:v>
      </x:c>
      <x:c r="I42" s="52" t="n">
        <x:f>IF($A42="","",SUMPRODUCT((CaseLedger!$E$2:$E$500=$A42)*--(((CaseLedger!$B$2:$B$500=TRUE)+(CaseLedger!$B$2:$B$500="TRUE"))&gt;0)*--(((CaseLedger!$J$2:$J$500="Skill Sponsorship")+(CaseLedger!$J$2:$J$500="Education")+(CaseLedger!$J$2:$J$500="Education Support")+(CaseLedger!$J$2:$J$500="Course Sponsorship"))&gt;0)))</x:f>
        <x:v>0</x:v>
      </x:c>
      <x:c r="J42" s="52" t="n">
        <x:f>IF($A42="","",SUMPRODUCT((CaseLedger!$E$2:$E$500=$A42)*--(((CaseLedger!$B$2:$B$500=TRUE)+(CaseLedger!$B$2:$B$500="TRUE"))&gt;0)*(CaseLedger!$J$2:$J$500="Emergency Support")))</x:f>
        <x:v>0</x:v>
      </x:c>
      <x:c r="K42" s="52" t="n">
        <x:f>IF($A42="","",SUMPRODUCT((CaseLedger!$E$2:$E$500=$A42)*--(((CaseLedger!$B$2:$B$500=TRUE)+(CaseLedger!$B$2:$B$500="TRUE"))&gt;0)*(CaseLedger!$J$2:$J$500="Community Support")))</x:f>
        <x:v>0</x:v>
      </x:c>
      <x:c r="L42" s="55" t="n">
        <x:f>IF($A42="","",SUMPRODUCT((CaseLedger!$E$2:$E$500=$A42)*--(((CaseLedger!$B$2:$B$500=TRUE)+(CaseLedger!$B$2:$B$500="TRUE"))&gt;0)*CaseLedger!$L$2:$L$500))</x:f>
        <x:v>0</x:v>
      </x:c>
      <x:c r="M42" s="55" t="n">
        <x:f>IF($A42="","",SUMPRODUCT((CaseLedger!$E$2:$E$500=$A42)*--(((CaseLedger!$B$2:$B$500=TRUE)+(CaseLedger!$B$2:$B$500="TRUE"))&gt;0)*CaseLedger!$M$2:$M$500))</x:f>
        <x:v>0</x:v>
      </x:c>
      <x:c r="N42" s="55" t="n">
        <x:f>IF($A42="","",SUMPRODUCT((CaseLedger!$E$2:$E$500=$A42)*--(((CaseLedger!$B$2:$B$500=TRUE)+(CaseLedger!$B$2:$B$500="TRUE"))&gt;0)*(CaseLedger!$O$2:$O$500="Mixed")*CaseLedger!$N$2:$N$500))</x:f>
        <x:v>0</x:v>
      </x:c>
      <x:c r="O42" s="55" t="n">
        <x:f>IF($A42="","",SUMPRODUCT((CaseLedger!$E$2:$E$500=$A42)*--(((CaseLedger!$B$2:$B$500=TRUE)+(CaseLedger!$B$2:$B$500="TRUE"))&gt;0)*CaseLedger!$N$2:$N$500))</x:f>
        <x:v>0</x:v>
      </x:c>
      <x:c r="P42" s="55" t="str">
        <x:f>IFERROR(INDEX(MonthlyFinance!$D$2:$D$200,MATCH($B42,MonthlyFinance!$B$2:$B$200,0)),"")</x:f>
      </x:c>
      <x:c r="Q42" s="55" t="str">
        <x:f>IFERROR(INDEX(MonthlyFinance!$E$2:$E$200,MATCH($B42,MonthlyFinance!$B$2:$B$200,0)),"")</x:f>
      </x:c>
      <x:c r="R42" s="55" t="str">
        <x:f>IFERROR(INDEX(MonthlyFinance!$F$2:$F$200,MATCH($B42,MonthlyFinance!$B$2:$B$200,0)),"")</x:f>
      </x:c>
      <x:c r="S42" s="52" t="str">
        <x:f>IF($D42&gt;0,"Formula-linked from CaseLedger","")</x:f>
      </x:c>
      <x:c r="T42" s="52" t="str">
        <x:f>IF($D42&gt;0,"TRUE","FALSE")</x:f>
        <x:v>FALSE</x:v>
      </x:c>
    </x:row>
    <x:row r="43">
      <x:c r="A43" s="52"/>
      <x:c r="B43" s="52"/>
      <x:c r="C43" s="54"/>
      <x:c r="D43" s="52"/>
      <x:c r="E43" s="52"/>
      <x:c r="F43" s="52"/>
      <x:c r="G43" s="52"/>
      <x:c r="H43" s="52"/>
      <x:c r="I43" s="52"/>
      <x:c r="J43" s="52"/>
      <x:c r="K43" s="52"/>
      <x:c r="L43" s="55"/>
      <x:c r="M43" s="55"/>
      <x:c r="N43" s="55"/>
      <x:c r="O43" s="55"/>
      <x:c r="P43" s="55"/>
      <x:c r="Q43" s="55"/>
      <x:c r="R43" s="55"/>
      <x:c r="S43" s="52"/>
      <x:c r="T43" s="52"/>
    </x:row>
    <x:row r="44">
      <x:c r="A44" s="52"/>
      <x:c r="B44" s="52"/>
      <x:c r="C44" s="54"/>
      <x:c r="D44" s="52"/>
      <x:c r="E44" s="52"/>
      <x:c r="F44" s="52"/>
      <x:c r="G44" s="52"/>
      <x:c r="H44" s="52"/>
      <x:c r="I44" s="52"/>
      <x:c r="J44" s="52"/>
      <x:c r="K44" s="52"/>
      <x:c r="L44" s="55"/>
      <x:c r="M44" s="55"/>
      <x:c r="N44" s="55"/>
      <x:c r="O44" s="55"/>
      <x:c r="P44" s="55"/>
      <x:c r="Q44" s="55"/>
      <x:c r="R44" s="55"/>
      <x:c r="S44" s="52"/>
      <x:c r="T44" s="52"/>
    </x:row>
    <x:row r="45">
      <x:c r="A45" s="52"/>
      <x:c r="B45" s="52"/>
      <x:c r="C45" s="54"/>
      <x:c r="D45" s="52"/>
      <x:c r="E45" s="52"/>
      <x:c r="F45" s="52"/>
      <x:c r="G45" s="52"/>
      <x:c r="H45" s="52"/>
      <x:c r="I45" s="52"/>
      <x:c r="J45" s="52"/>
      <x:c r="K45" s="52"/>
      <x:c r="L45" s="55"/>
      <x:c r="M45" s="55"/>
      <x:c r="N45" s="55"/>
      <x:c r="O45" s="55"/>
      <x:c r="P45" s="55"/>
      <x:c r="Q45" s="55"/>
      <x:c r="R45" s="55"/>
      <x:c r="S45" s="52"/>
      <x:c r="T45" s="52"/>
    </x:row>
    <x:row r="46">
      <x:c r="A46" s="52"/>
      <x:c r="B46" s="52"/>
      <x:c r="C46" s="54"/>
      <x:c r="D46" s="52"/>
      <x:c r="E46" s="52"/>
      <x:c r="F46" s="52"/>
      <x:c r="G46" s="52"/>
      <x:c r="H46" s="52"/>
      <x:c r="I46" s="52"/>
      <x:c r="J46" s="52"/>
      <x:c r="K46" s="52"/>
      <x:c r="L46" s="55"/>
      <x:c r="M46" s="55"/>
      <x:c r="N46" s="55"/>
      <x:c r="O46" s="55"/>
      <x:c r="P46" s="55"/>
      <x:c r="Q46" s="55"/>
      <x:c r="R46" s="55"/>
      <x:c r="S46" s="52"/>
      <x:c r="T46" s="52"/>
    </x:row>
    <x:row r="47">
      <x:c r="A47" s="52"/>
      <x:c r="B47" s="52"/>
      <x:c r="C47" s="54"/>
      <x:c r="D47" s="52"/>
      <x:c r="E47" s="52"/>
      <x:c r="F47" s="52"/>
      <x:c r="G47" s="52"/>
      <x:c r="H47" s="52"/>
      <x:c r="I47" s="52"/>
      <x:c r="J47" s="52"/>
      <x:c r="K47" s="52"/>
      <x:c r="L47" s="55"/>
      <x:c r="M47" s="55"/>
      <x:c r="N47" s="55"/>
      <x:c r="O47" s="55"/>
      <x:c r="P47" s="55"/>
      <x:c r="Q47" s="55"/>
      <x:c r="R47" s="55"/>
      <x:c r="S47" s="52"/>
      <x:c r="T47" s="52"/>
    </x:row>
    <x:row r="48">
      <x:c r="A48" s="52"/>
      <x:c r="B48" s="52"/>
      <x:c r="C48" s="54"/>
      <x:c r="D48" s="52"/>
      <x:c r="E48" s="52"/>
      <x:c r="F48" s="52"/>
      <x:c r="G48" s="52"/>
      <x:c r="H48" s="52"/>
      <x:c r="I48" s="52"/>
      <x:c r="J48" s="52"/>
      <x:c r="K48" s="52"/>
      <x:c r="L48" s="55"/>
      <x:c r="M48" s="55"/>
      <x:c r="N48" s="55"/>
      <x:c r="O48" s="55"/>
      <x:c r="P48" s="55"/>
      <x:c r="Q48" s="55"/>
      <x:c r="R48" s="55"/>
      <x:c r="S48" s="52"/>
      <x:c r="T48" s="52"/>
    </x:row>
    <x:row r="49">
      <x:c r="A49" s="52"/>
      <x:c r="B49" s="52"/>
      <x:c r="C49" s="54"/>
      <x:c r="D49" s="52"/>
      <x:c r="E49" s="52"/>
      <x:c r="F49" s="52"/>
      <x:c r="G49" s="52"/>
      <x:c r="H49" s="52"/>
      <x:c r="I49" s="52"/>
      <x:c r="J49" s="52"/>
      <x:c r="K49" s="52"/>
      <x:c r="L49" s="55"/>
      <x:c r="M49" s="55"/>
      <x:c r="N49" s="55"/>
      <x:c r="O49" s="55"/>
      <x:c r="P49" s="55"/>
      <x:c r="Q49" s="55"/>
      <x:c r="R49" s="55"/>
      <x:c r="S49" s="52"/>
      <x:c r="T49" s="52"/>
    </x:row>
    <x:row r="50">
      <x:c r="A50" s="52"/>
      <x:c r="B50" s="52"/>
      <x:c r="C50" s="54"/>
      <x:c r="D50" s="52"/>
      <x:c r="E50" s="52"/>
      <x:c r="F50" s="52"/>
      <x:c r="G50" s="52"/>
      <x:c r="H50" s="52"/>
      <x:c r="I50" s="52"/>
      <x:c r="J50" s="52"/>
      <x:c r="K50" s="52"/>
      <x:c r="L50" s="55"/>
      <x:c r="M50" s="55"/>
      <x:c r="N50" s="55"/>
      <x:c r="O50" s="55"/>
      <x:c r="P50" s="55"/>
      <x:c r="Q50" s="55"/>
      <x:c r="R50" s="55"/>
      <x:c r="S50" s="52"/>
      <x:c r="T50" s="52"/>
    </x:row>
    <x:row r="51">
      <x:c r="A51" s="52"/>
      <x:c r="B51" s="52"/>
      <x:c r="C51" s="54"/>
      <x:c r="D51" s="52"/>
      <x:c r="E51" s="52"/>
      <x:c r="F51" s="52"/>
      <x:c r="G51" s="52"/>
      <x:c r="H51" s="52"/>
      <x:c r="I51" s="52"/>
      <x:c r="J51" s="52"/>
      <x:c r="K51" s="52"/>
      <x:c r="L51" s="55"/>
      <x:c r="M51" s="55"/>
      <x:c r="N51" s="55"/>
      <x:c r="O51" s="55"/>
      <x:c r="P51" s="55"/>
      <x:c r="Q51" s="55"/>
      <x:c r="R51" s="55"/>
      <x:c r="S51" s="52"/>
      <x:c r="T51" s="52"/>
    </x:row>
    <x:row r="52">
      <x:c r="A52" s="52"/>
      <x:c r="B52" s="52"/>
      <x:c r="C52" s="54"/>
      <x:c r="D52" s="52"/>
      <x:c r="E52" s="52"/>
      <x:c r="F52" s="52"/>
      <x:c r="G52" s="52"/>
      <x:c r="H52" s="52"/>
      <x:c r="I52" s="52"/>
      <x:c r="J52" s="52"/>
      <x:c r="K52" s="52"/>
      <x:c r="L52" s="55"/>
      <x:c r="M52" s="55"/>
      <x:c r="N52" s="55"/>
      <x:c r="O52" s="55"/>
      <x:c r="P52" s="55"/>
      <x:c r="Q52" s="55"/>
      <x:c r="R52" s="55"/>
      <x:c r="S52" s="52"/>
      <x:c r="T52" s="52"/>
    </x:row>
    <x:row r="53">
      <x:c r="A53" s="52"/>
      <x:c r="B53" s="52"/>
      <x:c r="C53" s="54"/>
      <x:c r="D53" s="52"/>
      <x:c r="E53" s="52"/>
      <x:c r="F53" s="52"/>
      <x:c r="G53" s="52"/>
      <x:c r="H53" s="52"/>
      <x:c r="I53" s="52"/>
      <x:c r="J53" s="52"/>
      <x:c r="K53" s="52"/>
      <x:c r="L53" s="55"/>
      <x:c r="M53" s="55"/>
      <x:c r="N53" s="55"/>
      <x:c r="O53" s="55"/>
      <x:c r="P53" s="55"/>
      <x:c r="Q53" s="55"/>
      <x:c r="R53" s="55"/>
      <x:c r="S53" s="52"/>
      <x:c r="T53" s="52"/>
    </x:row>
    <x:row r="54">
      <x:c r="A54" s="52"/>
      <x:c r="B54" s="52"/>
      <x:c r="C54" s="54"/>
      <x:c r="D54" s="52"/>
      <x:c r="E54" s="52"/>
      <x:c r="F54" s="52"/>
      <x:c r="G54" s="52"/>
      <x:c r="H54" s="52"/>
      <x:c r="I54" s="52"/>
      <x:c r="J54" s="52"/>
      <x:c r="K54" s="52"/>
      <x:c r="L54" s="55"/>
      <x:c r="M54" s="55"/>
      <x:c r="N54" s="55"/>
      <x:c r="O54" s="55"/>
      <x:c r="P54" s="55"/>
      <x:c r="Q54" s="55"/>
      <x:c r="R54" s="55"/>
      <x:c r="S54" s="52"/>
      <x:c r="T54" s="52"/>
    </x:row>
    <x:row r="55">
      <x:c r="A55" s="52"/>
      <x:c r="B55" s="52"/>
      <x:c r="C55" s="54"/>
      <x:c r="D55" s="52"/>
      <x:c r="E55" s="52"/>
      <x:c r="F55" s="52"/>
      <x:c r="G55" s="52"/>
      <x:c r="H55" s="52"/>
      <x:c r="I55" s="52"/>
      <x:c r="J55" s="52"/>
      <x:c r="K55" s="52"/>
      <x:c r="L55" s="55"/>
      <x:c r="M55" s="55"/>
      <x:c r="N55" s="55"/>
      <x:c r="O55" s="55"/>
      <x:c r="P55" s="55"/>
      <x:c r="Q55" s="55"/>
      <x:c r="R55" s="55"/>
      <x:c r="S55" s="52"/>
      <x:c r="T55" s="52"/>
    </x:row>
    <x:row r="56">
      <x:c r="A56" s="52"/>
      <x:c r="B56" s="52"/>
      <x:c r="C56" s="54"/>
      <x:c r="D56" s="52"/>
      <x:c r="E56" s="52"/>
      <x:c r="F56" s="52"/>
      <x:c r="G56" s="52"/>
      <x:c r="H56" s="52"/>
      <x:c r="I56" s="52"/>
      <x:c r="J56" s="52"/>
      <x:c r="K56" s="52"/>
      <x:c r="L56" s="55"/>
      <x:c r="M56" s="55"/>
      <x:c r="N56" s="55"/>
      <x:c r="O56" s="55"/>
      <x:c r="P56" s="55"/>
      <x:c r="Q56" s="55"/>
      <x:c r="R56" s="55"/>
      <x:c r="S56" s="52"/>
      <x:c r="T56" s="52"/>
    </x:row>
    <x:row r="57">
      <x:c r="A57" s="52"/>
      <x:c r="B57" s="52"/>
      <x:c r="C57" s="54"/>
      <x:c r="D57" s="52"/>
      <x:c r="E57" s="52"/>
      <x:c r="F57" s="52"/>
      <x:c r="G57" s="52"/>
      <x:c r="H57" s="52"/>
      <x:c r="I57" s="52"/>
      <x:c r="J57" s="52"/>
      <x:c r="K57" s="52"/>
      <x:c r="L57" s="55"/>
      <x:c r="M57" s="55"/>
      <x:c r="N57" s="55"/>
      <x:c r="O57" s="55"/>
      <x:c r="P57" s="55"/>
      <x:c r="Q57" s="55"/>
      <x:c r="R57" s="55"/>
      <x:c r="S57" s="52"/>
      <x:c r="T57" s="52"/>
    </x:row>
    <x:row r="58">
      <x:c r="A58" s="52"/>
      <x:c r="B58" s="52"/>
      <x:c r="C58" s="54"/>
      <x:c r="D58" s="52"/>
      <x:c r="E58" s="52"/>
      <x:c r="F58" s="52"/>
      <x:c r="G58" s="52"/>
      <x:c r="H58" s="52"/>
      <x:c r="I58" s="52"/>
      <x:c r="J58" s="52"/>
      <x:c r="K58" s="52"/>
      <x:c r="L58" s="55"/>
      <x:c r="M58" s="55"/>
      <x:c r="N58" s="55"/>
      <x:c r="O58" s="55"/>
      <x:c r="P58" s="55"/>
      <x:c r="Q58" s="55"/>
      <x:c r="R58" s="55"/>
      <x:c r="S58" s="52"/>
      <x:c r="T58" s="52"/>
    </x:row>
    <x:row r="59">
      <x:c r="A59" s="52"/>
      <x:c r="B59" s="52"/>
      <x:c r="C59" s="54"/>
      <x:c r="D59" s="52"/>
      <x:c r="E59" s="52"/>
      <x:c r="F59" s="52"/>
      <x:c r="G59" s="52"/>
      <x:c r="H59" s="52"/>
      <x:c r="I59" s="52"/>
      <x:c r="J59" s="52"/>
      <x:c r="K59" s="52"/>
      <x:c r="L59" s="55"/>
      <x:c r="M59" s="55"/>
      <x:c r="N59" s="55"/>
      <x:c r="O59" s="55"/>
      <x:c r="P59" s="55"/>
      <x:c r="Q59" s="55"/>
      <x:c r="R59" s="55"/>
      <x:c r="S59" s="52"/>
      <x:c r="T59" s="52"/>
    </x:row>
    <x:row r="60">
      <x:c r="A60" s="52"/>
      <x:c r="B60" s="52"/>
      <x:c r="C60" s="54"/>
      <x:c r="D60" s="52"/>
      <x:c r="E60" s="52"/>
      <x:c r="F60" s="52"/>
      <x:c r="G60" s="52"/>
      <x:c r="H60" s="52"/>
      <x:c r="I60" s="52"/>
      <x:c r="J60" s="52"/>
      <x:c r="K60" s="52"/>
      <x:c r="L60" s="55"/>
      <x:c r="M60" s="55"/>
      <x:c r="N60" s="55"/>
      <x:c r="O60" s="55"/>
      <x:c r="P60" s="55"/>
      <x:c r="Q60" s="55"/>
      <x:c r="R60" s="55"/>
      <x:c r="S60" s="52"/>
      <x:c r="T60" s="52"/>
    </x:row>
    <x:row r="61">
      <x:c r="A61" s="52"/>
      <x:c r="B61" s="52"/>
      <x:c r="C61" s="54"/>
      <x:c r="D61" s="52"/>
      <x:c r="E61" s="52"/>
      <x:c r="F61" s="52"/>
      <x:c r="G61" s="52"/>
      <x:c r="H61" s="52"/>
      <x:c r="I61" s="52"/>
      <x:c r="J61" s="52"/>
      <x:c r="K61" s="52"/>
      <x:c r="L61" s="55"/>
      <x:c r="M61" s="55"/>
      <x:c r="N61" s="55"/>
      <x:c r="O61" s="55"/>
      <x:c r="P61" s="55"/>
      <x:c r="Q61" s="55"/>
      <x:c r="R61" s="55"/>
      <x:c r="S61" s="52"/>
      <x:c r="T61" s="52"/>
    </x:row>
    <x:row r="62">
      <x:c r="A62" s="52"/>
      <x:c r="B62" s="52"/>
      <x:c r="C62" s="54"/>
      <x:c r="D62" s="52"/>
      <x:c r="E62" s="52"/>
      <x:c r="F62" s="52"/>
      <x:c r="G62" s="52"/>
      <x:c r="H62" s="52"/>
      <x:c r="I62" s="52"/>
      <x:c r="J62" s="52"/>
      <x:c r="K62" s="52"/>
      <x:c r="L62" s="55"/>
      <x:c r="M62" s="55"/>
      <x:c r="N62" s="55"/>
      <x:c r="O62" s="55"/>
      <x:c r="P62" s="55"/>
      <x:c r="Q62" s="55"/>
      <x:c r="R62" s="55"/>
      <x:c r="S62" s="52"/>
      <x:c r="T62" s="52"/>
    </x:row>
    <x:row r="63">
      <x:c r="A63" s="52"/>
      <x:c r="B63" s="52"/>
      <x:c r="C63" s="54"/>
      <x:c r="D63" s="52"/>
      <x:c r="E63" s="52"/>
      <x:c r="F63" s="52"/>
      <x:c r="G63" s="52"/>
      <x:c r="H63" s="52"/>
      <x:c r="I63" s="52"/>
      <x:c r="J63" s="52"/>
      <x:c r="K63" s="52"/>
      <x:c r="L63" s="55"/>
      <x:c r="M63" s="55"/>
      <x:c r="N63" s="55"/>
      <x:c r="O63" s="55"/>
      <x:c r="P63" s="55"/>
      <x:c r="Q63" s="55"/>
      <x:c r="R63" s="55"/>
      <x:c r="S63" s="52"/>
      <x:c r="T63" s="52"/>
    </x:row>
    <x:row r="64">
      <x:c r="A64" s="52"/>
      <x:c r="B64" s="52"/>
      <x:c r="C64" s="54"/>
      <x:c r="D64" s="52"/>
      <x:c r="E64" s="52"/>
      <x:c r="F64" s="52"/>
      <x:c r="G64" s="52"/>
      <x:c r="H64" s="52"/>
      <x:c r="I64" s="52"/>
      <x:c r="J64" s="52"/>
      <x:c r="K64" s="52"/>
      <x:c r="L64" s="55"/>
      <x:c r="M64" s="55"/>
      <x:c r="N64" s="55"/>
      <x:c r="O64" s="55"/>
      <x:c r="P64" s="55"/>
      <x:c r="Q64" s="55"/>
      <x:c r="R64" s="55"/>
      <x:c r="S64" s="52"/>
      <x:c r="T64" s="52"/>
    </x:row>
    <x:row r="65">
      <x:c r="A65" s="52"/>
      <x:c r="B65" s="52"/>
      <x:c r="C65" s="54"/>
      <x:c r="D65" s="52"/>
      <x:c r="E65" s="52"/>
      <x:c r="F65" s="52"/>
      <x:c r="G65" s="52"/>
      <x:c r="H65" s="52"/>
      <x:c r="I65" s="52"/>
      <x:c r="J65" s="52"/>
      <x:c r="K65" s="52"/>
      <x:c r="L65" s="55"/>
      <x:c r="M65" s="55"/>
      <x:c r="N65" s="55"/>
      <x:c r="O65" s="55"/>
      <x:c r="P65" s="55"/>
      <x:c r="Q65" s="55"/>
      <x:c r="R65" s="55"/>
      <x:c r="S65" s="52"/>
      <x:c r="T65" s="52"/>
    </x:row>
    <x:row r="66">
      <x:c r="A66" s="52"/>
      <x:c r="B66" s="52"/>
      <x:c r="C66" s="54"/>
      <x:c r="D66" s="52"/>
      <x:c r="E66" s="52"/>
      <x:c r="F66" s="52"/>
      <x:c r="G66" s="52"/>
      <x:c r="H66" s="52"/>
      <x:c r="I66" s="52"/>
      <x:c r="J66" s="52"/>
      <x:c r="K66" s="52"/>
      <x:c r="L66" s="55"/>
      <x:c r="M66" s="55"/>
      <x:c r="N66" s="55"/>
      <x:c r="O66" s="55"/>
      <x:c r="P66" s="55"/>
      <x:c r="Q66" s="55"/>
      <x:c r="R66" s="55"/>
      <x:c r="S66" s="52"/>
      <x:c r="T66" s="52"/>
    </x:row>
    <x:row r="67">
      <x:c r="A67" s="52"/>
      <x:c r="B67" s="52"/>
      <x:c r="C67" s="54"/>
      <x:c r="D67" s="52"/>
      <x:c r="E67" s="52"/>
      <x:c r="F67" s="52"/>
      <x:c r="G67" s="52"/>
      <x:c r="H67" s="52"/>
      <x:c r="I67" s="52"/>
      <x:c r="J67" s="52"/>
      <x:c r="K67" s="52"/>
      <x:c r="L67" s="55"/>
      <x:c r="M67" s="55"/>
      <x:c r="N67" s="55"/>
      <x:c r="O67" s="55"/>
      <x:c r="P67" s="55"/>
      <x:c r="Q67" s="55"/>
      <x:c r="R67" s="55"/>
      <x:c r="S67" s="52"/>
      <x:c r="T67" s="52"/>
    </x:row>
    <x:row r="68">
      <x:c r="A68" s="52"/>
      <x:c r="B68" s="52"/>
      <x:c r="C68" s="54"/>
      <x:c r="D68" s="52"/>
      <x:c r="E68" s="52"/>
      <x:c r="F68" s="52"/>
      <x:c r="G68" s="52"/>
      <x:c r="H68" s="52"/>
      <x:c r="I68" s="52"/>
      <x:c r="J68" s="52"/>
      <x:c r="K68" s="52"/>
      <x:c r="L68" s="55"/>
      <x:c r="M68" s="55"/>
      <x:c r="N68" s="55"/>
      <x:c r="O68" s="55"/>
      <x:c r="P68" s="55"/>
      <x:c r="Q68" s="55"/>
      <x:c r="R68" s="55"/>
      <x:c r="S68" s="52"/>
      <x:c r="T68" s="52"/>
    </x:row>
    <x:row r="69">
      <x:c r="A69" s="52"/>
      <x:c r="B69" s="52"/>
      <x:c r="C69" s="54"/>
      <x:c r="D69" s="52"/>
      <x:c r="E69" s="52"/>
      <x:c r="F69" s="52"/>
      <x:c r="G69" s="52"/>
      <x:c r="H69" s="52"/>
      <x:c r="I69" s="52"/>
      <x:c r="J69" s="52"/>
      <x:c r="K69" s="52"/>
      <x:c r="L69" s="55"/>
      <x:c r="M69" s="55"/>
      <x:c r="N69" s="55"/>
      <x:c r="O69" s="55"/>
      <x:c r="P69" s="55"/>
      <x:c r="Q69" s="55"/>
      <x:c r="R69" s="55"/>
      <x:c r="S69" s="52"/>
      <x:c r="T69" s="52"/>
    </x:row>
    <x:row r="70">
      <x:c r="A70" s="52"/>
      <x:c r="B70" s="52"/>
      <x:c r="C70" s="54"/>
      <x:c r="D70" s="52"/>
      <x:c r="E70" s="52"/>
      <x:c r="F70" s="52"/>
      <x:c r="G70" s="52"/>
      <x:c r="H70" s="52"/>
      <x:c r="I70" s="52"/>
      <x:c r="J70" s="52"/>
      <x:c r="K70" s="52"/>
      <x:c r="L70" s="55"/>
      <x:c r="M70" s="55"/>
      <x:c r="N70" s="55"/>
      <x:c r="O70" s="55"/>
      <x:c r="P70" s="55"/>
      <x:c r="Q70" s="55"/>
      <x:c r="R70" s="55"/>
      <x:c r="S70" s="52"/>
      <x:c r="T70" s="52"/>
    </x:row>
    <x:row r="71">
      <x:c r="A71" s="52"/>
      <x:c r="B71" s="52"/>
      <x:c r="C71" s="54"/>
      <x:c r="D71" s="52"/>
      <x:c r="E71" s="52"/>
      <x:c r="F71" s="52"/>
      <x:c r="G71" s="52"/>
      <x:c r="H71" s="52"/>
      <x:c r="I71" s="52"/>
      <x:c r="J71" s="52"/>
      <x:c r="K71" s="52"/>
      <x:c r="L71" s="55"/>
      <x:c r="M71" s="55"/>
      <x:c r="N71" s="55"/>
      <x:c r="O71" s="55"/>
      <x:c r="P71" s="55"/>
      <x:c r="Q71" s="55"/>
      <x:c r="R71" s="55"/>
      <x:c r="S71" s="52"/>
      <x:c r="T71" s="52"/>
    </x:row>
    <x:row r="72">
      <x:c r="A72" s="52"/>
      <x:c r="B72" s="52"/>
      <x:c r="C72" s="54"/>
      <x:c r="D72" s="52"/>
      <x:c r="E72" s="52"/>
      <x:c r="F72" s="52"/>
      <x:c r="G72" s="52"/>
      <x:c r="H72" s="52"/>
      <x:c r="I72" s="52"/>
      <x:c r="J72" s="52"/>
      <x:c r="K72" s="52"/>
      <x:c r="L72" s="55"/>
      <x:c r="M72" s="55"/>
      <x:c r="N72" s="55"/>
      <x:c r="O72" s="55"/>
      <x:c r="P72" s="55"/>
      <x:c r="Q72" s="55"/>
      <x:c r="R72" s="55"/>
      <x:c r="S72" s="52"/>
      <x:c r="T72" s="52"/>
    </x:row>
    <x:row r="73">
      <x:c r="A73" s="52"/>
      <x:c r="B73" s="52"/>
      <x:c r="C73" s="54"/>
      <x:c r="D73" s="52"/>
      <x:c r="E73" s="52"/>
      <x:c r="F73" s="52"/>
      <x:c r="G73" s="52"/>
      <x:c r="H73" s="52"/>
      <x:c r="I73" s="52"/>
      <x:c r="J73" s="52"/>
      <x:c r="K73" s="52"/>
      <x:c r="L73" s="55"/>
      <x:c r="M73" s="55"/>
      <x:c r="N73" s="55"/>
      <x:c r="O73" s="55"/>
      <x:c r="P73" s="55"/>
      <x:c r="Q73" s="55"/>
      <x:c r="R73" s="55"/>
      <x:c r="S73" s="52"/>
      <x:c r="T73" s="52"/>
    </x:row>
    <x:row r="74">
      <x:c r="A74" s="52"/>
      <x:c r="B74" s="52"/>
      <x:c r="C74" s="54"/>
      <x:c r="D74" s="52"/>
      <x:c r="E74" s="52"/>
      <x:c r="F74" s="52"/>
      <x:c r="G74" s="52"/>
      <x:c r="H74" s="52"/>
      <x:c r="I74" s="52"/>
      <x:c r="J74" s="52"/>
      <x:c r="K74" s="52"/>
      <x:c r="L74" s="55"/>
      <x:c r="M74" s="55"/>
      <x:c r="N74" s="55"/>
      <x:c r="O74" s="55"/>
      <x:c r="P74" s="55"/>
      <x:c r="Q74" s="55"/>
      <x:c r="R74" s="55"/>
      <x:c r="S74" s="52"/>
      <x:c r="T74" s="52"/>
    </x:row>
    <x:row r="75">
      <x:c r="A75" s="52"/>
      <x:c r="B75" s="52"/>
      <x:c r="C75" s="54"/>
      <x:c r="D75" s="52"/>
      <x:c r="E75" s="52"/>
      <x:c r="F75" s="52"/>
      <x:c r="G75" s="52"/>
      <x:c r="H75" s="52"/>
      <x:c r="I75" s="52"/>
      <x:c r="J75" s="52"/>
      <x:c r="K75" s="52"/>
      <x:c r="L75" s="55"/>
      <x:c r="M75" s="55"/>
      <x:c r="N75" s="55"/>
      <x:c r="O75" s="55"/>
      <x:c r="P75" s="55"/>
      <x:c r="Q75" s="55"/>
      <x:c r="R75" s="55"/>
      <x:c r="S75" s="52"/>
      <x:c r="T75" s="52"/>
    </x:row>
    <x:row r="76">
      <x:c r="A76" s="52"/>
      <x:c r="B76" s="52"/>
      <x:c r="C76" s="54"/>
      <x:c r="D76" s="52"/>
      <x:c r="E76" s="52"/>
      <x:c r="F76" s="52"/>
      <x:c r="G76" s="52"/>
      <x:c r="H76" s="52"/>
      <x:c r="I76" s="52"/>
      <x:c r="J76" s="52"/>
      <x:c r="K76" s="52"/>
      <x:c r="L76" s="55"/>
      <x:c r="M76" s="55"/>
      <x:c r="N76" s="55"/>
      <x:c r="O76" s="55"/>
      <x:c r="P76" s="55"/>
      <x:c r="Q76" s="55"/>
      <x:c r="R76" s="55"/>
      <x:c r="S76" s="52"/>
      <x:c r="T76" s="52"/>
    </x:row>
    <x:row r="77">
      <x:c r="A77" s="52"/>
      <x:c r="B77" s="52"/>
      <x:c r="C77" s="54"/>
      <x:c r="D77" s="52"/>
      <x:c r="E77" s="52"/>
      <x:c r="F77" s="52"/>
      <x:c r="G77" s="52"/>
      <x:c r="H77" s="52"/>
      <x:c r="I77" s="52"/>
      <x:c r="J77" s="52"/>
      <x:c r="K77" s="52"/>
      <x:c r="L77" s="55"/>
      <x:c r="M77" s="55"/>
      <x:c r="N77" s="55"/>
      <x:c r="O77" s="55"/>
      <x:c r="P77" s="55"/>
      <x:c r="Q77" s="55"/>
      <x:c r="R77" s="55"/>
      <x:c r="S77" s="52"/>
      <x:c r="T77" s="52"/>
    </x:row>
    <x:row r="78">
      <x:c r="A78" s="52"/>
      <x:c r="B78" s="52"/>
      <x:c r="C78" s="54"/>
      <x:c r="D78" s="52"/>
      <x:c r="E78" s="52"/>
      <x:c r="F78" s="52"/>
      <x:c r="G78" s="52"/>
      <x:c r="H78" s="52"/>
      <x:c r="I78" s="52"/>
      <x:c r="J78" s="52"/>
      <x:c r="K78" s="52"/>
      <x:c r="L78" s="55"/>
      <x:c r="M78" s="55"/>
      <x:c r="N78" s="55"/>
      <x:c r="O78" s="55"/>
      <x:c r="P78" s="55"/>
      <x:c r="Q78" s="55"/>
      <x:c r="R78" s="55"/>
      <x:c r="S78" s="52"/>
      <x:c r="T78" s="52"/>
    </x:row>
    <x:row r="79">
      <x:c r="A79" s="52"/>
      <x:c r="B79" s="52"/>
      <x:c r="C79" s="54"/>
      <x:c r="D79" s="52"/>
      <x:c r="E79" s="52"/>
      <x:c r="F79" s="52"/>
      <x:c r="G79" s="52"/>
      <x:c r="H79" s="52"/>
      <x:c r="I79" s="52"/>
      <x:c r="J79" s="52"/>
      <x:c r="K79" s="52"/>
      <x:c r="L79" s="55"/>
      <x:c r="M79" s="55"/>
      <x:c r="N79" s="55"/>
      <x:c r="O79" s="55"/>
      <x:c r="P79" s="55"/>
      <x:c r="Q79" s="55"/>
      <x:c r="R79" s="55"/>
      <x:c r="S79" s="52"/>
      <x:c r="T79" s="52"/>
    </x:row>
    <x:row r="80">
      <x:c r="A80" s="52"/>
      <x:c r="B80" s="52"/>
      <x:c r="C80" s="54"/>
      <x:c r="D80" s="52"/>
      <x:c r="E80" s="52"/>
      <x:c r="F80" s="52"/>
      <x:c r="G80" s="52"/>
      <x:c r="H80" s="52"/>
      <x:c r="I80" s="52"/>
      <x:c r="J80" s="52"/>
      <x:c r="K80" s="52"/>
      <x:c r="L80" s="55"/>
      <x:c r="M80" s="55"/>
      <x:c r="N80" s="55"/>
      <x:c r="O80" s="55"/>
      <x:c r="P80" s="55"/>
      <x:c r="Q80" s="55"/>
      <x:c r="R80" s="55"/>
      <x:c r="S80" s="52"/>
      <x:c r="T80" s="52"/>
    </x:row>
    <x:row r="81">
      <x:c r="A81" s="52"/>
      <x:c r="B81" s="52"/>
      <x:c r="C81" s="54"/>
      <x:c r="D81" s="52"/>
      <x:c r="E81" s="52"/>
      <x:c r="F81" s="52"/>
      <x:c r="G81" s="52"/>
      <x:c r="H81" s="52"/>
      <x:c r="I81" s="52"/>
      <x:c r="J81" s="52"/>
      <x:c r="K81" s="52"/>
      <x:c r="L81" s="55"/>
      <x:c r="M81" s="55"/>
      <x:c r="N81" s="55"/>
      <x:c r="O81" s="55"/>
      <x:c r="P81" s="55"/>
      <x:c r="Q81" s="55"/>
      <x:c r="R81" s="55"/>
      <x:c r="S81" s="52"/>
      <x:c r="T81" s="52"/>
    </x:row>
    <x:row r="82">
      <x:c r="A82" s="52"/>
      <x:c r="B82" s="52"/>
      <x:c r="C82" s="54"/>
      <x:c r="D82" s="52"/>
      <x:c r="E82" s="52"/>
      <x:c r="F82" s="52"/>
      <x:c r="G82" s="52"/>
      <x:c r="H82" s="52"/>
      <x:c r="I82" s="52"/>
      <x:c r="J82" s="52"/>
      <x:c r="K82" s="52"/>
      <x:c r="L82" s="55"/>
      <x:c r="M82" s="55"/>
      <x:c r="N82" s="55"/>
      <x:c r="O82" s="55"/>
      <x:c r="P82" s="55"/>
      <x:c r="Q82" s="55"/>
      <x:c r="R82" s="55"/>
      <x:c r="S82" s="52"/>
      <x:c r="T82" s="52"/>
    </x:row>
    <x:row r="83">
      <x:c r="A83" s="52"/>
      <x:c r="B83" s="52"/>
      <x:c r="C83" s="54"/>
      <x:c r="D83" s="52"/>
      <x:c r="E83" s="52"/>
      <x:c r="F83" s="52"/>
      <x:c r="G83" s="52"/>
      <x:c r="H83" s="52"/>
      <x:c r="I83" s="52"/>
      <x:c r="J83" s="52"/>
      <x:c r="K83" s="52"/>
      <x:c r="L83" s="55"/>
      <x:c r="M83" s="55"/>
      <x:c r="N83" s="55"/>
      <x:c r="O83" s="55"/>
      <x:c r="P83" s="55"/>
      <x:c r="Q83" s="55"/>
      <x:c r="R83" s="55"/>
      <x:c r="S83" s="52"/>
      <x:c r="T83" s="52"/>
    </x:row>
    <x:row r="84">
      <x:c r="A84" s="52"/>
      <x:c r="B84" s="52"/>
      <x:c r="C84" s="54"/>
      <x:c r="D84" s="52"/>
      <x:c r="E84" s="52"/>
      <x:c r="F84" s="52"/>
      <x:c r="G84" s="52"/>
      <x:c r="H84" s="52"/>
      <x:c r="I84" s="52"/>
      <x:c r="J84" s="52"/>
      <x:c r="K84" s="52"/>
      <x:c r="L84" s="55"/>
      <x:c r="M84" s="55"/>
      <x:c r="N84" s="55"/>
      <x:c r="O84" s="55"/>
      <x:c r="P84" s="55"/>
      <x:c r="Q84" s="55"/>
      <x:c r="R84" s="55"/>
      <x:c r="S84" s="52"/>
      <x:c r="T84" s="52"/>
    </x:row>
    <x:row r="85">
      <x:c r="A85" s="52"/>
      <x:c r="B85" s="52"/>
      <x:c r="C85" s="54"/>
      <x:c r="D85" s="52"/>
      <x:c r="E85" s="52"/>
      <x:c r="F85" s="52"/>
      <x:c r="G85" s="52"/>
      <x:c r="H85" s="52"/>
      <x:c r="I85" s="52"/>
      <x:c r="J85" s="52"/>
      <x:c r="K85" s="52"/>
      <x:c r="L85" s="55"/>
      <x:c r="M85" s="55"/>
      <x:c r="N85" s="55"/>
      <x:c r="O85" s="55"/>
      <x:c r="P85" s="55"/>
      <x:c r="Q85" s="55"/>
      <x:c r="R85" s="55"/>
      <x:c r="S85" s="52"/>
      <x:c r="T85" s="52"/>
    </x:row>
    <x:row r="86">
      <x:c r="A86" s="52"/>
      <x:c r="B86" s="52"/>
      <x:c r="C86" s="54"/>
      <x:c r="D86" s="52"/>
      <x:c r="E86" s="52"/>
      <x:c r="F86" s="52"/>
      <x:c r="G86" s="52"/>
      <x:c r="H86" s="52"/>
      <x:c r="I86" s="52"/>
      <x:c r="J86" s="52"/>
      <x:c r="K86" s="52"/>
      <x:c r="L86" s="55"/>
      <x:c r="M86" s="55"/>
      <x:c r="N86" s="55"/>
      <x:c r="O86" s="55"/>
      <x:c r="P86" s="55"/>
      <x:c r="Q86" s="55"/>
      <x:c r="R86" s="55"/>
      <x:c r="S86" s="52"/>
      <x:c r="T86" s="52"/>
    </x:row>
    <x:row r="87">
      <x:c r="A87" s="52"/>
      <x:c r="B87" s="52"/>
      <x:c r="C87" s="54"/>
      <x:c r="D87" s="52"/>
      <x:c r="E87" s="52"/>
      <x:c r="F87" s="52"/>
      <x:c r="G87" s="52"/>
      <x:c r="H87" s="52"/>
      <x:c r="I87" s="52"/>
      <x:c r="J87" s="52"/>
      <x:c r="K87" s="52"/>
      <x:c r="L87" s="55"/>
      <x:c r="M87" s="55"/>
      <x:c r="N87" s="55"/>
      <x:c r="O87" s="55"/>
      <x:c r="P87" s="55"/>
      <x:c r="Q87" s="55"/>
      <x:c r="R87" s="55"/>
      <x:c r="S87" s="52"/>
      <x:c r="T87" s="52"/>
    </x:row>
    <x:row r="88">
      <x:c r="A88" s="52"/>
      <x:c r="B88" s="52"/>
      <x:c r="C88" s="54"/>
      <x:c r="D88" s="52"/>
      <x:c r="E88" s="52"/>
      <x:c r="F88" s="52"/>
      <x:c r="G88" s="52"/>
      <x:c r="H88" s="52"/>
      <x:c r="I88" s="52"/>
      <x:c r="J88" s="52"/>
      <x:c r="K88" s="52"/>
      <x:c r="L88" s="55"/>
      <x:c r="M88" s="55"/>
      <x:c r="N88" s="55"/>
      <x:c r="O88" s="55"/>
      <x:c r="P88" s="55"/>
      <x:c r="Q88" s="55"/>
      <x:c r="R88" s="55"/>
      <x:c r="S88" s="52"/>
      <x:c r="T88" s="52"/>
    </x:row>
    <x:row r="89">
      <x:c r="A89" s="52"/>
      <x:c r="B89" s="52"/>
      <x:c r="C89" s="54"/>
      <x:c r="D89" s="52"/>
      <x:c r="E89" s="52"/>
      <x:c r="F89" s="52"/>
      <x:c r="G89" s="52"/>
      <x:c r="H89" s="52"/>
      <x:c r="I89" s="52"/>
      <x:c r="J89" s="52"/>
      <x:c r="K89" s="52"/>
      <x:c r="L89" s="55"/>
      <x:c r="M89" s="55"/>
      <x:c r="N89" s="55"/>
      <x:c r="O89" s="55"/>
      <x:c r="P89" s="55"/>
      <x:c r="Q89" s="55"/>
      <x:c r="R89" s="55"/>
      <x:c r="S89" s="52"/>
      <x:c r="T89" s="52"/>
    </x:row>
    <x:row r="90">
      <x:c r="A90" s="52"/>
      <x:c r="B90" s="52"/>
      <x:c r="C90" s="54"/>
      <x:c r="D90" s="52"/>
      <x:c r="E90" s="52"/>
      <x:c r="F90" s="52"/>
      <x:c r="G90" s="52"/>
      <x:c r="H90" s="52"/>
      <x:c r="I90" s="52"/>
      <x:c r="J90" s="52"/>
      <x:c r="K90" s="52"/>
      <x:c r="L90" s="55"/>
      <x:c r="M90" s="55"/>
      <x:c r="N90" s="55"/>
      <x:c r="O90" s="55"/>
      <x:c r="P90" s="55"/>
      <x:c r="Q90" s="55"/>
      <x:c r="R90" s="55"/>
      <x:c r="S90" s="52"/>
      <x:c r="T90" s="52"/>
    </x:row>
    <x:row r="91">
      <x:c r="A91" s="52"/>
      <x:c r="B91" s="52"/>
      <x:c r="C91" s="54"/>
      <x:c r="D91" s="52"/>
      <x:c r="E91" s="52"/>
      <x:c r="F91" s="52"/>
      <x:c r="G91" s="52"/>
      <x:c r="H91" s="52"/>
      <x:c r="I91" s="52"/>
      <x:c r="J91" s="52"/>
      <x:c r="K91" s="52"/>
      <x:c r="L91" s="55"/>
      <x:c r="M91" s="55"/>
      <x:c r="N91" s="55"/>
      <x:c r="O91" s="55"/>
      <x:c r="P91" s="55"/>
      <x:c r="Q91" s="55"/>
      <x:c r="R91" s="55"/>
      <x:c r="S91" s="52"/>
      <x:c r="T91" s="52"/>
    </x:row>
    <x:row r="92">
      <x:c r="A92" s="52"/>
      <x:c r="B92" s="52"/>
      <x:c r="C92" s="54"/>
      <x:c r="D92" s="52"/>
      <x:c r="E92" s="52"/>
      <x:c r="F92" s="52"/>
      <x:c r="G92" s="52"/>
      <x:c r="H92" s="52"/>
      <x:c r="I92" s="52"/>
      <x:c r="J92" s="52"/>
      <x:c r="K92" s="52"/>
      <x:c r="L92" s="55"/>
      <x:c r="M92" s="55"/>
      <x:c r="N92" s="55"/>
      <x:c r="O92" s="55"/>
      <x:c r="P92" s="55"/>
      <x:c r="Q92" s="55"/>
      <x:c r="R92" s="55"/>
      <x:c r="S92" s="52"/>
      <x:c r="T92" s="52"/>
    </x:row>
    <x:row r="93">
      <x:c r="A93" s="52"/>
      <x:c r="B93" s="52"/>
      <x:c r="C93" s="54"/>
      <x:c r="D93" s="52"/>
      <x:c r="E93" s="52"/>
      <x:c r="F93" s="52"/>
      <x:c r="G93" s="52"/>
      <x:c r="H93" s="52"/>
      <x:c r="I93" s="52"/>
      <x:c r="J93" s="52"/>
      <x:c r="K93" s="52"/>
      <x:c r="L93" s="55"/>
      <x:c r="M93" s="55"/>
      <x:c r="N93" s="55"/>
      <x:c r="O93" s="55"/>
      <x:c r="P93" s="55"/>
      <x:c r="Q93" s="55"/>
      <x:c r="R93" s="55"/>
      <x:c r="S93" s="52"/>
      <x:c r="T93" s="52"/>
    </x:row>
    <x:row r="94">
      <x:c r="A94" s="52"/>
      <x:c r="B94" s="52"/>
      <x:c r="C94" s="54"/>
      <x:c r="D94" s="52"/>
      <x:c r="E94" s="52"/>
      <x:c r="F94" s="52"/>
      <x:c r="G94" s="52"/>
      <x:c r="H94" s="52"/>
      <x:c r="I94" s="52"/>
      <x:c r="J94" s="52"/>
      <x:c r="K94" s="52"/>
      <x:c r="L94" s="55"/>
      <x:c r="M94" s="55"/>
      <x:c r="N94" s="55"/>
      <x:c r="O94" s="55"/>
      <x:c r="P94" s="55"/>
      <x:c r="Q94" s="55"/>
      <x:c r="R94" s="55"/>
      <x:c r="S94" s="52"/>
      <x:c r="T94" s="52"/>
    </x:row>
    <x:row r="95">
      <x:c r="A95" s="52"/>
      <x:c r="B95" s="52"/>
      <x:c r="C95" s="54"/>
      <x:c r="D95" s="52"/>
      <x:c r="E95" s="52"/>
      <x:c r="F95" s="52"/>
      <x:c r="G95" s="52"/>
      <x:c r="H95" s="52"/>
      <x:c r="I95" s="52"/>
      <x:c r="J95" s="52"/>
      <x:c r="K95" s="52"/>
      <x:c r="L95" s="55"/>
      <x:c r="M95" s="55"/>
      <x:c r="N95" s="55"/>
      <x:c r="O95" s="55"/>
      <x:c r="P95" s="55"/>
      <x:c r="Q95" s="55"/>
      <x:c r="R95" s="55"/>
      <x:c r="S95" s="52"/>
      <x:c r="T95" s="52"/>
    </x:row>
    <x:row r="96">
      <x:c r="A96" s="52"/>
      <x:c r="B96" s="52"/>
      <x:c r="C96" s="54"/>
      <x:c r="D96" s="52"/>
      <x:c r="E96" s="52"/>
      <x:c r="F96" s="52"/>
      <x:c r="G96" s="52"/>
      <x:c r="H96" s="52"/>
      <x:c r="I96" s="52"/>
      <x:c r="J96" s="52"/>
      <x:c r="K96" s="52"/>
      <x:c r="L96" s="55"/>
      <x:c r="M96" s="55"/>
      <x:c r="N96" s="55"/>
      <x:c r="O96" s="55"/>
      <x:c r="P96" s="55"/>
      <x:c r="Q96" s="55"/>
      <x:c r="R96" s="55"/>
      <x:c r="S96" s="52"/>
      <x:c r="T96" s="52"/>
    </x:row>
    <x:row r="97">
      <x:c r="A97" s="52"/>
      <x:c r="B97" s="52"/>
      <x:c r="C97" s="54"/>
      <x:c r="D97" s="52"/>
      <x:c r="E97" s="52"/>
      <x:c r="F97" s="52"/>
      <x:c r="G97" s="52"/>
      <x:c r="H97" s="52"/>
      <x:c r="I97" s="52"/>
      <x:c r="J97" s="52"/>
      <x:c r="K97" s="52"/>
      <x:c r="L97" s="55"/>
      <x:c r="M97" s="55"/>
      <x:c r="N97" s="55"/>
      <x:c r="O97" s="55"/>
      <x:c r="P97" s="55"/>
      <x:c r="Q97" s="55"/>
      <x:c r="R97" s="55"/>
      <x:c r="S97" s="52"/>
      <x:c r="T97" s="52"/>
    </x:row>
    <x:row r="98">
      <x:c r="A98" s="52"/>
      <x:c r="B98" s="52"/>
      <x:c r="C98" s="54"/>
      <x:c r="D98" s="52"/>
      <x:c r="E98" s="52"/>
      <x:c r="F98" s="52"/>
      <x:c r="G98" s="52"/>
      <x:c r="H98" s="52"/>
      <x:c r="I98" s="52"/>
      <x:c r="J98" s="52"/>
      <x:c r="K98" s="52"/>
      <x:c r="L98" s="55"/>
      <x:c r="M98" s="55"/>
      <x:c r="N98" s="55"/>
      <x:c r="O98" s="55"/>
      <x:c r="P98" s="55"/>
      <x:c r="Q98" s="55"/>
      <x:c r="R98" s="55"/>
      <x:c r="S98" s="52"/>
      <x:c r="T98" s="52"/>
    </x:row>
    <x:row r="99">
      <x:c r="A99" s="52"/>
      <x:c r="B99" s="52"/>
      <x:c r="C99" s="54"/>
      <x:c r="D99" s="52"/>
      <x:c r="E99" s="52"/>
      <x:c r="F99" s="52"/>
      <x:c r="G99" s="52"/>
      <x:c r="H99" s="52"/>
      <x:c r="I99" s="52"/>
      <x:c r="J99" s="52"/>
      <x:c r="K99" s="52"/>
      <x:c r="L99" s="55"/>
      <x:c r="M99" s="55"/>
      <x:c r="N99" s="55"/>
      <x:c r="O99" s="55"/>
      <x:c r="P99" s="55"/>
      <x:c r="Q99" s="55"/>
      <x:c r="R99" s="55"/>
      <x:c r="S99" s="52"/>
      <x:c r="T99" s="52"/>
    </x:row>
    <x:row r="100">
      <x:c r="A100" s="52"/>
      <x:c r="B100" s="52"/>
      <x:c r="C100" s="54"/>
      <x:c r="D100" s="52"/>
      <x:c r="E100" s="52"/>
      <x:c r="F100" s="52"/>
      <x:c r="G100" s="52"/>
      <x:c r="H100" s="52"/>
      <x:c r="I100" s="52"/>
      <x:c r="J100" s="52"/>
      <x:c r="K100" s="52"/>
      <x:c r="L100" s="55"/>
      <x:c r="M100" s="55"/>
      <x:c r="N100" s="55"/>
      <x:c r="O100" s="55"/>
      <x:c r="P100" s="55"/>
      <x:c r="Q100" s="55"/>
      <x:c r="R100" s="55"/>
      <x:c r="S100" s="52"/>
      <x:c r="T100" s="52"/>
    </x:row>
    <x:row r="101"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</x:row>
    <x:row r="102"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</x:row>
    <x:row r="103"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</x:row>
    <x:row r="104"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</x:row>
    <x:row r="105"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</x:row>
    <x:row r="106"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</x:row>
    <x:row r="107"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</x:row>
    <x:row r="108"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</x:row>
    <x:row r="109"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</x:row>
    <x:row r="110"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</x:row>
    <x:row r="111"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</x:row>
    <x:row r="112"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</x:row>
    <x:row r="113"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</x:row>
    <x:row r="114"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</x:row>
    <x:row r="115"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</x:row>
    <x:row r="116"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</x:row>
    <x:row r="117"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</x:row>
    <x:row r="118"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</x:row>
    <x:row r="119"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</x:row>
    <x:row r="120"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</x:row>
    <x:row r="121"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</x:row>
    <x:row r="122"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</x:row>
    <x:row r="123"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</x:row>
    <x:row r="124"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</x:row>
    <x:row r="125"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</x:row>
    <x:row r="126"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</x:row>
    <x:row r="127"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</x:row>
    <x:row r="128"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</x:row>
    <x:row r="129"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</x:row>
    <x:row r="130"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</x:row>
    <x:row r="131"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</x:row>
    <x:row r="132"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</x:row>
    <x:row r="133"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</x:row>
    <x:row r="134"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</x:row>
    <x:row r="135"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</x:row>
    <x:row r="136"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</x:row>
    <x:row r="137"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</x:row>
    <x:row r="138"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</x:row>
    <x:row r="139"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</x:row>
    <x:row r="140"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</x:row>
    <x:row r="141"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</x:row>
    <x:row r="142"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</x:row>
    <x:row r="143"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</x:row>
    <x:row r="144"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</x:row>
    <x:row r="145"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</x:row>
    <x:row r="146"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</x:row>
    <x:row r="147"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</x:row>
    <x:row r="148"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</x:row>
    <x:row r="149"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</x:row>
    <x:row r="150"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</x:row>
    <x:row r="151"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</x:row>
    <x:row r="152"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</x:row>
    <x:row r="153"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</x:row>
    <x:row r="154"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</x:row>
    <x:row r="155"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</x:row>
    <x:row r="156"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</x:row>
    <x:row r="157"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</x:row>
    <x:row r="158"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</x:row>
    <x:row r="159"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</x:row>
    <x:row r="160"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</x:row>
    <x:row r="161"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</x:row>
    <x:row r="162"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</x:row>
    <x:row r="163"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</x:row>
    <x:row r="164"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</x:row>
    <x:row r="165"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</x:row>
    <x:row r="166"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</x:row>
    <x:row r="167"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</x:row>
    <x:row r="168"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</x:row>
    <x:row r="169"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</x:row>
    <x:row r="170"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</x:row>
    <x:row r="171"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</x:row>
    <x:row r="172"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</x:row>
    <x:row r="173"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</x:row>
    <x:row r="174"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</x:row>
    <x:row r="175"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</x:row>
    <x:row r="176"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</x:row>
    <x:row r="177"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</x:row>
    <x:row r="178"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</x:row>
    <x:row r="179"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</x:row>
    <x:row r="180"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</x:row>
    <x:row r="181"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</x:row>
    <x:row r="182"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</x:row>
    <x:row r="183"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</x:row>
    <x:row r="184"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</x:row>
    <x:row r="185"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</x:row>
    <x:row r="186"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</x:row>
    <x:row r="187"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</x:row>
    <x:row r="188"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</x:row>
    <x:row r="189"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</x:row>
    <x:row r="190"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</x:row>
    <x:row r="191"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</x:row>
    <x:row r="192"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</x:row>
    <x:row r="193"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</x:row>
    <x:row r="194"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</x:row>
    <x:row r="195"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</x:row>
    <x:row r="196"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</x:row>
    <x:row r="197"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</x:row>
    <x:row r="198"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</x:row>
    <x:row r="199"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</x:row>
    <x:row r="200"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</x:row>
    <x:row r="201"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</x:row>
    <x:row r="202"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</x:row>
    <x:row r="203"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</x:row>
    <x:row r="204"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</x:row>
    <x:row r="205"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</x:row>
    <x:row r="206"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</x:row>
    <x:row r="207"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</x:row>
    <x:row r="208"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</x:row>
    <x:row r="209"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</x:row>
    <x:row r="210"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</x:row>
    <x:row r="211"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</x:row>
    <x:row r="212"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</x:row>
    <x:row r="213"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</x:row>
    <x:row r="214"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</x:row>
    <x:row r="215"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</x:row>
    <x:row r="216"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</x:row>
    <x:row r="217"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</x:row>
    <x:row r="218"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</x:row>
    <x:row r="219"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</x:row>
    <x:row r="220"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</x:row>
    <x:row r="221"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</x:row>
    <x:row r="222"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</x:row>
    <x:row r="223"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</x:row>
    <x:row r="224"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</x:row>
    <x:row r="225"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</x:row>
    <x:row r="226"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</x:row>
    <x:row r="227"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</x:row>
    <x:row r="228"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</x:row>
    <x:row r="229"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</x:row>
    <x:row r="230"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</x:row>
    <x:row r="231"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</x:row>
    <x:row r="232"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</x:row>
    <x:row r="233"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</x:row>
    <x:row r="234"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</x:row>
    <x:row r="235"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</x:row>
    <x:row r="236"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</x:row>
    <x:row r="237"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</x:row>
    <x:row r="238"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</x:row>
    <x:row r="239"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</x:row>
    <x:row r="240"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</x:row>
    <x:row r="241"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</x:row>
    <x:row r="242"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</x:row>
    <x:row r="243"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</x:row>
    <x:row r="244"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</x:row>
    <x:row r="245"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  <x:row r="299"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</x:row>
    <x:row r="300"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</x:row>
    <x:row r="301"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</x:row>
    <x:row r="302"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</x:row>
    <x:row r="303"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</x:row>
    <x:row r="304"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</x:row>
    <x:row r="305"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</x:row>
    <x:row r="306"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</x:row>
    <x:row r="307"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</x:row>
    <x:row r="308"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</x:row>
    <x:row r="309"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</x:row>
    <x:row r="310"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</x:row>
    <x:row r="311"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</x:row>
    <x:row r="312"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</x:row>
    <x:row r="313"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</x:row>
    <x:row r="314"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</x:row>
    <x:row r="315"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</x:row>
    <x:row r="316"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</x:row>
    <x:row r="317"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</x:row>
    <x:row r="318"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</x:row>
    <x:row r="319"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</x:row>
    <x:row r="320"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</x:row>
    <x:row r="321"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</x:row>
    <x:row r="322"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</x:row>
    <x:row r="323"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</x:row>
    <x:row r="324"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</x:row>
    <x:row r="325"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</x:row>
    <x:row r="326"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</x:row>
    <x:row r="327"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</x:row>
    <x:row r="328"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</x:row>
    <x:row r="329"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</x:row>
    <x:row r="330"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</x:row>
    <x:row r="331"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</x:row>
    <x:row r="332"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</x:row>
    <x:row r="333"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</x:row>
    <x:row r="334"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</x:row>
    <x:row r="335"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</x:row>
    <x:row r="336"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</x:row>
    <x:row r="337"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</x:row>
    <x:row r="338"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</x:row>
    <x:row r="339"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</x:row>
    <x:row r="340"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</x:row>
    <x:row r="341"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</x:row>
    <x:row r="342"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</x:row>
    <x:row r="343"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</x:row>
    <x:row r="344"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</x:row>
    <x:row r="345"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</x:row>
    <x:row r="346"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</x:row>
    <x:row r="347"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</x:row>
    <x:row r="348"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</x:row>
    <x:row r="349"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</x:row>
    <x:row r="350"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</x:row>
    <x:row r="351"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</x:row>
    <x:row r="352"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</x:row>
    <x:row r="353"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</x:row>
    <x:row r="354"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</x:row>
    <x:row r="355"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</x:row>
    <x:row r="356"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</x:row>
    <x:row r="357"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</x:row>
    <x:row r="358"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</x:row>
    <x:row r="359"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</x:row>
    <x:row r="360"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</x:row>
    <x:row r="361"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</x:row>
    <x:row r="362"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</x:row>
    <x:row r="363"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</x:row>
    <x:row r="364"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</x:row>
    <x:row r="365"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</x:row>
    <x:row r="366"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</x:row>
    <x:row r="367"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</x:row>
    <x:row r="368"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</x:row>
    <x:row r="369"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</x:row>
    <x:row r="370"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</x:row>
    <x:row r="371"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</x:row>
    <x:row r="372"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</x:row>
    <x:row r="373"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</x:row>
    <x:row r="374"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</x:row>
    <x:row r="375"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</x:row>
    <x:row r="376"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</x:row>
    <x:row r="377"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</x:row>
    <x:row r="378"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</x:row>
    <x:row r="379"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</x:row>
    <x:row r="380"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</x:row>
    <x:row r="381"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</x:row>
    <x:row r="382"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</x:row>
    <x:row r="383"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</x:row>
    <x:row r="384"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</x:row>
    <x:row r="385"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</x:row>
    <x:row r="386"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</x:row>
    <x:row r="387"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</x:row>
    <x:row r="388"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</x:row>
    <x:row r="389"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</x:row>
    <x:row r="390"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</x:row>
    <x:row r="391"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</x:row>
    <x:row r="392"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</x:row>
    <x:row r="393"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</x:row>
    <x:row r="394"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</x:row>
    <x:row r="395"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</x:row>
    <x:row r="396"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</x:row>
    <x:row r="397"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</x:row>
    <x:row r="398"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</x:row>
    <x:row r="399"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</x:row>
    <x:row r="400"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</x:row>
    <x:row r="401"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</x:row>
    <x:row r="402"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</x:row>
    <x:row r="403"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</x:row>
    <x:row r="404"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</x:row>
    <x:row r="405"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</x:row>
    <x:row r="406"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</x:row>
    <x:row r="407"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</x:row>
    <x:row r="408"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</x:row>
    <x:row r="409"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</x:row>
    <x:row r="410"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</x:row>
    <x:row r="411"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</x:row>
    <x:row r="412"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</x:row>
    <x:row r="413"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</x:row>
    <x:row r="414"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</x:row>
    <x:row r="415"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</x:row>
    <x:row r="416"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</x:row>
    <x:row r="417"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</x:row>
    <x:row r="418"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</x:row>
    <x:row r="419"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</x:row>
    <x:row r="420"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</x:row>
    <x:row r="421"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</x:row>
    <x:row r="422"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</x:row>
    <x:row r="423"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</x:row>
    <x:row r="424"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</x:row>
    <x:row r="425"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</x:row>
    <x:row r="426"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</x:row>
    <x:row r="427"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</x:row>
    <x:row r="428"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</x:row>
    <x:row r="429"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</x:row>
    <x:row r="430"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</x:row>
    <x:row r="431"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</x:row>
    <x:row r="432"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</x:row>
    <x:row r="433"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</x:row>
    <x:row r="434"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</x:row>
    <x:row r="435"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</x:row>
    <x:row r="436"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</x:row>
    <x:row r="437"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</x:row>
    <x:row r="438"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</x:row>
    <x:row r="439"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</x:row>
    <x:row r="440"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</x:row>
    <x:row r="441"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</x:row>
    <x:row r="442"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</x:row>
    <x:row r="443"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</x:row>
    <x:row r="444"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</x:row>
    <x:row r="445"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</x:row>
    <x:row r="446"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</x:row>
    <x:row r="447"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</x:row>
    <x:row r="448"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</x:row>
    <x:row r="449"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</x:row>
    <x:row r="450"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</x:row>
    <x:row r="451"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</x:row>
    <x:row r="452"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</x:row>
    <x:row r="453"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</x:row>
    <x:row r="454"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</x:row>
    <x:row r="455"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</x:row>
    <x:row r="456"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</x:row>
    <x:row r="457"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</x:row>
    <x:row r="458"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</x:row>
    <x:row r="459"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</x:row>
    <x:row r="460"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</x:row>
    <x:row r="461"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</x:row>
    <x:row r="462"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</x:row>
    <x:row r="463"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</x:row>
    <x:row r="464"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</x:row>
    <x:row r="465"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</x:row>
    <x:row r="466"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</x:row>
    <x:row r="467"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</x:row>
    <x:row r="468"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</x:row>
    <x:row r="469"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</x:row>
    <x:row r="470"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</x:row>
    <x:row r="471"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</x:row>
    <x:row r="472"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</x:row>
    <x:row r="473"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</x:row>
    <x:row r="474"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</x:row>
    <x:row r="475"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</x:row>
    <x:row r="476"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</x:row>
    <x:row r="477"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</x:row>
    <x:row r="478"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</x:row>
    <x:row r="479"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</x:row>
    <x:row r="480"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</x:row>
    <x:row r="481"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</x:row>
    <x:row r="482"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</x:row>
    <x:row r="483"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</x:row>
    <x:row r="484"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</x:row>
    <x:row r="485"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</x:row>
    <x:row r="486"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</x:row>
    <x:row r="487"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</x:row>
    <x:row r="488"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</x:row>
    <x:row r="489"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</x:row>
    <x:row r="490"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</x:row>
    <x:row r="491"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</x:row>
    <x:row r="492"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</x:row>
    <x:row r="493"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</x:row>
    <x:row r="494"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</x:row>
    <x:row r="495"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</x:row>
    <x:row r="496"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</x:row>
    <x:row r="497"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</x:row>
    <x:row r="498"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</x:row>
    <x:row r="499"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</x:row>
    <x:row r="500"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4" customHeight="1">
      <x:c r="A1" s="49" t="str">
        <x:v>support_type</x:v>
      </x:c>
      <x:c r="B1" s="49" t="str">
        <x:v>cases</x:v>
      </x:c>
      <x:c r="C1" s="51" t="str">
        <x:v>total_amount</x:v>
      </x:c>
      <x:c r="D1" s="51" t="str">
        <x:v>zakat_amount</x:v>
      </x:c>
      <x:c r="E1" s="51" t="str">
        <x:v>sadaqah_amount</x:v>
      </x:c>
      <x:c r="F1" s="49" t="str">
        <x:v>mixed_cases</x:v>
      </x:c>
      <x:c r="G1" s="49" t="str">
        <x:v>public_label</x:v>
      </x:c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</x:row>
    <x:row r="2">
      <x:c r="A2" s="52" t="str">
        <x:f>IFERROR(INDEX(SORT(UNIQUE(FILTER(CaseLedger!$K$2:$K$500,CaseLedger!$K$2:$K$500&lt;&gt;""))),ROW(A1)),"")</x:f>
        <x:v>Agriculture / animal livelihood</x:v>
      </x:c>
      <x:c r="B2" s="52" t="n">
        <x:f>IF($A2="","",SUMPRODUCT((CaseLedger!$K$2:$K$500=$A2)*--(((CaseLedger!$B$2:$B$500=TRUE)+(CaseLedger!$B$2:$B$500="TRUE"))&gt;0)))</x:f>
        <x:v>1</x:v>
      </x:c>
      <x:c r="C2" s="55" t="n">
        <x:f>IF($A2="","",SUMPRODUCT((CaseLedger!$K$2:$K$500=$A2)*--(((CaseLedger!$B$2:$B$500=TRUE)+(CaseLedger!$B$2:$B$500="TRUE"))&gt;0)*CaseLedger!$N$2:$N$500))</x:f>
        <x:v>25000</x:v>
      </x:c>
      <x:c r="D2" s="55" t="n">
        <x:f>IF($A2="","",SUMPRODUCT((CaseLedger!$K$2:$K$500=$A2)*--(((CaseLedger!$B$2:$B$500=TRUE)+(CaseLedger!$B$2:$B$500="TRUE"))&gt;0)*CaseLedger!$L$2:$L$500))</x:f>
        <x:v>0</x:v>
      </x:c>
      <x:c r="E2" s="55" t="n">
        <x:f>IF($A2="","",SUMPRODUCT((CaseLedger!$K$2:$K$500=$A2)*--(((CaseLedger!$B$2:$B$500=TRUE)+(CaseLedger!$B$2:$B$500="TRUE"))&gt;0)*CaseLedger!$M$2:$M$500))</x:f>
        <x:v>25000</x:v>
      </x:c>
      <x:c r="F2" s="52" t="n">
        <x:f>IF($A2="","",SUMPRODUCT((CaseLedger!$K$2:$K$500=$A2)*--(((CaseLedger!$B$2:$B$500=TRUE)+(CaseLedger!$B$2:$B$500="TRUE"))&gt;0)*(CaseLedger!$O$2:$O$500="Mixed")))</x:f>
        <x:v>0</x:v>
      </x:c>
      <x:c r="G2" s="52" t="str">
        <x:f>IF($A2="","",$A2)</x:f>
        <x:v>Agriculture / animal livelihood</x:v>
      </x:c>
    </x:row>
    <x:row r="3">
      <x:c r="A3" s="52" t="str">
        <x:f>IFERROR(INDEX(SORT(UNIQUE(FILTER(CaseLedger!$K$2:$K$500,CaseLedger!$K$2:$K$500&lt;&gt;""))),ROW(A2)),"")</x:f>
        <x:v>E-rickshaw / auto</x:v>
      </x:c>
      <x:c r="B3" s="52" t="n">
        <x:f>IF($A3="","",SUMPRODUCT((CaseLedger!$K$2:$K$500=$A3)*--(((CaseLedger!$B$2:$B$500=TRUE)+(CaseLedger!$B$2:$B$500="TRUE"))&gt;0)))</x:f>
        <x:v>5</x:v>
      </x:c>
      <x:c r="C3" s="55" t="n">
        <x:f>IF($A3="","",SUMPRODUCT((CaseLedger!$K$2:$K$500=$A3)*--(((CaseLedger!$B$2:$B$500=TRUE)+(CaseLedger!$B$2:$B$500="TRUE"))&gt;0)*CaseLedger!$N$2:$N$500))</x:f>
        <x:v>101000</x:v>
      </x:c>
      <x:c r="D3" s="55" t="n">
        <x:f>IF($A3="","",SUMPRODUCT((CaseLedger!$K$2:$K$500=$A3)*--(((CaseLedger!$B$2:$B$500=TRUE)+(CaseLedger!$B$2:$B$500="TRUE"))&gt;0)*CaseLedger!$L$2:$L$500))</x:f>
        <x:v>66200</x:v>
      </x:c>
      <x:c r="E3" s="55" t="n">
        <x:f>IF($A3="","",SUMPRODUCT((CaseLedger!$K$2:$K$500=$A3)*--(((CaseLedger!$B$2:$B$500=TRUE)+(CaseLedger!$B$2:$B$500="TRUE"))&gt;0)*CaseLedger!$M$2:$M$500))</x:f>
        <x:v>34800</x:v>
      </x:c>
      <x:c r="F3" s="52" t="n">
        <x:f>IF($A3="","",SUMPRODUCT((CaseLedger!$K$2:$K$500=$A3)*--(((CaseLedger!$B$2:$B$500=TRUE)+(CaseLedger!$B$2:$B$500="TRUE"))&gt;0)*(CaseLedger!$O$2:$O$500="Mixed")))</x:f>
        <x:v>1</x:v>
      </x:c>
      <x:c r="G3" s="52" t="str">
        <x:f>IF($A3="","",$A3)</x:f>
        <x:v>E-rickshaw / auto</x:v>
      </x:c>
    </x:row>
    <x:row r="4">
      <x:c r="A4" s="52" t="str">
        <x:f>IFERROR(INDEX(SORT(UNIQUE(FILTER(CaseLedger!$K$2:$K$500,CaseLedger!$K$2:$K$500&lt;&gt;""))),ROW(A3)),"")</x:f>
        <x:v>Education / course sponsorship</x:v>
      </x:c>
      <x:c r="B4" s="52" t="n">
        <x:f>IF($A4="","",SUMPRODUCT((CaseLedger!$K$2:$K$500=$A4)*--(((CaseLedger!$B$2:$B$500=TRUE)+(CaseLedger!$B$2:$B$500="TRUE"))&gt;0)))</x:f>
        <x:v>1</x:v>
      </x:c>
      <x:c r="C4" s="55" t="n">
        <x:f>IF($A4="","",SUMPRODUCT((CaseLedger!$K$2:$K$500=$A4)*--(((CaseLedger!$B$2:$B$500=TRUE)+(CaseLedger!$B$2:$B$500="TRUE"))&gt;0)*CaseLedger!$N$2:$N$500))</x:f>
        <x:v>12000</x:v>
      </x:c>
      <x:c r="D4" s="55" t="n">
        <x:f>IF($A4="","",SUMPRODUCT((CaseLedger!$K$2:$K$500=$A4)*--(((CaseLedger!$B$2:$B$500=TRUE)+(CaseLedger!$B$2:$B$500="TRUE"))&gt;0)*CaseLedger!$L$2:$L$500))</x:f>
        <x:v>0</x:v>
      </x:c>
      <x:c r="E4" s="55" t="n">
        <x:f>IF($A4="","",SUMPRODUCT((CaseLedger!$K$2:$K$500=$A4)*--(((CaseLedger!$B$2:$B$500=TRUE)+(CaseLedger!$B$2:$B$500="TRUE"))&gt;0)*CaseLedger!$M$2:$M$500))</x:f>
        <x:v>12000</x:v>
      </x:c>
      <x:c r="F4" s="52" t="n">
        <x:f>IF($A4="","",SUMPRODUCT((CaseLedger!$K$2:$K$500=$A4)*--(((CaseLedger!$B$2:$B$500=TRUE)+(CaseLedger!$B$2:$B$500="TRUE"))&gt;0)*(CaseLedger!$O$2:$O$500="Mixed")))</x:f>
        <x:v>0</x:v>
      </x:c>
      <x:c r="G4" s="52" t="str">
        <x:f>IF($A4="","",$A4)</x:f>
        <x:v>Education / course sponsorship</x:v>
      </x:c>
    </x:row>
    <x:row r="5">
      <x:c r="A5" s="52" t="str">
        <x:f>IFERROR(INDEX(SORT(UNIQUE(FILTER(CaseLedger!$K$2:$K$500,CaseLedger!$K$2:$K$500&lt;&gt;""))),ROW(A4)),"")</x:f>
        <x:v>Education / Maktab</x:v>
      </x:c>
      <x:c r="B5" s="52" t="n">
        <x:f>IF($A5="","",SUMPRODUCT((CaseLedger!$K$2:$K$500=$A5)*--(((CaseLedger!$B$2:$B$500=TRUE)+(CaseLedger!$B$2:$B$500="TRUE"))&gt;0)))</x:f>
        <x:v>1</x:v>
      </x:c>
      <x:c r="C5" s="55" t="n">
        <x:f>IF($A5="","",SUMPRODUCT((CaseLedger!$K$2:$K$500=$A5)*--(((CaseLedger!$B$2:$B$500=TRUE)+(CaseLedger!$B$2:$B$500="TRUE"))&gt;0)*CaseLedger!$N$2:$N$500))</x:f>
        <x:v>30000</x:v>
      </x:c>
      <x:c r="D5" s="55" t="n">
        <x:f>IF($A5="","",SUMPRODUCT((CaseLedger!$K$2:$K$500=$A5)*--(((CaseLedger!$B$2:$B$500=TRUE)+(CaseLedger!$B$2:$B$500="TRUE"))&gt;0)*CaseLedger!$L$2:$L$500))</x:f>
        <x:v>14900</x:v>
      </x:c>
      <x:c r="E5" s="55" t="n">
        <x:f>IF($A5="","",SUMPRODUCT((CaseLedger!$K$2:$K$500=$A5)*--(((CaseLedger!$B$2:$B$500=TRUE)+(CaseLedger!$B$2:$B$500="TRUE"))&gt;0)*CaseLedger!$M$2:$M$500))</x:f>
        <x:v>15100</x:v>
      </x:c>
      <x:c r="F5" s="52" t="n">
        <x:f>IF($A5="","",SUMPRODUCT((CaseLedger!$K$2:$K$500=$A5)*--(((CaseLedger!$B$2:$B$500=TRUE)+(CaseLedger!$B$2:$B$500="TRUE"))&gt;0)*(CaseLedger!$O$2:$O$500="Mixed")))</x:f>
        <x:v>1</x:v>
      </x:c>
      <x:c r="G5" s="52" t="str">
        <x:f>IF($A5="","",$A5)</x:f>
        <x:v>Education / Maktab</x:v>
      </x:c>
    </x:row>
    <x:row r="6">
      <x:c r="A6" s="52" t="str">
        <x:f>IFERROR(INDEX(SORT(UNIQUE(FILTER(CaseLedger!$K$2:$K$500,CaseLedger!$K$2:$K$500&lt;&gt;""))),ROW(A5)),"")</x:f>
        <x:v>Masjid / community support</x:v>
      </x:c>
      <x:c r="B6" s="52" t="n">
        <x:f>IF($A6="","",SUMPRODUCT((CaseLedger!$K$2:$K$500=$A6)*--(((CaseLedger!$B$2:$B$500=TRUE)+(CaseLedger!$B$2:$B$500="TRUE"))&gt;0)))</x:f>
        <x:v>1</x:v>
      </x:c>
      <x:c r="C6" s="55" t="n">
        <x:f>IF($A6="","",SUMPRODUCT((CaseLedger!$K$2:$K$500=$A6)*--(((CaseLedger!$B$2:$B$500=TRUE)+(CaseLedger!$B$2:$B$500="TRUE"))&gt;0)*CaseLedger!$N$2:$N$500))</x:f>
        <x:v>4500</x:v>
      </x:c>
      <x:c r="D6" s="55" t="n">
        <x:f>IF($A6="","",SUMPRODUCT((CaseLedger!$K$2:$K$500=$A6)*--(((CaseLedger!$B$2:$B$500=TRUE)+(CaseLedger!$B$2:$B$500="TRUE"))&gt;0)*CaseLedger!$L$2:$L$500))</x:f>
        <x:v>0</x:v>
      </x:c>
      <x:c r="E6" s="55" t="n">
        <x:f>IF($A6="","",SUMPRODUCT((CaseLedger!$K$2:$K$500=$A6)*--(((CaseLedger!$B$2:$B$500=TRUE)+(CaseLedger!$B$2:$B$500="TRUE"))&gt;0)*CaseLedger!$M$2:$M$500))</x:f>
        <x:v>4500</x:v>
      </x:c>
      <x:c r="F6" s="52" t="n">
        <x:f>IF($A6="","",SUMPRODUCT((CaseLedger!$K$2:$K$500=$A6)*--(((CaseLedger!$B$2:$B$500=TRUE)+(CaseLedger!$B$2:$B$500="TRUE"))&gt;0)*(CaseLedger!$O$2:$O$500="Mixed")))</x:f>
        <x:v>0</x:v>
      </x:c>
      <x:c r="G6" s="52" t="str">
        <x:f>IF($A6="","",$A6)</x:f>
        <x:v>Masjid / community support</x:v>
      </x:c>
    </x:row>
    <x:row r="7">
      <x:c r="A7" s="52" t="str">
        <x:f>IFERROR(INDEX(SORT(UNIQUE(FILTER(CaseLedger!$K$2:$K$500,CaseLedger!$K$2:$K$500&lt;&gt;""))),ROW(A6)),"")</x:f>
        <x:v>Relief / emergency support</x:v>
      </x:c>
      <x:c r="B7" s="52" t="n">
        <x:f>IF($A7="","",SUMPRODUCT((CaseLedger!$K$2:$K$500=$A7)*--(((CaseLedger!$B$2:$B$500=TRUE)+(CaseLedger!$B$2:$B$500="TRUE"))&gt;0)))</x:f>
        <x:v>5</x:v>
      </x:c>
      <x:c r="C7" s="55" t="n">
        <x:f>IF($A7="","",SUMPRODUCT((CaseLedger!$K$2:$K$500=$A7)*--(((CaseLedger!$B$2:$B$500=TRUE)+(CaseLedger!$B$2:$B$500="TRUE"))&gt;0)*CaseLedger!$N$2:$N$500))</x:f>
        <x:v>41656</x:v>
      </x:c>
      <x:c r="D7" s="55" t="n">
        <x:f>IF($A7="","",SUMPRODUCT((CaseLedger!$K$2:$K$500=$A7)*--(((CaseLedger!$B$2:$B$500=TRUE)+(CaseLedger!$B$2:$B$500="TRUE"))&gt;0)*CaseLedger!$L$2:$L$500))</x:f>
        <x:v>25000</x:v>
      </x:c>
      <x:c r="E7" s="55" t="n">
        <x:f>IF($A7="","",SUMPRODUCT((CaseLedger!$K$2:$K$500=$A7)*--(((CaseLedger!$B$2:$B$500=TRUE)+(CaseLedger!$B$2:$B$500="TRUE"))&gt;0)*CaseLedger!$M$2:$M$500))</x:f>
        <x:v>16656</x:v>
      </x:c>
      <x:c r="F7" s="52" t="n">
        <x:f>IF($A7="","",SUMPRODUCT((CaseLedger!$K$2:$K$500=$A7)*--(((CaseLedger!$B$2:$B$500=TRUE)+(CaseLedger!$B$2:$B$500="TRUE"))&gt;0)*(CaseLedger!$O$2:$O$500="Mixed")))</x:f>
        <x:v>0</x:v>
      </x:c>
      <x:c r="G7" s="52" t="str">
        <x:f>IF($A7="","",$A7)</x:f>
        <x:v>Relief / emergency support</x:v>
      </x:c>
    </x:row>
    <x:row r="8">
      <x:c r="A8" s="52" t="str">
        <x:f>IFERROR(INDEX(SORT(UNIQUE(FILTER(CaseLedger!$K$2:$K$500,CaseLedger!$K$2:$K$500&lt;&gt;""))),ROW(A7)),"")</x:f>
        <x:v>Sewing / tailoring</x:v>
      </x:c>
      <x:c r="B8" s="52" t="n">
        <x:f>IF($A8="","",SUMPRODUCT((CaseLedger!$K$2:$K$500=$A8)*--(((CaseLedger!$B$2:$B$500=TRUE)+(CaseLedger!$B$2:$B$500="TRUE"))&gt;0)))</x:f>
        <x:v>10</x:v>
      </x:c>
      <x:c r="C8" s="55" t="n">
        <x:f>IF($A8="","",SUMPRODUCT((CaseLedger!$K$2:$K$500=$A8)*--(((CaseLedger!$B$2:$B$500=TRUE)+(CaseLedger!$B$2:$B$500="TRUE"))&gt;0)*CaseLedger!$N$2:$N$500))</x:f>
        <x:v>151350</x:v>
      </x:c>
      <x:c r="D8" s="55" t="n">
        <x:f>IF($A8="","",SUMPRODUCT((CaseLedger!$K$2:$K$500=$A8)*--(((CaseLedger!$B$2:$B$500=TRUE)+(CaseLedger!$B$2:$B$500="TRUE"))&gt;0)*CaseLedger!$L$2:$L$500))</x:f>
        <x:v>35000</x:v>
      </x:c>
      <x:c r="E8" s="55" t="n">
        <x:f>IF($A8="","",SUMPRODUCT((CaseLedger!$K$2:$K$500=$A8)*--(((CaseLedger!$B$2:$B$500=TRUE)+(CaseLedger!$B$2:$B$500="TRUE"))&gt;0)*CaseLedger!$M$2:$M$500))</x:f>
        <x:v>116350</x:v>
      </x:c>
      <x:c r="F8" s="52" t="n">
        <x:f>IF($A8="","",SUMPRODUCT((CaseLedger!$K$2:$K$500=$A8)*--(((CaseLedger!$B$2:$B$500=TRUE)+(CaseLedger!$B$2:$B$500="TRUE"))&gt;0)*(CaseLedger!$O$2:$O$500="Mixed")))</x:f>
        <x:v>2</x:v>
      </x:c>
      <x:c r="G8" s="52" t="str">
        <x:f>IF($A8="","",$A8)</x:f>
        <x:v>Sewing / tailoring</x:v>
      </x:c>
    </x:row>
    <x:row r="9">
      <x:c r="A9" s="52" t="str">
        <x:f>IFERROR(INDEX(SORT(UNIQUE(FILTER(CaseLedger!$K$2:$K$500,CaseLedger!$K$2:$K$500&lt;&gt;""))),ROW(A8)),"")</x:f>
        <x:v>Shop / business inventory</x:v>
      </x:c>
      <x:c r="B9" s="52" t="n">
        <x:f>IF($A9="","",SUMPRODUCT((CaseLedger!$K$2:$K$500=$A9)*--(((CaseLedger!$B$2:$B$500=TRUE)+(CaseLedger!$B$2:$B$500="TRUE"))&gt;0)))</x:f>
        <x:v>17</x:v>
      </x:c>
      <x:c r="C9" s="55" t="n">
        <x:f>IF($A9="","",SUMPRODUCT((CaseLedger!$K$2:$K$500=$A9)*--(((CaseLedger!$B$2:$B$500=TRUE)+(CaseLedger!$B$2:$B$500="TRUE"))&gt;0)*CaseLedger!$N$2:$N$500))</x:f>
        <x:v>265000</x:v>
      </x:c>
      <x:c r="D9" s="55" t="n">
        <x:f>IF($A9="","",SUMPRODUCT((CaseLedger!$K$2:$K$500=$A9)*--(((CaseLedger!$B$2:$B$500=TRUE)+(CaseLedger!$B$2:$B$500="TRUE"))&gt;0)*CaseLedger!$L$2:$L$500))</x:f>
        <x:v>88600</x:v>
      </x:c>
      <x:c r="E9" s="55" t="n">
        <x:f>IF($A9="","",SUMPRODUCT((CaseLedger!$K$2:$K$500=$A9)*--(((CaseLedger!$B$2:$B$500=TRUE)+(CaseLedger!$B$2:$B$500="TRUE"))&gt;0)*CaseLedger!$M$2:$M$500))</x:f>
        <x:v>176400</x:v>
      </x:c>
      <x:c r="F9" s="52" t="n">
        <x:f>IF($A9="","",SUMPRODUCT((CaseLedger!$K$2:$K$500=$A9)*--(((CaseLedger!$B$2:$B$500=TRUE)+(CaseLedger!$B$2:$B$500="TRUE"))&gt;0)*(CaseLedger!$O$2:$O$500="Mixed")))</x:f>
        <x:v>2</x:v>
      </x:c>
      <x:c r="G9" s="52" t="str">
        <x:f>IF($A9="","",$A9)</x:f>
        <x:v>Shop / business inventory</x:v>
      </x:c>
    </x:row>
    <x:row r="10">
      <x:c r="A10" s="52" t="str">
        <x:f>IFERROR(INDEX(SORT(UNIQUE(FILTER(CaseLedger!$K$2:$K$500,CaseLedger!$K$2:$K$500&lt;&gt;""))),ROW(A9)),"")</x:f>
        <x:v>Tools / equipment</x:v>
      </x:c>
      <x:c r="B10" s="52" t="n">
        <x:f>IF($A10="","",SUMPRODUCT((CaseLedger!$K$2:$K$500=$A10)*--(((CaseLedger!$B$2:$B$500=TRUE)+(CaseLedger!$B$2:$B$500="TRUE"))&gt;0)))</x:f>
        <x:v>5</x:v>
      </x:c>
      <x:c r="C10" s="55" t="n">
        <x:f>IF($A10="","",SUMPRODUCT((CaseLedger!$K$2:$K$500=$A10)*--(((CaseLedger!$B$2:$B$500=TRUE)+(CaseLedger!$B$2:$B$500="TRUE"))&gt;0)*CaseLedger!$N$2:$N$500))</x:f>
        <x:v>62000</x:v>
      </x:c>
      <x:c r="D10" s="55" t="n">
        <x:f>IF($A10="","",SUMPRODUCT((CaseLedger!$K$2:$K$500=$A10)*--(((CaseLedger!$B$2:$B$500=TRUE)+(CaseLedger!$B$2:$B$500="TRUE"))&gt;0)*CaseLedger!$L$2:$L$500))</x:f>
        <x:v>25000</x:v>
      </x:c>
      <x:c r="E10" s="55" t="n">
        <x:f>IF($A10="","",SUMPRODUCT((CaseLedger!$K$2:$K$500=$A10)*--(((CaseLedger!$B$2:$B$500=TRUE)+(CaseLedger!$B$2:$B$500="TRUE"))&gt;0)*CaseLedger!$M$2:$M$500))</x:f>
        <x:v>37000</x:v>
      </x:c>
      <x:c r="F10" s="52" t="n">
        <x:f>IF($A10="","",SUMPRODUCT((CaseLedger!$K$2:$K$500=$A10)*--(((CaseLedger!$B$2:$B$500=TRUE)+(CaseLedger!$B$2:$B$500="TRUE"))&gt;0)*(CaseLedger!$O$2:$O$500="Mixed")))</x:f>
        <x:v>0</x:v>
      </x:c>
      <x:c r="G10" s="52" t="str">
        <x:f>IF($A10="","",$A10)</x:f>
        <x:v>Tools / equipment</x:v>
      </x:c>
    </x:row>
    <x:row r="11">
      <x:c r="A11" s="52" t="str">
        <x:f>IFERROR(INDEX(SORT(UNIQUE(FILTER(CaseLedger!$K$2:$K$500,CaseLedger!$K$2:$K$500&lt;&gt;""))),ROW(A10)),"")</x:f>
      </x:c>
      <x:c r="B11" s="52" t="str">
        <x:f>IF($A11="","",SUMPRODUCT((CaseLedger!$K$2:$K$500=$A11)*--(((CaseLedger!$B$2:$B$500=TRUE)+(CaseLedger!$B$2:$B$500="TRUE"))&gt;0)))</x:f>
      </x:c>
      <x:c r="C11" s="55" t="str">
        <x:f>IF($A11="","",SUMPRODUCT((CaseLedger!$K$2:$K$500=$A11)*--(((CaseLedger!$B$2:$B$500=TRUE)+(CaseLedger!$B$2:$B$500="TRUE"))&gt;0)*CaseLedger!$N$2:$N$500))</x:f>
      </x:c>
      <x:c r="D11" s="55" t="str">
        <x:f>IF($A11="","",SUMPRODUCT((CaseLedger!$K$2:$K$500=$A11)*--(((CaseLedger!$B$2:$B$500=TRUE)+(CaseLedger!$B$2:$B$500="TRUE"))&gt;0)*CaseLedger!$L$2:$L$500))</x:f>
      </x:c>
      <x:c r="E11" s="55" t="str">
        <x:f>IF($A11="","",SUMPRODUCT((CaseLedger!$K$2:$K$500=$A11)*--(((CaseLedger!$B$2:$B$500=TRUE)+(CaseLedger!$B$2:$B$500="TRUE"))&gt;0)*CaseLedger!$M$2:$M$500))</x:f>
      </x:c>
      <x:c r="F11" s="52" t="str">
        <x:f>IF($A11="","",SUMPRODUCT((CaseLedger!$K$2:$K$500=$A11)*--(((CaseLedger!$B$2:$B$500=TRUE)+(CaseLedger!$B$2:$B$500="TRUE"))&gt;0)*(CaseLedger!$O$2:$O$500="Mixed")))</x:f>
      </x:c>
      <x:c r="G11" s="52" t="str">
        <x:f>IF($A11="","",$A11)</x:f>
      </x:c>
    </x:row>
    <x:row r="12">
      <x:c r="A12" s="52" t="str">
        <x:f>IFERROR(INDEX(SORT(UNIQUE(FILTER(CaseLedger!$K$2:$K$500,CaseLedger!$K$2:$K$500&lt;&gt;""))),ROW(A11)),"")</x:f>
      </x:c>
      <x:c r="B12" s="52" t="str">
        <x:f>IF($A12="","",SUMPRODUCT((CaseLedger!$K$2:$K$500=$A12)*--(((CaseLedger!$B$2:$B$500=TRUE)+(CaseLedger!$B$2:$B$500="TRUE"))&gt;0)))</x:f>
      </x:c>
      <x:c r="C12" s="55" t="str">
        <x:f>IF($A12="","",SUMPRODUCT((CaseLedger!$K$2:$K$500=$A12)*--(((CaseLedger!$B$2:$B$500=TRUE)+(CaseLedger!$B$2:$B$500="TRUE"))&gt;0)*CaseLedger!$N$2:$N$500))</x:f>
      </x:c>
      <x:c r="D12" s="55" t="str">
        <x:f>IF($A12="","",SUMPRODUCT((CaseLedger!$K$2:$K$500=$A12)*--(((CaseLedger!$B$2:$B$500=TRUE)+(CaseLedger!$B$2:$B$500="TRUE"))&gt;0)*CaseLedger!$L$2:$L$500))</x:f>
      </x:c>
      <x:c r="E12" s="55" t="str">
        <x:f>IF($A12="","",SUMPRODUCT((CaseLedger!$K$2:$K$500=$A12)*--(((CaseLedger!$B$2:$B$500=TRUE)+(CaseLedger!$B$2:$B$500="TRUE"))&gt;0)*CaseLedger!$M$2:$M$500))</x:f>
      </x:c>
      <x:c r="F12" s="52" t="str">
        <x:f>IF($A12="","",SUMPRODUCT((CaseLedger!$K$2:$K$500=$A12)*--(((CaseLedger!$B$2:$B$500=TRUE)+(CaseLedger!$B$2:$B$500="TRUE"))&gt;0)*(CaseLedger!$O$2:$O$500="Mixed")))</x:f>
      </x:c>
      <x:c r="G12" s="52" t="str">
        <x:f>IF($A12="","",$A12)</x:f>
      </x:c>
    </x:row>
    <x:row r="13">
      <x:c r="A13" s="52" t="str">
        <x:f>IFERROR(INDEX(SORT(UNIQUE(FILTER(CaseLedger!$K$2:$K$500,CaseLedger!$K$2:$K$500&lt;&gt;""))),ROW(A12)),"")</x:f>
      </x:c>
      <x:c r="B13" s="52" t="str">
        <x:f>IF($A13="","",SUMPRODUCT((CaseLedger!$K$2:$K$500=$A13)*--(((CaseLedger!$B$2:$B$500=TRUE)+(CaseLedger!$B$2:$B$500="TRUE"))&gt;0)))</x:f>
      </x:c>
      <x:c r="C13" s="55" t="str">
        <x:f>IF($A13="","",SUMPRODUCT((CaseLedger!$K$2:$K$500=$A13)*--(((CaseLedger!$B$2:$B$500=TRUE)+(CaseLedger!$B$2:$B$500="TRUE"))&gt;0)*CaseLedger!$N$2:$N$500))</x:f>
      </x:c>
      <x:c r="D13" s="55" t="str">
        <x:f>IF($A13="","",SUMPRODUCT((CaseLedger!$K$2:$K$500=$A13)*--(((CaseLedger!$B$2:$B$500=TRUE)+(CaseLedger!$B$2:$B$500="TRUE"))&gt;0)*CaseLedger!$L$2:$L$500))</x:f>
      </x:c>
      <x:c r="E13" s="55" t="str">
        <x:f>IF($A13="","",SUMPRODUCT((CaseLedger!$K$2:$K$500=$A13)*--(((CaseLedger!$B$2:$B$500=TRUE)+(CaseLedger!$B$2:$B$500="TRUE"))&gt;0)*CaseLedger!$M$2:$M$500))</x:f>
      </x:c>
      <x:c r="F13" s="52" t="str">
        <x:f>IF($A13="","",SUMPRODUCT((CaseLedger!$K$2:$K$500=$A13)*--(((CaseLedger!$B$2:$B$500=TRUE)+(CaseLedger!$B$2:$B$500="TRUE"))&gt;0)*(CaseLedger!$O$2:$O$500="Mixed")))</x:f>
      </x:c>
      <x:c r="G13" s="52" t="str">
        <x:f>IF($A13="","",$A13)</x:f>
      </x:c>
    </x:row>
    <x:row r="14">
      <x:c r="A14" s="52" t="str">
        <x:f>IFERROR(INDEX(SORT(UNIQUE(FILTER(CaseLedger!$K$2:$K$500,CaseLedger!$K$2:$K$500&lt;&gt;""))),ROW(A13)),"")</x:f>
      </x:c>
      <x:c r="B14" s="52" t="str">
        <x:f>IF($A14="","",SUMPRODUCT((CaseLedger!$K$2:$K$500=$A14)*--(((CaseLedger!$B$2:$B$500=TRUE)+(CaseLedger!$B$2:$B$500="TRUE"))&gt;0)))</x:f>
      </x:c>
      <x:c r="C14" s="55" t="str">
        <x:f>IF($A14="","",SUMPRODUCT((CaseLedger!$K$2:$K$500=$A14)*--(((CaseLedger!$B$2:$B$500=TRUE)+(CaseLedger!$B$2:$B$500="TRUE"))&gt;0)*CaseLedger!$N$2:$N$500))</x:f>
      </x:c>
      <x:c r="D14" s="55" t="str">
        <x:f>IF($A14="","",SUMPRODUCT((CaseLedger!$K$2:$K$500=$A14)*--(((CaseLedger!$B$2:$B$500=TRUE)+(CaseLedger!$B$2:$B$500="TRUE"))&gt;0)*CaseLedger!$L$2:$L$500))</x:f>
      </x:c>
      <x:c r="E14" s="55" t="str">
        <x:f>IF($A14="","",SUMPRODUCT((CaseLedger!$K$2:$K$500=$A14)*--(((CaseLedger!$B$2:$B$500=TRUE)+(CaseLedger!$B$2:$B$500="TRUE"))&gt;0)*CaseLedger!$M$2:$M$500))</x:f>
      </x:c>
      <x:c r="F14" s="52" t="str">
        <x:f>IF($A14="","",SUMPRODUCT((CaseLedger!$K$2:$K$500=$A14)*--(((CaseLedger!$B$2:$B$500=TRUE)+(CaseLedger!$B$2:$B$500="TRUE"))&gt;0)*(CaseLedger!$O$2:$O$500="Mixed")))</x:f>
      </x:c>
      <x:c r="G14" s="52" t="str">
        <x:f>IF($A14="","",$A14)</x:f>
      </x:c>
    </x:row>
    <x:row r="15">
      <x:c r="A15" s="52" t="str">
        <x:f>IFERROR(INDEX(SORT(UNIQUE(FILTER(CaseLedger!$K$2:$K$500,CaseLedger!$K$2:$K$500&lt;&gt;""))),ROW(A14)),"")</x:f>
      </x:c>
      <x:c r="B15" s="52" t="str">
        <x:f>IF($A15="","",SUMPRODUCT((CaseLedger!$K$2:$K$500=$A15)*--(((CaseLedger!$B$2:$B$500=TRUE)+(CaseLedger!$B$2:$B$500="TRUE"))&gt;0)))</x:f>
      </x:c>
      <x:c r="C15" s="55" t="str">
        <x:f>IF($A15="","",SUMPRODUCT((CaseLedger!$K$2:$K$500=$A15)*--(((CaseLedger!$B$2:$B$500=TRUE)+(CaseLedger!$B$2:$B$500="TRUE"))&gt;0)*CaseLedger!$N$2:$N$500))</x:f>
      </x:c>
      <x:c r="D15" s="55" t="str">
        <x:f>IF($A15="","",SUMPRODUCT((CaseLedger!$K$2:$K$500=$A15)*--(((CaseLedger!$B$2:$B$500=TRUE)+(CaseLedger!$B$2:$B$500="TRUE"))&gt;0)*CaseLedger!$L$2:$L$500))</x:f>
      </x:c>
      <x:c r="E15" s="55" t="str">
        <x:f>IF($A15="","",SUMPRODUCT((CaseLedger!$K$2:$K$500=$A15)*--(((CaseLedger!$B$2:$B$500=TRUE)+(CaseLedger!$B$2:$B$500="TRUE"))&gt;0)*CaseLedger!$M$2:$M$500))</x:f>
      </x:c>
      <x:c r="F15" s="52" t="str">
        <x:f>IF($A15="","",SUMPRODUCT((CaseLedger!$K$2:$K$500=$A15)*--(((CaseLedger!$B$2:$B$500=TRUE)+(CaseLedger!$B$2:$B$500="TRUE"))&gt;0)*(CaseLedger!$O$2:$O$500="Mixed")))</x:f>
      </x:c>
      <x:c r="G15" s="52" t="str">
        <x:f>IF($A15="","",$A15)</x:f>
      </x:c>
    </x:row>
    <x:row r="16">
      <x:c r="A16" s="52" t="str">
        <x:f>IFERROR(INDEX(SORT(UNIQUE(FILTER(CaseLedger!$K$2:$K$500,CaseLedger!$K$2:$K$500&lt;&gt;""))),ROW(A15)),"")</x:f>
      </x:c>
      <x:c r="B16" s="52" t="str">
        <x:f>IF($A16="","",SUMPRODUCT((CaseLedger!$K$2:$K$500=$A16)*--(((CaseLedger!$B$2:$B$500=TRUE)+(CaseLedger!$B$2:$B$500="TRUE"))&gt;0)))</x:f>
      </x:c>
      <x:c r="C16" s="55" t="str">
        <x:f>IF($A16="","",SUMPRODUCT((CaseLedger!$K$2:$K$500=$A16)*--(((CaseLedger!$B$2:$B$500=TRUE)+(CaseLedger!$B$2:$B$500="TRUE"))&gt;0)*CaseLedger!$N$2:$N$500))</x:f>
      </x:c>
      <x:c r="D16" s="55" t="str">
        <x:f>IF($A16="","",SUMPRODUCT((CaseLedger!$K$2:$K$500=$A16)*--(((CaseLedger!$B$2:$B$500=TRUE)+(CaseLedger!$B$2:$B$500="TRUE"))&gt;0)*CaseLedger!$L$2:$L$500))</x:f>
      </x:c>
      <x:c r="E16" s="55" t="str">
        <x:f>IF($A16="","",SUMPRODUCT((CaseLedger!$K$2:$K$500=$A16)*--(((CaseLedger!$B$2:$B$500=TRUE)+(CaseLedger!$B$2:$B$500="TRUE"))&gt;0)*CaseLedger!$M$2:$M$500))</x:f>
      </x:c>
      <x:c r="F16" s="52" t="str">
        <x:f>IF($A16="","",SUMPRODUCT((CaseLedger!$K$2:$K$500=$A16)*--(((CaseLedger!$B$2:$B$500=TRUE)+(CaseLedger!$B$2:$B$500="TRUE"))&gt;0)*(CaseLedger!$O$2:$O$500="Mixed")))</x:f>
      </x:c>
      <x:c r="G16" s="52" t="str">
        <x:f>IF($A16="","",$A16)</x:f>
      </x:c>
    </x:row>
    <x:row r="17">
      <x:c r="A17" s="52" t="str">
        <x:f>IFERROR(INDEX(SORT(UNIQUE(FILTER(CaseLedger!$K$2:$K$500,CaseLedger!$K$2:$K$500&lt;&gt;""))),ROW(A16)),"")</x:f>
      </x:c>
      <x:c r="B17" s="52" t="str">
        <x:f>IF($A17="","",SUMPRODUCT((CaseLedger!$K$2:$K$500=$A17)*--(((CaseLedger!$B$2:$B$500=TRUE)+(CaseLedger!$B$2:$B$500="TRUE"))&gt;0)))</x:f>
      </x:c>
      <x:c r="C17" s="55" t="str">
        <x:f>IF($A17="","",SUMPRODUCT((CaseLedger!$K$2:$K$500=$A17)*--(((CaseLedger!$B$2:$B$500=TRUE)+(CaseLedger!$B$2:$B$500="TRUE"))&gt;0)*CaseLedger!$N$2:$N$500))</x:f>
      </x:c>
      <x:c r="D17" s="55" t="str">
        <x:f>IF($A17="","",SUMPRODUCT((CaseLedger!$K$2:$K$500=$A17)*--(((CaseLedger!$B$2:$B$500=TRUE)+(CaseLedger!$B$2:$B$500="TRUE"))&gt;0)*CaseLedger!$L$2:$L$500))</x:f>
      </x:c>
      <x:c r="E17" s="55" t="str">
        <x:f>IF($A17="","",SUMPRODUCT((CaseLedger!$K$2:$K$500=$A17)*--(((CaseLedger!$B$2:$B$500=TRUE)+(CaseLedger!$B$2:$B$500="TRUE"))&gt;0)*CaseLedger!$M$2:$M$500))</x:f>
      </x:c>
      <x:c r="F17" s="52" t="str">
        <x:f>IF($A17="","",SUMPRODUCT((CaseLedger!$K$2:$K$500=$A17)*--(((CaseLedger!$B$2:$B$500=TRUE)+(CaseLedger!$B$2:$B$500="TRUE"))&gt;0)*(CaseLedger!$O$2:$O$500="Mixed")))</x:f>
      </x:c>
      <x:c r="G17" s="52" t="str">
        <x:f>IF($A17="","",$A17)</x:f>
      </x:c>
    </x:row>
    <x:row r="18">
      <x:c r="A18" s="52" t="str">
        <x:f>IFERROR(INDEX(SORT(UNIQUE(FILTER(CaseLedger!$K$2:$K$500,CaseLedger!$K$2:$K$500&lt;&gt;""))),ROW(A17)),"")</x:f>
      </x:c>
      <x:c r="B18" s="52" t="str">
        <x:f>IF($A18="","",SUMPRODUCT((CaseLedger!$K$2:$K$500=$A18)*--(((CaseLedger!$B$2:$B$500=TRUE)+(CaseLedger!$B$2:$B$500="TRUE"))&gt;0)))</x:f>
      </x:c>
      <x:c r="C18" s="55" t="str">
        <x:f>IF($A18="","",SUMPRODUCT((CaseLedger!$K$2:$K$500=$A18)*--(((CaseLedger!$B$2:$B$500=TRUE)+(CaseLedger!$B$2:$B$500="TRUE"))&gt;0)*CaseLedger!$N$2:$N$500))</x:f>
      </x:c>
      <x:c r="D18" s="55" t="str">
        <x:f>IF($A18="","",SUMPRODUCT((CaseLedger!$K$2:$K$500=$A18)*--(((CaseLedger!$B$2:$B$500=TRUE)+(CaseLedger!$B$2:$B$500="TRUE"))&gt;0)*CaseLedger!$L$2:$L$500))</x:f>
      </x:c>
      <x:c r="E18" s="55" t="str">
        <x:f>IF($A18="","",SUMPRODUCT((CaseLedger!$K$2:$K$500=$A18)*--(((CaseLedger!$B$2:$B$500=TRUE)+(CaseLedger!$B$2:$B$500="TRUE"))&gt;0)*CaseLedger!$M$2:$M$500))</x:f>
      </x:c>
      <x:c r="F18" s="52" t="str">
        <x:f>IF($A18="","",SUMPRODUCT((CaseLedger!$K$2:$K$500=$A18)*--(((CaseLedger!$B$2:$B$500=TRUE)+(CaseLedger!$B$2:$B$500="TRUE"))&gt;0)*(CaseLedger!$O$2:$O$500="Mixed")))</x:f>
      </x:c>
      <x:c r="G18" s="52" t="str">
        <x:f>IF($A18="","",$A18)</x:f>
      </x:c>
    </x:row>
    <x:row r="19">
      <x:c r="A19" s="52" t="str">
        <x:f>IFERROR(INDEX(SORT(UNIQUE(FILTER(CaseLedger!$K$2:$K$500,CaseLedger!$K$2:$K$500&lt;&gt;""))),ROW(A18)),"")</x:f>
      </x:c>
      <x:c r="B19" s="52" t="str">
        <x:f>IF($A19="","",SUMPRODUCT((CaseLedger!$K$2:$K$500=$A19)*--(((CaseLedger!$B$2:$B$500=TRUE)+(CaseLedger!$B$2:$B$500="TRUE"))&gt;0)))</x:f>
      </x:c>
      <x:c r="C19" s="55" t="str">
        <x:f>IF($A19="","",SUMPRODUCT((CaseLedger!$K$2:$K$500=$A19)*--(((CaseLedger!$B$2:$B$500=TRUE)+(CaseLedger!$B$2:$B$500="TRUE"))&gt;0)*CaseLedger!$N$2:$N$500))</x:f>
      </x:c>
      <x:c r="D19" s="55" t="str">
        <x:f>IF($A19="","",SUMPRODUCT((CaseLedger!$K$2:$K$500=$A19)*--(((CaseLedger!$B$2:$B$500=TRUE)+(CaseLedger!$B$2:$B$500="TRUE"))&gt;0)*CaseLedger!$L$2:$L$500))</x:f>
      </x:c>
      <x:c r="E19" s="55" t="str">
        <x:f>IF($A19="","",SUMPRODUCT((CaseLedger!$K$2:$K$500=$A19)*--(((CaseLedger!$B$2:$B$500=TRUE)+(CaseLedger!$B$2:$B$500="TRUE"))&gt;0)*CaseLedger!$M$2:$M$500))</x:f>
      </x:c>
      <x:c r="F19" s="52" t="str">
        <x:f>IF($A19="","",SUMPRODUCT((CaseLedger!$K$2:$K$500=$A19)*--(((CaseLedger!$B$2:$B$500=TRUE)+(CaseLedger!$B$2:$B$500="TRUE"))&gt;0)*(CaseLedger!$O$2:$O$500="Mixed")))</x:f>
      </x:c>
      <x:c r="G19" s="52" t="str">
        <x:f>IF($A19="","",$A19)</x:f>
      </x:c>
    </x:row>
    <x:row r="20">
      <x:c r="A20" s="52" t="str">
        <x:f>IFERROR(INDEX(SORT(UNIQUE(FILTER(CaseLedger!$K$2:$K$500,CaseLedger!$K$2:$K$500&lt;&gt;""))),ROW(A19)),"")</x:f>
      </x:c>
      <x:c r="B20" s="52" t="str">
        <x:f>IF($A20="","",SUMPRODUCT((CaseLedger!$K$2:$K$500=$A20)*--(((CaseLedger!$B$2:$B$500=TRUE)+(CaseLedger!$B$2:$B$500="TRUE"))&gt;0)))</x:f>
      </x:c>
      <x:c r="C20" s="55" t="str">
        <x:f>IF($A20="","",SUMPRODUCT((CaseLedger!$K$2:$K$500=$A20)*--(((CaseLedger!$B$2:$B$500=TRUE)+(CaseLedger!$B$2:$B$500="TRUE"))&gt;0)*CaseLedger!$N$2:$N$500))</x:f>
      </x:c>
      <x:c r="D20" s="55" t="str">
        <x:f>IF($A20="","",SUMPRODUCT((CaseLedger!$K$2:$K$500=$A20)*--(((CaseLedger!$B$2:$B$500=TRUE)+(CaseLedger!$B$2:$B$500="TRUE"))&gt;0)*CaseLedger!$L$2:$L$500))</x:f>
      </x:c>
      <x:c r="E20" s="55" t="str">
        <x:f>IF($A20="","",SUMPRODUCT((CaseLedger!$K$2:$K$500=$A20)*--(((CaseLedger!$B$2:$B$500=TRUE)+(CaseLedger!$B$2:$B$500="TRUE"))&gt;0)*CaseLedger!$M$2:$M$500))</x:f>
      </x:c>
      <x:c r="F20" s="52" t="str">
        <x:f>IF($A20="","",SUMPRODUCT((CaseLedger!$K$2:$K$500=$A20)*--(((CaseLedger!$B$2:$B$500=TRUE)+(CaseLedger!$B$2:$B$500="TRUE"))&gt;0)*(CaseLedger!$O$2:$O$500="Mixed")))</x:f>
      </x:c>
      <x:c r="G20" s="52" t="str">
        <x:f>IF($A20="","",$A20)</x:f>
      </x:c>
    </x:row>
    <x:row r="21">
      <x:c r="A21" s="52" t="str">
        <x:f>IFERROR(INDEX(SORT(UNIQUE(FILTER(CaseLedger!$K$2:$K$500,CaseLedger!$K$2:$K$500&lt;&gt;""))),ROW(A20)),"")</x:f>
      </x:c>
      <x:c r="B21" s="52" t="str">
        <x:f>IF($A21="","",SUMPRODUCT((CaseLedger!$K$2:$K$500=$A21)*--(((CaseLedger!$B$2:$B$500=TRUE)+(CaseLedger!$B$2:$B$500="TRUE"))&gt;0)))</x:f>
      </x:c>
      <x:c r="C21" s="55" t="str">
        <x:f>IF($A21="","",SUMPRODUCT((CaseLedger!$K$2:$K$500=$A21)*--(((CaseLedger!$B$2:$B$500=TRUE)+(CaseLedger!$B$2:$B$500="TRUE"))&gt;0)*CaseLedger!$N$2:$N$500))</x:f>
      </x:c>
      <x:c r="D21" s="55" t="str">
        <x:f>IF($A21="","",SUMPRODUCT((CaseLedger!$K$2:$K$500=$A21)*--(((CaseLedger!$B$2:$B$500=TRUE)+(CaseLedger!$B$2:$B$500="TRUE"))&gt;0)*CaseLedger!$L$2:$L$500))</x:f>
      </x:c>
      <x:c r="E21" s="55" t="str">
        <x:f>IF($A21="","",SUMPRODUCT((CaseLedger!$K$2:$K$500=$A21)*--(((CaseLedger!$B$2:$B$500=TRUE)+(CaseLedger!$B$2:$B$500="TRUE"))&gt;0)*CaseLedger!$M$2:$M$500))</x:f>
      </x:c>
      <x:c r="F21" s="52" t="str">
        <x:f>IF($A21="","",SUMPRODUCT((CaseLedger!$K$2:$K$500=$A21)*--(((CaseLedger!$B$2:$B$500=TRUE)+(CaseLedger!$B$2:$B$500="TRUE"))&gt;0)*(CaseLedger!$O$2:$O$500="Mixed")))</x:f>
      </x:c>
      <x:c r="G21" s="52" t="str">
        <x:f>IF($A21="","",$A21)</x:f>
      </x:c>
    </x:row>
    <x:row r="22">
      <x:c r="A22" s="52" t="str">
        <x:f>IFERROR(INDEX(SORT(UNIQUE(FILTER(CaseLedger!$K$2:$K$500,CaseLedger!$K$2:$K$500&lt;&gt;""))),ROW(A21)),"")</x:f>
      </x:c>
      <x:c r="B22" s="52" t="str">
        <x:f>IF($A22="","",SUMPRODUCT((CaseLedger!$K$2:$K$500=$A22)*--(((CaseLedger!$B$2:$B$500=TRUE)+(CaseLedger!$B$2:$B$500="TRUE"))&gt;0)))</x:f>
      </x:c>
      <x:c r="C22" s="55" t="str">
        <x:f>IF($A22="","",SUMPRODUCT((CaseLedger!$K$2:$K$500=$A22)*--(((CaseLedger!$B$2:$B$500=TRUE)+(CaseLedger!$B$2:$B$500="TRUE"))&gt;0)*CaseLedger!$N$2:$N$500))</x:f>
      </x:c>
      <x:c r="D22" s="55" t="str">
        <x:f>IF($A22="","",SUMPRODUCT((CaseLedger!$K$2:$K$500=$A22)*--(((CaseLedger!$B$2:$B$500=TRUE)+(CaseLedger!$B$2:$B$500="TRUE"))&gt;0)*CaseLedger!$L$2:$L$500))</x:f>
      </x:c>
      <x:c r="E22" s="55" t="str">
        <x:f>IF($A22="","",SUMPRODUCT((CaseLedger!$K$2:$K$500=$A22)*--(((CaseLedger!$B$2:$B$500=TRUE)+(CaseLedger!$B$2:$B$500="TRUE"))&gt;0)*CaseLedger!$M$2:$M$500))</x:f>
      </x:c>
      <x:c r="F22" s="52" t="str">
        <x:f>IF($A22="","",SUMPRODUCT((CaseLedger!$K$2:$K$500=$A22)*--(((CaseLedger!$B$2:$B$500=TRUE)+(CaseLedger!$B$2:$B$500="TRUE"))&gt;0)*(CaseLedger!$O$2:$O$500="Mixed")))</x:f>
      </x:c>
      <x:c r="G22" s="52" t="str">
        <x:f>IF($A22="","",$A22)</x:f>
      </x:c>
    </x:row>
    <x:row r="23">
      <x:c r="A23" s="52" t="str">
        <x:f>IFERROR(INDEX(SORT(UNIQUE(FILTER(CaseLedger!$K$2:$K$500,CaseLedger!$K$2:$K$500&lt;&gt;""))),ROW(A22)),"")</x:f>
      </x:c>
      <x:c r="B23" s="52" t="str">
        <x:f>IF($A23="","",SUMPRODUCT((CaseLedger!$K$2:$K$500=$A23)*--(((CaseLedger!$B$2:$B$500=TRUE)+(CaseLedger!$B$2:$B$500="TRUE"))&gt;0)))</x:f>
      </x:c>
      <x:c r="C23" s="55" t="str">
        <x:f>IF($A23="","",SUMPRODUCT((CaseLedger!$K$2:$K$500=$A23)*--(((CaseLedger!$B$2:$B$500=TRUE)+(CaseLedger!$B$2:$B$500="TRUE"))&gt;0)*CaseLedger!$N$2:$N$500))</x:f>
      </x:c>
      <x:c r="D23" s="55" t="str">
        <x:f>IF($A23="","",SUMPRODUCT((CaseLedger!$K$2:$K$500=$A23)*--(((CaseLedger!$B$2:$B$500=TRUE)+(CaseLedger!$B$2:$B$500="TRUE"))&gt;0)*CaseLedger!$L$2:$L$500))</x:f>
      </x:c>
      <x:c r="E23" s="55" t="str">
        <x:f>IF($A23="","",SUMPRODUCT((CaseLedger!$K$2:$K$500=$A23)*--(((CaseLedger!$B$2:$B$500=TRUE)+(CaseLedger!$B$2:$B$500="TRUE"))&gt;0)*CaseLedger!$M$2:$M$500))</x:f>
      </x:c>
      <x:c r="F23" s="52" t="str">
        <x:f>IF($A23="","",SUMPRODUCT((CaseLedger!$K$2:$K$500=$A23)*--(((CaseLedger!$B$2:$B$500=TRUE)+(CaseLedger!$B$2:$B$500="TRUE"))&gt;0)*(CaseLedger!$O$2:$O$500="Mixed")))</x:f>
      </x:c>
      <x:c r="G23" s="52" t="str">
        <x:f>IF($A23="","",$A23)</x:f>
      </x:c>
    </x:row>
    <x:row r="24">
      <x:c r="A24" s="52" t="str">
        <x:f>IFERROR(INDEX(SORT(UNIQUE(FILTER(CaseLedger!$K$2:$K$500,CaseLedger!$K$2:$K$500&lt;&gt;""))),ROW(A23)),"")</x:f>
      </x:c>
      <x:c r="B24" s="52" t="str">
        <x:f>IF($A24="","",SUMPRODUCT((CaseLedger!$K$2:$K$500=$A24)*--(((CaseLedger!$B$2:$B$500=TRUE)+(CaseLedger!$B$2:$B$500="TRUE"))&gt;0)))</x:f>
      </x:c>
      <x:c r="C24" s="55" t="str">
        <x:f>IF($A24="","",SUMPRODUCT((CaseLedger!$K$2:$K$500=$A24)*--(((CaseLedger!$B$2:$B$500=TRUE)+(CaseLedger!$B$2:$B$500="TRUE"))&gt;0)*CaseLedger!$N$2:$N$500))</x:f>
      </x:c>
      <x:c r="D24" s="55" t="str">
        <x:f>IF($A24="","",SUMPRODUCT((CaseLedger!$K$2:$K$500=$A24)*--(((CaseLedger!$B$2:$B$500=TRUE)+(CaseLedger!$B$2:$B$500="TRUE"))&gt;0)*CaseLedger!$L$2:$L$500))</x:f>
      </x:c>
      <x:c r="E24" s="55" t="str">
        <x:f>IF($A24="","",SUMPRODUCT((CaseLedger!$K$2:$K$500=$A24)*--(((CaseLedger!$B$2:$B$500=TRUE)+(CaseLedger!$B$2:$B$500="TRUE"))&gt;0)*CaseLedger!$M$2:$M$500))</x:f>
      </x:c>
      <x:c r="F24" s="52" t="str">
        <x:f>IF($A24="","",SUMPRODUCT((CaseLedger!$K$2:$K$500=$A24)*--(((CaseLedger!$B$2:$B$500=TRUE)+(CaseLedger!$B$2:$B$500="TRUE"))&gt;0)*(CaseLedger!$O$2:$O$500="Mixed")))</x:f>
      </x:c>
      <x:c r="G24" s="52" t="str">
        <x:f>IF($A24="","",$A24)</x:f>
      </x:c>
    </x:row>
    <x:row r="25">
      <x:c r="A25" s="52" t="str">
        <x:f>IFERROR(INDEX(SORT(UNIQUE(FILTER(CaseLedger!$K$2:$K$500,CaseLedger!$K$2:$K$500&lt;&gt;""))),ROW(A24)),"")</x:f>
      </x:c>
      <x:c r="B25" s="52" t="str">
        <x:f>IF($A25="","",SUMPRODUCT((CaseLedger!$K$2:$K$500=$A25)*--(((CaseLedger!$B$2:$B$500=TRUE)+(CaseLedger!$B$2:$B$500="TRUE"))&gt;0)))</x:f>
      </x:c>
      <x:c r="C25" s="55" t="str">
        <x:f>IF($A25="","",SUMPRODUCT((CaseLedger!$K$2:$K$500=$A25)*--(((CaseLedger!$B$2:$B$500=TRUE)+(CaseLedger!$B$2:$B$500="TRUE"))&gt;0)*CaseLedger!$N$2:$N$500))</x:f>
      </x:c>
      <x:c r="D25" s="55" t="str">
        <x:f>IF($A25="","",SUMPRODUCT((CaseLedger!$K$2:$K$500=$A25)*--(((CaseLedger!$B$2:$B$500=TRUE)+(CaseLedger!$B$2:$B$500="TRUE"))&gt;0)*CaseLedger!$L$2:$L$500))</x:f>
      </x:c>
      <x:c r="E25" s="55" t="str">
        <x:f>IF($A25="","",SUMPRODUCT((CaseLedger!$K$2:$K$500=$A25)*--(((CaseLedger!$B$2:$B$500=TRUE)+(CaseLedger!$B$2:$B$500="TRUE"))&gt;0)*CaseLedger!$M$2:$M$500))</x:f>
      </x:c>
      <x:c r="F25" s="52" t="str">
        <x:f>IF($A25="","",SUMPRODUCT((CaseLedger!$K$2:$K$500=$A25)*--(((CaseLedger!$B$2:$B$500=TRUE)+(CaseLedger!$B$2:$B$500="TRUE"))&gt;0)*(CaseLedger!$O$2:$O$500="Mixed")))</x:f>
      </x:c>
      <x:c r="G25" s="52" t="str">
        <x:f>IF($A25="","",$A25)</x:f>
      </x:c>
    </x:row>
    <x:row r="26">
      <x:c r="A26" s="52" t="str">
        <x:f>IFERROR(INDEX(SORT(UNIQUE(FILTER(CaseLedger!$K$2:$K$500,CaseLedger!$K$2:$K$500&lt;&gt;""))),ROW(A25)),"")</x:f>
      </x:c>
      <x:c r="B26" s="52" t="str">
        <x:f>IF($A26="","",SUMPRODUCT((CaseLedger!$K$2:$K$500=$A26)*--(((CaseLedger!$B$2:$B$500=TRUE)+(CaseLedger!$B$2:$B$500="TRUE"))&gt;0)))</x:f>
      </x:c>
      <x:c r="C26" s="55" t="str">
        <x:f>IF($A26="","",SUMPRODUCT((CaseLedger!$K$2:$K$500=$A26)*--(((CaseLedger!$B$2:$B$500=TRUE)+(CaseLedger!$B$2:$B$500="TRUE"))&gt;0)*CaseLedger!$N$2:$N$500))</x:f>
      </x:c>
      <x:c r="D26" s="55" t="str">
        <x:f>IF($A26="","",SUMPRODUCT((CaseLedger!$K$2:$K$500=$A26)*--(((CaseLedger!$B$2:$B$500=TRUE)+(CaseLedger!$B$2:$B$500="TRUE"))&gt;0)*CaseLedger!$L$2:$L$500))</x:f>
      </x:c>
      <x:c r="E26" s="55" t="str">
        <x:f>IF($A26="","",SUMPRODUCT((CaseLedger!$K$2:$K$500=$A26)*--(((CaseLedger!$B$2:$B$500=TRUE)+(CaseLedger!$B$2:$B$500="TRUE"))&gt;0)*CaseLedger!$M$2:$M$500))</x:f>
      </x:c>
      <x:c r="F26" s="52" t="str">
        <x:f>IF($A26="","",SUMPRODUCT((CaseLedger!$K$2:$K$500=$A26)*--(((CaseLedger!$B$2:$B$500=TRUE)+(CaseLedger!$B$2:$B$500="TRUE"))&gt;0)*(CaseLedger!$O$2:$O$500="Mixed")))</x:f>
      </x:c>
      <x:c r="G26" s="52" t="str">
        <x:f>IF($A26="","",$A26)</x:f>
      </x:c>
    </x:row>
    <x:row r="27">
      <x:c r="A27" s="52" t="str">
        <x:f>IFERROR(INDEX(SORT(UNIQUE(FILTER(CaseLedger!$K$2:$K$500,CaseLedger!$K$2:$K$500&lt;&gt;""))),ROW(A26)),"")</x:f>
      </x:c>
      <x:c r="B27" s="52" t="str">
        <x:f>IF($A27="","",SUMPRODUCT((CaseLedger!$K$2:$K$500=$A27)*--(((CaseLedger!$B$2:$B$500=TRUE)+(CaseLedger!$B$2:$B$500="TRUE"))&gt;0)))</x:f>
      </x:c>
      <x:c r="C27" s="55" t="str">
        <x:f>IF($A27="","",SUMPRODUCT((CaseLedger!$K$2:$K$500=$A27)*--(((CaseLedger!$B$2:$B$500=TRUE)+(CaseLedger!$B$2:$B$500="TRUE"))&gt;0)*CaseLedger!$N$2:$N$500))</x:f>
      </x:c>
      <x:c r="D27" s="55" t="str">
        <x:f>IF($A27="","",SUMPRODUCT((CaseLedger!$K$2:$K$500=$A27)*--(((CaseLedger!$B$2:$B$500=TRUE)+(CaseLedger!$B$2:$B$500="TRUE"))&gt;0)*CaseLedger!$L$2:$L$500))</x:f>
      </x:c>
      <x:c r="E27" s="55" t="str">
        <x:f>IF($A27="","",SUMPRODUCT((CaseLedger!$K$2:$K$500=$A27)*--(((CaseLedger!$B$2:$B$500=TRUE)+(CaseLedger!$B$2:$B$500="TRUE"))&gt;0)*CaseLedger!$M$2:$M$500))</x:f>
      </x:c>
      <x:c r="F27" s="52" t="str">
        <x:f>IF($A27="","",SUMPRODUCT((CaseLedger!$K$2:$K$500=$A27)*--(((CaseLedger!$B$2:$B$500=TRUE)+(CaseLedger!$B$2:$B$500="TRUE"))&gt;0)*(CaseLedger!$O$2:$O$500="Mixed")))</x:f>
      </x:c>
      <x:c r="G27" s="52" t="str">
        <x:f>IF($A27="","",$A27)</x:f>
      </x:c>
    </x:row>
    <x:row r="28">
      <x:c r="A28" s="52" t="str">
        <x:f>IFERROR(INDEX(SORT(UNIQUE(FILTER(CaseLedger!$K$2:$K$500,CaseLedger!$K$2:$K$500&lt;&gt;""))),ROW(A27)),"")</x:f>
      </x:c>
      <x:c r="B28" s="52" t="str">
        <x:f>IF($A28="","",SUMPRODUCT((CaseLedger!$K$2:$K$500=$A28)*--(((CaseLedger!$B$2:$B$500=TRUE)+(CaseLedger!$B$2:$B$500="TRUE"))&gt;0)))</x:f>
      </x:c>
      <x:c r="C28" s="55" t="str">
        <x:f>IF($A28="","",SUMPRODUCT((CaseLedger!$K$2:$K$500=$A28)*--(((CaseLedger!$B$2:$B$500=TRUE)+(CaseLedger!$B$2:$B$500="TRUE"))&gt;0)*CaseLedger!$N$2:$N$500))</x:f>
      </x:c>
      <x:c r="D28" s="55" t="str">
        <x:f>IF($A28="","",SUMPRODUCT((CaseLedger!$K$2:$K$500=$A28)*--(((CaseLedger!$B$2:$B$500=TRUE)+(CaseLedger!$B$2:$B$500="TRUE"))&gt;0)*CaseLedger!$L$2:$L$500))</x:f>
      </x:c>
      <x:c r="E28" s="55" t="str">
        <x:f>IF($A28="","",SUMPRODUCT((CaseLedger!$K$2:$K$500=$A28)*--(((CaseLedger!$B$2:$B$500=TRUE)+(CaseLedger!$B$2:$B$500="TRUE"))&gt;0)*CaseLedger!$M$2:$M$500))</x:f>
      </x:c>
      <x:c r="F28" s="52" t="str">
        <x:f>IF($A28="","",SUMPRODUCT((CaseLedger!$K$2:$K$500=$A28)*--(((CaseLedger!$B$2:$B$500=TRUE)+(CaseLedger!$B$2:$B$500="TRUE"))&gt;0)*(CaseLedger!$O$2:$O$500="Mixed")))</x:f>
      </x:c>
      <x:c r="G28" s="52" t="str">
        <x:f>IF($A28="","",$A28)</x:f>
      </x:c>
    </x:row>
    <x:row r="29">
      <x:c r="A29" s="52" t="str">
        <x:f>IFERROR(INDEX(SORT(UNIQUE(FILTER(CaseLedger!$K$2:$K$500,CaseLedger!$K$2:$K$500&lt;&gt;""))),ROW(A28)),"")</x:f>
      </x:c>
      <x:c r="B29" s="52" t="str">
        <x:f>IF($A29="","",SUMPRODUCT((CaseLedger!$K$2:$K$500=$A29)*--(((CaseLedger!$B$2:$B$500=TRUE)+(CaseLedger!$B$2:$B$500="TRUE"))&gt;0)))</x:f>
      </x:c>
      <x:c r="C29" s="55" t="str">
        <x:f>IF($A29="","",SUMPRODUCT((CaseLedger!$K$2:$K$500=$A29)*--(((CaseLedger!$B$2:$B$500=TRUE)+(CaseLedger!$B$2:$B$500="TRUE"))&gt;0)*CaseLedger!$N$2:$N$500))</x:f>
      </x:c>
      <x:c r="D29" s="55" t="str">
        <x:f>IF($A29="","",SUMPRODUCT((CaseLedger!$K$2:$K$500=$A29)*--(((CaseLedger!$B$2:$B$500=TRUE)+(CaseLedger!$B$2:$B$500="TRUE"))&gt;0)*CaseLedger!$L$2:$L$500))</x:f>
      </x:c>
      <x:c r="E29" s="55" t="str">
        <x:f>IF($A29="","",SUMPRODUCT((CaseLedger!$K$2:$K$500=$A29)*--(((CaseLedger!$B$2:$B$500=TRUE)+(CaseLedger!$B$2:$B$500="TRUE"))&gt;0)*CaseLedger!$M$2:$M$500))</x:f>
      </x:c>
      <x:c r="F29" s="52" t="str">
        <x:f>IF($A29="","",SUMPRODUCT((CaseLedger!$K$2:$K$500=$A29)*--(((CaseLedger!$B$2:$B$500=TRUE)+(CaseLedger!$B$2:$B$500="TRUE"))&gt;0)*(CaseLedger!$O$2:$O$500="Mixed")))</x:f>
      </x:c>
      <x:c r="G29" s="52" t="str">
        <x:f>IF($A29="","",$A29)</x:f>
      </x:c>
    </x:row>
    <x:row r="30">
      <x:c r="A30" s="52" t="str">
        <x:f>IFERROR(INDEX(SORT(UNIQUE(FILTER(CaseLedger!$K$2:$K$500,CaseLedger!$K$2:$K$500&lt;&gt;""))),ROW(A29)),"")</x:f>
      </x:c>
      <x:c r="B30" s="52" t="str">
        <x:f>IF($A30="","",SUMPRODUCT((CaseLedger!$K$2:$K$500=$A30)*--(((CaseLedger!$B$2:$B$500=TRUE)+(CaseLedger!$B$2:$B$500="TRUE"))&gt;0)))</x:f>
      </x:c>
      <x:c r="C30" s="55" t="str">
        <x:f>IF($A30="","",SUMPRODUCT((CaseLedger!$K$2:$K$500=$A30)*--(((CaseLedger!$B$2:$B$500=TRUE)+(CaseLedger!$B$2:$B$500="TRUE"))&gt;0)*CaseLedger!$N$2:$N$500))</x:f>
      </x:c>
      <x:c r="D30" s="55" t="str">
        <x:f>IF($A30="","",SUMPRODUCT((CaseLedger!$K$2:$K$500=$A30)*--(((CaseLedger!$B$2:$B$500=TRUE)+(CaseLedger!$B$2:$B$500="TRUE"))&gt;0)*CaseLedger!$L$2:$L$500))</x:f>
      </x:c>
      <x:c r="E30" s="55" t="str">
        <x:f>IF($A30="","",SUMPRODUCT((CaseLedger!$K$2:$K$500=$A30)*--(((CaseLedger!$B$2:$B$500=TRUE)+(CaseLedger!$B$2:$B$500="TRUE"))&gt;0)*CaseLedger!$M$2:$M$500))</x:f>
      </x:c>
      <x:c r="F30" s="52" t="str">
        <x:f>IF($A30="","",SUMPRODUCT((CaseLedger!$K$2:$K$500=$A30)*--(((CaseLedger!$B$2:$B$500=TRUE)+(CaseLedger!$B$2:$B$500="TRUE"))&gt;0)*(CaseLedger!$O$2:$O$500="Mixed")))</x:f>
      </x:c>
      <x:c r="G30" s="52" t="str">
        <x:f>IF($A30="","",$A30)</x:f>
      </x:c>
    </x:row>
    <x:row r="31">
      <x:c r="A31" s="52" t="str">
        <x:f>IFERROR(INDEX(SORT(UNIQUE(FILTER(CaseLedger!$K$2:$K$500,CaseLedger!$K$2:$K$500&lt;&gt;""))),ROW(A30)),"")</x:f>
      </x:c>
      <x:c r="B31" s="52" t="str">
        <x:f>IF($A31="","",SUMPRODUCT((CaseLedger!$K$2:$K$500=$A31)*--(((CaseLedger!$B$2:$B$500=TRUE)+(CaseLedger!$B$2:$B$500="TRUE"))&gt;0)))</x:f>
      </x:c>
      <x:c r="C31" s="55" t="str">
        <x:f>IF($A31="","",SUMPRODUCT((CaseLedger!$K$2:$K$500=$A31)*--(((CaseLedger!$B$2:$B$500=TRUE)+(CaseLedger!$B$2:$B$500="TRUE"))&gt;0)*CaseLedger!$N$2:$N$500))</x:f>
      </x:c>
      <x:c r="D31" s="55" t="str">
        <x:f>IF($A31="","",SUMPRODUCT((CaseLedger!$K$2:$K$500=$A31)*--(((CaseLedger!$B$2:$B$500=TRUE)+(CaseLedger!$B$2:$B$500="TRUE"))&gt;0)*CaseLedger!$L$2:$L$500))</x:f>
      </x:c>
      <x:c r="E31" s="55" t="str">
        <x:f>IF($A31="","",SUMPRODUCT((CaseLedger!$K$2:$K$500=$A31)*--(((CaseLedger!$B$2:$B$500=TRUE)+(CaseLedger!$B$2:$B$500="TRUE"))&gt;0)*CaseLedger!$M$2:$M$500))</x:f>
      </x:c>
      <x:c r="F31" s="52" t="str">
        <x:f>IF($A31="","",SUMPRODUCT((CaseLedger!$K$2:$K$500=$A31)*--(((CaseLedger!$B$2:$B$500=TRUE)+(CaseLedger!$B$2:$B$500="TRUE"))&gt;0)*(CaseLedger!$O$2:$O$500="Mixed")))</x:f>
      </x:c>
      <x:c r="G31" s="52" t="str">
        <x:f>IF($A31="","",$A31)</x:f>
      </x:c>
    </x:row>
    <x:row r="32">
      <x:c r="A32" s="52" t="str">
        <x:f>IFERROR(INDEX(SORT(UNIQUE(FILTER(CaseLedger!$K$2:$K$500,CaseLedger!$K$2:$K$500&lt;&gt;""))),ROW(A31)),"")</x:f>
      </x:c>
      <x:c r="B32" s="52" t="str">
        <x:f>IF($A32="","",SUMPRODUCT((CaseLedger!$K$2:$K$500=$A32)*--(((CaseLedger!$B$2:$B$500=TRUE)+(CaseLedger!$B$2:$B$500="TRUE"))&gt;0)))</x:f>
      </x:c>
      <x:c r="C32" s="55" t="str">
        <x:f>IF($A32="","",SUMPRODUCT((CaseLedger!$K$2:$K$500=$A32)*--(((CaseLedger!$B$2:$B$500=TRUE)+(CaseLedger!$B$2:$B$500="TRUE"))&gt;0)*CaseLedger!$N$2:$N$500))</x:f>
      </x:c>
      <x:c r="D32" s="55" t="str">
        <x:f>IF($A32="","",SUMPRODUCT((CaseLedger!$K$2:$K$500=$A32)*--(((CaseLedger!$B$2:$B$500=TRUE)+(CaseLedger!$B$2:$B$500="TRUE"))&gt;0)*CaseLedger!$L$2:$L$500))</x:f>
      </x:c>
      <x:c r="E32" s="55" t="str">
        <x:f>IF($A32="","",SUMPRODUCT((CaseLedger!$K$2:$K$500=$A32)*--(((CaseLedger!$B$2:$B$500=TRUE)+(CaseLedger!$B$2:$B$500="TRUE"))&gt;0)*CaseLedger!$M$2:$M$500))</x:f>
      </x:c>
      <x:c r="F32" s="52" t="str">
        <x:f>IF($A32="","",SUMPRODUCT((CaseLedger!$K$2:$K$500=$A32)*--(((CaseLedger!$B$2:$B$500=TRUE)+(CaseLedger!$B$2:$B$500="TRUE"))&gt;0)*(CaseLedger!$O$2:$O$500="Mixed")))</x:f>
      </x:c>
      <x:c r="G32" s="52" t="str">
        <x:f>IF($A32="","",$A32)</x:f>
      </x:c>
    </x:row>
    <x:row r="33">
      <x:c r="A33" s="52" t="str">
        <x:f>IFERROR(INDEX(SORT(UNIQUE(FILTER(CaseLedger!$K$2:$K$500,CaseLedger!$K$2:$K$500&lt;&gt;""))),ROW(A32)),"")</x:f>
      </x:c>
      <x:c r="B33" s="52" t="str">
        <x:f>IF($A33="","",SUMPRODUCT((CaseLedger!$K$2:$K$500=$A33)*--(((CaseLedger!$B$2:$B$500=TRUE)+(CaseLedger!$B$2:$B$500="TRUE"))&gt;0)))</x:f>
      </x:c>
      <x:c r="C33" s="55" t="str">
        <x:f>IF($A33="","",SUMPRODUCT((CaseLedger!$K$2:$K$500=$A33)*--(((CaseLedger!$B$2:$B$500=TRUE)+(CaseLedger!$B$2:$B$500="TRUE"))&gt;0)*CaseLedger!$N$2:$N$500))</x:f>
      </x:c>
      <x:c r="D33" s="55" t="str">
        <x:f>IF($A33="","",SUMPRODUCT((CaseLedger!$K$2:$K$500=$A33)*--(((CaseLedger!$B$2:$B$500=TRUE)+(CaseLedger!$B$2:$B$500="TRUE"))&gt;0)*CaseLedger!$L$2:$L$500))</x:f>
      </x:c>
      <x:c r="E33" s="55" t="str">
        <x:f>IF($A33="","",SUMPRODUCT((CaseLedger!$K$2:$K$500=$A33)*--(((CaseLedger!$B$2:$B$500=TRUE)+(CaseLedger!$B$2:$B$500="TRUE"))&gt;0)*CaseLedger!$M$2:$M$500))</x:f>
      </x:c>
      <x:c r="F33" s="52" t="str">
        <x:f>IF($A33="","",SUMPRODUCT((CaseLedger!$K$2:$K$500=$A33)*--(((CaseLedger!$B$2:$B$500=TRUE)+(CaseLedger!$B$2:$B$500="TRUE"))&gt;0)*(CaseLedger!$O$2:$O$500="Mixed")))</x:f>
      </x:c>
      <x:c r="G33" s="52" t="str">
        <x:f>IF($A33="","",$A33)</x:f>
      </x:c>
    </x:row>
    <x:row r="34">
      <x:c r="A34" s="52" t="str">
        <x:f>IFERROR(INDEX(SORT(UNIQUE(FILTER(CaseLedger!$K$2:$K$500,CaseLedger!$K$2:$K$500&lt;&gt;""))),ROW(A33)),"")</x:f>
      </x:c>
      <x:c r="B34" s="52" t="str">
        <x:f>IF($A34="","",SUMPRODUCT((CaseLedger!$K$2:$K$500=$A34)*--(((CaseLedger!$B$2:$B$500=TRUE)+(CaseLedger!$B$2:$B$500="TRUE"))&gt;0)))</x:f>
      </x:c>
      <x:c r="C34" s="55" t="str">
        <x:f>IF($A34="","",SUMPRODUCT((CaseLedger!$K$2:$K$500=$A34)*--(((CaseLedger!$B$2:$B$500=TRUE)+(CaseLedger!$B$2:$B$500="TRUE"))&gt;0)*CaseLedger!$N$2:$N$500))</x:f>
      </x:c>
      <x:c r="D34" s="55" t="str">
        <x:f>IF($A34="","",SUMPRODUCT((CaseLedger!$K$2:$K$500=$A34)*--(((CaseLedger!$B$2:$B$500=TRUE)+(CaseLedger!$B$2:$B$500="TRUE"))&gt;0)*CaseLedger!$L$2:$L$500))</x:f>
      </x:c>
      <x:c r="E34" s="55" t="str">
        <x:f>IF($A34="","",SUMPRODUCT((CaseLedger!$K$2:$K$500=$A34)*--(((CaseLedger!$B$2:$B$500=TRUE)+(CaseLedger!$B$2:$B$500="TRUE"))&gt;0)*CaseLedger!$M$2:$M$500))</x:f>
      </x:c>
      <x:c r="F34" s="52" t="str">
        <x:f>IF($A34="","",SUMPRODUCT((CaseLedger!$K$2:$K$500=$A34)*--(((CaseLedger!$B$2:$B$500=TRUE)+(CaseLedger!$B$2:$B$500="TRUE"))&gt;0)*(CaseLedger!$O$2:$O$500="Mixed")))</x:f>
      </x:c>
      <x:c r="G34" s="52" t="str">
        <x:f>IF($A34="","",$A34)</x:f>
      </x:c>
    </x:row>
    <x:row r="35">
      <x:c r="A35" s="52" t="str">
        <x:f>IFERROR(INDEX(SORT(UNIQUE(FILTER(CaseLedger!$K$2:$K$500,CaseLedger!$K$2:$K$500&lt;&gt;""))),ROW(A34)),"")</x:f>
      </x:c>
      <x:c r="B35" s="52" t="str">
        <x:f>IF($A35="","",SUMPRODUCT((CaseLedger!$K$2:$K$500=$A35)*--(((CaseLedger!$B$2:$B$500=TRUE)+(CaseLedger!$B$2:$B$500="TRUE"))&gt;0)))</x:f>
      </x:c>
      <x:c r="C35" s="55" t="str">
        <x:f>IF($A35="","",SUMPRODUCT((CaseLedger!$K$2:$K$500=$A35)*--(((CaseLedger!$B$2:$B$500=TRUE)+(CaseLedger!$B$2:$B$500="TRUE"))&gt;0)*CaseLedger!$N$2:$N$500))</x:f>
      </x:c>
      <x:c r="D35" s="55" t="str">
        <x:f>IF($A35="","",SUMPRODUCT((CaseLedger!$K$2:$K$500=$A35)*--(((CaseLedger!$B$2:$B$500=TRUE)+(CaseLedger!$B$2:$B$500="TRUE"))&gt;0)*CaseLedger!$L$2:$L$500))</x:f>
      </x:c>
      <x:c r="E35" s="55" t="str">
        <x:f>IF($A35="","",SUMPRODUCT((CaseLedger!$K$2:$K$500=$A35)*--(((CaseLedger!$B$2:$B$500=TRUE)+(CaseLedger!$B$2:$B$500="TRUE"))&gt;0)*CaseLedger!$M$2:$M$500))</x:f>
      </x:c>
      <x:c r="F35" s="52" t="str">
        <x:f>IF($A35="","",SUMPRODUCT((CaseLedger!$K$2:$K$500=$A35)*--(((CaseLedger!$B$2:$B$500=TRUE)+(CaseLedger!$B$2:$B$500="TRUE"))&gt;0)*(CaseLedger!$O$2:$O$500="Mixed")))</x:f>
      </x:c>
      <x:c r="G35" s="52" t="str">
        <x:f>IF($A35="","",$A35)</x:f>
      </x:c>
    </x:row>
    <x:row r="36">
      <x:c r="A36" s="52" t="str">
        <x:f>IFERROR(INDEX(SORT(UNIQUE(FILTER(CaseLedger!$K$2:$K$500,CaseLedger!$K$2:$K$500&lt;&gt;""))),ROW(A35)),"")</x:f>
      </x:c>
      <x:c r="B36" s="52" t="str">
        <x:f>IF($A36="","",SUMPRODUCT((CaseLedger!$K$2:$K$500=$A36)*--(((CaseLedger!$B$2:$B$500=TRUE)+(CaseLedger!$B$2:$B$500="TRUE"))&gt;0)))</x:f>
      </x:c>
      <x:c r="C36" s="55" t="str">
        <x:f>IF($A36="","",SUMPRODUCT((CaseLedger!$K$2:$K$500=$A36)*--(((CaseLedger!$B$2:$B$500=TRUE)+(CaseLedger!$B$2:$B$500="TRUE"))&gt;0)*CaseLedger!$N$2:$N$500))</x:f>
      </x:c>
      <x:c r="D36" s="55" t="str">
        <x:f>IF($A36="","",SUMPRODUCT((CaseLedger!$K$2:$K$500=$A36)*--(((CaseLedger!$B$2:$B$500=TRUE)+(CaseLedger!$B$2:$B$500="TRUE"))&gt;0)*CaseLedger!$L$2:$L$500))</x:f>
      </x:c>
      <x:c r="E36" s="55" t="str">
        <x:f>IF($A36="","",SUMPRODUCT((CaseLedger!$K$2:$K$500=$A36)*--(((CaseLedger!$B$2:$B$500=TRUE)+(CaseLedger!$B$2:$B$500="TRUE"))&gt;0)*CaseLedger!$M$2:$M$500))</x:f>
      </x:c>
      <x:c r="F36" s="52" t="str">
        <x:f>IF($A36="","",SUMPRODUCT((CaseLedger!$K$2:$K$500=$A36)*--(((CaseLedger!$B$2:$B$500=TRUE)+(CaseLedger!$B$2:$B$500="TRUE"))&gt;0)*(CaseLedger!$O$2:$O$500="Mixed")))</x:f>
      </x:c>
      <x:c r="G36" s="52" t="str">
        <x:f>IF($A36="","",$A36)</x:f>
      </x:c>
    </x:row>
    <x:row r="37">
      <x:c r="A37" s="52" t="str">
        <x:f>IFERROR(INDEX(SORT(UNIQUE(FILTER(CaseLedger!$K$2:$K$500,CaseLedger!$K$2:$K$500&lt;&gt;""))),ROW(A36)),"")</x:f>
      </x:c>
      <x:c r="B37" s="52" t="str">
        <x:f>IF($A37="","",SUMPRODUCT((CaseLedger!$K$2:$K$500=$A37)*--(((CaseLedger!$B$2:$B$500=TRUE)+(CaseLedger!$B$2:$B$500="TRUE"))&gt;0)))</x:f>
      </x:c>
      <x:c r="C37" s="55" t="str">
        <x:f>IF($A37="","",SUMPRODUCT((CaseLedger!$K$2:$K$500=$A37)*--(((CaseLedger!$B$2:$B$500=TRUE)+(CaseLedger!$B$2:$B$500="TRUE"))&gt;0)*CaseLedger!$N$2:$N$500))</x:f>
      </x:c>
      <x:c r="D37" s="55" t="str">
        <x:f>IF($A37="","",SUMPRODUCT((CaseLedger!$K$2:$K$500=$A37)*--(((CaseLedger!$B$2:$B$500=TRUE)+(CaseLedger!$B$2:$B$500="TRUE"))&gt;0)*CaseLedger!$L$2:$L$500))</x:f>
      </x:c>
      <x:c r="E37" s="55" t="str">
        <x:f>IF($A37="","",SUMPRODUCT((CaseLedger!$K$2:$K$500=$A37)*--(((CaseLedger!$B$2:$B$500=TRUE)+(CaseLedger!$B$2:$B$500="TRUE"))&gt;0)*CaseLedger!$M$2:$M$500))</x:f>
      </x:c>
      <x:c r="F37" s="52" t="str">
        <x:f>IF($A37="","",SUMPRODUCT((CaseLedger!$K$2:$K$500=$A37)*--(((CaseLedger!$B$2:$B$500=TRUE)+(CaseLedger!$B$2:$B$500="TRUE"))&gt;0)*(CaseLedger!$O$2:$O$500="Mixed")))</x:f>
      </x:c>
      <x:c r="G37" s="52" t="str">
        <x:f>IF($A37="","",$A37)</x:f>
      </x:c>
    </x:row>
    <x:row r="38">
      <x:c r="A38" s="52" t="str">
        <x:f>IFERROR(INDEX(SORT(UNIQUE(FILTER(CaseLedger!$K$2:$K$500,CaseLedger!$K$2:$K$500&lt;&gt;""))),ROW(A37)),"")</x:f>
      </x:c>
      <x:c r="B38" s="52" t="str">
        <x:f>IF($A38="","",SUMPRODUCT((CaseLedger!$K$2:$K$500=$A38)*--(((CaseLedger!$B$2:$B$500=TRUE)+(CaseLedger!$B$2:$B$500="TRUE"))&gt;0)))</x:f>
      </x:c>
      <x:c r="C38" s="55" t="str">
        <x:f>IF($A38="","",SUMPRODUCT((CaseLedger!$K$2:$K$500=$A38)*--(((CaseLedger!$B$2:$B$500=TRUE)+(CaseLedger!$B$2:$B$500="TRUE"))&gt;0)*CaseLedger!$N$2:$N$500))</x:f>
      </x:c>
      <x:c r="D38" s="55" t="str">
        <x:f>IF($A38="","",SUMPRODUCT((CaseLedger!$K$2:$K$500=$A38)*--(((CaseLedger!$B$2:$B$500=TRUE)+(CaseLedger!$B$2:$B$500="TRUE"))&gt;0)*CaseLedger!$L$2:$L$500))</x:f>
      </x:c>
      <x:c r="E38" s="55" t="str">
        <x:f>IF($A38="","",SUMPRODUCT((CaseLedger!$K$2:$K$500=$A38)*--(((CaseLedger!$B$2:$B$500=TRUE)+(CaseLedger!$B$2:$B$500="TRUE"))&gt;0)*CaseLedger!$M$2:$M$500))</x:f>
      </x:c>
      <x:c r="F38" s="52" t="str">
        <x:f>IF($A38="","",SUMPRODUCT((CaseLedger!$K$2:$K$500=$A38)*--(((CaseLedger!$B$2:$B$500=TRUE)+(CaseLedger!$B$2:$B$500="TRUE"))&gt;0)*(CaseLedger!$O$2:$O$500="Mixed")))</x:f>
      </x:c>
      <x:c r="G38" s="52" t="str">
        <x:f>IF($A38="","",$A38)</x:f>
      </x:c>
    </x:row>
    <x:row r="39">
      <x:c r="A39" s="52" t="str">
        <x:f>IFERROR(INDEX(SORT(UNIQUE(FILTER(CaseLedger!$K$2:$K$500,CaseLedger!$K$2:$K$500&lt;&gt;""))),ROW(A38)),"")</x:f>
      </x:c>
      <x:c r="B39" s="52" t="str">
        <x:f>IF($A39="","",SUMPRODUCT((CaseLedger!$K$2:$K$500=$A39)*--(((CaseLedger!$B$2:$B$500=TRUE)+(CaseLedger!$B$2:$B$500="TRUE"))&gt;0)))</x:f>
      </x:c>
      <x:c r="C39" s="55" t="str">
        <x:f>IF($A39="","",SUMPRODUCT((CaseLedger!$K$2:$K$500=$A39)*--(((CaseLedger!$B$2:$B$500=TRUE)+(CaseLedger!$B$2:$B$500="TRUE"))&gt;0)*CaseLedger!$N$2:$N$500))</x:f>
      </x:c>
      <x:c r="D39" s="55" t="str">
        <x:f>IF($A39="","",SUMPRODUCT((CaseLedger!$K$2:$K$500=$A39)*--(((CaseLedger!$B$2:$B$500=TRUE)+(CaseLedger!$B$2:$B$500="TRUE"))&gt;0)*CaseLedger!$L$2:$L$500))</x:f>
      </x:c>
      <x:c r="E39" s="55" t="str">
        <x:f>IF($A39="","",SUMPRODUCT((CaseLedger!$K$2:$K$500=$A39)*--(((CaseLedger!$B$2:$B$500=TRUE)+(CaseLedger!$B$2:$B$500="TRUE"))&gt;0)*CaseLedger!$M$2:$M$500))</x:f>
      </x:c>
      <x:c r="F39" s="52" t="str">
        <x:f>IF($A39="","",SUMPRODUCT((CaseLedger!$K$2:$K$500=$A39)*--(((CaseLedger!$B$2:$B$500=TRUE)+(CaseLedger!$B$2:$B$500="TRUE"))&gt;0)*(CaseLedger!$O$2:$O$500="Mixed")))</x:f>
      </x:c>
      <x:c r="G39" s="52" t="str">
        <x:f>IF($A39="","",$A39)</x:f>
      </x:c>
    </x:row>
    <x:row r="40">
      <x:c r="A40" s="52" t="str">
        <x:f>IFERROR(INDEX(SORT(UNIQUE(FILTER(CaseLedger!$K$2:$K$500,CaseLedger!$K$2:$K$500&lt;&gt;""))),ROW(A39)),"")</x:f>
      </x:c>
      <x:c r="B40" s="52" t="str">
        <x:f>IF($A40="","",SUMPRODUCT((CaseLedger!$K$2:$K$500=$A40)*--(((CaseLedger!$B$2:$B$500=TRUE)+(CaseLedger!$B$2:$B$500="TRUE"))&gt;0)))</x:f>
      </x:c>
      <x:c r="C40" s="55" t="str">
        <x:f>IF($A40="","",SUMPRODUCT((CaseLedger!$K$2:$K$500=$A40)*--(((CaseLedger!$B$2:$B$500=TRUE)+(CaseLedger!$B$2:$B$500="TRUE"))&gt;0)*CaseLedger!$N$2:$N$500))</x:f>
      </x:c>
      <x:c r="D40" s="55" t="str">
        <x:f>IF($A40="","",SUMPRODUCT((CaseLedger!$K$2:$K$500=$A40)*--(((CaseLedger!$B$2:$B$500=TRUE)+(CaseLedger!$B$2:$B$500="TRUE"))&gt;0)*CaseLedger!$L$2:$L$500))</x:f>
      </x:c>
      <x:c r="E40" s="55" t="str">
        <x:f>IF($A40="","",SUMPRODUCT((CaseLedger!$K$2:$K$500=$A40)*--(((CaseLedger!$B$2:$B$500=TRUE)+(CaseLedger!$B$2:$B$500="TRUE"))&gt;0)*CaseLedger!$M$2:$M$500))</x:f>
      </x:c>
      <x:c r="F40" s="52" t="str">
        <x:f>IF($A40="","",SUMPRODUCT((CaseLedger!$K$2:$K$500=$A40)*--(((CaseLedger!$B$2:$B$500=TRUE)+(CaseLedger!$B$2:$B$500="TRUE"))&gt;0)*(CaseLedger!$O$2:$O$500="Mixed")))</x:f>
      </x:c>
      <x:c r="G40" s="52" t="str">
        <x:f>IF($A40="","",$A40)</x:f>
      </x:c>
    </x:row>
    <x:row r="41">
      <x:c r="A41" s="52" t="str">
        <x:f>IFERROR(INDEX(SORT(UNIQUE(FILTER(CaseLedger!$K$2:$K$500,CaseLedger!$K$2:$K$500&lt;&gt;""))),ROW(A40)),"")</x:f>
      </x:c>
      <x:c r="B41" s="52" t="str">
        <x:f>IF($A41="","",SUMPRODUCT((CaseLedger!$K$2:$K$500=$A41)*--(((CaseLedger!$B$2:$B$500=TRUE)+(CaseLedger!$B$2:$B$500="TRUE"))&gt;0)))</x:f>
      </x:c>
      <x:c r="C41" s="55" t="str">
        <x:f>IF($A41="","",SUMPRODUCT((CaseLedger!$K$2:$K$500=$A41)*--(((CaseLedger!$B$2:$B$500=TRUE)+(CaseLedger!$B$2:$B$500="TRUE"))&gt;0)*CaseLedger!$N$2:$N$500))</x:f>
      </x:c>
      <x:c r="D41" s="55" t="str">
        <x:f>IF($A41="","",SUMPRODUCT((CaseLedger!$K$2:$K$500=$A41)*--(((CaseLedger!$B$2:$B$500=TRUE)+(CaseLedger!$B$2:$B$500="TRUE"))&gt;0)*CaseLedger!$L$2:$L$500))</x:f>
      </x:c>
      <x:c r="E41" s="55" t="str">
        <x:f>IF($A41="","",SUMPRODUCT((CaseLedger!$K$2:$K$500=$A41)*--(((CaseLedger!$B$2:$B$500=TRUE)+(CaseLedger!$B$2:$B$500="TRUE"))&gt;0)*CaseLedger!$M$2:$M$500))</x:f>
      </x:c>
      <x:c r="F41" s="52" t="str">
        <x:f>IF($A41="","",SUMPRODUCT((CaseLedger!$K$2:$K$500=$A41)*--(((CaseLedger!$B$2:$B$500=TRUE)+(CaseLedger!$B$2:$B$500="TRUE"))&gt;0)*(CaseLedger!$O$2:$O$500="Mixed")))</x:f>
      </x:c>
      <x:c r="G41" s="52" t="str">
        <x:f>IF($A41="","",$A41)</x:f>
      </x:c>
    </x:row>
    <x:row r="42">
      <x:c r="A42" s="52" t="str">
        <x:f>IFERROR(INDEX(SORT(UNIQUE(FILTER(CaseLedger!$K$2:$K$500,CaseLedger!$K$2:$K$500&lt;&gt;""))),ROW(A41)),"")</x:f>
      </x:c>
      <x:c r="B42" s="52" t="str">
        <x:f>IF($A42="","",SUMPRODUCT((CaseLedger!$K$2:$K$500=$A42)*--(((CaseLedger!$B$2:$B$500=TRUE)+(CaseLedger!$B$2:$B$500="TRUE"))&gt;0)))</x:f>
      </x:c>
      <x:c r="C42" s="55" t="str">
        <x:f>IF($A42="","",SUMPRODUCT((CaseLedger!$K$2:$K$500=$A42)*--(((CaseLedger!$B$2:$B$500=TRUE)+(CaseLedger!$B$2:$B$500="TRUE"))&gt;0)*CaseLedger!$N$2:$N$500))</x:f>
      </x:c>
      <x:c r="D42" s="55" t="str">
        <x:f>IF($A42="","",SUMPRODUCT((CaseLedger!$K$2:$K$500=$A42)*--(((CaseLedger!$B$2:$B$500=TRUE)+(CaseLedger!$B$2:$B$500="TRUE"))&gt;0)*CaseLedger!$L$2:$L$500))</x:f>
      </x:c>
      <x:c r="E42" s="55" t="str">
        <x:f>IF($A42="","",SUMPRODUCT((CaseLedger!$K$2:$K$500=$A42)*--(((CaseLedger!$B$2:$B$500=TRUE)+(CaseLedger!$B$2:$B$500="TRUE"))&gt;0)*CaseLedger!$M$2:$M$500))</x:f>
      </x:c>
      <x:c r="F42" s="52" t="str">
        <x:f>IF($A42="","",SUMPRODUCT((CaseLedger!$K$2:$K$500=$A42)*--(((CaseLedger!$B$2:$B$500=TRUE)+(CaseLedger!$B$2:$B$500="TRUE"))&gt;0)*(CaseLedger!$O$2:$O$500="Mixed")))</x:f>
      </x:c>
      <x:c r="G42" s="52" t="str">
        <x:f>IF($A42="","",$A42)</x:f>
      </x:c>
    </x:row>
    <x:row r="43">
      <x:c r="A43" s="52" t="str">
        <x:f>IFERROR(INDEX(SORT(UNIQUE(FILTER(CaseLedger!$K$2:$K$500,CaseLedger!$K$2:$K$500&lt;&gt;""))),ROW(A42)),"")</x:f>
      </x:c>
      <x:c r="B43" s="52" t="str">
        <x:f>IF($A43="","",SUMPRODUCT((CaseLedger!$K$2:$K$500=$A43)*--(((CaseLedger!$B$2:$B$500=TRUE)+(CaseLedger!$B$2:$B$500="TRUE"))&gt;0)))</x:f>
      </x:c>
      <x:c r="C43" s="55" t="str">
        <x:f>IF($A43="","",SUMPRODUCT((CaseLedger!$K$2:$K$500=$A43)*--(((CaseLedger!$B$2:$B$500=TRUE)+(CaseLedger!$B$2:$B$500="TRUE"))&gt;0)*CaseLedger!$N$2:$N$500))</x:f>
      </x:c>
      <x:c r="D43" s="55" t="str">
        <x:f>IF($A43="","",SUMPRODUCT((CaseLedger!$K$2:$K$500=$A43)*--(((CaseLedger!$B$2:$B$500=TRUE)+(CaseLedger!$B$2:$B$500="TRUE"))&gt;0)*CaseLedger!$L$2:$L$500))</x:f>
      </x:c>
      <x:c r="E43" s="55" t="str">
        <x:f>IF($A43="","",SUMPRODUCT((CaseLedger!$K$2:$K$500=$A43)*--(((CaseLedger!$B$2:$B$500=TRUE)+(CaseLedger!$B$2:$B$500="TRUE"))&gt;0)*CaseLedger!$M$2:$M$500))</x:f>
      </x:c>
      <x:c r="F43" s="52" t="str">
        <x:f>IF($A43="","",SUMPRODUCT((CaseLedger!$K$2:$K$500=$A43)*--(((CaseLedger!$B$2:$B$500=TRUE)+(CaseLedger!$B$2:$B$500="TRUE"))&gt;0)*(CaseLedger!$O$2:$O$500="Mixed")))</x:f>
      </x:c>
      <x:c r="G43" s="52" t="str">
        <x:f>IF($A43="","",$A43)</x:f>
      </x:c>
    </x:row>
    <x:row r="44">
      <x:c r="A44" s="52" t="str">
        <x:f>IFERROR(INDEX(SORT(UNIQUE(FILTER(CaseLedger!$K$2:$K$500,CaseLedger!$K$2:$K$500&lt;&gt;""))),ROW(A43)),"")</x:f>
      </x:c>
      <x:c r="B44" s="52" t="str">
        <x:f>IF($A44="","",SUMPRODUCT((CaseLedger!$K$2:$K$500=$A44)*--(((CaseLedger!$B$2:$B$500=TRUE)+(CaseLedger!$B$2:$B$500="TRUE"))&gt;0)))</x:f>
      </x:c>
      <x:c r="C44" s="55" t="str">
        <x:f>IF($A44="","",SUMPRODUCT((CaseLedger!$K$2:$K$500=$A44)*--(((CaseLedger!$B$2:$B$500=TRUE)+(CaseLedger!$B$2:$B$500="TRUE"))&gt;0)*CaseLedger!$N$2:$N$500))</x:f>
      </x:c>
      <x:c r="D44" s="55" t="str">
        <x:f>IF($A44="","",SUMPRODUCT((CaseLedger!$K$2:$K$500=$A44)*--(((CaseLedger!$B$2:$B$500=TRUE)+(CaseLedger!$B$2:$B$500="TRUE"))&gt;0)*CaseLedger!$L$2:$L$500))</x:f>
      </x:c>
      <x:c r="E44" s="55" t="str">
        <x:f>IF($A44="","",SUMPRODUCT((CaseLedger!$K$2:$K$500=$A44)*--(((CaseLedger!$B$2:$B$500=TRUE)+(CaseLedger!$B$2:$B$500="TRUE"))&gt;0)*CaseLedger!$M$2:$M$500))</x:f>
      </x:c>
      <x:c r="F44" s="52" t="str">
        <x:f>IF($A44="","",SUMPRODUCT((CaseLedger!$K$2:$K$500=$A44)*--(((CaseLedger!$B$2:$B$500=TRUE)+(CaseLedger!$B$2:$B$500="TRUE"))&gt;0)*(CaseLedger!$O$2:$O$500="Mixed")))</x:f>
      </x:c>
      <x:c r="G44" s="52" t="str">
        <x:f>IF($A44="","",$A44)</x:f>
      </x:c>
    </x:row>
    <x:row r="45">
      <x:c r="A45" s="52" t="str">
        <x:f>IFERROR(INDEX(SORT(UNIQUE(FILTER(CaseLedger!$K$2:$K$500,CaseLedger!$K$2:$K$500&lt;&gt;""))),ROW(A44)),"")</x:f>
      </x:c>
      <x:c r="B45" s="52" t="str">
        <x:f>IF($A45="","",SUMPRODUCT((CaseLedger!$K$2:$K$500=$A45)*--(((CaseLedger!$B$2:$B$500=TRUE)+(CaseLedger!$B$2:$B$500="TRUE"))&gt;0)))</x:f>
      </x:c>
      <x:c r="C45" s="55" t="str">
        <x:f>IF($A45="","",SUMPRODUCT((CaseLedger!$K$2:$K$500=$A45)*--(((CaseLedger!$B$2:$B$500=TRUE)+(CaseLedger!$B$2:$B$500="TRUE"))&gt;0)*CaseLedger!$N$2:$N$500))</x:f>
      </x:c>
      <x:c r="D45" s="55" t="str">
        <x:f>IF($A45="","",SUMPRODUCT((CaseLedger!$K$2:$K$500=$A45)*--(((CaseLedger!$B$2:$B$500=TRUE)+(CaseLedger!$B$2:$B$500="TRUE"))&gt;0)*CaseLedger!$L$2:$L$500))</x:f>
      </x:c>
      <x:c r="E45" s="55" t="str">
        <x:f>IF($A45="","",SUMPRODUCT((CaseLedger!$K$2:$K$500=$A45)*--(((CaseLedger!$B$2:$B$500=TRUE)+(CaseLedger!$B$2:$B$500="TRUE"))&gt;0)*CaseLedger!$M$2:$M$500))</x:f>
      </x:c>
      <x:c r="F45" s="52" t="str">
        <x:f>IF($A45="","",SUMPRODUCT((CaseLedger!$K$2:$K$500=$A45)*--(((CaseLedger!$B$2:$B$500=TRUE)+(CaseLedger!$B$2:$B$500="TRUE"))&gt;0)*(CaseLedger!$O$2:$O$500="Mixed")))</x:f>
      </x:c>
      <x:c r="G45" s="52" t="str">
        <x:f>IF($A45="","",$A45)</x:f>
      </x:c>
    </x:row>
    <x:row r="46">
      <x:c r="A46" s="52" t="str">
        <x:f>IFERROR(INDEX(SORT(UNIQUE(FILTER(CaseLedger!$K$2:$K$500,CaseLedger!$K$2:$K$500&lt;&gt;""))),ROW(A45)),"")</x:f>
      </x:c>
      <x:c r="B46" s="52" t="str">
        <x:f>IF($A46="","",SUMPRODUCT((CaseLedger!$K$2:$K$500=$A46)*--(((CaseLedger!$B$2:$B$500=TRUE)+(CaseLedger!$B$2:$B$500="TRUE"))&gt;0)))</x:f>
      </x:c>
      <x:c r="C46" s="55" t="str">
        <x:f>IF($A46="","",SUMPRODUCT((CaseLedger!$K$2:$K$500=$A46)*--(((CaseLedger!$B$2:$B$500=TRUE)+(CaseLedger!$B$2:$B$500="TRUE"))&gt;0)*CaseLedger!$N$2:$N$500))</x:f>
      </x:c>
      <x:c r="D46" s="55" t="str">
        <x:f>IF($A46="","",SUMPRODUCT((CaseLedger!$K$2:$K$500=$A46)*--(((CaseLedger!$B$2:$B$500=TRUE)+(CaseLedger!$B$2:$B$500="TRUE"))&gt;0)*CaseLedger!$L$2:$L$500))</x:f>
      </x:c>
      <x:c r="E46" s="55" t="str">
        <x:f>IF($A46="","",SUMPRODUCT((CaseLedger!$K$2:$K$500=$A46)*--(((CaseLedger!$B$2:$B$500=TRUE)+(CaseLedger!$B$2:$B$500="TRUE"))&gt;0)*CaseLedger!$M$2:$M$500))</x:f>
      </x:c>
      <x:c r="F46" s="52" t="str">
        <x:f>IF($A46="","",SUMPRODUCT((CaseLedger!$K$2:$K$500=$A46)*--(((CaseLedger!$B$2:$B$500=TRUE)+(CaseLedger!$B$2:$B$500="TRUE"))&gt;0)*(CaseLedger!$O$2:$O$500="Mixed")))</x:f>
      </x:c>
      <x:c r="G46" s="52" t="str">
        <x:f>IF($A46="","",$A46)</x:f>
      </x:c>
    </x:row>
    <x:row r="47">
      <x:c r="A47" s="52" t="str">
        <x:f>IFERROR(INDEX(SORT(UNIQUE(FILTER(CaseLedger!$K$2:$K$500,CaseLedger!$K$2:$K$500&lt;&gt;""))),ROW(A46)),"")</x:f>
      </x:c>
      <x:c r="B47" s="52" t="str">
        <x:f>IF($A47="","",SUMPRODUCT((CaseLedger!$K$2:$K$500=$A47)*--(((CaseLedger!$B$2:$B$500=TRUE)+(CaseLedger!$B$2:$B$500="TRUE"))&gt;0)))</x:f>
      </x:c>
      <x:c r="C47" s="55" t="str">
        <x:f>IF($A47="","",SUMPRODUCT((CaseLedger!$K$2:$K$500=$A47)*--(((CaseLedger!$B$2:$B$500=TRUE)+(CaseLedger!$B$2:$B$500="TRUE"))&gt;0)*CaseLedger!$N$2:$N$500))</x:f>
      </x:c>
      <x:c r="D47" s="55" t="str">
        <x:f>IF($A47="","",SUMPRODUCT((CaseLedger!$K$2:$K$500=$A47)*--(((CaseLedger!$B$2:$B$500=TRUE)+(CaseLedger!$B$2:$B$500="TRUE"))&gt;0)*CaseLedger!$L$2:$L$500))</x:f>
      </x:c>
      <x:c r="E47" s="55" t="str">
        <x:f>IF($A47="","",SUMPRODUCT((CaseLedger!$K$2:$K$500=$A47)*--(((CaseLedger!$B$2:$B$500=TRUE)+(CaseLedger!$B$2:$B$500="TRUE"))&gt;0)*CaseLedger!$M$2:$M$500))</x:f>
      </x:c>
      <x:c r="F47" s="52" t="str">
        <x:f>IF($A47="","",SUMPRODUCT((CaseLedger!$K$2:$K$500=$A47)*--(((CaseLedger!$B$2:$B$500=TRUE)+(CaseLedger!$B$2:$B$500="TRUE"))&gt;0)*(CaseLedger!$O$2:$O$500="Mixed")))</x:f>
      </x:c>
      <x:c r="G47" s="52" t="str">
        <x:f>IF($A47="","",$A47)</x:f>
      </x:c>
    </x:row>
    <x:row r="48">
      <x:c r="A48" s="52" t="str">
        <x:f>IFERROR(INDEX(SORT(UNIQUE(FILTER(CaseLedger!$K$2:$K$500,CaseLedger!$K$2:$K$500&lt;&gt;""))),ROW(A47)),"")</x:f>
      </x:c>
      <x:c r="B48" s="52" t="str">
        <x:f>IF($A48="","",SUMPRODUCT((CaseLedger!$K$2:$K$500=$A48)*--(((CaseLedger!$B$2:$B$500=TRUE)+(CaseLedger!$B$2:$B$500="TRUE"))&gt;0)))</x:f>
      </x:c>
      <x:c r="C48" s="55" t="str">
        <x:f>IF($A48="","",SUMPRODUCT((CaseLedger!$K$2:$K$500=$A48)*--(((CaseLedger!$B$2:$B$500=TRUE)+(CaseLedger!$B$2:$B$500="TRUE"))&gt;0)*CaseLedger!$N$2:$N$500))</x:f>
      </x:c>
      <x:c r="D48" s="55" t="str">
        <x:f>IF($A48="","",SUMPRODUCT((CaseLedger!$K$2:$K$500=$A48)*--(((CaseLedger!$B$2:$B$500=TRUE)+(CaseLedger!$B$2:$B$500="TRUE"))&gt;0)*CaseLedger!$L$2:$L$500))</x:f>
      </x:c>
      <x:c r="E48" s="55" t="str">
        <x:f>IF($A48="","",SUMPRODUCT((CaseLedger!$K$2:$K$500=$A48)*--(((CaseLedger!$B$2:$B$500=TRUE)+(CaseLedger!$B$2:$B$500="TRUE"))&gt;0)*CaseLedger!$M$2:$M$500))</x:f>
      </x:c>
      <x:c r="F48" s="52" t="str">
        <x:f>IF($A48="","",SUMPRODUCT((CaseLedger!$K$2:$K$500=$A48)*--(((CaseLedger!$B$2:$B$500=TRUE)+(CaseLedger!$B$2:$B$500="TRUE"))&gt;0)*(CaseLedger!$O$2:$O$500="Mixed")))</x:f>
      </x:c>
      <x:c r="G48" s="52" t="str">
        <x:f>IF($A48="","",$A48)</x:f>
      </x:c>
    </x:row>
    <x:row r="49">
      <x:c r="A49" s="52" t="str">
        <x:f>IFERROR(INDEX(SORT(UNIQUE(FILTER(CaseLedger!$K$2:$K$500,CaseLedger!$K$2:$K$500&lt;&gt;""))),ROW(A48)),"")</x:f>
      </x:c>
      <x:c r="B49" s="52" t="str">
        <x:f>IF($A49="","",SUMPRODUCT((CaseLedger!$K$2:$K$500=$A49)*--(((CaseLedger!$B$2:$B$500=TRUE)+(CaseLedger!$B$2:$B$500="TRUE"))&gt;0)))</x:f>
      </x:c>
      <x:c r="C49" s="55" t="str">
        <x:f>IF($A49="","",SUMPRODUCT((CaseLedger!$K$2:$K$500=$A49)*--(((CaseLedger!$B$2:$B$500=TRUE)+(CaseLedger!$B$2:$B$500="TRUE"))&gt;0)*CaseLedger!$N$2:$N$500))</x:f>
      </x:c>
      <x:c r="D49" s="55" t="str">
        <x:f>IF($A49="","",SUMPRODUCT((CaseLedger!$K$2:$K$500=$A49)*--(((CaseLedger!$B$2:$B$500=TRUE)+(CaseLedger!$B$2:$B$500="TRUE"))&gt;0)*CaseLedger!$L$2:$L$500))</x:f>
      </x:c>
      <x:c r="E49" s="55" t="str">
        <x:f>IF($A49="","",SUMPRODUCT((CaseLedger!$K$2:$K$500=$A49)*--(((CaseLedger!$B$2:$B$500=TRUE)+(CaseLedger!$B$2:$B$500="TRUE"))&gt;0)*CaseLedger!$M$2:$M$500))</x:f>
      </x:c>
      <x:c r="F49" s="52" t="str">
        <x:f>IF($A49="","",SUMPRODUCT((CaseLedger!$K$2:$K$500=$A49)*--(((CaseLedger!$B$2:$B$500=TRUE)+(CaseLedger!$B$2:$B$500="TRUE"))&gt;0)*(CaseLedger!$O$2:$O$500="Mixed")))</x:f>
      </x:c>
      <x:c r="G49" s="52" t="str">
        <x:f>IF($A49="","",$A49)</x:f>
      </x:c>
    </x:row>
    <x:row r="50">
      <x:c r="A50" s="52" t="str">
        <x:f>IFERROR(INDEX(SORT(UNIQUE(FILTER(CaseLedger!$K$2:$K$500,CaseLedger!$K$2:$K$500&lt;&gt;""))),ROW(A49)),"")</x:f>
      </x:c>
      <x:c r="B50" s="52" t="str">
        <x:f>IF($A50="","",SUMPRODUCT((CaseLedger!$K$2:$K$500=$A50)*--(((CaseLedger!$B$2:$B$500=TRUE)+(CaseLedger!$B$2:$B$500="TRUE"))&gt;0)))</x:f>
      </x:c>
      <x:c r="C50" s="55" t="str">
        <x:f>IF($A50="","",SUMPRODUCT((CaseLedger!$K$2:$K$500=$A50)*--(((CaseLedger!$B$2:$B$500=TRUE)+(CaseLedger!$B$2:$B$500="TRUE"))&gt;0)*CaseLedger!$N$2:$N$500))</x:f>
      </x:c>
      <x:c r="D50" s="55" t="str">
        <x:f>IF($A50="","",SUMPRODUCT((CaseLedger!$K$2:$K$500=$A50)*--(((CaseLedger!$B$2:$B$500=TRUE)+(CaseLedger!$B$2:$B$500="TRUE"))&gt;0)*CaseLedger!$L$2:$L$500))</x:f>
      </x:c>
      <x:c r="E50" s="55" t="str">
        <x:f>IF($A50="","",SUMPRODUCT((CaseLedger!$K$2:$K$500=$A50)*--(((CaseLedger!$B$2:$B$500=TRUE)+(CaseLedger!$B$2:$B$500="TRUE"))&gt;0)*CaseLedger!$M$2:$M$500))</x:f>
      </x:c>
      <x:c r="F50" s="52" t="str">
        <x:f>IF($A50="","",SUMPRODUCT((CaseLedger!$K$2:$K$500=$A50)*--(((CaseLedger!$B$2:$B$500=TRUE)+(CaseLedger!$B$2:$B$500="TRUE"))&gt;0)*(CaseLedger!$O$2:$O$500="Mixed")))</x:f>
      </x:c>
      <x:c r="G50" s="52" t="str">
        <x:f>IF($A50="","",$A50)</x:f>
      </x:c>
    </x:row>
    <x:row r="51">
      <x:c r="A51" s="52" t="str">
        <x:f>IFERROR(INDEX(SORT(UNIQUE(FILTER(CaseLedger!$K$2:$K$500,CaseLedger!$K$2:$K$500&lt;&gt;""))),ROW(A50)),"")</x:f>
      </x:c>
      <x:c r="B51" s="52" t="str">
        <x:f>IF($A51="","",SUMPRODUCT((CaseLedger!$K$2:$K$500=$A51)*--(((CaseLedger!$B$2:$B$500=TRUE)+(CaseLedger!$B$2:$B$500="TRUE"))&gt;0)))</x:f>
      </x:c>
      <x:c r="C51" s="55" t="str">
        <x:f>IF($A51="","",SUMPRODUCT((CaseLedger!$K$2:$K$500=$A51)*--(((CaseLedger!$B$2:$B$500=TRUE)+(CaseLedger!$B$2:$B$500="TRUE"))&gt;0)*CaseLedger!$N$2:$N$500))</x:f>
      </x:c>
      <x:c r="D51" s="55" t="str">
        <x:f>IF($A51="","",SUMPRODUCT((CaseLedger!$K$2:$K$500=$A51)*--(((CaseLedger!$B$2:$B$500=TRUE)+(CaseLedger!$B$2:$B$500="TRUE"))&gt;0)*CaseLedger!$L$2:$L$500))</x:f>
      </x:c>
      <x:c r="E51" s="55" t="str">
        <x:f>IF($A51="","",SUMPRODUCT((CaseLedger!$K$2:$K$500=$A51)*--(((CaseLedger!$B$2:$B$500=TRUE)+(CaseLedger!$B$2:$B$500="TRUE"))&gt;0)*CaseLedger!$M$2:$M$500))</x:f>
      </x:c>
      <x:c r="F51" s="52" t="str">
        <x:f>IF($A51="","",SUMPRODUCT((CaseLedger!$K$2:$K$500=$A51)*--(((CaseLedger!$B$2:$B$500=TRUE)+(CaseLedger!$B$2:$B$500="TRUE"))&gt;0)*(CaseLedger!$O$2:$O$500="Mixed")))</x:f>
      </x:c>
      <x:c r="G51" s="52" t="str">
        <x:f>IF($A51="","",$A51)</x:f>
      </x:c>
    </x:row>
    <x:row r="52">
      <x:c r="A52" s="52" t="str">
        <x:f>IFERROR(INDEX(SORT(UNIQUE(FILTER(CaseLedger!$K$2:$K$500,CaseLedger!$K$2:$K$500&lt;&gt;""))),ROW(A51)),"")</x:f>
      </x:c>
      <x:c r="B52" s="52" t="str">
        <x:f>IF($A52="","",SUMPRODUCT((CaseLedger!$K$2:$K$500=$A52)*--(((CaseLedger!$B$2:$B$500=TRUE)+(CaseLedger!$B$2:$B$500="TRUE"))&gt;0)))</x:f>
      </x:c>
      <x:c r="C52" s="55" t="str">
        <x:f>IF($A52="","",SUMPRODUCT((CaseLedger!$K$2:$K$500=$A52)*--(((CaseLedger!$B$2:$B$500=TRUE)+(CaseLedger!$B$2:$B$500="TRUE"))&gt;0)*CaseLedger!$N$2:$N$500))</x:f>
      </x:c>
      <x:c r="D52" s="55" t="str">
        <x:f>IF($A52="","",SUMPRODUCT((CaseLedger!$K$2:$K$500=$A52)*--(((CaseLedger!$B$2:$B$500=TRUE)+(CaseLedger!$B$2:$B$500="TRUE"))&gt;0)*CaseLedger!$L$2:$L$500))</x:f>
      </x:c>
      <x:c r="E52" s="55" t="str">
        <x:f>IF($A52="","",SUMPRODUCT((CaseLedger!$K$2:$K$500=$A52)*--(((CaseLedger!$B$2:$B$500=TRUE)+(CaseLedger!$B$2:$B$500="TRUE"))&gt;0)*CaseLedger!$M$2:$M$500))</x:f>
      </x:c>
      <x:c r="F52" s="52" t="str">
        <x:f>IF($A52="","",SUMPRODUCT((CaseLedger!$K$2:$K$500=$A52)*--(((CaseLedger!$B$2:$B$500=TRUE)+(CaseLedger!$B$2:$B$500="TRUE"))&gt;0)*(CaseLedger!$O$2:$O$500="Mixed")))</x:f>
      </x:c>
      <x:c r="G52" s="52" t="str">
        <x:f>IF($A52="","",$A52)</x:f>
      </x:c>
    </x:row>
    <x:row r="53">
      <x:c r="A53" s="52" t="str">
        <x:f>IFERROR(INDEX(SORT(UNIQUE(FILTER(CaseLedger!$K$2:$K$500,CaseLedger!$K$2:$K$500&lt;&gt;""))),ROW(A52)),"")</x:f>
      </x:c>
      <x:c r="B53" s="52" t="str">
        <x:f>IF($A53="","",SUMPRODUCT((CaseLedger!$K$2:$K$500=$A53)*--(((CaseLedger!$B$2:$B$500=TRUE)+(CaseLedger!$B$2:$B$500="TRUE"))&gt;0)))</x:f>
      </x:c>
      <x:c r="C53" s="55" t="str">
        <x:f>IF($A53="","",SUMPRODUCT((CaseLedger!$K$2:$K$500=$A53)*--(((CaseLedger!$B$2:$B$500=TRUE)+(CaseLedger!$B$2:$B$500="TRUE"))&gt;0)*CaseLedger!$N$2:$N$500))</x:f>
      </x:c>
      <x:c r="D53" s="55" t="str">
        <x:f>IF($A53="","",SUMPRODUCT((CaseLedger!$K$2:$K$500=$A53)*--(((CaseLedger!$B$2:$B$500=TRUE)+(CaseLedger!$B$2:$B$500="TRUE"))&gt;0)*CaseLedger!$L$2:$L$500))</x:f>
      </x:c>
      <x:c r="E53" s="55" t="str">
        <x:f>IF($A53="","",SUMPRODUCT((CaseLedger!$K$2:$K$500=$A53)*--(((CaseLedger!$B$2:$B$500=TRUE)+(CaseLedger!$B$2:$B$500="TRUE"))&gt;0)*CaseLedger!$M$2:$M$500))</x:f>
      </x:c>
      <x:c r="F53" s="52" t="str">
        <x:f>IF($A53="","",SUMPRODUCT((CaseLedger!$K$2:$K$500=$A53)*--(((CaseLedger!$B$2:$B$500=TRUE)+(CaseLedger!$B$2:$B$500="TRUE"))&gt;0)*(CaseLedger!$O$2:$O$500="Mixed")))</x:f>
      </x:c>
      <x:c r="G53" s="52" t="str">
        <x:f>IF($A53="","",$A53)</x:f>
      </x:c>
    </x:row>
    <x:row r="54">
      <x:c r="A54" s="52" t="str">
        <x:f>IFERROR(INDEX(SORT(UNIQUE(FILTER(CaseLedger!$K$2:$K$500,CaseLedger!$K$2:$K$500&lt;&gt;""))),ROW(A53)),"")</x:f>
      </x:c>
      <x:c r="B54" s="52" t="str">
        <x:f>IF($A54="","",SUMPRODUCT((CaseLedger!$K$2:$K$500=$A54)*--(((CaseLedger!$B$2:$B$500=TRUE)+(CaseLedger!$B$2:$B$500="TRUE"))&gt;0)))</x:f>
      </x:c>
      <x:c r="C54" s="55" t="str">
        <x:f>IF($A54="","",SUMPRODUCT((CaseLedger!$K$2:$K$500=$A54)*--(((CaseLedger!$B$2:$B$500=TRUE)+(CaseLedger!$B$2:$B$500="TRUE"))&gt;0)*CaseLedger!$N$2:$N$500))</x:f>
      </x:c>
      <x:c r="D54" s="55" t="str">
        <x:f>IF($A54="","",SUMPRODUCT((CaseLedger!$K$2:$K$500=$A54)*--(((CaseLedger!$B$2:$B$500=TRUE)+(CaseLedger!$B$2:$B$500="TRUE"))&gt;0)*CaseLedger!$L$2:$L$500))</x:f>
      </x:c>
      <x:c r="E54" s="55" t="str">
        <x:f>IF($A54="","",SUMPRODUCT((CaseLedger!$K$2:$K$500=$A54)*--(((CaseLedger!$B$2:$B$500=TRUE)+(CaseLedger!$B$2:$B$500="TRUE"))&gt;0)*CaseLedger!$M$2:$M$500))</x:f>
      </x:c>
      <x:c r="F54" s="52" t="str">
        <x:f>IF($A54="","",SUMPRODUCT((CaseLedger!$K$2:$K$500=$A54)*--(((CaseLedger!$B$2:$B$500=TRUE)+(CaseLedger!$B$2:$B$500="TRUE"))&gt;0)*(CaseLedger!$O$2:$O$500="Mixed")))</x:f>
      </x:c>
      <x:c r="G54" s="52" t="str">
        <x:f>IF($A54="","",$A54)</x:f>
      </x:c>
    </x:row>
    <x:row r="55">
      <x:c r="A55" s="52" t="str">
        <x:f>IFERROR(INDEX(SORT(UNIQUE(FILTER(CaseLedger!$K$2:$K$500,CaseLedger!$K$2:$K$500&lt;&gt;""))),ROW(A54)),"")</x:f>
      </x:c>
      <x:c r="B55" s="52" t="str">
        <x:f>IF($A55="","",SUMPRODUCT((CaseLedger!$K$2:$K$500=$A55)*--(((CaseLedger!$B$2:$B$500=TRUE)+(CaseLedger!$B$2:$B$500="TRUE"))&gt;0)))</x:f>
      </x:c>
      <x:c r="C55" s="55" t="str">
        <x:f>IF($A55="","",SUMPRODUCT((CaseLedger!$K$2:$K$500=$A55)*--(((CaseLedger!$B$2:$B$500=TRUE)+(CaseLedger!$B$2:$B$500="TRUE"))&gt;0)*CaseLedger!$N$2:$N$500))</x:f>
      </x:c>
      <x:c r="D55" s="55" t="str">
        <x:f>IF($A55="","",SUMPRODUCT((CaseLedger!$K$2:$K$500=$A55)*--(((CaseLedger!$B$2:$B$500=TRUE)+(CaseLedger!$B$2:$B$500="TRUE"))&gt;0)*CaseLedger!$L$2:$L$500))</x:f>
      </x:c>
      <x:c r="E55" s="55" t="str">
        <x:f>IF($A55="","",SUMPRODUCT((CaseLedger!$K$2:$K$500=$A55)*--(((CaseLedger!$B$2:$B$500=TRUE)+(CaseLedger!$B$2:$B$500="TRUE"))&gt;0)*CaseLedger!$M$2:$M$500))</x:f>
      </x:c>
      <x:c r="F55" s="52" t="str">
        <x:f>IF($A55="","",SUMPRODUCT((CaseLedger!$K$2:$K$500=$A55)*--(((CaseLedger!$B$2:$B$500=TRUE)+(CaseLedger!$B$2:$B$500="TRUE"))&gt;0)*(CaseLedger!$O$2:$O$500="Mixed")))</x:f>
      </x:c>
      <x:c r="G55" s="52" t="str">
        <x:f>IF($A55="","",$A55)</x:f>
      </x:c>
    </x:row>
    <x:row r="56">
      <x:c r="A56" s="52" t="str">
        <x:f>IFERROR(INDEX(SORT(UNIQUE(FILTER(CaseLedger!$K$2:$K$500,CaseLedger!$K$2:$K$500&lt;&gt;""))),ROW(A55)),"")</x:f>
      </x:c>
      <x:c r="B56" s="52" t="str">
        <x:f>IF($A56="","",SUMPRODUCT((CaseLedger!$K$2:$K$500=$A56)*--(((CaseLedger!$B$2:$B$500=TRUE)+(CaseLedger!$B$2:$B$500="TRUE"))&gt;0)))</x:f>
      </x:c>
      <x:c r="C56" s="55" t="str">
        <x:f>IF($A56="","",SUMPRODUCT((CaseLedger!$K$2:$K$500=$A56)*--(((CaseLedger!$B$2:$B$500=TRUE)+(CaseLedger!$B$2:$B$500="TRUE"))&gt;0)*CaseLedger!$N$2:$N$500))</x:f>
      </x:c>
      <x:c r="D56" s="55" t="str">
        <x:f>IF($A56="","",SUMPRODUCT((CaseLedger!$K$2:$K$500=$A56)*--(((CaseLedger!$B$2:$B$500=TRUE)+(CaseLedger!$B$2:$B$500="TRUE"))&gt;0)*CaseLedger!$L$2:$L$500))</x:f>
      </x:c>
      <x:c r="E56" s="55" t="str">
        <x:f>IF($A56="","",SUMPRODUCT((CaseLedger!$K$2:$K$500=$A56)*--(((CaseLedger!$B$2:$B$500=TRUE)+(CaseLedger!$B$2:$B$500="TRUE"))&gt;0)*CaseLedger!$M$2:$M$500))</x:f>
      </x:c>
      <x:c r="F56" s="52" t="str">
        <x:f>IF($A56="","",SUMPRODUCT((CaseLedger!$K$2:$K$500=$A56)*--(((CaseLedger!$B$2:$B$500=TRUE)+(CaseLedger!$B$2:$B$500="TRUE"))&gt;0)*(CaseLedger!$O$2:$O$500="Mixed")))</x:f>
      </x:c>
      <x:c r="G56" s="52" t="str">
        <x:f>IF($A56="","",$A56)</x:f>
      </x:c>
    </x:row>
    <x:row r="57">
      <x:c r="A57" s="52" t="str">
        <x:f>IFERROR(INDEX(SORT(UNIQUE(FILTER(CaseLedger!$K$2:$K$500,CaseLedger!$K$2:$K$500&lt;&gt;""))),ROW(A56)),"")</x:f>
      </x:c>
      <x:c r="B57" s="52" t="str">
        <x:f>IF($A57="","",SUMPRODUCT((CaseLedger!$K$2:$K$500=$A57)*--(((CaseLedger!$B$2:$B$500=TRUE)+(CaseLedger!$B$2:$B$500="TRUE"))&gt;0)))</x:f>
      </x:c>
      <x:c r="C57" s="55" t="str">
        <x:f>IF($A57="","",SUMPRODUCT((CaseLedger!$K$2:$K$500=$A57)*--(((CaseLedger!$B$2:$B$500=TRUE)+(CaseLedger!$B$2:$B$500="TRUE"))&gt;0)*CaseLedger!$N$2:$N$500))</x:f>
      </x:c>
      <x:c r="D57" s="55" t="str">
        <x:f>IF($A57="","",SUMPRODUCT((CaseLedger!$K$2:$K$500=$A57)*--(((CaseLedger!$B$2:$B$500=TRUE)+(CaseLedger!$B$2:$B$500="TRUE"))&gt;0)*CaseLedger!$L$2:$L$500))</x:f>
      </x:c>
      <x:c r="E57" s="55" t="str">
        <x:f>IF($A57="","",SUMPRODUCT((CaseLedger!$K$2:$K$500=$A57)*--(((CaseLedger!$B$2:$B$500=TRUE)+(CaseLedger!$B$2:$B$500="TRUE"))&gt;0)*CaseLedger!$M$2:$M$500))</x:f>
      </x:c>
      <x:c r="F57" s="52" t="str">
        <x:f>IF($A57="","",SUMPRODUCT((CaseLedger!$K$2:$K$500=$A57)*--(((CaseLedger!$B$2:$B$500=TRUE)+(CaseLedger!$B$2:$B$500="TRUE"))&gt;0)*(CaseLedger!$O$2:$O$500="Mixed")))</x:f>
      </x:c>
      <x:c r="G57" s="52" t="str">
        <x:f>IF($A57="","",$A57)</x:f>
      </x:c>
    </x:row>
    <x:row r="58">
      <x:c r="A58" s="52" t="str">
        <x:f>IFERROR(INDEX(SORT(UNIQUE(FILTER(CaseLedger!$K$2:$K$500,CaseLedger!$K$2:$K$500&lt;&gt;""))),ROW(A57)),"")</x:f>
      </x:c>
      <x:c r="B58" s="52" t="str">
        <x:f>IF($A58="","",SUMPRODUCT((CaseLedger!$K$2:$K$500=$A58)*--(((CaseLedger!$B$2:$B$500=TRUE)+(CaseLedger!$B$2:$B$500="TRUE"))&gt;0)))</x:f>
      </x:c>
      <x:c r="C58" s="55" t="str">
        <x:f>IF($A58="","",SUMPRODUCT((CaseLedger!$K$2:$K$500=$A58)*--(((CaseLedger!$B$2:$B$500=TRUE)+(CaseLedger!$B$2:$B$500="TRUE"))&gt;0)*CaseLedger!$N$2:$N$500))</x:f>
      </x:c>
      <x:c r="D58" s="55" t="str">
        <x:f>IF($A58="","",SUMPRODUCT((CaseLedger!$K$2:$K$500=$A58)*--(((CaseLedger!$B$2:$B$500=TRUE)+(CaseLedger!$B$2:$B$500="TRUE"))&gt;0)*CaseLedger!$L$2:$L$500))</x:f>
      </x:c>
      <x:c r="E58" s="55" t="str">
        <x:f>IF($A58="","",SUMPRODUCT((CaseLedger!$K$2:$K$500=$A58)*--(((CaseLedger!$B$2:$B$500=TRUE)+(CaseLedger!$B$2:$B$500="TRUE"))&gt;0)*CaseLedger!$M$2:$M$500))</x:f>
      </x:c>
      <x:c r="F58" s="52" t="str">
        <x:f>IF($A58="","",SUMPRODUCT((CaseLedger!$K$2:$K$500=$A58)*--(((CaseLedger!$B$2:$B$500=TRUE)+(CaseLedger!$B$2:$B$500="TRUE"))&gt;0)*(CaseLedger!$O$2:$O$500="Mixed")))</x:f>
      </x:c>
      <x:c r="G58" s="52" t="str">
        <x:f>IF($A58="","",$A58)</x:f>
      </x:c>
    </x:row>
    <x:row r="59">
      <x:c r="A59" s="52" t="str">
        <x:f>IFERROR(INDEX(SORT(UNIQUE(FILTER(CaseLedger!$K$2:$K$500,CaseLedger!$K$2:$K$500&lt;&gt;""))),ROW(A58)),"")</x:f>
      </x:c>
      <x:c r="B59" s="52" t="str">
        <x:f>IF($A59="","",SUMPRODUCT((CaseLedger!$K$2:$K$500=$A59)*--(((CaseLedger!$B$2:$B$500=TRUE)+(CaseLedger!$B$2:$B$500="TRUE"))&gt;0)))</x:f>
      </x:c>
      <x:c r="C59" s="55" t="str">
        <x:f>IF($A59="","",SUMPRODUCT((CaseLedger!$K$2:$K$500=$A59)*--(((CaseLedger!$B$2:$B$500=TRUE)+(CaseLedger!$B$2:$B$500="TRUE"))&gt;0)*CaseLedger!$N$2:$N$500))</x:f>
      </x:c>
      <x:c r="D59" s="55" t="str">
        <x:f>IF($A59="","",SUMPRODUCT((CaseLedger!$K$2:$K$500=$A59)*--(((CaseLedger!$B$2:$B$500=TRUE)+(CaseLedger!$B$2:$B$500="TRUE"))&gt;0)*CaseLedger!$L$2:$L$500))</x:f>
      </x:c>
      <x:c r="E59" s="55" t="str">
        <x:f>IF($A59="","",SUMPRODUCT((CaseLedger!$K$2:$K$500=$A59)*--(((CaseLedger!$B$2:$B$500=TRUE)+(CaseLedger!$B$2:$B$500="TRUE"))&gt;0)*CaseLedger!$M$2:$M$500))</x:f>
      </x:c>
      <x:c r="F59" s="52" t="str">
        <x:f>IF($A59="","",SUMPRODUCT((CaseLedger!$K$2:$K$500=$A59)*--(((CaseLedger!$B$2:$B$500=TRUE)+(CaseLedger!$B$2:$B$500="TRUE"))&gt;0)*(CaseLedger!$O$2:$O$500="Mixed")))</x:f>
      </x:c>
      <x:c r="G59" s="52" t="str">
        <x:f>IF($A59="","",$A59)</x:f>
      </x:c>
    </x:row>
    <x:row r="60">
      <x:c r="A60" s="52" t="str">
        <x:f>IFERROR(INDEX(SORT(UNIQUE(FILTER(CaseLedger!$K$2:$K$500,CaseLedger!$K$2:$K$500&lt;&gt;""))),ROW(A59)),"")</x:f>
      </x:c>
      <x:c r="B60" s="52" t="str">
        <x:f>IF($A60="","",SUMPRODUCT((CaseLedger!$K$2:$K$500=$A60)*--(((CaseLedger!$B$2:$B$500=TRUE)+(CaseLedger!$B$2:$B$500="TRUE"))&gt;0)))</x:f>
      </x:c>
      <x:c r="C60" s="55" t="str">
        <x:f>IF($A60="","",SUMPRODUCT((CaseLedger!$K$2:$K$500=$A60)*--(((CaseLedger!$B$2:$B$500=TRUE)+(CaseLedger!$B$2:$B$500="TRUE"))&gt;0)*CaseLedger!$N$2:$N$500))</x:f>
      </x:c>
      <x:c r="D60" s="55" t="str">
        <x:f>IF($A60="","",SUMPRODUCT((CaseLedger!$K$2:$K$500=$A60)*--(((CaseLedger!$B$2:$B$500=TRUE)+(CaseLedger!$B$2:$B$500="TRUE"))&gt;0)*CaseLedger!$L$2:$L$500))</x:f>
      </x:c>
      <x:c r="E60" s="55" t="str">
        <x:f>IF($A60="","",SUMPRODUCT((CaseLedger!$K$2:$K$500=$A60)*--(((CaseLedger!$B$2:$B$500=TRUE)+(CaseLedger!$B$2:$B$500="TRUE"))&gt;0)*CaseLedger!$M$2:$M$500))</x:f>
      </x:c>
      <x:c r="F60" s="52" t="str">
        <x:f>IF($A60="","",SUMPRODUCT((CaseLedger!$K$2:$K$500=$A60)*--(((CaseLedger!$B$2:$B$500=TRUE)+(CaseLedger!$B$2:$B$500="TRUE"))&gt;0)*(CaseLedger!$O$2:$O$500="Mixed")))</x:f>
      </x:c>
      <x:c r="G60" s="52" t="str">
        <x:f>IF($A60="","",$A60)</x:f>
      </x:c>
    </x:row>
    <x:row r="61">
      <x:c r="A61" s="52" t="str">
        <x:f>IFERROR(INDEX(SORT(UNIQUE(FILTER(CaseLedger!$K$2:$K$500,CaseLedger!$K$2:$K$500&lt;&gt;""))),ROW(A60)),"")</x:f>
      </x:c>
      <x:c r="B61" s="52" t="str">
        <x:f>IF($A61="","",SUMPRODUCT((CaseLedger!$K$2:$K$500=$A61)*--(((CaseLedger!$B$2:$B$500=TRUE)+(CaseLedger!$B$2:$B$500="TRUE"))&gt;0)))</x:f>
      </x:c>
      <x:c r="C61" s="55" t="str">
        <x:f>IF($A61="","",SUMPRODUCT((CaseLedger!$K$2:$K$500=$A61)*--(((CaseLedger!$B$2:$B$500=TRUE)+(CaseLedger!$B$2:$B$500="TRUE"))&gt;0)*CaseLedger!$N$2:$N$500))</x:f>
      </x:c>
      <x:c r="D61" s="55" t="str">
        <x:f>IF($A61="","",SUMPRODUCT((CaseLedger!$K$2:$K$500=$A61)*--(((CaseLedger!$B$2:$B$500=TRUE)+(CaseLedger!$B$2:$B$500="TRUE"))&gt;0)*CaseLedger!$L$2:$L$500))</x:f>
      </x:c>
      <x:c r="E61" s="55" t="str">
        <x:f>IF($A61="","",SUMPRODUCT((CaseLedger!$K$2:$K$500=$A61)*--(((CaseLedger!$B$2:$B$500=TRUE)+(CaseLedger!$B$2:$B$500="TRUE"))&gt;0)*CaseLedger!$M$2:$M$500))</x:f>
      </x:c>
      <x:c r="F61" s="52" t="str">
        <x:f>IF($A61="","",SUMPRODUCT((CaseLedger!$K$2:$K$500=$A61)*--(((CaseLedger!$B$2:$B$500=TRUE)+(CaseLedger!$B$2:$B$500="TRUE"))&gt;0)*(CaseLedger!$O$2:$O$500="Mixed")))</x:f>
      </x:c>
      <x:c r="G61" s="52" t="str">
        <x:f>IF($A61="","",$A61)</x:f>
      </x:c>
    </x:row>
    <x:row r="62">
      <x:c r="A62" s="52"/>
      <x:c r="B62" s="52"/>
      <x:c r="C62" s="55"/>
      <x:c r="D62" s="55"/>
      <x:c r="E62" s="55"/>
      <x:c r="F62" s="52"/>
      <x:c r="G62" s="52"/>
    </x:row>
    <x:row r="63">
      <x:c r="A63" s="52"/>
      <x:c r="B63" s="52"/>
      <x:c r="C63" s="55"/>
      <x:c r="D63" s="55"/>
      <x:c r="E63" s="55"/>
      <x:c r="F63" s="52"/>
      <x:c r="G63" s="52"/>
    </x:row>
    <x:row r="64">
      <x:c r="A64" s="52"/>
      <x:c r="B64" s="52"/>
      <x:c r="C64" s="55"/>
      <x:c r="D64" s="55"/>
      <x:c r="E64" s="55"/>
      <x:c r="F64" s="52"/>
      <x:c r="G64" s="52"/>
    </x:row>
    <x:row r="65">
      <x:c r="A65" s="52"/>
      <x:c r="B65" s="52"/>
      <x:c r="C65" s="55"/>
      <x:c r="D65" s="55"/>
      <x:c r="E65" s="55"/>
      <x:c r="F65" s="52"/>
      <x:c r="G65" s="52"/>
    </x:row>
    <x:row r="66">
      <x:c r="A66" s="52"/>
      <x:c r="B66" s="52"/>
      <x:c r="C66" s="55"/>
      <x:c r="D66" s="55"/>
      <x:c r="E66" s="55"/>
      <x:c r="F66" s="52"/>
      <x:c r="G66" s="52"/>
    </x:row>
    <x:row r="67">
      <x:c r="A67" s="52"/>
      <x:c r="B67" s="52"/>
      <x:c r="C67" s="55"/>
      <x:c r="D67" s="55"/>
      <x:c r="E67" s="55"/>
      <x:c r="F67" s="52"/>
      <x:c r="G67" s="52"/>
    </x:row>
    <x:row r="68">
      <x:c r="A68" s="52"/>
      <x:c r="B68" s="52"/>
      <x:c r="C68" s="55"/>
      <x:c r="D68" s="55"/>
      <x:c r="E68" s="55"/>
      <x:c r="F68" s="52"/>
      <x:c r="G68" s="52"/>
    </x:row>
    <x:row r="69">
      <x:c r="A69" s="52"/>
      <x:c r="B69" s="52"/>
      <x:c r="C69" s="55"/>
      <x:c r="D69" s="55"/>
      <x:c r="E69" s="55"/>
      <x:c r="F69" s="52"/>
      <x:c r="G69" s="52"/>
    </x:row>
    <x:row r="70">
      <x:c r="A70" s="52"/>
      <x:c r="B70" s="52"/>
      <x:c r="C70" s="55"/>
      <x:c r="D70" s="55"/>
      <x:c r="E70" s="55"/>
      <x:c r="F70" s="52"/>
      <x:c r="G70" s="52"/>
    </x:row>
    <x:row r="71">
      <x:c r="A71" s="52"/>
      <x:c r="B71" s="52"/>
      <x:c r="C71" s="55"/>
      <x:c r="D71" s="55"/>
      <x:c r="E71" s="55"/>
      <x:c r="F71" s="52"/>
      <x:c r="G71" s="52"/>
    </x:row>
    <x:row r="72">
      <x:c r="A72" s="52"/>
      <x:c r="B72" s="52"/>
      <x:c r="C72" s="55"/>
      <x:c r="D72" s="55"/>
      <x:c r="E72" s="55"/>
      <x:c r="F72" s="52"/>
      <x:c r="G72" s="52"/>
    </x:row>
    <x:row r="73">
      <x:c r="A73" s="52"/>
      <x:c r="B73" s="52"/>
      <x:c r="C73" s="55"/>
      <x:c r="D73" s="55"/>
      <x:c r="E73" s="55"/>
      <x:c r="F73" s="52"/>
      <x:c r="G73" s="52"/>
    </x:row>
    <x:row r="74">
      <x:c r="A74" s="52"/>
      <x:c r="B74" s="52"/>
      <x:c r="C74" s="55"/>
      <x:c r="D74" s="55"/>
      <x:c r="E74" s="55"/>
      <x:c r="F74" s="52"/>
      <x:c r="G74" s="52"/>
    </x:row>
    <x:row r="75">
      <x:c r="A75" s="52"/>
      <x:c r="B75" s="52"/>
      <x:c r="C75" s="55"/>
      <x:c r="D75" s="55"/>
      <x:c r="E75" s="55"/>
      <x:c r="F75" s="52"/>
      <x:c r="G75" s="52"/>
    </x:row>
    <x:row r="76">
      <x:c r="A76" s="52"/>
      <x:c r="B76" s="52"/>
      <x:c r="C76" s="55"/>
      <x:c r="D76" s="55"/>
      <x:c r="E76" s="55"/>
      <x:c r="F76" s="52"/>
      <x:c r="G76" s="52"/>
    </x:row>
    <x:row r="77">
      <x:c r="A77" s="52"/>
      <x:c r="B77" s="52"/>
      <x:c r="C77" s="55"/>
      <x:c r="D77" s="55"/>
      <x:c r="E77" s="55"/>
      <x:c r="F77" s="52"/>
      <x:c r="G77" s="52"/>
    </x:row>
    <x:row r="78">
      <x:c r="A78" s="52"/>
      <x:c r="B78" s="52"/>
      <x:c r="C78" s="55"/>
      <x:c r="D78" s="55"/>
      <x:c r="E78" s="55"/>
      <x:c r="F78" s="52"/>
      <x:c r="G78" s="52"/>
    </x:row>
    <x:row r="79">
      <x:c r="A79" s="52"/>
      <x:c r="B79" s="52"/>
      <x:c r="C79" s="55"/>
      <x:c r="D79" s="55"/>
      <x:c r="E79" s="55"/>
      <x:c r="F79" s="52"/>
      <x:c r="G79" s="52"/>
    </x:row>
    <x:row r="80">
      <x:c r="A80" s="52"/>
      <x:c r="B80" s="52"/>
      <x:c r="C80" s="55"/>
      <x:c r="D80" s="55"/>
      <x:c r="E80" s="55"/>
      <x:c r="F80" s="52"/>
      <x:c r="G80" s="52"/>
    </x:row>
    <x:row r="81">
      <x:c r="A81" s="52"/>
      <x:c r="B81" s="52"/>
      <x:c r="C81" s="55"/>
      <x:c r="D81" s="55"/>
      <x:c r="E81" s="55"/>
      <x:c r="F81" s="52"/>
      <x:c r="G81" s="52"/>
    </x:row>
    <x:row r="82">
      <x:c r="A82" s="52"/>
      <x:c r="B82" s="52"/>
      <x:c r="C82" s="55"/>
      <x:c r="D82" s="55"/>
      <x:c r="E82" s="55"/>
      <x:c r="F82" s="52"/>
      <x:c r="G82" s="52"/>
    </x:row>
    <x:row r="83">
      <x:c r="A83" s="52"/>
      <x:c r="B83" s="52"/>
      <x:c r="C83" s="55"/>
      <x:c r="D83" s="55"/>
      <x:c r="E83" s="55"/>
      <x:c r="F83" s="52"/>
      <x:c r="G83" s="52"/>
    </x:row>
    <x:row r="84">
      <x:c r="A84" s="52"/>
      <x:c r="B84" s="52"/>
      <x:c r="C84" s="55"/>
      <x:c r="D84" s="55"/>
      <x:c r="E84" s="55"/>
      <x:c r="F84" s="52"/>
      <x:c r="G84" s="52"/>
    </x:row>
    <x:row r="85">
      <x:c r="A85" s="52"/>
      <x:c r="B85" s="52"/>
      <x:c r="C85" s="55"/>
      <x:c r="D85" s="55"/>
      <x:c r="E85" s="55"/>
      <x:c r="F85" s="52"/>
      <x:c r="G85" s="52"/>
    </x:row>
    <x:row r="86">
      <x:c r="A86" s="52"/>
      <x:c r="B86" s="52"/>
      <x:c r="C86" s="55"/>
      <x:c r="D86" s="55"/>
      <x:c r="E86" s="55"/>
      <x:c r="F86" s="52"/>
      <x:c r="G86" s="52"/>
    </x:row>
    <x:row r="87">
      <x:c r="A87" s="52"/>
      <x:c r="B87" s="52"/>
      <x:c r="C87" s="55"/>
      <x:c r="D87" s="55"/>
      <x:c r="E87" s="55"/>
      <x:c r="F87" s="52"/>
      <x:c r="G87" s="52"/>
    </x:row>
    <x:row r="88">
      <x:c r="A88" s="52"/>
      <x:c r="B88" s="52"/>
      <x:c r="C88" s="55"/>
      <x:c r="D88" s="55"/>
      <x:c r="E88" s="55"/>
      <x:c r="F88" s="52"/>
      <x:c r="G88" s="52"/>
    </x:row>
    <x:row r="89">
      <x:c r="A89" s="52"/>
      <x:c r="B89" s="52"/>
      <x:c r="C89" s="55"/>
      <x:c r="D89" s="55"/>
      <x:c r="E89" s="55"/>
      <x:c r="F89" s="52"/>
      <x:c r="G89" s="52"/>
    </x:row>
    <x:row r="90">
      <x:c r="A90" s="52"/>
      <x:c r="B90" s="52"/>
      <x:c r="C90" s="55"/>
      <x:c r="D90" s="55"/>
      <x:c r="E90" s="55"/>
      <x:c r="F90" s="52"/>
      <x:c r="G90" s="52"/>
    </x:row>
    <x:row r="91">
      <x:c r="A91" s="52"/>
      <x:c r="B91" s="52"/>
      <x:c r="C91" s="55"/>
      <x:c r="D91" s="55"/>
      <x:c r="E91" s="55"/>
      <x:c r="F91" s="52"/>
      <x:c r="G91" s="52"/>
    </x:row>
    <x:row r="92">
      <x:c r="A92" s="52"/>
      <x:c r="B92" s="52"/>
      <x:c r="C92" s="55"/>
      <x:c r="D92" s="55"/>
      <x:c r="E92" s="55"/>
      <x:c r="F92" s="52"/>
      <x:c r="G92" s="52"/>
    </x:row>
    <x:row r="93">
      <x:c r="A93" s="52"/>
      <x:c r="B93" s="52"/>
      <x:c r="C93" s="55"/>
      <x:c r="D93" s="55"/>
      <x:c r="E93" s="55"/>
      <x:c r="F93" s="52"/>
      <x:c r="G93" s="52"/>
    </x:row>
    <x:row r="94">
      <x:c r="A94" s="52"/>
      <x:c r="B94" s="52"/>
      <x:c r="C94" s="55"/>
      <x:c r="D94" s="55"/>
      <x:c r="E94" s="55"/>
      <x:c r="F94" s="52"/>
      <x:c r="G94" s="52"/>
    </x:row>
    <x:row r="95">
      <x:c r="A95" s="52"/>
      <x:c r="B95" s="52"/>
      <x:c r="C95" s="55"/>
      <x:c r="D95" s="55"/>
      <x:c r="E95" s="55"/>
      <x:c r="F95" s="52"/>
      <x:c r="G95" s="52"/>
    </x:row>
    <x:row r="96">
      <x:c r="A96" s="52"/>
      <x:c r="B96" s="52"/>
      <x:c r="C96" s="55"/>
      <x:c r="D96" s="55"/>
      <x:c r="E96" s="55"/>
      <x:c r="F96" s="52"/>
      <x:c r="G96" s="52"/>
    </x:row>
    <x:row r="97">
      <x:c r="A97" s="52"/>
      <x:c r="B97" s="52"/>
      <x:c r="C97" s="55"/>
      <x:c r="D97" s="55"/>
      <x:c r="E97" s="55"/>
      <x:c r="F97" s="52"/>
      <x:c r="G97" s="52"/>
    </x:row>
    <x:row r="98">
      <x:c r="A98" s="52"/>
      <x:c r="B98" s="52"/>
      <x:c r="C98" s="55"/>
      <x:c r="D98" s="55"/>
      <x:c r="E98" s="55"/>
      <x:c r="F98" s="52"/>
      <x:c r="G98" s="52"/>
    </x:row>
    <x:row r="99">
      <x:c r="A99" s="52"/>
      <x:c r="B99" s="52"/>
      <x:c r="C99" s="55"/>
      <x:c r="D99" s="55"/>
      <x:c r="E99" s="55"/>
      <x:c r="F99" s="52"/>
      <x:c r="G99" s="52"/>
    </x:row>
    <x:row r="100">
      <x:c r="A100" s="52"/>
      <x:c r="B100" s="52"/>
      <x:c r="C100" s="55"/>
      <x:c r="D100" s="55"/>
      <x:c r="E100" s="55"/>
      <x:c r="F100" s="52"/>
      <x:c r="G100" s="5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4" customHeight="1">
      <x:c r="A1" s="49" t="str">
        <x:v>metric</x:v>
      </x:c>
      <x:c r="B1" s="53" t="str">
        <x:v>value</x:v>
      </x:c>
      <x:c r="C1" s="49" t="str">
        <x:v>label</x:v>
      </x:c>
      <x:c r="D1" s="49" t="str">
        <x:v>display_order</x:v>
      </x:c>
      <x:c r="E1" s="49" t="str">
        <x:v>source_note</x:v>
      </x:c>
    </x:row>
    <x:row r="2">
      <x:c r="A2" s="52" t="str">
        <x:v>active_donor_community</x:v>
      </x:c>
      <x:c r="B2" s="52" t="str">
        <x:v>200+</x:v>
      </x:c>
      <x:c r="C2" s="52" t="str">
        <x:v>Active WhatsApp donor community</x:v>
      </x:c>
      <x:c r="D2" s="52" t="n">
        <x:v>1</x:v>
      </x:c>
      <x:c r="E2" s="52" t="str">
        <x:v>User-provided by Humanitarians.</x:v>
      </x:c>
    </x:row>
    <x:row r="3">
      <x:c r="A3" s="52" t="str">
        <x:v>total_public_cases</x:v>
      </x:c>
      <x:c r="B3" s="52" t="n">
        <x:f>SUMPRODUCT(--(((CaseLedger!$B$2:$B$500=TRUE)+(CaseLedger!$B$2:$B$500="TRUE"))&gt;0)*(CaseLedger!$A$2:$A$500&lt;&gt;""))</x:f>
        <x:v>46</x:v>
      </x:c>
      <x:c r="C3" s="52" t="str">
        <x:v>Anonymized public cases tracked</x:v>
      </x:c>
      <x:c r="D3" s="52" t="n">
        <x:v>2</x:v>
      </x:c>
      <x:c r="E3" s="52" t="str">
        <x:v>Formula-linked from CaseLedger.</x:v>
      </x:c>
    </x:row>
    <x:row r="4">
      <x:c r="A4" s="52" t="str">
        <x:v>total_amount_disbursed</x:v>
      </x:c>
      <x:c r="B4" s="55" t="n">
        <x:f>SUMPRODUCT(--(((CaseLedger!$B$2:$B$500=TRUE)+(CaseLedger!$B$2:$B$500="TRUE"))&gt;0)*CaseLedger!$N$2:$N$500)</x:f>
        <x:v>692506</x:v>
      </x:c>
      <x:c r="C4" s="52" t="str">
        <x:v>Total support amount in public-safe summary</x:v>
      </x:c>
      <x:c r="D4" s="52" t="n">
        <x:v>3</x:v>
      </x:c>
      <x:c r="E4" s="52" t="str">
        <x:v>Formula-linked from CaseLedger.</x:v>
      </x:c>
    </x:row>
    <x:row r="5">
      <x:c r="A5" s="52" t="str">
        <x:v>livelihood_cases</x:v>
      </x:c>
      <x:c r="B5" s="55" t="n">
        <x:f>SUMPRODUCT(--(((CaseLedger!$B$2:$B$500=TRUE)+(CaseLedger!$B$2:$B$500="TRUE"))&gt;0)*(CaseLedger!$J$2:$J$500="Livelihood"))</x:f>
        <x:v>38</x:v>
      </x:c>
      <x:c r="C5" s="52" t="str">
        <x:v>Livelihood generation cases</x:v>
      </x:c>
      <x:c r="D5" s="52" t="n">
        <x:v>4</x:v>
      </x:c>
      <x:c r="E5" s="52" t="str">
        <x:v>Formula-linked from CaseLedger.</x:v>
      </x:c>
    </x:row>
    <x:row r="6">
      <x:c r="A6" s="52" t="str">
        <x:v>skill_education_cases</x:v>
      </x:c>
      <x:c r="B6" s="55" t="n">
        <x:f>SUMPRODUCT(--(((CaseLedger!$B$2:$B$500=TRUE)+(CaseLedger!$B$2:$B$500="TRUE"))&gt;0)*--(((CaseLedger!$J$2:$J$500="Skill Sponsorship")+(CaseLedger!$J$2:$J$500="Education")+(CaseLedger!$J$2:$J$500="Education Support")+(CaseLedger!$J$2:$J$500="Course Sponsorship"))&gt;0))</x:f>
        <x:v>2</x:v>
      </x:c>
      <x:c r="C6" s="52" t="str">
        <x:v>Skill / education / course cases</x:v>
      </x:c>
      <x:c r="D6" s="52" t="n">
        <x:v>5</x:v>
      </x:c>
      <x:c r="E6" s="52" t="str">
        <x:v>Formula-linked from CaseLedger.</x:v>
      </x:c>
    </x:row>
    <x:row r="7">
      <x:c r="A7" s="52" t="str">
        <x:v>emergency_community_cases</x:v>
      </x:c>
      <x:c r="B7" s="55" t="n">
        <x:f>SUMPRODUCT(--(((CaseLedger!$B$2:$B$500=TRUE)+(CaseLedger!$B$2:$B$500="TRUE"))&gt;0)*--(((CaseLedger!$J$2:$J$500="Emergency Support")+(CaseLedger!$J$2:$J$500="Community Support"))&gt;0))</x:f>
        <x:v>6</x:v>
      </x:c>
      <x:c r="C7" s="52" t="str">
        <x:v>Emergency and community cases</x:v>
      </x:c>
      <x:c r="D7" s="52" t="n">
        <x:v>6</x:v>
      </x:c>
      <x:c r="E7" s="52" t="str">
        <x:v>Formula-linked from CaseLedger.</x:v>
      </x:c>
    </x:row>
    <x:row r="8">
      <x:c r="A8" s="52" t="str">
        <x:v>zakat_only_cases</x:v>
      </x:c>
      <x:c r="B8" s="55" t="n">
        <x:f>SUMPRODUCT(--(((CaseLedger!$B$2:$B$500=TRUE)+(CaseLedger!$B$2:$B$500="TRUE"))&gt;0)*(CaseLedger!$O$2:$O$500="Zakat"))</x:f>
        <x:v>9</x:v>
      </x:c>
      <x:c r="C8" s="52" t="str">
        <x:v>Zakat-only cases</x:v>
      </x:c>
      <x:c r="D8" s="52" t="n">
        <x:v>7</x:v>
      </x:c>
      <x:c r="E8" s="52" t="str">
        <x:v>Formula-linked from CaseLedger.</x:v>
      </x:c>
    </x:row>
    <x:row r="9">
      <x:c r="A9" s="52" t="str">
        <x:v>sadaqah_only_cases</x:v>
      </x:c>
      <x:c r="B9" s="55" t="n">
        <x:f>SUMPRODUCT(--(((CaseLedger!$B$2:$B$500=TRUE)+(CaseLedger!$B$2:$B$500="TRUE"))&gt;0)*(CaseLedger!$O$2:$O$500="Sadaqah"))</x:f>
        <x:v>31</x:v>
      </x:c>
      <x:c r="C9" s="52" t="str">
        <x:v>Sadaqah-only cases</x:v>
      </x:c>
      <x:c r="D9" s="52" t="n">
        <x:v>8</x:v>
      </x:c>
      <x:c r="E9" s="52" t="str">
        <x:v>Formula-linked from CaseLedger.</x:v>
      </x:c>
    </x:row>
    <x:row r="10">
      <x:c r="A10" s="52" t="str">
        <x:v>mixed_fund_cases</x:v>
      </x:c>
      <x:c r="B10" s="55" t="n">
        <x:f>SUMPRODUCT(--(((CaseLedger!$B$2:$B$500=TRUE)+(CaseLedger!$B$2:$B$500="TRUE"))&gt;0)*(CaseLedger!$O$2:$O$500="Mixed"))</x:f>
        <x:v>6</x:v>
      </x:c>
      <x:c r="C10" s="52" t="str">
        <x:v>Mixed Zakat + Sadaqah cases</x:v>
      </x:c>
      <x:c r="D10" s="52" t="n">
        <x:v>9</x:v>
      </x:c>
      <x:c r="E10" s="52" t="str">
        <x:v>Formula-linked from CaseLedger.</x:v>
      </x:c>
    </x:row>
    <x:row r="11">
      <x:c r="A11" s="52" t="str">
        <x:v>zakat_amount_disbursed</x:v>
      </x:c>
      <x:c r="B11" s="55" t="n">
        <x:f>SUMPRODUCT(--(((CaseLedger!$B$2:$B$500=TRUE)+(CaseLedger!$B$2:$B$500="TRUE"))&gt;0)*CaseLedger!$L$2:$L$500)</x:f>
        <x:v>254700</x:v>
      </x:c>
      <x:c r="C11" s="52" t="str">
        <x:v>Zakat amount allocated</x:v>
      </x:c>
      <x:c r="D11" s="52" t="n">
        <x:v>10</x:v>
      </x:c>
      <x:c r="E11" s="52" t="str">
        <x:v>Formula-linked from CaseLedger.</x:v>
      </x:c>
    </x:row>
    <x:row r="12">
      <x:c r="A12" s="52" t="str">
        <x:v>sadaqah_amount_disbursed</x:v>
      </x:c>
      <x:c r="B12" s="55" t="n">
        <x:f>SUMPRODUCT(--(((CaseLedger!$B$2:$B$500=TRUE)+(CaseLedger!$B$2:$B$500="TRUE"))&gt;0)*CaseLedger!$M$2:$M$500)</x:f>
        <x:v>437806</x:v>
      </x:c>
      <x:c r="C12" s="52" t="str">
        <x:v>Sadaqah amount allocated</x:v>
      </x:c>
      <x:c r="D12" s="52" t="n">
        <x:v>11</x:v>
      </x:c>
      <x:c r="E12" s="52" t="str">
        <x:v>Formula-linked from CaseLedger.</x:v>
      </x:c>
    </x:row>
    <x:row r="13">
      <x:c r="A13" s="52" t="str">
        <x:v>top_support_type_1</x:v>
      </x:c>
      <x:c r="B13" s="52" t="n">
        <x:f>IFERROR(INT(LARGE(SupportTypes!$B$2:$B$100+ROW(SupportTypes!$B$2:$B$100)/100000,1)),"")</x:f>
        <x:v>17</x:v>
      </x:c>
      <x:c r="C13" s="52" t="str">
        <x:f>IFERROR(INDEX(SupportTypes!$A$2:$A$100,MATCH(LARGE(SupportTypes!$B$2:$B$100+ROW(SupportTypes!$B$2:$B$100)/100000,1),SupportTypes!$B$2:$B$100+ROW(SupportTypes!$B$2:$B$100)/100000,0))&amp;" cases","")</x:f>
        <x:v>Shop / business inventory cases</x:v>
      </x:c>
      <x:c r="D13" s="52" t="n">
        <x:v>12</x:v>
      </x:c>
      <x:c r="E13" s="52" t="str">
        <x:v>Formula-linked from SupportTypes.</x:v>
      </x:c>
    </x:row>
    <x:row r="14">
      <x:c r="A14" s="52" t="str">
        <x:v>top_support_type_2</x:v>
      </x:c>
      <x:c r="B14" s="52" t="n">
        <x:f>IFERROR(INT(LARGE(SupportTypes!$B$2:$B$100+ROW(SupportTypes!$B$2:$B$100)/100000,2)),"")</x:f>
        <x:v>10</x:v>
      </x:c>
      <x:c r="C14" s="52" t="str">
        <x:f>IFERROR(INDEX(SupportTypes!$A$2:$A$100,MATCH(LARGE(SupportTypes!$B$2:$B$100+ROW(SupportTypes!$B$2:$B$100)/100000,2),SupportTypes!$B$2:$B$100+ROW(SupportTypes!$B$2:$B$100)/100000,0))&amp;" cases","")</x:f>
        <x:v>Sewing / tailoring cases</x:v>
      </x:c>
      <x:c r="D14" s="52" t="n">
        <x:v>13</x:v>
      </x:c>
      <x:c r="E14" s="52" t="str">
        <x:v>Formula-linked from SupportTypes.</x:v>
      </x:c>
    </x:row>
    <x:row r="15">
      <x:c r="A15" s="52" t="str">
        <x:v>top_support_type_3</x:v>
      </x:c>
      <x:c r="B15" s="52" t="n">
        <x:f>IFERROR(INT(LARGE(SupportTypes!$B$2:$B$100+ROW(SupportTypes!$B$2:$B$100)/100000,3)),"")</x:f>
        <x:v>5</x:v>
      </x:c>
      <x:c r="C15" s="52" t="str">
        <x:f>IFERROR(INDEX(SupportTypes!$A$2:$A$100,MATCH(LARGE(SupportTypes!$B$2:$B$100+ROW(SupportTypes!$B$2:$B$100)/100000,3),SupportTypes!$B$2:$B$100+ROW(SupportTypes!$B$2:$B$100)/100000,0))&amp;" cases","")</x:f>
        <x:v>Tools / equipment cases</x:v>
      </x:c>
      <x:c r="D15" s="52" t="n">
        <x:v>14</x:v>
      </x:c>
      <x:c r="E15" s="52" t="str">
        <x:v>Formula-linked from SupportTypes.</x:v>
      </x:c>
    </x:row>
    <x:row r="16">
      <x:c r="A16" s="52" t="str">
        <x:v>top_support_type_4</x:v>
      </x:c>
      <x:c r="B16" s="52" t="n">
        <x:f>IFERROR(INT(LARGE(SupportTypes!$B$2:$B$100+ROW(SupportTypes!$B$2:$B$100)/100000,4)),"")</x:f>
        <x:v>5</x:v>
      </x:c>
      <x:c r="C16" s="52" t="str">
        <x:f>IFERROR(INDEX(SupportTypes!$A$2:$A$100,MATCH(LARGE(SupportTypes!$B$2:$B$100+ROW(SupportTypes!$B$2:$B$100)/100000,4),SupportTypes!$B$2:$B$100+ROW(SupportTypes!$B$2:$B$100)/100000,0))&amp;" cases","")</x:f>
        <x:v>Relief / emergency support cases</x:v>
      </x:c>
      <x:c r="D16" s="52" t="n">
        <x:v>15</x:v>
      </x:c>
      <x:c r="E16" s="52" t="str">
        <x:v>Formula-linked from SupportTypes.</x:v>
      </x:c>
    </x:row>
    <x:row r="17">
      <x:c r="A17" s="52" t="str">
        <x:v>top_support_type_5</x:v>
      </x:c>
      <x:c r="B17" s="52" t="n">
        <x:f>IFERROR(INT(LARGE(SupportTypes!$B$2:$B$100+ROW(SupportTypes!$B$2:$B$100)/100000,5)),"")</x:f>
        <x:v>5</x:v>
      </x:c>
      <x:c r="C17" s="52" t="str">
        <x:f>IFERROR(INDEX(SupportTypes!$A$2:$A$100,MATCH(LARGE(SupportTypes!$B$2:$B$100+ROW(SupportTypes!$B$2:$B$100)/100000,5),SupportTypes!$B$2:$B$100+ROW(SupportTypes!$B$2:$B$100)/100000,0))&amp;" cases","")</x:f>
        <x:v>E-rickshaw / auto cases</x:v>
      </x:c>
      <x:c r="D17" s="52" t="n">
        <x:v>16</x:v>
      </x:c>
      <x:c r="E17" s="52" t="str">
        <x:v>Formula-linked from SupportTypes.</x:v>
      </x:c>
    </x:row>
    <x:row r="18">
      <x:c r="A18" s="52" t="str">
        <x:v>published_case_stories</x:v>
      </x:c>
      <x:c r="B18" s="52" t="n">
        <x:f>SUMPRODUCT(--(((CaseLedger!$C$2:$C$500="Yes")+(CaseLedger!$C$2:$C$500=TRUE)+(CaseLedger!$C$2:$C$500="TRUE"))&gt;0)*(CaseLedger!$D$2:$D$500="Publish")*(CaseLedger!$A$2:$A$500&lt;&gt;""))</x:f>
        <x:v>0</x:v>
      </x:c>
      <x:c r="C18" s="52" t="str">
        <x:v>Case stories approved for website publishing</x:v>
      </x:c>
      <x:c r="D18" s="52" t="n">
        <x:v>17</x:v>
      </x:c>
      <x:c r="E18" s="52" t="str">
        <x:v>Change CaseLedger.published to Yes and publish_status to Publish after consent/privacy review.</x:v>
      </x:c>
    </x:row>
    <x:row r="19">
      <x:c r="A19" s="52" t="str">
        <x:v>data_through</x:v>
      </x:c>
      <x:c r="B19" s="52" t="str">
        <x:f>LastUpdated!B2</x:f>
        <x:v>Apr 2026 confirmed</x:v>
      </x:c>
      <x:c r="C19" s="52" t="str">
        <x:v>Latest confirmed public stats period</x:v>
      </x:c>
      <x:c r="D19" s="52" t="n">
        <x:v>20</x:v>
      </x:c>
      <x:c r="E19" s="52" t="str">
        <x:v>Updated from LastUpdated tab.</x:v>
      </x:c>
    </x:row>
    <x:row r="20">
      <x:c r="A20" s="52"/>
      <x:c r="B20" s="52"/>
      <x:c r="C20" s="52"/>
      <x:c r="D20" s="52"/>
      <x:c r="E20" s="52"/>
    </x:row>
    <x:row r="21">
      <x:c r="A21" s="52"/>
      <x:c r="B21" s="52"/>
      <x:c r="C21" s="52"/>
      <x:c r="D21" s="52"/>
      <x:c r="E21" s="52"/>
    </x:row>
    <x:row r="22">
      <x:c r="A22" s="52"/>
      <x:c r="B22" s="52"/>
      <x:c r="C22" s="52"/>
      <x:c r="D22" s="52"/>
      <x:c r="E22" s="52"/>
    </x:row>
    <x:row r="23">
      <x:c r="A23" s="52"/>
      <x:c r="B23" s="52"/>
      <x:c r="C23" s="52"/>
      <x:c r="D23" s="52"/>
      <x:c r="E23" s="52"/>
    </x:row>
    <x:row r="24">
      <x:c r="A24" s="52"/>
      <x:c r="B24" s="52"/>
      <x:c r="C24" s="52"/>
      <x:c r="D24" s="52"/>
      <x:c r="E24" s="52"/>
    </x:row>
    <x:row r="25">
      <x:c r="A25" s="52"/>
      <x:c r="B25" s="52"/>
      <x:c r="C25" s="52"/>
      <x:c r="D25" s="52"/>
      <x:c r="E25" s="52"/>
    </x:row>
    <x:row r="26">
      <x:c r="A26" s="52"/>
      <x:c r="B26" s="52"/>
      <x:c r="C26" s="52"/>
      <x:c r="D26" s="52"/>
      <x:c r="E26" s="52"/>
    </x:row>
    <x:row r="27">
      <x:c r="A27" s="52"/>
      <x:c r="B27" s="52"/>
      <x:c r="C27" s="52"/>
      <x:c r="D27" s="52"/>
      <x:c r="E27" s="52"/>
    </x:row>
    <x:row r="28">
      <x:c r="A28" s="52"/>
      <x:c r="B28" s="52"/>
      <x:c r="C28" s="52"/>
      <x:c r="D28" s="52"/>
      <x:c r="E28" s="52"/>
    </x:row>
    <x:row r="29">
      <x:c r="A29" s="52"/>
      <x:c r="B29" s="52"/>
      <x:c r="C29" s="52"/>
      <x:c r="D29" s="52"/>
      <x:c r="E29" s="52"/>
    </x:row>
    <x:row r="30">
      <x:c r="A30" s="52"/>
      <x:c r="B30" s="52"/>
      <x:c r="C30" s="52"/>
      <x:c r="D30" s="52"/>
      <x:c r="E30" s="5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70" hidden="0" customWidth="1"/>
    <x:col min="4" max="4" width="70" hidden="0" customWidth="1"/>
  </x:cols>
  <x:sheetData>
    <x:row r="1" ht="24" customHeight="1">
      <x:c r="A1" s="32" t="str">
        <x:v>last_updated</x:v>
      </x:c>
      <x:c r="B1" s="32" t="str">
        <x:v>data_through</x:v>
      </x:c>
      <x:c r="C1" s="32" t="str">
        <x:v>note</x:v>
      </x:c>
      <x:c r="D1" s="32" t="str">
        <x:v>source_workbook</x:v>
      </x:c>
    </x:row>
    <x:row r="2">
      <x:c r="A2" t="str">
        <x:v>2026-05-09</x:v>
      </x:c>
      <x:c r="B2" t="str">
        <x:v>Apr 2026 confirmed</x:v>
      </x:c>
      <x:c r="C2" t="str">
        <x:v>v5: Consolidated multi-month rows were removed from CaseLedger. Add those cases month-wise in CaseLedger when ready.</x:v>
      </x:c>
      <x:c r="D2" t="str">
        <x:v>Humanitarians_Public_Impact_Stats_Linked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4" customHeight="1">
      <x:c r="A1" s="49" t="str">
        <x:v>period_label</x:v>
      </x:c>
      <x:c r="B1" s="49" t="str">
        <x:v>period_sort</x:v>
      </x:c>
      <x:c r="C1" s="49" t="str">
        <x:v>zakat_cases_count</x:v>
      </x:c>
      <x:c r="D1" s="49" t="str">
        <x:v>sadaqah_cases_count</x:v>
      </x:c>
      <x:c r="E1" s="49" t="str">
        <x:v>mixed_cases_count</x:v>
      </x:c>
      <x:c r="F1" s="49" t="str">
        <x:v>livelihood_cases_count</x:v>
      </x:c>
      <x:c r="G1" s="49" t="str">
        <x:v>skill_or_education_cases_count</x:v>
      </x:c>
      <x:c r="H1" s="49" t="str">
        <x:v>emergency_community_cases_count</x:v>
      </x:c>
      <x:c r="I1" s="49" t="str">
        <x:v>total_public_summary</x:v>
      </x:c>
      <x:c r="J1" s="49" t="str">
        <x:v>download_report_url</x:v>
      </x:c>
      <x:c r="K1" s="49" t="str">
        <x:v>source_notes</x:v>
      </x:c>
      <x:c r="L1" s="49" t="str">
        <x:v>status</x:v>
      </x:c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</x:row>
    <x:row r="2">
      <x:c r="A2" s="52" t="str">
        <x:f>IF(MonthlyStats!$T2="TRUE",MonthlyStats!A2,"")</x:f>
      </x:c>
      <x:c r="B2" s="52" t="str">
        <x:f>IF(MonthlyStats!$T2="TRUE",MonthlyStats!B2,"")</x:f>
      </x:c>
      <x:c r="C2" s="52" t="str">
        <x:f>IF(MonthlyStats!$T2="TRUE",MonthlyStats!E2,"")</x:f>
      </x:c>
      <x:c r="D2" s="52" t="str">
        <x:f>IF(MonthlyStats!$T2="TRUE",MonthlyStats!F2,"")</x:f>
      </x:c>
      <x:c r="E2" s="52" t="str">
        <x:f>IF(MonthlyStats!$T2="TRUE",MonthlyStats!G2,"")</x:f>
      </x:c>
      <x:c r="F2" s="52" t="str">
        <x:f>IF(MonthlyStats!$T2="TRUE",MonthlyStats!H2,"")</x:f>
      </x:c>
      <x:c r="G2" s="52" t="str">
        <x:f>IF(MonthlyStats!$T2="TRUE",MonthlyStats!I2,"")</x:f>
      </x:c>
      <x:c r="H2" s="52" t="str">
        <x:f>IF(MonthlyStats!$T2="TRUE",MonthlyStats!J2+MonthlyStats!K2,"")</x:f>
      </x:c>
      <x:c r="I2" s="52" t="str">
        <x:f>IF(MonthlyStats!$T2="TRUE","₹"&amp;TEXT(MonthlyStats!O2,"#,##0")&amp;" public summary; "&amp;MonthlyStats!D2&amp;" cases","")</x:f>
      </x:c>
      <x:c r="J2" s="52" t="str">
        <x:f>IF(MonthlyStats!$T2="TRUE","#","")</x:f>
      </x:c>
      <x:c r="K2" s="52" t="str">
        <x:f>IF(MonthlyStats!$T2="TRUE",MonthlyStats!S2,"")</x:f>
      </x:c>
      <x:c r="L2" s="52" t="str">
        <x:f>IF(MonthlyStats!$T2="TRUE","Formula-linked","")</x:f>
      </x:c>
    </x:row>
    <x:row r="3">
      <x:c r="A3" s="52" t="str">
        <x:f>IF(MonthlyStats!$T3="TRUE",MonthlyStats!A3,"")</x:f>
        <x:v>Sep 2024</x:v>
      </x:c>
      <x:c r="B3" s="52" t="n">
        <x:f>IF(MonthlyStats!$T3="TRUE",MonthlyStats!B3,"")</x:f>
        <x:v>202409</x:v>
      </x:c>
      <x:c r="C3" s="52" t="n">
        <x:f>IF(MonthlyStats!$T3="TRUE",MonthlyStats!E3,"")</x:f>
        <x:v>0</x:v>
      </x:c>
      <x:c r="D3" s="52" t="n">
        <x:f>IF(MonthlyStats!$T3="TRUE",MonthlyStats!F3,"")</x:f>
        <x:v>4</x:v>
      </x:c>
      <x:c r="E3" s="52" t="n">
        <x:f>IF(MonthlyStats!$T3="TRUE",MonthlyStats!G3,"")</x:f>
        <x:v>0</x:v>
      </x:c>
      <x:c r="F3" s="52" t="n">
        <x:f>IF(MonthlyStats!$T3="TRUE",MonthlyStats!H3,"")</x:f>
        <x:v>3</x:v>
      </x:c>
      <x:c r="G3" s="52" t="n">
        <x:f>IF(MonthlyStats!$T3="TRUE",MonthlyStats!I3,"")</x:f>
        <x:v>0</x:v>
      </x:c>
      <x:c r="H3" s="52" t="n">
        <x:f>IF(MonthlyStats!$T3="TRUE",MonthlyStats!J3+MonthlyStats!K3,"")</x:f>
        <x:v>1</x:v>
      </x:c>
      <x:c r="I3" s="52" t="str">
        <x:f>IF(MonthlyStats!$T3="TRUE","₹"&amp;TEXT(MonthlyStats!O3,"#,##0")&amp;" public summary; "&amp;MonthlyStats!D3&amp;" cases","")</x:f>
        <x:v>₹32,373 public summary; 4 cases</x:v>
      </x:c>
      <x:c r="J3" s="52" t="str">
        <x:f>IF(MonthlyStats!$T3="TRUE","#","")</x:f>
        <x:v>#</x:v>
      </x:c>
      <x:c r="K3" s="52" t="str">
        <x:f>IF(MonthlyStats!$T3="TRUE",MonthlyStats!S3,"")</x:f>
        <x:v>Formula-linked from CaseLedger</x:v>
      </x:c>
      <x:c r="L3" s="52" t="str">
        <x:f>IF(MonthlyStats!$T3="TRUE","Formula-linked","")</x:f>
        <x:v>Formula-linked</x:v>
      </x:c>
    </x:row>
    <x:row r="4">
      <x:c r="A4" s="52" t="str">
        <x:f>IF(MonthlyStats!$T4="TRUE",MonthlyStats!A4,"")</x:f>
        <x:v>Oct 2024</x:v>
      </x:c>
      <x:c r="B4" s="52" t="n">
        <x:f>IF(MonthlyStats!$T4="TRUE",MonthlyStats!B4,"")</x:f>
        <x:v>202410</x:v>
      </x:c>
      <x:c r="C4" s="52" t="n">
        <x:f>IF(MonthlyStats!$T4="TRUE",MonthlyStats!E4,"")</x:f>
        <x:v>0</x:v>
      </x:c>
      <x:c r="D4" s="52" t="n">
        <x:f>IF(MonthlyStats!$T4="TRUE",MonthlyStats!F4,"")</x:f>
        <x:v>2</x:v>
      </x:c>
      <x:c r="E4" s="52" t="n">
        <x:f>IF(MonthlyStats!$T4="TRUE",MonthlyStats!G4,"")</x:f>
        <x:v>0</x:v>
      </x:c>
      <x:c r="F4" s="52" t="n">
        <x:f>IF(MonthlyStats!$T4="TRUE",MonthlyStats!H4,"")</x:f>
        <x:v>1</x:v>
      </x:c>
      <x:c r="G4" s="52" t="n">
        <x:f>IF(MonthlyStats!$T4="TRUE",MonthlyStats!I4,"")</x:f>
        <x:v>0</x:v>
      </x:c>
      <x:c r="H4" s="52" t="n">
        <x:f>IF(MonthlyStats!$T4="TRUE",MonthlyStats!J4+MonthlyStats!K4,"")</x:f>
        <x:v>1</x:v>
      </x:c>
      <x:c r="I4" s="52" t="str">
        <x:f>IF(MonthlyStats!$T4="TRUE","₹"&amp;TEXT(MonthlyStats!O4,"#,##0")&amp;" public summary; "&amp;MonthlyStats!D4&amp;" cases","")</x:f>
        <x:v>₹9,803 public summary; 2 cases</x:v>
      </x:c>
      <x:c r="J4" s="52" t="str">
        <x:f>IF(MonthlyStats!$T4="TRUE","#","")</x:f>
        <x:v>#</x:v>
      </x:c>
      <x:c r="K4" s="52" t="str">
        <x:f>IF(MonthlyStats!$T4="TRUE",MonthlyStats!S4,"")</x:f>
        <x:v>Formula-linked from CaseLedger</x:v>
      </x:c>
      <x:c r="L4" s="52" t="str">
        <x:f>IF(MonthlyStats!$T4="TRUE","Formula-linked","")</x:f>
        <x:v>Formula-linked</x:v>
      </x:c>
    </x:row>
    <x:row r="5">
      <x:c r="A5" s="52" t="str">
        <x:f>IF(MonthlyStats!$T5="TRUE",MonthlyStats!A5,"")</x:f>
        <x:v>Nov 2024</x:v>
      </x:c>
      <x:c r="B5" s="52" t="n">
        <x:f>IF(MonthlyStats!$T5="TRUE",MonthlyStats!B5,"")</x:f>
        <x:v>202411</x:v>
      </x:c>
      <x:c r="C5" s="52" t="n">
        <x:f>IF(MonthlyStats!$T5="TRUE",MonthlyStats!E5,"")</x:f>
        <x:v>0</x:v>
      </x:c>
      <x:c r="D5" s="52" t="n">
        <x:f>IF(MonthlyStats!$T5="TRUE",MonthlyStats!F5,"")</x:f>
        <x:v>1</x:v>
      </x:c>
      <x:c r="E5" s="52" t="n">
        <x:f>IF(MonthlyStats!$T5="TRUE",MonthlyStats!G5,"")</x:f>
        <x:v>0</x:v>
      </x:c>
      <x:c r="F5" s="52" t="n">
        <x:f>IF(MonthlyStats!$T5="TRUE",MonthlyStats!H5,"")</x:f>
        <x:v>1</x:v>
      </x:c>
      <x:c r="G5" s="52" t="n">
        <x:f>IF(MonthlyStats!$T5="TRUE",MonthlyStats!I5,"")</x:f>
        <x:v>0</x:v>
      </x:c>
      <x:c r="H5" s="52" t="n">
        <x:f>IF(MonthlyStats!$T5="TRUE",MonthlyStats!J5+MonthlyStats!K5,"")</x:f>
        <x:v>0</x:v>
      </x:c>
      <x:c r="I5" s="52" t="str">
        <x:f>IF(MonthlyStats!$T5="TRUE","₹"&amp;TEXT(MonthlyStats!O5,"#,##0")&amp;" public summary; "&amp;MonthlyStats!D5&amp;" cases","")</x:f>
        <x:v>₹15,000 public summary; 1 cases</x:v>
      </x:c>
      <x:c r="J5" s="52" t="str">
        <x:f>IF(MonthlyStats!$T5="TRUE","#","")</x:f>
        <x:v>#</x:v>
      </x:c>
      <x:c r="K5" s="52" t="str">
        <x:f>IF(MonthlyStats!$T5="TRUE",MonthlyStats!S5,"")</x:f>
        <x:v>Formula-linked from CaseLedger</x:v>
      </x:c>
      <x:c r="L5" s="52" t="str">
        <x:f>IF(MonthlyStats!$T5="TRUE","Formula-linked","")</x:f>
        <x:v>Formula-linked</x:v>
      </x:c>
    </x:row>
    <x:row r="6">
      <x:c r="A6" s="52" t="str">
        <x:f>IF(MonthlyStats!$T6="TRUE",MonthlyStats!A6,"")</x:f>
        <x:v>Dec 2024</x:v>
      </x:c>
      <x:c r="B6" s="52" t="n">
        <x:f>IF(MonthlyStats!$T6="TRUE",MonthlyStats!B6,"")</x:f>
        <x:v>202412</x:v>
      </x:c>
      <x:c r="C6" s="52" t="n">
        <x:f>IF(MonthlyStats!$T6="TRUE",MonthlyStats!E6,"")</x:f>
        <x:v>0</x:v>
      </x:c>
      <x:c r="D6" s="52" t="n">
        <x:f>IF(MonthlyStats!$T6="TRUE",MonthlyStats!F6,"")</x:f>
        <x:v>4</x:v>
      </x:c>
      <x:c r="E6" s="52" t="n">
        <x:f>IF(MonthlyStats!$T6="TRUE",MonthlyStats!G6,"")</x:f>
        <x:v>0</x:v>
      </x:c>
      <x:c r="F6" s="52" t="n">
        <x:f>IF(MonthlyStats!$T6="TRUE",MonthlyStats!H6,"")</x:f>
        <x:v>2</x:v>
      </x:c>
      <x:c r="G6" s="52" t="n">
        <x:f>IF(MonthlyStats!$T6="TRUE",MonthlyStats!I6,"")</x:f>
        <x:v>0</x:v>
      </x:c>
      <x:c r="H6" s="52" t="n">
        <x:f>IF(MonthlyStats!$T6="TRUE",MonthlyStats!J6+MonthlyStats!K6,"")</x:f>
        <x:v>2</x:v>
      </x:c>
      <x:c r="I6" s="52" t="str">
        <x:f>IF(MonthlyStats!$T6="TRUE","₹"&amp;TEXT(MonthlyStats!O6,"#,##0")&amp;" public summary; "&amp;MonthlyStats!D6&amp;" cases","")</x:f>
        <x:v>₹51,830 public summary; 4 cases</x:v>
      </x:c>
      <x:c r="J6" s="52" t="str">
        <x:f>IF(MonthlyStats!$T6="TRUE","#","")</x:f>
        <x:v>#</x:v>
      </x:c>
      <x:c r="K6" s="52" t="str">
        <x:f>IF(MonthlyStats!$T6="TRUE",MonthlyStats!S6,"")</x:f>
        <x:v>Formula-linked from CaseLedger</x:v>
      </x:c>
      <x:c r="L6" s="52" t="str">
        <x:f>IF(MonthlyStats!$T6="TRUE","Formula-linked","")</x:f>
        <x:v>Formula-linked</x:v>
      </x:c>
    </x:row>
    <x:row r="7">
      <x:c r="A7" s="52" t="str">
        <x:f>IF(MonthlyStats!$T7="TRUE",MonthlyStats!A7,"")</x:f>
        <x:v>Jan 2025</x:v>
      </x:c>
      <x:c r="B7" s="52" t="n">
        <x:f>IF(MonthlyStats!$T7="TRUE",MonthlyStats!B7,"")</x:f>
        <x:v>202501</x:v>
      </x:c>
      <x:c r="C7" s="52" t="n">
        <x:f>IF(MonthlyStats!$T7="TRUE",MonthlyStats!E7,"")</x:f>
        <x:v>0</x:v>
      </x:c>
      <x:c r="D7" s="52" t="n">
        <x:f>IF(MonthlyStats!$T7="TRUE",MonthlyStats!F7,"")</x:f>
        <x:v>2</x:v>
      </x:c>
      <x:c r="E7" s="52" t="n">
        <x:f>IF(MonthlyStats!$T7="TRUE",MonthlyStats!G7,"")</x:f>
        <x:v>1</x:v>
      </x:c>
      <x:c r="F7" s="52" t="n">
        <x:f>IF(MonthlyStats!$T7="TRUE",MonthlyStats!H7,"")</x:f>
        <x:v>3</x:v>
      </x:c>
      <x:c r="G7" s="52" t="n">
        <x:f>IF(MonthlyStats!$T7="TRUE",MonthlyStats!I7,"")</x:f>
        <x:v>0</x:v>
      </x:c>
      <x:c r="H7" s="52" t="n">
        <x:f>IF(MonthlyStats!$T7="TRUE",MonthlyStats!J7+MonthlyStats!K7,"")</x:f>
        <x:v>0</x:v>
      </x:c>
      <x:c r="I7" s="52" t="str">
        <x:f>IF(MonthlyStats!$T7="TRUE","₹"&amp;TEXT(MonthlyStats!O7,"#,##0")&amp;" public summary; "&amp;MonthlyStats!D7&amp;" cases","")</x:f>
        <x:v>₹35,000 public summary; 3 cases</x:v>
      </x:c>
      <x:c r="J7" s="52" t="str">
        <x:f>IF(MonthlyStats!$T7="TRUE","#","")</x:f>
        <x:v>#</x:v>
      </x:c>
      <x:c r="K7" s="52" t="str">
        <x:f>IF(MonthlyStats!$T7="TRUE",MonthlyStats!S7,"")</x:f>
        <x:v>Formula-linked from CaseLedger</x:v>
      </x:c>
      <x:c r="L7" s="52" t="str">
        <x:f>IF(MonthlyStats!$T7="TRUE","Formula-linked","")</x:f>
        <x:v>Formula-linked</x:v>
      </x:c>
    </x:row>
    <x:row r="8">
      <x:c r="A8" s="52" t="str">
        <x:f>IF(MonthlyStats!$T8="TRUE",MonthlyStats!A8,"")</x:f>
        <x:v>Feb 2025</x:v>
      </x:c>
      <x:c r="B8" s="52" t="n">
        <x:f>IF(MonthlyStats!$T8="TRUE",MonthlyStats!B8,"")</x:f>
        <x:v>202502</x:v>
      </x:c>
      <x:c r="C8" s="52" t="n">
        <x:f>IF(MonthlyStats!$T8="TRUE",MonthlyStats!E8,"")</x:f>
        <x:v>2</x:v>
      </x:c>
      <x:c r="D8" s="52" t="n">
        <x:f>IF(MonthlyStats!$T8="TRUE",MonthlyStats!F8,"")</x:f>
        <x:v>1</x:v>
      </x:c>
      <x:c r="E8" s="52" t="n">
        <x:f>IF(MonthlyStats!$T8="TRUE",MonthlyStats!G8,"")</x:f>
        <x:v>0</x:v>
      </x:c>
      <x:c r="F8" s="52" t="n">
        <x:f>IF(MonthlyStats!$T8="TRUE",MonthlyStats!H8,"")</x:f>
        <x:v>3</x:v>
      </x:c>
      <x:c r="G8" s="52" t="n">
        <x:f>IF(MonthlyStats!$T8="TRUE",MonthlyStats!I8,"")</x:f>
        <x:v>0</x:v>
      </x:c>
      <x:c r="H8" s="52" t="n">
        <x:f>IF(MonthlyStats!$T8="TRUE",MonthlyStats!J8+MonthlyStats!K8,"")</x:f>
        <x:v>0</x:v>
      </x:c>
      <x:c r="I8" s="52" t="str">
        <x:f>IF(MonthlyStats!$T8="TRUE","₹"&amp;TEXT(MonthlyStats!O8,"#,##0")&amp;" public summary; "&amp;MonthlyStats!D8&amp;" cases","")</x:f>
        <x:v>₹40,000 public summary; 3 cases</x:v>
      </x:c>
      <x:c r="J8" s="52" t="str">
        <x:f>IF(MonthlyStats!$T8="TRUE","#","")</x:f>
        <x:v>#</x:v>
      </x:c>
      <x:c r="K8" s="52" t="str">
        <x:f>IF(MonthlyStats!$T8="TRUE",MonthlyStats!S8,"")</x:f>
        <x:v>Formula-linked from CaseLedger</x:v>
      </x:c>
      <x:c r="L8" s="52" t="str">
        <x:f>IF(MonthlyStats!$T8="TRUE","Formula-linked","")</x:f>
        <x:v>Formula-linked</x:v>
      </x:c>
    </x:row>
    <x:row r="9">
      <x:c r="A9" s="52" t="str">
        <x:f>IF(MonthlyStats!$T9="TRUE",MonthlyStats!A9,"")</x:f>
        <x:v>Mar 2025</x:v>
      </x:c>
      <x:c r="B9" s="52" t="n">
        <x:f>IF(MonthlyStats!$T9="TRUE",MonthlyStats!B9,"")</x:f>
        <x:v>202503</x:v>
      </x:c>
      <x:c r="C9" s="52" t="n">
        <x:f>IF(MonthlyStats!$T9="TRUE",MonthlyStats!E9,"")</x:f>
        <x:v>5</x:v>
      </x:c>
      <x:c r="D9" s="52" t="n">
        <x:f>IF(MonthlyStats!$T9="TRUE",MonthlyStats!F9,"")</x:f>
        <x:v>2</x:v>
      </x:c>
      <x:c r="E9" s="52" t="n">
        <x:f>IF(MonthlyStats!$T9="TRUE",MonthlyStats!G9,"")</x:f>
        <x:v>0</x:v>
      </x:c>
      <x:c r="F9" s="52" t="n">
        <x:f>IF(MonthlyStats!$T9="TRUE",MonthlyStats!H9,"")</x:f>
        <x:v>7</x:v>
      </x:c>
      <x:c r="G9" s="52" t="n">
        <x:f>IF(MonthlyStats!$T9="TRUE",MonthlyStats!I9,"")</x:f>
        <x:v>0</x:v>
      </x:c>
      <x:c r="H9" s="52" t="n">
        <x:f>IF(MonthlyStats!$T9="TRUE",MonthlyStats!J9+MonthlyStats!K9,"")</x:f>
        <x:v>0</x:v>
      </x:c>
      <x:c r="I9" s="52" t="str">
        <x:f>IF(MonthlyStats!$T9="TRUE","₹"&amp;TEXT(MonthlyStats!O9,"#,##0")&amp;" public summary; "&amp;MonthlyStats!D9&amp;" cases","")</x:f>
        <x:v>₹140,000 public summary; 7 cases</x:v>
      </x:c>
      <x:c r="J9" s="52" t="str">
        <x:f>IF(MonthlyStats!$T9="TRUE","#","")</x:f>
        <x:v>#</x:v>
      </x:c>
      <x:c r="K9" s="52" t="str">
        <x:f>IF(MonthlyStats!$T9="TRUE",MonthlyStats!S9,"")</x:f>
        <x:v>Formula-linked from CaseLedger</x:v>
      </x:c>
      <x:c r="L9" s="52" t="str">
        <x:f>IF(MonthlyStats!$T9="TRUE","Formula-linked","")</x:f>
        <x:v>Formula-linked</x:v>
      </x:c>
    </x:row>
    <x:row r="10">
      <x:c r="A10" s="52" t="str">
        <x:f>IF(MonthlyStats!$T10="TRUE",MonthlyStats!A10,"")</x:f>
        <x:v>Apr 2025</x:v>
      </x:c>
      <x:c r="B10" s="52" t="n">
        <x:f>IF(MonthlyStats!$T10="TRUE",MonthlyStats!B10,"")</x:f>
        <x:v>202504</x:v>
      </x:c>
      <x:c r="C10" s="52" t="n">
        <x:f>IF(MonthlyStats!$T10="TRUE",MonthlyStats!E10,"")</x:f>
        <x:v>0</x:v>
      </x:c>
      <x:c r="D10" s="52" t="n">
        <x:f>IF(MonthlyStats!$T10="TRUE",MonthlyStats!F10,"")</x:f>
        <x:v>1</x:v>
      </x:c>
      <x:c r="E10" s="52" t="n">
        <x:f>IF(MonthlyStats!$T10="TRUE",MonthlyStats!G10,"")</x:f>
        <x:v>0</x:v>
      </x:c>
      <x:c r="F10" s="52" t="n">
        <x:f>IF(MonthlyStats!$T10="TRUE",MonthlyStats!H10,"")</x:f>
        <x:v>1</x:v>
      </x:c>
      <x:c r="G10" s="52" t="n">
        <x:f>IF(MonthlyStats!$T10="TRUE",MonthlyStats!I10,"")</x:f>
        <x:v>0</x:v>
      </x:c>
      <x:c r="H10" s="52" t="n">
        <x:f>IF(MonthlyStats!$T10="TRUE",MonthlyStats!J10+MonthlyStats!K10,"")</x:f>
        <x:v>0</x:v>
      </x:c>
      <x:c r="I10" s="52" t="str">
        <x:f>IF(MonthlyStats!$T10="TRUE","₹"&amp;TEXT(MonthlyStats!O10,"#,##0")&amp;" public summary; "&amp;MonthlyStats!D10&amp;" cases","")</x:f>
        <x:v>₹8,200 public summary; 1 cases</x:v>
      </x:c>
      <x:c r="J10" s="52" t="str">
        <x:f>IF(MonthlyStats!$T10="TRUE","#","")</x:f>
        <x:v>#</x:v>
      </x:c>
      <x:c r="K10" s="52" t="str">
        <x:f>IF(MonthlyStats!$T10="TRUE",MonthlyStats!S10,"")</x:f>
        <x:v>Formula-linked from CaseLedger</x:v>
      </x:c>
      <x:c r="L10" s="52" t="str">
        <x:f>IF(MonthlyStats!$T10="TRUE","Formula-linked","")</x:f>
        <x:v>Formula-linked</x:v>
      </x:c>
    </x:row>
    <x:row r="11">
      <x:c r="A11" s="52" t="str">
        <x:f>IF(MonthlyStats!$T11="TRUE",MonthlyStats!A11,"")</x:f>
        <x:v>May 2025</x:v>
      </x:c>
      <x:c r="B11" s="52" t="n">
        <x:f>IF(MonthlyStats!$T11="TRUE",MonthlyStats!B11,"")</x:f>
        <x:v>202505</x:v>
      </x:c>
      <x:c r="C11" s="52" t="n">
        <x:f>IF(MonthlyStats!$T11="TRUE",MonthlyStats!E11,"")</x:f>
        <x:v>0</x:v>
      </x:c>
      <x:c r="D11" s="52" t="n">
        <x:f>IF(MonthlyStats!$T11="TRUE",MonthlyStats!F11,"")</x:f>
        <x:v>1</x:v>
      </x:c>
      <x:c r="E11" s="52" t="n">
        <x:f>IF(MonthlyStats!$T11="TRUE",MonthlyStats!G11,"")</x:f>
        <x:v>3</x:v>
      </x:c>
      <x:c r="F11" s="52" t="n">
        <x:f>IF(MonthlyStats!$T11="TRUE",MonthlyStats!H11,"")</x:f>
        <x:v>4</x:v>
      </x:c>
      <x:c r="G11" s="52" t="n">
        <x:f>IF(MonthlyStats!$T11="TRUE",MonthlyStats!I11,"")</x:f>
        <x:v>0</x:v>
      </x:c>
      <x:c r="H11" s="52" t="n">
        <x:f>IF(MonthlyStats!$T11="TRUE",MonthlyStats!J11+MonthlyStats!K11,"")</x:f>
        <x:v>0</x:v>
      </x:c>
      <x:c r="I11" s="52" t="str">
        <x:f>IF(MonthlyStats!$T11="TRUE","₹"&amp;TEXT(MonthlyStats!O11,"#,##0")&amp;" public summary; "&amp;MonthlyStats!D11&amp;" cases","")</x:f>
        <x:v>₹87,000 public summary; 4 cases</x:v>
      </x:c>
      <x:c r="J11" s="52" t="str">
        <x:f>IF(MonthlyStats!$T11="TRUE","#","")</x:f>
        <x:v>#</x:v>
      </x:c>
      <x:c r="K11" s="52" t="str">
        <x:f>IF(MonthlyStats!$T11="TRUE",MonthlyStats!S11,"")</x:f>
        <x:v>Formula-linked from CaseLedger</x:v>
      </x:c>
      <x:c r="L11" s="52" t="str">
        <x:f>IF(MonthlyStats!$T11="TRUE","Formula-linked","")</x:f>
        <x:v>Formula-linked</x:v>
      </x:c>
    </x:row>
    <x:row r="12">
      <x:c r="A12" s="52" t="str">
        <x:f>IF(MonthlyStats!$T12="TRUE",MonthlyStats!A12,"")</x:f>
        <x:v>Jun 2025</x:v>
      </x:c>
      <x:c r="B12" s="52" t="n">
        <x:f>IF(MonthlyStats!$T12="TRUE",MonthlyStats!B12,"")</x:f>
        <x:v>202506</x:v>
      </x:c>
      <x:c r="C12" s="52" t="n">
        <x:f>IF(MonthlyStats!$T12="TRUE",MonthlyStats!E12,"")</x:f>
        <x:v>0</x:v>
      </x:c>
      <x:c r="D12" s="52" t="n">
        <x:f>IF(MonthlyStats!$T12="TRUE",MonthlyStats!F12,"")</x:f>
        <x:v>0</x:v>
      </x:c>
      <x:c r="E12" s="52" t="n">
        <x:f>IF(MonthlyStats!$T12="TRUE",MonthlyStats!G12,"")</x:f>
        <x:v>1</x:v>
      </x:c>
      <x:c r="F12" s="52" t="n">
        <x:f>IF(MonthlyStats!$T12="TRUE",MonthlyStats!H12,"")</x:f>
        <x:v>1</x:v>
      </x:c>
      <x:c r="G12" s="52" t="n">
        <x:f>IF(MonthlyStats!$T12="TRUE",MonthlyStats!I12,"")</x:f>
        <x:v>0</x:v>
      </x:c>
      <x:c r="H12" s="52" t="n">
        <x:f>IF(MonthlyStats!$T12="TRUE",MonthlyStats!J12+MonthlyStats!K12,"")</x:f>
        <x:v>0</x:v>
      </x:c>
      <x:c r="I12" s="52" t="str">
        <x:f>IF(MonthlyStats!$T12="TRUE","₹"&amp;TEXT(MonthlyStats!O12,"#,##0")&amp;" public summary; "&amp;MonthlyStats!D12&amp;" cases","")</x:f>
        <x:v>₹20,000 public summary; 1 cases</x:v>
      </x:c>
      <x:c r="J12" s="52" t="str">
        <x:f>IF(MonthlyStats!$T12="TRUE","#","")</x:f>
        <x:v>#</x:v>
      </x:c>
      <x:c r="K12" s="52" t="str">
        <x:f>IF(MonthlyStats!$T12="TRUE",MonthlyStats!S12,"")</x:f>
        <x:v>Formula-linked from CaseLedger</x:v>
      </x:c>
      <x:c r="L12" s="52" t="str">
        <x:f>IF(MonthlyStats!$T12="TRUE","Formula-linked","")</x:f>
        <x:v>Formula-linked</x:v>
      </x:c>
    </x:row>
    <x:row r="13">
      <x:c r="A13" s="52" t="str">
        <x:f>IF(MonthlyStats!$T13="TRUE",MonthlyStats!A13,"")</x:f>
        <x:v>Jul 2025</x:v>
      </x:c>
      <x:c r="B13" s="52" t="n">
        <x:f>IF(MonthlyStats!$T13="TRUE",MonthlyStats!B13,"")</x:f>
        <x:v>202507</x:v>
      </x:c>
      <x:c r="C13" s="52" t="n">
        <x:f>IF(MonthlyStats!$T13="TRUE",MonthlyStats!E13,"")</x:f>
        <x:v>0</x:v>
      </x:c>
      <x:c r="D13" s="52" t="n">
        <x:f>IF(MonthlyStats!$T13="TRUE",MonthlyStats!F13,"")</x:f>
        <x:v>1</x:v>
      </x:c>
      <x:c r="E13" s="52" t="n">
        <x:f>IF(MonthlyStats!$T13="TRUE",MonthlyStats!G13,"")</x:f>
        <x:v>0</x:v>
      </x:c>
      <x:c r="F13" s="52" t="n">
        <x:f>IF(MonthlyStats!$T13="TRUE",MonthlyStats!H13,"")</x:f>
        <x:v>1</x:v>
      </x:c>
      <x:c r="G13" s="52" t="n">
        <x:f>IF(MonthlyStats!$T13="TRUE",MonthlyStats!I13,"")</x:f>
        <x:v>0</x:v>
      </x:c>
      <x:c r="H13" s="52" t="n">
        <x:f>IF(MonthlyStats!$T13="TRUE",MonthlyStats!J13+MonthlyStats!K13,"")</x:f>
        <x:v>0</x:v>
      </x:c>
      <x:c r="I13" s="52" t="str">
        <x:f>IF(MonthlyStats!$T13="TRUE","₹"&amp;TEXT(MonthlyStats!O13,"#,##0")&amp;" public summary; "&amp;MonthlyStats!D13&amp;" cases","")</x:f>
        <x:v>₹6,000 public summary; 1 cases</x:v>
      </x:c>
      <x:c r="J13" s="52" t="str">
        <x:f>IF(MonthlyStats!$T13="TRUE","#","")</x:f>
        <x:v>#</x:v>
      </x:c>
      <x:c r="K13" s="52" t="str">
        <x:f>IF(MonthlyStats!$T13="TRUE",MonthlyStats!S13,"")</x:f>
        <x:v>Formula-linked from CaseLedger</x:v>
      </x:c>
      <x:c r="L13" s="52" t="str">
        <x:f>IF(MonthlyStats!$T13="TRUE","Formula-linked","")</x:f>
        <x:v>Formula-linked</x:v>
      </x:c>
    </x:row>
    <x:row r="14">
      <x:c r="A14" s="52" t="str">
        <x:f>IF(MonthlyStats!$T14="TRUE",MonthlyStats!A14,"")</x:f>
        <x:v>Aug 2025</x:v>
      </x:c>
      <x:c r="B14" s="52" t="n">
        <x:f>IF(MonthlyStats!$T14="TRUE",MonthlyStats!B14,"")</x:f>
        <x:v>202508</x:v>
      </x:c>
      <x:c r="C14" s="52" t="n">
        <x:f>IF(MonthlyStats!$T14="TRUE",MonthlyStats!E14,"")</x:f>
        <x:v>0</x:v>
      </x:c>
      <x:c r="D14" s="52" t="n">
        <x:f>IF(MonthlyStats!$T14="TRUE",MonthlyStats!F14,"")</x:f>
        <x:v>3</x:v>
      </x:c>
      <x:c r="E14" s="52" t="n">
        <x:f>IF(MonthlyStats!$T14="TRUE",MonthlyStats!G14,"")</x:f>
        <x:v>0</x:v>
      </x:c>
      <x:c r="F14" s="52" t="n">
        <x:f>IF(MonthlyStats!$T14="TRUE",MonthlyStats!H14,"")</x:f>
        <x:v>3</x:v>
      </x:c>
      <x:c r="G14" s="52" t="n">
        <x:f>IF(MonthlyStats!$T14="TRUE",MonthlyStats!I14,"")</x:f>
        <x:v>0</x:v>
      </x:c>
      <x:c r="H14" s="52" t="n">
        <x:f>IF(MonthlyStats!$T14="TRUE",MonthlyStats!J14+MonthlyStats!K14,"")</x:f>
        <x:v>0</x:v>
      </x:c>
      <x:c r="I14" s="52" t="str">
        <x:f>IF(MonthlyStats!$T14="TRUE","₹"&amp;TEXT(MonthlyStats!O14,"#,##0")&amp;" public summary; "&amp;MonthlyStats!D14&amp;" cases","")</x:f>
        <x:v>₹50,000 public summary; 3 cases</x:v>
      </x:c>
      <x:c r="J14" s="52" t="str">
        <x:f>IF(MonthlyStats!$T14="TRUE","#","")</x:f>
        <x:v>#</x:v>
      </x:c>
      <x:c r="K14" s="52" t="str">
        <x:f>IF(MonthlyStats!$T14="TRUE",MonthlyStats!S14,"")</x:f>
        <x:v>Formula-linked from CaseLedger</x:v>
      </x:c>
      <x:c r="L14" s="52" t="str">
        <x:f>IF(MonthlyStats!$T14="TRUE","Formula-linked","")</x:f>
        <x:v>Formula-linked</x:v>
      </x:c>
    </x:row>
    <x:row r="15">
      <x:c r="A15" s="52" t="str">
        <x:f>IF(MonthlyStats!$T15="TRUE",MonthlyStats!A15,"")</x:f>
        <x:v>Sep 2025</x:v>
      </x:c>
      <x:c r="B15" s="52" t="n">
        <x:f>IF(MonthlyStats!$T15="TRUE",MonthlyStats!B15,"")</x:f>
        <x:v>202509</x:v>
      </x:c>
      <x:c r="C15" s="52" t="n">
        <x:f>IF(MonthlyStats!$T15="TRUE",MonthlyStats!E15,"")</x:f>
        <x:v>0</x:v>
      </x:c>
      <x:c r="D15" s="52" t="n">
        <x:f>IF(MonthlyStats!$T15="TRUE",MonthlyStats!F15,"")</x:f>
        <x:v>4</x:v>
      </x:c>
      <x:c r="E15" s="52" t="n">
        <x:f>IF(MonthlyStats!$T15="TRUE",MonthlyStats!G15,"")</x:f>
        <x:v>1</x:v>
      </x:c>
      <x:c r="F15" s="52" t="n">
        <x:f>IF(MonthlyStats!$T15="TRUE",MonthlyStats!H15,"")</x:f>
        <x:v>4</x:v>
      </x:c>
      <x:c r="G15" s="52" t="n">
        <x:f>IF(MonthlyStats!$T15="TRUE",MonthlyStats!I15,"")</x:f>
        <x:v>1</x:v>
      </x:c>
      <x:c r="H15" s="52" t="n">
        <x:f>IF(MonthlyStats!$T15="TRUE",MonthlyStats!J15+MonthlyStats!K15,"")</x:f>
        <x:v>0</x:v>
      </x:c>
      <x:c r="I15" s="52" t="str">
        <x:f>IF(MonthlyStats!$T15="TRUE","₹"&amp;TEXT(MonthlyStats!O15,"#,##0")&amp;" public summary; "&amp;MonthlyStats!D15&amp;" cases","")</x:f>
        <x:v>₹88,800 public summary; 5 cases</x:v>
      </x:c>
      <x:c r="J15" s="52" t="str">
        <x:f>IF(MonthlyStats!$T15="TRUE","#","")</x:f>
        <x:v>#</x:v>
      </x:c>
      <x:c r="K15" s="52" t="str">
        <x:f>IF(MonthlyStats!$T15="TRUE",MonthlyStats!S15,"")</x:f>
        <x:v>Formula-linked from CaseLedger</x:v>
      </x:c>
      <x:c r="L15" s="52" t="str">
        <x:f>IF(MonthlyStats!$T15="TRUE","Formula-linked","")</x:f>
        <x:v>Formula-linked</x:v>
      </x:c>
    </x:row>
    <x:row r="16">
      <x:c r="A16" s="52" t="str">
        <x:f>IF(MonthlyStats!$T16="TRUE",MonthlyStats!A16,"")</x:f>
      </x:c>
      <x:c r="B16" s="52" t="str">
        <x:f>IF(MonthlyStats!$T16="TRUE",MonthlyStats!B16,"")</x:f>
      </x:c>
      <x:c r="C16" s="52" t="str">
        <x:f>IF(MonthlyStats!$T16="TRUE",MonthlyStats!E16,"")</x:f>
      </x:c>
      <x:c r="D16" s="52" t="str">
        <x:f>IF(MonthlyStats!$T16="TRUE",MonthlyStats!F16,"")</x:f>
      </x:c>
      <x:c r="E16" s="52" t="str">
        <x:f>IF(MonthlyStats!$T16="TRUE",MonthlyStats!G16,"")</x:f>
      </x:c>
      <x:c r="F16" s="52" t="str">
        <x:f>IF(MonthlyStats!$T16="TRUE",MonthlyStats!H16,"")</x:f>
      </x:c>
      <x:c r="G16" s="52" t="str">
        <x:f>IF(MonthlyStats!$T16="TRUE",MonthlyStats!I16,"")</x:f>
      </x:c>
      <x:c r="H16" s="52" t="str">
        <x:f>IF(MonthlyStats!$T16="TRUE",MonthlyStats!J16+MonthlyStats!K16,"")</x:f>
      </x:c>
      <x:c r="I16" s="52" t="str">
        <x:f>IF(MonthlyStats!$T16="TRUE","₹"&amp;TEXT(MonthlyStats!O16,"#,##0")&amp;" public summary; "&amp;MonthlyStats!D16&amp;" cases","")</x:f>
      </x:c>
      <x:c r="J16" s="52" t="str">
        <x:f>IF(MonthlyStats!$T16="TRUE","#","")</x:f>
      </x:c>
      <x:c r="K16" s="52" t="str">
        <x:f>IF(MonthlyStats!$T16="TRUE",MonthlyStats!S16,"")</x:f>
      </x:c>
      <x:c r="L16" s="52" t="str">
        <x:f>IF(MonthlyStats!$T16="TRUE","Formula-linked","")</x:f>
      </x:c>
    </x:row>
    <x:row r="17">
      <x:c r="A17" s="52" t="str">
        <x:f>IF(MonthlyStats!$T17="TRUE",MonthlyStats!A17,"")</x:f>
      </x:c>
      <x:c r="B17" s="52" t="str">
        <x:f>IF(MonthlyStats!$T17="TRUE",MonthlyStats!B17,"")</x:f>
      </x:c>
      <x:c r="C17" s="52" t="str">
        <x:f>IF(MonthlyStats!$T17="TRUE",MonthlyStats!E17,"")</x:f>
      </x:c>
      <x:c r="D17" s="52" t="str">
        <x:f>IF(MonthlyStats!$T17="TRUE",MonthlyStats!F17,"")</x:f>
      </x:c>
      <x:c r="E17" s="52" t="str">
        <x:f>IF(MonthlyStats!$T17="TRUE",MonthlyStats!G17,"")</x:f>
      </x:c>
      <x:c r="F17" s="52" t="str">
        <x:f>IF(MonthlyStats!$T17="TRUE",MonthlyStats!H17,"")</x:f>
      </x:c>
      <x:c r="G17" s="52" t="str">
        <x:f>IF(MonthlyStats!$T17="TRUE",MonthlyStats!I17,"")</x:f>
      </x:c>
      <x:c r="H17" s="52" t="str">
        <x:f>IF(MonthlyStats!$T17="TRUE",MonthlyStats!J17+MonthlyStats!K17,"")</x:f>
      </x:c>
      <x:c r="I17" s="52" t="str">
        <x:f>IF(MonthlyStats!$T17="TRUE","₹"&amp;TEXT(MonthlyStats!O17,"#,##0")&amp;" public summary; "&amp;MonthlyStats!D17&amp;" cases","")</x:f>
      </x:c>
      <x:c r="J17" s="52" t="str">
        <x:f>IF(MonthlyStats!$T17="TRUE","#","")</x:f>
      </x:c>
      <x:c r="K17" s="52" t="str">
        <x:f>IF(MonthlyStats!$T17="TRUE",MonthlyStats!S17,"")</x:f>
      </x:c>
      <x:c r="L17" s="52" t="str">
        <x:f>IF(MonthlyStats!$T17="TRUE","Formula-linked","")</x:f>
      </x:c>
    </x:row>
    <x:row r="18">
      <x:c r="A18" s="52" t="str">
        <x:f>IF(MonthlyStats!$T18="TRUE",MonthlyStats!A18,"")</x:f>
      </x:c>
      <x:c r="B18" s="52" t="str">
        <x:f>IF(MonthlyStats!$T18="TRUE",MonthlyStats!B18,"")</x:f>
      </x:c>
      <x:c r="C18" s="52" t="str">
        <x:f>IF(MonthlyStats!$T18="TRUE",MonthlyStats!E18,"")</x:f>
      </x:c>
      <x:c r="D18" s="52" t="str">
        <x:f>IF(MonthlyStats!$T18="TRUE",MonthlyStats!F18,"")</x:f>
      </x:c>
      <x:c r="E18" s="52" t="str">
        <x:f>IF(MonthlyStats!$T18="TRUE",MonthlyStats!G18,"")</x:f>
      </x:c>
      <x:c r="F18" s="52" t="str">
        <x:f>IF(MonthlyStats!$T18="TRUE",MonthlyStats!H18,"")</x:f>
      </x:c>
      <x:c r="G18" s="52" t="str">
        <x:f>IF(MonthlyStats!$T18="TRUE",MonthlyStats!I18,"")</x:f>
      </x:c>
      <x:c r="H18" s="52" t="str">
        <x:f>IF(MonthlyStats!$T18="TRUE",MonthlyStats!J18+MonthlyStats!K18,"")</x:f>
      </x:c>
      <x:c r="I18" s="52" t="str">
        <x:f>IF(MonthlyStats!$T18="TRUE","₹"&amp;TEXT(MonthlyStats!O18,"#,##0")&amp;" public summary; "&amp;MonthlyStats!D18&amp;" cases","")</x:f>
      </x:c>
      <x:c r="J18" s="52" t="str">
        <x:f>IF(MonthlyStats!$T18="TRUE","#","")</x:f>
      </x:c>
      <x:c r="K18" s="52" t="str">
        <x:f>IF(MonthlyStats!$T18="TRUE",MonthlyStats!S18,"")</x:f>
      </x:c>
      <x:c r="L18" s="52" t="str">
        <x:f>IF(MonthlyStats!$T18="TRUE","Formula-linked","")</x:f>
      </x:c>
    </x:row>
    <x:row r="19">
      <x:c r="A19" s="52" t="str">
        <x:f>IF(MonthlyStats!$T19="TRUE",MonthlyStats!A19,"")</x:f>
        <x:v>Jan 2026</x:v>
      </x:c>
      <x:c r="B19" s="52" t="n">
        <x:f>IF(MonthlyStats!$T19="TRUE",MonthlyStats!B19,"")</x:f>
        <x:v>202601</x:v>
      </x:c>
      <x:c r="C19" s="52" t="n">
        <x:f>IF(MonthlyStats!$T19="TRUE",MonthlyStats!E19,"")</x:f>
        <x:v>0</x:v>
      </x:c>
      <x:c r="D19" s="52" t="n">
        <x:f>IF(MonthlyStats!$T19="TRUE",MonthlyStats!F19,"")</x:f>
        <x:v>2</x:v>
      </x:c>
      <x:c r="E19" s="52" t="n">
        <x:f>IF(MonthlyStats!$T19="TRUE",MonthlyStats!G19,"")</x:f>
        <x:v>0</x:v>
      </x:c>
      <x:c r="F19" s="52" t="n">
        <x:f>IF(MonthlyStats!$T19="TRUE",MonthlyStats!H19,"")</x:f>
        <x:v>2</x:v>
      </x:c>
      <x:c r="G19" s="52" t="n">
        <x:f>IF(MonthlyStats!$T19="TRUE",MonthlyStats!I19,"")</x:f>
        <x:v>0</x:v>
      </x:c>
      <x:c r="H19" s="52" t="n">
        <x:f>IF(MonthlyStats!$T19="TRUE",MonthlyStats!J19+MonthlyStats!K19,"")</x:f>
        <x:v>0</x:v>
      </x:c>
      <x:c r="I19" s="52" t="str">
        <x:f>IF(MonthlyStats!$T19="TRUE","₹"&amp;TEXT(MonthlyStats!O19,"#,##0")&amp;" public summary; "&amp;MonthlyStats!D19&amp;" cases","")</x:f>
        <x:v>₹30,000 public summary; 2 cases</x:v>
      </x:c>
      <x:c r="J19" s="52" t="str">
        <x:f>IF(MonthlyStats!$T19="TRUE","#","")</x:f>
        <x:v>#</x:v>
      </x:c>
      <x:c r="K19" s="52" t="str">
        <x:f>IF(MonthlyStats!$T19="TRUE",MonthlyStats!S19,"")</x:f>
        <x:v>Formula-linked from CaseLedger</x:v>
      </x:c>
      <x:c r="L19" s="52" t="str">
        <x:f>IF(MonthlyStats!$T19="TRUE","Formula-linked","")</x:f>
        <x:v>Formula-linked</x:v>
      </x:c>
    </x:row>
    <x:row r="20">
      <x:c r="A20" s="52" t="str">
        <x:f>IF(MonthlyStats!$T20="TRUE",MonthlyStats!A20,"")</x:f>
      </x:c>
      <x:c r="B20" s="52" t="str">
        <x:f>IF(MonthlyStats!$T20="TRUE",MonthlyStats!B20,"")</x:f>
      </x:c>
      <x:c r="C20" s="52" t="str">
        <x:f>IF(MonthlyStats!$T20="TRUE",MonthlyStats!E20,"")</x:f>
      </x:c>
      <x:c r="D20" s="52" t="str">
        <x:f>IF(MonthlyStats!$T20="TRUE",MonthlyStats!F20,"")</x:f>
      </x:c>
      <x:c r="E20" s="52" t="str">
        <x:f>IF(MonthlyStats!$T20="TRUE",MonthlyStats!G20,"")</x:f>
      </x:c>
      <x:c r="F20" s="52" t="str">
        <x:f>IF(MonthlyStats!$T20="TRUE",MonthlyStats!H20,"")</x:f>
      </x:c>
      <x:c r="G20" s="52" t="str">
        <x:f>IF(MonthlyStats!$T20="TRUE",MonthlyStats!I20,"")</x:f>
      </x:c>
      <x:c r="H20" s="52" t="str">
        <x:f>IF(MonthlyStats!$T20="TRUE",MonthlyStats!J20+MonthlyStats!K20,"")</x:f>
      </x:c>
      <x:c r="I20" s="52" t="str">
        <x:f>IF(MonthlyStats!$T20="TRUE","₹"&amp;TEXT(MonthlyStats!O20,"#,##0")&amp;" public summary; "&amp;MonthlyStats!D20&amp;" cases","")</x:f>
      </x:c>
      <x:c r="J20" s="52" t="str">
        <x:f>IF(MonthlyStats!$T20="TRUE","#","")</x:f>
      </x:c>
      <x:c r="K20" s="52" t="str">
        <x:f>IF(MonthlyStats!$T20="TRUE",MonthlyStats!S20,"")</x:f>
      </x:c>
      <x:c r="L20" s="52" t="str">
        <x:f>IF(MonthlyStats!$T20="TRUE","Formula-linked","")</x:f>
      </x:c>
    </x:row>
    <x:row r="21">
      <x:c r="A21" s="52" t="str">
        <x:f>IF(MonthlyStats!$T21="TRUE",MonthlyStats!A21,"")</x:f>
        <x:v>Mar 2026</x:v>
      </x:c>
      <x:c r="B21" s="52" t="n">
        <x:f>IF(MonthlyStats!$T21="TRUE",MonthlyStats!B21,"")</x:f>
        <x:v>202603</x:v>
      </x:c>
      <x:c r="C21" s="52" t="n">
        <x:f>IF(MonthlyStats!$T21="TRUE",MonthlyStats!E21,"")</x:f>
        <x:v>2</x:v>
      </x:c>
      <x:c r="D21" s="52" t="n">
        <x:f>IF(MonthlyStats!$T21="TRUE",MonthlyStats!F21,"")</x:f>
        <x:v>2</x:v>
      </x:c>
      <x:c r="E21" s="52" t="n">
        <x:f>IF(MonthlyStats!$T21="TRUE",MonthlyStats!G21,"")</x:f>
        <x:v>0</x:v>
      </x:c>
      <x:c r="F21" s="52" t="n">
        <x:f>IF(MonthlyStats!$T21="TRUE",MonthlyStats!H21,"")</x:f>
        <x:v>2</x:v>
      </x:c>
      <x:c r="G21" s="52" t="n">
        <x:f>IF(MonthlyStats!$T21="TRUE",MonthlyStats!I21,"")</x:f>
        <x:v>1</x:v>
      </x:c>
      <x:c r="H21" s="52" t="n">
        <x:f>IF(MonthlyStats!$T21="TRUE",MonthlyStats!J21+MonthlyStats!K21,"")</x:f>
        <x:v>1</x:v>
      </x:c>
      <x:c r="I21" s="52" t="str">
        <x:f>IF(MonthlyStats!$T21="TRUE","₹"&amp;TEXT(MonthlyStats!O21,"#,##0")&amp;" public summary; "&amp;MonthlyStats!D21&amp;" cases","")</x:f>
        <x:v>₹74,000 public summary; 4 cases</x:v>
      </x:c>
      <x:c r="J21" s="52" t="str">
        <x:f>IF(MonthlyStats!$T21="TRUE","#","")</x:f>
        <x:v>#</x:v>
      </x:c>
      <x:c r="K21" s="52" t="str">
        <x:f>IF(MonthlyStats!$T21="TRUE",MonthlyStats!S21,"")</x:f>
        <x:v>Formula-linked from CaseLedger</x:v>
      </x:c>
      <x:c r="L21" s="52" t="str">
        <x:f>IF(MonthlyStats!$T21="TRUE","Formula-linked","")</x:f>
        <x:v>Formula-linked</x:v>
      </x:c>
    </x:row>
    <x:row r="22">
      <x:c r="A22" s="52" t="str">
        <x:f>IF(MonthlyStats!$T22="TRUE",MonthlyStats!A22,"")</x:f>
        <x:v>Apr 2026</x:v>
      </x:c>
      <x:c r="B22" s="52" t="n">
        <x:f>IF(MonthlyStats!$T22="TRUE",MonthlyStats!B22,"")</x:f>
        <x:v>202604</x:v>
      </x:c>
      <x:c r="C22" s="52" t="n">
        <x:f>IF(MonthlyStats!$T22="TRUE",MonthlyStats!E22,"")</x:f>
        <x:v>0</x:v>
      </x:c>
      <x:c r="D22" s="52" t="n">
        <x:f>IF(MonthlyStats!$T22="TRUE",MonthlyStats!F22,"")</x:f>
        <x:v>1</x:v>
      </x:c>
      <x:c r="E22" s="52" t="n">
        <x:f>IF(MonthlyStats!$T22="TRUE",MonthlyStats!G22,"")</x:f>
        <x:v>0</x:v>
      </x:c>
      <x:c r="F22" s="52" t="n">
        <x:f>IF(MonthlyStats!$T22="TRUE",MonthlyStats!H22,"")</x:f>
        <x:v>0</x:v>
      </x:c>
      <x:c r="G22" s="52" t="n">
        <x:f>IF(MonthlyStats!$T22="TRUE",MonthlyStats!I22,"")</x:f>
        <x:v>0</x:v>
      </x:c>
      <x:c r="H22" s="52" t="n">
        <x:f>IF(MonthlyStats!$T22="TRUE",MonthlyStats!J22+MonthlyStats!K22,"")</x:f>
        <x:v>1</x:v>
      </x:c>
      <x:c r="I22" s="52" t="str">
        <x:f>IF(MonthlyStats!$T22="TRUE","₹"&amp;TEXT(MonthlyStats!O22,"#,##0")&amp;" public summary; "&amp;MonthlyStats!D22&amp;" cases","")</x:f>
        <x:v>₹4,500 public summary; 1 cases</x:v>
      </x:c>
      <x:c r="J22" s="52" t="str">
        <x:f>IF(MonthlyStats!$T22="TRUE","#","")</x:f>
        <x:v>#</x:v>
      </x:c>
      <x:c r="K22" s="52" t="str">
        <x:f>IF(MonthlyStats!$T22="TRUE",MonthlyStats!S22,"")</x:f>
        <x:v>Formula-linked from CaseLedger</x:v>
      </x:c>
      <x:c r="L22" s="52" t="str">
        <x:f>IF(MonthlyStats!$T22="TRUE","Formula-linked","")</x:f>
        <x:v>Formula-linked</x:v>
      </x:c>
    </x:row>
    <x:row r="23">
      <x:c r="A23" s="52" t="str">
        <x:f>IF(MonthlyStats!$T23="TRUE",MonthlyStats!A23,"")</x:f>
      </x:c>
      <x:c r="B23" s="52" t="str">
        <x:f>IF(MonthlyStats!$T23="TRUE",MonthlyStats!B23,"")</x:f>
      </x:c>
      <x:c r="C23" s="52" t="str">
        <x:f>IF(MonthlyStats!$T23="TRUE",MonthlyStats!E23,"")</x:f>
      </x:c>
      <x:c r="D23" s="52" t="str">
        <x:f>IF(MonthlyStats!$T23="TRUE",MonthlyStats!F23,"")</x:f>
      </x:c>
      <x:c r="E23" s="52" t="str">
        <x:f>IF(MonthlyStats!$T23="TRUE",MonthlyStats!G23,"")</x:f>
      </x:c>
      <x:c r="F23" s="52" t="str">
        <x:f>IF(MonthlyStats!$T23="TRUE",MonthlyStats!H23,"")</x:f>
      </x:c>
      <x:c r="G23" s="52" t="str">
        <x:f>IF(MonthlyStats!$T23="TRUE",MonthlyStats!I23,"")</x:f>
      </x:c>
      <x:c r="H23" s="52" t="str">
        <x:f>IF(MonthlyStats!$T23="TRUE",MonthlyStats!J23+MonthlyStats!K23,"")</x:f>
      </x:c>
      <x:c r="I23" s="52" t="str">
        <x:f>IF(MonthlyStats!$T23="TRUE","₹"&amp;TEXT(MonthlyStats!O23,"#,##0")&amp;" public summary; "&amp;MonthlyStats!D23&amp;" cases","")</x:f>
      </x:c>
      <x:c r="J23" s="52" t="str">
        <x:f>IF(MonthlyStats!$T23="TRUE","#","")</x:f>
      </x:c>
      <x:c r="K23" s="52" t="str">
        <x:f>IF(MonthlyStats!$T23="TRUE",MonthlyStats!S23,"")</x:f>
      </x:c>
      <x:c r="L23" s="52" t="str">
        <x:f>IF(MonthlyStats!$T23="TRUE","Formula-linked","")</x:f>
      </x:c>
    </x:row>
    <x:row r="24">
      <x:c r="A24" s="52" t="str">
        <x:f>IF(MonthlyStats!$T24="TRUE",MonthlyStats!A24,"")</x:f>
      </x:c>
      <x:c r="B24" s="52" t="str">
        <x:f>IF(MonthlyStats!$T24="TRUE",MonthlyStats!B24,"")</x:f>
      </x:c>
      <x:c r="C24" s="52" t="str">
        <x:f>IF(MonthlyStats!$T24="TRUE",MonthlyStats!E24,"")</x:f>
      </x:c>
      <x:c r="D24" s="52" t="str">
        <x:f>IF(MonthlyStats!$T24="TRUE",MonthlyStats!F24,"")</x:f>
      </x:c>
      <x:c r="E24" s="52" t="str">
        <x:f>IF(MonthlyStats!$T24="TRUE",MonthlyStats!G24,"")</x:f>
      </x:c>
      <x:c r="F24" s="52" t="str">
        <x:f>IF(MonthlyStats!$T24="TRUE",MonthlyStats!H24,"")</x:f>
      </x:c>
      <x:c r="G24" s="52" t="str">
        <x:f>IF(MonthlyStats!$T24="TRUE",MonthlyStats!I24,"")</x:f>
      </x:c>
      <x:c r="H24" s="52" t="str">
        <x:f>IF(MonthlyStats!$T24="TRUE",MonthlyStats!J24+MonthlyStats!K24,"")</x:f>
      </x:c>
      <x:c r="I24" s="52" t="str">
        <x:f>IF(MonthlyStats!$T24="TRUE","₹"&amp;TEXT(MonthlyStats!O24,"#,##0")&amp;" public summary; "&amp;MonthlyStats!D24&amp;" cases","")</x:f>
      </x:c>
      <x:c r="J24" s="52" t="str">
        <x:f>IF(MonthlyStats!$T24="TRUE","#","")</x:f>
      </x:c>
      <x:c r="K24" s="52" t="str">
        <x:f>IF(MonthlyStats!$T24="TRUE",MonthlyStats!S24,"")</x:f>
      </x:c>
      <x:c r="L24" s="52" t="str">
        <x:f>IF(MonthlyStats!$T24="TRUE","Formula-linked","")</x:f>
      </x:c>
    </x:row>
    <x:row r="25">
      <x:c r="A25" s="52" t="str">
        <x:f>IF(MonthlyStats!$T25="TRUE",MonthlyStats!A25,"")</x:f>
      </x:c>
      <x:c r="B25" s="52" t="str">
        <x:f>IF(MonthlyStats!$T25="TRUE",MonthlyStats!B25,"")</x:f>
      </x:c>
      <x:c r="C25" s="52" t="str">
        <x:f>IF(MonthlyStats!$T25="TRUE",MonthlyStats!E25,"")</x:f>
      </x:c>
      <x:c r="D25" s="52" t="str">
        <x:f>IF(MonthlyStats!$T25="TRUE",MonthlyStats!F25,"")</x:f>
      </x:c>
      <x:c r="E25" s="52" t="str">
        <x:f>IF(MonthlyStats!$T25="TRUE",MonthlyStats!G25,"")</x:f>
      </x:c>
      <x:c r="F25" s="52" t="str">
        <x:f>IF(MonthlyStats!$T25="TRUE",MonthlyStats!H25,"")</x:f>
      </x:c>
      <x:c r="G25" s="52" t="str">
        <x:f>IF(MonthlyStats!$T25="TRUE",MonthlyStats!I25,"")</x:f>
      </x:c>
      <x:c r="H25" s="52" t="str">
        <x:f>IF(MonthlyStats!$T25="TRUE",MonthlyStats!J25+MonthlyStats!K25,"")</x:f>
      </x:c>
      <x:c r="I25" s="52" t="str">
        <x:f>IF(MonthlyStats!$T25="TRUE","₹"&amp;TEXT(MonthlyStats!O25,"#,##0")&amp;" public summary; "&amp;MonthlyStats!D25&amp;" cases","")</x:f>
      </x:c>
      <x:c r="J25" s="52" t="str">
        <x:f>IF(MonthlyStats!$T25="TRUE","#","")</x:f>
      </x:c>
      <x:c r="K25" s="52" t="str">
        <x:f>IF(MonthlyStats!$T25="TRUE",MonthlyStats!S25,"")</x:f>
      </x:c>
      <x:c r="L25" s="52" t="str">
        <x:f>IF(MonthlyStats!$T25="TRUE","Formula-linked","")</x:f>
      </x:c>
    </x:row>
    <x:row r="26">
      <x:c r="A26" s="52" t="str">
        <x:f>IF(MonthlyStats!$T26="TRUE",MonthlyStats!A26,"")</x:f>
      </x:c>
      <x:c r="B26" s="52" t="str">
        <x:f>IF(MonthlyStats!$T26="TRUE",MonthlyStats!B26,"")</x:f>
      </x:c>
      <x:c r="C26" s="52" t="str">
        <x:f>IF(MonthlyStats!$T26="TRUE",MonthlyStats!E26,"")</x:f>
      </x:c>
      <x:c r="D26" s="52" t="str">
        <x:f>IF(MonthlyStats!$T26="TRUE",MonthlyStats!F26,"")</x:f>
      </x:c>
      <x:c r="E26" s="52" t="str">
        <x:f>IF(MonthlyStats!$T26="TRUE",MonthlyStats!G26,"")</x:f>
      </x:c>
      <x:c r="F26" s="52" t="str">
        <x:f>IF(MonthlyStats!$T26="TRUE",MonthlyStats!H26,"")</x:f>
      </x:c>
      <x:c r="G26" s="52" t="str">
        <x:f>IF(MonthlyStats!$T26="TRUE",MonthlyStats!I26,"")</x:f>
      </x:c>
      <x:c r="H26" s="52" t="str">
        <x:f>IF(MonthlyStats!$T26="TRUE",MonthlyStats!J26+MonthlyStats!K26,"")</x:f>
      </x:c>
      <x:c r="I26" s="52" t="str">
        <x:f>IF(MonthlyStats!$T26="TRUE","₹"&amp;TEXT(MonthlyStats!O26,"#,##0")&amp;" public summary; "&amp;MonthlyStats!D26&amp;" cases","")</x:f>
      </x:c>
      <x:c r="J26" s="52" t="str">
        <x:f>IF(MonthlyStats!$T26="TRUE","#","")</x:f>
      </x:c>
      <x:c r="K26" s="52" t="str">
        <x:f>IF(MonthlyStats!$T26="TRUE",MonthlyStats!S26,"")</x:f>
      </x:c>
      <x:c r="L26" s="52" t="str">
        <x:f>IF(MonthlyStats!$T26="TRUE","Formula-linked","")</x:f>
      </x:c>
    </x:row>
    <x:row r="27">
      <x:c r="A27" s="52" t="str">
        <x:f>IF(MonthlyStats!$T27="TRUE",MonthlyStats!A27,"")</x:f>
      </x:c>
      <x:c r="B27" s="52" t="str">
        <x:f>IF(MonthlyStats!$T27="TRUE",MonthlyStats!B27,"")</x:f>
      </x:c>
      <x:c r="C27" s="52" t="str">
        <x:f>IF(MonthlyStats!$T27="TRUE",MonthlyStats!E27,"")</x:f>
      </x:c>
      <x:c r="D27" s="52" t="str">
        <x:f>IF(MonthlyStats!$T27="TRUE",MonthlyStats!F27,"")</x:f>
      </x:c>
      <x:c r="E27" s="52" t="str">
        <x:f>IF(MonthlyStats!$T27="TRUE",MonthlyStats!G27,"")</x:f>
      </x:c>
      <x:c r="F27" s="52" t="str">
        <x:f>IF(MonthlyStats!$T27="TRUE",MonthlyStats!H27,"")</x:f>
      </x:c>
      <x:c r="G27" s="52" t="str">
        <x:f>IF(MonthlyStats!$T27="TRUE",MonthlyStats!I27,"")</x:f>
      </x:c>
      <x:c r="H27" s="52" t="str">
        <x:f>IF(MonthlyStats!$T27="TRUE",MonthlyStats!J27+MonthlyStats!K27,"")</x:f>
      </x:c>
      <x:c r="I27" s="52" t="str">
        <x:f>IF(MonthlyStats!$T27="TRUE","₹"&amp;TEXT(MonthlyStats!O27,"#,##0")&amp;" public summary; "&amp;MonthlyStats!D27&amp;" cases","")</x:f>
      </x:c>
      <x:c r="J27" s="52" t="str">
        <x:f>IF(MonthlyStats!$T27="TRUE","#","")</x:f>
      </x:c>
      <x:c r="K27" s="52" t="str">
        <x:f>IF(MonthlyStats!$T27="TRUE",MonthlyStats!S27,"")</x:f>
      </x:c>
      <x:c r="L27" s="52" t="str">
        <x:f>IF(MonthlyStats!$T27="TRUE","Formula-linked","")</x:f>
      </x:c>
    </x:row>
    <x:row r="28">
      <x:c r="A28" s="52" t="str">
        <x:f>IF(MonthlyStats!$T28="TRUE",MonthlyStats!A28,"")</x:f>
      </x:c>
      <x:c r="B28" s="52" t="str">
        <x:f>IF(MonthlyStats!$T28="TRUE",MonthlyStats!B28,"")</x:f>
      </x:c>
      <x:c r="C28" s="52" t="str">
        <x:f>IF(MonthlyStats!$T28="TRUE",MonthlyStats!E28,"")</x:f>
      </x:c>
      <x:c r="D28" s="52" t="str">
        <x:f>IF(MonthlyStats!$T28="TRUE",MonthlyStats!F28,"")</x:f>
      </x:c>
      <x:c r="E28" s="52" t="str">
        <x:f>IF(MonthlyStats!$T28="TRUE",MonthlyStats!G28,"")</x:f>
      </x:c>
      <x:c r="F28" s="52" t="str">
        <x:f>IF(MonthlyStats!$T28="TRUE",MonthlyStats!H28,"")</x:f>
      </x:c>
      <x:c r="G28" s="52" t="str">
        <x:f>IF(MonthlyStats!$T28="TRUE",MonthlyStats!I28,"")</x:f>
      </x:c>
      <x:c r="H28" s="52" t="str">
        <x:f>IF(MonthlyStats!$T28="TRUE",MonthlyStats!J28+MonthlyStats!K28,"")</x:f>
      </x:c>
      <x:c r="I28" s="52" t="str">
        <x:f>IF(MonthlyStats!$T28="TRUE","₹"&amp;TEXT(MonthlyStats!O28,"#,##0")&amp;" public summary; "&amp;MonthlyStats!D28&amp;" cases","")</x:f>
      </x:c>
      <x:c r="J28" s="52" t="str">
        <x:f>IF(MonthlyStats!$T28="TRUE","#","")</x:f>
      </x:c>
      <x:c r="K28" s="52" t="str">
        <x:f>IF(MonthlyStats!$T28="TRUE",MonthlyStats!S28,"")</x:f>
      </x:c>
      <x:c r="L28" s="52" t="str">
        <x:f>IF(MonthlyStats!$T28="TRUE","Formula-linked","")</x:f>
      </x:c>
    </x:row>
    <x:row r="29">
      <x:c r="A29" s="52" t="str">
        <x:f>IF(MonthlyStats!$T29="TRUE",MonthlyStats!A29,"")</x:f>
      </x:c>
      <x:c r="B29" s="52" t="str">
        <x:f>IF(MonthlyStats!$T29="TRUE",MonthlyStats!B29,"")</x:f>
      </x:c>
      <x:c r="C29" s="52" t="str">
        <x:f>IF(MonthlyStats!$T29="TRUE",MonthlyStats!E29,"")</x:f>
      </x:c>
      <x:c r="D29" s="52" t="str">
        <x:f>IF(MonthlyStats!$T29="TRUE",MonthlyStats!F29,"")</x:f>
      </x:c>
      <x:c r="E29" s="52" t="str">
        <x:f>IF(MonthlyStats!$T29="TRUE",MonthlyStats!G29,"")</x:f>
      </x:c>
      <x:c r="F29" s="52" t="str">
        <x:f>IF(MonthlyStats!$T29="TRUE",MonthlyStats!H29,"")</x:f>
      </x:c>
      <x:c r="G29" s="52" t="str">
        <x:f>IF(MonthlyStats!$T29="TRUE",MonthlyStats!I29,"")</x:f>
      </x:c>
      <x:c r="H29" s="52" t="str">
        <x:f>IF(MonthlyStats!$T29="TRUE",MonthlyStats!J29+MonthlyStats!K29,"")</x:f>
      </x:c>
      <x:c r="I29" s="52" t="str">
        <x:f>IF(MonthlyStats!$T29="TRUE","₹"&amp;TEXT(MonthlyStats!O29,"#,##0")&amp;" public summary; "&amp;MonthlyStats!D29&amp;" cases","")</x:f>
      </x:c>
      <x:c r="J29" s="52" t="str">
        <x:f>IF(MonthlyStats!$T29="TRUE","#","")</x:f>
      </x:c>
      <x:c r="K29" s="52" t="str">
        <x:f>IF(MonthlyStats!$T29="TRUE",MonthlyStats!S29,"")</x:f>
      </x:c>
      <x:c r="L29" s="52" t="str">
        <x:f>IF(MonthlyStats!$T29="TRUE","Formula-linked","")</x:f>
      </x:c>
    </x:row>
    <x:row r="30">
      <x:c r="A30" s="52" t="str">
        <x:f>IF(MonthlyStats!$T30="TRUE",MonthlyStats!A30,"")</x:f>
      </x:c>
      <x:c r="B30" s="52" t="str">
        <x:f>IF(MonthlyStats!$T30="TRUE",MonthlyStats!B30,"")</x:f>
      </x:c>
      <x:c r="C30" s="52" t="str">
        <x:f>IF(MonthlyStats!$T30="TRUE",MonthlyStats!E30,"")</x:f>
      </x:c>
      <x:c r="D30" s="52" t="str">
        <x:f>IF(MonthlyStats!$T30="TRUE",MonthlyStats!F30,"")</x:f>
      </x:c>
      <x:c r="E30" s="52" t="str">
        <x:f>IF(MonthlyStats!$T30="TRUE",MonthlyStats!G30,"")</x:f>
      </x:c>
      <x:c r="F30" s="52" t="str">
        <x:f>IF(MonthlyStats!$T30="TRUE",MonthlyStats!H30,"")</x:f>
      </x:c>
      <x:c r="G30" s="52" t="str">
        <x:f>IF(MonthlyStats!$T30="TRUE",MonthlyStats!I30,"")</x:f>
      </x:c>
      <x:c r="H30" s="52" t="str">
        <x:f>IF(MonthlyStats!$T30="TRUE",MonthlyStats!J30+MonthlyStats!K30,"")</x:f>
      </x:c>
      <x:c r="I30" s="52" t="str">
        <x:f>IF(MonthlyStats!$T30="TRUE","₹"&amp;TEXT(MonthlyStats!O30,"#,##0")&amp;" public summary; "&amp;MonthlyStats!D30&amp;" cases","")</x:f>
      </x:c>
      <x:c r="J30" s="52" t="str">
        <x:f>IF(MonthlyStats!$T30="TRUE","#","")</x:f>
      </x:c>
      <x:c r="K30" s="52" t="str">
        <x:f>IF(MonthlyStats!$T30="TRUE",MonthlyStats!S30,"")</x:f>
      </x:c>
      <x:c r="L30" s="52" t="str">
        <x:f>IF(MonthlyStats!$T30="TRUE","Formula-linked","")</x:f>
      </x:c>
    </x:row>
    <x:row r="31">
      <x:c r="A31" s="52" t="str">
        <x:f>IF(MonthlyStats!$T31="TRUE",MonthlyStats!A31,"")</x:f>
      </x:c>
      <x:c r="B31" s="52" t="str">
        <x:f>IF(MonthlyStats!$T31="TRUE",MonthlyStats!B31,"")</x:f>
      </x:c>
      <x:c r="C31" s="52" t="str">
        <x:f>IF(MonthlyStats!$T31="TRUE",MonthlyStats!E31,"")</x:f>
      </x:c>
      <x:c r="D31" s="52" t="str">
        <x:f>IF(MonthlyStats!$T31="TRUE",MonthlyStats!F31,"")</x:f>
      </x:c>
      <x:c r="E31" s="52" t="str">
        <x:f>IF(MonthlyStats!$T31="TRUE",MonthlyStats!G31,"")</x:f>
      </x:c>
      <x:c r="F31" s="52" t="str">
        <x:f>IF(MonthlyStats!$T31="TRUE",MonthlyStats!H31,"")</x:f>
      </x:c>
      <x:c r="G31" s="52" t="str">
        <x:f>IF(MonthlyStats!$T31="TRUE",MonthlyStats!I31,"")</x:f>
      </x:c>
      <x:c r="H31" s="52" t="str">
        <x:f>IF(MonthlyStats!$T31="TRUE",MonthlyStats!J31+MonthlyStats!K31,"")</x:f>
      </x:c>
      <x:c r="I31" s="52" t="str">
        <x:f>IF(MonthlyStats!$T31="TRUE","₹"&amp;TEXT(MonthlyStats!O31,"#,##0")&amp;" public summary; "&amp;MonthlyStats!D31&amp;" cases","")</x:f>
      </x:c>
      <x:c r="J31" s="52" t="str">
        <x:f>IF(MonthlyStats!$T31="TRUE","#","")</x:f>
      </x:c>
      <x:c r="K31" s="52" t="str">
        <x:f>IF(MonthlyStats!$T31="TRUE",MonthlyStats!S31,"")</x:f>
      </x:c>
      <x:c r="L31" s="52" t="str">
        <x:f>IF(MonthlyStats!$T31="TRUE","Formula-linked","")</x:f>
      </x:c>
    </x:row>
    <x:row r="32">
      <x:c r="A32" s="52" t="str">
        <x:f>IF(MonthlyStats!$T32="TRUE",MonthlyStats!A32,"")</x:f>
      </x:c>
      <x:c r="B32" s="52" t="str">
        <x:f>IF(MonthlyStats!$T32="TRUE",MonthlyStats!B32,"")</x:f>
      </x:c>
      <x:c r="C32" s="52" t="str">
        <x:f>IF(MonthlyStats!$T32="TRUE",MonthlyStats!E32,"")</x:f>
      </x:c>
      <x:c r="D32" s="52" t="str">
        <x:f>IF(MonthlyStats!$T32="TRUE",MonthlyStats!F32,"")</x:f>
      </x:c>
      <x:c r="E32" s="52" t="str">
        <x:f>IF(MonthlyStats!$T32="TRUE",MonthlyStats!G32,"")</x:f>
      </x:c>
      <x:c r="F32" s="52" t="str">
        <x:f>IF(MonthlyStats!$T32="TRUE",MonthlyStats!H32,"")</x:f>
      </x:c>
      <x:c r="G32" s="52" t="str">
        <x:f>IF(MonthlyStats!$T32="TRUE",MonthlyStats!I32,"")</x:f>
      </x:c>
      <x:c r="H32" s="52" t="str">
        <x:f>IF(MonthlyStats!$T32="TRUE",MonthlyStats!J32+MonthlyStats!K32,"")</x:f>
      </x:c>
      <x:c r="I32" s="52" t="str">
        <x:f>IF(MonthlyStats!$T32="TRUE","₹"&amp;TEXT(MonthlyStats!O32,"#,##0")&amp;" public summary; "&amp;MonthlyStats!D32&amp;" cases","")</x:f>
      </x:c>
      <x:c r="J32" s="52" t="str">
        <x:f>IF(MonthlyStats!$T32="TRUE","#","")</x:f>
      </x:c>
      <x:c r="K32" s="52" t="str">
        <x:f>IF(MonthlyStats!$T32="TRUE",MonthlyStats!S32,"")</x:f>
      </x:c>
      <x:c r="L32" s="52" t="str">
        <x:f>IF(MonthlyStats!$T32="TRUE","Formula-linked","")</x:f>
      </x:c>
    </x:row>
    <x:row r="33">
      <x:c r="A33" s="52" t="str">
        <x:f>IF(MonthlyStats!$T33="TRUE",MonthlyStats!A33,"")</x:f>
      </x:c>
      <x:c r="B33" s="52" t="str">
        <x:f>IF(MonthlyStats!$T33="TRUE",MonthlyStats!B33,"")</x:f>
      </x:c>
      <x:c r="C33" s="52" t="str">
        <x:f>IF(MonthlyStats!$T33="TRUE",MonthlyStats!E33,"")</x:f>
      </x:c>
      <x:c r="D33" s="52" t="str">
        <x:f>IF(MonthlyStats!$T33="TRUE",MonthlyStats!F33,"")</x:f>
      </x:c>
      <x:c r="E33" s="52" t="str">
        <x:f>IF(MonthlyStats!$T33="TRUE",MonthlyStats!G33,"")</x:f>
      </x:c>
      <x:c r="F33" s="52" t="str">
        <x:f>IF(MonthlyStats!$T33="TRUE",MonthlyStats!H33,"")</x:f>
      </x:c>
      <x:c r="G33" s="52" t="str">
        <x:f>IF(MonthlyStats!$T33="TRUE",MonthlyStats!I33,"")</x:f>
      </x:c>
      <x:c r="H33" s="52" t="str">
        <x:f>IF(MonthlyStats!$T33="TRUE",MonthlyStats!J33+MonthlyStats!K33,"")</x:f>
      </x:c>
      <x:c r="I33" s="52" t="str">
        <x:f>IF(MonthlyStats!$T33="TRUE","₹"&amp;TEXT(MonthlyStats!O33,"#,##0")&amp;" public summary; "&amp;MonthlyStats!D33&amp;" cases","")</x:f>
      </x:c>
      <x:c r="J33" s="52" t="str">
        <x:f>IF(MonthlyStats!$T33="TRUE","#","")</x:f>
      </x:c>
      <x:c r="K33" s="52" t="str">
        <x:f>IF(MonthlyStats!$T33="TRUE",MonthlyStats!S33,"")</x:f>
      </x:c>
      <x:c r="L33" s="52" t="str">
        <x:f>IF(MonthlyStats!$T33="TRUE","Formula-linked","")</x:f>
      </x:c>
    </x:row>
    <x:row r="34">
      <x:c r="A34" s="52" t="str">
        <x:f>IF(MonthlyStats!$T34="TRUE",MonthlyStats!A34,"")</x:f>
      </x:c>
      <x:c r="B34" s="52" t="str">
        <x:f>IF(MonthlyStats!$T34="TRUE",MonthlyStats!B34,"")</x:f>
      </x:c>
      <x:c r="C34" s="52" t="str">
        <x:f>IF(MonthlyStats!$T34="TRUE",MonthlyStats!E34,"")</x:f>
      </x:c>
      <x:c r="D34" s="52" t="str">
        <x:f>IF(MonthlyStats!$T34="TRUE",MonthlyStats!F34,"")</x:f>
      </x:c>
      <x:c r="E34" s="52" t="str">
        <x:f>IF(MonthlyStats!$T34="TRUE",MonthlyStats!G34,"")</x:f>
      </x:c>
      <x:c r="F34" s="52" t="str">
        <x:f>IF(MonthlyStats!$T34="TRUE",MonthlyStats!H34,"")</x:f>
      </x:c>
      <x:c r="G34" s="52" t="str">
        <x:f>IF(MonthlyStats!$T34="TRUE",MonthlyStats!I34,"")</x:f>
      </x:c>
      <x:c r="H34" s="52" t="str">
        <x:f>IF(MonthlyStats!$T34="TRUE",MonthlyStats!J34+MonthlyStats!K34,"")</x:f>
      </x:c>
      <x:c r="I34" s="52" t="str">
        <x:f>IF(MonthlyStats!$T34="TRUE","₹"&amp;TEXT(MonthlyStats!O34,"#,##0")&amp;" public summary; "&amp;MonthlyStats!D34&amp;" cases","")</x:f>
      </x:c>
      <x:c r="J34" s="52" t="str">
        <x:f>IF(MonthlyStats!$T34="TRUE","#","")</x:f>
      </x:c>
      <x:c r="K34" s="52" t="str">
        <x:f>IF(MonthlyStats!$T34="TRUE",MonthlyStats!S34,"")</x:f>
      </x:c>
      <x:c r="L34" s="52" t="str">
        <x:f>IF(MonthlyStats!$T34="TRUE","Formula-linked","")</x:f>
      </x:c>
    </x:row>
    <x:row r="35">
      <x:c r="A35" s="52" t="str">
        <x:f>IF(MonthlyStats!$T35="TRUE",MonthlyStats!A35,"")</x:f>
      </x:c>
      <x:c r="B35" s="52" t="str">
        <x:f>IF(MonthlyStats!$T35="TRUE",MonthlyStats!B35,"")</x:f>
      </x:c>
      <x:c r="C35" s="52" t="str">
        <x:f>IF(MonthlyStats!$T35="TRUE",MonthlyStats!E35,"")</x:f>
      </x:c>
      <x:c r="D35" s="52" t="str">
        <x:f>IF(MonthlyStats!$T35="TRUE",MonthlyStats!F35,"")</x:f>
      </x:c>
      <x:c r="E35" s="52" t="str">
        <x:f>IF(MonthlyStats!$T35="TRUE",MonthlyStats!G35,"")</x:f>
      </x:c>
      <x:c r="F35" s="52" t="str">
        <x:f>IF(MonthlyStats!$T35="TRUE",MonthlyStats!H35,"")</x:f>
      </x:c>
      <x:c r="G35" s="52" t="str">
        <x:f>IF(MonthlyStats!$T35="TRUE",MonthlyStats!I35,"")</x:f>
      </x:c>
      <x:c r="H35" s="52" t="str">
        <x:f>IF(MonthlyStats!$T35="TRUE",MonthlyStats!J35+MonthlyStats!K35,"")</x:f>
      </x:c>
      <x:c r="I35" s="52" t="str">
        <x:f>IF(MonthlyStats!$T35="TRUE","₹"&amp;TEXT(MonthlyStats!O35,"#,##0")&amp;" public summary; "&amp;MonthlyStats!D35&amp;" cases","")</x:f>
      </x:c>
      <x:c r="J35" s="52" t="str">
        <x:f>IF(MonthlyStats!$T35="TRUE","#","")</x:f>
      </x:c>
      <x:c r="K35" s="52" t="str">
        <x:f>IF(MonthlyStats!$T35="TRUE",MonthlyStats!S35,"")</x:f>
      </x:c>
      <x:c r="L35" s="52" t="str">
        <x:f>IF(MonthlyStats!$T35="TRUE","Formula-linked","")</x:f>
      </x:c>
    </x:row>
    <x:row r="36">
      <x:c r="A36" s="52" t="str">
        <x:f>IF(MonthlyStats!$T36="TRUE",MonthlyStats!A36,"")</x:f>
      </x:c>
      <x:c r="B36" s="52" t="str">
        <x:f>IF(MonthlyStats!$T36="TRUE",MonthlyStats!B36,"")</x:f>
      </x:c>
      <x:c r="C36" s="52" t="str">
        <x:f>IF(MonthlyStats!$T36="TRUE",MonthlyStats!E36,"")</x:f>
      </x:c>
      <x:c r="D36" s="52" t="str">
        <x:f>IF(MonthlyStats!$T36="TRUE",MonthlyStats!F36,"")</x:f>
      </x:c>
      <x:c r="E36" s="52" t="str">
        <x:f>IF(MonthlyStats!$T36="TRUE",MonthlyStats!G36,"")</x:f>
      </x:c>
      <x:c r="F36" s="52" t="str">
        <x:f>IF(MonthlyStats!$T36="TRUE",MonthlyStats!H36,"")</x:f>
      </x:c>
      <x:c r="G36" s="52" t="str">
        <x:f>IF(MonthlyStats!$T36="TRUE",MonthlyStats!I36,"")</x:f>
      </x:c>
      <x:c r="H36" s="52" t="str">
        <x:f>IF(MonthlyStats!$T36="TRUE",MonthlyStats!J36+MonthlyStats!K36,"")</x:f>
      </x:c>
      <x:c r="I36" s="52" t="str">
        <x:f>IF(MonthlyStats!$T36="TRUE","₹"&amp;TEXT(MonthlyStats!O36,"#,##0")&amp;" public summary; "&amp;MonthlyStats!D36&amp;" cases","")</x:f>
      </x:c>
      <x:c r="J36" s="52" t="str">
        <x:f>IF(MonthlyStats!$T36="TRUE","#","")</x:f>
      </x:c>
      <x:c r="K36" s="52" t="str">
        <x:f>IF(MonthlyStats!$T36="TRUE",MonthlyStats!S36,"")</x:f>
      </x:c>
      <x:c r="L36" s="52" t="str">
        <x:f>IF(MonthlyStats!$T36="TRUE","Formula-linked","")</x:f>
      </x:c>
    </x:row>
    <x:row r="37">
      <x:c r="A37" s="52" t="str">
        <x:f>IF(MonthlyStats!$T37="TRUE",MonthlyStats!A37,"")</x:f>
      </x:c>
      <x:c r="B37" s="52" t="str">
        <x:f>IF(MonthlyStats!$T37="TRUE",MonthlyStats!B37,"")</x:f>
      </x:c>
      <x:c r="C37" s="52" t="str">
        <x:f>IF(MonthlyStats!$T37="TRUE",MonthlyStats!E37,"")</x:f>
      </x:c>
      <x:c r="D37" s="52" t="str">
        <x:f>IF(MonthlyStats!$T37="TRUE",MonthlyStats!F37,"")</x:f>
      </x:c>
      <x:c r="E37" s="52" t="str">
        <x:f>IF(MonthlyStats!$T37="TRUE",MonthlyStats!G37,"")</x:f>
      </x:c>
      <x:c r="F37" s="52" t="str">
        <x:f>IF(MonthlyStats!$T37="TRUE",MonthlyStats!H37,"")</x:f>
      </x:c>
      <x:c r="G37" s="52" t="str">
        <x:f>IF(MonthlyStats!$T37="TRUE",MonthlyStats!I37,"")</x:f>
      </x:c>
      <x:c r="H37" s="52" t="str">
        <x:f>IF(MonthlyStats!$T37="TRUE",MonthlyStats!J37+MonthlyStats!K37,"")</x:f>
      </x:c>
      <x:c r="I37" s="52" t="str">
        <x:f>IF(MonthlyStats!$T37="TRUE","₹"&amp;TEXT(MonthlyStats!O37,"#,##0")&amp;" public summary; "&amp;MonthlyStats!D37&amp;" cases","")</x:f>
      </x:c>
      <x:c r="J37" s="52" t="str">
        <x:f>IF(MonthlyStats!$T37="TRUE","#","")</x:f>
      </x:c>
      <x:c r="K37" s="52" t="str">
        <x:f>IF(MonthlyStats!$T37="TRUE",MonthlyStats!S37,"")</x:f>
      </x:c>
      <x:c r="L37" s="52" t="str">
        <x:f>IF(MonthlyStats!$T37="TRUE","Formula-linked","")</x:f>
      </x:c>
    </x:row>
    <x:row r="38">
      <x:c r="A38" s="52" t="str">
        <x:f>IF(MonthlyStats!$T38="TRUE",MonthlyStats!A38,"")</x:f>
      </x:c>
      <x:c r="B38" s="52" t="str">
        <x:f>IF(MonthlyStats!$T38="TRUE",MonthlyStats!B38,"")</x:f>
      </x:c>
      <x:c r="C38" s="52" t="str">
        <x:f>IF(MonthlyStats!$T38="TRUE",MonthlyStats!E38,"")</x:f>
      </x:c>
      <x:c r="D38" s="52" t="str">
        <x:f>IF(MonthlyStats!$T38="TRUE",MonthlyStats!F38,"")</x:f>
      </x:c>
      <x:c r="E38" s="52" t="str">
        <x:f>IF(MonthlyStats!$T38="TRUE",MonthlyStats!G38,"")</x:f>
      </x:c>
      <x:c r="F38" s="52" t="str">
        <x:f>IF(MonthlyStats!$T38="TRUE",MonthlyStats!H38,"")</x:f>
      </x:c>
      <x:c r="G38" s="52" t="str">
        <x:f>IF(MonthlyStats!$T38="TRUE",MonthlyStats!I38,"")</x:f>
      </x:c>
      <x:c r="H38" s="52" t="str">
        <x:f>IF(MonthlyStats!$T38="TRUE",MonthlyStats!J38+MonthlyStats!K38,"")</x:f>
      </x:c>
      <x:c r="I38" s="52" t="str">
        <x:f>IF(MonthlyStats!$T38="TRUE","₹"&amp;TEXT(MonthlyStats!O38,"#,##0")&amp;" public summary; "&amp;MonthlyStats!D38&amp;" cases","")</x:f>
      </x:c>
      <x:c r="J38" s="52" t="str">
        <x:f>IF(MonthlyStats!$T38="TRUE","#","")</x:f>
      </x:c>
      <x:c r="K38" s="52" t="str">
        <x:f>IF(MonthlyStats!$T38="TRUE",MonthlyStats!S38,"")</x:f>
      </x:c>
      <x:c r="L38" s="52" t="str">
        <x:f>IF(MonthlyStats!$T38="TRUE","Formula-linked","")</x:f>
      </x:c>
    </x:row>
    <x:row r="39">
      <x:c r="A39" s="52" t="str">
        <x:f>IF(MonthlyStats!$T39="TRUE",MonthlyStats!A39,"")</x:f>
      </x:c>
      <x:c r="B39" s="52" t="str">
        <x:f>IF(MonthlyStats!$T39="TRUE",MonthlyStats!B39,"")</x:f>
      </x:c>
      <x:c r="C39" s="52" t="str">
        <x:f>IF(MonthlyStats!$T39="TRUE",MonthlyStats!E39,"")</x:f>
      </x:c>
      <x:c r="D39" s="52" t="str">
        <x:f>IF(MonthlyStats!$T39="TRUE",MonthlyStats!F39,"")</x:f>
      </x:c>
      <x:c r="E39" s="52" t="str">
        <x:f>IF(MonthlyStats!$T39="TRUE",MonthlyStats!G39,"")</x:f>
      </x:c>
      <x:c r="F39" s="52" t="str">
        <x:f>IF(MonthlyStats!$T39="TRUE",MonthlyStats!H39,"")</x:f>
      </x:c>
      <x:c r="G39" s="52" t="str">
        <x:f>IF(MonthlyStats!$T39="TRUE",MonthlyStats!I39,"")</x:f>
      </x:c>
      <x:c r="H39" s="52" t="str">
        <x:f>IF(MonthlyStats!$T39="TRUE",MonthlyStats!J39+MonthlyStats!K39,"")</x:f>
      </x:c>
      <x:c r="I39" s="52" t="str">
        <x:f>IF(MonthlyStats!$T39="TRUE","₹"&amp;TEXT(MonthlyStats!O39,"#,##0")&amp;" public summary; "&amp;MonthlyStats!D39&amp;" cases","")</x:f>
      </x:c>
      <x:c r="J39" s="52" t="str">
        <x:f>IF(MonthlyStats!$T39="TRUE","#","")</x:f>
      </x:c>
      <x:c r="K39" s="52" t="str">
        <x:f>IF(MonthlyStats!$T39="TRUE",MonthlyStats!S39,"")</x:f>
      </x:c>
      <x:c r="L39" s="52" t="str">
        <x:f>IF(MonthlyStats!$T39="TRUE","Formula-linked","")</x:f>
      </x:c>
    </x:row>
    <x:row r="40">
      <x:c r="A40" s="52" t="str">
        <x:f>IF(MonthlyStats!$T40="TRUE",MonthlyStats!A40,"")</x:f>
      </x:c>
      <x:c r="B40" s="52" t="str">
        <x:f>IF(MonthlyStats!$T40="TRUE",MonthlyStats!B40,"")</x:f>
      </x:c>
      <x:c r="C40" s="52" t="str">
        <x:f>IF(MonthlyStats!$T40="TRUE",MonthlyStats!E40,"")</x:f>
      </x:c>
      <x:c r="D40" s="52" t="str">
        <x:f>IF(MonthlyStats!$T40="TRUE",MonthlyStats!F40,"")</x:f>
      </x:c>
      <x:c r="E40" s="52" t="str">
        <x:f>IF(MonthlyStats!$T40="TRUE",MonthlyStats!G40,"")</x:f>
      </x:c>
      <x:c r="F40" s="52" t="str">
        <x:f>IF(MonthlyStats!$T40="TRUE",MonthlyStats!H40,"")</x:f>
      </x:c>
      <x:c r="G40" s="52" t="str">
        <x:f>IF(MonthlyStats!$T40="TRUE",MonthlyStats!I40,"")</x:f>
      </x:c>
      <x:c r="H40" s="52" t="str">
        <x:f>IF(MonthlyStats!$T40="TRUE",MonthlyStats!J40+MonthlyStats!K40,"")</x:f>
      </x:c>
      <x:c r="I40" s="52" t="str">
        <x:f>IF(MonthlyStats!$T40="TRUE","₹"&amp;TEXT(MonthlyStats!O40,"#,##0")&amp;" public summary; "&amp;MonthlyStats!D40&amp;" cases","")</x:f>
      </x:c>
      <x:c r="J40" s="52" t="str">
        <x:f>IF(MonthlyStats!$T40="TRUE","#","")</x:f>
      </x:c>
      <x:c r="K40" s="52" t="str">
        <x:f>IF(MonthlyStats!$T40="TRUE",MonthlyStats!S40,"")</x:f>
      </x:c>
      <x:c r="L40" s="52" t="str">
        <x:f>IF(MonthlyStats!$T40="TRUE","Formula-linked","")</x:f>
      </x:c>
    </x:row>
    <x:row r="41">
      <x:c r="A41" s="52" t="str">
        <x:f>IF(MonthlyStats!$T41="TRUE",MonthlyStats!A41,"")</x:f>
      </x:c>
      <x:c r="B41" s="52" t="str">
        <x:f>IF(MonthlyStats!$T41="TRUE",MonthlyStats!B41,"")</x:f>
      </x:c>
      <x:c r="C41" s="52" t="str">
        <x:f>IF(MonthlyStats!$T41="TRUE",MonthlyStats!E41,"")</x:f>
      </x:c>
      <x:c r="D41" s="52" t="str">
        <x:f>IF(MonthlyStats!$T41="TRUE",MonthlyStats!F41,"")</x:f>
      </x:c>
      <x:c r="E41" s="52" t="str">
        <x:f>IF(MonthlyStats!$T41="TRUE",MonthlyStats!G41,"")</x:f>
      </x:c>
      <x:c r="F41" s="52" t="str">
        <x:f>IF(MonthlyStats!$T41="TRUE",MonthlyStats!H41,"")</x:f>
      </x:c>
      <x:c r="G41" s="52" t="str">
        <x:f>IF(MonthlyStats!$T41="TRUE",MonthlyStats!I41,"")</x:f>
      </x:c>
      <x:c r="H41" s="52" t="str">
        <x:f>IF(MonthlyStats!$T41="TRUE",MonthlyStats!J41+MonthlyStats!K41,"")</x:f>
      </x:c>
      <x:c r="I41" s="52" t="str">
        <x:f>IF(MonthlyStats!$T41="TRUE","₹"&amp;TEXT(MonthlyStats!O41,"#,##0")&amp;" public summary; "&amp;MonthlyStats!D41&amp;" cases","")</x:f>
      </x:c>
      <x:c r="J41" s="52" t="str">
        <x:f>IF(MonthlyStats!$T41="TRUE","#","")</x:f>
      </x:c>
      <x:c r="K41" s="52" t="str">
        <x:f>IF(MonthlyStats!$T41="TRUE",MonthlyStats!S41,"")</x:f>
      </x:c>
      <x:c r="L41" s="52" t="str">
        <x:f>IF(MonthlyStats!$T41="TRUE","Formula-linked","")</x:f>
      </x:c>
    </x:row>
    <x:row r="42">
      <x:c r="A42" s="52" t="str">
        <x:f>IF(MonthlyStats!$T42="TRUE",MonthlyStats!A42,"")</x:f>
      </x:c>
      <x:c r="B42" s="52" t="str">
        <x:f>IF(MonthlyStats!$T42="TRUE",MonthlyStats!B42,"")</x:f>
      </x:c>
      <x:c r="C42" s="52" t="str">
        <x:f>IF(MonthlyStats!$T42="TRUE",MonthlyStats!E42,"")</x:f>
      </x:c>
      <x:c r="D42" s="52" t="str">
        <x:f>IF(MonthlyStats!$T42="TRUE",MonthlyStats!F42,"")</x:f>
      </x:c>
      <x:c r="E42" s="52" t="str">
        <x:f>IF(MonthlyStats!$T42="TRUE",MonthlyStats!G42,"")</x:f>
      </x:c>
      <x:c r="F42" s="52" t="str">
        <x:f>IF(MonthlyStats!$T42="TRUE",MonthlyStats!H42,"")</x:f>
      </x:c>
      <x:c r="G42" s="52" t="str">
        <x:f>IF(MonthlyStats!$T42="TRUE",MonthlyStats!I42,"")</x:f>
      </x:c>
      <x:c r="H42" s="52" t="str">
        <x:f>IF(MonthlyStats!$T42="TRUE",MonthlyStats!J42+MonthlyStats!K42,"")</x:f>
      </x:c>
      <x:c r="I42" s="52" t="str">
        <x:f>IF(MonthlyStats!$T42="TRUE","₹"&amp;TEXT(MonthlyStats!O42,"#,##0")&amp;" public summary; "&amp;MonthlyStats!D42&amp;" cases","")</x:f>
      </x:c>
      <x:c r="J42" s="52" t="str">
        <x:f>IF(MonthlyStats!$T42="TRUE","#","")</x:f>
      </x:c>
      <x:c r="K42" s="52" t="str">
        <x:f>IF(MonthlyStats!$T42="TRUE",MonthlyStats!S42,"")</x:f>
      </x:c>
      <x:c r="L42" s="52" t="str">
        <x:f>IF(MonthlyStats!$T42="TRUE","Formula-linked","")</x:f>
      </x:c>
    </x:row>
    <x:row r="43">
      <x:c r="A43" s="52" t="str">
        <x:f>IF(MonthlyStats!$T43="TRUE",MonthlyStats!A43,"")</x:f>
      </x:c>
      <x:c r="B43" s="52" t="str">
        <x:f>IF(MonthlyStats!$T43="TRUE",MonthlyStats!B43,"")</x:f>
      </x:c>
      <x:c r="C43" s="52" t="str">
        <x:f>IF(MonthlyStats!$T43="TRUE",MonthlyStats!E43,"")</x:f>
      </x:c>
      <x:c r="D43" s="52" t="str">
        <x:f>IF(MonthlyStats!$T43="TRUE",MonthlyStats!F43,"")</x:f>
      </x:c>
      <x:c r="E43" s="52" t="str">
        <x:f>IF(MonthlyStats!$T43="TRUE",MonthlyStats!G43,"")</x:f>
      </x:c>
      <x:c r="F43" s="52" t="str">
        <x:f>IF(MonthlyStats!$T43="TRUE",MonthlyStats!H43,"")</x:f>
      </x:c>
      <x:c r="G43" s="52" t="str">
        <x:f>IF(MonthlyStats!$T43="TRUE",MonthlyStats!I43,"")</x:f>
      </x:c>
      <x:c r="H43" s="52" t="str">
        <x:f>IF(MonthlyStats!$T43="TRUE",MonthlyStats!J43+MonthlyStats!K43,"")</x:f>
      </x:c>
      <x:c r="I43" s="52" t="str">
        <x:f>IF(MonthlyStats!$T43="TRUE","₹"&amp;TEXT(MonthlyStats!O43,"#,##0")&amp;" public summary; "&amp;MonthlyStats!D43&amp;" cases","")</x:f>
      </x:c>
      <x:c r="J43" s="52" t="str">
        <x:f>IF(MonthlyStats!$T43="TRUE","#","")</x:f>
      </x:c>
      <x:c r="K43" s="52" t="str">
        <x:f>IF(MonthlyStats!$T43="TRUE",MonthlyStats!S43,"")</x:f>
      </x:c>
      <x:c r="L43" s="52" t="str">
        <x:f>IF(MonthlyStats!$T43="TRUE","Formula-linked","")</x:f>
      </x:c>
    </x:row>
    <x:row r="44">
      <x:c r="A44" s="52" t="str">
        <x:f>IF(MonthlyStats!$T44="TRUE",MonthlyStats!A44,"")</x:f>
      </x:c>
      <x:c r="B44" s="52" t="str">
        <x:f>IF(MonthlyStats!$T44="TRUE",MonthlyStats!B44,"")</x:f>
      </x:c>
      <x:c r="C44" s="52" t="str">
        <x:f>IF(MonthlyStats!$T44="TRUE",MonthlyStats!E44,"")</x:f>
      </x:c>
      <x:c r="D44" s="52" t="str">
        <x:f>IF(MonthlyStats!$T44="TRUE",MonthlyStats!F44,"")</x:f>
      </x:c>
      <x:c r="E44" s="52" t="str">
        <x:f>IF(MonthlyStats!$T44="TRUE",MonthlyStats!G44,"")</x:f>
      </x:c>
      <x:c r="F44" s="52" t="str">
        <x:f>IF(MonthlyStats!$T44="TRUE",MonthlyStats!H44,"")</x:f>
      </x:c>
      <x:c r="G44" s="52" t="str">
        <x:f>IF(MonthlyStats!$T44="TRUE",MonthlyStats!I44,"")</x:f>
      </x:c>
      <x:c r="H44" s="52" t="str">
        <x:f>IF(MonthlyStats!$T44="TRUE",MonthlyStats!J44+MonthlyStats!K44,"")</x:f>
      </x:c>
      <x:c r="I44" s="52" t="str">
        <x:f>IF(MonthlyStats!$T44="TRUE","₹"&amp;TEXT(MonthlyStats!O44,"#,##0")&amp;" public summary; "&amp;MonthlyStats!D44&amp;" cases","")</x:f>
      </x:c>
      <x:c r="J44" s="52" t="str">
        <x:f>IF(MonthlyStats!$T44="TRUE","#","")</x:f>
      </x:c>
      <x:c r="K44" s="52" t="str">
        <x:f>IF(MonthlyStats!$T44="TRUE",MonthlyStats!S44,"")</x:f>
      </x:c>
      <x:c r="L44" s="52" t="str">
        <x:f>IF(MonthlyStats!$T44="TRUE","Formula-linked","")</x:f>
      </x:c>
    </x:row>
    <x:row r="45">
      <x:c r="A45" s="52" t="str">
        <x:f>IF(MonthlyStats!$T45="TRUE",MonthlyStats!A45,"")</x:f>
      </x:c>
      <x:c r="B45" s="52" t="str">
        <x:f>IF(MonthlyStats!$T45="TRUE",MonthlyStats!B45,"")</x:f>
      </x:c>
      <x:c r="C45" s="52" t="str">
        <x:f>IF(MonthlyStats!$T45="TRUE",MonthlyStats!E45,"")</x:f>
      </x:c>
      <x:c r="D45" s="52" t="str">
        <x:f>IF(MonthlyStats!$T45="TRUE",MonthlyStats!F45,"")</x:f>
      </x:c>
      <x:c r="E45" s="52" t="str">
        <x:f>IF(MonthlyStats!$T45="TRUE",MonthlyStats!G45,"")</x:f>
      </x:c>
      <x:c r="F45" s="52" t="str">
        <x:f>IF(MonthlyStats!$T45="TRUE",MonthlyStats!H45,"")</x:f>
      </x:c>
      <x:c r="G45" s="52" t="str">
        <x:f>IF(MonthlyStats!$T45="TRUE",MonthlyStats!I45,"")</x:f>
      </x:c>
      <x:c r="H45" s="52" t="str">
        <x:f>IF(MonthlyStats!$T45="TRUE",MonthlyStats!J45+MonthlyStats!K45,"")</x:f>
      </x:c>
      <x:c r="I45" s="52" t="str">
        <x:f>IF(MonthlyStats!$T45="TRUE","₹"&amp;TEXT(MonthlyStats!O45,"#,##0")&amp;" public summary; "&amp;MonthlyStats!D45&amp;" cases","")</x:f>
      </x:c>
      <x:c r="J45" s="52" t="str">
        <x:f>IF(MonthlyStats!$T45="TRUE","#","")</x:f>
      </x:c>
      <x:c r="K45" s="52" t="str">
        <x:f>IF(MonthlyStats!$T45="TRUE",MonthlyStats!S45,"")</x:f>
      </x:c>
      <x:c r="L45" s="52" t="str">
        <x:f>IF(MonthlyStats!$T45="TRUE","Formula-linked","")</x:f>
      </x:c>
    </x:row>
    <x:row r="46">
      <x:c r="A46" s="52" t="str">
        <x:f>IF(MonthlyStats!$T46="TRUE",MonthlyStats!A46,"")</x:f>
      </x:c>
      <x:c r="B46" s="52" t="str">
        <x:f>IF(MonthlyStats!$T46="TRUE",MonthlyStats!B46,"")</x:f>
      </x:c>
      <x:c r="C46" s="52" t="str">
        <x:f>IF(MonthlyStats!$T46="TRUE",MonthlyStats!E46,"")</x:f>
      </x:c>
      <x:c r="D46" s="52" t="str">
        <x:f>IF(MonthlyStats!$T46="TRUE",MonthlyStats!F46,"")</x:f>
      </x:c>
      <x:c r="E46" s="52" t="str">
        <x:f>IF(MonthlyStats!$T46="TRUE",MonthlyStats!G46,"")</x:f>
      </x:c>
      <x:c r="F46" s="52" t="str">
        <x:f>IF(MonthlyStats!$T46="TRUE",MonthlyStats!H46,"")</x:f>
      </x:c>
      <x:c r="G46" s="52" t="str">
        <x:f>IF(MonthlyStats!$T46="TRUE",MonthlyStats!I46,"")</x:f>
      </x:c>
      <x:c r="H46" s="52" t="str">
        <x:f>IF(MonthlyStats!$T46="TRUE",MonthlyStats!J46+MonthlyStats!K46,"")</x:f>
      </x:c>
      <x:c r="I46" s="52" t="str">
        <x:f>IF(MonthlyStats!$T46="TRUE","₹"&amp;TEXT(MonthlyStats!O46,"#,##0")&amp;" public summary; "&amp;MonthlyStats!D46&amp;" cases","")</x:f>
      </x:c>
      <x:c r="J46" s="52" t="str">
        <x:f>IF(MonthlyStats!$T46="TRUE","#","")</x:f>
      </x:c>
      <x:c r="K46" s="52" t="str">
        <x:f>IF(MonthlyStats!$T46="TRUE",MonthlyStats!S46,"")</x:f>
      </x:c>
      <x:c r="L46" s="52" t="str">
        <x:f>IF(MonthlyStats!$T46="TRUE","Formula-linked","")</x:f>
      </x:c>
    </x:row>
    <x:row r="47">
      <x:c r="A47" s="52" t="str">
        <x:f>IF(MonthlyStats!$T47="TRUE",MonthlyStats!A47,"")</x:f>
      </x:c>
      <x:c r="B47" s="52" t="str">
        <x:f>IF(MonthlyStats!$T47="TRUE",MonthlyStats!B47,"")</x:f>
      </x:c>
      <x:c r="C47" s="52" t="str">
        <x:f>IF(MonthlyStats!$T47="TRUE",MonthlyStats!E47,"")</x:f>
      </x:c>
      <x:c r="D47" s="52" t="str">
        <x:f>IF(MonthlyStats!$T47="TRUE",MonthlyStats!F47,"")</x:f>
      </x:c>
      <x:c r="E47" s="52" t="str">
        <x:f>IF(MonthlyStats!$T47="TRUE",MonthlyStats!G47,"")</x:f>
      </x:c>
      <x:c r="F47" s="52" t="str">
        <x:f>IF(MonthlyStats!$T47="TRUE",MonthlyStats!H47,"")</x:f>
      </x:c>
      <x:c r="G47" s="52" t="str">
        <x:f>IF(MonthlyStats!$T47="TRUE",MonthlyStats!I47,"")</x:f>
      </x:c>
      <x:c r="H47" s="52" t="str">
        <x:f>IF(MonthlyStats!$T47="TRUE",MonthlyStats!J47+MonthlyStats!K47,"")</x:f>
      </x:c>
      <x:c r="I47" s="52" t="str">
        <x:f>IF(MonthlyStats!$T47="TRUE","₹"&amp;TEXT(MonthlyStats!O47,"#,##0")&amp;" public summary; "&amp;MonthlyStats!D47&amp;" cases","")</x:f>
      </x:c>
      <x:c r="J47" s="52" t="str">
        <x:f>IF(MonthlyStats!$T47="TRUE","#","")</x:f>
      </x:c>
      <x:c r="K47" s="52" t="str">
        <x:f>IF(MonthlyStats!$T47="TRUE",MonthlyStats!S47,"")</x:f>
      </x:c>
      <x:c r="L47" s="52" t="str">
        <x:f>IF(MonthlyStats!$T47="TRUE","Formula-linked","")</x:f>
      </x:c>
    </x:row>
    <x:row r="48">
      <x:c r="A48" s="52" t="str">
        <x:f>IF(MonthlyStats!$T48="TRUE",MonthlyStats!A48,"")</x:f>
      </x:c>
      <x:c r="B48" s="52" t="str">
        <x:f>IF(MonthlyStats!$T48="TRUE",MonthlyStats!B48,"")</x:f>
      </x:c>
      <x:c r="C48" s="52" t="str">
        <x:f>IF(MonthlyStats!$T48="TRUE",MonthlyStats!E48,"")</x:f>
      </x:c>
      <x:c r="D48" s="52" t="str">
        <x:f>IF(MonthlyStats!$T48="TRUE",MonthlyStats!F48,"")</x:f>
      </x:c>
      <x:c r="E48" s="52" t="str">
        <x:f>IF(MonthlyStats!$T48="TRUE",MonthlyStats!G48,"")</x:f>
      </x:c>
      <x:c r="F48" s="52" t="str">
        <x:f>IF(MonthlyStats!$T48="TRUE",MonthlyStats!H48,"")</x:f>
      </x:c>
      <x:c r="G48" s="52" t="str">
        <x:f>IF(MonthlyStats!$T48="TRUE",MonthlyStats!I48,"")</x:f>
      </x:c>
      <x:c r="H48" s="52" t="str">
        <x:f>IF(MonthlyStats!$T48="TRUE",MonthlyStats!J48+MonthlyStats!K48,"")</x:f>
      </x:c>
      <x:c r="I48" s="52" t="str">
        <x:f>IF(MonthlyStats!$T48="TRUE","₹"&amp;TEXT(MonthlyStats!O48,"#,##0")&amp;" public summary; "&amp;MonthlyStats!D48&amp;" cases","")</x:f>
      </x:c>
      <x:c r="J48" s="52" t="str">
        <x:f>IF(MonthlyStats!$T48="TRUE","#","")</x:f>
      </x:c>
      <x:c r="K48" s="52" t="str">
        <x:f>IF(MonthlyStats!$T48="TRUE",MonthlyStats!S48,"")</x:f>
      </x:c>
      <x:c r="L48" s="52" t="str">
        <x:f>IF(MonthlyStats!$T48="TRUE","Formula-linked","")</x:f>
      </x:c>
    </x:row>
    <x:row r="49">
      <x:c r="A49" s="52" t="str">
        <x:f>IF(MonthlyStats!$T49="TRUE",MonthlyStats!A49,"")</x:f>
      </x:c>
      <x:c r="B49" s="52" t="str">
        <x:f>IF(MonthlyStats!$T49="TRUE",MonthlyStats!B49,"")</x:f>
      </x:c>
      <x:c r="C49" s="52" t="str">
        <x:f>IF(MonthlyStats!$T49="TRUE",MonthlyStats!E49,"")</x:f>
      </x:c>
      <x:c r="D49" s="52" t="str">
        <x:f>IF(MonthlyStats!$T49="TRUE",MonthlyStats!F49,"")</x:f>
      </x:c>
      <x:c r="E49" s="52" t="str">
        <x:f>IF(MonthlyStats!$T49="TRUE",MonthlyStats!G49,"")</x:f>
      </x:c>
      <x:c r="F49" s="52" t="str">
        <x:f>IF(MonthlyStats!$T49="TRUE",MonthlyStats!H49,"")</x:f>
      </x:c>
      <x:c r="G49" s="52" t="str">
        <x:f>IF(MonthlyStats!$T49="TRUE",MonthlyStats!I49,"")</x:f>
      </x:c>
      <x:c r="H49" s="52" t="str">
        <x:f>IF(MonthlyStats!$T49="TRUE",MonthlyStats!J49+MonthlyStats!K49,"")</x:f>
      </x:c>
      <x:c r="I49" s="52" t="str">
        <x:f>IF(MonthlyStats!$T49="TRUE","₹"&amp;TEXT(MonthlyStats!O49,"#,##0")&amp;" public summary; "&amp;MonthlyStats!D49&amp;" cases","")</x:f>
      </x:c>
      <x:c r="J49" s="52" t="str">
        <x:f>IF(MonthlyStats!$T49="TRUE","#","")</x:f>
      </x:c>
      <x:c r="K49" s="52" t="str">
        <x:f>IF(MonthlyStats!$T49="TRUE",MonthlyStats!S49,"")</x:f>
      </x:c>
      <x:c r="L49" s="52" t="str">
        <x:f>IF(MonthlyStats!$T49="TRUE","Formula-linked","")</x:f>
      </x:c>
    </x:row>
    <x:row r="50">
      <x:c r="A50" s="52" t="str">
        <x:f>IF(MonthlyStats!$T50="TRUE",MonthlyStats!A50,"")</x:f>
      </x:c>
      <x:c r="B50" s="52" t="str">
        <x:f>IF(MonthlyStats!$T50="TRUE",MonthlyStats!B50,"")</x:f>
      </x:c>
      <x:c r="C50" s="52" t="str">
        <x:f>IF(MonthlyStats!$T50="TRUE",MonthlyStats!E50,"")</x:f>
      </x:c>
      <x:c r="D50" s="52" t="str">
        <x:f>IF(MonthlyStats!$T50="TRUE",MonthlyStats!F50,"")</x:f>
      </x:c>
      <x:c r="E50" s="52" t="str">
        <x:f>IF(MonthlyStats!$T50="TRUE",MonthlyStats!G50,"")</x:f>
      </x:c>
      <x:c r="F50" s="52" t="str">
        <x:f>IF(MonthlyStats!$T50="TRUE",MonthlyStats!H50,"")</x:f>
      </x:c>
      <x:c r="G50" s="52" t="str">
        <x:f>IF(MonthlyStats!$T50="TRUE",MonthlyStats!I50,"")</x:f>
      </x:c>
      <x:c r="H50" s="52" t="str">
        <x:f>IF(MonthlyStats!$T50="TRUE",MonthlyStats!J50+MonthlyStats!K50,"")</x:f>
      </x:c>
      <x:c r="I50" s="52" t="str">
        <x:f>IF(MonthlyStats!$T50="TRUE","₹"&amp;TEXT(MonthlyStats!O50,"#,##0")&amp;" public summary; "&amp;MonthlyStats!D50&amp;" cases","")</x:f>
      </x:c>
      <x:c r="J50" s="52" t="str">
        <x:f>IF(MonthlyStats!$T50="TRUE","#","")</x:f>
      </x:c>
      <x:c r="K50" s="52" t="str">
        <x:f>IF(MonthlyStats!$T50="TRUE",MonthlyStats!S50,"")</x:f>
      </x:c>
      <x:c r="L50" s="52" t="str">
        <x:f>IF(MonthlyStats!$T50="TRUE","Formula-linked","")</x:f>
      </x:c>
    </x:row>
    <x:row r="51">
      <x:c r="A51" s="52" t="str">
        <x:f>IF(MonthlyStats!$T51="TRUE",MonthlyStats!A51,"")</x:f>
      </x:c>
      <x:c r="B51" s="52" t="str">
        <x:f>IF(MonthlyStats!$T51="TRUE",MonthlyStats!B51,"")</x:f>
      </x:c>
      <x:c r="C51" s="52" t="str">
        <x:f>IF(MonthlyStats!$T51="TRUE",MonthlyStats!E51,"")</x:f>
      </x:c>
      <x:c r="D51" s="52" t="str">
        <x:f>IF(MonthlyStats!$T51="TRUE",MonthlyStats!F51,"")</x:f>
      </x:c>
      <x:c r="E51" s="52" t="str">
        <x:f>IF(MonthlyStats!$T51="TRUE",MonthlyStats!G51,"")</x:f>
      </x:c>
      <x:c r="F51" s="52" t="str">
        <x:f>IF(MonthlyStats!$T51="TRUE",MonthlyStats!H51,"")</x:f>
      </x:c>
      <x:c r="G51" s="52" t="str">
        <x:f>IF(MonthlyStats!$T51="TRUE",MonthlyStats!I51,"")</x:f>
      </x:c>
      <x:c r="H51" s="52" t="str">
        <x:f>IF(MonthlyStats!$T51="TRUE",MonthlyStats!J51+MonthlyStats!K51,"")</x:f>
      </x:c>
      <x:c r="I51" s="52" t="str">
        <x:f>IF(MonthlyStats!$T51="TRUE","₹"&amp;TEXT(MonthlyStats!O51,"#,##0")&amp;" public summary; "&amp;MonthlyStats!D51&amp;" cases","")</x:f>
      </x:c>
      <x:c r="J51" s="52" t="str">
        <x:f>IF(MonthlyStats!$T51="TRUE","#","")</x:f>
      </x:c>
      <x:c r="K51" s="52" t="str">
        <x:f>IF(MonthlyStats!$T51="TRUE",MonthlyStats!S51,"")</x:f>
      </x:c>
      <x:c r="L51" s="52" t="str">
        <x:f>IF(MonthlyStats!$T51="TRUE","Formula-linked","")</x:f>
      </x:c>
    </x:row>
    <x:row r="52">
      <x:c r="A52" s="52" t="str">
        <x:f>IF(MonthlyStats!$T52="TRUE",MonthlyStats!A52,"")</x:f>
      </x:c>
      <x:c r="B52" s="52" t="str">
        <x:f>IF(MonthlyStats!$T52="TRUE",MonthlyStats!B52,"")</x:f>
      </x:c>
      <x:c r="C52" s="52" t="str">
        <x:f>IF(MonthlyStats!$T52="TRUE",MonthlyStats!E52,"")</x:f>
      </x:c>
      <x:c r="D52" s="52" t="str">
        <x:f>IF(MonthlyStats!$T52="TRUE",MonthlyStats!F52,"")</x:f>
      </x:c>
      <x:c r="E52" s="52" t="str">
        <x:f>IF(MonthlyStats!$T52="TRUE",MonthlyStats!G52,"")</x:f>
      </x:c>
      <x:c r="F52" s="52" t="str">
        <x:f>IF(MonthlyStats!$T52="TRUE",MonthlyStats!H52,"")</x:f>
      </x:c>
      <x:c r="G52" s="52" t="str">
        <x:f>IF(MonthlyStats!$T52="TRUE",MonthlyStats!I52,"")</x:f>
      </x:c>
      <x:c r="H52" s="52" t="str">
        <x:f>IF(MonthlyStats!$T52="TRUE",MonthlyStats!J52+MonthlyStats!K52,"")</x:f>
      </x:c>
      <x:c r="I52" s="52" t="str">
        <x:f>IF(MonthlyStats!$T52="TRUE","₹"&amp;TEXT(MonthlyStats!O52,"#,##0")&amp;" public summary; "&amp;MonthlyStats!D52&amp;" cases","")</x:f>
      </x:c>
      <x:c r="J52" s="52" t="str">
        <x:f>IF(MonthlyStats!$T52="TRUE","#","")</x:f>
      </x:c>
      <x:c r="K52" s="52" t="str">
        <x:f>IF(MonthlyStats!$T52="TRUE",MonthlyStats!S52,"")</x:f>
      </x:c>
      <x:c r="L52" s="52" t="str">
        <x:f>IF(MonthlyStats!$T52="TRUE","Formula-linked","")</x:f>
      </x:c>
    </x:row>
    <x:row r="53">
      <x:c r="A53" s="52" t="str">
        <x:f>IF(MonthlyStats!$T53="TRUE",MonthlyStats!A53,"")</x:f>
      </x:c>
      <x:c r="B53" s="52" t="str">
        <x:f>IF(MonthlyStats!$T53="TRUE",MonthlyStats!B53,"")</x:f>
      </x:c>
      <x:c r="C53" s="52" t="str">
        <x:f>IF(MonthlyStats!$T53="TRUE",MonthlyStats!E53,"")</x:f>
      </x:c>
      <x:c r="D53" s="52" t="str">
        <x:f>IF(MonthlyStats!$T53="TRUE",MonthlyStats!F53,"")</x:f>
      </x:c>
      <x:c r="E53" s="52" t="str">
        <x:f>IF(MonthlyStats!$T53="TRUE",MonthlyStats!G53,"")</x:f>
      </x:c>
      <x:c r="F53" s="52" t="str">
        <x:f>IF(MonthlyStats!$T53="TRUE",MonthlyStats!H53,"")</x:f>
      </x:c>
      <x:c r="G53" s="52" t="str">
        <x:f>IF(MonthlyStats!$T53="TRUE",MonthlyStats!I53,"")</x:f>
      </x:c>
      <x:c r="H53" s="52" t="str">
        <x:f>IF(MonthlyStats!$T53="TRUE",MonthlyStats!J53+MonthlyStats!K53,"")</x:f>
      </x:c>
      <x:c r="I53" s="52" t="str">
        <x:f>IF(MonthlyStats!$T53="TRUE","₹"&amp;TEXT(MonthlyStats!O53,"#,##0")&amp;" public summary; "&amp;MonthlyStats!D53&amp;" cases","")</x:f>
      </x:c>
      <x:c r="J53" s="52" t="str">
        <x:f>IF(MonthlyStats!$T53="TRUE","#","")</x:f>
      </x:c>
      <x:c r="K53" s="52" t="str">
        <x:f>IF(MonthlyStats!$T53="TRUE",MonthlyStats!S53,"")</x:f>
      </x:c>
      <x:c r="L53" s="52" t="str">
        <x:f>IF(MonthlyStats!$T53="TRUE","Formula-linked","")</x:f>
      </x:c>
    </x:row>
    <x:row r="54">
      <x:c r="A54" s="52" t="str">
        <x:f>IF(MonthlyStats!$T54="TRUE",MonthlyStats!A54,"")</x:f>
      </x:c>
      <x:c r="B54" s="52" t="str">
        <x:f>IF(MonthlyStats!$T54="TRUE",MonthlyStats!B54,"")</x:f>
      </x:c>
      <x:c r="C54" s="52" t="str">
        <x:f>IF(MonthlyStats!$T54="TRUE",MonthlyStats!E54,"")</x:f>
      </x:c>
      <x:c r="D54" s="52" t="str">
        <x:f>IF(MonthlyStats!$T54="TRUE",MonthlyStats!F54,"")</x:f>
      </x:c>
      <x:c r="E54" s="52" t="str">
        <x:f>IF(MonthlyStats!$T54="TRUE",MonthlyStats!G54,"")</x:f>
      </x:c>
      <x:c r="F54" s="52" t="str">
        <x:f>IF(MonthlyStats!$T54="TRUE",MonthlyStats!H54,"")</x:f>
      </x:c>
      <x:c r="G54" s="52" t="str">
        <x:f>IF(MonthlyStats!$T54="TRUE",MonthlyStats!I54,"")</x:f>
      </x:c>
      <x:c r="H54" s="52" t="str">
        <x:f>IF(MonthlyStats!$T54="TRUE",MonthlyStats!J54+MonthlyStats!K54,"")</x:f>
      </x:c>
      <x:c r="I54" s="52" t="str">
        <x:f>IF(MonthlyStats!$T54="TRUE","₹"&amp;TEXT(MonthlyStats!O54,"#,##0")&amp;" public summary; "&amp;MonthlyStats!D54&amp;" cases","")</x:f>
      </x:c>
      <x:c r="J54" s="52" t="str">
        <x:f>IF(MonthlyStats!$T54="TRUE","#","")</x:f>
      </x:c>
      <x:c r="K54" s="52" t="str">
        <x:f>IF(MonthlyStats!$T54="TRUE",MonthlyStats!S54,"")</x:f>
      </x:c>
      <x:c r="L54" s="52" t="str">
        <x:f>IF(MonthlyStats!$T54="TRUE","Formula-linked","")</x:f>
      </x:c>
    </x:row>
    <x:row r="55">
      <x:c r="A55" s="52" t="str">
        <x:f>IF(MonthlyStats!$T55="TRUE",MonthlyStats!A55,"")</x:f>
      </x:c>
      <x:c r="B55" s="52" t="str">
        <x:f>IF(MonthlyStats!$T55="TRUE",MonthlyStats!B55,"")</x:f>
      </x:c>
      <x:c r="C55" s="52" t="str">
        <x:f>IF(MonthlyStats!$T55="TRUE",MonthlyStats!E55,"")</x:f>
      </x:c>
      <x:c r="D55" s="52" t="str">
        <x:f>IF(MonthlyStats!$T55="TRUE",MonthlyStats!F55,"")</x:f>
      </x:c>
      <x:c r="E55" s="52" t="str">
        <x:f>IF(MonthlyStats!$T55="TRUE",MonthlyStats!G55,"")</x:f>
      </x:c>
      <x:c r="F55" s="52" t="str">
        <x:f>IF(MonthlyStats!$T55="TRUE",MonthlyStats!H55,"")</x:f>
      </x:c>
      <x:c r="G55" s="52" t="str">
        <x:f>IF(MonthlyStats!$T55="TRUE",MonthlyStats!I55,"")</x:f>
      </x:c>
      <x:c r="H55" s="52" t="str">
        <x:f>IF(MonthlyStats!$T55="TRUE",MonthlyStats!J55+MonthlyStats!K55,"")</x:f>
      </x:c>
      <x:c r="I55" s="52" t="str">
        <x:f>IF(MonthlyStats!$T55="TRUE","₹"&amp;TEXT(MonthlyStats!O55,"#,##0")&amp;" public summary; "&amp;MonthlyStats!D55&amp;" cases","")</x:f>
      </x:c>
      <x:c r="J55" s="52" t="str">
        <x:f>IF(MonthlyStats!$T55="TRUE","#","")</x:f>
      </x:c>
      <x:c r="K55" s="52" t="str">
        <x:f>IF(MonthlyStats!$T55="TRUE",MonthlyStats!S55,"")</x:f>
      </x:c>
      <x:c r="L55" s="52" t="str">
        <x:f>IF(MonthlyStats!$T55="TRUE","Formula-linked","")</x:f>
      </x:c>
    </x:row>
    <x:row r="56">
      <x:c r="A56" s="52" t="str">
        <x:f>IF(MonthlyStats!$T56="TRUE",MonthlyStats!A56,"")</x:f>
      </x:c>
      <x:c r="B56" s="52" t="str">
        <x:f>IF(MonthlyStats!$T56="TRUE",MonthlyStats!B56,"")</x:f>
      </x:c>
      <x:c r="C56" s="52" t="str">
        <x:f>IF(MonthlyStats!$T56="TRUE",MonthlyStats!E56,"")</x:f>
      </x:c>
      <x:c r="D56" s="52" t="str">
        <x:f>IF(MonthlyStats!$T56="TRUE",MonthlyStats!F56,"")</x:f>
      </x:c>
      <x:c r="E56" s="52" t="str">
        <x:f>IF(MonthlyStats!$T56="TRUE",MonthlyStats!G56,"")</x:f>
      </x:c>
      <x:c r="F56" s="52" t="str">
        <x:f>IF(MonthlyStats!$T56="TRUE",MonthlyStats!H56,"")</x:f>
      </x:c>
      <x:c r="G56" s="52" t="str">
        <x:f>IF(MonthlyStats!$T56="TRUE",MonthlyStats!I56,"")</x:f>
      </x:c>
      <x:c r="H56" s="52" t="str">
        <x:f>IF(MonthlyStats!$T56="TRUE",MonthlyStats!J56+MonthlyStats!K56,"")</x:f>
      </x:c>
      <x:c r="I56" s="52" t="str">
        <x:f>IF(MonthlyStats!$T56="TRUE","₹"&amp;TEXT(MonthlyStats!O56,"#,##0")&amp;" public summary; "&amp;MonthlyStats!D56&amp;" cases","")</x:f>
      </x:c>
      <x:c r="J56" s="52" t="str">
        <x:f>IF(MonthlyStats!$T56="TRUE","#","")</x:f>
      </x:c>
      <x:c r="K56" s="52" t="str">
        <x:f>IF(MonthlyStats!$T56="TRUE",MonthlyStats!S56,"")</x:f>
      </x:c>
      <x:c r="L56" s="52" t="str">
        <x:f>IF(MonthlyStats!$T56="TRUE","Formula-linked","")</x:f>
      </x:c>
    </x:row>
    <x:row r="57">
      <x:c r="A57" s="52" t="str">
        <x:f>IF(MonthlyStats!$T57="TRUE",MonthlyStats!A57,"")</x:f>
      </x:c>
      <x:c r="B57" s="52" t="str">
        <x:f>IF(MonthlyStats!$T57="TRUE",MonthlyStats!B57,"")</x:f>
      </x:c>
      <x:c r="C57" s="52" t="str">
        <x:f>IF(MonthlyStats!$T57="TRUE",MonthlyStats!E57,"")</x:f>
      </x:c>
      <x:c r="D57" s="52" t="str">
        <x:f>IF(MonthlyStats!$T57="TRUE",MonthlyStats!F57,"")</x:f>
      </x:c>
      <x:c r="E57" s="52" t="str">
        <x:f>IF(MonthlyStats!$T57="TRUE",MonthlyStats!G57,"")</x:f>
      </x:c>
      <x:c r="F57" s="52" t="str">
        <x:f>IF(MonthlyStats!$T57="TRUE",MonthlyStats!H57,"")</x:f>
      </x:c>
      <x:c r="G57" s="52" t="str">
        <x:f>IF(MonthlyStats!$T57="TRUE",MonthlyStats!I57,"")</x:f>
      </x:c>
      <x:c r="H57" s="52" t="str">
        <x:f>IF(MonthlyStats!$T57="TRUE",MonthlyStats!J57+MonthlyStats!K57,"")</x:f>
      </x:c>
      <x:c r="I57" s="52" t="str">
        <x:f>IF(MonthlyStats!$T57="TRUE","₹"&amp;TEXT(MonthlyStats!O57,"#,##0")&amp;" public summary; "&amp;MonthlyStats!D57&amp;" cases","")</x:f>
      </x:c>
      <x:c r="J57" s="52" t="str">
        <x:f>IF(MonthlyStats!$T57="TRUE","#","")</x:f>
      </x:c>
      <x:c r="K57" s="52" t="str">
        <x:f>IF(MonthlyStats!$T57="TRUE",MonthlyStats!S57,"")</x:f>
      </x:c>
      <x:c r="L57" s="52" t="str">
        <x:f>IF(MonthlyStats!$T57="TRUE","Formula-linked","")</x:f>
      </x:c>
    </x:row>
    <x:row r="58">
      <x:c r="A58" s="52" t="str">
        <x:f>IF(MonthlyStats!$T58="TRUE",MonthlyStats!A58,"")</x:f>
      </x:c>
      <x:c r="B58" s="52" t="str">
        <x:f>IF(MonthlyStats!$T58="TRUE",MonthlyStats!B58,"")</x:f>
      </x:c>
      <x:c r="C58" s="52" t="str">
        <x:f>IF(MonthlyStats!$T58="TRUE",MonthlyStats!E58,"")</x:f>
      </x:c>
      <x:c r="D58" s="52" t="str">
        <x:f>IF(MonthlyStats!$T58="TRUE",MonthlyStats!F58,"")</x:f>
      </x:c>
      <x:c r="E58" s="52" t="str">
        <x:f>IF(MonthlyStats!$T58="TRUE",MonthlyStats!G58,"")</x:f>
      </x:c>
      <x:c r="F58" s="52" t="str">
        <x:f>IF(MonthlyStats!$T58="TRUE",MonthlyStats!H58,"")</x:f>
      </x:c>
      <x:c r="G58" s="52" t="str">
        <x:f>IF(MonthlyStats!$T58="TRUE",MonthlyStats!I58,"")</x:f>
      </x:c>
      <x:c r="H58" s="52" t="str">
        <x:f>IF(MonthlyStats!$T58="TRUE",MonthlyStats!J58+MonthlyStats!K58,"")</x:f>
      </x:c>
      <x:c r="I58" s="52" t="str">
        <x:f>IF(MonthlyStats!$T58="TRUE","₹"&amp;TEXT(MonthlyStats!O58,"#,##0")&amp;" public summary; "&amp;MonthlyStats!D58&amp;" cases","")</x:f>
      </x:c>
      <x:c r="J58" s="52" t="str">
        <x:f>IF(MonthlyStats!$T58="TRUE","#","")</x:f>
      </x:c>
      <x:c r="K58" s="52" t="str">
        <x:f>IF(MonthlyStats!$T58="TRUE",MonthlyStats!S58,"")</x:f>
      </x:c>
      <x:c r="L58" s="52" t="str">
        <x:f>IF(MonthlyStats!$T58="TRUE","Formula-linked","")</x:f>
      </x:c>
    </x:row>
    <x:row r="59">
      <x:c r="A59" s="52" t="str">
        <x:f>IF(MonthlyStats!$T59="TRUE",MonthlyStats!A59,"")</x:f>
      </x:c>
      <x:c r="B59" s="52" t="str">
        <x:f>IF(MonthlyStats!$T59="TRUE",MonthlyStats!B59,"")</x:f>
      </x:c>
      <x:c r="C59" s="52" t="str">
        <x:f>IF(MonthlyStats!$T59="TRUE",MonthlyStats!E59,"")</x:f>
      </x:c>
      <x:c r="D59" s="52" t="str">
        <x:f>IF(MonthlyStats!$T59="TRUE",MonthlyStats!F59,"")</x:f>
      </x:c>
      <x:c r="E59" s="52" t="str">
        <x:f>IF(MonthlyStats!$T59="TRUE",MonthlyStats!G59,"")</x:f>
      </x:c>
      <x:c r="F59" s="52" t="str">
        <x:f>IF(MonthlyStats!$T59="TRUE",MonthlyStats!H59,"")</x:f>
      </x:c>
      <x:c r="G59" s="52" t="str">
        <x:f>IF(MonthlyStats!$T59="TRUE",MonthlyStats!I59,"")</x:f>
      </x:c>
      <x:c r="H59" s="52" t="str">
        <x:f>IF(MonthlyStats!$T59="TRUE",MonthlyStats!J59+MonthlyStats!K59,"")</x:f>
      </x:c>
      <x:c r="I59" s="52" t="str">
        <x:f>IF(MonthlyStats!$T59="TRUE","₹"&amp;TEXT(MonthlyStats!O59,"#,##0")&amp;" public summary; "&amp;MonthlyStats!D59&amp;" cases","")</x:f>
      </x:c>
      <x:c r="J59" s="52" t="str">
        <x:f>IF(MonthlyStats!$T59="TRUE","#","")</x:f>
      </x:c>
      <x:c r="K59" s="52" t="str">
        <x:f>IF(MonthlyStats!$T59="TRUE",MonthlyStats!S59,"")</x:f>
      </x:c>
      <x:c r="L59" s="52" t="str">
        <x:f>IF(MonthlyStats!$T59="TRUE","Formula-linked","")</x:f>
      </x:c>
    </x:row>
    <x:row r="60">
      <x:c r="A60" s="52" t="str">
        <x:f>IF(MonthlyStats!$T60="TRUE",MonthlyStats!A60,"")</x:f>
      </x:c>
      <x:c r="B60" s="52" t="str">
        <x:f>IF(MonthlyStats!$T60="TRUE",MonthlyStats!B60,"")</x:f>
      </x:c>
      <x:c r="C60" s="52" t="str">
        <x:f>IF(MonthlyStats!$T60="TRUE",MonthlyStats!E60,"")</x:f>
      </x:c>
      <x:c r="D60" s="52" t="str">
        <x:f>IF(MonthlyStats!$T60="TRUE",MonthlyStats!F60,"")</x:f>
      </x:c>
      <x:c r="E60" s="52" t="str">
        <x:f>IF(MonthlyStats!$T60="TRUE",MonthlyStats!G60,"")</x:f>
      </x:c>
      <x:c r="F60" s="52" t="str">
        <x:f>IF(MonthlyStats!$T60="TRUE",MonthlyStats!H60,"")</x:f>
      </x:c>
      <x:c r="G60" s="52" t="str">
        <x:f>IF(MonthlyStats!$T60="TRUE",MonthlyStats!I60,"")</x:f>
      </x:c>
      <x:c r="H60" s="52" t="str">
        <x:f>IF(MonthlyStats!$T60="TRUE",MonthlyStats!J60+MonthlyStats!K60,"")</x:f>
      </x:c>
      <x:c r="I60" s="52" t="str">
        <x:f>IF(MonthlyStats!$T60="TRUE","₹"&amp;TEXT(MonthlyStats!O60,"#,##0")&amp;" public summary; "&amp;MonthlyStats!D60&amp;" cases","")</x:f>
      </x:c>
      <x:c r="J60" s="52" t="str">
        <x:f>IF(MonthlyStats!$T60="TRUE","#","")</x:f>
      </x:c>
      <x:c r="K60" s="52" t="str">
        <x:f>IF(MonthlyStats!$T60="TRUE",MonthlyStats!S60,"")</x:f>
      </x:c>
      <x:c r="L60" s="52" t="str">
        <x:f>IF(MonthlyStats!$T60="TRUE","Formula-linked","")</x:f>
      </x:c>
    </x:row>
    <x:row r="61">
      <x:c r="A61" s="52" t="str">
        <x:f>IF(MonthlyStats!$T61="TRUE",MonthlyStats!A61,"")</x:f>
      </x:c>
      <x:c r="B61" s="52" t="str">
        <x:f>IF(MonthlyStats!$T61="TRUE",MonthlyStats!B61,"")</x:f>
      </x:c>
      <x:c r="C61" s="52" t="str">
        <x:f>IF(MonthlyStats!$T61="TRUE",MonthlyStats!E61,"")</x:f>
      </x:c>
      <x:c r="D61" s="52" t="str">
        <x:f>IF(MonthlyStats!$T61="TRUE",MonthlyStats!F61,"")</x:f>
      </x:c>
      <x:c r="E61" s="52" t="str">
        <x:f>IF(MonthlyStats!$T61="TRUE",MonthlyStats!G61,"")</x:f>
      </x:c>
      <x:c r="F61" s="52" t="str">
        <x:f>IF(MonthlyStats!$T61="TRUE",MonthlyStats!H61,"")</x:f>
      </x:c>
      <x:c r="G61" s="52" t="str">
        <x:f>IF(MonthlyStats!$T61="TRUE",MonthlyStats!I61,"")</x:f>
      </x:c>
      <x:c r="H61" s="52" t="str">
        <x:f>IF(MonthlyStats!$T61="TRUE",MonthlyStats!J61+MonthlyStats!K61,"")</x:f>
      </x:c>
      <x:c r="I61" s="52" t="str">
        <x:f>IF(MonthlyStats!$T61="TRUE","₹"&amp;TEXT(MonthlyStats!O61,"#,##0")&amp;" public summary; "&amp;MonthlyStats!D61&amp;" cases","")</x:f>
      </x:c>
      <x:c r="J61" s="52" t="str">
        <x:f>IF(MonthlyStats!$T61="TRUE","#","")</x:f>
      </x:c>
      <x:c r="K61" s="52" t="str">
        <x:f>IF(MonthlyStats!$T61="TRUE",MonthlyStats!S61,"")</x:f>
      </x:c>
      <x:c r="L61" s="52" t="str">
        <x:f>IF(MonthlyStats!$T61="TRUE","Formula-linked","")</x:f>
      </x:c>
    </x:row>
    <x:row r="62">
      <x:c r="A62" s="52" t="str">
        <x:f>IF(MonthlyStats!$T62="TRUE",MonthlyStats!A62,"")</x:f>
      </x:c>
      <x:c r="B62" s="52" t="str">
        <x:f>IF(MonthlyStats!$T62="TRUE",MonthlyStats!B62,"")</x:f>
      </x:c>
      <x:c r="C62" s="52" t="str">
        <x:f>IF(MonthlyStats!$T62="TRUE",MonthlyStats!E62,"")</x:f>
      </x:c>
      <x:c r="D62" s="52" t="str">
        <x:f>IF(MonthlyStats!$T62="TRUE",MonthlyStats!F62,"")</x:f>
      </x:c>
      <x:c r="E62" s="52" t="str">
        <x:f>IF(MonthlyStats!$T62="TRUE",MonthlyStats!G62,"")</x:f>
      </x:c>
      <x:c r="F62" s="52" t="str">
        <x:f>IF(MonthlyStats!$T62="TRUE",MonthlyStats!H62,"")</x:f>
      </x:c>
      <x:c r="G62" s="52" t="str">
        <x:f>IF(MonthlyStats!$T62="TRUE",MonthlyStats!I62,"")</x:f>
      </x:c>
      <x:c r="H62" s="52" t="str">
        <x:f>IF(MonthlyStats!$T62="TRUE",MonthlyStats!J62+MonthlyStats!K62,"")</x:f>
      </x:c>
      <x:c r="I62" s="52" t="str">
        <x:f>IF(MonthlyStats!$T62="TRUE","₹"&amp;TEXT(MonthlyStats!O62,"#,##0")&amp;" public summary; "&amp;MonthlyStats!D62&amp;" cases","")</x:f>
      </x:c>
      <x:c r="J62" s="52" t="str">
        <x:f>IF(MonthlyStats!$T62="TRUE","#","")</x:f>
      </x:c>
      <x:c r="K62" s="52" t="str">
        <x:f>IF(MonthlyStats!$T62="TRUE",MonthlyStats!S62,"")</x:f>
      </x:c>
      <x:c r="L62" s="52" t="str">
        <x:f>IF(MonthlyStats!$T62="TRUE","Formula-linked","")</x:f>
      </x:c>
    </x:row>
    <x:row r="63">
      <x:c r="A63" s="52" t="str">
        <x:f>IF(MonthlyStats!$T63="TRUE",MonthlyStats!A63,"")</x:f>
      </x:c>
      <x:c r="B63" s="52" t="str">
        <x:f>IF(MonthlyStats!$T63="TRUE",MonthlyStats!B63,"")</x:f>
      </x:c>
      <x:c r="C63" s="52" t="str">
        <x:f>IF(MonthlyStats!$T63="TRUE",MonthlyStats!E63,"")</x:f>
      </x:c>
      <x:c r="D63" s="52" t="str">
        <x:f>IF(MonthlyStats!$T63="TRUE",MonthlyStats!F63,"")</x:f>
      </x:c>
      <x:c r="E63" s="52" t="str">
        <x:f>IF(MonthlyStats!$T63="TRUE",MonthlyStats!G63,"")</x:f>
      </x:c>
      <x:c r="F63" s="52" t="str">
        <x:f>IF(MonthlyStats!$T63="TRUE",MonthlyStats!H63,"")</x:f>
      </x:c>
      <x:c r="G63" s="52" t="str">
        <x:f>IF(MonthlyStats!$T63="TRUE",MonthlyStats!I63,"")</x:f>
      </x:c>
      <x:c r="H63" s="52" t="str">
        <x:f>IF(MonthlyStats!$T63="TRUE",MonthlyStats!J63+MonthlyStats!K63,"")</x:f>
      </x:c>
      <x:c r="I63" s="52" t="str">
        <x:f>IF(MonthlyStats!$T63="TRUE","₹"&amp;TEXT(MonthlyStats!O63,"#,##0")&amp;" public summary; "&amp;MonthlyStats!D63&amp;" cases","")</x:f>
      </x:c>
      <x:c r="J63" s="52" t="str">
        <x:f>IF(MonthlyStats!$T63="TRUE","#","")</x:f>
      </x:c>
      <x:c r="K63" s="52" t="str">
        <x:f>IF(MonthlyStats!$T63="TRUE",MonthlyStats!S63,"")</x:f>
      </x:c>
      <x:c r="L63" s="52" t="str">
        <x:f>IF(MonthlyStats!$T63="TRUE","Formula-linked","")</x:f>
      </x:c>
    </x:row>
    <x:row r="64">
      <x:c r="A64" s="52" t="str">
        <x:f>IF(MonthlyStats!$T64="TRUE",MonthlyStats!A64,"")</x:f>
      </x:c>
      <x:c r="B64" s="52" t="str">
        <x:f>IF(MonthlyStats!$T64="TRUE",MonthlyStats!B64,"")</x:f>
      </x:c>
      <x:c r="C64" s="52" t="str">
        <x:f>IF(MonthlyStats!$T64="TRUE",MonthlyStats!E64,"")</x:f>
      </x:c>
      <x:c r="D64" s="52" t="str">
        <x:f>IF(MonthlyStats!$T64="TRUE",MonthlyStats!F64,"")</x:f>
      </x:c>
      <x:c r="E64" s="52" t="str">
        <x:f>IF(MonthlyStats!$T64="TRUE",MonthlyStats!G64,"")</x:f>
      </x:c>
      <x:c r="F64" s="52" t="str">
        <x:f>IF(MonthlyStats!$T64="TRUE",MonthlyStats!H64,"")</x:f>
      </x:c>
      <x:c r="G64" s="52" t="str">
        <x:f>IF(MonthlyStats!$T64="TRUE",MonthlyStats!I64,"")</x:f>
      </x:c>
      <x:c r="H64" s="52" t="str">
        <x:f>IF(MonthlyStats!$T64="TRUE",MonthlyStats!J64+MonthlyStats!K64,"")</x:f>
      </x:c>
      <x:c r="I64" s="52" t="str">
        <x:f>IF(MonthlyStats!$T64="TRUE","₹"&amp;TEXT(MonthlyStats!O64,"#,##0")&amp;" public summary; "&amp;MonthlyStats!D64&amp;" cases","")</x:f>
      </x:c>
      <x:c r="J64" s="52" t="str">
        <x:f>IF(MonthlyStats!$T64="TRUE","#","")</x:f>
      </x:c>
      <x:c r="K64" s="52" t="str">
        <x:f>IF(MonthlyStats!$T64="TRUE",MonthlyStats!S64,"")</x:f>
      </x:c>
      <x:c r="L64" s="52" t="str">
        <x:f>IF(MonthlyStats!$T64="TRUE","Formula-linked","")</x:f>
      </x:c>
    </x:row>
    <x:row r="65">
      <x:c r="A65" s="52" t="str">
        <x:f>IF(MonthlyStats!$T65="TRUE",MonthlyStats!A65,"")</x:f>
      </x:c>
      <x:c r="B65" s="52" t="str">
        <x:f>IF(MonthlyStats!$T65="TRUE",MonthlyStats!B65,"")</x:f>
      </x:c>
      <x:c r="C65" s="52" t="str">
        <x:f>IF(MonthlyStats!$T65="TRUE",MonthlyStats!E65,"")</x:f>
      </x:c>
      <x:c r="D65" s="52" t="str">
        <x:f>IF(MonthlyStats!$T65="TRUE",MonthlyStats!F65,"")</x:f>
      </x:c>
      <x:c r="E65" s="52" t="str">
        <x:f>IF(MonthlyStats!$T65="TRUE",MonthlyStats!G65,"")</x:f>
      </x:c>
      <x:c r="F65" s="52" t="str">
        <x:f>IF(MonthlyStats!$T65="TRUE",MonthlyStats!H65,"")</x:f>
      </x:c>
      <x:c r="G65" s="52" t="str">
        <x:f>IF(MonthlyStats!$T65="TRUE",MonthlyStats!I65,"")</x:f>
      </x:c>
      <x:c r="H65" s="52" t="str">
        <x:f>IF(MonthlyStats!$T65="TRUE",MonthlyStats!J65+MonthlyStats!K65,"")</x:f>
      </x:c>
      <x:c r="I65" s="52" t="str">
        <x:f>IF(MonthlyStats!$T65="TRUE","₹"&amp;TEXT(MonthlyStats!O65,"#,##0")&amp;" public summary; "&amp;MonthlyStats!D65&amp;" cases","")</x:f>
      </x:c>
      <x:c r="J65" s="52" t="str">
        <x:f>IF(MonthlyStats!$T65="TRUE","#","")</x:f>
      </x:c>
      <x:c r="K65" s="52" t="str">
        <x:f>IF(MonthlyStats!$T65="TRUE",MonthlyStats!S65,"")</x:f>
      </x:c>
      <x:c r="L65" s="52" t="str">
        <x:f>IF(MonthlyStats!$T65="TRUE","Formula-linked","")</x:f>
      </x:c>
    </x:row>
    <x:row r="66">
      <x:c r="A66" s="52" t="str">
        <x:f>IF(MonthlyStats!$T66="TRUE",MonthlyStats!A66,"")</x:f>
      </x:c>
      <x:c r="B66" s="52" t="str">
        <x:f>IF(MonthlyStats!$T66="TRUE",MonthlyStats!B66,"")</x:f>
      </x:c>
      <x:c r="C66" s="52" t="str">
        <x:f>IF(MonthlyStats!$T66="TRUE",MonthlyStats!E66,"")</x:f>
      </x:c>
      <x:c r="D66" s="52" t="str">
        <x:f>IF(MonthlyStats!$T66="TRUE",MonthlyStats!F66,"")</x:f>
      </x:c>
      <x:c r="E66" s="52" t="str">
        <x:f>IF(MonthlyStats!$T66="TRUE",MonthlyStats!G66,"")</x:f>
      </x:c>
      <x:c r="F66" s="52" t="str">
        <x:f>IF(MonthlyStats!$T66="TRUE",MonthlyStats!H66,"")</x:f>
      </x:c>
      <x:c r="G66" s="52" t="str">
        <x:f>IF(MonthlyStats!$T66="TRUE",MonthlyStats!I66,"")</x:f>
      </x:c>
      <x:c r="H66" s="52" t="str">
        <x:f>IF(MonthlyStats!$T66="TRUE",MonthlyStats!J66+MonthlyStats!K66,"")</x:f>
      </x:c>
      <x:c r="I66" s="52" t="str">
        <x:f>IF(MonthlyStats!$T66="TRUE","₹"&amp;TEXT(MonthlyStats!O66,"#,##0")&amp;" public summary; "&amp;MonthlyStats!D66&amp;" cases","")</x:f>
      </x:c>
      <x:c r="J66" s="52" t="str">
        <x:f>IF(MonthlyStats!$T66="TRUE","#","")</x:f>
      </x:c>
      <x:c r="K66" s="52" t="str">
        <x:f>IF(MonthlyStats!$T66="TRUE",MonthlyStats!S66,"")</x:f>
      </x:c>
      <x:c r="L66" s="52" t="str">
        <x:f>IF(MonthlyStats!$T66="TRUE","Formula-linked","")</x:f>
      </x:c>
    </x:row>
    <x:row r="67">
      <x:c r="A67" s="52" t="str">
        <x:f>IF(MonthlyStats!$T67="TRUE",MonthlyStats!A67,"")</x:f>
      </x:c>
      <x:c r="B67" s="52" t="str">
        <x:f>IF(MonthlyStats!$T67="TRUE",MonthlyStats!B67,"")</x:f>
      </x:c>
      <x:c r="C67" s="52" t="str">
        <x:f>IF(MonthlyStats!$T67="TRUE",MonthlyStats!E67,"")</x:f>
      </x:c>
      <x:c r="D67" s="52" t="str">
        <x:f>IF(MonthlyStats!$T67="TRUE",MonthlyStats!F67,"")</x:f>
      </x:c>
      <x:c r="E67" s="52" t="str">
        <x:f>IF(MonthlyStats!$T67="TRUE",MonthlyStats!G67,"")</x:f>
      </x:c>
      <x:c r="F67" s="52" t="str">
        <x:f>IF(MonthlyStats!$T67="TRUE",MonthlyStats!H67,"")</x:f>
      </x:c>
      <x:c r="G67" s="52" t="str">
        <x:f>IF(MonthlyStats!$T67="TRUE",MonthlyStats!I67,"")</x:f>
      </x:c>
      <x:c r="H67" s="52" t="str">
        <x:f>IF(MonthlyStats!$T67="TRUE",MonthlyStats!J67+MonthlyStats!K67,"")</x:f>
      </x:c>
      <x:c r="I67" s="52" t="str">
        <x:f>IF(MonthlyStats!$T67="TRUE","₹"&amp;TEXT(MonthlyStats!O67,"#,##0")&amp;" public summary; "&amp;MonthlyStats!D67&amp;" cases","")</x:f>
      </x:c>
      <x:c r="J67" s="52" t="str">
        <x:f>IF(MonthlyStats!$T67="TRUE","#","")</x:f>
      </x:c>
      <x:c r="K67" s="52" t="str">
        <x:f>IF(MonthlyStats!$T67="TRUE",MonthlyStats!S67,"")</x:f>
      </x:c>
      <x:c r="L67" s="52" t="str">
        <x:f>IF(MonthlyStats!$T67="TRUE","Formula-linked","")</x:f>
      </x:c>
    </x:row>
    <x:row r="68">
      <x:c r="A68" s="52" t="str">
        <x:f>IF(MonthlyStats!$T68="TRUE",MonthlyStats!A68,"")</x:f>
      </x:c>
      <x:c r="B68" s="52" t="str">
        <x:f>IF(MonthlyStats!$T68="TRUE",MonthlyStats!B68,"")</x:f>
      </x:c>
      <x:c r="C68" s="52" t="str">
        <x:f>IF(MonthlyStats!$T68="TRUE",MonthlyStats!E68,"")</x:f>
      </x:c>
      <x:c r="D68" s="52" t="str">
        <x:f>IF(MonthlyStats!$T68="TRUE",MonthlyStats!F68,"")</x:f>
      </x:c>
      <x:c r="E68" s="52" t="str">
        <x:f>IF(MonthlyStats!$T68="TRUE",MonthlyStats!G68,"")</x:f>
      </x:c>
      <x:c r="F68" s="52" t="str">
        <x:f>IF(MonthlyStats!$T68="TRUE",MonthlyStats!H68,"")</x:f>
      </x:c>
      <x:c r="G68" s="52" t="str">
        <x:f>IF(MonthlyStats!$T68="TRUE",MonthlyStats!I68,"")</x:f>
      </x:c>
      <x:c r="H68" s="52" t="str">
        <x:f>IF(MonthlyStats!$T68="TRUE",MonthlyStats!J68+MonthlyStats!K68,"")</x:f>
      </x:c>
      <x:c r="I68" s="52" t="str">
        <x:f>IF(MonthlyStats!$T68="TRUE","₹"&amp;TEXT(MonthlyStats!O68,"#,##0")&amp;" public summary; "&amp;MonthlyStats!D68&amp;" cases","")</x:f>
      </x:c>
      <x:c r="J68" s="52" t="str">
        <x:f>IF(MonthlyStats!$T68="TRUE","#","")</x:f>
      </x:c>
      <x:c r="K68" s="52" t="str">
        <x:f>IF(MonthlyStats!$T68="TRUE",MonthlyStats!S68,"")</x:f>
      </x:c>
      <x:c r="L68" s="52" t="str">
        <x:f>IF(MonthlyStats!$T68="TRUE","Formula-linked","")</x:f>
      </x:c>
    </x:row>
    <x:row r="69">
      <x:c r="A69" s="52" t="str">
        <x:f>IF(MonthlyStats!$T69="TRUE",MonthlyStats!A69,"")</x:f>
      </x:c>
      <x:c r="B69" s="52" t="str">
        <x:f>IF(MonthlyStats!$T69="TRUE",MonthlyStats!B69,"")</x:f>
      </x:c>
      <x:c r="C69" s="52" t="str">
        <x:f>IF(MonthlyStats!$T69="TRUE",MonthlyStats!E69,"")</x:f>
      </x:c>
      <x:c r="D69" s="52" t="str">
        <x:f>IF(MonthlyStats!$T69="TRUE",MonthlyStats!F69,"")</x:f>
      </x:c>
      <x:c r="E69" s="52" t="str">
        <x:f>IF(MonthlyStats!$T69="TRUE",MonthlyStats!G69,"")</x:f>
      </x:c>
      <x:c r="F69" s="52" t="str">
        <x:f>IF(MonthlyStats!$T69="TRUE",MonthlyStats!H69,"")</x:f>
      </x:c>
      <x:c r="G69" s="52" t="str">
        <x:f>IF(MonthlyStats!$T69="TRUE",MonthlyStats!I69,"")</x:f>
      </x:c>
      <x:c r="H69" s="52" t="str">
        <x:f>IF(MonthlyStats!$T69="TRUE",MonthlyStats!J69+MonthlyStats!K69,"")</x:f>
      </x:c>
      <x:c r="I69" s="52" t="str">
        <x:f>IF(MonthlyStats!$T69="TRUE","₹"&amp;TEXT(MonthlyStats!O69,"#,##0")&amp;" public summary; "&amp;MonthlyStats!D69&amp;" cases","")</x:f>
      </x:c>
      <x:c r="J69" s="52" t="str">
        <x:f>IF(MonthlyStats!$T69="TRUE","#","")</x:f>
      </x:c>
      <x:c r="K69" s="52" t="str">
        <x:f>IF(MonthlyStats!$T69="TRUE",MonthlyStats!S69,"")</x:f>
      </x:c>
      <x:c r="L69" s="52" t="str">
        <x:f>IF(MonthlyStats!$T69="TRUE","Formula-linked","")</x:f>
      </x:c>
    </x:row>
    <x:row r="70">
      <x:c r="A70" s="52" t="str">
        <x:f>IF(MonthlyStats!$T70="TRUE",MonthlyStats!A70,"")</x:f>
      </x:c>
      <x:c r="B70" s="52" t="str">
        <x:f>IF(MonthlyStats!$T70="TRUE",MonthlyStats!B70,"")</x:f>
      </x:c>
      <x:c r="C70" s="52" t="str">
        <x:f>IF(MonthlyStats!$T70="TRUE",MonthlyStats!E70,"")</x:f>
      </x:c>
      <x:c r="D70" s="52" t="str">
        <x:f>IF(MonthlyStats!$T70="TRUE",MonthlyStats!F70,"")</x:f>
      </x:c>
      <x:c r="E70" s="52" t="str">
        <x:f>IF(MonthlyStats!$T70="TRUE",MonthlyStats!G70,"")</x:f>
      </x:c>
      <x:c r="F70" s="52" t="str">
        <x:f>IF(MonthlyStats!$T70="TRUE",MonthlyStats!H70,"")</x:f>
      </x:c>
      <x:c r="G70" s="52" t="str">
        <x:f>IF(MonthlyStats!$T70="TRUE",MonthlyStats!I70,"")</x:f>
      </x:c>
      <x:c r="H70" s="52" t="str">
        <x:f>IF(MonthlyStats!$T70="TRUE",MonthlyStats!J70+MonthlyStats!K70,"")</x:f>
      </x:c>
      <x:c r="I70" s="52" t="str">
        <x:f>IF(MonthlyStats!$T70="TRUE","₹"&amp;TEXT(MonthlyStats!O70,"#,##0")&amp;" public summary; "&amp;MonthlyStats!D70&amp;" cases","")</x:f>
      </x:c>
      <x:c r="J70" s="52" t="str">
        <x:f>IF(MonthlyStats!$T70="TRUE","#","")</x:f>
      </x:c>
      <x:c r="K70" s="52" t="str">
        <x:f>IF(MonthlyStats!$T70="TRUE",MonthlyStats!S70,"")</x:f>
      </x:c>
      <x:c r="L70" s="52" t="str">
        <x:f>IF(MonthlyStats!$T70="TRUE","Formula-linked","")</x:f>
      </x:c>
    </x:row>
    <x:row r="71">
      <x:c r="A71" s="52" t="str">
        <x:f>IF(MonthlyStats!$T71="TRUE",MonthlyStats!A71,"")</x:f>
      </x:c>
      <x:c r="B71" s="52" t="str">
        <x:f>IF(MonthlyStats!$T71="TRUE",MonthlyStats!B71,"")</x:f>
      </x:c>
      <x:c r="C71" s="52" t="str">
        <x:f>IF(MonthlyStats!$T71="TRUE",MonthlyStats!E71,"")</x:f>
      </x:c>
      <x:c r="D71" s="52" t="str">
        <x:f>IF(MonthlyStats!$T71="TRUE",MonthlyStats!F71,"")</x:f>
      </x:c>
      <x:c r="E71" s="52" t="str">
        <x:f>IF(MonthlyStats!$T71="TRUE",MonthlyStats!G71,"")</x:f>
      </x:c>
      <x:c r="F71" s="52" t="str">
        <x:f>IF(MonthlyStats!$T71="TRUE",MonthlyStats!H71,"")</x:f>
      </x:c>
      <x:c r="G71" s="52" t="str">
        <x:f>IF(MonthlyStats!$T71="TRUE",MonthlyStats!I71,"")</x:f>
      </x:c>
      <x:c r="H71" s="52" t="str">
        <x:f>IF(MonthlyStats!$T71="TRUE",MonthlyStats!J71+MonthlyStats!K71,"")</x:f>
      </x:c>
      <x:c r="I71" s="52" t="str">
        <x:f>IF(MonthlyStats!$T71="TRUE","₹"&amp;TEXT(MonthlyStats!O71,"#,##0")&amp;" public summary; "&amp;MonthlyStats!D71&amp;" cases","")</x:f>
      </x:c>
      <x:c r="J71" s="52" t="str">
        <x:f>IF(MonthlyStats!$T71="TRUE","#","")</x:f>
      </x:c>
      <x:c r="K71" s="52" t="str">
        <x:f>IF(MonthlyStats!$T71="TRUE",MonthlyStats!S71,"")</x:f>
      </x:c>
      <x:c r="L71" s="52" t="str">
        <x:f>IF(MonthlyStats!$T71="TRUE","Formula-linked","")</x:f>
      </x:c>
    </x:row>
    <x:row r="72">
      <x:c r="A72" s="52" t="str">
        <x:f>IF(MonthlyStats!$T72="TRUE",MonthlyStats!A72,"")</x:f>
      </x:c>
      <x:c r="B72" s="52" t="str">
        <x:f>IF(MonthlyStats!$T72="TRUE",MonthlyStats!B72,"")</x:f>
      </x:c>
      <x:c r="C72" s="52" t="str">
        <x:f>IF(MonthlyStats!$T72="TRUE",MonthlyStats!E72,"")</x:f>
      </x:c>
      <x:c r="D72" s="52" t="str">
        <x:f>IF(MonthlyStats!$T72="TRUE",MonthlyStats!F72,"")</x:f>
      </x:c>
      <x:c r="E72" s="52" t="str">
        <x:f>IF(MonthlyStats!$T72="TRUE",MonthlyStats!G72,"")</x:f>
      </x:c>
      <x:c r="F72" s="52" t="str">
        <x:f>IF(MonthlyStats!$T72="TRUE",MonthlyStats!H72,"")</x:f>
      </x:c>
      <x:c r="G72" s="52" t="str">
        <x:f>IF(MonthlyStats!$T72="TRUE",MonthlyStats!I72,"")</x:f>
      </x:c>
      <x:c r="H72" s="52" t="str">
        <x:f>IF(MonthlyStats!$T72="TRUE",MonthlyStats!J72+MonthlyStats!K72,"")</x:f>
      </x:c>
      <x:c r="I72" s="52" t="str">
        <x:f>IF(MonthlyStats!$T72="TRUE","₹"&amp;TEXT(MonthlyStats!O72,"#,##0")&amp;" public summary; "&amp;MonthlyStats!D72&amp;" cases","")</x:f>
      </x:c>
      <x:c r="J72" s="52" t="str">
        <x:f>IF(MonthlyStats!$T72="TRUE","#","")</x:f>
      </x:c>
      <x:c r="K72" s="52" t="str">
        <x:f>IF(MonthlyStats!$T72="TRUE",MonthlyStats!S72,"")</x:f>
      </x:c>
      <x:c r="L72" s="52" t="str">
        <x:f>IF(MonthlyStats!$T72="TRUE","Formula-linked","")</x:f>
      </x:c>
    </x:row>
    <x:row r="73">
      <x:c r="A73" s="52" t="str">
        <x:f>IF(MonthlyStats!$T73="TRUE",MonthlyStats!A73,"")</x:f>
      </x:c>
      <x:c r="B73" s="52" t="str">
        <x:f>IF(MonthlyStats!$T73="TRUE",MonthlyStats!B73,"")</x:f>
      </x:c>
      <x:c r="C73" s="52" t="str">
        <x:f>IF(MonthlyStats!$T73="TRUE",MonthlyStats!E73,"")</x:f>
      </x:c>
      <x:c r="D73" s="52" t="str">
        <x:f>IF(MonthlyStats!$T73="TRUE",MonthlyStats!F73,"")</x:f>
      </x:c>
      <x:c r="E73" s="52" t="str">
        <x:f>IF(MonthlyStats!$T73="TRUE",MonthlyStats!G73,"")</x:f>
      </x:c>
      <x:c r="F73" s="52" t="str">
        <x:f>IF(MonthlyStats!$T73="TRUE",MonthlyStats!H73,"")</x:f>
      </x:c>
      <x:c r="G73" s="52" t="str">
        <x:f>IF(MonthlyStats!$T73="TRUE",MonthlyStats!I73,"")</x:f>
      </x:c>
      <x:c r="H73" s="52" t="str">
        <x:f>IF(MonthlyStats!$T73="TRUE",MonthlyStats!J73+MonthlyStats!K73,"")</x:f>
      </x:c>
      <x:c r="I73" s="52" t="str">
        <x:f>IF(MonthlyStats!$T73="TRUE","₹"&amp;TEXT(MonthlyStats!O73,"#,##0")&amp;" public summary; "&amp;MonthlyStats!D73&amp;" cases","")</x:f>
      </x:c>
      <x:c r="J73" s="52" t="str">
        <x:f>IF(MonthlyStats!$T73="TRUE","#","")</x:f>
      </x:c>
      <x:c r="K73" s="52" t="str">
        <x:f>IF(MonthlyStats!$T73="TRUE",MonthlyStats!S73,"")</x:f>
      </x:c>
      <x:c r="L73" s="52" t="str">
        <x:f>IF(MonthlyStats!$T73="TRUE","Formula-linked","")</x:f>
      </x:c>
    </x:row>
    <x:row r="74">
      <x:c r="A74" s="52" t="str">
        <x:f>IF(MonthlyStats!$T74="TRUE",MonthlyStats!A74,"")</x:f>
      </x:c>
      <x:c r="B74" s="52" t="str">
        <x:f>IF(MonthlyStats!$T74="TRUE",MonthlyStats!B74,"")</x:f>
      </x:c>
      <x:c r="C74" s="52" t="str">
        <x:f>IF(MonthlyStats!$T74="TRUE",MonthlyStats!E74,"")</x:f>
      </x:c>
      <x:c r="D74" s="52" t="str">
        <x:f>IF(MonthlyStats!$T74="TRUE",MonthlyStats!F74,"")</x:f>
      </x:c>
      <x:c r="E74" s="52" t="str">
        <x:f>IF(MonthlyStats!$T74="TRUE",MonthlyStats!G74,"")</x:f>
      </x:c>
      <x:c r="F74" s="52" t="str">
        <x:f>IF(MonthlyStats!$T74="TRUE",MonthlyStats!H74,"")</x:f>
      </x:c>
      <x:c r="G74" s="52" t="str">
        <x:f>IF(MonthlyStats!$T74="TRUE",MonthlyStats!I74,"")</x:f>
      </x:c>
      <x:c r="H74" s="52" t="str">
        <x:f>IF(MonthlyStats!$T74="TRUE",MonthlyStats!J74+MonthlyStats!K74,"")</x:f>
      </x:c>
      <x:c r="I74" s="52" t="str">
        <x:f>IF(MonthlyStats!$T74="TRUE","₹"&amp;TEXT(MonthlyStats!O74,"#,##0")&amp;" public summary; "&amp;MonthlyStats!D74&amp;" cases","")</x:f>
      </x:c>
      <x:c r="J74" s="52" t="str">
        <x:f>IF(MonthlyStats!$T74="TRUE","#","")</x:f>
      </x:c>
      <x:c r="K74" s="52" t="str">
        <x:f>IF(MonthlyStats!$T74="TRUE",MonthlyStats!S74,"")</x:f>
      </x:c>
      <x:c r="L74" s="52" t="str">
        <x:f>IF(MonthlyStats!$T74="TRUE","Formula-linked","")</x:f>
      </x:c>
    </x:row>
    <x:row r="75">
      <x:c r="A75" s="52" t="str">
        <x:f>IF(MonthlyStats!$T75="TRUE",MonthlyStats!A75,"")</x:f>
      </x:c>
      <x:c r="B75" s="52" t="str">
        <x:f>IF(MonthlyStats!$T75="TRUE",MonthlyStats!B75,"")</x:f>
      </x:c>
      <x:c r="C75" s="52" t="str">
        <x:f>IF(MonthlyStats!$T75="TRUE",MonthlyStats!E75,"")</x:f>
      </x:c>
      <x:c r="D75" s="52" t="str">
        <x:f>IF(MonthlyStats!$T75="TRUE",MonthlyStats!F75,"")</x:f>
      </x:c>
      <x:c r="E75" s="52" t="str">
        <x:f>IF(MonthlyStats!$T75="TRUE",MonthlyStats!G75,"")</x:f>
      </x:c>
      <x:c r="F75" s="52" t="str">
        <x:f>IF(MonthlyStats!$T75="TRUE",MonthlyStats!H75,"")</x:f>
      </x:c>
      <x:c r="G75" s="52" t="str">
        <x:f>IF(MonthlyStats!$T75="TRUE",MonthlyStats!I75,"")</x:f>
      </x:c>
      <x:c r="H75" s="52" t="str">
        <x:f>IF(MonthlyStats!$T75="TRUE",MonthlyStats!J75+MonthlyStats!K75,"")</x:f>
      </x:c>
      <x:c r="I75" s="52" t="str">
        <x:f>IF(MonthlyStats!$T75="TRUE","₹"&amp;TEXT(MonthlyStats!O75,"#,##0")&amp;" public summary; "&amp;MonthlyStats!D75&amp;" cases","")</x:f>
      </x:c>
      <x:c r="J75" s="52" t="str">
        <x:f>IF(MonthlyStats!$T75="TRUE","#","")</x:f>
      </x:c>
      <x:c r="K75" s="52" t="str">
        <x:f>IF(MonthlyStats!$T75="TRUE",MonthlyStats!S75,"")</x:f>
      </x:c>
      <x:c r="L75" s="52" t="str">
        <x:f>IF(MonthlyStats!$T75="TRUE","Formula-linked","")</x:f>
      </x:c>
    </x:row>
    <x:row r="76">
      <x:c r="A76" s="52" t="str">
        <x:f>IF(MonthlyStats!$T76="TRUE",MonthlyStats!A76,"")</x:f>
      </x:c>
      <x:c r="B76" s="52" t="str">
        <x:f>IF(MonthlyStats!$T76="TRUE",MonthlyStats!B76,"")</x:f>
      </x:c>
      <x:c r="C76" s="52" t="str">
        <x:f>IF(MonthlyStats!$T76="TRUE",MonthlyStats!E76,"")</x:f>
      </x:c>
      <x:c r="D76" s="52" t="str">
        <x:f>IF(MonthlyStats!$T76="TRUE",MonthlyStats!F76,"")</x:f>
      </x:c>
      <x:c r="E76" s="52" t="str">
        <x:f>IF(MonthlyStats!$T76="TRUE",MonthlyStats!G76,"")</x:f>
      </x:c>
      <x:c r="F76" s="52" t="str">
        <x:f>IF(MonthlyStats!$T76="TRUE",MonthlyStats!H76,"")</x:f>
      </x:c>
      <x:c r="G76" s="52" t="str">
        <x:f>IF(MonthlyStats!$T76="TRUE",MonthlyStats!I76,"")</x:f>
      </x:c>
      <x:c r="H76" s="52" t="str">
        <x:f>IF(MonthlyStats!$T76="TRUE",MonthlyStats!J76+MonthlyStats!K76,"")</x:f>
      </x:c>
      <x:c r="I76" s="52" t="str">
        <x:f>IF(MonthlyStats!$T76="TRUE","₹"&amp;TEXT(MonthlyStats!O76,"#,##0")&amp;" public summary; "&amp;MonthlyStats!D76&amp;" cases","")</x:f>
      </x:c>
      <x:c r="J76" s="52" t="str">
        <x:f>IF(MonthlyStats!$T76="TRUE","#","")</x:f>
      </x:c>
      <x:c r="K76" s="52" t="str">
        <x:f>IF(MonthlyStats!$T76="TRUE",MonthlyStats!S76,"")</x:f>
      </x:c>
      <x:c r="L76" s="52" t="str">
        <x:f>IF(MonthlyStats!$T76="TRUE","Formula-linked","")</x:f>
      </x:c>
    </x:row>
    <x:row r="77">
      <x:c r="A77" s="52" t="str">
        <x:f>IF(MonthlyStats!$T77="TRUE",MonthlyStats!A77,"")</x:f>
      </x:c>
      <x:c r="B77" s="52" t="str">
        <x:f>IF(MonthlyStats!$T77="TRUE",MonthlyStats!B77,"")</x:f>
      </x:c>
      <x:c r="C77" s="52" t="str">
        <x:f>IF(MonthlyStats!$T77="TRUE",MonthlyStats!E77,"")</x:f>
      </x:c>
      <x:c r="D77" s="52" t="str">
        <x:f>IF(MonthlyStats!$T77="TRUE",MonthlyStats!F77,"")</x:f>
      </x:c>
      <x:c r="E77" s="52" t="str">
        <x:f>IF(MonthlyStats!$T77="TRUE",MonthlyStats!G77,"")</x:f>
      </x:c>
      <x:c r="F77" s="52" t="str">
        <x:f>IF(MonthlyStats!$T77="TRUE",MonthlyStats!H77,"")</x:f>
      </x:c>
      <x:c r="G77" s="52" t="str">
        <x:f>IF(MonthlyStats!$T77="TRUE",MonthlyStats!I77,"")</x:f>
      </x:c>
      <x:c r="H77" s="52" t="str">
        <x:f>IF(MonthlyStats!$T77="TRUE",MonthlyStats!J77+MonthlyStats!K77,"")</x:f>
      </x:c>
      <x:c r="I77" s="52" t="str">
        <x:f>IF(MonthlyStats!$T77="TRUE","₹"&amp;TEXT(MonthlyStats!O77,"#,##0")&amp;" public summary; "&amp;MonthlyStats!D77&amp;" cases","")</x:f>
      </x:c>
      <x:c r="J77" s="52" t="str">
        <x:f>IF(MonthlyStats!$T77="TRUE","#","")</x:f>
      </x:c>
      <x:c r="K77" s="52" t="str">
        <x:f>IF(MonthlyStats!$T77="TRUE",MonthlyStats!S77,"")</x:f>
      </x:c>
      <x:c r="L77" s="52" t="str">
        <x:f>IF(MonthlyStats!$T77="TRUE","Formula-linked","")</x:f>
      </x:c>
    </x:row>
    <x:row r="78">
      <x:c r="A78" s="52" t="str">
        <x:f>IF(MonthlyStats!$T78="TRUE",MonthlyStats!A78,"")</x:f>
      </x:c>
      <x:c r="B78" s="52" t="str">
        <x:f>IF(MonthlyStats!$T78="TRUE",MonthlyStats!B78,"")</x:f>
      </x:c>
      <x:c r="C78" s="52" t="str">
        <x:f>IF(MonthlyStats!$T78="TRUE",MonthlyStats!E78,"")</x:f>
      </x:c>
      <x:c r="D78" s="52" t="str">
        <x:f>IF(MonthlyStats!$T78="TRUE",MonthlyStats!F78,"")</x:f>
      </x:c>
      <x:c r="E78" s="52" t="str">
        <x:f>IF(MonthlyStats!$T78="TRUE",MonthlyStats!G78,"")</x:f>
      </x:c>
      <x:c r="F78" s="52" t="str">
        <x:f>IF(MonthlyStats!$T78="TRUE",MonthlyStats!H78,"")</x:f>
      </x:c>
      <x:c r="G78" s="52" t="str">
        <x:f>IF(MonthlyStats!$T78="TRUE",MonthlyStats!I78,"")</x:f>
      </x:c>
      <x:c r="H78" s="52" t="str">
        <x:f>IF(MonthlyStats!$T78="TRUE",MonthlyStats!J78+MonthlyStats!K78,"")</x:f>
      </x:c>
      <x:c r="I78" s="52" t="str">
        <x:f>IF(MonthlyStats!$T78="TRUE","₹"&amp;TEXT(MonthlyStats!O78,"#,##0")&amp;" public summary; "&amp;MonthlyStats!D78&amp;" cases","")</x:f>
      </x:c>
      <x:c r="J78" s="52" t="str">
        <x:f>IF(MonthlyStats!$T78="TRUE","#","")</x:f>
      </x:c>
      <x:c r="K78" s="52" t="str">
        <x:f>IF(MonthlyStats!$T78="TRUE",MonthlyStats!S78,"")</x:f>
      </x:c>
      <x:c r="L78" s="52" t="str">
        <x:f>IF(MonthlyStats!$T78="TRUE","Formula-linked","")</x:f>
      </x:c>
    </x:row>
    <x:row r="79">
      <x:c r="A79" s="52" t="str">
        <x:f>IF(MonthlyStats!$T79="TRUE",MonthlyStats!A79,"")</x:f>
      </x:c>
      <x:c r="B79" s="52" t="str">
        <x:f>IF(MonthlyStats!$T79="TRUE",MonthlyStats!B79,"")</x:f>
      </x:c>
      <x:c r="C79" s="52" t="str">
        <x:f>IF(MonthlyStats!$T79="TRUE",MonthlyStats!E79,"")</x:f>
      </x:c>
      <x:c r="D79" s="52" t="str">
        <x:f>IF(MonthlyStats!$T79="TRUE",MonthlyStats!F79,"")</x:f>
      </x:c>
      <x:c r="E79" s="52" t="str">
        <x:f>IF(MonthlyStats!$T79="TRUE",MonthlyStats!G79,"")</x:f>
      </x:c>
      <x:c r="F79" s="52" t="str">
        <x:f>IF(MonthlyStats!$T79="TRUE",MonthlyStats!H79,"")</x:f>
      </x:c>
      <x:c r="G79" s="52" t="str">
        <x:f>IF(MonthlyStats!$T79="TRUE",MonthlyStats!I79,"")</x:f>
      </x:c>
      <x:c r="H79" s="52" t="str">
        <x:f>IF(MonthlyStats!$T79="TRUE",MonthlyStats!J79+MonthlyStats!K79,"")</x:f>
      </x:c>
      <x:c r="I79" s="52" t="str">
        <x:f>IF(MonthlyStats!$T79="TRUE","₹"&amp;TEXT(MonthlyStats!O79,"#,##0")&amp;" public summary; "&amp;MonthlyStats!D79&amp;" cases","")</x:f>
      </x:c>
      <x:c r="J79" s="52" t="str">
        <x:f>IF(MonthlyStats!$T79="TRUE","#","")</x:f>
      </x:c>
      <x:c r="K79" s="52" t="str">
        <x:f>IF(MonthlyStats!$T79="TRUE",MonthlyStats!S79,"")</x:f>
      </x:c>
      <x:c r="L79" s="52" t="str">
        <x:f>IF(MonthlyStats!$T79="TRUE","Formula-linked","")</x:f>
      </x:c>
    </x:row>
    <x:row r="80">
      <x:c r="A80" s="52" t="str">
        <x:f>IF(MonthlyStats!$T80="TRUE",MonthlyStats!A80,"")</x:f>
      </x:c>
      <x:c r="B80" s="52" t="str">
        <x:f>IF(MonthlyStats!$T80="TRUE",MonthlyStats!B80,"")</x:f>
      </x:c>
      <x:c r="C80" s="52" t="str">
        <x:f>IF(MonthlyStats!$T80="TRUE",MonthlyStats!E80,"")</x:f>
      </x:c>
      <x:c r="D80" s="52" t="str">
        <x:f>IF(MonthlyStats!$T80="TRUE",MonthlyStats!F80,"")</x:f>
      </x:c>
      <x:c r="E80" s="52" t="str">
        <x:f>IF(MonthlyStats!$T80="TRUE",MonthlyStats!G80,"")</x:f>
      </x:c>
      <x:c r="F80" s="52" t="str">
        <x:f>IF(MonthlyStats!$T80="TRUE",MonthlyStats!H80,"")</x:f>
      </x:c>
      <x:c r="G80" s="52" t="str">
        <x:f>IF(MonthlyStats!$T80="TRUE",MonthlyStats!I80,"")</x:f>
      </x:c>
      <x:c r="H80" s="52" t="str">
        <x:f>IF(MonthlyStats!$T80="TRUE",MonthlyStats!J80+MonthlyStats!K80,"")</x:f>
      </x:c>
      <x:c r="I80" s="52" t="str">
        <x:f>IF(MonthlyStats!$T80="TRUE","₹"&amp;TEXT(MonthlyStats!O80,"#,##0")&amp;" public summary; "&amp;MonthlyStats!D80&amp;" cases","")</x:f>
      </x:c>
      <x:c r="J80" s="52" t="str">
        <x:f>IF(MonthlyStats!$T80="TRUE","#","")</x:f>
      </x:c>
      <x:c r="K80" s="52" t="str">
        <x:f>IF(MonthlyStats!$T80="TRUE",MonthlyStats!S80,"")</x:f>
      </x:c>
      <x:c r="L80" s="52" t="str">
        <x:f>IF(MonthlyStats!$T80="TRUE","Formula-linked","")</x:f>
      </x:c>
    </x:row>
    <x:row r="81">
      <x:c r="A81" s="52" t="str">
        <x:f>IF(MonthlyStats!$T81="TRUE",MonthlyStats!A81,"")</x:f>
      </x:c>
      <x:c r="B81" s="52" t="str">
        <x:f>IF(MonthlyStats!$T81="TRUE",MonthlyStats!B81,"")</x:f>
      </x:c>
      <x:c r="C81" s="52" t="str">
        <x:f>IF(MonthlyStats!$T81="TRUE",MonthlyStats!E81,"")</x:f>
      </x:c>
      <x:c r="D81" s="52" t="str">
        <x:f>IF(MonthlyStats!$T81="TRUE",MonthlyStats!F81,"")</x:f>
      </x:c>
      <x:c r="E81" s="52" t="str">
        <x:f>IF(MonthlyStats!$T81="TRUE",MonthlyStats!G81,"")</x:f>
      </x:c>
      <x:c r="F81" s="52" t="str">
        <x:f>IF(MonthlyStats!$T81="TRUE",MonthlyStats!H81,"")</x:f>
      </x:c>
      <x:c r="G81" s="52" t="str">
        <x:f>IF(MonthlyStats!$T81="TRUE",MonthlyStats!I81,"")</x:f>
      </x:c>
      <x:c r="H81" s="52" t="str">
        <x:f>IF(MonthlyStats!$T81="TRUE",MonthlyStats!J81+MonthlyStats!K81,"")</x:f>
      </x:c>
      <x:c r="I81" s="52" t="str">
        <x:f>IF(MonthlyStats!$T81="TRUE","₹"&amp;TEXT(MonthlyStats!O81,"#,##0")&amp;" public summary; "&amp;MonthlyStats!D81&amp;" cases","")</x:f>
      </x:c>
      <x:c r="J81" s="52" t="str">
        <x:f>IF(MonthlyStats!$T81="TRUE","#","")</x:f>
      </x:c>
      <x:c r="K81" s="52" t="str">
        <x:f>IF(MonthlyStats!$T81="TRUE",MonthlyStats!S81,"")</x:f>
      </x:c>
      <x:c r="L81" s="52" t="str">
        <x:f>IF(MonthlyStats!$T81="TRUE","Formula-linked","")</x:f>
      </x:c>
    </x:row>
    <x:row r="82">
      <x:c r="A82" s="52" t="str">
        <x:f>IF(MonthlyStats!$T82="TRUE",MonthlyStats!A82,"")</x:f>
      </x:c>
      <x:c r="B82" s="52" t="str">
        <x:f>IF(MonthlyStats!$T82="TRUE",MonthlyStats!B82,"")</x:f>
      </x:c>
      <x:c r="C82" s="52" t="str">
        <x:f>IF(MonthlyStats!$T82="TRUE",MonthlyStats!E82,"")</x:f>
      </x:c>
      <x:c r="D82" s="52" t="str">
        <x:f>IF(MonthlyStats!$T82="TRUE",MonthlyStats!F82,"")</x:f>
      </x:c>
      <x:c r="E82" s="52" t="str">
        <x:f>IF(MonthlyStats!$T82="TRUE",MonthlyStats!G82,"")</x:f>
      </x:c>
      <x:c r="F82" s="52" t="str">
        <x:f>IF(MonthlyStats!$T82="TRUE",MonthlyStats!H82,"")</x:f>
      </x:c>
      <x:c r="G82" s="52" t="str">
        <x:f>IF(MonthlyStats!$T82="TRUE",MonthlyStats!I82,"")</x:f>
      </x:c>
      <x:c r="H82" s="52" t="str">
        <x:f>IF(MonthlyStats!$T82="TRUE",MonthlyStats!J82+MonthlyStats!K82,"")</x:f>
      </x:c>
      <x:c r="I82" s="52" t="str">
        <x:f>IF(MonthlyStats!$T82="TRUE","₹"&amp;TEXT(MonthlyStats!O82,"#,##0")&amp;" public summary; "&amp;MonthlyStats!D82&amp;" cases","")</x:f>
      </x:c>
      <x:c r="J82" s="52" t="str">
        <x:f>IF(MonthlyStats!$T82="TRUE","#","")</x:f>
      </x:c>
      <x:c r="K82" s="52" t="str">
        <x:f>IF(MonthlyStats!$T82="TRUE",MonthlyStats!S82,"")</x:f>
      </x:c>
      <x:c r="L82" s="52" t="str">
        <x:f>IF(MonthlyStats!$T82="TRUE","Formula-linked","")</x:f>
      </x:c>
    </x:row>
    <x:row r="83">
      <x:c r="A83" s="52" t="str">
        <x:f>IF(MonthlyStats!$T83="TRUE",MonthlyStats!A83,"")</x:f>
      </x:c>
      <x:c r="B83" s="52" t="str">
        <x:f>IF(MonthlyStats!$T83="TRUE",MonthlyStats!B83,"")</x:f>
      </x:c>
      <x:c r="C83" s="52" t="str">
        <x:f>IF(MonthlyStats!$T83="TRUE",MonthlyStats!E83,"")</x:f>
      </x:c>
      <x:c r="D83" s="52" t="str">
        <x:f>IF(MonthlyStats!$T83="TRUE",MonthlyStats!F83,"")</x:f>
      </x:c>
      <x:c r="E83" s="52" t="str">
        <x:f>IF(MonthlyStats!$T83="TRUE",MonthlyStats!G83,"")</x:f>
      </x:c>
      <x:c r="F83" s="52" t="str">
        <x:f>IF(MonthlyStats!$T83="TRUE",MonthlyStats!H83,"")</x:f>
      </x:c>
      <x:c r="G83" s="52" t="str">
        <x:f>IF(MonthlyStats!$T83="TRUE",MonthlyStats!I83,"")</x:f>
      </x:c>
      <x:c r="H83" s="52" t="str">
        <x:f>IF(MonthlyStats!$T83="TRUE",MonthlyStats!J83+MonthlyStats!K83,"")</x:f>
      </x:c>
      <x:c r="I83" s="52" t="str">
        <x:f>IF(MonthlyStats!$T83="TRUE","₹"&amp;TEXT(MonthlyStats!O83,"#,##0")&amp;" public summary; "&amp;MonthlyStats!D83&amp;" cases","")</x:f>
      </x:c>
      <x:c r="J83" s="52" t="str">
        <x:f>IF(MonthlyStats!$T83="TRUE","#","")</x:f>
      </x:c>
      <x:c r="K83" s="52" t="str">
        <x:f>IF(MonthlyStats!$T83="TRUE",MonthlyStats!S83,"")</x:f>
      </x:c>
      <x:c r="L83" s="52" t="str">
        <x:f>IF(MonthlyStats!$T83="TRUE","Formula-linked","")</x:f>
      </x:c>
    </x:row>
    <x:row r="84">
      <x:c r="A84" s="52" t="str">
        <x:f>IF(MonthlyStats!$T84="TRUE",MonthlyStats!A84,"")</x:f>
      </x:c>
      <x:c r="B84" s="52" t="str">
        <x:f>IF(MonthlyStats!$T84="TRUE",MonthlyStats!B84,"")</x:f>
      </x:c>
      <x:c r="C84" s="52" t="str">
        <x:f>IF(MonthlyStats!$T84="TRUE",MonthlyStats!E84,"")</x:f>
      </x:c>
      <x:c r="D84" s="52" t="str">
        <x:f>IF(MonthlyStats!$T84="TRUE",MonthlyStats!F84,"")</x:f>
      </x:c>
      <x:c r="E84" s="52" t="str">
        <x:f>IF(MonthlyStats!$T84="TRUE",MonthlyStats!G84,"")</x:f>
      </x:c>
      <x:c r="F84" s="52" t="str">
        <x:f>IF(MonthlyStats!$T84="TRUE",MonthlyStats!H84,"")</x:f>
      </x:c>
      <x:c r="G84" s="52" t="str">
        <x:f>IF(MonthlyStats!$T84="TRUE",MonthlyStats!I84,"")</x:f>
      </x:c>
      <x:c r="H84" s="52" t="str">
        <x:f>IF(MonthlyStats!$T84="TRUE",MonthlyStats!J84+MonthlyStats!K84,"")</x:f>
      </x:c>
      <x:c r="I84" s="52" t="str">
        <x:f>IF(MonthlyStats!$T84="TRUE","₹"&amp;TEXT(MonthlyStats!O84,"#,##0")&amp;" public summary; "&amp;MonthlyStats!D84&amp;" cases","")</x:f>
      </x:c>
      <x:c r="J84" s="52" t="str">
        <x:f>IF(MonthlyStats!$T84="TRUE","#","")</x:f>
      </x:c>
      <x:c r="K84" s="52" t="str">
        <x:f>IF(MonthlyStats!$T84="TRUE",MonthlyStats!S84,"")</x:f>
      </x:c>
      <x:c r="L84" s="52" t="str">
        <x:f>IF(MonthlyStats!$T84="TRUE","Formula-linked","")</x:f>
      </x:c>
    </x:row>
    <x:row r="85">
      <x:c r="A85" s="52" t="str">
        <x:f>IF(MonthlyStats!$T85="TRUE",MonthlyStats!A85,"")</x:f>
      </x:c>
      <x:c r="B85" s="52" t="str">
        <x:f>IF(MonthlyStats!$T85="TRUE",MonthlyStats!B85,"")</x:f>
      </x:c>
      <x:c r="C85" s="52" t="str">
        <x:f>IF(MonthlyStats!$T85="TRUE",MonthlyStats!E85,"")</x:f>
      </x:c>
      <x:c r="D85" s="52" t="str">
        <x:f>IF(MonthlyStats!$T85="TRUE",MonthlyStats!F85,"")</x:f>
      </x:c>
      <x:c r="E85" s="52" t="str">
        <x:f>IF(MonthlyStats!$T85="TRUE",MonthlyStats!G85,"")</x:f>
      </x:c>
      <x:c r="F85" s="52" t="str">
        <x:f>IF(MonthlyStats!$T85="TRUE",MonthlyStats!H85,"")</x:f>
      </x:c>
      <x:c r="G85" s="52" t="str">
        <x:f>IF(MonthlyStats!$T85="TRUE",MonthlyStats!I85,"")</x:f>
      </x:c>
      <x:c r="H85" s="52" t="str">
        <x:f>IF(MonthlyStats!$T85="TRUE",MonthlyStats!J85+MonthlyStats!K85,"")</x:f>
      </x:c>
      <x:c r="I85" s="52" t="str">
        <x:f>IF(MonthlyStats!$T85="TRUE","₹"&amp;TEXT(MonthlyStats!O85,"#,##0")&amp;" public summary; "&amp;MonthlyStats!D85&amp;" cases","")</x:f>
      </x:c>
      <x:c r="J85" s="52" t="str">
        <x:f>IF(MonthlyStats!$T85="TRUE","#","")</x:f>
      </x:c>
      <x:c r="K85" s="52" t="str">
        <x:f>IF(MonthlyStats!$T85="TRUE",MonthlyStats!S85,"")</x:f>
      </x:c>
      <x:c r="L85" s="52" t="str">
        <x:f>IF(MonthlyStats!$T85="TRUE","Formula-linked","")</x:f>
      </x:c>
    </x:row>
    <x:row r="86">
      <x:c r="A86" s="52" t="str">
        <x:f>IF(MonthlyStats!$T86="TRUE",MonthlyStats!A86,"")</x:f>
      </x:c>
      <x:c r="B86" s="52" t="str">
        <x:f>IF(MonthlyStats!$T86="TRUE",MonthlyStats!B86,"")</x:f>
      </x:c>
      <x:c r="C86" s="52" t="str">
        <x:f>IF(MonthlyStats!$T86="TRUE",MonthlyStats!E86,"")</x:f>
      </x:c>
      <x:c r="D86" s="52" t="str">
        <x:f>IF(MonthlyStats!$T86="TRUE",MonthlyStats!F86,"")</x:f>
      </x:c>
      <x:c r="E86" s="52" t="str">
        <x:f>IF(MonthlyStats!$T86="TRUE",MonthlyStats!G86,"")</x:f>
      </x:c>
      <x:c r="F86" s="52" t="str">
        <x:f>IF(MonthlyStats!$T86="TRUE",MonthlyStats!H86,"")</x:f>
      </x:c>
      <x:c r="G86" s="52" t="str">
        <x:f>IF(MonthlyStats!$T86="TRUE",MonthlyStats!I86,"")</x:f>
      </x:c>
      <x:c r="H86" s="52" t="str">
        <x:f>IF(MonthlyStats!$T86="TRUE",MonthlyStats!J86+MonthlyStats!K86,"")</x:f>
      </x:c>
      <x:c r="I86" s="52" t="str">
        <x:f>IF(MonthlyStats!$T86="TRUE","₹"&amp;TEXT(MonthlyStats!O86,"#,##0")&amp;" public summary; "&amp;MonthlyStats!D86&amp;" cases","")</x:f>
      </x:c>
      <x:c r="J86" s="52" t="str">
        <x:f>IF(MonthlyStats!$T86="TRUE","#","")</x:f>
      </x:c>
      <x:c r="K86" s="52" t="str">
        <x:f>IF(MonthlyStats!$T86="TRUE",MonthlyStats!S86,"")</x:f>
      </x:c>
      <x:c r="L86" s="52" t="str">
        <x:f>IF(MonthlyStats!$T86="TRUE","Formula-linked","")</x:f>
      </x:c>
    </x:row>
    <x:row r="87">
      <x:c r="A87" s="52" t="str">
        <x:f>IF(MonthlyStats!$T87="TRUE",MonthlyStats!A87,"")</x:f>
      </x:c>
      <x:c r="B87" s="52" t="str">
        <x:f>IF(MonthlyStats!$T87="TRUE",MonthlyStats!B87,"")</x:f>
      </x:c>
      <x:c r="C87" s="52" t="str">
        <x:f>IF(MonthlyStats!$T87="TRUE",MonthlyStats!E87,"")</x:f>
      </x:c>
      <x:c r="D87" s="52" t="str">
        <x:f>IF(MonthlyStats!$T87="TRUE",MonthlyStats!F87,"")</x:f>
      </x:c>
      <x:c r="E87" s="52" t="str">
        <x:f>IF(MonthlyStats!$T87="TRUE",MonthlyStats!G87,"")</x:f>
      </x:c>
      <x:c r="F87" s="52" t="str">
        <x:f>IF(MonthlyStats!$T87="TRUE",MonthlyStats!H87,"")</x:f>
      </x:c>
      <x:c r="G87" s="52" t="str">
        <x:f>IF(MonthlyStats!$T87="TRUE",MonthlyStats!I87,"")</x:f>
      </x:c>
      <x:c r="H87" s="52" t="str">
        <x:f>IF(MonthlyStats!$T87="TRUE",MonthlyStats!J87+MonthlyStats!K87,"")</x:f>
      </x:c>
      <x:c r="I87" s="52" t="str">
        <x:f>IF(MonthlyStats!$T87="TRUE","₹"&amp;TEXT(MonthlyStats!O87,"#,##0")&amp;" public summary; "&amp;MonthlyStats!D87&amp;" cases","")</x:f>
      </x:c>
      <x:c r="J87" s="52" t="str">
        <x:f>IF(MonthlyStats!$T87="TRUE","#","")</x:f>
      </x:c>
      <x:c r="K87" s="52" t="str">
        <x:f>IF(MonthlyStats!$T87="TRUE",MonthlyStats!S87,"")</x:f>
      </x:c>
      <x:c r="L87" s="52" t="str">
        <x:f>IF(MonthlyStats!$T87="TRUE","Formula-linked","")</x:f>
      </x:c>
    </x:row>
    <x:row r="88">
      <x:c r="A88" s="52" t="str">
        <x:f>IF(MonthlyStats!$T88="TRUE",MonthlyStats!A88,"")</x:f>
      </x:c>
      <x:c r="B88" s="52" t="str">
        <x:f>IF(MonthlyStats!$T88="TRUE",MonthlyStats!B88,"")</x:f>
      </x:c>
      <x:c r="C88" s="52" t="str">
        <x:f>IF(MonthlyStats!$T88="TRUE",MonthlyStats!E88,"")</x:f>
      </x:c>
      <x:c r="D88" s="52" t="str">
        <x:f>IF(MonthlyStats!$T88="TRUE",MonthlyStats!F88,"")</x:f>
      </x:c>
      <x:c r="E88" s="52" t="str">
        <x:f>IF(MonthlyStats!$T88="TRUE",MonthlyStats!G88,"")</x:f>
      </x:c>
      <x:c r="F88" s="52" t="str">
        <x:f>IF(MonthlyStats!$T88="TRUE",MonthlyStats!H88,"")</x:f>
      </x:c>
      <x:c r="G88" s="52" t="str">
        <x:f>IF(MonthlyStats!$T88="TRUE",MonthlyStats!I88,"")</x:f>
      </x:c>
      <x:c r="H88" s="52" t="str">
        <x:f>IF(MonthlyStats!$T88="TRUE",MonthlyStats!J88+MonthlyStats!K88,"")</x:f>
      </x:c>
      <x:c r="I88" s="52" t="str">
        <x:f>IF(MonthlyStats!$T88="TRUE","₹"&amp;TEXT(MonthlyStats!O88,"#,##0")&amp;" public summary; "&amp;MonthlyStats!D88&amp;" cases","")</x:f>
      </x:c>
      <x:c r="J88" s="52" t="str">
        <x:f>IF(MonthlyStats!$T88="TRUE","#","")</x:f>
      </x:c>
      <x:c r="K88" s="52" t="str">
        <x:f>IF(MonthlyStats!$T88="TRUE",MonthlyStats!S88,"")</x:f>
      </x:c>
      <x:c r="L88" s="52" t="str">
        <x:f>IF(MonthlyStats!$T88="TRUE","Formula-linked","")</x:f>
      </x:c>
    </x:row>
    <x:row r="89">
      <x:c r="A89" s="52" t="str">
        <x:f>IF(MonthlyStats!$T89="TRUE",MonthlyStats!A89,"")</x:f>
      </x:c>
      <x:c r="B89" s="52" t="str">
        <x:f>IF(MonthlyStats!$T89="TRUE",MonthlyStats!B89,"")</x:f>
      </x:c>
      <x:c r="C89" s="52" t="str">
        <x:f>IF(MonthlyStats!$T89="TRUE",MonthlyStats!E89,"")</x:f>
      </x:c>
      <x:c r="D89" s="52" t="str">
        <x:f>IF(MonthlyStats!$T89="TRUE",MonthlyStats!F89,"")</x:f>
      </x:c>
      <x:c r="E89" s="52" t="str">
        <x:f>IF(MonthlyStats!$T89="TRUE",MonthlyStats!G89,"")</x:f>
      </x:c>
      <x:c r="F89" s="52" t="str">
        <x:f>IF(MonthlyStats!$T89="TRUE",MonthlyStats!H89,"")</x:f>
      </x:c>
      <x:c r="G89" s="52" t="str">
        <x:f>IF(MonthlyStats!$T89="TRUE",MonthlyStats!I89,"")</x:f>
      </x:c>
      <x:c r="H89" s="52" t="str">
        <x:f>IF(MonthlyStats!$T89="TRUE",MonthlyStats!J89+MonthlyStats!K89,"")</x:f>
      </x:c>
      <x:c r="I89" s="52" t="str">
        <x:f>IF(MonthlyStats!$T89="TRUE","₹"&amp;TEXT(MonthlyStats!O89,"#,##0")&amp;" public summary; "&amp;MonthlyStats!D89&amp;" cases","")</x:f>
      </x:c>
      <x:c r="J89" s="52" t="str">
        <x:f>IF(MonthlyStats!$T89="TRUE","#","")</x:f>
      </x:c>
      <x:c r="K89" s="52" t="str">
        <x:f>IF(MonthlyStats!$T89="TRUE",MonthlyStats!S89,"")</x:f>
      </x:c>
      <x:c r="L89" s="52" t="str">
        <x:f>IF(MonthlyStats!$T89="TRUE","Formula-linked","")</x:f>
      </x:c>
    </x:row>
    <x:row r="90">
      <x:c r="A90" s="52" t="str">
        <x:f>IF(MonthlyStats!$T90="TRUE",MonthlyStats!A90,"")</x:f>
      </x:c>
      <x:c r="B90" s="52" t="str">
        <x:f>IF(MonthlyStats!$T90="TRUE",MonthlyStats!B90,"")</x:f>
      </x:c>
      <x:c r="C90" s="52" t="str">
        <x:f>IF(MonthlyStats!$T90="TRUE",MonthlyStats!E90,"")</x:f>
      </x:c>
      <x:c r="D90" s="52" t="str">
        <x:f>IF(MonthlyStats!$T90="TRUE",MonthlyStats!F90,"")</x:f>
      </x:c>
      <x:c r="E90" s="52" t="str">
        <x:f>IF(MonthlyStats!$T90="TRUE",MonthlyStats!G90,"")</x:f>
      </x:c>
      <x:c r="F90" s="52" t="str">
        <x:f>IF(MonthlyStats!$T90="TRUE",MonthlyStats!H90,"")</x:f>
      </x:c>
      <x:c r="G90" s="52" t="str">
        <x:f>IF(MonthlyStats!$T90="TRUE",MonthlyStats!I90,"")</x:f>
      </x:c>
      <x:c r="H90" s="52" t="str">
        <x:f>IF(MonthlyStats!$T90="TRUE",MonthlyStats!J90+MonthlyStats!K90,"")</x:f>
      </x:c>
      <x:c r="I90" s="52" t="str">
        <x:f>IF(MonthlyStats!$T90="TRUE","₹"&amp;TEXT(MonthlyStats!O90,"#,##0")&amp;" public summary; "&amp;MonthlyStats!D90&amp;" cases","")</x:f>
      </x:c>
      <x:c r="J90" s="52" t="str">
        <x:f>IF(MonthlyStats!$T90="TRUE","#","")</x:f>
      </x:c>
      <x:c r="K90" s="52" t="str">
        <x:f>IF(MonthlyStats!$T90="TRUE",MonthlyStats!S90,"")</x:f>
      </x:c>
      <x:c r="L90" s="52" t="str">
        <x:f>IF(MonthlyStats!$T90="TRUE","Formula-linked","")</x:f>
      </x:c>
    </x:row>
    <x:row r="91">
      <x:c r="A91" s="52" t="str">
        <x:f>IF(MonthlyStats!$T91="TRUE",MonthlyStats!A91,"")</x:f>
      </x:c>
      <x:c r="B91" s="52" t="str">
        <x:f>IF(MonthlyStats!$T91="TRUE",MonthlyStats!B91,"")</x:f>
      </x:c>
      <x:c r="C91" s="52" t="str">
        <x:f>IF(MonthlyStats!$T91="TRUE",MonthlyStats!E91,"")</x:f>
      </x:c>
      <x:c r="D91" s="52" t="str">
        <x:f>IF(MonthlyStats!$T91="TRUE",MonthlyStats!F91,"")</x:f>
      </x:c>
      <x:c r="E91" s="52" t="str">
        <x:f>IF(MonthlyStats!$T91="TRUE",MonthlyStats!G91,"")</x:f>
      </x:c>
      <x:c r="F91" s="52" t="str">
        <x:f>IF(MonthlyStats!$T91="TRUE",MonthlyStats!H91,"")</x:f>
      </x:c>
      <x:c r="G91" s="52" t="str">
        <x:f>IF(MonthlyStats!$T91="TRUE",MonthlyStats!I91,"")</x:f>
      </x:c>
      <x:c r="H91" s="52" t="str">
        <x:f>IF(MonthlyStats!$T91="TRUE",MonthlyStats!J91+MonthlyStats!K91,"")</x:f>
      </x:c>
      <x:c r="I91" s="52" t="str">
        <x:f>IF(MonthlyStats!$T91="TRUE","₹"&amp;TEXT(MonthlyStats!O91,"#,##0")&amp;" public summary; "&amp;MonthlyStats!D91&amp;" cases","")</x:f>
      </x:c>
      <x:c r="J91" s="52" t="str">
        <x:f>IF(MonthlyStats!$T91="TRUE","#","")</x:f>
      </x:c>
      <x:c r="K91" s="52" t="str">
        <x:f>IF(MonthlyStats!$T91="TRUE",MonthlyStats!S91,"")</x:f>
      </x:c>
      <x:c r="L91" s="52" t="str">
        <x:f>IF(MonthlyStats!$T91="TRUE","Formula-linked","")</x:f>
      </x:c>
    </x:row>
    <x:row r="92">
      <x:c r="A92" s="52" t="str">
        <x:f>IF(MonthlyStats!$T92="TRUE",MonthlyStats!A92,"")</x:f>
      </x:c>
      <x:c r="B92" s="52" t="str">
        <x:f>IF(MonthlyStats!$T92="TRUE",MonthlyStats!B92,"")</x:f>
      </x:c>
      <x:c r="C92" s="52" t="str">
        <x:f>IF(MonthlyStats!$T92="TRUE",MonthlyStats!E92,"")</x:f>
      </x:c>
      <x:c r="D92" s="52" t="str">
        <x:f>IF(MonthlyStats!$T92="TRUE",MonthlyStats!F92,"")</x:f>
      </x:c>
      <x:c r="E92" s="52" t="str">
        <x:f>IF(MonthlyStats!$T92="TRUE",MonthlyStats!G92,"")</x:f>
      </x:c>
      <x:c r="F92" s="52" t="str">
        <x:f>IF(MonthlyStats!$T92="TRUE",MonthlyStats!H92,"")</x:f>
      </x:c>
      <x:c r="G92" s="52" t="str">
        <x:f>IF(MonthlyStats!$T92="TRUE",MonthlyStats!I92,"")</x:f>
      </x:c>
      <x:c r="H92" s="52" t="str">
        <x:f>IF(MonthlyStats!$T92="TRUE",MonthlyStats!J92+MonthlyStats!K92,"")</x:f>
      </x:c>
      <x:c r="I92" s="52" t="str">
        <x:f>IF(MonthlyStats!$T92="TRUE","₹"&amp;TEXT(MonthlyStats!O92,"#,##0")&amp;" public summary; "&amp;MonthlyStats!D92&amp;" cases","")</x:f>
      </x:c>
      <x:c r="J92" s="52" t="str">
        <x:f>IF(MonthlyStats!$T92="TRUE","#","")</x:f>
      </x:c>
      <x:c r="K92" s="52" t="str">
        <x:f>IF(MonthlyStats!$T92="TRUE",MonthlyStats!S92,"")</x:f>
      </x:c>
      <x:c r="L92" s="52" t="str">
        <x:f>IF(MonthlyStats!$T92="TRUE","Formula-linked","")</x:f>
      </x:c>
    </x:row>
    <x:row r="93">
      <x:c r="A93" s="52" t="str">
        <x:f>IF(MonthlyStats!$T93="TRUE",MonthlyStats!A93,"")</x:f>
      </x:c>
      <x:c r="B93" s="52" t="str">
        <x:f>IF(MonthlyStats!$T93="TRUE",MonthlyStats!B93,"")</x:f>
      </x:c>
      <x:c r="C93" s="52" t="str">
        <x:f>IF(MonthlyStats!$T93="TRUE",MonthlyStats!E93,"")</x:f>
      </x:c>
      <x:c r="D93" s="52" t="str">
        <x:f>IF(MonthlyStats!$T93="TRUE",MonthlyStats!F93,"")</x:f>
      </x:c>
      <x:c r="E93" s="52" t="str">
        <x:f>IF(MonthlyStats!$T93="TRUE",MonthlyStats!G93,"")</x:f>
      </x:c>
      <x:c r="F93" s="52" t="str">
        <x:f>IF(MonthlyStats!$T93="TRUE",MonthlyStats!H93,"")</x:f>
      </x:c>
      <x:c r="G93" s="52" t="str">
        <x:f>IF(MonthlyStats!$T93="TRUE",MonthlyStats!I93,"")</x:f>
      </x:c>
      <x:c r="H93" s="52" t="str">
        <x:f>IF(MonthlyStats!$T93="TRUE",MonthlyStats!J93+MonthlyStats!K93,"")</x:f>
      </x:c>
      <x:c r="I93" s="52" t="str">
        <x:f>IF(MonthlyStats!$T93="TRUE","₹"&amp;TEXT(MonthlyStats!O93,"#,##0")&amp;" public summary; "&amp;MonthlyStats!D93&amp;" cases","")</x:f>
      </x:c>
      <x:c r="J93" s="52" t="str">
        <x:f>IF(MonthlyStats!$T93="TRUE","#","")</x:f>
      </x:c>
      <x:c r="K93" s="52" t="str">
        <x:f>IF(MonthlyStats!$T93="TRUE",MonthlyStats!S93,"")</x:f>
      </x:c>
      <x:c r="L93" s="52" t="str">
        <x:f>IF(MonthlyStats!$T93="TRUE","Formula-linked","")</x:f>
      </x:c>
    </x:row>
    <x:row r="94">
      <x:c r="A94" s="52" t="str">
        <x:f>IF(MonthlyStats!$T94="TRUE",MonthlyStats!A94,"")</x:f>
      </x:c>
      <x:c r="B94" s="52" t="str">
        <x:f>IF(MonthlyStats!$T94="TRUE",MonthlyStats!B94,"")</x:f>
      </x:c>
      <x:c r="C94" s="52" t="str">
        <x:f>IF(MonthlyStats!$T94="TRUE",MonthlyStats!E94,"")</x:f>
      </x:c>
      <x:c r="D94" s="52" t="str">
        <x:f>IF(MonthlyStats!$T94="TRUE",MonthlyStats!F94,"")</x:f>
      </x:c>
      <x:c r="E94" s="52" t="str">
        <x:f>IF(MonthlyStats!$T94="TRUE",MonthlyStats!G94,"")</x:f>
      </x:c>
      <x:c r="F94" s="52" t="str">
        <x:f>IF(MonthlyStats!$T94="TRUE",MonthlyStats!H94,"")</x:f>
      </x:c>
      <x:c r="G94" s="52" t="str">
        <x:f>IF(MonthlyStats!$T94="TRUE",MonthlyStats!I94,"")</x:f>
      </x:c>
      <x:c r="H94" s="52" t="str">
        <x:f>IF(MonthlyStats!$T94="TRUE",MonthlyStats!J94+MonthlyStats!K94,"")</x:f>
      </x:c>
      <x:c r="I94" s="52" t="str">
        <x:f>IF(MonthlyStats!$T94="TRUE","₹"&amp;TEXT(MonthlyStats!O94,"#,##0")&amp;" public summary; "&amp;MonthlyStats!D94&amp;" cases","")</x:f>
      </x:c>
      <x:c r="J94" s="52" t="str">
        <x:f>IF(MonthlyStats!$T94="TRUE","#","")</x:f>
      </x:c>
      <x:c r="K94" s="52" t="str">
        <x:f>IF(MonthlyStats!$T94="TRUE",MonthlyStats!S94,"")</x:f>
      </x:c>
      <x:c r="L94" s="52" t="str">
        <x:f>IF(MonthlyStats!$T94="TRUE","Formula-linked","")</x:f>
      </x:c>
    </x:row>
    <x:row r="95">
      <x:c r="A95" s="52" t="str">
        <x:f>IF(MonthlyStats!$T95="TRUE",MonthlyStats!A95,"")</x:f>
      </x:c>
      <x:c r="B95" s="52" t="str">
        <x:f>IF(MonthlyStats!$T95="TRUE",MonthlyStats!B95,"")</x:f>
      </x:c>
      <x:c r="C95" s="52" t="str">
        <x:f>IF(MonthlyStats!$T95="TRUE",MonthlyStats!E95,"")</x:f>
      </x:c>
      <x:c r="D95" s="52" t="str">
        <x:f>IF(MonthlyStats!$T95="TRUE",MonthlyStats!F95,"")</x:f>
      </x:c>
      <x:c r="E95" s="52" t="str">
        <x:f>IF(MonthlyStats!$T95="TRUE",MonthlyStats!G95,"")</x:f>
      </x:c>
      <x:c r="F95" s="52" t="str">
        <x:f>IF(MonthlyStats!$T95="TRUE",MonthlyStats!H95,"")</x:f>
      </x:c>
      <x:c r="G95" s="52" t="str">
        <x:f>IF(MonthlyStats!$T95="TRUE",MonthlyStats!I95,"")</x:f>
      </x:c>
      <x:c r="H95" s="52" t="str">
        <x:f>IF(MonthlyStats!$T95="TRUE",MonthlyStats!J95+MonthlyStats!K95,"")</x:f>
      </x:c>
      <x:c r="I95" s="52" t="str">
        <x:f>IF(MonthlyStats!$T95="TRUE","₹"&amp;TEXT(MonthlyStats!O95,"#,##0")&amp;" public summary; "&amp;MonthlyStats!D95&amp;" cases","")</x:f>
      </x:c>
      <x:c r="J95" s="52" t="str">
        <x:f>IF(MonthlyStats!$T95="TRUE","#","")</x:f>
      </x:c>
      <x:c r="K95" s="52" t="str">
        <x:f>IF(MonthlyStats!$T95="TRUE",MonthlyStats!S95,"")</x:f>
      </x:c>
      <x:c r="L95" s="52" t="str">
        <x:f>IF(MonthlyStats!$T95="TRUE","Formula-linked","")</x:f>
      </x:c>
    </x:row>
    <x:row r="96">
      <x:c r="A96" s="52" t="str">
        <x:f>IF(MonthlyStats!$T96="TRUE",MonthlyStats!A96,"")</x:f>
      </x:c>
      <x:c r="B96" s="52" t="str">
        <x:f>IF(MonthlyStats!$T96="TRUE",MonthlyStats!B96,"")</x:f>
      </x:c>
      <x:c r="C96" s="52" t="str">
        <x:f>IF(MonthlyStats!$T96="TRUE",MonthlyStats!E96,"")</x:f>
      </x:c>
      <x:c r="D96" s="52" t="str">
        <x:f>IF(MonthlyStats!$T96="TRUE",MonthlyStats!F96,"")</x:f>
      </x:c>
      <x:c r="E96" s="52" t="str">
        <x:f>IF(MonthlyStats!$T96="TRUE",MonthlyStats!G96,"")</x:f>
      </x:c>
      <x:c r="F96" s="52" t="str">
        <x:f>IF(MonthlyStats!$T96="TRUE",MonthlyStats!H96,"")</x:f>
      </x:c>
      <x:c r="G96" s="52" t="str">
        <x:f>IF(MonthlyStats!$T96="TRUE",MonthlyStats!I96,"")</x:f>
      </x:c>
      <x:c r="H96" s="52" t="str">
        <x:f>IF(MonthlyStats!$T96="TRUE",MonthlyStats!J96+MonthlyStats!K96,"")</x:f>
      </x:c>
      <x:c r="I96" s="52" t="str">
        <x:f>IF(MonthlyStats!$T96="TRUE","₹"&amp;TEXT(MonthlyStats!O96,"#,##0")&amp;" public summary; "&amp;MonthlyStats!D96&amp;" cases","")</x:f>
      </x:c>
      <x:c r="J96" s="52" t="str">
        <x:f>IF(MonthlyStats!$T96="TRUE","#","")</x:f>
      </x:c>
      <x:c r="K96" s="52" t="str">
        <x:f>IF(MonthlyStats!$T96="TRUE",MonthlyStats!S96,"")</x:f>
      </x:c>
      <x:c r="L96" s="52" t="str">
        <x:f>IF(MonthlyStats!$T96="TRUE","Formula-linked","")</x:f>
      </x:c>
    </x:row>
    <x:row r="97">
      <x:c r="A97" s="52" t="str">
        <x:f>IF(MonthlyStats!$T97="TRUE",MonthlyStats!A97,"")</x:f>
      </x:c>
      <x:c r="B97" s="52" t="str">
        <x:f>IF(MonthlyStats!$T97="TRUE",MonthlyStats!B97,"")</x:f>
      </x:c>
      <x:c r="C97" s="52" t="str">
        <x:f>IF(MonthlyStats!$T97="TRUE",MonthlyStats!E97,"")</x:f>
      </x:c>
      <x:c r="D97" s="52" t="str">
        <x:f>IF(MonthlyStats!$T97="TRUE",MonthlyStats!F97,"")</x:f>
      </x:c>
      <x:c r="E97" s="52" t="str">
        <x:f>IF(MonthlyStats!$T97="TRUE",MonthlyStats!G97,"")</x:f>
      </x:c>
      <x:c r="F97" s="52" t="str">
        <x:f>IF(MonthlyStats!$T97="TRUE",MonthlyStats!H97,"")</x:f>
      </x:c>
      <x:c r="G97" s="52" t="str">
        <x:f>IF(MonthlyStats!$T97="TRUE",MonthlyStats!I97,"")</x:f>
      </x:c>
      <x:c r="H97" s="52" t="str">
        <x:f>IF(MonthlyStats!$T97="TRUE",MonthlyStats!J97+MonthlyStats!K97,"")</x:f>
      </x:c>
      <x:c r="I97" s="52" t="str">
        <x:f>IF(MonthlyStats!$T97="TRUE","₹"&amp;TEXT(MonthlyStats!O97,"#,##0")&amp;" public summary; "&amp;MonthlyStats!D97&amp;" cases","")</x:f>
      </x:c>
      <x:c r="J97" s="52" t="str">
        <x:f>IF(MonthlyStats!$T97="TRUE","#","")</x:f>
      </x:c>
      <x:c r="K97" s="52" t="str">
        <x:f>IF(MonthlyStats!$T97="TRUE",MonthlyStats!S97,"")</x:f>
      </x:c>
      <x:c r="L97" s="52" t="str">
        <x:f>IF(MonthlyStats!$T97="TRUE","Formula-linked","")</x:f>
      </x:c>
    </x:row>
    <x:row r="98">
      <x:c r="A98" s="52" t="str">
        <x:f>IF(MonthlyStats!$T98="TRUE",MonthlyStats!A98,"")</x:f>
      </x:c>
      <x:c r="B98" s="52" t="str">
        <x:f>IF(MonthlyStats!$T98="TRUE",MonthlyStats!B98,"")</x:f>
      </x:c>
      <x:c r="C98" s="52" t="str">
        <x:f>IF(MonthlyStats!$T98="TRUE",MonthlyStats!E98,"")</x:f>
      </x:c>
      <x:c r="D98" s="52" t="str">
        <x:f>IF(MonthlyStats!$T98="TRUE",MonthlyStats!F98,"")</x:f>
      </x:c>
      <x:c r="E98" s="52" t="str">
        <x:f>IF(MonthlyStats!$T98="TRUE",MonthlyStats!G98,"")</x:f>
      </x:c>
      <x:c r="F98" s="52" t="str">
        <x:f>IF(MonthlyStats!$T98="TRUE",MonthlyStats!H98,"")</x:f>
      </x:c>
      <x:c r="G98" s="52" t="str">
        <x:f>IF(MonthlyStats!$T98="TRUE",MonthlyStats!I98,"")</x:f>
      </x:c>
      <x:c r="H98" s="52" t="str">
        <x:f>IF(MonthlyStats!$T98="TRUE",MonthlyStats!J98+MonthlyStats!K98,"")</x:f>
      </x:c>
      <x:c r="I98" s="52" t="str">
        <x:f>IF(MonthlyStats!$T98="TRUE","₹"&amp;TEXT(MonthlyStats!O98,"#,##0")&amp;" public summary; "&amp;MonthlyStats!D98&amp;" cases","")</x:f>
      </x:c>
      <x:c r="J98" s="52" t="str">
        <x:f>IF(MonthlyStats!$T98="TRUE","#","")</x:f>
      </x:c>
      <x:c r="K98" s="52" t="str">
        <x:f>IF(MonthlyStats!$T98="TRUE",MonthlyStats!S98,"")</x:f>
      </x:c>
      <x:c r="L98" s="52" t="str">
        <x:f>IF(MonthlyStats!$T98="TRUE","Formula-linked","")</x:f>
      </x:c>
    </x:row>
    <x:row r="99">
      <x:c r="A99" s="52" t="str">
        <x:f>IF(MonthlyStats!$T99="TRUE",MonthlyStats!A99,"")</x:f>
      </x:c>
      <x:c r="B99" s="52" t="str">
        <x:f>IF(MonthlyStats!$T99="TRUE",MonthlyStats!B99,"")</x:f>
      </x:c>
      <x:c r="C99" s="52" t="str">
        <x:f>IF(MonthlyStats!$T99="TRUE",MonthlyStats!E99,"")</x:f>
      </x:c>
      <x:c r="D99" s="52" t="str">
        <x:f>IF(MonthlyStats!$T99="TRUE",MonthlyStats!F99,"")</x:f>
      </x:c>
      <x:c r="E99" s="52" t="str">
        <x:f>IF(MonthlyStats!$T99="TRUE",MonthlyStats!G99,"")</x:f>
      </x:c>
      <x:c r="F99" s="52" t="str">
        <x:f>IF(MonthlyStats!$T99="TRUE",MonthlyStats!H99,"")</x:f>
      </x:c>
      <x:c r="G99" s="52" t="str">
        <x:f>IF(MonthlyStats!$T99="TRUE",MonthlyStats!I99,"")</x:f>
      </x:c>
      <x:c r="H99" s="52" t="str">
        <x:f>IF(MonthlyStats!$T99="TRUE",MonthlyStats!J99+MonthlyStats!K99,"")</x:f>
      </x:c>
      <x:c r="I99" s="52" t="str">
        <x:f>IF(MonthlyStats!$T99="TRUE","₹"&amp;TEXT(MonthlyStats!O99,"#,##0")&amp;" public summary; "&amp;MonthlyStats!D99&amp;" cases","")</x:f>
      </x:c>
      <x:c r="J99" s="52" t="str">
        <x:f>IF(MonthlyStats!$T99="TRUE","#","")</x:f>
      </x:c>
      <x:c r="K99" s="52" t="str">
        <x:f>IF(MonthlyStats!$T99="TRUE",MonthlyStats!S99,"")</x:f>
      </x:c>
      <x:c r="L99" s="52" t="str">
        <x:f>IF(MonthlyStats!$T99="TRUE","Formula-linked","")</x:f>
      </x:c>
    </x:row>
    <x:row r="100">
      <x:c r="A100" s="52" t="str">
        <x:f>IF(MonthlyStats!$T100="TRUE",MonthlyStats!A100,"")</x:f>
      </x:c>
      <x:c r="B100" s="52" t="str">
        <x:f>IF(MonthlyStats!$T100="TRUE",MonthlyStats!B100,"")</x:f>
      </x:c>
      <x:c r="C100" s="52" t="str">
        <x:f>IF(MonthlyStats!$T100="TRUE",MonthlyStats!E100,"")</x:f>
      </x:c>
      <x:c r="D100" s="52" t="str">
        <x:f>IF(MonthlyStats!$T100="TRUE",MonthlyStats!F100,"")</x:f>
      </x:c>
      <x:c r="E100" s="52" t="str">
        <x:f>IF(MonthlyStats!$T100="TRUE",MonthlyStats!G100,"")</x:f>
      </x:c>
      <x:c r="F100" s="52" t="str">
        <x:f>IF(MonthlyStats!$T100="TRUE",MonthlyStats!H100,"")</x:f>
      </x:c>
      <x:c r="G100" s="52" t="str">
        <x:f>IF(MonthlyStats!$T100="TRUE",MonthlyStats!I100,"")</x:f>
      </x:c>
      <x:c r="H100" s="52" t="str">
        <x:f>IF(MonthlyStats!$T100="TRUE",MonthlyStats!J100+MonthlyStats!K100,"")</x:f>
      </x:c>
      <x:c r="I100" s="52" t="str">
        <x:f>IF(MonthlyStats!$T100="TRUE","₹"&amp;TEXT(MonthlyStats!O100,"#,##0")&amp;" public summary; "&amp;MonthlyStats!D100&amp;" cases","")</x:f>
      </x:c>
      <x:c r="J100" s="52" t="str">
        <x:f>IF(MonthlyStats!$T100="TRUE","#","")</x:f>
      </x:c>
      <x:c r="K100" s="52" t="str">
        <x:f>IF(MonthlyStats!$T100="TRUE",MonthlyStats!S100,"")</x:f>
      </x:c>
      <x:c r="L100" s="52" t="str">
        <x:f>IF(MonthlyStats!$T100="TRUE","Formula-linked","")</x:f>
      </x:c>
    </x:row>
    <x:row r="101">
      <x:c r="A101" s="52" t="str">
        <x:f>IF(MonthlyStats!$T101="TRUE",MonthlyStats!A101,"")</x:f>
      </x:c>
      <x:c r="B101" s="52" t="str">
        <x:f>IF(MonthlyStats!$T101="TRUE",MonthlyStats!B101,"")</x:f>
      </x:c>
      <x:c r="C101" s="52" t="str">
        <x:f>IF(MonthlyStats!$T101="TRUE",MonthlyStats!E101,"")</x:f>
      </x:c>
      <x:c r="D101" s="52" t="str">
        <x:f>IF(MonthlyStats!$T101="TRUE",MonthlyStats!F101,"")</x:f>
      </x:c>
      <x:c r="E101" s="52" t="str">
        <x:f>IF(MonthlyStats!$T101="TRUE",MonthlyStats!G101,"")</x:f>
      </x:c>
      <x:c r="F101" s="52" t="str">
        <x:f>IF(MonthlyStats!$T101="TRUE",MonthlyStats!H101,"")</x:f>
      </x:c>
      <x:c r="G101" s="52" t="str">
        <x:f>IF(MonthlyStats!$T101="TRUE",MonthlyStats!I101,"")</x:f>
      </x:c>
      <x:c r="H101" s="52" t="str">
        <x:f>IF(MonthlyStats!$T101="TRUE",MonthlyStats!J101+MonthlyStats!K101,"")</x:f>
      </x:c>
      <x:c r="I101" s="52" t="str">
        <x:f>IF(MonthlyStats!$T101="TRUE","₹"&amp;TEXT(MonthlyStats!O101,"#,##0")&amp;" public summary; "&amp;MonthlyStats!D101&amp;" cases","")</x:f>
      </x:c>
      <x:c r="J101" s="52" t="str">
        <x:f>IF(MonthlyStats!$T101="TRUE","#","")</x:f>
      </x:c>
      <x:c r="K101" s="52" t="str">
        <x:f>IF(MonthlyStats!$T101="TRUE",MonthlyStats!S101,"")</x:f>
      </x:c>
      <x:c r="L101" s="52" t="str">
        <x:f>IF(MonthlyStats!$T101="TRUE","Formula-linked","")</x:f>
      </x:c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36" hidden="0" customWidth="1"/>
  </x:cols>
  <x:sheetData>
    <x:row r="1" ht="24" customHeight="1">
      <x:c r="A1" s="49" t="str">
        <x:v>case_id</x:v>
      </x:c>
      <x:c r="B1" s="49" t="str">
        <x:v>title</x:v>
      </x:c>
      <x:c r="C1" s="49" t="str">
        <x:v>anonymized_name</x:v>
      </x:c>
      <x:c r="D1" s="49" t="str">
        <x:v>category</x:v>
      </x:c>
      <x:c r="E1" s="49" t="str">
        <x:v>support_type</x:v>
      </x:c>
      <x:c r="F1" s="49" t="str">
        <x:v>fund_type</x:v>
      </x:c>
      <x:c r="G1" s="49" t="str">
        <x:v>period_label</x:v>
      </x:c>
      <x:c r="H1" s="49" t="str">
        <x:v>public_location</x:v>
      </x:c>
      <x:c r="I1" s="49" t="str">
        <x:v>amount_range</x:v>
      </x:c>
      <x:c r="J1" s="49" t="str">
        <x:v>need</x:v>
      </x:c>
      <x:c r="K1" s="49" t="str">
        <x:v>support_provided</x:v>
      </x:c>
      <x:c r="L1" s="49" t="str">
        <x:v>outcome</x:v>
      </x:c>
      <x:c r="M1" s="49" t="str">
        <x:v>follow_up</x:v>
      </x:c>
      <x:c r="N1" s="49" t="str">
        <x:v>quote_placeholder</x:v>
      </x:c>
      <x:c r="O1" s="49" t="str">
        <x:v>privacy_note</x:v>
      </x:c>
      <x:c r="P1" s="49" t="str">
        <x:v>published</x:v>
      </x:c>
      <x:c r="Q1" s="49" t="str">
        <x:v>publish_status</x:v>
      </x:c>
      <x:c r="R1" s="49" t="str">
        <x:v>image_url_1</x:v>
      </x:c>
      <x:c r="S1" s="49" t="str">
        <x:v>image_alt_1</x:v>
      </x:c>
      <x:c r="T1" s="49" t="str">
        <x:v>image_caption_1</x:v>
      </x:c>
      <x:c r="U1" s="49" t="str">
        <x:v>image_url_2</x:v>
      </x:c>
      <x:c r="V1" s="49" t="str">
        <x:v>image_alt_2</x:v>
      </x:c>
      <x:c r="W1" s="49" t="str">
        <x:v>image_caption_2</x:v>
      </x:c>
      <x:c r="X1" s="49" t="str">
        <x:v>image_url_3</x:v>
      </x:c>
      <x:c r="Y1" s="49" t="str">
        <x:v>image_alt_3</x:v>
      </x:c>
      <x:c r="Z1" s="49" t="str">
        <x:v>image_caption_3</x:v>
      </x:c>
      <x:c r="AA1" s="49" t="str">
        <x:v>image_consent_status</x:v>
      </x:c>
      <x:c r="AB1" s="49" t="str">
        <x:v>image_publish_notes</x:v>
      </x:c>
      <x:c r="AC1" s="43"/>
    </x:row>
    <x:row r="2">
      <x:c r="A2" s="52" t="str">
        <x:f>IF(CaseLedger!$A2="","",IFERROR(CaseLedger!$A2,""))</x:f>
        <x:v>HUM-001</x:v>
      </x:c>
      <x:c r="B2" s="52" t="str">
        <x:f>IF(CaseLedger!$A2="","",IFERROR(CaseLedger!$H2,""))</x:f>
        <x:v>1 Sewing Machine + Installation</x:v>
      </x:c>
      <x:c r="C2" s="52" t="str">
        <x:f>IF(CaseLedger!$A2="","",IFERROR(CaseLedger!$I2,""))</x:f>
        <x:v>Anonymized case HUM-001</x:v>
      </x:c>
      <x:c r="D2" s="52" t="str">
        <x:f>IF(CaseLedger!$A2="","",IFERROR(CaseLedger!$J2,""))</x:f>
        <x:v>Livelihood</x:v>
      </x:c>
      <x:c r="E2" s="52" t="str">
        <x:f>IF(CaseLedger!$A2="","",IFERROR(CaseLedger!$K2,""))</x:f>
        <x:v>Sewing / tailoring</x:v>
      </x:c>
      <x:c r="F2" s="52" t="str">
        <x:f>IF(CaseLedger!$A2="","",IFERROR(CaseLedger!$O2,""))</x:f>
        <x:v>Sadaqah</x:v>
      </x:c>
      <x:c r="G2" s="52" t="str">
        <x:f>IF(CaseLedger!$A2="","",IFERROR(CaseLedger!$E2,""))</x:f>
        <x:v>Sep 2024</x:v>
      </x:c>
      <x:c r="H2" s="52" t="str">
        <x:f>IF(CaseLedger!$A2="","",IFERROR(CaseLedger!$P2,""))</x:f>
        <x:v>Kanpur</x:v>
      </x:c>
      <x:c r="I2" s="52" t="str">
        <x:f>IF(CaseLedger!$A2="","",IFERROR(CaseLedger!$Q2,""))</x:f>
        <x:v>₹5,000–₹10,000</x:v>
      </x:c>
      <x:c r="J2" s="52" t="str">
        <x:f>IF(CaseLedger!$A2="","",IFERROR(CaseLedger!$R2,""))</x:f>
        <x:v>A verified recipient/family needed support related to sewing / tailoring.</x:v>
      </x:c>
      <x:c r="K2" s="52" t="str">
        <x:f>IF(CaseLedger!$A2="","",IFERROR(CaseLedger!$S2,""))</x:f>
        <x:v>Humanitarians supported the case through Sadaqah funds for 1 sewing machine + installation.</x:v>
      </x:c>
      <x:c r="L2" s="52" t="str">
        <x:f>IF(CaseLedger!$A2="","",IFERROR(CaseLedger!$T2,""))</x:f>
        <x:v>Outcome/update should be added only after verified follow-up.</x:v>
      </x:c>
      <x:c r="M2" s="52" t="str">
        <x:f>IF(CaseLedger!$A2="","",IFERROR(CaseLedger!$U2,""))</x:f>
        <x:v>Add follow-up notes after checking with the verification team.</x:v>
      </x:c>
      <x:c r="N2" s="52" t="str">
        <x:f>IF(CaseLedger!$A2="","",IFERROR(CaseLedger!$V2,""))</x:f>
        <x:v>Add a real quote only with consent; do not publish this placeholder as a recipient quote.</x:v>
      </x:c>
      <x:c r="O2" s="52" t="str">
        <x:f>IF(CaseLedger!$A2="","",IFERROR(CaseLedger!$W2,""))</x:f>
        <x:v>Anonymized public summary; no full name, phone, address, ID, bank details, or donor identity included.</x:v>
      </x:c>
      <x:c r="P2" s="52" t="str">
        <x:f>IF(CaseLedger!$A2="","",IFERROR(CaseLedger!$C2,""))</x:f>
        <x:v>No</x:v>
      </x:c>
      <x:c r="Q2" s="52" t="str">
        <x:f>IF(CaseLedger!$A2="","",IFERROR(CaseLedger!$D2,""))</x:f>
        <x:v>Draft</x:v>
      </x:c>
      <x:c r="R2" s="52" t="str">
        <x:f>IF(CaseLedger!$A2="","",IFERROR(CaseLedger!$X2,""))</x:f>
      </x:c>
      <x:c r="S2" s="52" t="str">
        <x:f>IF(CaseLedger!$A2="","",IFERROR(CaseLedger!$Y2,""))</x:f>
        <x:v>Anonymized Humanitarians case image 1 for HUM-001</x:v>
      </x:c>
      <x:c r="T2" s="52" t="str">
        <x:f>IF(CaseLedger!$A2="","",IFERROR(CaseLedger!$Z2,""))</x:f>
        <x:v>Before/support context image - add only after consent.</x:v>
      </x:c>
      <x:c r="U2" s="52" t="str">
        <x:f>IF(CaseLedger!$A2="","",IFERROR(CaseLedger!$AA2,""))</x:f>
      </x:c>
      <x:c r="V2" s="52" t="str">
        <x:f>IF(CaseLedger!$A2="","",IFERROR(CaseLedger!$AB2,""))</x:f>
        <x:v>Anonymized Humanitarians case image 2 for HUM-001</x:v>
      </x:c>
      <x:c r="W2" s="52" t="str">
        <x:f>IF(CaseLedger!$A2="","",IFERROR(CaseLedger!$AC2,""))</x:f>
        <x:v>Support/equipment image - add only after consent.</x:v>
      </x:c>
      <x:c r="X2" s="52" t="str">
        <x:f>IF(CaseLedger!$A2="","",IFERROR(CaseLedger!$AD2,""))</x:f>
      </x:c>
      <x:c r="Y2" s="52" t="str">
        <x:f>IF(CaseLedger!$A2="","",IFERROR(CaseLedger!$AE2,""))</x:f>
        <x:v>Anonymized Humanitarians case image 3 for HUM-001</x:v>
      </x:c>
      <x:c r="Z2" s="52" t="str">
        <x:f>IF(CaseLedger!$A2="","",IFERROR(CaseLedger!$AF2,""))</x:f>
        <x:v>Outcome/follow-up image - add only after consent.</x:v>
      </x:c>
      <x:c r="AA2" s="52" t="str">
        <x:f>IF(CaseLedger!$A2="","",IFERROR(CaseLedger!$AG2,""))</x:f>
        <x:v>Pending consent</x:v>
      </x:c>
      <x:c r="AB2" s="52" t="str">
        <x:f>IF(CaseLedger!$A2="","",IFERROR(CaseLedger!$AH2,""))</x:f>
        <x:v>Paste public Google Drive image URLs only after recipient consent and privacy review.</x:v>
      </x:c>
      <x:c r="AC2"/>
    </x:row>
    <x:row r="3">
      <x:c r="A3" s="52" t="str">
        <x:f>IF(CaseLedger!$A3="","",IFERROR(CaseLedger!$A3,""))</x:f>
        <x:v>HUM-002</x:v>
      </x:c>
      <x:c r="B3" s="52" t="str">
        <x:f>IF(CaseLedger!$A3="","",IFERROR(CaseLedger!$H3,""))</x:f>
        <x:v>3 Sewing Machines</x:v>
      </x:c>
      <x:c r="C3" s="52" t="str">
        <x:f>IF(CaseLedger!$A3="","",IFERROR(CaseLedger!$I3,""))</x:f>
        <x:v>Anonymized case HUM-002</x:v>
      </x:c>
      <x:c r="D3" s="52" t="str">
        <x:f>IF(CaseLedger!$A3="","",IFERROR(CaseLedger!$J3,""))</x:f>
        <x:v>Livelihood</x:v>
      </x:c>
      <x:c r="E3" s="52" t="str">
        <x:f>IF(CaseLedger!$A3="","",IFERROR(CaseLedger!$K3,""))</x:f>
        <x:v>Sewing / tailoring</x:v>
      </x:c>
      <x:c r="F3" s="52" t="str">
        <x:f>IF(CaseLedger!$A3="","",IFERROR(CaseLedger!$O3,""))</x:f>
        <x:v>Sadaqah</x:v>
      </x:c>
      <x:c r="G3" s="52" t="str">
        <x:f>IF(CaseLedger!$A3="","",IFERROR(CaseLedger!$E3,""))</x:f>
        <x:v>Sep 2024</x:v>
      </x:c>
      <x:c r="H3" s="52" t="str">
        <x:f>IF(CaseLedger!$A3="","",IFERROR(CaseLedger!$P3,""))</x:f>
        <x:v>Basti</x:v>
      </x:c>
      <x:c r="I3" s="52" t="str">
        <x:f>IF(CaseLedger!$A3="","",IFERROR(CaseLedger!$Q3,""))</x:f>
        <x:v>₹15,000–₹25,000</x:v>
      </x:c>
      <x:c r="J3" s="52" t="str">
        <x:f>IF(CaseLedger!$A3="","",IFERROR(CaseLedger!$R3,""))</x:f>
        <x:v>A verified recipient/family needed support related to sewing / tailoring.</x:v>
      </x:c>
      <x:c r="K3" s="52" t="str">
        <x:f>IF(CaseLedger!$A3="","",IFERROR(CaseLedger!$S3,""))</x:f>
        <x:v>Humanitarians supported the case through Sadaqah funds for 3 sewing machines.</x:v>
      </x:c>
      <x:c r="L3" s="52" t="str">
        <x:f>IF(CaseLedger!$A3="","",IFERROR(CaseLedger!$T3,""))</x:f>
        <x:v>Outcome/update should be added only after verified follow-up.</x:v>
      </x:c>
      <x:c r="M3" s="52" t="str">
        <x:f>IF(CaseLedger!$A3="","",IFERROR(CaseLedger!$U3,""))</x:f>
        <x:v>Add follow-up notes after checking with the verification team.</x:v>
      </x:c>
      <x:c r="N3" s="52" t="str">
        <x:f>IF(CaseLedger!$A3="","",IFERROR(CaseLedger!$V3,""))</x:f>
        <x:v>Add a real quote only with consent; do not publish this placeholder as a recipient quote.</x:v>
      </x:c>
      <x:c r="O3" s="52" t="str">
        <x:f>IF(CaseLedger!$A3="","",IFERROR(CaseLedger!$W3,""))</x:f>
        <x:v>Anonymized public summary; no full name, phone, address, ID, bank details, or donor identity included.</x:v>
      </x:c>
      <x:c r="P3" s="52" t="str">
        <x:f>IF(CaseLedger!$A3="","",IFERROR(CaseLedger!$C3,""))</x:f>
        <x:v>No</x:v>
      </x:c>
      <x:c r="Q3" s="52" t="str">
        <x:f>IF(CaseLedger!$A3="","",IFERROR(CaseLedger!$D3,""))</x:f>
        <x:v>Draft</x:v>
      </x:c>
      <x:c r="R3" s="52" t="str">
        <x:f>IF(CaseLedger!$A3="","",IFERROR(CaseLedger!$X3,""))</x:f>
      </x:c>
      <x:c r="S3" s="52" t="str">
        <x:f>IF(CaseLedger!$A3="","",IFERROR(CaseLedger!$Y3,""))</x:f>
        <x:v>Anonymized Humanitarians case image 1 for HUM-002</x:v>
      </x:c>
      <x:c r="T3" s="52" t="str">
        <x:f>IF(CaseLedger!$A3="","",IFERROR(CaseLedger!$Z3,""))</x:f>
        <x:v>Before/support context image - add only after consent.</x:v>
      </x:c>
      <x:c r="U3" s="52" t="str">
        <x:f>IF(CaseLedger!$A3="","",IFERROR(CaseLedger!$AA3,""))</x:f>
      </x:c>
      <x:c r="V3" s="52" t="str">
        <x:f>IF(CaseLedger!$A3="","",IFERROR(CaseLedger!$AB3,""))</x:f>
        <x:v>Anonymized Humanitarians case image 2 for HUM-002</x:v>
      </x:c>
      <x:c r="W3" s="52" t="str">
        <x:f>IF(CaseLedger!$A3="","",IFERROR(CaseLedger!$AC3,""))</x:f>
        <x:v>Support/equipment image - add only after consent.</x:v>
      </x:c>
      <x:c r="X3" s="52" t="str">
        <x:f>IF(CaseLedger!$A3="","",IFERROR(CaseLedger!$AD3,""))</x:f>
      </x:c>
      <x:c r="Y3" s="52" t="str">
        <x:f>IF(CaseLedger!$A3="","",IFERROR(CaseLedger!$AE3,""))</x:f>
        <x:v>Anonymized Humanitarians case image 3 for HUM-002</x:v>
      </x:c>
      <x:c r="Z3" s="52" t="str">
        <x:f>IF(CaseLedger!$A3="","",IFERROR(CaseLedger!$AF3,""))</x:f>
        <x:v>Outcome/follow-up image - add only after consent.</x:v>
      </x:c>
      <x:c r="AA3" s="52" t="str">
        <x:f>IF(CaseLedger!$A3="","",IFERROR(CaseLedger!$AG3,""))</x:f>
        <x:v>Pending consent</x:v>
      </x:c>
      <x:c r="AB3" s="52" t="str">
        <x:f>IF(CaseLedger!$A3="","",IFERROR(CaseLedger!$AH3,""))</x:f>
        <x:v>Paste public Google Drive image URLs only after recipient consent and privacy review.</x:v>
      </x:c>
      <x:c r="AC3"/>
    </x:row>
    <x:row r="4">
      <x:c r="A4" s="52" t="str">
        <x:f>IF(CaseLedger!$A4="","",IFERROR(CaseLedger!$A4,""))</x:f>
        <x:v>HUM-003</x:v>
      </x:c>
      <x:c r="B4" s="52" t="str">
        <x:f>IF(CaseLedger!$A4="","",IFERROR(CaseLedger!$H4,""))</x:f>
        <x:v>Ration + Transportation</x:v>
      </x:c>
      <x:c r="C4" s="52" t="str">
        <x:f>IF(CaseLedger!$A4="","",IFERROR(CaseLedger!$I4,""))</x:f>
        <x:v>Anonymized case HUM-003</x:v>
      </x:c>
      <x:c r="D4" s="52" t="str">
        <x:f>IF(CaseLedger!$A4="","",IFERROR(CaseLedger!$J4,""))</x:f>
        <x:v>Emergency Support</x:v>
      </x:c>
      <x:c r="E4" s="52" t="str">
        <x:f>IF(CaseLedger!$A4="","",IFERROR(CaseLedger!$K4,""))</x:f>
        <x:v>Relief / emergency support</x:v>
      </x:c>
      <x:c r="F4" s="52" t="str">
        <x:f>IF(CaseLedger!$A4="","",IFERROR(CaseLedger!$O4,""))</x:f>
        <x:v>Sadaqah</x:v>
      </x:c>
      <x:c r="G4" s="52" t="str">
        <x:f>IF(CaseLedger!$A4="","",IFERROR(CaseLedger!$E4,""))</x:f>
        <x:v>Sep 2024</x:v>
      </x:c>
      <x:c r="H4" s="52" t="str">
        <x:f>IF(CaseLedger!$A4="","",IFERROR(CaseLedger!$P4,""))</x:f>
        <x:v>Kanpur</x:v>
      </x:c>
      <x:c r="I4" s="52" t="str">
        <x:f>IF(CaseLedger!$A4="","",IFERROR(CaseLedger!$Q4,""))</x:f>
        <x:v>Under ₹5,000</x:v>
      </x:c>
      <x:c r="J4" s="52" t="str">
        <x:f>IF(CaseLedger!$A4="","",IFERROR(CaseLedger!$R4,""))</x:f>
        <x:v>A verified recipient/family needed support related to relief / emergency support.</x:v>
      </x:c>
      <x:c r="K4" s="52" t="str">
        <x:f>IF(CaseLedger!$A4="","",IFERROR(CaseLedger!$S4,""))</x:f>
        <x:v>Humanitarians supported the case through Sadaqah funds for ration + transportation.</x:v>
      </x:c>
      <x:c r="L4" s="52" t="str">
        <x:f>IF(CaseLedger!$A4="","",IFERROR(CaseLedger!$T4,""))</x:f>
        <x:v>Outcome/update should be added only after verified follow-up.</x:v>
      </x:c>
      <x:c r="M4" s="52" t="str">
        <x:f>IF(CaseLedger!$A4="","",IFERROR(CaseLedger!$U4,""))</x:f>
        <x:v>Add follow-up notes after checking with the verification team.</x:v>
      </x:c>
      <x:c r="N4" s="52" t="str">
        <x:f>IF(CaseLedger!$A4="","",IFERROR(CaseLedger!$V4,""))</x:f>
        <x:v>Add a real quote only with consent; do not publish this placeholder as a recipient quote.</x:v>
      </x:c>
      <x:c r="O4" s="52" t="str">
        <x:f>IF(CaseLedger!$A4="","",IFERROR(CaseLedger!$W4,""))</x:f>
        <x:v>Anonymized public summary; no full name, phone, address, ID, bank details, or donor identity included.</x:v>
      </x:c>
      <x:c r="P4" s="52" t="str">
        <x:f>IF(CaseLedger!$A4="","",IFERROR(CaseLedger!$C4,""))</x:f>
        <x:v>No</x:v>
      </x:c>
      <x:c r="Q4" s="52" t="str">
        <x:f>IF(CaseLedger!$A4="","",IFERROR(CaseLedger!$D4,""))</x:f>
        <x:v>Archive</x:v>
      </x:c>
      <x:c r="R4" s="52" t="str">
        <x:f>IF(CaseLedger!$A4="","",IFERROR(CaseLedger!$X4,""))</x:f>
      </x:c>
      <x:c r="S4" s="52" t="str">
        <x:f>IF(CaseLedger!$A4="","",IFERROR(CaseLedger!$Y4,""))</x:f>
        <x:v>Anonymized Humanitarians case image 1 for HUM-003</x:v>
      </x:c>
      <x:c r="T4" s="52" t="str">
        <x:f>IF(CaseLedger!$A4="","",IFERROR(CaseLedger!$Z4,""))</x:f>
        <x:v>Before/support context image - add only after consent.</x:v>
      </x:c>
      <x:c r="U4" s="52" t="str">
        <x:f>IF(CaseLedger!$A4="","",IFERROR(CaseLedger!$AA4,""))</x:f>
      </x:c>
      <x:c r="V4" s="52" t="str">
        <x:f>IF(CaseLedger!$A4="","",IFERROR(CaseLedger!$AB4,""))</x:f>
        <x:v>Anonymized Humanitarians case image 2 for HUM-003</x:v>
      </x:c>
      <x:c r="W4" s="52" t="str">
        <x:f>IF(CaseLedger!$A4="","",IFERROR(CaseLedger!$AC4,""))</x:f>
        <x:v>Support/equipment image - add only after consent.</x:v>
      </x:c>
      <x:c r="X4" s="52" t="str">
        <x:f>IF(CaseLedger!$A4="","",IFERROR(CaseLedger!$AD4,""))</x:f>
      </x:c>
      <x:c r="Y4" s="52" t="str">
        <x:f>IF(CaseLedger!$A4="","",IFERROR(CaseLedger!$AE4,""))</x:f>
        <x:v>Anonymized Humanitarians case image 3 for HUM-003</x:v>
      </x:c>
      <x:c r="Z4" s="52" t="str">
        <x:f>IF(CaseLedger!$A4="","",IFERROR(CaseLedger!$AF4,""))</x:f>
        <x:v>Outcome/follow-up image - add only after consent.</x:v>
      </x:c>
      <x:c r="AA4" s="52" t="str">
        <x:f>IF(CaseLedger!$A4="","",IFERROR(CaseLedger!$AG4,""))</x:f>
        <x:v>Pending consent</x:v>
      </x:c>
      <x:c r="AB4" s="52" t="str">
        <x:f>IF(CaseLedger!$A4="","",IFERROR(CaseLedger!$AH4,""))</x:f>
        <x:v>Paste public Google Drive image URLs only after recipient consent and privacy review.</x:v>
      </x:c>
      <x:c r="AC4"/>
    </x:row>
    <x:row r="5">
      <x:c r="A5" s="52" t="str">
        <x:f>IF(CaseLedger!$A5="","",IFERROR(CaseLedger!$A5,""))</x:f>
        <x:v>HUM-004</x:v>
      </x:c>
      <x:c r="B5" s="52" t="str">
        <x:f>IF(CaseLedger!$A5="","",IFERROR(CaseLedger!$H5,""))</x:f>
        <x:v>Sewing Machines Assembly</x:v>
      </x:c>
      <x:c r="C5" s="52" t="str">
        <x:f>IF(CaseLedger!$A5="","",IFERROR(CaseLedger!$I5,""))</x:f>
        <x:v>Anonymized case HUM-004</x:v>
      </x:c>
      <x:c r="D5" s="52" t="str">
        <x:f>IF(CaseLedger!$A5="","",IFERROR(CaseLedger!$J5,""))</x:f>
        <x:v>Livelihood</x:v>
      </x:c>
      <x:c r="E5" s="52" t="str">
        <x:f>IF(CaseLedger!$A5="","",IFERROR(CaseLedger!$K5,""))</x:f>
        <x:v>Sewing / tailoring</x:v>
      </x:c>
      <x:c r="F5" s="52" t="str">
        <x:f>IF(CaseLedger!$A5="","",IFERROR(CaseLedger!$O5,""))</x:f>
        <x:v>Sadaqah</x:v>
      </x:c>
      <x:c r="G5" s="52" t="str">
        <x:f>IF(CaseLedger!$A5="","",IFERROR(CaseLedger!$E5,""))</x:f>
        <x:v>Sep 2024</x:v>
      </x:c>
      <x:c r="H5" s="52" t="str">
        <x:f>IF(CaseLedger!$A5="","",IFERROR(CaseLedger!$P5,""))</x:f>
        <x:v>Basti</x:v>
      </x:c>
      <x:c r="I5" s="52" t="str">
        <x:f>IF(CaseLedger!$A5="","",IFERROR(CaseLedger!$Q5,""))</x:f>
        <x:v>Under ₹5,000</x:v>
      </x:c>
      <x:c r="J5" s="52" t="str">
        <x:f>IF(CaseLedger!$A5="","",IFERROR(CaseLedger!$R5,""))</x:f>
        <x:v>A verified recipient/family needed support related to sewing / tailoring.</x:v>
      </x:c>
      <x:c r="K5" s="52" t="str">
        <x:f>IF(CaseLedger!$A5="","",IFERROR(CaseLedger!$S5,""))</x:f>
        <x:v>Humanitarians supported the case through Sadaqah funds for sewing machines assembly.</x:v>
      </x:c>
      <x:c r="L5" s="52" t="str">
        <x:f>IF(CaseLedger!$A5="","",IFERROR(CaseLedger!$T5,""))</x:f>
        <x:v>Outcome/update should be added only after verified follow-up.</x:v>
      </x:c>
      <x:c r="M5" s="52" t="str">
        <x:f>IF(CaseLedger!$A5="","",IFERROR(CaseLedger!$U5,""))</x:f>
        <x:v>Add follow-up notes after checking with the verification team.</x:v>
      </x:c>
      <x:c r="N5" s="52" t="str">
        <x:f>IF(CaseLedger!$A5="","",IFERROR(CaseLedger!$V5,""))</x:f>
        <x:v>Add a real quote only with consent; do not publish this placeholder as a recipient quote.</x:v>
      </x:c>
      <x:c r="O5" s="52" t="str">
        <x:f>IF(CaseLedger!$A5="","",IFERROR(CaseLedger!$W5,""))</x:f>
        <x:v>Anonymized public summary; no full name, phone, address, ID, bank details, or donor identity included.</x:v>
      </x:c>
      <x:c r="P5" s="52" t="str">
        <x:f>IF(CaseLedger!$A5="","",IFERROR(CaseLedger!$C5,""))</x:f>
        <x:v>No</x:v>
      </x:c>
      <x:c r="Q5" s="52" t="str">
        <x:f>IF(CaseLedger!$A5="","",IFERROR(CaseLedger!$D5,""))</x:f>
        <x:v>Draft</x:v>
      </x:c>
      <x:c r="R5" s="52" t="str">
        <x:f>IF(CaseLedger!$A5="","",IFERROR(CaseLedger!$X5,""))</x:f>
      </x:c>
      <x:c r="S5" s="52" t="str">
        <x:f>IF(CaseLedger!$A5="","",IFERROR(CaseLedger!$Y5,""))</x:f>
        <x:v>Anonymized Humanitarians case image 1 for HUM-004</x:v>
      </x:c>
      <x:c r="T5" s="52" t="str">
        <x:f>IF(CaseLedger!$A5="","",IFERROR(CaseLedger!$Z5,""))</x:f>
        <x:v>Before/support context image - add only after consent.</x:v>
      </x:c>
      <x:c r="U5" s="52" t="str">
        <x:f>IF(CaseLedger!$A5="","",IFERROR(CaseLedger!$AA5,""))</x:f>
      </x:c>
      <x:c r="V5" s="52" t="str">
        <x:f>IF(CaseLedger!$A5="","",IFERROR(CaseLedger!$AB5,""))</x:f>
        <x:v>Anonymized Humanitarians case image 2 for HUM-004</x:v>
      </x:c>
      <x:c r="W5" s="52" t="str">
        <x:f>IF(CaseLedger!$A5="","",IFERROR(CaseLedger!$AC5,""))</x:f>
        <x:v>Support/equipment image - add only after consent.</x:v>
      </x:c>
      <x:c r="X5" s="52" t="str">
        <x:f>IF(CaseLedger!$A5="","",IFERROR(CaseLedger!$AD5,""))</x:f>
      </x:c>
      <x:c r="Y5" s="52" t="str">
        <x:f>IF(CaseLedger!$A5="","",IFERROR(CaseLedger!$AE5,""))</x:f>
        <x:v>Anonymized Humanitarians case image 3 for HUM-004</x:v>
      </x:c>
      <x:c r="Z5" s="52" t="str">
        <x:f>IF(CaseLedger!$A5="","",IFERROR(CaseLedger!$AF5,""))</x:f>
        <x:v>Outcome/follow-up image - add only after consent.</x:v>
      </x:c>
      <x:c r="AA5" s="52" t="str">
        <x:f>IF(CaseLedger!$A5="","",IFERROR(CaseLedger!$AG5,""))</x:f>
        <x:v>Pending consent</x:v>
      </x:c>
      <x:c r="AB5" s="52" t="str">
        <x:f>IF(CaseLedger!$A5="","",IFERROR(CaseLedger!$AH5,""))</x:f>
        <x:v>Paste public Google Drive image URLs only after recipient consent and privacy review.</x:v>
      </x:c>
      <x:c r="AC5"/>
    </x:row>
    <x:row r="6">
      <x:c r="A6" s="52" t="str">
        <x:f>IF(CaseLedger!$A6="","",IFERROR(CaseLedger!$A6,""))</x:f>
        <x:v>HUM-005</x:v>
      </x:c>
      <x:c r="B6" s="52" t="str">
        <x:f>IF(CaseLedger!$A6="","",IFERROR(CaseLedger!$H6,""))</x:f>
        <x:v>Marble Cutter and Grinder</x:v>
      </x:c>
      <x:c r="C6" s="52" t="str">
        <x:f>IF(CaseLedger!$A6="","",IFERROR(CaseLedger!$I6,""))</x:f>
        <x:v>Anonymized case HUM-005</x:v>
      </x:c>
      <x:c r="D6" s="52" t="str">
        <x:f>IF(CaseLedger!$A6="","",IFERROR(CaseLedger!$J6,""))</x:f>
        <x:v>Livelihood</x:v>
      </x:c>
      <x:c r="E6" s="52" t="str">
        <x:f>IF(CaseLedger!$A6="","",IFERROR(CaseLedger!$K6,""))</x:f>
        <x:v>Tools / equipment</x:v>
      </x:c>
      <x:c r="F6" s="52" t="str">
        <x:f>IF(CaseLedger!$A6="","",IFERROR(CaseLedger!$O6,""))</x:f>
        <x:v>Sadaqah</x:v>
      </x:c>
      <x:c r="G6" s="52" t="str">
        <x:f>IF(CaseLedger!$A6="","",IFERROR(CaseLedger!$E6,""))</x:f>
        <x:v>Oct 2024</x:v>
      </x:c>
      <x:c r="H6" s="52" t="str">
        <x:f>IF(CaseLedger!$A6="","",IFERROR(CaseLedger!$P6,""))</x:f>
        <x:v>Basti</x:v>
      </x:c>
      <x:c r="I6" s="52" t="str">
        <x:f>IF(CaseLedger!$A6="","",IFERROR(CaseLedger!$Q6,""))</x:f>
        <x:v>₹5,000–₹10,000</x:v>
      </x:c>
      <x:c r="J6" s="52" t="str">
        <x:f>IF(CaseLedger!$A6="","",IFERROR(CaseLedger!$R6,""))</x:f>
        <x:v>A verified recipient/family needed support related to tools / equipment.</x:v>
      </x:c>
      <x:c r="K6" s="52" t="str">
        <x:f>IF(CaseLedger!$A6="","",IFERROR(CaseLedger!$S6,""))</x:f>
        <x:v>Humanitarians supported the case through Sadaqah funds for marble cutter and grinder.</x:v>
      </x:c>
      <x:c r="L6" s="52" t="str">
        <x:f>IF(CaseLedger!$A6="","",IFERROR(CaseLedger!$T6,""))</x:f>
        <x:v>Outcome/update should be added only after verified follow-up.</x:v>
      </x:c>
      <x:c r="M6" s="52" t="str">
        <x:f>IF(CaseLedger!$A6="","",IFERROR(CaseLedger!$U6,""))</x:f>
        <x:v>Add follow-up notes after checking with the verification team.</x:v>
      </x:c>
      <x:c r="N6" s="52" t="str">
        <x:f>IF(CaseLedger!$A6="","",IFERROR(CaseLedger!$V6,""))</x:f>
        <x:v>Add a real quote only with consent; do not publish this placeholder as a recipient quote.</x:v>
      </x:c>
      <x:c r="O6" s="52" t="str">
        <x:f>IF(CaseLedger!$A6="","",IFERROR(CaseLedger!$W6,""))</x:f>
        <x:v>Anonymized public summary; no full name, phone, address, ID, bank details, or donor identity included.</x:v>
      </x:c>
      <x:c r="P6" s="52" t="str">
        <x:f>IF(CaseLedger!$A6="","",IFERROR(CaseLedger!$C6,""))</x:f>
        <x:v>No</x:v>
      </x:c>
      <x:c r="Q6" s="52" t="str">
        <x:f>IF(CaseLedger!$A6="","",IFERROR(CaseLedger!$D6,""))</x:f>
        <x:v>Archive</x:v>
      </x:c>
      <x:c r="R6" s="52" t="str">
        <x:f>IF(CaseLedger!$A6="","",IFERROR(CaseLedger!$X6,""))</x:f>
      </x:c>
      <x:c r="S6" s="52" t="str">
        <x:f>IF(CaseLedger!$A6="","",IFERROR(CaseLedger!$Y6,""))</x:f>
        <x:v>Anonymized Humanitarians case image 1 for HUM-005</x:v>
      </x:c>
      <x:c r="T6" s="52" t="str">
        <x:f>IF(CaseLedger!$A6="","",IFERROR(CaseLedger!$Z6,""))</x:f>
        <x:v>Before/support context image - add only after consent.</x:v>
      </x:c>
      <x:c r="U6" s="52" t="str">
        <x:f>IF(CaseLedger!$A6="","",IFERROR(CaseLedger!$AA6,""))</x:f>
      </x:c>
      <x:c r="V6" s="52" t="str">
        <x:f>IF(CaseLedger!$A6="","",IFERROR(CaseLedger!$AB6,""))</x:f>
        <x:v>Anonymized Humanitarians case image 2 for HUM-005</x:v>
      </x:c>
      <x:c r="W6" s="52" t="str">
        <x:f>IF(CaseLedger!$A6="","",IFERROR(CaseLedger!$AC6,""))</x:f>
        <x:v>Support/equipment image - add only after consent.</x:v>
      </x:c>
      <x:c r="X6" s="52" t="str">
        <x:f>IF(CaseLedger!$A6="","",IFERROR(CaseLedger!$AD6,""))</x:f>
      </x:c>
      <x:c r="Y6" s="52" t="str">
        <x:f>IF(CaseLedger!$A6="","",IFERROR(CaseLedger!$AE6,""))</x:f>
        <x:v>Anonymized Humanitarians case image 3 for HUM-005</x:v>
      </x:c>
      <x:c r="Z6" s="52" t="str">
        <x:f>IF(CaseLedger!$A6="","",IFERROR(CaseLedger!$AF6,""))</x:f>
        <x:v>Outcome/follow-up image - add only after consent.</x:v>
      </x:c>
      <x:c r="AA6" s="52" t="str">
        <x:f>IF(CaseLedger!$A6="","",IFERROR(CaseLedger!$AG6,""))</x:f>
        <x:v>Pending consent</x:v>
      </x:c>
      <x:c r="AB6" s="52" t="str">
        <x:f>IF(CaseLedger!$A6="","",IFERROR(CaseLedger!$AH6,""))</x:f>
        <x:v>Paste public Google Drive image URLs only after recipient consent and privacy review.</x:v>
      </x:c>
      <x:c r="AC6"/>
    </x:row>
    <x:row r="7">
      <x:c r="A7" s="52" t="str">
        <x:f>IF(CaseLedger!$A7="","",IFERROR(CaseLedger!$A7,""))</x:f>
        <x:v>HUM-006</x:v>
      </x:c>
      <x:c r="B7" s="52" t="str">
        <x:f>IF(CaseLedger!$A7="","",IFERROR(CaseLedger!$H7,""))</x:f>
        <x:v>Ration</x:v>
      </x:c>
      <x:c r="C7" s="52" t="str">
        <x:f>IF(CaseLedger!$A7="","",IFERROR(CaseLedger!$I7,""))</x:f>
        <x:v>Anonymized case HUM-006</x:v>
      </x:c>
      <x:c r="D7" s="52" t="str">
        <x:f>IF(CaseLedger!$A7="","",IFERROR(CaseLedger!$J7,""))</x:f>
        <x:v>Emergency Support</x:v>
      </x:c>
      <x:c r="E7" s="52" t="str">
        <x:f>IF(CaseLedger!$A7="","",IFERROR(CaseLedger!$K7,""))</x:f>
        <x:v>Relief / emergency support</x:v>
      </x:c>
      <x:c r="F7" s="52" t="str">
        <x:f>IF(CaseLedger!$A7="","",IFERROR(CaseLedger!$O7,""))</x:f>
        <x:v>Sadaqah</x:v>
      </x:c>
      <x:c r="G7" s="52" t="str">
        <x:f>IF(CaseLedger!$A7="","",IFERROR(CaseLedger!$E7,""))</x:f>
        <x:v>Oct 2024</x:v>
      </x:c>
      <x:c r="H7" s="52" t="str">
        <x:f>IF(CaseLedger!$A7="","",IFERROR(CaseLedger!$P7,""))</x:f>
        <x:v>Bangermau</x:v>
      </x:c>
      <x:c r="I7" s="52" t="str">
        <x:f>IF(CaseLedger!$A7="","",IFERROR(CaseLedger!$Q7,""))</x:f>
        <x:v>Under ₹5,000</x:v>
      </x:c>
      <x:c r="J7" s="52" t="str">
        <x:f>IF(CaseLedger!$A7="","",IFERROR(CaseLedger!$R7,""))</x:f>
        <x:v>A verified recipient/family needed support related to relief / emergency support.</x:v>
      </x:c>
      <x:c r="K7" s="52" t="str">
        <x:f>IF(CaseLedger!$A7="","",IFERROR(CaseLedger!$S7,""))</x:f>
        <x:v>Humanitarians supported the case through Sadaqah funds for ration.</x:v>
      </x:c>
      <x:c r="L7" s="52" t="str">
        <x:f>IF(CaseLedger!$A7="","",IFERROR(CaseLedger!$T7,""))</x:f>
        <x:v>Outcome/update should be added only after verified follow-up.</x:v>
      </x:c>
      <x:c r="M7" s="52" t="str">
        <x:f>IF(CaseLedger!$A7="","",IFERROR(CaseLedger!$U7,""))</x:f>
        <x:v>Add follow-up notes after checking with the verification team.</x:v>
      </x:c>
      <x:c r="N7" s="52" t="str">
        <x:f>IF(CaseLedger!$A7="","",IFERROR(CaseLedger!$V7,""))</x:f>
        <x:v>Add a real quote only with consent; do not publish this placeholder as a recipient quote.</x:v>
      </x:c>
      <x:c r="O7" s="52" t="str">
        <x:f>IF(CaseLedger!$A7="","",IFERROR(CaseLedger!$W7,""))</x:f>
        <x:v>Anonymized public summary; no full name, phone, address, ID, bank details, or donor identity included.</x:v>
      </x:c>
      <x:c r="P7" s="52" t="str">
        <x:f>IF(CaseLedger!$A7="","",IFERROR(CaseLedger!$C7,""))</x:f>
        <x:v>No</x:v>
      </x:c>
      <x:c r="Q7" s="52" t="str">
        <x:f>IF(CaseLedger!$A7="","",IFERROR(CaseLedger!$D7,""))</x:f>
        <x:v>Archive</x:v>
      </x:c>
      <x:c r="R7" s="52" t="str">
        <x:f>IF(CaseLedger!$A7="","",IFERROR(CaseLedger!$X7,""))</x:f>
      </x:c>
      <x:c r="S7" s="52" t="str">
        <x:f>IF(CaseLedger!$A7="","",IFERROR(CaseLedger!$Y7,""))</x:f>
        <x:v>Anonymized Humanitarians case image 1 for HUM-006</x:v>
      </x:c>
      <x:c r="T7" s="52" t="str">
        <x:f>IF(CaseLedger!$A7="","",IFERROR(CaseLedger!$Z7,""))</x:f>
        <x:v>Before/support context image - add only after consent.</x:v>
      </x:c>
      <x:c r="U7" s="52" t="str">
        <x:f>IF(CaseLedger!$A7="","",IFERROR(CaseLedger!$AA7,""))</x:f>
      </x:c>
      <x:c r="V7" s="52" t="str">
        <x:f>IF(CaseLedger!$A7="","",IFERROR(CaseLedger!$AB7,""))</x:f>
        <x:v>Anonymized Humanitarians case image 2 for HUM-006</x:v>
      </x:c>
      <x:c r="W7" s="52" t="str">
        <x:f>IF(CaseLedger!$A7="","",IFERROR(CaseLedger!$AC7,""))</x:f>
        <x:v>Support/equipment image - add only after consent.</x:v>
      </x:c>
      <x:c r="X7" s="52" t="str">
        <x:f>IF(CaseLedger!$A7="","",IFERROR(CaseLedger!$AD7,""))</x:f>
      </x:c>
      <x:c r="Y7" s="52" t="str">
        <x:f>IF(CaseLedger!$A7="","",IFERROR(CaseLedger!$AE7,""))</x:f>
        <x:v>Anonymized Humanitarians case image 3 for HUM-006</x:v>
      </x:c>
      <x:c r="Z7" s="52" t="str">
        <x:f>IF(CaseLedger!$A7="","",IFERROR(CaseLedger!$AF7,""))</x:f>
        <x:v>Outcome/follow-up image - add only after consent.</x:v>
      </x:c>
      <x:c r="AA7" s="52" t="str">
        <x:f>IF(CaseLedger!$A7="","",IFERROR(CaseLedger!$AG7,""))</x:f>
        <x:v>Pending consent</x:v>
      </x:c>
      <x:c r="AB7" s="52" t="str">
        <x:f>IF(CaseLedger!$A7="","",IFERROR(CaseLedger!$AH7,""))</x:f>
        <x:v>Paste public Google Drive image URLs only after recipient consent and privacy review.</x:v>
      </x:c>
      <x:c r="AC7"/>
    </x:row>
    <x:row r="8">
      <x:c r="A8" s="52" t="str">
        <x:f>IF(CaseLedger!$A8="","",IFERROR(CaseLedger!$A8,""))</x:f>
        <x:v>HUM-007</x:v>
      </x:c>
      <x:c r="B8" s="52" t="str">
        <x:f>IF(CaseLedger!$A8="","",IFERROR(CaseLedger!$H8,""))</x:f>
        <x:v>Support in Clothing Business</x:v>
      </x:c>
      <x:c r="C8" s="52" t="str">
        <x:f>IF(CaseLedger!$A8="","",IFERROR(CaseLedger!$I8,""))</x:f>
        <x:v>Anonymized case HUM-007</x:v>
      </x:c>
      <x:c r="D8" s="52" t="str">
        <x:f>IF(CaseLedger!$A8="","",IFERROR(CaseLedger!$J8,""))</x:f>
        <x:v>Livelihood</x:v>
      </x:c>
      <x:c r="E8" s="52" t="str">
        <x:f>IF(CaseLedger!$A8="","",IFERROR(CaseLedger!$K8,""))</x:f>
        <x:v>Shop / business inventory</x:v>
      </x:c>
      <x:c r="F8" s="52" t="str">
        <x:f>IF(CaseLedger!$A8="","",IFERROR(CaseLedger!$O8,""))</x:f>
        <x:v>Sadaqah</x:v>
      </x:c>
      <x:c r="G8" s="52" t="str">
        <x:f>IF(CaseLedger!$A8="","",IFERROR(CaseLedger!$E8,""))</x:f>
        <x:v>Nov 2024</x:v>
      </x:c>
      <x:c r="H8" s="52" t="str">
        <x:f>IF(CaseLedger!$A8="","",IFERROR(CaseLedger!$P8,""))</x:f>
        <x:v>Location withheld</x:v>
      </x:c>
      <x:c r="I8" s="52" t="str">
        <x:f>IF(CaseLedger!$A8="","",IFERROR(CaseLedger!$Q8,""))</x:f>
        <x:v>₹10,000–₹15,000</x:v>
      </x:c>
      <x:c r="J8" s="52" t="str">
        <x:f>IF(CaseLedger!$A8="","",IFERROR(CaseLedger!$R8,""))</x:f>
        <x:v>A verified recipient/family needed support related to shop / business inventory.</x:v>
      </x:c>
      <x:c r="K8" s="52" t="str">
        <x:f>IF(CaseLedger!$A8="","",IFERROR(CaseLedger!$S8,""))</x:f>
        <x:v>Humanitarians supported the case through Sadaqah funds for support in clothing business.</x:v>
      </x:c>
      <x:c r="L8" s="52" t="str">
        <x:f>IF(CaseLedger!$A8="","",IFERROR(CaseLedger!$T8,""))</x:f>
        <x:v>Outcome/update should be added only after verified follow-up.</x:v>
      </x:c>
      <x:c r="M8" s="52" t="str">
        <x:f>IF(CaseLedger!$A8="","",IFERROR(CaseLedger!$U8,""))</x:f>
        <x:v>Add follow-up notes after checking with the verification team.</x:v>
      </x:c>
      <x:c r="N8" s="52" t="str">
        <x:f>IF(CaseLedger!$A8="","",IFERROR(CaseLedger!$V8,""))</x:f>
        <x:v>Add a real quote only with consent; do not publish this placeholder as a recipient quote.</x:v>
      </x:c>
      <x:c r="O8" s="52" t="str">
        <x:f>IF(CaseLedger!$A8="","",IFERROR(CaseLedger!$W8,""))</x:f>
        <x:v>Anonymized public summary; no full name, phone, address, ID, bank details, or donor identity included.</x:v>
      </x:c>
      <x:c r="P8" s="52" t="str">
        <x:f>IF(CaseLedger!$A8="","",IFERROR(CaseLedger!$C8,""))</x:f>
        <x:v>No</x:v>
      </x:c>
      <x:c r="Q8" s="52" t="str">
        <x:f>IF(CaseLedger!$A8="","",IFERROR(CaseLedger!$D8,""))</x:f>
        <x:v>Archive</x:v>
      </x:c>
      <x:c r="R8" s="52" t="str">
        <x:f>IF(CaseLedger!$A8="","",IFERROR(CaseLedger!$X8,""))</x:f>
      </x:c>
      <x:c r="S8" s="52" t="str">
        <x:f>IF(CaseLedger!$A8="","",IFERROR(CaseLedger!$Y8,""))</x:f>
        <x:v>Anonymized Humanitarians case image 1 for HUM-007</x:v>
      </x:c>
      <x:c r="T8" s="52" t="str">
        <x:f>IF(CaseLedger!$A8="","",IFERROR(CaseLedger!$Z8,""))</x:f>
        <x:v>Before/support context image - add only after consent.</x:v>
      </x:c>
      <x:c r="U8" s="52" t="str">
        <x:f>IF(CaseLedger!$A8="","",IFERROR(CaseLedger!$AA8,""))</x:f>
      </x:c>
      <x:c r="V8" s="52" t="str">
        <x:f>IF(CaseLedger!$A8="","",IFERROR(CaseLedger!$AB8,""))</x:f>
        <x:v>Anonymized Humanitarians case image 2 for HUM-007</x:v>
      </x:c>
      <x:c r="W8" s="52" t="str">
        <x:f>IF(CaseLedger!$A8="","",IFERROR(CaseLedger!$AC8,""))</x:f>
        <x:v>Support/equipment image - add only after consent.</x:v>
      </x:c>
      <x:c r="X8" s="52" t="str">
        <x:f>IF(CaseLedger!$A8="","",IFERROR(CaseLedger!$AD8,""))</x:f>
      </x:c>
      <x:c r="Y8" s="52" t="str">
        <x:f>IF(CaseLedger!$A8="","",IFERROR(CaseLedger!$AE8,""))</x:f>
        <x:v>Anonymized Humanitarians case image 3 for HUM-007</x:v>
      </x:c>
      <x:c r="Z8" s="52" t="str">
        <x:f>IF(CaseLedger!$A8="","",IFERROR(CaseLedger!$AF8,""))</x:f>
        <x:v>Outcome/follow-up image - add only after consent.</x:v>
      </x:c>
      <x:c r="AA8" s="52" t="str">
        <x:f>IF(CaseLedger!$A8="","",IFERROR(CaseLedger!$AG8,""))</x:f>
        <x:v>Pending consent</x:v>
      </x:c>
      <x:c r="AB8" s="52" t="str">
        <x:f>IF(CaseLedger!$A8="","",IFERROR(CaseLedger!$AH8,""))</x:f>
        <x:v>Paste public Google Drive image URLs only after recipient consent and privacy review.</x:v>
      </x:c>
      <x:c r="AC8"/>
    </x:row>
    <x:row r="9">
      <x:c r="A9" s="52" t="str">
        <x:f>IF(CaseLedger!$A9="","",IFERROR(CaseLedger!$A9,""))</x:f>
        <x:v>HUM-008</x:v>
      </x:c>
      <x:c r="B9" s="52" t="str">
        <x:f>IF(CaseLedger!$A9="","",IFERROR(CaseLedger!$H9,""))</x:f>
        <x:v>Extended Support for Kirana Shop</x:v>
      </x:c>
      <x:c r="C9" s="52" t="str">
        <x:f>IF(CaseLedger!$A9="","",IFERROR(CaseLedger!$I9,""))</x:f>
        <x:v>Anonymized case HUM-008</x:v>
      </x:c>
      <x:c r="D9" s="52" t="str">
        <x:f>IF(CaseLedger!$A9="","",IFERROR(CaseLedger!$J9,""))</x:f>
        <x:v>Livelihood</x:v>
      </x:c>
      <x:c r="E9" s="52" t="str">
        <x:f>IF(CaseLedger!$A9="","",IFERROR(CaseLedger!$K9,""))</x:f>
        <x:v>Shop / business inventory</x:v>
      </x:c>
      <x:c r="F9" s="52" t="str">
        <x:f>IF(CaseLedger!$A9="","",IFERROR(CaseLedger!$O9,""))</x:f>
        <x:v>Sadaqah</x:v>
      </x:c>
      <x:c r="G9" s="52" t="str">
        <x:f>IF(CaseLedger!$A9="","",IFERROR(CaseLedger!$E9,""))</x:f>
        <x:v>Dec 2024</x:v>
      </x:c>
      <x:c r="H9" s="52" t="str">
        <x:f>IF(CaseLedger!$A9="","",IFERROR(CaseLedger!$P9,""))</x:f>
        <x:v>Ghaziabad, UP</x:v>
      </x:c>
      <x:c r="I9" s="52" t="str">
        <x:f>IF(CaseLedger!$A9="","",IFERROR(CaseLedger!$Q9,""))</x:f>
        <x:v>₹15,000–₹25,000</x:v>
      </x:c>
      <x:c r="J9" s="52" t="str">
        <x:f>IF(CaseLedger!$A9="","",IFERROR(CaseLedger!$R9,""))</x:f>
        <x:v>A verified recipient/family needed support related to shop / business inventory.</x:v>
      </x:c>
      <x:c r="K9" s="52" t="str">
        <x:f>IF(CaseLedger!$A9="","",IFERROR(CaseLedger!$S9,""))</x:f>
        <x:v>Humanitarians supported the case through Sadaqah funds for extended support for kirana shop.</x:v>
      </x:c>
      <x:c r="L9" s="52" t="str">
        <x:f>IF(CaseLedger!$A9="","",IFERROR(CaseLedger!$T9,""))</x:f>
        <x:v>Outcome/update should be added only after verified follow-up.</x:v>
      </x:c>
      <x:c r="M9" s="52" t="str">
        <x:f>IF(CaseLedger!$A9="","",IFERROR(CaseLedger!$U9,""))</x:f>
        <x:v>Add follow-up notes after checking with the verification team.</x:v>
      </x:c>
      <x:c r="N9" s="52" t="str">
        <x:f>IF(CaseLedger!$A9="","",IFERROR(CaseLedger!$V9,""))</x:f>
        <x:v>Add a real quote only with consent; do not publish this placeholder as a recipient quote.</x:v>
      </x:c>
      <x:c r="O9" s="52" t="str">
        <x:f>IF(CaseLedger!$A9="","",IFERROR(CaseLedger!$W9,""))</x:f>
        <x:v>Anonymized public summary; no full name, phone, address, ID, bank details, or donor identity included.</x:v>
      </x:c>
      <x:c r="P9" s="52" t="str">
        <x:f>IF(CaseLedger!$A9="","",IFERROR(CaseLedger!$C9,""))</x:f>
        <x:v>No</x:v>
      </x:c>
      <x:c r="Q9" s="52" t="str">
        <x:f>IF(CaseLedger!$A9="","",IFERROR(CaseLedger!$D9,""))</x:f>
        <x:v>Draft</x:v>
      </x:c>
      <x:c r="R9" s="52" t="str">
        <x:f>IF(CaseLedger!$A9="","",IFERROR(CaseLedger!$X9,""))</x:f>
      </x:c>
      <x:c r="S9" s="52" t="str">
        <x:f>IF(CaseLedger!$A9="","",IFERROR(CaseLedger!$Y9,""))</x:f>
        <x:v>Anonymized Humanitarians case image 1 for HUM-008</x:v>
      </x:c>
      <x:c r="T9" s="52" t="str">
        <x:f>IF(CaseLedger!$A9="","",IFERROR(CaseLedger!$Z9,""))</x:f>
        <x:v>Before/support context image - add only after consent.</x:v>
      </x:c>
      <x:c r="U9" s="52" t="str">
        <x:f>IF(CaseLedger!$A9="","",IFERROR(CaseLedger!$AA9,""))</x:f>
      </x:c>
      <x:c r="V9" s="52" t="str">
        <x:f>IF(CaseLedger!$A9="","",IFERROR(CaseLedger!$AB9,""))</x:f>
        <x:v>Anonymized Humanitarians case image 2 for HUM-008</x:v>
      </x:c>
      <x:c r="W9" s="52" t="str">
        <x:f>IF(CaseLedger!$A9="","",IFERROR(CaseLedger!$AC9,""))</x:f>
        <x:v>Support/equipment image - add only after consent.</x:v>
      </x:c>
      <x:c r="X9" s="52" t="str">
        <x:f>IF(CaseLedger!$A9="","",IFERROR(CaseLedger!$AD9,""))</x:f>
      </x:c>
      <x:c r="Y9" s="52" t="str">
        <x:f>IF(CaseLedger!$A9="","",IFERROR(CaseLedger!$AE9,""))</x:f>
        <x:v>Anonymized Humanitarians case image 3 for HUM-008</x:v>
      </x:c>
      <x:c r="Z9" s="52" t="str">
        <x:f>IF(CaseLedger!$A9="","",IFERROR(CaseLedger!$AF9,""))</x:f>
        <x:v>Outcome/follow-up image - add only after consent.</x:v>
      </x:c>
      <x:c r="AA9" s="52" t="str">
        <x:f>IF(CaseLedger!$A9="","",IFERROR(CaseLedger!$AG9,""))</x:f>
        <x:v>Pending consent</x:v>
      </x:c>
      <x:c r="AB9" s="52" t="str">
        <x:f>IF(CaseLedger!$A9="","",IFERROR(CaseLedger!$AH9,""))</x:f>
        <x:v>Paste public Google Drive image URLs only after recipient consent and privacy review.</x:v>
      </x:c>
      <x:c r="AC9"/>
    </x:row>
    <x:row r="10">
      <x:c r="A10" s="52" t="str">
        <x:f>IF(CaseLedger!$A10="","",IFERROR(CaseLedger!$A10,""))</x:f>
        <x:v>HUM-009</x:v>
      </x:c>
      <x:c r="B10" s="52" t="str">
        <x:f>IF(CaseLedger!$A10="","",IFERROR(CaseLedger!$H10,""))</x:f>
        <x:v>Initial Support in Kirana Shop</x:v>
      </x:c>
      <x:c r="C10" s="52" t="str">
        <x:f>IF(CaseLedger!$A10="","",IFERROR(CaseLedger!$I10,""))</x:f>
        <x:v>Anonymized case HUM-009</x:v>
      </x:c>
      <x:c r="D10" s="52" t="str">
        <x:f>IF(CaseLedger!$A10="","",IFERROR(CaseLedger!$J10,""))</x:f>
        <x:v>Livelihood</x:v>
      </x:c>
      <x:c r="E10" s="52" t="str">
        <x:f>IF(CaseLedger!$A10="","",IFERROR(CaseLedger!$K10,""))</x:f>
        <x:v>Shop / business inventory</x:v>
      </x:c>
      <x:c r="F10" s="52" t="str">
        <x:f>IF(CaseLedger!$A10="","",IFERROR(CaseLedger!$O10,""))</x:f>
        <x:v>Sadaqah</x:v>
      </x:c>
      <x:c r="G10" s="52" t="str">
        <x:f>IF(CaseLedger!$A10="","",IFERROR(CaseLedger!$E10,""))</x:f>
        <x:v>Dec 2024</x:v>
      </x:c>
      <x:c r="H10" s="52" t="str">
        <x:f>IF(CaseLedger!$A10="","",IFERROR(CaseLedger!$P10,""))</x:f>
        <x:v>Basti, UP</x:v>
      </x:c>
      <x:c r="I10" s="52" t="str">
        <x:f>IF(CaseLedger!$A10="","",IFERROR(CaseLedger!$Q10,""))</x:f>
        <x:v>₹15,000–₹25,000</x:v>
      </x:c>
      <x:c r="J10" s="52" t="str">
        <x:f>IF(CaseLedger!$A10="","",IFERROR(CaseLedger!$R10,""))</x:f>
        <x:v>A verified recipient/family needed support related to shop / business inventory.</x:v>
      </x:c>
      <x:c r="K10" s="52" t="str">
        <x:f>IF(CaseLedger!$A10="","",IFERROR(CaseLedger!$S10,""))</x:f>
        <x:v>Humanitarians supported the case through Sadaqah funds for initial support in kirana shop.</x:v>
      </x:c>
      <x:c r="L10" s="52" t="str">
        <x:f>IF(CaseLedger!$A10="","",IFERROR(CaseLedger!$T10,""))</x:f>
        <x:v>Outcome/update should be added only after verified follow-up.</x:v>
      </x:c>
      <x:c r="M10" s="52" t="str">
        <x:f>IF(CaseLedger!$A10="","",IFERROR(CaseLedger!$U10,""))</x:f>
        <x:v>Add follow-up notes after checking with the verification team.</x:v>
      </x:c>
      <x:c r="N10" s="52" t="str">
        <x:f>IF(CaseLedger!$A10="","",IFERROR(CaseLedger!$V10,""))</x:f>
        <x:v>Add a real quote only with consent; do not publish this placeholder as a recipient quote.</x:v>
      </x:c>
      <x:c r="O10" s="52" t="str">
        <x:f>IF(CaseLedger!$A10="","",IFERROR(CaseLedger!$W10,""))</x:f>
        <x:v>Anonymized public summary; no full name, phone, address, ID, bank details, or donor identity included.</x:v>
      </x:c>
      <x:c r="P10" s="52" t="str">
        <x:f>IF(CaseLedger!$A10="","",IFERROR(CaseLedger!$C10,""))</x:f>
        <x:v>No</x:v>
      </x:c>
      <x:c r="Q10" s="52" t="str">
        <x:f>IF(CaseLedger!$A10="","",IFERROR(CaseLedger!$D10,""))</x:f>
        <x:v>Draft</x:v>
      </x:c>
      <x:c r="R10" s="52" t="str">
        <x:f>IF(CaseLedger!$A10="","",IFERROR(CaseLedger!$X10,""))</x:f>
      </x:c>
      <x:c r="S10" s="52" t="str">
        <x:f>IF(CaseLedger!$A10="","",IFERROR(CaseLedger!$Y10,""))</x:f>
        <x:v>Anonymized Humanitarians case image 1 for HUM-009</x:v>
      </x:c>
      <x:c r="T10" s="52" t="str">
        <x:f>IF(CaseLedger!$A10="","",IFERROR(CaseLedger!$Z10,""))</x:f>
        <x:v>Before/support context image - add only after consent.</x:v>
      </x:c>
      <x:c r="U10" s="52" t="str">
        <x:f>IF(CaseLedger!$A10="","",IFERROR(CaseLedger!$AA10,""))</x:f>
      </x:c>
      <x:c r="V10" s="52" t="str">
        <x:f>IF(CaseLedger!$A10="","",IFERROR(CaseLedger!$AB10,""))</x:f>
        <x:v>Anonymized Humanitarians case image 2 for HUM-009</x:v>
      </x:c>
      <x:c r="W10" s="52" t="str">
        <x:f>IF(CaseLedger!$A10="","",IFERROR(CaseLedger!$AC10,""))</x:f>
        <x:v>Support/equipment image - add only after consent.</x:v>
      </x:c>
      <x:c r="X10" s="52" t="str">
        <x:f>IF(CaseLedger!$A10="","",IFERROR(CaseLedger!$AD10,""))</x:f>
      </x:c>
      <x:c r="Y10" s="52" t="str">
        <x:f>IF(CaseLedger!$A10="","",IFERROR(CaseLedger!$AE10,""))</x:f>
        <x:v>Anonymized Humanitarians case image 3 for HUM-009</x:v>
      </x:c>
      <x:c r="Z10" s="52" t="str">
        <x:f>IF(CaseLedger!$A10="","",IFERROR(CaseLedger!$AF10,""))</x:f>
        <x:v>Outcome/follow-up image - add only after consent.</x:v>
      </x:c>
      <x:c r="AA10" s="52" t="str">
        <x:f>IF(CaseLedger!$A10="","",IFERROR(CaseLedger!$AG10,""))</x:f>
        <x:v>Pending consent</x:v>
      </x:c>
      <x:c r="AB10" s="52" t="str">
        <x:f>IF(CaseLedger!$A10="","",IFERROR(CaseLedger!$AH10,""))</x:f>
        <x:v>Paste public Google Drive image URLs only after recipient consent and privacy review.</x:v>
      </x:c>
      <x:c r="AC10"/>
    </x:row>
    <x:row r="11">
      <x:c r="A11" s="52" t="str">
        <x:f>IF(CaseLedger!$A11="","",IFERROR(CaseLedger!$A11,""))</x:f>
        <x:v>HUM-010</x:v>
      </x:c>
      <x:c r="B11" s="52" t="str">
        <x:f>IF(CaseLedger!$A11="","",IFERROR(CaseLedger!$H11,""))</x:f>
        <x:v>Repairs in Handcart + Ration</x:v>
      </x:c>
      <x:c r="C11" s="52" t="str">
        <x:f>IF(CaseLedger!$A11="","",IFERROR(CaseLedger!$I11,""))</x:f>
        <x:v>Anonymized case HUM-010</x:v>
      </x:c>
      <x:c r="D11" s="52" t="str">
        <x:f>IF(CaseLedger!$A11="","",IFERROR(CaseLedger!$J11,""))</x:f>
        <x:v>Emergency Support</x:v>
      </x:c>
      <x:c r="E11" s="52" t="str">
        <x:f>IF(CaseLedger!$A11="","",IFERROR(CaseLedger!$K11,""))</x:f>
        <x:v>Relief / emergency support</x:v>
      </x:c>
      <x:c r="F11" s="52" t="str">
        <x:f>IF(CaseLedger!$A11="","",IFERROR(CaseLedger!$O11,""))</x:f>
        <x:v>Sadaqah</x:v>
      </x:c>
      <x:c r="G11" s="52" t="str">
        <x:f>IF(CaseLedger!$A11="","",IFERROR(CaseLedger!$E11,""))</x:f>
        <x:v>Dec 2024</x:v>
      </x:c>
      <x:c r="H11" s="52" t="str">
        <x:f>IF(CaseLedger!$A11="","",IFERROR(CaseLedger!$P11,""))</x:f>
        <x:v>Bihar</x:v>
      </x:c>
      <x:c r="I11" s="52" t="str">
        <x:f>IF(CaseLedger!$A11="","",IFERROR(CaseLedger!$Q11,""))</x:f>
        <x:v>Under ₹5,000</x:v>
      </x:c>
      <x:c r="J11" s="52" t="str">
        <x:f>IF(CaseLedger!$A11="","",IFERROR(CaseLedger!$R11,""))</x:f>
        <x:v>A verified recipient/family needed support related to relief / emergency support.</x:v>
      </x:c>
      <x:c r="K11" s="52" t="str">
        <x:f>IF(CaseLedger!$A11="","",IFERROR(CaseLedger!$S11,""))</x:f>
        <x:v>Humanitarians supported the case through Sadaqah funds for repairs in handcart + ration.</x:v>
      </x:c>
      <x:c r="L11" s="52" t="str">
        <x:f>IF(CaseLedger!$A11="","",IFERROR(CaseLedger!$T11,""))</x:f>
        <x:v>Outcome/update should be added only after verified follow-up.</x:v>
      </x:c>
      <x:c r="M11" s="52" t="str">
        <x:f>IF(CaseLedger!$A11="","",IFERROR(CaseLedger!$U11,""))</x:f>
        <x:v>Add follow-up notes after checking with the verification team.</x:v>
      </x:c>
      <x:c r="N11" s="52" t="str">
        <x:f>IF(CaseLedger!$A11="","",IFERROR(CaseLedger!$V11,""))</x:f>
        <x:v>Add a real quote only with consent; do not publish this placeholder as a recipient quote.</x:v>
      </x:c>
      <x:c r="O11" s="52" t="str">
        <x:f>IF(CaseLedger!$A11="","",IFERROR(CaseLedger!$W11,""))</x:f>
        <x:v>Anonymized public summary; no full name, phone, address, ID, bank details, or donor identity included.</x:v>
      </x:c>
      <x:c r="P11" s="52" t="str">
        <x:f>IF(CaseLedger!$A11="","",IFERROR(CaseLedger!$C11,""))</x:f>
        <x:v>No</x:v>
      </x:c>
      <x:c r="Q11" s="52" t="str">
        <x:f>IF(CaseLedger!$A11="","",IFERROR(CaseLedger!$D11,""))</x:f>
        <x:v>Archive</x:v>
      </x:c>
      <x:c r="R11" s="52" t="str">
        <x:f>IF(CaseLedger!$A11="","",IFERROR(CaseLedger!$X11,""))</x:f>
      </x:c>
      <x:c r="S11" s="52" t="str">
        <x:f>IF(CaseLedger!$A11="","",IFERROR(CaseLedger!$Y11,""))</x:f>
        <x:v>Anonymized Humanitarians case image 1 for HUM-010</x:v>
      </x:c>
      <x:c r="T11" s="52" t="str">
        <x:f>IF(CaseLedger!$A11="","",IFERROR(CaseLedger!$Z11,""))</x:f>
        <x:v>Before/support context image - add only after consent.</x:v>
      </x:c>
      <x:c r="U11" s="52" t="str">
        <x:f>IF(CaseLedger!$A11="","",IFERROR(CaseLedger!$AA11,""))</x:f>
      </x:c>
      <x:c r="V11" s="52" t="str">
        <x:f>IF(CaseLedger!$A11="","",IFERROR(CaseLedger!$AB11,""))</x:f>
        <x:v>Anonymized Humanitarians case image 2 for HUM-010</x:v>
      </x:c>
      <x:c r="W11" s="52" t="str">
        <x:f>IF(CaseLedger!$A11="","",IFERROR(CaseLedger!$AC11,""))</x:f>
        <x:v>Support/equipment image - add only after consent.</x:v>
      </x:c>
      <x:c r="X11" s="52" t="str">
        <x:f>IF(CaseLedger!$A11="","",IFERROR(CaseLedger!$AD11,""))</x:f>
      </x:c>
      <x:c r="Y11" s="52" t="str">
        <x:f>IF(CaseLedger!$A11="","",IFERROR(CaseLedger!$AE11,""))</x:f>
        <x:v>Anonymized Humanitarians case image 3 for HUM-010</x:v>
      </x:c>
      <x:c r="Z11" s="52" t="str">
        <x:f>IF(CaseLedger!$A11="","",IFERROR(CaseLedger!$AF11,""))</x:f>
        <x:v>Outcome/follow-up image - add only after consent.</x:v>
      </x:c>
      <x:c r="AA11" s="52" t="str">
        <x:f>IF(CaseLedger!$A11="","",IFERROR(CaseLedger!$AG11,""))</x:f>
        <x:v>Pending consent</x:v>
      </x:c>
      <x:c r="AB11" s="52" t="str">
        <x:f>IF(CaseLedger!$A11="","",IFERROR(CaseLedger!$AH11,""))</x:f>
        <x:v>Paste public Google Drive image URLs only after recipient consent and privacy review.</x:v>
      </x:c>
      <x:c r="AC11"/>
    </x:row>
    <x:row r="12">
      <x:c r="A12" s="52" t="str">
        <x:f>IF(CaseLedger!$A12="","",IFERROR(CaseLedger!$A12,""))</x:f>
        <x:v>HUM-011</x:v>
      </x:c>
      <x:c r="B12" s="52" t="str">
        <x:f>IF(CaseLedger!$A12="","",IFERROR(CaseLedger!$H12,""))</x:f>
        <x:v>Sewing Machine + Ration</x:v>
      </x:c>
      <x:c r="C12" s="52" t="str">
        <x:f>IF(CaseLedger!$A12="","",IFERROR(CaseLedger!$I12,""))</x:f>
        <x:v>Anonymized case HUM-011</x:v>
      </x:c>
      <x:c r="D12" s="52" t="str">
        <x:f>IF(CaseLedger!$A12="","",IFERROR(CaseLedger!$J12,""))</x:f>
        <x:v>Emergency Support</x:v>
      </x:c>
      <x:c r="E12" s="52" t="str">
        <x:f>IF(CaseLedger!$A12="","",IFERROR(CaseLedger!$K12,""))</x:f>
        <x:v>Relief / emergency support</x:v>
      </x:c>
      <x:c r="F12" s="52" t="str">
        <x:f>IF(CaseLedger!$A12="","",IFERROR(CaseLedger!$O12,""))</x:f>
        <x:v>Sadaqah</x:v>
      </x:c>
      <x:c r="G12" s="52" t="str">
        <x:f>IF(CaseLedger!$A12="","",IFERROR(CaseLedger!$E12,""))</x:f>
        <x:v>Dec 2024</x:v>
      </x:c>
      <x:c r="H12" s="52" t="str">
        <x:f>IF(CaseLedger!$A12="","",IFERROR(CaseLedger!$P12,""))</x:f>
        <x:v>Basti, UP</x:v>
      </x:c>
      <x:c r="I12" s="52" t="str">
        <x:f>IF(CaseLedger!$A12="","",IFERROR(CaseLedger!$Q12,""))</x:f>
        <x:v>₹5,000–₹10,000</x:v>
      </x:c>
      <x:c r="J12" s="52" t="str">
        <x:f>IF(CaseLedger!$A12="","",IFERROR(CaseLedger!$R12,""))</x:f>
        <x:v>A verified recipient/family needed support related to relief / emergency support.</x:v>
      </x:c>
      <x:c r="K12" s="52" t="str">
        <x:f>IF(CaseLedger!$A12="","",IFERROR(CaseLedger!$S12,""))</x:f>
        <x:v>Humanitarians supported the case through Sadaqah funds for sewing machine + ration.</x:v>
      </x:c>
      <x:c r="L12" s="52" t="str">
        <x:f>IF(CaseLedger!$A12="","",IFERROR(CaseLedger!$T12,""))</x:f>
        <x:v>Outcome/update should be added only after verified follow-up.</x:v>
      </x:c>
      <x:c r="M12" s="52" t="str">
        <x:f>IF(CaseLedger!$A12="","",IFERROR(CaseLedger!$U12,""))</x:f>
        <x:v>Add follow-up notes after checking with the verification team.</x:v>
      </x:c>
      <x:c r="N12" s="52" t="str">
        <x:f>IF(CaseLedger!$A12="","",IFERROR(CaseLedger!$V12,""))</x:f>
        <x:v>Add a real quote only with consent; do not publish this placeholder as a recipient quote.</x:v>
      </x:c>
      <x:c r="O12" s="52" t="str">
        <x:f>IF(CaseLedger!$A12="","",IFERROR(CaseLedger!$W12,""))</x:f>
        <x:v>Anonymized public summary; no full name, phone, address, ID, bank details, or donor identity included.</x:v>
      </x:c>
      <x:c r="P12" s="52" t="str">
        <x:f>IF(CaseLedger!$A12="","",IFERROR(CaseLedger!$C12,""))</x:f>
        <x:v>No</x:v>
      </x:c>
      <x:c r="Q12" s="52" t="str">
        <x:f>IF(CaseLedger!$A12="","",IFERROR(CaseLedger!$D12,""))</x:f>
        <x:v>Draft</x:v>
      </x:c>
      <x:c r="R12" s="52" t="str">
        <x:f>IF(CaseLedger!$A12="","",IFERROR(CaseLedger!$X12,""))</x:f>
      </x:c>
      <x:c r="S12" s="52" t="str">
        <x:f>IF(CaseLedger!$A12="","",IFERROR(CaseLedger!$Y12,""))</x:f>
        <x:v>Anonymized Humanitarians case image 1 for HUM-011</x:v>
      </x:c>
      <x:c r="T12" s="52" t="str">
        <x:f>IF(CaseLedger!$A12="","",IFERROR(CaseLedger!$Z12,""))</x:f>
        <x:v>Before/support context image - add only after consent.</x:v>
      </x:c>
      <x:c r="U12" s="52" t="str">
        <x:f>IF(CaseLedger!$A12="","",IFERROR(CaseLedger!$AA12,""))</x:f>
      </x:c>
      <x:c r="V12" s="52" t="str">
        <x:f>IF(CaseLedger!$A12="","",IFERROR(CaseLedger!$AB12,""))</x:f>
        <x:v>Anonymized Humanitarians case image 2 for HUM-011</x:v>
      </x:c>
      <x:c r="W12" s="52" t="str">
        <x:f>IF(CaseLedger!$A12="","",IFERROR(CaseLedger!$AC12,""))</x:f>
        <x:v>Support/equipment image - add only after consent.</x:v>
      </x:c>
      <x:c r="X12" s="52" t="str">
        <x:f>IF(CaseLedger!$A12="","",IFERROR(CaseLedger!$AD12,""))</x:f>
      </x:c>
      <x:c r="Y12" s="52" t="str">
        <x:f>IF(CaseLedger!$A12="","",IFERROR(CaseLedger!$AE12,""))</x:f>
        <x:v>Anonymized Humanitarians case image 3 for HUM-011</x:v>
      </x:c>
      <x:c r="Z12" s="52" t="str">
        <x:f>IF(CaseLedger!$A12="","",IFERROR(CaseLedger!$AF12,""))</x:f>
        <x:v>Outcome/follow-up image - add only after consent.</x:v>
      </x:c>
      <x:c r="AA12" s="52" t="str">
        <x:f>IF(CaseLedger!$A12="","",IFERROR(CaseLedger!$AG12,""))</x:f>
        <x:v>Pending consent</x:v>
      </x:c>
      <x:c r="AB12" s="52" t="str">
        <x:f>IF(CaseLedger!$A12="","",IFERROR(CaseLedger!$AH12,""))</x:f>
        <x:v>Paste public Google Drive image URLs only after recipient consent and privacy review.</x:v>
      </x:c>
      <x:c r="AC12"/>
    </x:row>
    <x:row r="13">
      <x:c r="A13" s="52" t="str">
        <x:f>IF(CaseLedger!$A13="","",IFERROR(CaseLedger!$A13,""))</x:f>
        <x:v>HUM-012</x:v>
      </x:c>
      <x:c r="B13" s="52" t="str">
        <x:f>IF(CaseLedger!$A13="","",IFERROR(CaseLedger!$H13,""))</x:f>
        <x:v>Ingredients for fast food shop</x:v>
      </x:c>
      <x:c r="C13" s="52" t="str">
        <x:f>IF(CaseLedger!$A13="","",IFERROR(CaseLedger!$I13,""))</x:f>
        <x:v>Anonymized case HUM-012</x:v>
      </x:c>
      <x:c r="D13" s="52" t="str">
        <x:f>IF(CaseLedger!$A13="","",IFERROR(CaseLedger!$J13,""))</x:f>
        <x:v>Livelihood</x:v>
      </x:c>
      <x:c r="E13" s="52" t="str">
        <x:f>IF(CaseLedger!$A13="","",IFERROR(CaseLedger!$K13,""))</x:f>
        <x:v>Shop / business inventory</x:v>
      </x:c>
      <x:c r="F13" s="52" t="str">
        <x:f>IF(CaseLedger!$A13="","",IFERROR(CaseLedger!$O13,""))</x:f>
        <x:v>Sadaqah</x:v>
      </x:c>
      <x:c r="G13" s="52" t="str">
        <x:f>IF(CaseLedger!$A13="","",IFERROR(CaseLedger!$E13,""))</x:f>
        <x:v>Jan 2025</x:v>
      </x:c>
      <x:c r="H13" s="52" t="str">
        <x:f>IF(CaseLedger!$A13="","",IFERROR(CaseLedger!$P13,""))</x:f>
        <x:v>Location withheld</x:v>
      </x:c>
      <x:c r="I13" s="52" t="str">
        <x:f>IF(CaseLedger!$A13="","",IFERROR(CaseLedger!$Q13,""))</x:f>
        <x:v>₹5,000–₹10,000</x:v>
      </x:c>
      <x:c r="J13" s="52" t="str">
        <x:f>IF(CaseLedger!$A13="","",IFERROR(CaseLedger!$R13,""))</x:f>
        <x:v>A verified recipient/family needed support related to shop / business inventory.</x:v>
      </x:c>
      <x:c r="K13" s="52" t="str">
        <x:f>IF(CaseLedger!$A13="","",IFERROR(CaseLedger!$S13,""))</x:f>
        <x:v>Humanitarians supported the case through Sadaqah funds for ingredients for fast food shop.</x:v>
      </x:c>
      <x:c r="L13" s="52" t="str">
        <x:f>IF(CaseLedger!$A13="","",IFERROR(CaseLedger!$T13,""))</x:f>
        <x:v>Outcome/update should be added only after verified follow-up.</x:v>
      </x:c>
      <x:c r="M13" s="52" t="str">
        <x:f>IF(CaseLedger!$A13="","",IFERROR(CaseLedger!$U13,""))</x:f>
        <x:v>Add follow-up notes after checking with the verification team.</x:v>
      </x:c>
      <x:c r="N13" s="52" t="str">
        <x:f>IF(CaseLedger!$A13="","",IFERROR(CaseLedger!$V13,""))</x:f>
        <x:v>Add a real quote only with consent; do not publish this placeholder as a recipient quote.</x:v>
      </x:c>
      <x:c r="O13" s="52" t="str">
        <x:f>IF(CaseLedger!$A13="","",IFERROR(CaseLedger!$W13,""))</x:f>
        <x:v>Anonymized public summary; no full name, phone, address, ID, bank details, or donor identity included.</x:v>
      </x:c>
      <x:c r="P13" s="52" t="str">
        <x:f>IF(CaseLedger!$A13="","",IFERROR(CaseLedger!$C13,""))</x:f>
        <x:v>No</x:v>
      </x:c>
      <x:c r="Q13" s="52" t="str">
        <x:f>IF(CaseLedger!$A13="","",IFERROR(CaseLedger!$D13,""))</x:f>
        <x:v>Archive</x:v>
      </x:c>
      <x:c r="R13" s="52" t="str">
        <x:f>IF(CaseLedger!$A13="","",IFERROR(CaseLedger!$X13,""))</x:f>
      </x:c>
      <x:c r="S13" s="52" t="str">
        <x:f>IF(CaseLedger!$A13="","",IFERROR(CaseLedger!$Y13,""))</x:f>
        <x:v>Anonymized Humanitarians case image 1 for HUM-012</x:v>
      </x:c>
      <x:c r="T13" s="52" t="str">
        <x:f>IF(CaseLedger!$A13="","",IFERROR(CaseLedger!$Z13,""))</x:f>
        <x:v>Before/support context image - add only after consent.</x:v>
      </x:c>
      <x:c r="U13" s="52" t="str">
        <x:f>IF(CaseLedger!$A13="","",IFERROR(CaseLedger!$AA13,""))</x:f>
      </x:c>
      <x:c r="V13" s="52" t="str">
        <x:f>IF(CaseLedger!$A13="","",IFERROR(CaseLedger!$AB13,""))</x:f>
        <x:v>Anonymized Humanitarians case image 2 for HUM-012</x:v>
      </x:c>
      <x:c r="W13" s="52" t="str">
        <x:f>IF(CaseLedger!$A13="","",IFERROR(CaseLedger!$AC13,""))</x:f>
        <x:v>Support/equipment image - add only after consent.</x:v>
      </x:c>
      <x:c r="X13" s="52" t="str">
        <x:f>IF(CaseLedger!$A13="","",IFERROR(CaseLedger!$AD13,""))</x:f>
      </x:c>
      <x:c r="Y13" s="52" t="str">
        <x:f>IF(CaseLedger!$A13="","",IFERROR(CaseLedger!$AE13,""))</x:f>
        <x:v>Anonymized Humanitarians case image 3 for HUM-012</x:v>
      </x:c>
      <x:c r="Z13" s="52" t="str">
        <x:f>IF(CaseLedger!$A13="","",IFERROR(CaseLedger!$AF13,""))</x:f>
        <x:v>Outcome/follow-up image - add only after consent.</x:v>
      </x:c>
      <x:c r="AA13" s="52" t="str">
        <x:f>IF(CaseLedger!$A13="","",IFERROR(CaseLedger!$AG13,""))</x:f>
        <x:v>Pending consent</x:v>
      </x:c>
      <x:c r="AB13" s="52" t="str">
        <x:f>IF(CaseLedger!$A13="","",IFERROR(CaseLedger!$AH13,""))</x:f>
        <x:v>Paste public Google Drive image URLs only after recipient consent and privacy review.</x:v>
      </x:c>
      <x:c r="AC13"/>
    </x:row>
    <x:row r="14">
      <x:c r="A14" s="52" t="str">
        <x:f>IF(CaseLedger!$A14="","",IFERROR(CaseLedger!$A14,""))</x:f>
        <x:v>HUM-013</x:v>
      </x:c>
      <x:c r="B14" s="52" t="str">
        <x:f>IF(CaseLedger!$A14="","",IFERROR(CaseLedger!$H14,""))</x:f>
        <x:v>New wooden Shop</x:v>
      </x:c>
      <x:c r="C14" s="52" t="str">
        <x:f>IF(CaseLedger!$A14="","",IFERROR(CaseLedger!$I14,""))</x:f>
        <x:v>Anonymized case HUM-013</x:v>
      </x:c>
      <x:c r="D14" s="52" t="str">
        <x:f>IF(CaseLedger!$A14="","",IFERROR(CaseLedger!$J14,""))</x:f>
        <x:v>Livelihood</x:v>
      </x:c>
      <x:c r="E14" s="52" t="str">
        <x:f>IF(CaseLedger!$A14="","",IFERROR(CaseLedger!$K14,""))</x:f>
        <x:v>Shop / business inventory</x:v>
      </x:c>
      <x:c r="F14" s="52" t="str">
        <x:f>IF(CaseLedger!$A14="","",IFERROR(CaseLedger!$O14,""))</x:f>
        <x:v>Mixed</x:v>
      </x:c>
      <x:c r="G14" s="52" t="str">
        <x:f>IF(CaseLedger!$A14="","",IFERROR(CaseLedger!$E14,""))</x:f>
        <x:v>Jan 2025</x:v>
      </x:c>
      <x:c r="H14" s="52" t="str">
        <x:f>IF(CaseLedger!$A14="","",IFERROR(CaseLedger!$P14,""))</x:f>
        <x:v>Basti, UP</x:v>
      </x:c>
      <x:c r="I14" s="52" t="str">
        <x:f>IF(CaseLedger!$A14="","",IFERROR(CaseLedger!$Q14,""))</x:f>
        <x:v>₹10,000–₹15,000</x:v>
      </x:c>
      <x:c r="J14" s="52" t="str">
        <x:f>IF(CaseLedger!$A14="","",IFERROR(CaseLedger!$R14,""))</x:f>
        <x:v>A verified recipient/family needed support related to shop / business inventory.</x:v>
      </x:c>
      <x:c r="K14" s="52" t="str">
        <x:f>IF(CaseLedger!$A14="","",IFERROR(CaseLedger!$S14,""))</x:f>
        <x:v>Humanitarians supported the case through Mixed funds for new wooden shop.</x:v>
      </x:c>
      <x:c r="L14" s="52" t="str">
        <x:f>IF(CaseLedger!$A14="","",IFERROR(CaseLedger!$T14,""))</x:f>
        <x:v>Outcome/update should be added only after verified follow-up.</x:v>
      </x:c>
      <x:c r="M14" s="52" t="str">
        <x:f>IF(CaseLedger!$A14="","",IFERROR(CaseLedger!$U14,""))</x:f>
        <x:v>Add follow-up notes after checking with the verification team.</x:v>
      </x:c>
      <x:c r="N14" s="52" t="str">
        <x:f>IF(CaseLedger!$A14="","",IFERROR(CaseLedger!$V14,""))</x:f>
        <x:v>Add a real quote only with consent; do not publish this placeholder as a recipient quote.</x:v>
      </x:c>
      <x:c r="O14" s="52" t="str">
        <x:f>IF(CaseLedger!$A14="","",IFERROR(CaseLedger!$W14,""))</x:f>
        <x:v>Anonymized public summary; no full name, phone, address, ID, bank details, or donor identity included.</x:v>
      </x:c>
      <x:c r="P14" s="52" t="str">
        <x:f>IF(CaseLedger!$A14="","",IFERROR(CaseLedger!$C14,""))</x:f>
        <x:v>No</x:v>
      </x:c>
      <x:c r="Q14" s="52" t="str">
        <x:f>IF(CaseLedger!$A14="","",IFERROR(CaseLedger!$D14,""))</x:f>
        <x:v>Archive</x:v>
      </x:c>
      <x:c r="R14" s="52" t="str">
        <x:f>IF(CaseLedger!$A14="","",IFERROR(CaseLedger!$X14,""))</x:f>
      </x:c>
      <x:c r="S14" s="52" t="str">
        <x:f>IF(CaseLedger!$A14="","",IFERROR(CaseLedger!$Y14,""))</x:f>
        <x:v>Anonymized Humanitarians case image 1 for HUM-013</x:v>
      </x:c>
      <x:c r="T14" s="52" t="str">
        <x:f>IF(CaseLedger!$A14="","",IFERROR(CaseLedger!$Z14,""))</x:f>
        <x:v>Before/support context image - add only after consent.</x:v>
      </x:c>
      <x:c r="U14" s="52" t="str">
        <x:f>IF(CaseLedger!$A14="","",IFERROR(CaseLedger!$AA14,""))</x:f>
      </x:c>
      <x:c r="V14" s="52" t="str">
        <x:f>IF(CaseLedger!$A14="","",IFERROR(CaseLedger!$AB14,""))</x:f>
        <x:v>Anonymized Humanitarians case image 2 for HUM-013</x:v>
      </x:c>
      <x:c r="W14" s="52" t="str">
        <x:f>IF(CaseLedger!$A14="","",IFERROR(CaseLedger!$AC14,""))</x:f>
        <x:v>Support/equipment image - add only after consent.</x:v>
      </x:c>
      <x:c r="X14" s="52" t="str">
        <x:f>IF(CaseLedger!$A14="","",IFERROR(CaseLedger!$AD14,""))</x:f>
      </x:c>
      <x:c r="Y14" s="52" t="str">
        <x:f>IF(CaseLedger!$A14="","",IFERROR(CaseLedger!$AE14,""))</x:f>
        <x:v>Anonymized Humanitarians case image 3 for HUM-013</x:v>
      </x:c>
      <x:c r="Z14" s="52" t="str">
        <x:f>IF(CaseLedger!$A14="","",IFERROR(CaseLedger!$AF14,""))</x:f>
        <x:v>Outcome/follow-up image - add only after consent.</x:v>
      </x:c>
      <x:c r="AA14" s="52" t="str">
        <x:f>IF(CaseLedger!$A14="","",IFERROR(CaseLedger!$AG14,""))</x:f>
        <x:v>Pending consent</x:v>
      </x:c>
      <x:c r="AB14" s="52" t="str">
        <x:f>IF(CaseLedger!$A14="","",IFERROR(CaseLedger!$AH14,""))</x:f>
        <x:v>Paste public Google Drive image URLs only after recipient consent and privacy review.</x:v>
      </x:c>
      <x:c r="AC14"/>
    </x:row>
    <x:row r="15">
      <x:c r="A15" s="52" t="str">
        <x:f>IF(CaseLedger!$A15="","",IFERROR(CaseLedger!$A15,""))</x:f>
        <x:v>HUM-014</x:v>
      </x:c>
      <x:c r="B15" s="52" t="str">
        <x:f>IF(CaseLedger!$A15="","",IFERROR(CaseLedger!$H15,""))</x:f>
        <x:v>Sewing Machine</x:v>
      </x:c>
      <x:c r="C15" s="52" t="str">
        <x:f>IF(CaseLedger!$A15="","",IFERROR(CaseLedger!$I15,""))</x:f>
        <x:v>Anonymized case HUM-014</x:v>
      </x:c>
      <x:c r="D15" s="52" t="str">
        <x:f>IF(CaseLedger!$A15="","",IFERROR(CaseLedger!$J15,""))</x:f>
        <x:v>Livelihood</x:v>
      </x:c>
      <x:c r="E15" s="52" t="str">
        <x:f>IF(CaseLedger!$A15="","",IFERROR(CaseLedger!$K15,""))</x:f>
        <x:v>Sewing / tailoring</x:v>
      </x:c>
      <x:c r="F15" s="52" t="str">
        <x:f>IF(CaseLedger!$A15="","",IFERROR(CaseLedger!$O15,""))</x:f>
        <x:v>Sadaqah</x:v>
      </x:c>
      <x:c r="G15" s="52" t="str">
        <x:f>IF(CaseLedger!$A15="","",IFERROR(CaseLedger!$E15,""))</x:f>
        <x:v>Jan 2025</x:v>
      </x:c>
      <x:c r="H15" s="52" t="str">
        <x:f>IF(CaseLedger!$A15="","",IFERROR(CaseLedger!$P15,""))</x:f>
        <x:v>Bihar</x:v>
      </x:c>
      <x:c r="I15" s="52" t="str">
        <x:f>IF(CaseLedger!$A15="","",IFERROR(CaseLedger!$Q15,""))</x:f>
        <x:v>₹5,000–₹10,000</x:v>
      </x:c>
      <x:c r="J15" s="52" t="str">
        <x:f>IF(CaseLedger!$A15="","",IFERROR(CaseLedger!$R15,""))</x:f>
        <x:v>A verified recipient/family needed support related to sewing / tailoring.</x:v>
      </x:c>
      <x:c r="K15" s="52" t="str">
        <x:f>IF(CaseLedger!$A15="","",IFERROR(CaseLedger!$S15,""))</x:f>
        <x:v>Humanitarians supported the case through Sadaqah funds for sewing machine.</x:v>
      </x:c>
      <x:c r="L15" s="52" t="str">
        <x:f>IF(CaseLedger!$A15="","",IFERROR(CaseLedger!$T15,""))</x:f>
        <x:v>Outcome/update should be added only after verified follow-up.</x:v>
      </x:c>
      <x:c r="M15" s="52" t="str">
        <x:f>IF(CaseLedger!$A15="","",IFERROR(CaseLedger!$U15,""))</x:f>
        <x:v>Add follow-up notes after checking with the verification team.</x:v>
      </x:c>
      <x:c r="N15" s="52" t="str">
        <x:f>IF(CaseLedger!$A15="","",IFERROR(CaseLedger!$V15,""))</x:f>
        <x:v>Add a real quote only with consent; do not publish this placeholder as a recipient quote.</x:v>
      </x:c>
      <x:c r="O15" s="52" t="str">
        <x:f>IF(CaseLedger!$A15="","",IFERROR(CaseLedger!$W15,""))</x:f>
        <x:v>Anonymized public summary; no full name, phone, address, ID, bank details, or donor identity included.</x:v>
      </x:c>
      <x:c r="P15" s="52" t="str">
        <x:f>IF(CaseLedger!$A15="","",IFERROR(CaseLedger!$C15,""))</x:f>
        <x:v>No</x:v>
      </x:c>
      <x:c r="Q15" s="52" t="str">
        <x:f>IF(CaseLedger!$A15="","",IFERROR(CaseLedger!$D15,""))</x:f>
        <x:v>Draft</x:v>
      </x:c>
      <x:c r="R15" s="52" t="str">
        <x:f>IF(CaseLedger!$A15="","",IFERROR(CaseLedger!$X15,""))</x:f>
      </x:c>
      <x:c r="S15" s="52" t="str">
        <x:f>IF(CaseLedger!$A15="","",IFERROR(CaseLedger!$Y15,""))</x:f>
        <x:v>Anonymized Humanitarians case image 1 for HUM-014</x:v>
      </x:c>
      <x:c r="T15" s="52" t="str">
        <x:f>IF(CaseLedger!$A15="","",IFERROR(CaseLedger!$Z15,""))</x:f>
        <x:v>Before/support context image - add only after consent.</x:v>
      </x:c>
      <x:c r="U15" s="52" t="str">
        <x:f>IF(CaseLedger!$A15="","",IFERROR(CaseLedger!$AA15,""))</x:f>
      </x:c>
      <x:c r="V15" s="52" t="str">
        <x:f>IF(CaseLedger!$A15="","",IFERROR(CaseLedger!$AB15,""))</x:f>
        <x:v>Anonymized Humanitarians case image 2 for HUM-014</x:v>
      </x:c>
      <x:c r="W15" s="52" t="str">
        <x:f>IF(CaseLedger!$A15="","",IFERROR(CaseLedger!$AC15,""))</x:f>
        <x:v>Support/equipment image - add only after consent.</x:v>
      </x:c>
      <x:c r="X15" s="52" t="str">
        <x:f>IF(CaseLedger!$A15="","",IFERROR(CaseLedger!$AD15,""))</x:f>
      </x:c>
      <x:c r="Y15" s="52" t="str">
        <x:f>IF(CaseLedger!$A15="","",IFERROR(CaseLedger!$AE15,""))</x:f>
        <x:v>Anonymized Humanitarians case image 3 for HUM-014</x:v>
      </x:c>
      <x:c r="Z15" s="52" t="str">
        <x:f>IF(CaseLedger!$A15="","",IFERROR(CaseLedger!$AF15,""))</x:f>
        <x:v>Outcome/follow-up image - add only after consent.</x:v>
      </x:c>
      <x:c r="AA15" s="52" t="str">
        <x:f>IF(CaseLedger!$A15="","",IFERROR(CaseLedger!$AG15,""))</x:f>
        <x:v>Pending consent</x:v>
      </x:c>
      <x:c r="AB15" s="52" t="str">
        <x:f>IF(CaseLedger!$A15="","",IFERROR(CaseLedger!$AH15,""))</x:f>
        <x:v>Paste public Google Drive image URLs only after recipient consent and privacy review.</x:v>
      </x:c>
      <x:c r="AC15"/>
    </x:row>
    <x:row r="16">
      <x:c r="A16" s="52" t="str">
        <x:f>IF(CaseLedger!$A16="","",IFERROR(CaseLedger!$A16,""))</x:f>
        <x:v>HUM-015</x:v>
      </x:c>
      <x:c r="B16" s="52" t="str">
        <x:f>IF(CaseLedger!$A16="","",IFERROR(CaseLedger!$H16,""))</x:f>
        <x:v>Support for Chicken shop</x:v>
      </x:c>
      <x:c r="C16" s="52" t="str">
        <x:f>IF(CaseLedger!$A16="","",IFERROR(CaseLedger!$I16,""))</x:f>
        <x:v>Anonymized case HUM-015</x:v>
      </x:c>
      <x:c r="D16" s="52" t="str">
        <x:f>IF(CaseLedger!$A16="","",IFERROR(CaseLedger!$J16,""))</x:f>
        <x:v>Livelihood</x:v>
      </x:c>
      <x:c r="E16" s="52" t="str">
        <x:f>IF(CaseLedger!$A16="","",IFERROR(CaseLedger!$K16,""))</x:f>
        <x:v>Shop / business inventory</x:v>
      </x:c>
      <x:c r="F16" s="52" t="str">
        <x:f>IF(CaseLedger!$A16="","",IFERROR(CaseLedger!$O16,""))</x:f>
        <x:v>Sadaqah</x:v>
      </x:c>
      <x:c r="G16" s="52" t="str">
        <x:f>IF(CaseLedger!$A16="","",IFERROR(CaseLedger!$E16,""))</x:f>
        <x:v>Feb 2025</x:v>
      </x:c>
      <x:c r="H16" s="52" t="str">
        <x:f>IF(CaseLedger!$A16="","",IFERROR(CaseLedger!$P16,""))</x:f>
        <x:v>Location withheld</x:v>
      </x:c>
      <x:c r="I16" s="52" t="str">
        <x:f>IF(CaseLedger!$A16="","",IFERROR(CaseLedger!$Q16,""))</x:f>
        <x:v>₹10,000–₹15,000</x:v>
      </x:c>
      <x:c r="J16" s="52" t="str">
        <x:f>IF(CaseLedger!$A16="","",IFERROR(CaseLedger!$R16,""))</x:f>
        <x:v>A verified recipient/family needed support related to shop / business inventory.</x:v>
      </x:c>
      <x:c r="K16" s="52" t="str">
        <x:f>IF(CaseLedger!$A16="","",IFERROR(CaseLedger!$S16,""))</x:f>
        <x:v>Humanitarians supported the case through Sadaqah funds for support for chicken shop.</x:v>
      </x:c>
      <x:c r="L16" s="52" t="str">
        <x:f>IF(CaseLedger!$A16="","",IFERROR(CaseLedger!$T16,""))</x:f>
        <x:v>Outcome/update should be added only after verified follow-up.</x:v>
      </x:c>
      <x:c r="M16" s="52" t="str">
        <x:f>IF(CaseLedger!$A16="","",IFERROR(CaseLedger!$U16,""))</x:f>
        <x:v>Add follow-up notes after checking with the verification team.</x:v>
      </x:c>
      <x:c r="N16" s="52" t="str">
        <x:f>IF(CaseLedger!$A16="","",IFERROR(CaseLedger!$V16,""))</x:f>
        <x:v>Add a real quote only with consent; do not publish this placeholder as a recipient quote.</x:v>
      </x:c>
      <x:c r="O16" s="52" t="str">
        <x:f>IF(CaseLedger!$A16="","",IFERROR(CaseLedger!$W16,""))</x:f>
        <x:v>Anonymized public summary; no full name, phone, address, ID, bank details, or donor identity included.</x:v>
      </x:c>
      <x:c r="P16" s="52" t="str">
        <x:f>IF(CaseLedger!$A16="","",IFERROR(CaseLedger!$C16,""))</x:f>
        <x:v>No</x:v>
      </x:c>
      <x:c r="Q16" s="52" t="str">
        <x:f>IF(CaseLedger!$A16="","",IFERROR(CaseLedger!$D16,""))</x:f>
        <x:v>Archive</x:v>
      </x:c>
      <x:c r="R16" s="52" t="str">
        <x:f>IF(CaseLedger!$A16="","",IFERROR(CaseLedger!$X16,""))</x:f>
      </x:c>
      <x:c r="S16" s="52" t="str">
        <x:f>IF(CaseLedger!$A16="","",IFERROR(CaseLedger!$Y16,""))</x:f>
        <x:v>Anonymized Humanitarians case image 1 for HUM-015</x:v>
      </x:c>
      <x:c r="T16" s="52" t="str">
        <x:f>IF(CaseLedger!$A16="","",IFERROR(CaseLedger!$Z16,""))</x:f>
        <x:v>Before/support context image - add only after consent.</x:v>
      </x:c>
      <x:c r="U16" s="52" t="str">
        <x:f>IF(CaseLedger!$A16="","",IFERROR(CaseLedger!$AA16,""))</x:f>
      </x:c>
      <x:c r="V16" s="52" t="str">
        <x:f>IF(CaseLedger!$A16="","",IFERROR(CaseLedger!$AB16,""))</x:f>
        <x:v>Anonymized Humanitarians case image 2 for HUM-015</x:v>
      </x:c>
      <x:c r="W16" s="52" t="str">
        <x:f>IF(CaseLedger!$A16="","",IFERROR(CaseLedger!$AC16,""))</x:f>
        <x:v>Support/equipment image - add only after consent.</x:v>
      </x:c>
      <x:c r="X16" s="52" t="str">
        <x:f>IF(CaseLedger!$A16="","",IFERROR(CaseLedger!$AD16,""))</x:f>
      </x:c>
      <x:c r="Y16" s="52" t="str">
        <x:f>IF(CaseLedger!$A16="","",IFERROR(CaseLedger!$AE16,""))</x:f>
        <x:v>Anonymized Humanitarians case image 3 for HUM-015</x:v>
      </x:c>
      <x:c r="Z16" s="52" t="str">
        <x:f>IF(CaseLedger!$A16="","",IFERROR(CaseLedger!$AF16,""))</x:f>
        <x:v>Outcome/follow-up image - add only after consent.</x:v>
      </x:c>
      <x:c r="AA16" s="52" t="str">
        <x:f>IF(CaseLedger!$A16="","",IFERROR(CaseLedger!$AG16,""))</x:f>
        <x:v>Pending consent</x:v>
      </x:c>
      <x:c r="AB16" s="52" t="str">
        <x:f>IF(CaseLedger!$A16="","",IFERROR(CaseLedger!$AH16,""))</x:f>
        <x:v>Paste public Google Drive image URLs only after recipient consent and privacy review.</x:v>
      </x:c>
      <x:c r="AC16"/>
    </x:row>
    <x:row r="17">
      <x:c r="A17" s="52" t="str">
        <x:f>IF(CaseLedger!$A17="","",IFERROR(CaseLedger!$A17,""))</x:f>
        <x:v>HUM-016</x:v>
      </x:c>
      <x:c r="B17" s="52" t="str">
        <x:f>IF(CaseLedger!$A17="","",IFERROR(CaseLedger!$H17,""))</x:f>
        <x:v>Support for peddling toys</x:v>
      </x:c>
      <x:c r="C17" s="52" t="str">
        <x:f>IF(CaseLedger!$A17="","",IFERROR(CaseLedger!$I17,""))</x:f>
        <x:v>Anonymized case HUM-016</x:v>
      </x:c>
      <x:c r="D17" s="52" t="str">
        <x:f>IF(CaseLedger!$A17="","",IFERROR(CaseLedger!$J17,""))</x:f>
        <x:v>Livelihood</x:v>
      </x:c>
      <x:c r="E17" s="52" t="str">
        <x:f>IF(CaseLedger!$A17="","",IFERROR(CaseLedger!$K17,""))</x:f>
        <x:v>Shop / business inventory</x:v>
      </x:c>
      <x:c r="F17" s="52" t="str">
        <x:f>IF(CaseLedger!$A17="","",IFERROR(CaseLedger!$O17,""))</x:f>
        <x:v>Zakat</x:v>
      </x:c>
      <x:c r="G17" s="52" t="str">
        <x:f>IF(CaseLedger!$A17="","",IFERROR(CaseLedger!$E17,""))</x:f>
        <x:v>Feb 2025</x:v>
      </x:c>
      <x:c r="H17" s="52" t="str">
        <x:f>IF(CaseLedger!$A17="","",IFERROR(CaseLedger!$P17,""))</x:f>
        <x:v>Location withheld</x:v>
      </x:c>
      <x:c r="I17" s="52" t="str">
        <x:f>IF(CaseLedger!$A17="","",IFERROR(CaseLedger!$Q17,""))</x:f>
        <x:v>₹5,000–₹10,000</x:v>
      </x:c>
      <x:c r="J17" s="52" t="str">
        <x:f>IF(CaseLedger!$A17="","",IFERROR(CaseLedger!$R17,""))</x:f>
        <x:v>A verified recipient/family needed support related to shop / business inventory.</x:v>
      </x:c>
      <x:c r="K17" s="52" t="str">
        <x:f>IF(CaseLedger!$A17="","",IFERROR(CaseLedger!$S17,""))</x:f>
        <x:v>Humanitarians supported the case through Zakat funds for support for peddling toys.</x:v>
      </x:c>
      <x:c r="L17" s="52" t="str">
        <x:f>IF(CaseLedger!$A17="","",IFERROR(CaseLedger!$T17,""))</x:f>
        <x:v>Outcome/update should be added only after verified follow-up.</x:v>
      </x:c>
      <x:c r="M17" s="52" t="str">
        <x:f>IF(CaseLedger!$A17="","",IFERROR(CaseLedger!$U17,""))</x:f>
        <x:v>Add follow-up notes after checking with the verification team.</x:v>
      </x:c>
      <x:c r="N17" s="52" t="str">
        <x:f>IF(CaseLedger!$A17="","",IFERROR(CaseLedger!$V17,""))</x:f>
        <x:v>Add a real quote only with consent; do not publish this placeholder as a recipient quote.</x:v>
      </x:c>
      <x:c r="O17" s="52" t="str">
        <x:f>IF(CaseLedger!$A17="","",IFERROR(CaseLedger!$W17,""))</x:f>
        <x:v>Anonymized public summary; no full name, phone, address, ID, bank details, or donor identity included.</x:v>
      </x:c>
      <x:c r="P17" s="52" t="str">
        <x:f>IF(CaseLedger!$A17="","",IFERROR(CaseLedger!$C17,""))</x:f>
        <x:v>No</x:v>
      </x:c>
      <x:c r="Q17" s="52" t="str">
        <x:f>IF(CaseLedger!$A17="","",IFERROR(CaseLedger!$D17,""))</x:f>
        <x:v>Archive</x:v>
      </x:c>
      <x:c r="R17" s="52" t="str">
        <x:f>IF(CaseLedger!$A17="","",IFERROR(CaseLedger!$X17,""))</x:f>
      </x:c>
      <x:c r="S17" s="52" t="str">
        <x:f>IF(CaseLedger!$A17="","",IFERROR(CaseLedger!$Y17,""))</x:f>
        <x:v>Anonymized Humanitarians case image 1 for HUM-016</x:v>
      </x:c>
      <x:c r="T17" s="52" t="str">
        <x:f>IF(CaseLedger!$A17="","",IFERROR(CaseLedger!$Z17,""))</x:f>
        <x:v>Before/support context image - add only after consent.</x:v>
      </x:c>
      <x:c r="U17" s="52" t="str">
        <x:f>IF(CaseLedger!$A17="","",IFERROR(CaseLedger!$AA17,""))</x:f>
      </x:c>
      <x:c r="V17" s="52" t="str">
        <x:f>IF(CaseLedger!$A17="","",IFERROR(CaseLedger!$AB17,""))</x:f>
        <x:v>Anonymized Humanitarians case image 2 for HUM-016</x:v>
      </x:c>
      <x:c r="W17" s="52" t="str">
        <x:f>IF(CaseLedger!$A17="","",IFERROR(CaseLedger!$AC17,""))</x:f>
        <x:v>Support/equipment image - add only after consent.</x:v>
      </x:c>
      <x:c r="X17" s="52" t="str">
        <x:f>IF(CaseLedger!$A17="","",IFERROR(CaseLedger!$AD17,""))</x:f>
      </x:c>
      <x:c r="Y17" s="52" t="str">
        <x:f>IF(CaseLedger!$A17="","",IFERROR(CaseLedger!$AE17,""))</x:f>
        <x:v>Anonymized Humanitarians case image 3 for HUM-016</x:v>
      </x:c>
      <x:c r="Z17" s="52" t="str">
        <x:f>IF(CaseLedger!$A17="","",IFERROR(CaseLedger!$AF17,""))</x:f>
        <x:v>Outcome/follow-up image - add only after consent.</x:v>
      </x:c>
      <x:c r="AA17" s="52" t="str">
        <x:f>IF(CaseLedger!$A17="","",IFERROR(CaseLedger!$AG17,""))</x:f>
        <x:v>Pending consent</x:v>
      </x:c>
      <x:c r="AB17" s="52" t="str">
        <x:f>IF(CaseLedger!$A17="","",IFERROR(CaseLedger!$AH17,""))</x:f>
        <x:v>Paste public Google Drive image URLs only after recipient consent and privacy review.</x:v>
      </x:c>
      <x:c r="AC17"/>
    </x:row>
    <x:row r="18">
      <x:c r="A18" s="52" t="str">
        <x:f>IF(CaseLedger!$A18="","",IFERROR(CaseLedger!$A18,""))</x:f>
        <x:v>HUM-017</x:v>
      </x:c>
      <x:c r="B18" s="52" t="str">
        <x:f>IF(CaseLedger!$A18="","",IFERROR(CaseLedger!$H18,""))</x:f>
        <x:v>Support for sustainability of Small business</x:v>
      </x:c>
      <x:c r="C18" s="52" t="str">
        <x:f>IF(CaseLedger!$A18="","",IFERROR(CaseLedger!$I18,""))</x:f>
        <x:v>Anonymized case HUM-017</x:v>
      </x:c>
      <x:c r="D18" s="52" t="str">
        <x:f>IF(CaseLedger!$A18="","",IFERROR(CaseLedger!$J18,""))</x:f>
        <x:v>Livelihood</x:v>
      </x:c>
      <x:c r="E18" s="52" t="str">
        <x:f>IF(CaseLedger!$A18="","",IFERROR(CaseLedger!$K18,""))</x:f>
        <x:v>Shop / business inventory</x:v>
      </x:c>
      <x:c r="F18" s="52" t="str">
        <x:f>IF(CaseLedger!$A18="","",IFERROR(CaseLedger!$O18,""))</x:f>
        <x:v>Zakat</x:v>
      </x:c>
      <x:c r="G18" s="52" t="str">
        <x:f>IF(CaseLedger!$A18="","",IFERROR(CaseLedger!$E18,""))</x:f>
        <x:v>Feb 2025</x:v>
      </x:c>
      <x:c r="H18" s="52" t="str">
        <x:f>IF(CaseLedger!$A18="","",IFERROR(CaseLedger!$P18,""))</x:f>
        <x:v>Location withheld</x:v>
      </x:c>
      <x:c r="I18" s="52" t="str">
        <x:f>IF(CaseLedger!$A18="","",IFERROR(CaseLedger!$Q18,""))</x:f>
        <x:v>₹15,000–₹25,000</x:v>
      </x:c>
      <x:c r="J18" s="52" t="str">
        <x:f>IF(CaseLedger!$A18="","",IFERROR(CaseLedger!$R18,""))</x:f>
        <x:v>A verified recipient/family needed support related to shop / business inventory.</x:v>
      </x:c>
      <x:c r="K18" s="52" t="str">
        <x:f>IF(CaseLedger!$A18="","",IFERROR(CaseLedger!$S18,""))</x:f>
        <x:v>Humanitarians supported the case through Zakat funds for support for sustainability of small business.</x:v>
      </x:c>
      <x:c r="L18" s="52" t="str">
        <x:f>IF(CaseLedger!$A18="","",IFERROR(CaseLedger!$T18,""))</x:f>
        <x:v>Outcome/update should be added only after verified follow-up.</x:v>
      </x:c>
      <x:c r="M18" s="52" t="str">
        <x:f>IF(CaseLedger!$A18="","",IFERROR(CaseLedger!$U18,""))</x:f>
        <x:v>Add follow-up notes after checking with the verification team.</x:v>
      </x:c>
      <x:c r="N18" s="52" t="str">
        <x:f>IF(CaseLedger!$A18="","",IFERROR(CaseLedger!$V18,""))</x:f>
        <x:v>Add a real quote only with consent; do not publish this placeholder as a recipient quote.</x:v>
      </x:c>
      <x:c r="O18" s="52" t="str">
        <x:f>IF(CaseLedger!$A18="","",IFERROR(CaseLedger!$W18,""))</x:f>
        <x:v>Anonymized public summary; no full name, phone, address, ID, bank details, or donor identity included.</x:v>
      </x:c>
      <x:c r="P18" s="52" t="str">
        <x:f>IF(CaseLedger!$A18="","",IFERROR(CaseLedger!$C18,""))</x:f>
        <x:v>No</x:v>
      </x:c>
      <x:c r="Q18" s="52" t="str">
        <x:f>IF(CaseLedger!$A18="","",IFERROR(CaseLedger!$D18,""))</x:f>
        <x:v>Archive</x:v>
      </x:c>
      <x:c r="R18" s="52" t="str">
        <x:f>IF(CaseLedger!$A18="","",IFERROR(CaseLedger!$X18,""))</x:f>
      </x:c>
      <x:c r="S18" s="52" t="str">
        <x:f>IF(CaseLedger!$A18="","",IFERROR(CaseLedger!$Y18,""))</x:f>
        <x:v>Anonymized Humanitarians case image 1 for HUM-017</x:v>
      </x:c>
      <x:c r="T18" s="52" t="str">
        <x:f>IF(CaseLedger!$A18="","",IFERROR(CaseLedger!$Z18,""))</x:f>
        <x:v>Before/support context image - add only after consent.</x:v>
      </x:c>
      <x:c r="U18" s="52" t="str">
        <x:f>IF(CaseLedger!$A18="","",IFERROR(CaseLedger!$AA18,""))</x:f>
      </x:c>
      <x:c r="V18" s="52" t="str">
        <x:f>IF(CaseLedger!$A18="","",IFERROR(CaseLedger!$AB18,""))</x:f>
        <x:v>Anonymized Humanitarians case image 2 for HUM-017</x:v>
      </x:c>
      <x:c r="W18" s="52" t="str">
        <x:f>IF(CaseLedger!$A18="","",IFERROR(CaseLedger!$AC18,""))</x:f>
        <x:v>Support/equipment image - add only after consent.</x:v>
      </x:c>
      <x:c r="X18" s="52" t="str">
        <x:f>IF(CaseLedger!$A18="","",IFERROR(CaseLedger!$AD18,""))</x:f>
      </x:c>
      <x:c r="Y18" s="52" t="str">
        <x:f>IF(CaseLedger!$A18="","",IFERROR(CaseLedger!$AE18,""))</x:f>
        <x:v>Anonymized Humanitarians case image 3 for HUM-017</x:v>
      </x:c>
      <x:c r="Z18" s="52" t="str">
        <x:f>IF(CaseLedger!$A18="","",IFERROR(CaseLedger!$AF18,""))</x:f>
        <x:v>Outcome/follow-up image - add only after consent.</x:v>
      </x:c>
      <x:c r="AA18" s="52" t="str">
        <x:f>IF(CaseLedger!$A18="","",IFERROR(CaseLedger!$AG18,""))</x:f>
        <x:v>Pending consent</x:v>
      </x:c>
      <x:c r="AB18" s="52" t="str">
        <x:f>IF(CaseLedger!$A18="","",IFERROR(CaseLedger!$AH18,""))</x:f>
        <x:v>Paste public Google Drive image URLs only after recipient consent and privacy review.</x:v>
      </x:c>
      <x:c r="AC18"/>
    </x:row>
    <x:row r="19">
      <x:c r="A19" s="52" t="str">
        <x:f>IF(CaseLedger!$A19="","",IFERROR(CaseLedger!$A19,""))</x:f>
        <x:v>HUM-018</x:v>
      </x:c>
      <x:c r="B19" s="52" t="str">
        <x:f>IF(CaseLedger!$A19="","",IFERROR(CaseLedger!$H19,""))</x:f>
        <x:v>Assistance in procurement of better quality cloths</x:v>
      </x:c>
      <x:c r="C19" s="52" t="str">
        <x:f>IF(CaseLedger!$A19="","",IFERROR(CaseLedger!$I19,""))</x:f>
        <x:v>Anonymized case HUM-018</x:v>
      </x:c>
      <x:c r="D19" s="52" t="str">
        <x:f>IF(CaseLedger!$A19="","",IFERROR(CaseLedger!$J19,""))</x:f>
        <x:v>Livelihood</x:v>
      </x:c>
      <x:c r="E19" s="52" t="str">
        <x:f>IF(CaseLedger!$A19="","",IFERROR(CaseLedger!$K19,""))</x:f>
        <x:v>Shop / business inventory</x:v>
      </x:c>
      <x:c r="F19" s="52" t="str">
        <x:f>IF(CaseLedger!$A19="","",IFERROR(CaseLedger!$O19,""))</x:f>
        <x:v>Zakat</x:v>
      </x:c>
      <x:c r="G19" s="52" t="str">
        <x:f>IF(CaseLedger!$A19="","",IFERROR(CaseLedger!$E19,""))</x:f>
        <x:v>Mar 2025</x:v>
      </x:c>
      <x:c r="H19" s="52" t="str">
        <x:f>IF(CaseLedger!$A19="","",IFERROR(CaseLedger!$P19,""))</x:f>
        <x:v>Basti, UP</x:v>
      </x:c>
      <x:c r="I19" s="52" t="str">
        <x:f>IF(CaseLedger!$A19="","",IFERROR(CaseLedger!$Q19,""))</x:f>
        <x:v>₹10,000–₹15,000</x:v>
      </x:c>
      <x:c r="J19" s="52" t="str">
        <x:f>IF(CaseLedger!$A19="","",IFERROR(CaseLedger!$R19,""))</x:f>
        <x:v>A verified recipient/family needed support related to shop / business inventory.</x:v>
      </x:c>
      <x:c r="K19" s="52" t="str">
        <x:f>IF(CaseLedger!$A19="","",IFERROR(CaseLedger!$S19,""))</x:f>
        <x:v>Humanitarians supported the case through Zakat funds for assistance in procurement of better quality cloths.</x:v>
      </x:c>
      <x:c r="L19" s="52" t="str">
        <x:f>IF(CaseLedger!$A19="","",IFERROR(CaseLedger!$T19,""))</x:f>
        <x:v>Outcome/update should be added only after verified follow-up.</x:v>
      </x:c>
      <x:c r="M19" s="52" t="str">
        <x:f>IF(CaseLedger!$A19="","",IFERROR(CaseLedger!$U19,""))</x:f>
        <x:v>Add follow-up notes after checking with the verification team.</x:v>
      </x:c>
      <x:c r="N19" s="52" t="str">
        <x:f>IF(CaseLedger!$A19="","",IFERROR(CaseLedger!$V19,""))</x:f>
        <x:v>Add a real quote only with consent; do not publish this placeholder as a recipient quote.</x:v>
      </x:c>
      <x:c r="O19" s="52" t="str">
        <x:f>IF(CaseLedger!$A19="","",IFERROR(CaseLedger!$W19,""))</x:f>
        <x:v>Anonymized public summary; no full name, phone, address, ID, bank details, or donor identity included.</x:v>
      </x:c>
      <x:c r="P19" s="52" t="str">
        <x:f>IF(CaseLedger!$A19="","",IFERROR(CaseLedger!$C19,""))</x:f>
        <x:v>No</x:v>
      </x:c>
      <x:c r="Q19" s="52" t="str">
        <x:f>IF(CaseLedger!$A19="","",IFERROR(CaseLedger!$D19,""))</x:f>
        <x:v>Archive</x:v>
      </x:c>
      <x:c r="R19" s="52" t="str">
        <x:f>IF(CaseLedger!$A19="","",IFERROR(CaseLedger!$X19,""))</x:f>
      </x:c>
      <x:c r="S19" s="52" t="str">
        <x:f>IF(CaseLedger!$A19="","",IFERROR(CaseLedger!$Y19,""))</x:f>
        <x:v>Anonymized Humanitarians case image 1 for HUM-018</x:v>
      </x:c>
      <x:c r="T19" s="52" t="str">
        <x:f>IF(CaseLedger!$A19="","",IFERROR(CaseLedger!$Z19,""))</x:f>
        <x:v>Before/support context image - add only after consent.</x:v>
      </x:c>
      <x:c r="U19" s="52" t="str">
        <x:f>IF(CaseLedger!$A19="","",IFERROR(CaseLedger!$AA19,""))</x:f>
      </x:c>
      <x:c r="V19" s="52" t="str">
        <x:f>IF(CaseLedger!$A19="","",IFERROR(CaseLedger!$AB19,""))</x:f>
        <x:v>Anonymized Humanitarians case image 2 for HUM-018</x:v>
      </x:c>
      <x:c r="W19" s="52" t="str">
        <x:f>IF(CaseLedger!$A19="","",IFERROR(CaseLedger!$AC19,""))</x:f>
        <x:v>Support/equipment image - add only after consent.</x:v>
      </x:c>
      <x:c r="X19" s="52" t="str">
        <x:f>IF(CaseLedger!$A19="","",IFERROR(CaseLedger!$AD19,""))</x:f>
      </x:c>
      <x:c r="Y19" s="52" t="str">
        <x:f>IF(CaseLedger!$A19="","",IFERROR(CaseLedger!$AE19,""))</x:f>
        <x:v>Anonymized Humanitarians case image 3 for HUM-018</x:v>
      </x:c>
      <x:c r="Z19" s="52" t="str">
        <x:f>IF(CaseLedger!$A19="","",IFERROR(CaseLedger!$AF19,""))</x:f>
        <x:v>Outcome/follow-up image - add only after consent.</x:v>
      </x:c>
      <x:c r="AA19" s="52" t="str">
        <x:f>IF(CaseLedger!$A19="","",IFERROR(CaseLedger!$AG19,""))</x:f>
        <x:v>Pending consent</x:v>
      </x:c>
      <x:c r="AB19" s="52" t="str">
        <x:f>IF(CaseLedger!$A19="","",IFERROR(CaseLedger!$AH19,""))</x:f>
        <x:v>Paste public Google Drive image URLs only after recipient consent and privacy review.</x:v>
      </x:c>
      <x:c r="AC19"/>
    </x:row>
    <x:row r="20">
      <x:c r="A20" s="52" t="str">
        <x:f>IF(CaseLedger!$A20="","",IFERROR(CaseLedger!$A20,""))</x:f>
        <x:v>HUM-019</x:v>
      </x:c>
      <x:c r="B20" s="52" t="str">
        <x:f>IF(CaseLedger!$A20="","",IFERROR(CaseLedger!$H20,""))</x:f>
        <x:v>Initial Support for Cosmetics Shop</x:v>
      </x:c>
      <x:c r="C20" s="52" t="str">
        <x:f>IF(CaseLedger!$A20="","",IFERROR(CaseLedger!$I20,""))</x:f>
        <x:v>Anonymized case HUM-019</x:v>
      </x:c>
      <x:c r="D20" s="52" t="str">
        <x:f>IF(CaseLedger!$A20="","",IFERROR(CaseLedger!$J20,""))</x:f>
        <x:v>Livelihood</x:v>
      </x:c>
      <x:c r="E20" s="52" t="str">
        <x:f>IF(CaseLedger!$A20="","",IFERROR(CaseLedger!$K20,""))</x:f>
        <x:v>Shop / business inventory</x:v>
      </x:c>
      <x:c r="F20" s="52" t="str">
        <x:f>IF(CaseLedger!$A20="","",IFERROR(CaseLedger!$O20,""))</x:f>
        <x:v>Zakat</x:v>
      </x:c>
      <x:c r="G20" s="52" t="str">
        <x:f>IF(CaseLedger!$A20="","",IFERROR(CaseLedger!$E20,""))</x:f>
        <x:v>Mar 2025</x:v>
      </x:c>
      <x:c r="H20" s="52" t="str">
        <x:f>IF(CaseLedger!$A20="","",IFERROR(CaseLedger!$P20,""))</x:f>
        <x:v>Gurgaon, Haryana</x:v>
      </x:c>
      <x:c r="I20" s="52" t="str">
        <x:f>IF(CaseLedger!$A20="","",IFERROR(CaseLedger!$Q20,""))</x:f>
        <x:v>₹15,000–₹25,000</x:v>
      </x:c>
      <x:c r="J20" s="52" t="str">
        <x:f>IF(CaseLedger!$A20="","",IFERROR(CaseLedger!$R20,""))</x:f>
        <x:v>A verified recipient/family needed support related to shop / business inventory.</x:v>
      </x:c>
      <x:c r="K20" s="52" t="str">
        <x:f>IF(CaseLedger!$A20="","",IFERROR(CaseLedger!$S20,""))</x:f>
        <x:v>Humanitarians supported the case through Zakat funds for initial support for cosmetics shop.</x:v>
      </x:c>
      <x:c r="L20" s="52" t="str">
        <x:f>IF(CaseLedger!$A20="","",IFERROR(CaseLedger!$T20,""))</x:f>
        <x:v>Outcome/update should be added only after verified follow-up.</x:v>
      </x:c>
      <x:c r="M20" s="52" t="str">
        <x:f>IF(CaseLedger!$A20="","",IFERROR(CaseLedger!$U20,""))</x:f>
        <x:v>Add follow-up notes after checking with the verification team.</x:v>
      </x:c>
      <x:c r="N20" s="52" t="str">
        <x:f>IF(CaseLedger!$A20="","",IFERROR(CaseLedger!$V20,""))</x:f>
        <x:v>Add a real quote only with consent; do not publish this placeholder as a recipient quote.</x:v>
      </x:c>
      <x:c r="O20" s="52" t="str">
        <x:f>IF(CaseLedger!$A20="","",IFERROR(CaseLedger!$W20,""))</x:f>
        <x:v>Anonymized public summary; no full name, phone, address, ID, bank details, or donor identity included.</x:v>
      </x:c>
      <x:c r="P20" s="52" t="str">
        <x:f>IF(CaseLedger!$A20="","",IFERROR(CaseLedger!$C20,""))</x:f>
        <x:v>No</x:v>
      </x:c>
      <x:c r="Q20" s="52" t="str">
        <x:f>IF(CaseLedger!$A20="","",IFERROR(CaseLedger!$D20,""))</x:f>
        <x:v>Archive</x:v>
      </x:c>
      <x:c r="R20" s="52" t="str">
        <x:f>IF(CaseLedger!$A20="","",IFERROR(CaseLedger!$X20,""))</x:f>
      </x:c>
      <x:c r="S20" s="52" t="str">
        <x:f>IF(CaseLedger!$A20="","",IFERROR(CaseLedger!$Y20,""))</x:f>
        <x:v>Anonymized Humanitarians case image 1 for HUM-019</x:v>
      </x:c>
      <x:c r="T20" s="52" t="str">
        <x:f>IF(CaseLedger!$A20="","",IFERROR(CaseLedger!$Z20,""))</x:f>
        <x:v>Before/support context image - add only after consent.</x:v>
      </x:c>
      <x:c r="U20" s="52" t="str">
        <x:f>IF(CaseLedger!$A20="","",IFERROR(CaseLedger!$AA20,""))</x:f>
      </x:c>
      <x:c r="V20" s="52" t="str">
        <x:f>IF(CaseLedger!$A20="","",IFERROR(CaseLedger!$AB20,""))</x:f>
        <x:v>Anonymized Humanitarians case image 2 for HUM-019</x:v>
      </x:c>
      <x:c r="W20" s="52" t="str">
        <x:f>IF(CaseLedger!$A20="","",IFERROR(CaseLedger!$AC20,""))</x:f>
        <x:v>Support/equipment image - add only after consent.</x:v>
      </x:c>
      <x:c r="X20" s="52" t="str">
        <x:f>IF(CaseLedger!$A20="","",IFERROR(CaseLedger!$AD20,""))</x:f>
      </x:c>
      <x:c r="Y20" s="52" t="str">
        <x:f>IF(CaseLedger!$A20="","",IFERROR(CaseLedger!$AE20,""))</x:f>
        <x:v>Anonymized Humanitarians case image 3 for HUM-019</x:v>
      </x:c>
      <x:c r="Z20" s="52" t="str">
        <x:f>IF(CaseLedger!$A20="","",IFERROR(CaseLedger!$AF20,""))</x:f>
        <x:v>Outcome/follow-up image - add only after consent.</x:v>
      </x:c>
      <x:c r="AA20" s="52" t="str">
        <x:f>IF(CaseLedger!$A20="","",IFERROR(CaseLedger!$AG20,""))</x:f>
        <x:v>Pending consent</x:v>
      </x:c>
      <x:c r="AB20" s="52" t="str">
        <x:f>IF(CaseLedger!$A20="","",IFERROR(CaseLedger!$AH20,""))</x:f>
        <x:v>Paste public Google Drive image URLs only after recipient consent and privacy review.</x:v>
      </x:c>
      <x:c r="AC20"/>
    </x:row>
    <x:row r="21">
      <x:c r="A21" s="52" t="str">
        <x:f>IF(CaseLedger!$A21="","",IFERROR(CaseLedger!$A21,""))</x:f>
        <x:v>HUM-020</x:v>
      </x:c>
      <x:c r="B21" s="52" t="str">
        <x:f>IF(CaseLedger!$A21="","",IFERROR(CaseLedger!$H21,""))</x:f>
        <x:v>Repair of Electric Sewing Machine</x:v>
      </x:c>
      <x:c r="C21" s="52" t="str">
        <x:f>IF(CaseLedger!$A21="","",IFERROR(CaseLedger!$I21,""))</x:f>
        <x:v>Anonymized case HUM-020</x:v>
      </x:c>
      <x:c r="D21" s="52" t="str">
        <x:f>IF(CaseLedger!$A21="","",IFERROR(CaseLedger!$J21,""))</x:f>
        <x:v>Livelihood</x:v>
      </x:c>
      <x:c r="E21" s="52" t="str">
        <x:f>IF(CaseLedger!$A21="","",IFERROR(CaseLedger!$K21,""))</x:f>
        <x:v>Sewing / tailoring</x:v>
      </x:c>
      <x:c r="F21" s="52" t="str">
        <x:f>IF(CaseLedger!$A21="","",IFERROR(CaseLedger!$O21,""))</x:f>
        <x:v>Zakat</x:v>
      </x:c>
      <x:c r="G21" s="52" t="str">
        <x:f>IF(CaseLedger!$A21="","",IFERROR(CaseLedger!$E21,""))</x:f>
        <x:v>Mar 2025</x:v>
      </x:c>
      <x:c r="H21" s="52" t="str">
        <x:f>IF(CaseLedger!$A21="","",IFERROR(CaseLedger!$P21,""))</x:f>
        <x:v>Ghaziabad, UP</x:v>
      </x:c>
      <x:c r="I21" s="52" t="str">
        <x:f>IF(CaseLedger!$A21="","",IFERROR(CaseLedger!$Q21,""))</x:f>
        <x:v>₹10,000–₹15,000</x:v>
      </x:c>
      <x:c r="J21" s="52" t="str">
        <x:f>IF(CaseLedger!$A21="","",IFERROR(CaseLedger!$R21,""))</x:f>
        <x:v>A verified recipient/family needed support related to sewing / tailoring.</x:v>
      </x:c>
      <x:c r="K21" s="52" t="str">
        <x:f>IF(CaseLedger!$A21="","",IFERROR(CaseLedger!$S21,""))</x:f>
        <x:v>Humanitarians supported the case through Zakat funds for repair of electric sewing machine.</x:v>
      </x:c>
      <x:c r="L21" s="52" t="str">
        <x:f>IF(CaseLedger!$A21="","",IFERROR(CaseLedger!$T21,""))</x:f>
        <x:v>Outcome/update should be added only after verified follow-up.</x:v>
      </x:c>
      <x:c r="M21" s="52" t="str">
        <x:f>IF(CaseLedger!$A21="","",IFERROR(CaseLedger!$U21,""))</x:f>
        <x:v>Add follow-up notes after checking with the verification team.</x:v>
      </x:c>
      <x:c r="N21" s="52" t="str">
        <x:f>IF(CaseLedger!$A21="","",IFERROR(CaseLedger!$V21,""))</x:f>
        <x:v>Add a real quote only with consent; do not publish this placeholder as a recipient quote.</x:v>
      </x:c>
      <x:c r="O21" s="52" t="str">
        <x:f>IF(CaseLedger!$A21="","",IFERROR(CaseLedger!$W21,""))</x:f>
        <x:v>Anonymized public summary; no full name, phone, address, ID, bank details, or donor identity included.</x:v>
      </x:c>
      <x:c r="P21" s="52" t="str">
        <x:f>IF(CaseLedger!$A21="","",IFERROR(CaseLedger!$C21,""))</x:f>
        <x:v>No</x:v>
      </x:c>
      <x:c r="Q21" s="52" t="str">
        <x:f>IF(CaseLedger!$A21="","",IFERROR(CaseLedger!$D21,""))</x:f>
        <x:v>Draft</x:v>
      </x:c>
      <x:c r="R21" s="52" t="str">
        <x:f>IF(CaseLedger!$A21="","",IFERROR(CaseLedger!$X21,""))</x:f>
      </x:c>
      <x:c r="S21" s="52" t="str">
        <x:f>IF(CaseLedger!$A21="","",IFERROR(CaseLedger!$Y21,""))</x:f>
        <x:v>Anonymized Humanitarians case image 1 for HUM-020</x:v>
      </x:c>
      <x:c r="T21" s="52" t="str">
        <x:f>IF(CaseLedger!$A21="","",IFERROR(CaseLedger!$Z21,""))</x:f>
        <x:v>Before/support context image - add only after consent.</x:v>
      </x:c>
      <x:c r="U21" s="52" t="str">
        <x:f>IF(CaseLedger!$A21="","",IFERROR(CaseLedger!$AA21,""))</x:f>
      </x:c>
      <x:c r="V21" s="52" t="str">
        <x:f>IF(CaseLedger!$A21="","",IFERROR(CaseLedger!$AB21,""))</x:f>
        <x:v>Anonymized Humanitarians case image 2 for HUM-020</x:v>
      </x:c>
      <x:c r="W21" s="52" t="str">
        <x:f>IF(CaseLedger!$A21="","",IFERROR(CaseLedger!$AC21,""))</x:f>
        <x:v>Support/equipment image - add only after consent.</x:v>
      </x:c>
      <x:c r="X21" s="52" t="str">
        <x:f>IF(CaseLedger!$A21="","",IFERROR(CaseLedger!$AD21,""))</x:f>
      </x:c>
      <x:c r="Y21" s="52" t="str">
        <x:f>IF(CaseLedger!$A21="","",IFERROR(CaseLedger!$AE21,""))</x:f>
        <x:v>Anonymized Humanitarians case image 3 for HUM-020</x:v>
      </x:c>
      <x:c r="Z21" s="52" t="str">
        <x:f>IF(CaseLedger!$A21="","",IFERROR(CaseLedger!$AF21,""))</x:f>
        <x:v>Outcome/follow-up image - add only after consent.</x:v>
      </x:c>
      <x:c r="AA21" s="52" t="str">
        <x:f>IF(CaseLedger!$A21="","",IFERROR(CaseLedger!$AG21,""))</x:f>
        <x:v>Pending consent</x:v>
      </x:c>
      <x:c r="AB21" s="52" t="str">
        <x:f>IF(CaseLedger!$A21="","",IFERROR(CaseLedger!$AH21,""))</x:f>
        <x:v>Paste public Google Drive image URLs only after recipient consent and privacy review.</x:v>
      </x:c>
      <x:c r="AC21"/>
    </x:row>
    <x:row r="22">
      <x:c r="A22" s="52" t="str">
        <x:f>IF(CaseLedger!$A22="","",IFERROR(CaseLedger!$A22,""))</x:f>
        <x:v>HUM-021</x:v>
      </x:c>
      <x:c r="B22" s="52" t="str">
        <x:f>IF(CaseLedger!$A22="","",IFERROR(CaseLedger!$H22,""))</x:f>
        <x:v>Support for Kirana Shop</x:v>
      </x:c>
      <x:c r="C22" s="52" t="str">
        <x:f>IF(CaseLedger!$A22="","",IFERROR(CaseLedger!$I22,""))</x:f>
        <x:v>Anonymized case HUM-021</x:v>
      </x:c>
      <x:c r="D22" s="52" t="str">
        <x:f>IF(CaseLedger!$A22="","",IFERROR(CaseLedger!$J22,""))</x:f>
        <x:v>Livelihood</x:v>
      </x:c>
      <x:c r="E22" s="52" t="str">
        <x:f>IF(CaseLedger!$A22="","",IFERROR(CaseLedger!$K22,""))</x:f>
        <x:v>Shop / business inventory</x:v>
      </x:c>
      <x:c r="F22" s="52" t="str">
        <x:f>IF(CaseLedger!$A22="","",IFERROR(CaseLedger!$O22,""))</x:f>
        <x:v>Sadaqah</x:v>
      </x:c>
      <x:c r="G22" s="52" t="str">
        <x:f>IF(CaseLedger!$A22="","",IFERROR(CaseLedger!$E22,""))</x:f>
        <x:v>Mar 2025</x:v>
      </x:c>
      <x:c r="H22" s="52" t="str">
        <x:f>IF(CaseLedger!$A22="","",IFERROR(CaseLedger!$P22,""))</x:f>
        <x:v>Basti, UP</x:v>
      </x:c>
      <x:c r="I22" s="52" t="str">
        <x:f>IF(CaseLedger!$A22="","",IFERROR(CaseLedger!$Q22,""))</x:f>
        <x:v>₹10,000–₹15,000</x:v>
      </x:c>
      <x:c r="J22" s="52" t="str">
        <x:f>IF(CaseLedger!$A22="","",IFERROR(CaseLedger!$R22,""))</x:f>
        <x:v>A verified recipient/family needed support related to shop / business inventory.</x:v>
      </x:c>
      <x:c r="K22" s="52" t="str">
        <x:f>IF(CaseLedger!$A22="","",IFERROR(CaseLedger!$S22,""))</x:f>
        <x:v>Humanitarians supported the case through Sadaqah funds for support for kirana shop.</x:v>
      </x:c>
      <x:c r="L22" s="52" t="str">
        <x:f>IF(CaseLedger!$A22="","",IFERROR(CaseLedger!$T22,""))</x:f>
        <x:v>Outcome/update should be added only after verified follow-up.</x:v>
      </x:c>
      <x:c r="M22" s="52" t="str">
        <x:f>IF(CaseLedger!$A22="","",IFERROR(CaseLedger!$U22,""))</x:f>
        <x:v>Add follow-up notes after checking with the verification team.</x:v>
      </x:c>
      <x:c r="N22" s="52" t="str">
        <x:f>IF(CaseLedger!$A22="","",IFERROR(CaseLedger!$V22,""))</x:f>
        <x:v>Add a real quote only with consent; do not publish this placeholder as a recipient quote.</x:v>
      </x:c>
      <x:c r="O22" s="52" t="str">
        <x:f>IF(CaseLedger!$A22="","",IFERROR(CaseLedger!$W22,""))</x:f>
        <x:v>Anonymized public summary; no full name, phone, address, ID, bank details, or donor identity included.</x:v>
      </x:c>
      <x:c r="P22" s="52" t="str">
        <x:f>IF(CaseLedger!$A22="","",IFERROR(CaseLedger!$C22,""))</x:f>
        <x:v>No</x:v>
      </x:c>
      <x:c r="Q22" s="52" t="str">
        <x:f>IF(CaseLedger!$A22="","",IFERROR(CaseLedger!$D22,""))</x:f>
        <x:v>Draft</x:v>
      </x:c>
      <x:c r="R22" s="52" t="str">
        <x:f>IF(CaseLedger!$A22="","",IFERROR(CaseLedger!$X22,""))</x:f>
      </x:c>
      <x:c r="S22" s="52" t="str">
        <x:f>IF(CaseLedger!$A22="","",IFERROR(CaseLedger!$Y22,""))</x:f>
        <x:v>Anonymized Humanitarians case image 1 for HUM-021</x:v>
      </x:c>
      <x:c r="T22" s="52" t="str">
        <x:f>IF(CaseLedger!$A22="","",IFERROR(CaseLedger!$Z22,""))</x:f>
        <x:v>Before/support context image - add only after consent.</x:v>
      </x:c>
      <x:c r="U22" s="52" t="str">
        <x:f>IF(CaseLedger!$A22="","",IFERROR(CaseLedger!$AA22,""))</x:f>
      </x:c>
      <x:c r="V22" s="52" t="str">
        <x:f>IF(CaseLedger!$A22="","",IFERROR(CaseLedger!$AB22,""))</x:f>
        <x:v>Anonymized Humanitarians case image 2 for HUM-021</x:v>
      </x:c>
      <x:c r="W22" s="52" t="str">
        <x:f>IF(CaseLedger!$A22="","",IFERROR(CaseLedger!$AC22,""))</x:f>
        <x:v>Support/equipment image - add only after consent.</x:v>
      </x:c>
      <x:c r="X22" s="52" t="str">
        <x:f>IF(CaseLedger!$A22="","",IFERROR(CaseLedger!$AD22,""))</x:f>
      </x:c>
      <x:c r="Y22" s="52" t="str">
        <x:f>IF(CaseLedger!$A22="","",IFERROR(CaseLedger!$AE22,""))</x:f>
        <x:v>Anonymized Humanitarians case image 3 for HUM-021</x:v>
      </x:c>
      <x:c r="Z22" s="52" t="str">
        <x:f>IF(CaseLedger!$A22="","",IFERROR(CaseLedger!$AF22,""))</x:f>
        <x:v>Outcome/follow-up image - add only after consent.</x:v>
      </x:c>
      <x:c r="AA22" s="52" t="str">
        <x:f>IF(CaseLedger!$A22="","",IFERROR(CaseLedger!$AG22,""))</x:f>
        <x:v>Pending consent</x:v>
      </x:c>
      <x:c r="AB22" s="52" t="str">
        <x:f>IF(CaseLedger!$A22="","",IFERROR(CaseLedger!$AH22,""))</x:f>
        <x:v>Paste public Google Drive image URLs only after recipient consent and privacy review.</x:v>
      </x:c>
      <x:c r="AC22"/>
    </x:row>
    <x:row r="23">
      <x:c r="A23" s="52" t="str">
        <x:f>IF(CaseLedger!$A23="","",IFERROR(CaseLedger!$A23,""))</x:f>
        <x:v>HUM-022</x:v>
      </x:c>
      <x:c r="B23" s="52" t="str">
        <x:f>IF(CaseLedger!$A23="","",IFERROR(CaseLedger!$H23,""))</x:f>
        <x:v>Support for Second Hand Auto</x:v>
      </x:c>
      <x:c r="C23" s="52" t="str">
        <x:f>IF(CaseLedger!$A23="","",IFERROR(CaseLedger!$I23,""))</x:f>
        <x:v>Anonymized case HUM-022</x:v>
      </x:c>
      <x:c r="D23" s="52" t="str">
        <x:f>IF(CaseLedger!$A23="","",IFERROR(CaseLedger!$J23,""))</x:f>
        <x:v>Livelihood</x:v>
      </x:c>
      <x:c r="E23" s="52" t="str">
        <x:f>IF(CaseLedger!$A23="","",IFERROR(CaseLedger!$K23,""))</x:f>
        <x:v>E-rickshaw / auto</x:v>
      </x:c>
      <x:c r="F23" s="52" t="str">
        <x:f>IF(CaseLedger!$A23="","",IFERROR(CaseLedger!$O23,""))</x:f>
        <x:v>Sadaqah</x:v>
      </x:c>
      <x:c r="G23" s="52" t="str">
        <x:f>IF(CaseLedger!$A23="","",IFERROR(CaseLedger!$E23,""))</x:f>
        <x:v>Mar 2025</x:v>
      </x:c>
      <x:c r="H23" s="52" t="str">
        <x:f>IF(CaseLedger!$A23="","",IFERROR(CaseLedger!$P23,""))</x:f>
        <x:v>Ghaziabad, UP</x:v>
      </x:c>
      <x:c r="I23" s="52" t="str">
        <x:f>IF(CaseLedger!$A23="","",IFERROR(CaseLedger!$Q23,""))</x:f>
        <x:v>₹15,000–₹25,000</x:v>
      </x:c>
      <x:c r="J23" s="52" t="str">
        <x:f>IF(CaseLedger!$A23="","",IFERROR(CaseLedger!$R23,""))</x:f>
        <x:v>A verified recipient/family needed support related to e-rickshaw / auto.</x:v>
      </x:c>
      <x:c r="K23" s="52" t="str">
        <x:f>IF(CaseLedger!$A23="","",IFERROR(CaseLedger!$S23,""))</x:f>
        <x:v>Humanitarians supported the case through Sadaqah funds for support for second hand auto.</x:v>
      </x:c>
      <x:c r="L23" s="52" t="str">
        <x:f>IF(CaseLedger!$A23="","",IFERROR(CaseLedger!$T23,""))</x:f>
        <x:v>Outcome/update should be added only after verified follow-up.</x:v>
      </x:c>
      <x:c r="M23" s="52" t="str">
        <x:f>IF(CaseLedger!$A23="","",IFERROR(CaseLedger!$U23,""))</x:f>
        <x:v>Add follow-up notes after checking with the verification team.</x:v>
      </x:c>
      <x:c r="N23" s="52" t="str">
        <x:f>IF(CaseLedger!$A23="","",IFERROR(CaseLedger!$V23,""))</x:f>
        <x:v>Add a real quote only with consent; do not publish this placeholder as a recipient quote.</x:v>
      </x:c>
      <x:c r="O23" s="52" t="str">
        <x:f>IF(CaseLedger!$A23="","",IFERROR(CaseLedger!$W23,""))</x:f>
        <x:v>Anonymized public summary; no full name, phone, address, ID, bank details, or donor identity included.</x:v>
      </x:c>
      <x:c r="P23" s="52" t="str">
        <x:f>IF(CaseLedger!$A23="","",IFERROR(CaseLedger!$C23,""))</x:f>
        <x:v>No</x:v>
      </x:c>
      <x:c r="Q23" s="52" t="str">
        <x:f>IF(CaseLedger!$A23="","",IFERROR(CaseLedger!$D23,""))</x:f>
        <x:v>Archive</x:v>
      </x:c>
      <x:c r="R23" s="52" t="str">
        <x:f>IF(CaseLedger!$A23="","",IFERROR(CaseLedger!$X23,""))</x:f>
      </x:c>
      <x:c r="S23" s="52" t="str">
        <x:f>IF(CaseLedger!$A23="","",IFERROR(CaseLedger!$Y23,""))</x:f>
        <x:v>Anonymized Humanitarians case image 1 for HUM-022</x:v>
      </x:c>
      <x:c r="T23" s="52" t="str">
        <x:f>IF(CaseLedger!$A23="","",IFERROR(CaseLedger!$Z23,""))</x:f>
        <x:v>Before/support context image - add only after consent.</x:v>
      </x:c>
      <x:c r="U23" s="52" t="str">
        <x:f>IF(CaseLedger!$A23="","",IFERROR(CaseLedger!$AA23,""))</x:f>
      </x:c>
      <x:c r="V23" s="52" t="str">
        <x:f>IF(CaseLedger!$A23="","",IFERROR(CaseLedger!$AB23,""))</x:f>
        <x:v>Anonymized Humanitarians case image 2 for HUM-022</x:v>
      </x:c>
      <x:c r="W23" s="52" t="str">
        <x:f>IF(CaseLedger!$A23="","",IFERROR(CaseLedger!$AC23,""))</x:f>
        <x:v>Support/equipment image - add only after consent.</x:v>
      </x:c>
      <x:c r="X23" s="52" t="str">
        <x:f>IF(CaseLedger!$A23="","",IFERROR(CaseLedger!$AD23,""))</x:f>
      </x:c>
      <x:c r="Y23" s="52" t="str">
        <x:f>IF(CaseLedger!$A23="","",IFERROR(CaseLedger!$AE23,""))</x:f>
        <x:v>Anonymized Humanitarians case image 3 for HUM-022</x:v>
      </x:c>
      <x:c r="Z23" s="52" t="str">
        <x:f>IF(CaseLedger!$A23="","",IFERROR(CaseLedger!$AF23,""))</x:f>
        <x:v>Outcome/follow-up image - add only after consent.</x:v>
      </x:c>
      <x:c r="AA23" s="52" t="str">
        <x:f>IF(CaseLedger!$A23="","",IFERROR(CaseLedger!$AG23,""))</x:f>
        <x:v>Pending consent</x:v>
      </x:c>
      <x:c r="AB23" s="52" t="str">
        <x:f>IF(CaseLedger!$A23="","",IFERROR(CaseLedger!$AH23,""))</x:f>
        <x:v>Paste public Google Drive image URLs only after recipient consent and privacy review.</x:v>
      </x:c>
      <x:c r="AC23"/>
    </x:row>
    <x:row r="24">
      <x:c r="A24" s="52" t="str">
        <x:f>IF(CaseLedger!$A24="","",IFERROR(CaseLedger!$A24,""))</x:f>
        <x:v>HUM-023</x:v>
      </x:c>
      <x:c r="B24" s="52" t="str">
        <x:f>IF(CaseLedger!$A24="","",IFERROR(CaseLedger!$H24,""))</x:f>
        <x:v>Support in Buying New Auto</x:v>
      </x:c>
      <x:c r="C24" s="52" t="str">
        <x:f>IF(CaseLedger!$A24="","",IFERROR(CaseLedger!$I24,""))</x:f>
        <x:v>Anonymized case HUM-023</x:v>
      </x:c>
      <x:c r="D24" s="52" t="str">
        <x:f>IF(CaseLedger!$A24="","",IFERROR(CaseLedger!$J24,""))</x:f>
        <x:v>Livelihood</x:v>
      </x:c>
      <x:c r="E24" s="52" t="str">
        <x:f>IF(CaseLedger!$A24="","",IFERROR(CaseLedger!$K24,""))</x:f>
        <x:v>E-rickshaw / auto</x:v>
      </x:c>
      <x:c r="F24" s="52" t="str">
        <x:f>IF(CaseLedger!$A24="","",IFERROR(CaseLedger!$O24,""))</x:f>
        <x:v>Zakat</x:v>
      </x:c>
      <x:c r="G24" s="52" t="str">
        <x:f>IF(CaseLedger!$A24="","",IFERROR(CaseLedger!$E24,""))</x:f>
        <x:v>Mar 2025</x:v>
      </x:c>
      <x:c r="H24" s="52" t="str">
        <x:f>IF(CaseLedger!$A24="","",IFERROR(CaseLedger!$P24,""))</x:f>
        <x:v>Basti, UP</x:v>
      </x:c>
      <x:c r="I24" s="52" t="str">
        <x:f>IF(CaseLedger!$A24="","",IFERROR(CaseLedger!$Q24,""))</x:f>
        <x:v>₹15,000–₹25,000</x:v>
      </x:c>
      <x:c r="J24" s="52" t="str">
        <x:f>IF(CaseLedger!$A24="","",IFERROR(CaseLedger!$R24,""))</x:f>
        <x:v>A verified recipient/family needed support related to e-rickshaw / auto.</x:v>
      </x:c>
      <x:c r="K24" s="52" t="str">
        <x:f>IF(CaseLedger!$A24="","",IFERROR(CaseLedger!$S24,""))</x:f>
        <x:v>Humanitarians supported the case through Zakat funds for support in buying new auto.</x:v>
      </x:c>
      <x:c r="L24" s="52" t="str">
        <x:f>IF(CaseLedger!$A24="","",IFERROR(CaseLedger!$T24,""))</x:f>
        <x:v>Outcome/update should be added only after verified follow-up.</x:v>
      </x:c>
      <x:c r="M24" s="52" t="str">
        <x:f>IF(CaseLedger!$A24="","",IFERROR(CaseLedger!$U24,""))</x:f>
        <x:v>Add follow-up notes after checking with the verification team.</x:v>
      </x:c>
      <x:c r="N24" s="52" t="str">
        <x:f>IF(CaseLedger!$A24="","",IFERROR(CaseLedger!$V24,""))</x:f>
        <x:v>Add a real quote only with consent; do not publish this placeholder as a recipient quote.</x:v>
      </x:c>
      <x:c r="O24" s="52" t="str">
        <x:f>IF(CaseLedger!$A24="","",IFERROR(CaseLedger!$W24,""))</x:f>
        <x:v>Anonymized public summary; no full name, phone, address, ID, bank details, or donor identity included.</x:v>
      </x:c>
      <x:c r="P24" s="52" t="str">
        <x:f>IF(CaseLedger!$A24="","",IFERROR(CaseLedger!$C24,""))</x:f>
        <x:v>No</x:v>
      </x:c>
      <x:c r="Q24" s="52" t="str">
        <x:f>IF(CaseLedger!$A24="","",IFERROR(CaseLedger!$D24,""))</x:f>
        <x:v>Archive</x:v>
      </x:c>
      <x:c r="R24" s="52" t="str">
        <x:f>IF(CaseLedger!$A24="","",IFERROR(CaseLedger!$X24,""))</x:f>
      </x:c>
      <x:c r="S24" s="52" t="str">
        <x:f>IF(CaseLedger!$A24="","",IFERROR(CaseLedger!$Y24,""))</x:f>
        <x:v>Anonymized Humanitarians case image 1 for HUM-023</x:v>
      </x:c>
      <x:c r="T24" s="52" t="str">
        <x:f>IF(CaseLedger!$A24="","",IFERROR(CaseLedger!$Z24,""))</x:f>
        <x:v>Before/support context image - add only after consent.</x:v>
      </x:c>
      <x:c r="U24" s="52" t="str">
        <x:f>IF(CaseLedger!$A24="","",IFERROR(CaseLedger!$AA24,""))</x:f>
      </x:c>
      <x:c r="V24" s="52" t="str">
        <x:f>IF(CaseLedger!$A24="","",IFERROR(CaseLedger!$AB24,""))</x:f>
        <x:v>Anonymized Humanitarians case image 2 for HUM-023</x:v>
      </x:c>
      <x:c r="W24" s="52" t="str">
        <x:f>IF(CaseLedger!$A24="","",IFERROR(CaseLedger!$AC24,""))</x:f>
        <x:v>Support/equipment image - add only after consent.</x:v>
      </x:c>
      <x:c r="X24" s="52" t="str">
        <x:f>IF(CaseLedger!$A24="","",IFERROR(CaseLedger!$AD24,""))</x:f>
      </x:c>
      <x:c r="Y24" s="52" t="str">
        <x:f>IF(CaseLedger!$A24="","",IFERROR(CaseLedger!$AE24,""))</x:f>
        <x:v>Anonymized Humanitarians case image 3 for HUM-023</x:v>
      </x:c>
      <x:c r="Z24" s="52" t="str">
        <x:f>IF(CaseLedger!$A24="","",IFERROR(CaseLedger!$AF24,""))</x:f>
        <x:v>Outcome/follow-up image - add only after consent.</x:v>
      </x:c>
      <x:c r="AA24" s="52" t="str">
        <x:f>IF(CaseLedger!$A24="","",IFERROR(CaseLedger!$AG24,""))</x:f>
        <x:v>Pending consent</x:v>
      </x:c>
      <x:c r="AB24" s="52" t="str">
        <x:f>IF(CaseLedger!$A24="","",IFERROR(CaseLedger!$AH24,""))</x:f>
        <x:v>Paste public Google Drive image URLs only after recipient consent and privacy review.</x:v>
      </x:c>
      <x:c r="AC24"/>
    </x:row>
    <x:row r="25">
      <x:c r="A25" s="52" t="str">
        <x:f>IF(CaseLedger!$A25="","",IFERROR(CaseLedger!$A25,""))</x:f>
        <x:v>HUM-024</x:v>
      </x:c>
      <x:c r="B25" s="52" t="str">
        <x:f>IF(CaseLedger!$A25="","",IFERROR(CaseLedger!$H25,""))</x:f>
        <x:v>Support in Buying Second Hand Auto</x:v>
      </x:c>
      <x:c r="C25" s="52" t="str">
        <x:f>IF(CaseLedger!$A25="","",IFERROR(CaseLedger!$I25,""))</x:f>
        <x:v>Anonymized case HUM-024</x:v>
      </x:c>
      <x:c r="D25" s="52" t="str">
        <x:f>IF(CaseLedger!$A25="","",IFERROR(CaseLedger!$J25,""))</x:f>
        <x:v>Livelihood</x:v>
      </x:c>
      <x:c r="E25" s="52" t="str">
        <x:f>IF(CaseLedger!$A25="","",IFERROR(CaseLedger!$K25,""))</x:f>
        <x:v>E-rickshaw / auto</x:v>
      </x:c>
      <x:c r="F25" s="52" t="str">
        <x:f>IF(CaseLedger!$A25="","",IFERROR(CaseLedger!$O25,""))</x:f>
        <x:v>Zakat</x:v>
      </x:c>
      <x:c r="G25" s="52" t="str">
        <x:f>IF(CaseLedger!$A25="","",IFERROR(CaseLedger!$E25,""))</x:f>
        <x:v>Mar 2025</x:v>
      </x:c>
      <x:c r="H25" s="52" t="str">
        <x:f>IF(CaseLedger!$A25="","",IFERROR(CaseLedger!$P25,""))</x:f>
        <x:v>Basti, UP</x:v>
      </x:c>
      <x:c r="I25" s="52" t="str">
        <x:f>IF(CaseLedger!$A25="","",IFERROR(CaseLedger!$Q25,""))</x:f>
        <x:v>₹15,000–₹25,000</x:v>
      </x:c>
      <x:c r="J25" s="52" t="str">
        <x:f>IF(CaseLedger!$A25="","",IFERROR(CaseLedger!$R25,""))</x:f>
        <x:v>A verified recipient/family needed support related to e-rickshaw / auto.</x:v>
      </x:c>
      <x:c r="K25" s="52" t="str">
        <x:f>IF(CaseLedger!$A25="","",IFERROR(CaseLedger!$S25,""))</x:f>
        <x:v>Humanitarians supported the case through Zakat funds for support in buying second hand auto.</x:v>
      </x:c>
      <x:c r="L25" s="52" t="str">
        <x:f>IF(CaseLedger!$A25="","",IFERROR(CaseLedger!$T25,""))</x:f>
        <x:v>Outcome/update should be added only after verified follow-up.</x:v>
      </x:c>
      <x:c r="M25" s="52" t="str">
        <x:f>IF(CaseLedger!$A25="","",IFERROR(CaseLedger!$U25,""))</x:f>
        <x:v>Add follow-up notes after checking with the verification team.</x:v>
      </x:c>
      <x:c r="N25" s="52" t="str">
        <x:f>IF(CaseLedger!$A25="","",IFERROR(CaseLedger!$V25,""))</x:f>
        <x:v>Add a real quote only with consent; do not publish this placeholder as a recipient quote.</x:v>
      </x:c>
      <x:c r="O25" s="52" t="str">
        <x:f>IF(CaseLedger!$A25="","",IFERROR(CaseLedger!$W25,""))</x:f>
        <x:v>Anonymized public summary; no full name, phone, address, ID, bank details, or donor identity included.</x:v>
      </x:c>
      <x:c r="P25" s="52" t="str">
        <x:f>IF(CaseLedger!$A25="","",IFERROR(CaseLedger!$C25,""))</x:f>
        <x:v>No</x:v>
      </x:c>
      <x:c r="Q25" s="52" t="str">
        <x:f>IF(CaseLedger!$A25="","",IFERROR(CaseLedger!$D25,""))</x:f>
        <x:v>Archive</x:v>
      </x:c>
      <x:c r="R25" s="52" t="str">
        <x:f>IF(CaseLedger!$A25="","",IFERROR(CaseLedger!$X25,""))</x:f>
      </x:c>
      <x:c r="S25" s="52" t="str">
        <x:f>IF(CaseLedger!$A25="","",IFERROR(CaseLedger!$Y25,""))</x:f>
        <x:v>Anonymized Humanitarians case image 1 for HUM-024</x:v>
      </x:c>
      <x:c r="T25" s="52" t="str">
        <x:f>IF(CaseLedger!$A25="","",IFERROR(CaseLedger!$Z25,""))</x:f>
        <x:v>Before/support context image - add only after consent.</x:v>
      </x:c>
      <x:c r="U25" s="52" t="str">
        <x:f>IF(CaseLedger!$A25="","",IFERROR(CaseLedger!$AA25,""))</x:f>
      </x:c>
      <x:c r="V25" s="52" t="str">
        <x:f>IF(CaseLedger!$A25="","",IFERROR(CaseLedger!$AB25,""))</x:f>
        <x:v>Anonymized Humanitarians case image 2 for HUM-024</x:v>
      </x:c>
      <x:c r="W25" s="52" t="str">
        <x:f>IF(CaseLedger!$A25="","",IFERROR(CaseLedger!$AC25,""))</x:f>
        <x:v>Support/equipment image - add only after consent.</x:v>
      </x:c>
      <x:c r="X25" s="52" t="str">
        <x:f>IF(CaseLedger!$A25="","",IFERROR(CaseLedger!$AD25,""))</x:f>
      </x:c>
      <x:c r="Y25" s="52" t="str">
        <x:f>IF(CaseLedger!$A25="","",IFERROR(CaseLedger!$AE25,""))</x:f>
        <x:v>Anonymized Humanitarians case image 3 for HUM-024</x:v>
      </x:c>
      <x:c r="Z25" s="52" t="str">
        <x:f>IF(CaseLedger!$A25="","",IFERROR(CaseLedger!$AF25,""))</x:f>
        <x:v>Outcome/follow-up image - add only after consent.</x:v>
      </x:c>
      <x:c r="AA25" s="52" t="str">
        <x:f>IF(CaseLedger!$A25="","",IFERROR(CaseLedger!$AG25,""))</x:f>
        <x:v>Pending consent</x:v>
      </x:c>
      <x:c r="AB25" s="52" t="str">
        <x:f>IF(CaseLedger!$A25="","",IFERROR(CaseLedger!$AH25,""))</x:f>
        <x:v>Paste public Google Drive image URLs only after recipient consent and privacy review.</x:v>
      </x:c>
      <x:c r="AC25"/>
    </x:row>
    <x:row r="26">
      <x:c r="A26" s="52" t="str">
        <x:f>IF(CaseLedger!$A26="","",IFERROR(CaseLedger!$A26,""))</x:f>
        <x:v>HUM-025</x:v>
      </x:c>
      <x:c r="B26" s="52" t="str">
        <x:f>IF(CaseLedger!$A26="","",IFERROR(CaseLedger!$H26,""))</x:f>
        <x:v>Electric Sewing Machine</x:v>
      </x:c>
      <x:c r="C26" s="52" t="str">
        <x:f>IF(CaseLedger!$A26="","",IFERROR(CaseLedger!$I26,""))</x:f>
        <x:v>Anonymized case HUM-025</x:v>
      </x:c>
      <x:c r="D26" s="52" t="str">
        <x:f>IF(CaseLedger!$A26="","",IFERROR(CaseLedger!$J26,""))</x:f>
        <x:v>Livelihood</x:v>
      </x:c>
      <x:c r="E26" s="52" t="str">
        <x:f>IF(CaseLedger!$A26="","",IFERROR(CaseLedger!$K26,""))</x:f>
        <x:v>Sewing / tailoring</x:v>
      </x:c>
      <x:c r="F26" s="52" t="str">
        <x:f>IF(CaseLedger!$A26="","",IFERROR(CaseLedger!$O26,""))</x:f>
        <x:v>Sadaqah</x:v>
      </x:c>
      <x:c r="G26" s="52" t="str">
        <x:f>IF(CaseLedger!$A26="","",IFERROR(CaseLedger!$E26,""))</x:f>
        <x:v>Apr 2025</x:v>
      </x:c>
      <x:c r="H26" s="52" t="str">
        <x:f>IF(CaseLedger!$A26="","",IFERROR(CaseLedger!$P26,""))</x:f>
        <x:v>Basti, UP</x:v>
      </x:c>
      <x:c r="I26" s="52" t="str">
        <x:f>IF(CaseLedger!$A26="","",IFERROR(CaseLedger!$Q26,""))</x:f>
        <x:v>₹5,000–₹10,000</x:v>
      </x:c>
      <x:c r="J26" s="52" t="str">
        <x:f>IF(CaseLedger!$A26="","",IFERROR(CaseLedger!$R26,""))</x:f>
        <x:v>A verified recipient/family needed support related to sewing / tailoring.</x:v>
      </x:c>
      <x:c r="K26" s="52" t="str">
        <x:f>IF(CaseLedger!$A26="","",IFERROR(CaseLedger!$S26,""))</x:f>
        <x:v>Humanitarians supported the case through Sadaqah funds for electric sewing machine.</x:v>
      </x:c>
      <x:c r="L26" s="52" t="str">
        <x:f>IF(CaseLedger!$A26="","",IFERROR(CaseLedger!$T26,""))</x:f>
        <x:v>Outcome/update should be added only after verified follow-up.</x:v>
      </x:c>
      <x:c r="M26" s="52" t="str">
        <x:f>IF(CaseLedger!$A26="","",IFERROR(CaseLedger!$U26,""))</x:f>
        <x:v>Add follow-up notes after checking with the verification team.</x:v>
      </x:c>
      <x:c r="N26" s="52" t="str">
        <x:f>IF(CaseLedger!$A26="","",IFERROR(CaseLedger!$V26,""))</x:f>
        <x:v>Add a real quote only with consent; do not publish this placeholder as a recipient quote.</x:v>
      </x:c>
      <x:c r="O26" s="52" t="str">
        <x:f>IF(CaseLedger!$A26="","",IFERROR(CaseLedger!$W26,""))</x:f>
        <x:v>Anonymized public summary; no full name, phone, address, ID, bank details, or donor identity included.</x:v>
      </x:c>
      <x:c r="P26" s="52" t="str">
        <x:f>IF(CaseLedger!$A26="","",IFERROR(CaseLedger!$C26,""))</x:f>
        <x:v>No</x:v>
      </x:c>
      <x:c r="Q26" s="52" t="str">
        <x:f>IF(CaseLedger!$A26="","",IFERROR(CaseLedger!$D26,""))</x:f>
        <x:v>Draft</x:v>
      </x:c>
      <x:c r="R26" s="52" t="str">
        <x:f>IF(CaseLedger!$A26="","",IFERROR(CaseLedger!$X26,""))</x:f>
      </x:c>
      <x:c r="S26" s="52" t="str">
        <x:f>IF(CaseLedger!$A26="","",IFERROR(CaseLedger!$Y26,""))</x:f>
        <x:v>Anonymized Humanitarians case image 1 for HUM-025</x:v>
      </x:c>
      <x:c r="T26" s="52" t="str">
        <x:f>IF(CaseLedger!$A26="","",IFERROR(CaseLedger!$Z26,""))</x:f>
        <x:v>Before/support context image - add only after consent.</x:v>
      </x:c>
      <x:c r="U26" s="52" t="str">
        <x:f>IF(CaseLedger!$A26="","",IFERROR(CaseLedger!$AA26,""))</x:f>
      </x:c>
      <x:c r="V26" s="52" t="str">
        <x:f>IF(CaseLedger!$A26="","",IFERROR(CaseLedger!$AB26,""))</x:f>
        <x:v>Anonymized Humanitarians case image 2 for HUM-025</x:v>
      </x:c>
      <x:c r="W26" s="52" t="str">
        <x:f>IF(CaseLedger!$A26="","",IFERROR(CaseLedger!$AC26,""))</x:f>
        <x:v>Support/equipment image - add only after consent.</x:v>
      </x:c>
      <x:c r="X26" s="52" t="str">
        <x:f>IF(CaseLedger!$A26="","",IFERROR(CaseLedger!$AD26,""))</x:f>
      </x:c>
      <x:c r="Y26" s="52" t="str">
        <x:f>IF(CaseLedger!$A26="","",IFERROR(CaseLedger!$AE26,""))</x:f>
        <x:v>Anonymized Humanitarians case image 3 for HUM-025</x:v>
      </x:c>
      <x:c r="Z26" s="52" t="str">
        <x:f>IF(CaseLedger!$A26="","",IFERROR(CaseLedger!$AF26,""))</x:f>
        <x:v>Outcome/follow-up image - add only after consent.</x:v>
      </x:c>
      <x:c r="AA26" s="52" t="str">
        <x:f>IF(CaseLedger!$A26="","",IFERROR(CaseLedger!$AG26,""))</x:f>
        <x:v>Pending consent</x:v>
      </x:c>
      <x:c r="AB26" s="52" t="str">
        <x:f>IF(CaseLedger!$A26="","",IFERROR(CaseLedger!$AH26,""))</x:f>
        <x:v>Paste public Google Drive image URLs only after recipient consent and privacy review.</x:v>
      </x:c>
      <x:c r="AC26"/>
    </x:row>
    <x:row r="27">
      <x:c r="A27" s="52" t="str">
        <x:f>IF(CaseLedger!$A27="","",IFERROR(CaseLedger!$A27,""))</x:f>
        <x:v>HUM-026</x:v>
      </x:c>
      <x:c r="B27" s="52" t="str">
        <x:f>IF(CaseLedger!$A27="","",IFERROR(CaseLedger!$H27,""))</x:f>
        <x:v>Sewing Machines</x:v>
      </x:c>
      <x:c r="C27" s="52" t="str">
        <x:f>IF(CaseLedger!$A27="","",IFERROR(CaseLedger!$I27,""))</x:f>
        <x:v>Anonymized case HUM-026</x:v>
      </x:c>
      <x:c r="D27" s="52" t="str">
        <x:f>IF(CaseLedger!$A27="","",IFERROR(CaseLedger!$J27,""))</x:f>
        <x:v>Livelihood</x:v>
      </x:c>
      <x:c r="E27" s="52" t="str">
        <x:f>IF(CaseLedger!$A27="","",IFERROR(CaseLedger!$K27,""))</x:f>
        <x:v>Sewing / tailoring</x:v>
      </x:c>
      <x:c r="F27" s="52" t="str">
        <x:f>IF(CaseLedger!$A27="","",IFERROR(CaseLedger!$O27,""))</x:f>
        <x:v>Mixed</x:v>
      </x:c>
      <x:c r="G27" s="52" t="str">
        <x:f>IF(CaseLedger!$A27="","",IFERROR(CaseLedger!$E27,""))</x:f>
        <x:v>May 2025</x:v>
      </x:c>
      <x:c r="H27" s="52" t="str">
        <x:f>IF(CaseLedger!$A27="","",IFERROR(CaseLedger!$P27,""))</x:f>
        <x:v>Basti, UP</x:v>
      </x:c>
      <x:c r="I27" s="52" t="str">
        <x:f>IF(CaseLedger!$A27="","",IFERROR(CaseLedger!$Q27,""))</x:f>
        <x:v>₹15,000–₹25,000</x:v>
      </x:c>
      <x:c r="J27" s="52" t="str">
        <x:f>IF(CaseLedger!$A27="","",IFERROR(CaseLedger!$R27,""))</x:f>
        <x:v>A verified recipient/family needed support related to sewing / tailoring.</x:v>
      </x:c>
      <x:c r="K27" s="52" t="str">
        <x:f>IF(CaseLedger!$A27="","",IFERROR(CaseLedger!$S27,""))</x:f>
        <x:v>Humanitarians supported the case through Mixed funds for sewing machines.</x:v>
      </x:c>
      <x:c r="L27" s="52" t="str">
        <x:f>IF(CaseLedger!$A27="","",IFERROR(CaseLedger!$T27,""))</x:f>
        <x:v>Outcome/update should be added only after verified follow-up.</x:v>
      </x:c>
      <x:c r="M27" s="52" t="str">
        <x:f>IF(CaseLedger!$A27="","",IFERROR(CaseLedger!$U27,""))</x:f>
        <x:v>Add follow-up notes after checking with the verification team.</x:v>
      </x:c>
      <x:c r="N27" s="52" t="str">
        <x:f>IF(CaseLedger!$A27="","",IFERROR(CaseLedger!$V27,""))</x:f>
        <x:v>Add a real quote only with consent; do not publish this placeholder as a recipient quote.</x:v>
      </x:c>
      <x:c r="O27" s="52" t="str">
        <x:f>IF(CaseLedger!$A27="","",IFERROR(CaseLedger!$W27,""))</x:f>
        <x:v>Anonymized public summary; no full name, phone, address, ID, bank details, or donor identity included.</x:v>
      </x:c>
      <x:c r="P27" s="52" t="str">
        <x:f>IF(CaseLedger!$A27="","",IFERROR(CaseLedger!$C27,""))</x:f>
        <x:v>No</x:v>
      </x:c>
      <x:c r="Q27" s="52" t="str">
        <x:f>IF(CaseLedger!$A27="","",IFERROR(CaseLedger!$D27,""))</x:f>
        <x:v>Draft</x:v>
      </x:c>
      <x:c r="R27" s="52" t="str">
        <x:f>IF(CaseLedger!$A27="","",IFERROR(CaseLedger!$X27,""))</x:f>
      </x:c>
      <x:c r="S27" s="52" t="str">
        <x:f>IF(CaseLedger!$A27="","",IFERROR(CaseLedger!$Y27,""))</x:f>
        <x:v>Anonymized Humanitarians case image 1 for HUM-026</x:v>
      </x:c>
      <x:c r="T27" s="52" t="str">
        <x:f>IF(CaseLedger!$A27="","",IFERROR(CaseLedger!$Z27,""))</x:f>
        <x:v>Before/support context image - add only after consent.</x:v>
      </x:c>
      <x:c r="U27" s="52" t="str">
        <x:f>IF(CaseLedger!$A27="","",IFERROR(CaseLedger!$AA27,""))</x:f>
      </x:c>
      <x:c r="V27" s="52" t="str">
        <x:f>IF(CaseLedger!$A27="","",IFERROR(CaseLedger!$AB27,""))</x:f>
        <x:v>Anonymized Humanitarians case image 2 for HUM-026</x:v>
      </x:c>
      <x:c r="W27" s="52" t="str">
        <x:f>IF(CaseLedger!$A27="","",IFERROR(CaseLedger!$AC27,""))</x:f>
        <x:v>Support/equipment image - add only after consent.</x:v>
      </x:c>
      <x:c r="X27" s="52" t="str">
        <x:f>IF(CaseLedger!$A27="","",IFERROR(CaseLedger!$AD27,""))</x:f>
      </x:c>
      <x:c r="Y27" s="52" t="str">
        <x:f>IF(CaseLedger!$A27="","",IFERROR(CaseLedger!$AE27,""))</x:f>
        <x:v>Anonymized Humanitarians case image 3 for HUM-026</x:v>
      </x:c>
      <x:c r="Z27" s="52" t="str">
        <x:f>IF(CaseLedger!$A27="","",IFERROR(CaseLedger!$AF27,""))</x:f>
        <x:v>Outcome/follow-up image - add only after consent.</x:v>
      </x:c>
      <x:c r="AA27" s="52" t="str">
        <x:f>IF(CaseLedger!$A27="","",IFERROR(CaseLedger!$AG27,""))</x:f>
        <x:v>Pending consent</x:v>
      </x:c>
      <x:c r="AB27" s="52" t="str">
        <x:f>IF(CaseLedger!$A27="","",IFERROR(CaseLedger!$AH27,""))</x:f>
        <x:v>Paste public Google Drive image URLs only after recipient consent and privacy review.</x:v>
      </x:c>
      <x:c r="AC27"/>
    </x:row>
    <x:row r="28">
      <x:c r="A28" s="52" t="str">
        <x:f>IF(CaseLedger!$A28="","",IFERROR(CaseLedger!$A28,""))</x:f>
        <x:v>HUM-027</x:v>
      </x:c>
      <x:c r="B28" s="52" t="str">
        <x:f>IF(CaseLedger!$A28="","",IFERROR(CaseLedger!$H28,""))</x:f>
        <x:v>Support for Buffalo Shed</x:v>
      </x:c>
      <x:c r="C28" s="52" t="str">
        <x:f>IF(CaseLedger!$A28="","",IFERROR(CaseLedger!$I28,""))</x:f>
        <x:v>Anonymized case HUM-027</x:v>
      </x:c>
      <x:c r="D28" s="52" t="str">
        <x:f>IF(CaseLedger!$A28="","",IFERROR(CaseLedger!$J28,""))</x:f>
        <x:v>Livelihood</x:v>
      </x:c>
      <x:c r="E28" s="52" t="str">
        <x:f>IF(CaseLedger!$A28="","",IFERROR(CaseLedger!$K28,""))</x:f>
        <x:v>Agriculture / animal livelihood</x:v>
      </x:c>
      <x:c r="F28" s="52" t="str">
        <x:f>IF(CaseLedger!$A28="","",IFERROR(CaseLedger!$O28,""))</x:f>
        <x:v>Sadaqah</x:v>
      </x:c>
      <x:c r="G28" s="52" t="str">
        <x:f>IF(CaseLedger!$A28="","",IFERROR(CaseLedger!$E28,""))</x:f>
        <x:v>May 2025</x:v>
      </x:c>
      <x:c r="H28" s="52" t="str">
        <x:f>IF(CaseLedger!$A28="","",IFERROR(CaseLedger!$P28,""))</x:f>
        <x:v>Basti, UP</x:v>
      </x:c>
      <x:c r="I28" s="52" t="str">
        <x:f>IF(CaseLedger!$A28="","",IFERROR(CaseLedger!$Q28,""))</x:f>
        <x:v>₹15,000–₹25,000</x:v>
      </x:c>
      <x:c r="J28" s="52" t="str">
        <x:f>IF(CaseLedger!$A28="","",IFERROR(CaseLedger!$R28,""))</x:f>
        <x:v>A verified recipient/family needed support related to agriculture / animal livelihood.</x:v>
      </x:c>
      <x:c r="K28" s="52" t="str">
        <x:f>IF(CaseLedger!$A28="","",IFERROR(CaseLedger!$S28,""))</x:f>
        <x:v>Humanitarians supported the case through Sadaqah funds for support for buffalo shed.</x:v>
      </x:c>
      <x:c r="L28" s="52" t="str">
        <x:f>IF(CaseLedger!$A28="","",IFERROR(CaseLedger!$T28,""))</x:f>
        <x:v>Outcome/update should be added only after verified follow-up.</x:v>
      </x:c>
      <x:c r="M28" s="52" t="str">
        <x:f>IF(CaseLedger!$A28="","",IFERROR(CaseLedger!$U28,""))</x:f>
        <x:v>Add follow-up notes after checking with the verification team.</x:v>
      </x:c>
      <x:c r="N28" s="52" t="str">
        <x:f>IF(CaseLedger!$A28="","",IFERROR(CaseLedger!$V28,""))</x:f>
        <x:v>Add a real quote only with consent; do not publish this placeholder as a recipient quote.</x:v>
      </x:c>
      <x:c r="O28" s="52" t="str">
        <x:f>IF(CaseLedger!$A28="","",IFERROR(CaseLedger!$W28,""))</x:f>
        <x:v>Anonymized public summary; no full name, phone, address, ID, bank details, or donor identity included.</x:v>
      </x:c>
      <x:c r="P28" s="52" t="str">
        <x:f>IF(CaseLedger!$A28="","",IFERROR(CaseLedger!$C28,""))</x:f>
        <x:v>No</x:v>
      </x:c>
      <x:c r="Q28" s="52" t="str">
        <x:f>IF(CaseLedger!$A28="","",IFERROR(CaseLedger!$D28,""))</x:f>
        <x:v>Draft</x:v>
      </x:c>
      <x:c r="R28" s="52" t="str">
        <x:f>IF(CaseLedger!$A28="","",IFERROR(CaseLedger!$X28,""))</x:f>
      </x:c>
      <x:c r="S28" s="52" t="str">
        <x:f>IF(CaseLedger!$A28="","",IFERROR(CaseLedger!$Y28,""))</x:f>
        <x:v>Anonymized Humanitarians case image 1 for HUM-027</x:v>
      </x:c>
      <x:c r="T28" s="52" t="str">
        <x:f>IF(CaseLedger!$A28="","",IFERROR(CaseLedger!$Z28,""))</x:f>
        <x:v>Before/support context image - add only after consent.</x:v>
      </x:c>
      <x:c r="U28" s="52" t="str">
        <x:f>IF(CaseLedger!$A28="","",IFERROR(CaseLedger!$AA28,""))</x:f>
      </x:c>
      <x:c r="V28" s="52" t="str">
        <x:f>IF(CaseLedger!$A28="","",IFERROR(CaseLedger!$AB28,""))</x:f>
        <x:v>Anonymized Humanitarians case image 2 for HUM-027</x:v>
      </x:c>
      <x:c r="W28" s="52" t="str">
        <x:f>IF(CaseLedger!$A28="","",IFERROR(CaseLedger!$AC28,""))</x:f>
        <x:v>Support/equipment image - add only after consent.</x:v>
      </x:c>
      <x:c r="X28" s="52" t="str">
        <x:f>IF(CaseLedger!$A28="","",IFERROR(CaseLedger!$AD28,""))</x:f>
      </x:c>
      <x:c r="Y28" s="52" t="str">
        <x:f>IF(CaseLedger!$A28="","",IFERROR(CaseLedger!$AE28,""))</x:f>
        <x:v>Anonymized Humanitarians case image 3 for HUM-027</x:v>
      </x:c>
      <x:c r="Z28" s="52" t="str">
        <x:f>IF(CaseLedger!$A28="","",IFERROR(CaseLedger!$AF28,""))</x:f>
        <x:v>Outcome/follow-up image - add only after consent.</x:v>
      </x:c>
      <x:c r="AA28" s="52" t="str">
        <x:f>IF(CaseLedger!$A28="","",IFERROR(CaseLedger!$AG28,""))</x:f>
        <x:v>Pending consent</x:v>
      </x:c>
      <x:c r="AB28" s="52" t="str">
        <x:f>IF(CaseLedger!$A28="","",IFERROR(CaseLedger!$AH28,""))</x:f>
        <x:v>Paste public Google Drive image URLs only after recipient consent and privacy review.</x:v>
      </x:c>
      <x:c r="AC28"/>
    </x:row>
    <x:row r="29">
      <x:c r="A29" s="52" t="str">
        <x:f>IF(CaseLedger!$A29="","",IFERROR(CaseLedger!$A29,""))</x:f>
        <x:v>HUM-028</x:v>
      </x:c>
      <x:c r="B29" s="52" t="str">
        <x:f>IF(CaseLedger!$A29="","",IFERROR(CaseLedger!$H29,""))</x:f>
        <x:v>Support for Egg shop and Sewing Machine</x:v>
      </x:c>
      <x:c r="C29" s="52" t="str">
        <x:f>IF(CaseLedger!$A29="","",IFERROR(CaseLedger!$I29,""))</x:f>
        <x:v>Anonymized case HUM-028</x:v>
      </x:c>
      <x:c r="D29" s="52" t="str">
        <x:f>IF(CaseLedger!$A29="","",IFERROR(CaseLedger!$J29,""))</x:f>
        <x:v>Livelihood</x:v>
      </x:c>
      <x:c r="E29" s="52" t="str">
        <x:f>IF(CaseLedger!$A29="","",IFERROR(CaseLedger!$K29,""))</x:f>
        <x:v>Sewing / tailoring</x:v>
      </x:c>
      <x:c r="F29" s="52" t="str">
        <x:f>IF(CaseLedger!$A29="","",IFERROR(CaseLedger!$O29,""))</x:f>
        <x:v>Mixed</x:v>
      </x:c>
      <x:c r="G29" s="52" t="str">
        <x:f>IF(CaseLedger!$A29="","",IFERROR(CaseLedger!$E29,""))</x:f>
        <x:v>May 2025</x:v>
      </x:c>
      <x:c r="H29" s="52" t="str">
        <x:f>IF(CaseLedger!$A29="","",IFERROR(CaseLedger!$P29,""))</x:f>
        <x:v>Barauni, Bihar</x:v>
      </x:c>
      <x:c r="I29" s="52" t="str">
        <x:f>IF(CaseLedger!$A29="","",IFERROR(CaseLedger!$Q29,""))</x:f>
        <x:v>₹15,000–₹25,000</x:v>
      </x:c>
      <x:c r="J29" s="52" t="str">
        <x:f>IF(CaseLedger!$A29="","",IFERROR(CaseLedger!$R29,""))</x:f>
        <x:v>A verified recipient/family needed support related to sewing / tailoring.</x:v>
      </x:c>
      <x:c r="K29" s="52" t="str">
        <x:f>IF(CaseLedger!$A29="","",IFERROR(CaseLedger!$S29,""))</x:f>
        <x:v>Humanitarians supported the case through Mixed funds for support for egg shop and sewing machine.</x:v>
      </x:c>
      <x:c r="L29" s="52" t="str">
        <x:f>IF(CaseLedger!$A29="","",IFERROR(CaseLedger!$T29,""))</x:f>
        <x:v>Outcome/update should be added only after verified follow-up.</x:v>
      </x:c>
      <x:c r="M29" s="52" t="str">
        <x:f>IF(CaseLedger!$A29="","",IFERROR(CaseLedger!$U29,""))</x:f>
        <x:v>Add follow-up notes after checking with the verification team.</x:v>
      </x:c>
      <x:c r="N29" s="52" t="str">
        <x:f>IF(CaseLedger!$A29="","",IFERROR(CaseLedger!$V29,""))</x:f>
        <x:v>Add a real quote only with consent; do not publish this placeholder as a recipient quote.</x:v>
      </x:c>
      <x:c r="O29" s="52" t="str">
        <x:f>IF(CaseLedger!$A29="","",IFERROR(CaseLedger!$W29,""))</x:f>
        <x:v>Anonymized public summary; no full name, phone, address, ID, bank details, or donor identity included.</x:v>
      </x:c>
      <x:c r="P29" s="52" t="str">
        <x:f>IF(CaseLedger!$A29="","",IFERROR(CaseLedger!$C29,""))</x:f>
        <x:v>No</x:v>
      </x:c>
      <x:c r="Q29" s="52" t="str">
        <x:f>IF(CaseLedger!$A29="","",IFERROR(CaseLedger!$D29,""))</x:f>
        <x:v>Draft</x:v>
      </x:c>
      <x:c r="R29" s="52" t="str">
        <x:f>IF(CaseLedger!$A29="","",IFERROR(CaseLedger!$X29,""))</x:f>
      </x:c>
      <x:c r="S29" s="52" t="str">
        <x:f>IF(CaseLedger!$A29="","",IFERROR(CaseLedger!$Y29,""))</x:f>
        <x:v>Anonymized Humanitarians case image 1 for HUM-028</x:v>
      </x:c>
      <x:c r="T29" s="52" t="str">
        <x:f>IF(CaseLedger!$A29="","",IFERROR(CaseLedger!$Z29,""))</x:f>
        <x:v>Before/support context image - add only after consent.</x:v>
      </x:c>
      <x:c r="U29" s="52" t="str">
        <x:f>IF(CaseLedger!$A29="","",IFERROR(CaseLedger!$AA29,""))</x:f>
      </x:c>
      <x:c r="V29" s="52" t="str">
        <x:f>IF(CaseLedger!$A29="","",IFERROR(CaseLedger!$AB29,""))</x:f>
        <x:v>Anonymized Humanitarians case image 2 for HUM-028</x:v>
      </x:c>
      <x:c r="W29" s="52" t="str">
        <x:f>IF(CaseLedger!$A29="","",IFERROR(CaseLedger!$AC29,""))</x:f>
        <x:v>Support/equipment image - add only after consent.</x:v>
      </x:c>
      <x:c r="X29" s="52" t="str">
        <x:f>IF(CaseLedger!$A29="","",IFERROR(CaseLedger!$AD29,""))</x:f>
      </x:c>
      <x:c r="Y29" s="52" t="str">
        <x:f>IF(CaseLedger!$A29="","",IFERROR(CaseLedger!$AE29,""))</x:f>
        <x:v>Anonymized Humanitarians case image 3 for HUM-028</x:v>
      </x:c>
      <x:c r="Z29" s="52" t="str">
        <x:f>IF(CaseLedger!$A29="","",IFERROR(CaseLedger!$AF29,""))</x:f>
        <x:v>Outcome/follow-up image - add only after consent.</x:v>
      </x:c>
      <x:c r="AA29" s="52" t="str">
        <x:f>IF(CaseLedger!$A29="","",IFERROR(CaseLedger!$AG29,""))</x:f>
        <x:v>Pending consent</x:v>
      </x:c>
      <x:c r="AB29" s="52" t="str">
        <x:f>IF(CaseLedger!$A29="","",IFERROR(CaseLedger!$AH29,""))</x:f>
        <x:v>Paste public Google Drive image URLs only after recipient consent and privacy review.</x:v>
      </x:c>
      <x:c r="AC29"/>
    </x:row>
    <x:row r="30">
      <x:c r="A30" s="52" t="str">
        <x:f>IF(CaseLedger!$A30="","",IFERROR(CaseLedger!$A30,""))</x:f>
        <x:v>HUM-029</x:v>
      </x:c>
      <x:c r="B30" s="52" t="str">
        <x:f>IF(CaseLedger!$A30="","",IFERROR(CaseLedger!$H30,""))</x:f>
        <x:v>Support in Buying Old E-Rickshaw</x:v>
      </x:c>
      <x:c r="C30" s="52" t="str">
        <x:f>IF(CaseLedger!$A30="","",IFERROR(CaseLedger!$I30,""))</x:f>
        <x:v>Anonymized case HUM-029</x:v>
      </x:c>
      <x:c r="D30" s="52" t="str">
        <x:f>IF(CaseLedger!$A30="","",IFERROR(CaseLedger!$J30,""))</x:f>
        <x:v>Livelihood</x:v>
      </x:c>
      <x:c r="E30" s="52" t="str">
        <x:f>IF(CaseLedger!$A30="","",IFERROR(CaseLedger!$K30,""))</x:f>
        <x:v>E-rickshaw / auto</x:v>
      </x:c>
      <x:c r="F30" s="52" t="str">
        <x:f>IF(CaseLedger!$A30="","",IFERROR(CaseLedger!$O30,""))</x:f>
        <x:v>Mixed</x:v>
      </x:c>
      <x:c r="G30" s="52" t="str">
        <x:f>IF(CaseLedger!$A30="","",IFERROR(CaseLedger!$E30,""))</x:f>
        <x:v>May 2025</x:v>
      </x:c>
      <x:c r="H30" s="52" t="str">
        <x:f>IF(CaseLedger!$A30="","",IFERROR(CaseLedger!$P30,""))</x:f>
        <x:v>Aligarh, UP</x:v>
      </x:c>
      <x:c r="I30" s="52" t="str">
        <x:f>IF(CaseLedger!$A30="","",IFERROR(CaseLedger!$Q30,""))</x:f>
        <x:v>₹15,000–₹25,000</x:v>
      </x:c>
      <x:c r="J30" s="52" t="str">
        <x:f>IF(CaseLedger!$A30="","",IFERROR(CaseLedger!$R30,""))</x:f>
        <x:v>A verified recipient/family needed support related to e-rickshaw / auto.</x:v>
      </x:c>
      <x:c r="K30" s="52" t="str">
        <x:f>IF(CaseLedger!$A30="","",IFERROR(CaseLedger!$S30,""))</x:f>
        <x:v>Humanitarians supported the case through Mixed funds for support in buying old e-rickshaw.</x:v>
      </x:c>
      <x:c r="L30" s="52" t="str">
        <x:f>IF(CaseLedger!$A30="","",IFERROR(CaseLedger!$T30,""))</x:f>
        <x:v>Outcome/update should be added only after verified follow-up.</x:v>
      </x:c>
      <x:c r="M30" s="52" t="str">
        <x:f>IF(CaseLedger!$A30="","",IFERROR(CaseLedger!$U30,""))</x:f>
        <x:v>Add follow-up notes after checking with the verification team.</x:v>
      </x:c>
      <x:c r="N30" s="52" t="str">
        <x:f>IF(CaseLedger!$A30="","",IFERROR(CaseLedger!$V30,""))</x:f>
        <x:v>Add a real quote only with consent; do not publish this placeholder as a recipient quote.</x:v>
      </x:c>
      <x:c r="O30" s="52" t="str">
        <x:f>IF(CaseLedger!$A30="","",IFERROR(CaseLedger!$W30,""))</x:f>
        <x:v>Anonymized public summary; no full name, phone, address, ID, bank details, or donor identity included.</x:v>
      </x:c>
      <x:c r="P30" s="52" t="str">
        <x:f>IF(CaseLedger!$A30="","",IFERROR(CaseLedger!$C30,""))</x:f>
        <x:v>No</x:v>
      </x:c>
      <x:c r="Q30" s="52" t="str">
        <x:f>IF(CaseLedger!$A30="","",IFERROR(CaseLedger!$D30,""))</x:f>
        <x:v>Draft</x:v>
      </x:c>
      <x:c r="R30" s="52" t="str">
        <x:f>IF(CaseLedger!$A30="","",IFERROR(CaseLedger!$X30,""))</x:f>
      </x:c>
      <x:c r="S30" s="52" t="str">
        <x:f>IF(CaseLedger!$A30="","",IFERROR(CaseLedger!$Y30,""))</x:f>
        <x:v>Anonymized Humanitarians case image 1 for HUM-029</x:v>
      </x:c>
      <x:c r="T30" s="52" t="str">
        <x:f>IF(CaseLedger!$A30="","",IFERROR(CaseLedger!$Z30,""))</x:f>
        <x:v>Before/support context image - add only after consent.</x:v>
      </x:c>
      <x:c r="U30" s="52" t="str">
        <x:f>IF(CaseLedger!$A30="","",IFERROR(CaseLedger!$AA30,""))</x:f>
      </x:c>
      <x:c r="V30" s="52" t="str">
        <x:f>IF(CaseLedger!$A30="","",IFERROR(CaseLedger!$AB30,""))</x:f>
        <x:v>Anonymized Humanitarians case image 2 for HUM-029</x:v>
      </x:c>
      <x:c r="W30" s="52" t="str">
        <x:f>IF(CaseLedger!$A30="","",IFERROR(CaseLedger!$AC30,""))</x:f>
        <x:v>Support/equipment image - add only after consent.</x:v>
      </x:c>
      <x:c r="X30" s="52" t="str">
        <x:f>IF(CaseLedger!$A30="","",IFERROR(CaseLedger!$AD30,""))</x:f>
      </x:c>
      <x:c r="Y30" s="52" t="str">
        <x:f>IF(CaseLedger!$A30="","",IFERROR(CaseLedger!$AE30,""))</x:f>
        <x:v>Anonymized Humanitarians case image 3 for HUM-029</x:v>
      </x:c>
      <x:c r="Z30" s="52" t="str">
        <x:f>IF(CaseLedger!$A30="","",IFERROR(CaseLedger!$AF30,""))</x:f>
        <x:v>Outcome/follow-up image - add only after consent.</x:v>
      </x:c>
      <x:c r="AA30" s="52" t="str">
        <x:f>IF(CaseLedger!$A30="","",IFERROR(CaseLedger!$AG30,""))</x:f>
        <x:v>Pending consent</x:v>
      </x:c>
      <x:c r="AB30" s="52" t="str">
        <x:f>IF(CaseLedger!$A30="","",IFERROR(CaseLedger!$AH30,""))</x:f>
        <x:v>Paste public Google Drive image URLs only after recipient consent and privacy review.</x:v>
      </x:c>
      <x:c r="AC30"/>
    </x:row>
    <x:row r="31">
      <x:c r="A31" s="52" t="str">
        <x:f>IF(CaseLedger!$A31="","",IFERROR(CaseLedger!$A31,""))</x:f>
        <x:v>HUM-030</x:v>
      </x:c>
      <x:c r="B31" s="52" t="str">
        <x:f>IF(CaseLedger!$A31="","",IFERROR(CaseLedger!$H31,""))</x:f>
        <x:v>Support for building new Wooden Shop</x:v>
      </x:c>
      <x:c r="C31" s="52" t="str">
        <x:f>IF(CaseLedger!$A31="","",IFERROR(CaseLedger!$I31,""))</x:f>
        <x:v>Anonymized case HUM-030</x:v>
      </x:c>
      <x:c r="D31" s="52" t="str">
        <x:f>IF(CaseLedger!$A31="","",IFERROR(CaseLedger!$J31,""))</x:f>
        <x:v>Livelihood</x:v>
      </x:c>
      <x:c r="E31" s="52" t="str">
        <x:f>IF(CaseLedger!$A31="","",IFERROR(CaseLedger!$K31,""))</x:f>
        <x:v>Shop / business inventory</x:v>
      </x:c>
      <x:c r="F31" s="52" t="str">
        <x:f>IF(CaseLedger!$A31="","",IFERROR(CaseLedger!$O31,""))</x:f>
        <x:v>Mixed</x:v>
      </x:c>
      <x:c r="G31" s="52" t="str">
        <x:f>IF(CaseLedger!$A31="","",IFERROR(CaseLedger!$E31,""))</x:f>
        <x:v>Jun 2025</x:v>
      </x:c>
      <x:c r="H31" s="52" t="str">
        <x:f>IF(CaseLedger!$A31="","",IFERROR(CaseLedger!$P31,""))</x:f>
        <x:v>Mallawan, UP</x:v>
      </x:c>
      <x:c r="I31" s="52" t="str">
        <x:f>IF(CaseLedger!$A31="","",IFERROR(CaseLedger!$Q31,""))</x:f>
        <x:v>₹15,000–₹25,000</x:v>
      </x:c>
      <x:c r="J31" s="52" t="str">
        <x:f>IF(CaseLedger!$A31="","",IFERROR(CaseLedger!$R31,""))</x:f>
        <x:v>A verified recipient/family needed support related to shop / business inventory.</x:v>
      </x:c>
      <x:c r="K31" s="52" t="str">
        <x:f>IF(CaseLedger!$A31="","",IFERROR(CaseLedger!$S31,""))</x:f>
        <x:v>Humanitarians supported the case through Mixed funds for support for building new wooden shop.</x:v>
      </x:c>
      <x:c r="L31" s="52" t="str">
        <x:f>IF(CaseLedger!$A31="","",IFERROR(CaseLedger!$T31,""))</x:f>
        <x:v>Outcome/update should be added only after verified follow-up.</x:v>
      </x:c>
      <x:c r="M31" s="52" t="str">
        <x:f>IF(CaseLedger!$A31="","",IFERROR(CaseLedger!$U31,""))</x:f>
        <x:v>Add follow-up notes after checking with the verification team.</x:v>
      </x:c>
      <x:c r="N31" s="52" t="str">
        <x:f>IF(CaseLedger!$A31="","",IFERROR(CaseLedger!$V31,""))</x:f>
        <x:v>Add a real quote only with consent; do not publish this placeholder as a recipient quote.</x:v>
      </x:c>
      <x:c r="O31" s="52" t="str">
        <x:f>IF(CaseLedger!$A31="","",IFERROR(CaseLedger!$W31,""))</x:f>
        <x:v>Anonymized public summary; no full name, phone, address, ID, bank details, or donor identity included.</x:v>
      </x:c>
      <x:c r="P31" s="52" t="str">
        <x:f>IF(CaseLedger!$A31="","",IFERROR(CaseLedger!$C31,""))</x:f>
        <x:v>No</x:v>
      </x:c>
      <x:c r="Q31" s="52" t="str">
        <x:f>IF(CaseLedger!$A31="","",IFERROR(CaseLedger!$D31,""))</x:f>
        <x:v>Archive</x:v>
      </x:c>
      <x:c r="R31" s="52" t="str">
        <x:f>IF(CaseLedger!$A31="","",IFERROR(CaseLedger!$X31,""))</x:f>
      </x:c>
      <x:c r="S31" s="52" t="str">
        <x:f>IF(CaseLedger!$A31="","",IFERROR(CaseLedger!$Y31,""))</x:f>
        <x:v>Anonymized Humanitarians case image 1 for HUM-030</x:v>
      </x:c>
      <x:c r="T31" s="52" t="str">
        <x:f>IF(CaseLedger!$A31="","",IFERROR(CaseLedger!$Z31,""))</x:f>
        <x:v>Before/support context image - add only after consent.</x:v>
      </x:c>
      <x:c r="U31" s="52" t="str">
        <x:f>IF(CaseLedger!$A31="","",IFERROR(CaseLedger!$AA31,""))</x:f>
      </x:c>
      <x:c r="V31" s="52" t="str">
        <x:f>IF(CaseLedger!$A31="","",IFERROR(CaseLedger!$AB31,""))</x:f>
        <x:v>Anonymized Humanitarians case image 2 for HUM-030</x:v>
      </x:c>
      <x:c r="W31" s="52" t="str">
        <x:f>IF(CaseLedger!$A31="","",IFERROR(CaseLedger!$AC31,""))</x:f>
        <x:v>Support/equipment image - add only after consent.</x:v>
      </x:c>
      <x:c r="X31" s="52" t="str">
        <x:f>IF(CaseLedger!$A31="","",IFERROR(CaseLedger!$AD31,""))</x:f>
      </x:c>
      <x:c r="Y31" s="52" t="str">
        <x:f>IF(CaseLedger!$A31="","",IFERROR(CaseLedger!$AE31,""))</x:f>
        <x:v>Anonymized Humanitarians case image 3 for HUM-030</x:v>
      </x:c>
      <x:c r="Z31" s="52" t="str">
        <x:f>IF(CaseLedger!$A31="","",IFERROR(CaseLedger!$AF31,""))</x:f>
        <x:v>Outcome/follow-up image - add only after consent.</x:v>
      </x:c>
      <x:c r="AA31" s="52" t="str">
        <x:f>IF(CaseLedger!$A31="","",IFERROR(CaseLedger!$AG31,""))</x:f>
        <x:v>Pending consent</x:v>
      </x:c>
      <x:c r="AB31" s="52" t="str">
        <x:f>IF(CaseLedger!$A31="","",IFERROR(CaseLedger!$AH31,""))</x:f>
        <x:v>Paste public Google Drive image URLs only after recipient consent and privacy review.</x:v>
      </x:c>
      <x:c r="AC31"/>
    </x:row>
    <x:row r="32">
      <x:c r="A32" s="52" t="str">
        <x:f>IF(CaseLedger!$A32="","",IFERROR(CaseLedger!$A32,""))</x:f>
        <x:v>HUM-031</x:v>
      </x:c>
      <x:c r="B32" s="52" t="str">
        <x:f>IF(CaseLedger!$A32="","",IFERROR(CaseLedger!$H32,""))</x:f>
        <x:v>Support for 2nd hand E-rickshaw</x:v>
      </x:c>
      <x:c r="C32" s="52" t="str">
        <x:f>IF(CaseLedger!$A32="","",IFERROR(CaseLedger!$I32,""))</x:f>
        <x:v>Anonymized case HUM-031</x:v>
      </x:c>
      <x:c r="D32" s="52" t="str">
        <x:f>IF(CaseLedger!$A32="","",IFERROR(CaseLedger!$J32,""))</x:f>
        <x:v>Livelihood</x:v>
      </x:c>
      <x:c r="E32" s="52" t="str">
        <x:f>IF(CaseLedger!$A32="","",IFERROR(CaseLedger!$K32,""))</x:f>
        <x:v>E-rickshaw / auto</x:v>
      </x:c>
      <x:c r="F32" s="52" t="str">
        <x:f>IF(CaseLedger!$A32="","",IFERROR(CaseLedger!$O32,""))</x:f>
        <x:v>Sadaqah</x:v>
      </x:c>
      <x:c r="G32" s="52" t="str">
        <x:f>IF(CaseLedger!$A32="","",IFERROR(CaseLedger!$E32,""))</x:f>
        <x:v>Jul 2025</x:v>
      </x:c>
      <x:c r="H32" s="52" t="str">
        <x:f>IF(CaseLedger!$A32="","",IFERROR(CaseLedger!$P32,""))</x:f>
        <x:v>Bihar</x:v>
      </x:c>
      <x:c r="I32" s="52" t="str">
        <x:f>IF(CaseLedger!$A32="","",IFERROR(CaseLedger!$Q32,""))</x:f>
        <x:v>₹5,000–₹10,000</x:v>
      </x:c>
      <x:c r="J32" s="52" t="str">
        <x:f>IF(CaseLedger!$A32="","",IFERROR(CaseLedger!$R32,""))</x:f>
        <x:v>A verified recipient/family needed support related to e-rickshaw / auto.</x:v>
      </x:c>
      <x:c r="K32" s="52" t="str">
        <x:f>IF(CaseLedger!$A32="","",IFERROR(CaseLedger!$S32,""))</x:f>
        <x:v>Humanitarians supported the case through Sadaqah funds for support for 2nd hand e-rickshaw.</x:v>
      </x:c>
      <x:c r="L32" s="52" t="str">
        <x:f>IF(CaseLedger!$A32="","",IFERROR(CaseLedger!$T32,""))</x:f>
        <x:v>Outcome/update should be added only after verified follow-up.</x:v>
      </x:c>
      <x:c r="M32" s="52" t="str">
        <x:f>IF(CaseLedger!$A32="","",IFERROR(CaseLedger!$U32,""))</x:f>
        <x:v>Add follow-up notes after checking with the verification team.</x:v>
      </x:c>
      <x:c r="N32" s="52" t="str">
        <x:f>IF(CaseLedger!$A32="","",IFERROR(CaseLedger!$V32,""))</x:f>
        <x:v>Add a real quote only with consent; do not publish this placeholder as a recipient quote.</x:v>
      </x:c>
      <x:c r="O32" s="52" t="str">
        <x:f>IF(CaseLedger!$A32="","",IFERROR(CaseLedger!$W32,""))</x:f>
        <x:v>Anonymized public summary; no full name, phone, address, ID, bank details, or donor identity included.</x:v>
      </x:c>
      <x:c r="P32" s="52" t="str">
        <x:f>IF(CaseLedger!$A32="","",IFERROR(CaseLedger!$C32,""))</x:f>
        <x:v>No</x:v>
      </x:c>
      <x:c r="Q32" s="52" t="str">
        <x:f>IF(CaseLedger!$A32="","",IFERROR(CaseLedger!$D32,""))</x:f>
        <x:v>Draft</x:v>
      </x:c>
      <x:c r="R32" s="52" t="str">
        <x:f>IF(CaseLedger!$A32="","",IFERROR(CaseLedger!$X32,""))</x:f>
      </x:c>
      <x:c r="S32" s="52" t="str">
        <x:f>IF(CaseLedger!$A32="","",IFERROR(CaseLedger!$Y32,""))</x:f>
        <x:v>Anonymized Humanitarians case image 1 for HUM-031</x:v>
      </x:c>
      <x:c r="T32" s="52" t="str">
        <x:f>IF(CaseLedger!$A32="","",IFERROR(CaseLedger!$Z32,""))</x:f>
        <x:v>Before/support context image - add only after consent.</x:v>
      </x:c>
      <x:c r="U32" s="52" t="str">
        <x:f>IF(CaseLedger!$A32="","",IFERROR(CaseLedger!$AA32,""))</x:f>
      </x:c>
      <x:c r="V32" s="52" t="str">
        <x:f>IF(CaseLedger!$A32="","",IFERROR(CaseLedger!$AB32,""))</x:f>
        <x:v>Anonymized Humanitarians case image 2 for HUM-031</x:v>
      </x:c>
      <x:c r="W32" s="52" t="str">
        <x:f>IF(CaseLedger!$A32="","",IFERROR(CaseLedger!$AC32,""))</x:f>
        <x:v>Support/equipment image - add only after consent.</x:v>
      </x:c>
      <x:c r="X32" s="52" t="str">
        <x:f>IF(CaseLedger!$A32="","",IFERROR(CaseLedger!$AD32,""))</x:f>
      </x:c>
      <x:c r="Y32" s="52" t="str">
        <x:f>IF(CaseLedger!$A32="","",IFERROR(CaseLedger!$AE32,""))</x:f>
        <x:v>Anonymized Humanitarians case image 3 for HUM-031</x:v>
      </x:c>
      <x:c r="Z32" s="52" t="str">
        <x:f>IF(CaseLedger!$A32="","",IFERROR(CaseLedger!$AF32,""))</x:f>
        <x:v>Outcome/follow-up image - add only after consent.</x:v>
      </x:c>
      <x:c r="AA32" s="52" t="str">
        <x:f>IF(CaseLedger!$A32="","",IFERROR(CaseLedger!$AG32,""))</x:f>
        <x:v>Pending consent</x:v>
      </x:c>
      <x:c r="AB32" s="52" t="str">
        <x:f>IF(CaseLedger!$A32="","",IFERROR(CaseLedger!$AH32,""))</x:f>
        <x:v>Paste public Google Drive image URLs only after recipient consent and privacy review.</x:v>
      </x:c>
      <x:c r="AC32"/>
    </x:row>
    <x:row r="33">
      <x:c r="A33" s="52" t="str">
        <x:f>IF(CaseLedger!$A33="","",IFERROR(CaseLedger!$A33,""))</x:f>
        <x:v>HUM-032</x:v>
      </x:c>
      <x:c r="B33" s="52" t="str">
        <x:f>IF(CaseLedger!$A33="","",IFERROR(CaseLedger!$H33,""))</x:f>
        <x:v>3 Sewing Machines</x:v>
      </x:c>
      <x:c r="C33" s="52" t="str">
        <x:f>IF(CaseLedger!$A33="","",IFERROR(CaseLedger!$I33,""))</x:f>
        <x:v>Anonymized case HUM-032</x:v>
      </x:c>
      <x:c r="D33" s="52" t="str">
        <x:f>IF(CaseLedger!$A33="","",IFERROR(CaseLedger!$J33,""))</x:f>
        <x:v>Livelihood</x:v>
      </x:c>
      <x:c r="E33" s="52" t="str">
        <x:f>IF(CaseLedger!$A33="","",IFERROR(CaseLedger!$K33,""))</x:f>
        <x:v>Sewing / tailoring</x:v>
      </x:c>
      <x:c r="F33" s="52" t="str">
        <x:f>IF(CaseLedger!$A33="","",IFERROR(CaseLedger!$O33,""))</x:f>
        <x:v>Sadaqah</x:v>
      </x:c>
      <x:c r="G33" s="52" t="str">
        <x:f>IF(CaseLedger!$A33="","",IFERROR(CaseLedger!$E33,""))</x:f>
        <x:v>Aug 2025</x:v>
      </x:c>
      <x:c r="H33" s="52" t="str">
        <x:f>IF(CaseLedger!$A33="","",IFERROR(CaseLedger!$P33,""))</x:f>
        <x:v>Basti, UP</x:v>
      </x:c>
      <x:c r="I33" s="52" t="str">
        <x:f>IF(CaseLedger!$A33="","",IFERROR(CaseLedger!$Q33,""))</x:f>
        <x:v>₹15,000–₹25,000</x:v>
      </x:c>
      <x:c r="J33" s="52" t="str">
        <x:f>IF(CaseLedger!$A33="","",IFERROR(CaseLedger!$R33,""))</x:f>
        <x:v>A verified recipient/family needed support related to sewing / tailoring.</x:v>
      </x:c>
      <x:c r="K33" s="52" t="str">
        <x:f>IF(CaseLedger!$A33="","",IFERROR(CaseLedger!$S33,""))</x:f>
        <x:v>Humanitarians supported the case through Sadaqah funds for 3 sewing machines.</x:v>
      </x:c>
      <x:c r="L33" s="52" t="str">
        <x:f>IF(CaseLedger!$A33="","",IFERROR(CaseLedger!$T33,""))</x:f>
        <x:v>Outcome/update should be added only after verified follow-up.</x:v>
      </x:c>
      <x:c r="M33" s="52" t="str">
        <x:f>IF(CaseLedger!$A33="","",IFERROR(CaseLedger!$U33,""))</x:f>
        <x:v>Add follow-up notes after checking with the verification team.</x:v>
      </x:c>
      <x:c r="N33" s="52" t="str">
        <x:f>IF(CaseLedger!$A33="","",IFERROR(CaseLedger!$V33,""))</x:f>
        <x:v>Add a real quote only with consent; do not publish this placeholder as a recipient quote.</x:v>
      </x:c>
      <x:c r="O33" s="52" t="str">
        <x:f>IF(CaseLedger!$A33="","",IFERROR(CaseLedger!$W33,""))</x:f>
        <x:v>Anonymized public summary; no full name, phone, address, ID, bank details, or donor identity included.</x:v>
      </x:c>
      <x:c r="P33" s="52" t="str">
        <x:f>IF(CaseLedger!$A33="","",IFERROR(CaseLedger!$C33,""))</x:f>
        <x:v>No</x:v>
      </x:c>
      <x:c r="Q33" s="52" t="str">
        <x:f>IF(CaseLedger!$A33="","",IFERROR(CaseLedger!$D33,""))</x:f>
        <x:v>Draft</x:v>
      </x:c>
      <x:c r="R33" s="52" t="str">
        <x:f>IF(CaseLedger!$A33="","",IFERROR(CaseLedger!$X33,""))</x:f>
      </x:c>
      <x:c r="S33" s="52" t="str">
        <x:f>IF(CaseLedger!$A33="","",IFERROR(CaseLedger!$Y33,""))</x:f>
        <x:v>Anonymized Humanitarians case image 1 for HUM-032</x:v>
      </x:c>
      <x:c r="T33" s="52" t="str">
        <x:f>IF(CaseLedger!$A33="","",IFERROR(CaseLedger!$Z33,""))</x:f>
        <x:v>Before/support context image - add only after consent.</x:v>
      </x:c>
      <x:c r="U33" s="52" t="str">
        <x:f>IF(CaseLedger!$A33="","",IFERROR(CaseLedger!$AA33,""))</x:f>
      </x:c>
      <x:c r="V33" s="52" t="str">
        <x:f>IF(CaseLedger!$A33="","",IFERROR(CaseLedger!$AB33,""))</x:f>
        <x:v>Anonymized Humanitarians case image 2 for HUM-032</x:v>
      </x:c>
      <x:c r="W33" s="52" t="str">
        <x:f>IF(CaseLedger!$A33="","",IFERROR(CaseLedger!$AC33,""))</x:f>
        <x:v>Support/equipment image - add only after consent.</x:v>
      </x:c>
      <x:c r="X33" s="52" t="str">
        <x:f>IF(CaseLedger!$A33="","",IFERROR(CaseLedger!$AD33,""))</x:f>
      </x:c>
      <x:c r="Y33" s="52" t="str">
        <x:f>IF(CaseLedger!$A33="","",IFERROR(CaseLedger!$AE33,""))</x:f>
        <x:v>Anonymized Humanitarians case image 3 for HUM-032</x:v>
      </x:c>
      <x:c r="Z33" s="52" t="str">
        <x:f>IF(CaseLedger!$A33="","",IFERROR(CaseLedger!$AF33,""))</x:f>
        <x:v>Outcome/follow-up image - add only after consent.</x:v>
      </x:c>
      <x:c r="AA33" s="52" t="str">
        <x:f>IF(CaseLedger!$A33="","",IFERROR(CaseLedger!$AG33,""))</x:f>
        <x:v>Pending consent</x:v>
      </x:c>
      <x:c r="AB33" s="52" t="str">
        <x:f>IF(CaseLedger!$A33="","",IFERROR(CaseLedger!$AH33,""))</x:f>
        <x:v>Paste public Google Drive image URLs only after recipient consent and privacy review.</x:v>
      </x:c>
      <x:c r="AC33"/>
    </x:row>
    <x:row r="34">
      <x:c r="A34" s="52" t="str">
        <x:f>IF(CaseLedger!$A34="","",IFERROR(CaseLedger!$A34,""))</x:f>
        <x:v>HUM-033</x:v>
      </x:c>
      <x:c r="B34" s="52" t="str">
        <x:f>IF(CaseLedger!$A34="","",IFERROR(CaseLedger!$H34,""))</x:f>
        <x:v>Support for Biryani Shop</x:v>
      </x:c>
      <x:c r="C34" s="52" t="str">
        <x:f>IF(CaseLedger!$A34="","",IFERROR(CaseLedger!$I34,""))</x:f>
        <x:v>Anonymized case HUM-033</x:v>
      </x:c>
      <x:c r="D34" s="52" t="str">
        <x:f>IF(CaseLedger!$A34="","",IFERROR(CaseLedger!$J34,""))</x:f>
        <x:v>Livelihood</x:v>
      </x:c>
      <x:c r="E34" s="52" t="str">
        <x:f>IF(CaseLedger!$A34="","",IFERROR(CaseLedger!$K34,""))</x:f>
        <x:v>Shop / business inventory</x:v>
      </x:c>
      <x:c r="F34" s="52" t="str">
        <x:f>IF(CaseLedger!$A34="","",IFERROR(CaseLedger!$O34,""))</x:f>
        <x:v>Sadaqah</x:v>
      </x:c>
      <x:c r="G34" s="52" t="str">
        <x:f>IF(CaseLedger!$A34="","",IFERROR(CaseLedger!$E34,""))</x:f>
        <x:v>Aug 2025</x:v>
      </x:c>
      <x:c r="H34" s="52" t="str">
        <x:f>IF(CaseLedger!$A34="","",IFERROR(CaseLedger!$P34,""))</x:f>
        <x:v>Location withheld</x:v>
      </x:c>
      <x:c r="I34" s="52" t="str">
        <x:f>IF(CaseLedger!$A34="","",IFERROR(CaseLedger!$Q34,""))</x:f>
        <x:v>₹5,000–₹10,000</x:v>
      </x:c>
      <x:c r="J34" s="52" t="str">
        <x:f>IF(CaseLedger!$A34="","",IFERROR(CaseLedger!$R34,""))</x:f>
        <x:v>A verified recipient/family needed support related to shop / business inventory.</x:v>
      </x:c>
      <x:c r="K34" s="52" t="str">
        <x:f>IF(CaseLedger!$A34="","",IFERROR(CaseLedger!$S34,""))</x:f>
        <x:v>Humanitarians supported the case through Sadaqah funds for support for biryani shop.</x:v>
      </x:c>
      <x:c r="L34" s="52" t="str">
        <x:f>IF(CaseLedger!$A34="","",IFERROR(CaseLedger!$T34,""))</x:f>
        <x:v>Outcome/update should be added only after verified follow-up.</x:v>
      </x:c>
      <x:c r="M34" s="52" t="str">
        <x:f>IF(CaseLedger!$A34="","",IFERROR(CaseLedger!$U34,""))</x:f>
        <x:v>Add follow-up notes after checking with the verification team.</x:v>
      </x:c>
      <x:c r="N34" s="52" t="str">
        <x:f>IF(CaseLedger!$A34="","",IFERROR(CaseLedger!$V34,""))</x:f>
        <x:v>Add a real quote only with consent; do not publish this placeholder as a recipient quote.</x:v>
      </x:c>
      <x:c r="O34" s="52" t="str">
        <x:f>IF(CaseLedger!$A34="","",IFERROR(CaseLedger!$W34,""))</x:f>
        <x:v>Anonymized public summary; no full name, phone, address, ID, bank details, or donor identity included.</x:v>
      </x:c>
      <x:c r="P34" s="52" t="str">
        <x:f>IF(CaseLedger!$A34="","",IFERROR(CaseLedger!$C34,""))</x:f>
        <x:v>No</x:v>
      </x:c>
      <x:c r="Q34" s="52" t="str">
        <x:f>IF(CaseLedger!$A34="","",IFERROR(CaseLedger!$D34,""))</x:f>
        <x:v>Draft</x:v>
      </x:c>
      <x:c r="R34" s="52" t="str">
        <x:f>IF(CaseLedger!$A34="","",IFERROR(CaseLedger!$X34,""))</x:f>
      </x:c>
      <x:c r="S34" s="52" t="str">
        <x:f>IF(CaseLedger!$A34="","",IFERROR(CaseLedger!$Y34,""))</x:f>
        <x:v>Anonymized Humanitarians case image 1 for HUM-033</x:v>
      </x:c>
      <x:c r="T34" s="52" t="str">
        <x:f>IF(CaseLedger!$A34="","",IFERROR(CaseLedger!$Z34,""))</x:f>
        <x:v>Before/support context image - add only after consent.</x:v>
      </x:c>
      <x:c r="U34" s="52" t="str">
        <x:f>IF(CaseLedger!$A34="","",IFERROR(CaseLedger!$AA34,""))</x:f>
      </x:c>
      <x:c r="V34" s="52" t="str">
        <x:f>IF(CaseLedger!$A34="","",IFERROR(CaseLedger!$AB34,""))</x:f>
        <x:v>Anonymized Humanitarians case image 2 for HUM-033</x:v>
      </x:c>
      <x:c r="W34" s="52" t="str">
        <x:f>IF(CaseLedger!$A34="","",IFERROR(CaseLedger!$AC34,""))</x:f>
        <x:v>Support/equipment image - add only after consent.</x:v>
      </x:c>
      <x:c r="X34" s="52" t="str">
        <x:f>IF(CaseLedger!$A34="","",IFERROR(CaseLedger!$AD34,""))</x:f>
      </x:c>
      <x:c r="Y34" s="52" t="str">
        <x:f>IF(CaseLedger!$A34="","",IFERROR(CaseLedger!$AE34,""))</x:f>
        <x:v>Anonymized Humanitarians case image 3 for HUM-033</x:v>
      </x:c>
      <x:c r="Z34" s="52" t="str">
        <x:f>IF(CaseLedger!$A34="","",IFERROR(CaseLedger!$AF34,""))</x:f>
        <x:v>Outcome/follow-up image - add only after consent.</x:v>
      </x:c>
      <x:c r="AA34" s="52" t="str">
        <x:f>IF(CaseLedger!$A34="","",IFERROR(CaseLedger!$AG34,""))</x:f>
        <x:v>Pending consent</x:v>
      </x:c>
      <x:c r="AB34" s="52" t="str">
        <x:f>IF(CaseLedger!$A34="","",IFERROR(CaseLedger!$AH34,""))</x:f>
        <x:v>Paste public Google Drive image URLs only after recipient consent and privacy review.</x:v>
      </x:c>
      <x:c r="AC34"/>
    </x:row>
    <x:row r="35">
      <x:c r="A35" s="52" t="str">
        <x:f>IF(CaseLedger!$A35="","",IFERROR(CaseLedger!$A35,""))</x:f>
        <x:v>HUM-034</x:v>
      </x:c>
      <x:c r="B35" s="52" t="str">
        <x:f>IF(CaseLedger!$A35="","",IFERROR(CaseLedger!$H35,""))</x:f>
        <x:v>Support for Kirana Shop</x:v>
      </x:c>
      <x:c r="C35" s="52" t="str">
        <x:f>IF(CaseLedger!$A35="","",IFERROR(CaseLedger!$I35,""))</x:f>
        <x:v>Anonymized case HUM-034</x:v>
      </x:c>
      <x:c r="D35" s="52" t="str">
        <x:f>IF(CaseLedger!$A35="","",IFERROR(CaseLedger!$J35,""))</x:f>
        <x:v>Livelihood</x:v>
      </x:c>
      <x:c r="E35" s="52" t="str">
        <x:f>IF(CaseLedger!$A35="","",IFERROR(CaseLedger!$K35,""))</x:f>
        <x:v>Shop / business inventory</x:v>
      </x:c>
      <x:c r="F35" s="52" t="str">
        <x:f>IF(CaseLedger!$A35="","",IFERROR(CaseLedger!$O35,""))</x:f>
        <x:v>Sadaqah</x:v>
      </x:c>
      <x:c r="G35" s="52" t="str">
        <x:f>IF(CaseLedger!$A35="","",IFERROR(CaseLedger!$E35,""))</x:f>
        <x:v>Aug 2025</x:v>
      </x:c>
      <x:c r="H35" s="52" t="str">
        <x:f>IF(CaseLedger!$A35="","",IFERROR(CaseLedger!$P35,""))</x:f>
        <x:v>Mallawan, UP</x:v>
      </x:c>
      <x:c r="I35" s="52" t="str">
        <x:f>IF(CaseLedger!$A35="","",IFERROR(CaseLedger!$Q35,""))</x:f>
        <x:v>₹15,000–₹25,000</x:v>
      </x:c>
      <x:c r="J35" s="52" t="str">
        <x:f>IF(CaseLedger!$A35="","",IFERROR(CaseLedger!$R35,""))</x:f>
        <x:v>A verified recipient/family needed support related to shop / business inventory.</x:v>
      </x:c>
      <x:c r="K35" s="52" t="str">
        <x:f>IF(CaseLedger!$A35="","",IFERROR(CaseLedger!$S35,""))</x:f>
        <x:v>Humanitarians supported the case through Sadaqah funds for support for kirana shop.</x:v>
      </x:c>
      <x:c r="L35" s="52" t="str">
        <x:f>IF(CaseLedger!$A35="","",IFERROR(CaseLedger!$T35,""))</x:f>
        <x:v>Outcome/update should be added only after verified follow-up.</x:v>
      </x:c>
      <x:c r="M35" s="52" t="str">
        <x:f>IF(CaseLedger!$A35="","",IFERROR(CaseLedger!$U35,""))</x:f>
        <x:v>Add follow-up notes after checking with the verification team.</x:v>
      </x:c>
      <x:c r="N35" s="52" t="str">
        <x:f>IF(CaseLedger!$A35="","",IFERROR(CaseLedger!$V35,""))</x:f>
        <x:v>Add a real quote only with consent; do not publish this placeholder as a recipient quote.</x:v>
      </x:c>
      <x:c r="O35" s="52" t="str">
        <x:f>IF(CaseLedger!$A35="","",IFERROR(CaseLedger!$W35,""))</x:f>
        <x:v>Anonymized public summary; no full name, phone, address, ID, bank details, or donor identity included.</x:v>
      </x:c>
      <x:c r="P35" s="52" t="str">
        <x:f>IF(CaseLedger!$A35="","",IFERROR(CaseLedger!$C35,""))</x:f>
        <x:v>No</x:v>
      </x:c>
      <x:c r="Q35" s="52" t="str">
        <x:f>IF(CaseLedger!$A35="","",IFERROR(CaseLedger!$D35,""))</x:f>
        <x:v>Draft</x:v>
      </x:c>
      <x:c r="R35" s="52" t="str">
        <x:f>IF(CaseLedger!$A35="","",IFERROR(CaseLedger!$X35,""))</x:f>
      </x:c>
      <x:c r="S35" s="52" t="str">
        <x:f>IF(CaseLedger!$A35="","",IFERROR(CaseLedger!$Y35,""))</x:f>
        <x:v>Anonymized Humanitarians case image 1 for HUM-034</x:v>
      </x:c>
      <x:c r="T35" s="52" t="str">
        <x:f>IF(CaseLedger!$A35="","",IFERROR(CaseLedger!$Z35,""))</x:f>
        <x:v>Before/support context image - add only after consent.</x:v>
      </x:c>
      <x:c r="U35" s="52" t="str">
        <x:f>IF(CaseLedger!$A35="","",IFERROR(CaseLedger!$AA35,""))</x:f>
      </x:c>
      <x:c r="V35" s="52" t="str">
        <x:f>IF(CaseLedger!$A35="","",IFERROR(CaseLedger!$AB35,""))</x:f>
        <x:v>Anonymized Humanitarians case image 2 for HUM-034</x:v>
      </x:c>
      <x:c r="W35" s="52" t="str">
        <x:f>IF(CaseLedger!$A35="","",IFERROR(CaseLedger!$AC35,""))</x:f>
        <x:v>Support/equipment image - add only after consent.</x:v>
      </x:c>
      <x:c r="X35" s="52" t="str">
        <x:f>IF(CaseLedger!$A35="","",IFERROR(CaseLedger!$AD35,""))</x:f>
      </x:c>
      <x:c r="Y35" s="52" t="str">
        <x:f>IF(CaseLedger!$A35="","",IFERROR(CaseLedger!$AE35,""))</x:f>
        <x:v>Anonymized Humanitarians case image 3 for HUM-034</x:v>
      </x:c>
      <x:c r="Z35" s="52" t="str">
        <x:f>IF(CaseLedger!$A35="","",IFERROR(CaseLedger!$AF35,""))</x:f>
        <x:v>Outcome/follow-up image - add only after consent.</x:v>
      </x:c>
      <x:c r="AA35" s="52" t="str">
        <x:f>IF(CaseLedger!$A35="","",IFERROR(CaseLedger!$AG35,""))</x:f>
        <x:v>Pending consent</x:v>
      </x:c>
      <x:c r="AB35" s="52" t="str">
        <x:f>IF(CaseLedger!$A35="","",IFERROR(CaseLedger!$AH35,""))</x:f>
        <x:v>Paste public Google Drive image URLs only after recipient consent and privacy review.</x:v>
      </x:c>
      <x:c r="AC35"/>
    </x:row>
    <x:row r="36">
      <x:c r="A36" s="52" t="str">
        <x:f>IF(CaseLedger!$A36="","",IFERROR(CaseLedger!$A36,""))</x:f>
        <x:v>HUM-035</x:v>
      </x:c>
      <x:c r="B36" s="52" t="str">
        <x:f>IF(CaseLedger!$A36="","",IFERROR(CaseLedger!$H36,""))</x:f>
        <x:v>Rapid Vacuum Cleaner</x:v>
      </x:c>
      <x:c r="C36" s="52" t="str">
        <x:f>IF(CaseLedger!$A36="","",IFERROR(CaseLedger!$I36,""))</x:f>
        <x:v>Anonymized case HUM-035</x:v>
      </x:c>
      <x:c r="D36" s="52" t="str">
        <x:f>IF(CaseLedger!$A36="","",IFERROR(CaseLedger!$J36,""))</x:f>
        <x:v>Livelihood</x:v>
      </x:c>
      <x:c r="E36" s="52" t="str">
        <x:f>IF(CaseLedger!$A36="","",IFERROR(CaseLedger!$K36,""))</x:f>
        <x:v>Tools / equipment</x:v>
      </x:c>
      <x:c r="F36" s="52" t="str">
        <x:f>IF(CaseLedger!$A36="","",IFERROR(CaseLedger!$O36,""))</x:f>
        <x:v>Sadaqah</x:v>
      </x:c>
      <x:c r="G36" s="52" t="str">
        <x:f>IF(CaseLedger!$A36="","",IFERROR(CaseLedger!$E36,""))</x:f>
        <x:v>Sep 2025</x:v>
      </x:c>
      <x:c r="H36" s="52" t="str">
        <x:f>IF(CaseLedger!$A36="","",IFERROR(CaseLedger!$P36,""))</x:f>
        <x:v>Basti, UP</x:v>
      </x:c>
      <x:c r="I36" s="52" t="str">
        <x:f>IF(CaseLedger!$A36="","",IFERROR(CaseLedger!$Q36,""))</x:f>
        <x:v>Under ₹5,000</x:v>
      </x:c>
      <x:c r="J36" s="52" t="str">
        <x:f>IF(CaseLedger!$A36="","",IFERROR(CaseLedger!$R36,""))</x:f>
        <x:v>A verified recipient/family needed support related to tools / equipment.</x:v>
      </x:c>
      <x:c r="K36" s="52" t="str">
        <x:f>IF(CaseLedger!$A36="","",IFERROR(CaseLedger!$S36,""))</x:f>
        <x:v>Humanitarians supported the case through Sadaqah funds for rapid vacuum cleaner.</x:v>
      </x:c>
      <x:c r="L36" s="52" t="str">
        <x:f>IF(CaseLedger!$A36="","",IFERROR(CaseLedger!$T36,""))</x:f>
        <x:v>Outcome/update should be added only after verified follow-up.</x:v>
      </x:c>
      <x:c r="M36" s="52" t="str">
        <x:f>IF(CaseLedger!$A36="","",IFERROR(CaseLedger!$U36,""))</x:f>
        <x:v>Add follow-up notes after checking with the verification team.</x:v>
      </x:c>
      <x:c r="N36" s="52" t="str">
        <x:f>IF(CaseLedger!$A36="","",IFERROR(CaseLedger!$V36,""))</x:f>
        <x:v>Add a real quote only with consent; do not publish this placeholder as a recipient quote.</x:v>
      </x:c>
      <x:c r="O36" s="52" t="str">
        <x:f>IF(CaseLedger!$A36="","",IFERROR(CaseLedger!$W36,""))</x:f>
        <x:v>Anonymized public summary; no full name, phone, address, ID, bank details, or donor identity included.</x:v>
      </x:c>
      <x:c r="P36" s="52" t="str">
        <x:f>IF(CaseLedger!$A36="","",IFERROR(CaseLedger!$C36,""))</x:f>
        <x:v>No</x:v>
      </x:c>
      <x:c r="Q36" s="52" t="str">
        <x:f>IF(CaseLedger!$A36="","",IFERROR(CaseLedger!$D36,""))</x:f>
        <x:v>Archive</x:v>
      </x:c>
      <x:c r="R36" s="52" t="str">
        <x:f>IF(CaseLedger!$A36="","",IFERROR(CaseLedger!$X36,""))</x:f>
      </x:c>
      <x:c r="S36" s="52" t="str">
        <x:f>IF(CaseLedger!$A36="","",IFERROR(CaseLedger!$Y36,""))</x:f>
        <x:v>Anonymized Humanitarians case image 1 for HUM-035</x:v>
      </x:c>
      <x:c r="T36" s="52" t="str">
        <x:f>IF(CaseLedger!$A36="","",IFERROR(CaseLedger!$Z36,""))</x:f>
        <x:v>Before/support context image - add only after consent.</x:v>
      </x:c>
      <x:c r="U36" s="52" t="str">
        <x:f>IF(CaseLedger!$A36="","",IFERROR(CaseLedger!$AA36,""))</x:f>
      </x:c>
      <x:c r="V36" s="52" t="str">
        <x:f>IF(CaseLedger!$A36="","",IFERROR(CaseLedger!$AB36,""))</x:f>
        <x:v>Anonymized Humanitarians case image 2 for HUM-035</x:v>
      </x:c>
      <x:c r="W36" s="52" t="str">
        <x:f>IF(CaseLedger!$A36="","",IFERROR(CaseLedger!$AC36,""))</x:f>
        <x:v>Support/equipment image - add only after consent.</x:v>
      </x:c>
      <x:c r="X36" s="52" t="str">
        <x:f>IF(CaseLedger!$A36="","",IFERROR(CaseLedger!$AD36,""))</x:f>
      </x:c>
      <x:c r="Y36" s="52" t="str">
        <x:f>IF(CaseLedger!$A36="","",IFERROR(CaseLedger!$AE36,""))</x:f>
        <x:v>Anonymized Humanitarians case image 3 for HUM-035</x:v>
      </x:c>
      <x:c r="Z36" s="52" t="str">
        <x:f>IF(CaseLedger!$A36="","",IFERROR(CaseLedger!$AF36,""))</x:f>
        <x:v>Outcome/follow-up image - add only after consent.</x:v>
      </x:c>
      <x:c r="AA36" s="52" t="str">
        <x:f>IF(CaseLedger!$A36="","",IFERROR(CaseLedger!$AG36,""))</x:f>
        <x:v>Pending consent</x:v>
      </x:c>
      <x:c r="AB36" s="52" t="str">
        <x:f>IF(CaseLedger!$A36="","",IFERROR(CaseLedger!$AH36,""))</x:f>
        <x:v>Paste public Google Drive image URLs only after recipient consent and privacy review.</x:v>
      </x:c>
      <x:c r="AC36"/>
    </x:row>
    <x:row r="37">
      <x:c r="A37" s="52" t="str">
        <x:f>IF(CaseLedger!$A37="","",IFERROR(CaseLedger!$A37,""))</x:f>
        <x:v>HUM-036</x:v>
      </x:c>
      <x:c r="B37" s="52" t="str">
        <x:f>IF(CaseLedger!$A37="","",IFERROR(CaseLedger!$H37,""))</x:f>
        <x:v>Support for Maktab set up</x:v>
      </x:c>
      <x:c r="C37" s="52" t="str">
        <x:f>IF(CaseLedger!$A37="","",IFERROR(CaseLedger!$I37,""))</x:f>
        <x:v>Anonymized case HUM-036</x:v>
      </x:c>
      <x:c r="D37" s="52" t="str">
        <x:f>IF(CaseLedger!$A37="","",IFERROR(CaseLedger!$J37,""))</x:f>
        <x:v>Skill Sponsorship</x:v>
      </x:c>
      <x:c r="E37" s="52" t="str">
        <x:f>IF(CaseLedger!$A37="","",IFERROR(CaseLedger!$K37,""))</x:f>
        <x:v>Education / Maktab</x:v>
      </x:c>
      <x:c r="F37" s="52" t="str">
        <x:f>IF(CaseLedger!$A37="","",IFERROR(CaseLedger!$O37,""))</x:f>
        <x:v>Mixed</x:v>
      </x:c>
      <x:c r="G37" s="52" t="str">
        <x:f>IF(CaseLedger!$A37="","",IFERROR(CaseLedger!$E37,""))</x:f>
        <x:v>Sep 2025</x:v>
      </x:c>
      <x:c r="H37" s="52" t="str">
        <x:f>IF(CaseLedger!$A37="","",IFERROR(CaseLedger!$P37,""))</x:f>
        <x:v>Delhi</x:v>
      </x:c>
      <x:c r="I37" s="52" t="str">
        <x:f>IF(CaseLedger!$A37="","",IFERROR(CaseLedger!$Q37,""))</x:f>
        <x:v>₹25,000–₹50,000</x:v>
      </x:c>
      <x:c r="J37" s="52" t="str">
        <x:f>IF(CaseLedger!$A37="","",IFERROR(CaseLedger!$R37,""))</x:f>
        <x:v>A verified recipient/family needed support related to education / maktab.</x:v>
      </x:c>
      <x:c r="K37" s="52" t="str">
        <x:f>IF(CaseLedger!$A37="","",IFERROR(CaseLedger!$S37,""))</x:f>
        <x:v>Humanitarians supported the case through Mixed funds for support for maktab set up.</x:v>
      </x:c>
      <x:c r="L37" s="52" t="str">
        <x:f>IF(CaseLedger!$A37="","",IFERROR(CaseLedger!$T37,""))</x:f>
        <x:v>Outcome/update should be added only after verified follow-up.</x:v>
      </x:c>
      <x:c r="M37" s="52" t="str">
        <x:f>IF(CaseLedger!$A37="","",IFERROR(CaseLedger!$U37,""))</x:f>
        <x:v>Add follow-up notes after checking with the verification team.</x:v>
      </x:c>
      <x:c r="N37" s="52" t="str">
        <x:f>IF(CaseLedger!$A37="","",IFERROR(CaseLedger!$V37,""))</x:f>
        <x:v>Add a real quote only with consent; do not publish this placeholder as a recipient quote.</x:v>
      </x:c>
      <x:c r="O37" s="52" t="str">
        <x:f>IF(CaseLedger!$A37="","",IFERROR(CaseLedger!$W37,""))</x:f>
        <x:v>Anonymized public summary; no full name, phone, address, ID, bank details, or donor identity included.</x:v>
      </x:c>
      <x:c r="P37" s="52" t="str">
        <x:f>IF(CaseLedger!$A37="","",IFERROR(CaseLedger!$C37,""))</x:f>
        <x:v>No</x:v>
      </x:c>
      <x:c r="Q37" s="52" t="str">
        <x:f>IF(CaseLedger!$A37="","",IFERROR(CaseLedger!$D37,""))</x:f>
        <x:v>Draft</x:v>
      </x:c>
      <x:c r="R37" s="52" t="str">
        <x:f>IF(CaseLedger!$A37="","",IFERROR(CaseLedger!$X37,""))</x:f>
      </x:c>
      <x:c r="S37" s="52" t="str">
        <x:f>IF(CaseLedger!$A37="","",IFERROR(CaseLedger!$Y37,""))</x:f>
        <x:v>Anonymized Humanitarians case image 1 for HUM-036</x:v>
      </x:c>
      <x:c r="T37" s="52" t="str">
        <x:f>IF(CaseLedger!$A37="","",IFERROR(CaseLedger!$Z37,""))</x:f>
        <x:v>Before/support context image - add only after consent.</x:v>
      </x:c>
      <x:c r="U37" s="52" t="str">
        <x:f>IF(CaseLedger!$A37="","",IFERROR(CaseLedger!$AA37,""))</x:f>
      </x:c>
      <x:c r="V37" s="52" t="str">
        <x:f>IF(CaseLedger!$A37="","",IFERROR(CaseLedger!$AB37,""))</x:f>
        <x:v>Anonymized Humanitarians case image 2 for HUM-036</x:v>
      </x:c>
      <x:c r="W37" s="52" t="str">
        <x:f>IF(CaseLedger!$A37="","",IFERROR(CaseLedger!$AC37,""))</x:f>
        <x:v>Support/equipment image - add only after consent.</x:v>
      </x:c>
      <x:c r="X37" s="52" t="str">
        <x:f>IF(CaseLedger!$A37="","",IFERROR(CaseLedger!$AD37,""))</x:f>
      </x:c>
      <x:c r="Y37" s="52" t="str">
        <x:f>IF(CaseLedger!$A37="","",IFERROR(CaseLedger!$AE37,""))</x:f>
        <x:v>Anonymized Humanitarians case image 3 for HUM-036</x:v>
      </x:c>
      <x:c r="Z37" s="52" t="str">
        <x:f>IF(CaseLedger!$A37="","",IFERROR(CaseLedger!$AF37,""))</x:f>
        <x:v>Outcome/follow-up image - add only after consent.</x:v>
      </x:c>
      <x:c r="AA37" s="52" t="str">
        <x:f>IF(CaseLedger!$A37="","",IFERROR(CaseLedger!$AG37,""))</x:f>
        <x:v>Pending consent</x:v>
      </x:c>
      <x:c r="AB37" s="52" t="str">
        <x:f>IF(CaseLedger!$A37="","",IFERROR(CaseLedger!$AH37,""))</x:f>
        <x:v>Paste public Google Drive image URLs only after recipient consent and privacy review.</x:v>
      </x:c>
      <x:c r="AC37"/>
    </x:row>
    <x:row r="38">
      <x:c r="A38" s="52" t="str">
        <x:f>IF(CaseLedger!$A38="","",IFERROR(CaseLedger!$A38,""))</x:f>
        <x:v>HUM-037</x:v>
      </x:c>
      <x:c r="B38" s="52" t="str">
        <x:f>IF(CaseLedger!$A38="","",IFERROR(CaseLedger!$H38,""))</x:f>
        <x:v>Support for Sewing Business</x:v>
      </x:c>
      <x:c r="C38" s="52" t="str">
        <x:f>IF(CaseLedger!$A38="","",IFERROR(CaseLedger!$I38,""))</x:f>
        <x:v>Anonymized case HUM-037</x:v>
      </x:c>
      <x:c r="D38" s="52" t="str">
        <x:f>IF(CaseLedger!$A38="","",IFERROR(CaseLedger!$J38,""))</x:f>
        <x:v>Livelihood</x:v>
      </x:c>
      <x:c r="E38" s="52" t="str">
        <x:f>IF(CaseLedger!$A38="","",IFERROR(CaseLedger!$K38,""))</x:f>
        <x:v>Sewing / tailoring</x:v>
      </x:c>
      <x:c r="F38" s="52" t="str">
        <x:f>IF(CaseLedger!$A38="","",IFERROR(CaseLedger!$O38,""))</x:f>
        <x:v>Sadaqah</x:v>
      </x:c>
      <x:c r="G38" s="52" t="str">
        <x:f>IF(CaseLedger!$A38="","",IFERROR(CaseLedger!$E38,""))</x:f>
        <x:v>Sep 2025</x:v>
      </x:c>
      <x:c r="H38" s="52" t="str">
        <x:f>IF(CaseLedger!$A38="","",IFERROR(CaseLedger!$P38,""))</x:f>
        <x:v>Kanpur, UP</x:v>
      </x:c>
      <x:c r="I38" s="52" t="str">
        <x:f>IF(CaseLedger!$A38="","",IFERROR(CaseLedger!$Q38,""))</x:f>
        <x:v>₹15,000–₹25,000</x:v>
      </x:c>
      <x:c r="J38" s="52" t="str">
        <x:f>IF(CaseLedger!$A38="","",IFERROR(CaseLedger!$R38,""))</x:f>
        <x:v>A verified recipient/family needed support related to sewing / tailoring.</x:v>
      </x:c>
      <x:c r="K38" s="52" t="str">
        <x:f>IF(CaseLedger!$A38="","",IFERROR(CaseLedger!$S38,""))</x:f>
        <x:v>Humanitarians supported the case through Sadaqah funds for support for sewing business.</x:v>
      </x:c>
      <x:c r="L38" s="52" t="str">
        <x:f>IF(CaseLedger!$A38="","",IFERROR(CaseLedger!$T38,""))</x:f>
        <x:v>Outcome/update should be added only after verified follow-up.</x:v>
      </x:c>
      <x:c r="M38" s="52" t="str">
        <x:f>IF(CaseLedger!$A38="","",IFERROR(CaseLedger!$U38,""))</x:f>
        <x:v>Add follow-up notes after checking with the verification team.</x:v>
      </x:c>
      <x:c r="N38" s="52" t="str">
        <x:f>IF(CaseLedger!$A38="","",IFERROR(CaseLedger!$V38,""))</x:f>
        <x:v>Add a real quote only with consent; do not publish this placeholder as a recipient quote.</x:v>
      </x:c>
      <x:c r="O38" s="52" t="str">
        <x:f>IF(CaseLedger!$A38="","",IFERROR(CaseLedger!$W38,""))</x:f>
        <x:v>Anonymized public summary; no full name, phone, address, ID, bank details, or donor identity included.</x:v>
      </x:c>
      <x:c r="P38" s="52" t="str">
        <x:f>IF(CaseLedger!$A38="","",IFERROR(CaseLedger!$C38,""))</x:f>
        <x:v>No</x:v>
      </x:c>
      <x:c r="Q38" s="52" t="str">
        <x:f>IF(CaseLedger!$A38="","",IFERROR(CaseLedger!$D38,""))</x:f>
        <x:v>Draft</x:v>
      </x:c>
      <x:c r="R38" s="52" t="str">
        <x:f>IF(CaseLedger!$A38="","",IFERROR(CaseLedger!$X38,""))</x:f>
      </x:c>
      <x:c r="S38" s="52" t="str">
        <x:f>IF(CaseLedger!$A38="","",IFERROR(CaseLedger!$Y38,""))</x:f>
        <x:v>Anonymized Humanitarians case image 1 for HUM-037</x:v>
      </x:c>
      <x:c r="T38" s="52" t="str">
        <x:f>IF(CaseLedger!$A38="","",IFERROR(CaseLedger!$Z38,""))</x:f>
        <x:v>Before/support context image - add only after consent.</x:v>
      </x:c>
      <x:c r="U38" s="52" t="str">
        <x:f>IF(CaseLedger!$A38="","",IFERROR(CaseLedger!$AA38,""))</x:f>
      </x:c>
      <x:c r="V38" s="52" t="str">
        <x:f>IF(CaseLedger!$A38="","",IFERROR(CaseLedger!$AB38,""))</x:f>
        <x:v>Anonymized Humanitarians case image 2 for HUM-037</x:v>
      </x:c>
      <x:c r="W38" s="52" t="str">
        <x:f>IF(CaseLedger!$A38="","",IFERROR(CaseLedger!$AC38,""))</x:f>
        <x:v>Support/equipment image - add only after consent.</x:v>
      </x:c>
      <x:c r="X38" s="52" t="str">
        <x:f>IF(CaseLedger!$A38="","",IFERROR(CaseLedger!$AD38,""))</x:f>
      </x:c>
      <x:c r="Y38" s="52" t="str">
        <x:f>IF(CaseLedger!$A38="","",IFERROR(CaseLedger!$AE38,""))</x:f>
        <x:v>Anonymized Humanitarians case image 3 for HUM-037</x:v>
      </x:c>
      <x:c r="Z38" s="52" t="str">
        <x:f>IF(CaseLedger!$A38="","",IFERROR(CaseLedger!$AF38,""))</x:f>
        <x:v>Outcome/follow-up image - add only after consent.</x:v>
      </x:c>
      <x:c r="AA38" s="52" t="str">
        <x:f>IF(CaseLedger!$A38="","",IFERROR(CaseLedger!$AG38,""))</x:f>
        <x:v>Pending consent</x:v>
      </x:c>
      <x:c r="AB38" s="52" t="str">
        <x:f>IF(CaseLedger!$A38="","",IFERROR(CaseLedger!$AH38,""))</x:f>
        <x:v>Paste public Google Drive image URLs only after recipient consent and privacy review.</x:v>
      </x:c>
      <x:c r="AC38"/>
    </x:row>
    <x:row r="39">
      <x:c r="A39" s="52" t="str">
        <x:f>IF(CaseLedger!$A39="","",IFERROR(CaseLedger!$A39,""))</x:f>
        <x:v>HUM-038</x:v>
      </x:c>
      <x:c r="B39" s="52" t="str">
        <x:f>IF(CaseLedger!$A39="","",IFERROR(CaseLedger!$H39,""))</x:f>
        <x:v>Support to Clothing business</x:v>
      </x:c>
      <x:c r="C39" s="52" t="str">
        <x:f>IF(CaseLedger!$A39="","",IFERROR(CaseLedger!$I39,""))</x:f>
        <x:v>Anonymized case HUM-038</x:v>
      </x:c>
      <x:c r="D39" s="52" t="str">
        <x:f>IF(CaseLedger!$A39="","",IFERROR(CaseLedger!$J39,""))</x:f>
        <x:v>Livelihood</x:v>
      </x:c>
      <x:c r="E39" s="52" t="str">
        <x:f>IF(CaseLedger!$A39="","",IFERROR(CaseLedger!$K39,""))</x:f>
        <x:v>Shop / business inventory</x:v>
      </x:c>
      <x:c r="F39" s="52" t="str">
        <x:f>IF(CaseLedger!$A39="","",IFERROR(CaseLedger!$O39,""))</x:f>
        <x:v>Sadaqah</x:v>
      </x:c>
      <x:c r="G39" s="52" t="str">
        <x:f>IF(CaseLedger!$A39="","",IFERROR(CaseLedger!$E39,""))</x:f>
        <x:v>Sep 2025</x:v>
      </x:c>
      <x:c r="H39" s="52" t="str">
        <x:f>IF(CaseLedger!$A39="","",IFERROR(CaseLedger!$P39,""))</x:f>
        <x:v>Bihar</x:v>
      </x:c>
      <x:c r="I39" s="52" t="str">
        <x:f>IF(CaseLedger!$A39="","",IFERROR(CaseLedger!$Q39,""))</x:f>
        <x:v>₹15,000–₹25,000</x:v>
      </x:c>
      <x:c r="J39" s="52" t="str">
        <x:f>IF(CaseLedger!$A39="","",IFERROR(CaseLedger!$R39,""))</x:f>
        <x:v>A verified recipient/family needed support related to shop / business inventory.</x:v>
      </x:c>
      <x:c r="K39" s="52" t="str">
        <x:f>IF(CaseLedger!$A39="","",IFERROR(CaseLedger!$S39,""))</x:f>
        <x:v>Humanitarians supported the case through Sadaqah funds for support to clothing business.</x:v>
      </x:c>
      <x:c r="L39" s="52" t="str">
        <x:f>IF(CaseLedger!$A39="","",IFERROR(CaseLedger!$T39,""))</x:f>
        <x:v>Outcome/update should be added only after verified follow-up.</x:v>
      </x:c>
      <x:c r="M39" s="52" t="str">
        <x:f>IF(CaseLedger!$A39="","",IFERROR(CaseLedger!$U39,""))</x:f>
        <x:v>Add follow-up notes after checking with the verification team.</x:v>
      </x:c>
      <x:c r="N39" s="52" t="str">
        <x:f>IF(CaseLedger!$A39="","",IFERROR(CaseLedger!$V39,""))</x:f>
        <x:v>Add a real quote only with consent; do not publish this placeholder as a recipient quote.</x:v>
      </x:c>
      <x:c r="O39" s="52" t="str">
        <x:f>IF(CaseLedger!$A39="","",IFERROR(CaseLedger!$W39,""))</x:f>
        <x:v>Anonymized public summary; no full name, phone, address, ID, bank details, or donor identity included.</x:v>
      </x:c>
      <x:c r="P39" s="52" t="str">
        <x:f>IF(CaseLedger!$A39="","",IFERROR(CaseLedger!$C39,""))</x:f>
        <x:v>No</x:v>
      </x:c>
      <x:c r="Q39" s="52" t="str">
        <x:f>IF(CaseLedger!$A39="","",IFERROR(CaseLedger!$D39,""))</x:f>
        <x:v>Archive</x:v>
      </x:c>
      <x:c r="R39" s="52" t="str">
        <x:f>IF(CaseLedger!$A39="","",IFERROR(CaseLedger!$X39,""))</x:f>
      </x:c>
      <x:c r="S39" s="52" t="str">
        <x:f>IF(CaseLedger!$A39="","",IFERROR(CaseLedger!$Y39,""))</x:f>
        <x:v>Anonymized Humanitarians case image 1 for HUM-038</x:v>
      </x:c>
      <x:c r="T39" s="52" t="str">
        <x:f>IF(CaseLedger!$A39="","",IFERROR(CaseLedger!$Z39,""))</x:f>
        <x:v>Before/support context image - add only after consent.</x:v>
      </x:c>
      <x:c r="U39" s="52" t="str">
        <x:f>IF(CaseLedger!$A39="","",IFERROR(CaseLedger!$AA39,""))</x:f>
      </x:c>
      <x:c r="V39" s="52" t="str">
        <x:f>IF(CaseLedger!$A39="","",IFERROR(CaseLedger!$AB39,""))</x:f>
        <x:v>Anonymized Humanitarians case image 2 for HUM-038</x:v>
      </x:c>
      <x:c r="W39" s="52" t="str">
        <x:f>IF(CaseLedger!$A39="","",IFERROR(CaseLedger!$AC39,""))</x:f>
        <x:v>Support/equipment image - add only after consent.</x:v>
      </x:c>
      <x:c r="X39" s="52" t="str">
        <x:f>IF(CaseLedger!$A39="","",IFERROR(CaseLedger!$AD39,""))</x:f>
      </x:c>
      <x:c r="Y39" s="52" t="str">
        <x:f>IF(CaseLedger!$A39="","",IFERROR(CaseLedger!$AE39,""))</x:f>
        <x:v>Anonymized Humanitarians case image 3 for HUM-038</x:v>
      </x:c>
      <x:c r="Z39" s="52" t="str">
        <x:f>IF(CaseLedger!$A39="","",IFERROR(CaseLedger!$AF39,""))</x:f>
        <x:v>Outcome/follow-up image - add only after consent.</x:v>
      </x:c>
      <x:c r="AA39" s="52" t="str">
        <x:f>IF(CaseLedger!$A39="","",IFERROR(CaseLedger!$AG39,""))</x:f>
        <x:v>Pending consent</x:v>
      </x:c>
      <x:c r="AB39" s="52" t="str">
        <x:f>IF(CaseLedger!$A39="","",IFERROR(CaseLedger!$AH39,""))</x:f>
        <x:v>Paste public Google Drive image URLs only after recipient consent and privacy review.</x:v>
      </x:c>
      <x:c r="AC39"/>
    </x:row>
    <x:row r="40">
      <x:c r="A40" s="52" t="str">
        <x:f>IF(CaseLedger!$A40="","",IFERROR(CaseLedger!$A40,""))</x:f>
        <x:v>HUM-039</x:v>
      </x:c>
      <x:c r="B40" s="52" t="str">
        <x:f>IF(CaseLedger!$A40="","",IFERROR(CaseLedger!$H40,""))</x:f>
        <x:v>Support to Shoe Vendor</x:v>
      </x:c>
      <x:c r="C40" s="52" t="str">
        <x:f>IF(CaseLedger!$A40="","",IFERROR(CaseLedger!$I40,""))</x:f>
        <x:v>Anonymized case HUM-039</x:v>
      </x:c>
      <x:c r="D40" s="52" t="str">
        <x:f>IF(CaseLedger!$A40="","",IFERROR(CaseLedger!$J40,""))</x:f>
        <x:v>Livelihood</x:v>
      </x:c>
      <x:c r="E40" s="52" t="str">
        <x:f>IF(CaseLedger!$A40="","",IFERROR(CaseLedger!$K40,""))</x:f>
        <x:v>Shop / business inventory</x:v>
      </x:c>
      <x:c r="F40" s="52" t="str">
        <x:f>IF(CaseLedger!$A40="","",IFERROR(CaseLedger!$O40,""))</x:f>
        <x:v>Sadaqah</x:v>
      </x:c>
      <x:c r="G40" s="52" t="str">
        <x:f>IF(CaseLedger!$A40="","",IFERROR(CaseLedger!$E40,""))</x:f>
        <x:v>Sep 2025</x:v>
      </x:c>
      <x:c r="H40" s="52" t="str">
        <x:f>IF(CaseLedger!$A40="","",IFERROR(CaseLedger!$P40,""))</x:f>
        <x:v>Bihar</x:v>
      </x:c>
      <x:c r="I40" s="52" t="str">
        <x:f>IF(CaseLedger!$A40="","",IFERROR(CaseLedger!$Q40,""))</x:f>
        <x:v>₹5,000–₹10,000</x:v>
      </x:c>
      <x:c r="J40" s="52" t="str">
        <x:f>IF(CaseLedger!$A40="","",IFERROR(CaseLedger!$R40,""))</x:f>
        <x:v>A verified recipient/family needed support related to shop / business inventory.</x:v>
      </x:c>
      <x:c r="K40" s="52" t="str">
        <x:f>IF(CaseLedger!$A40="","",IFERROR(CaseLedger!$S40,""))</x:f>
        <x:v>Humanitarians supported the case through Sadaqah funds for support to shoe vendor.</x:v>
      </x:c>
      <x:c r="L40" s="52" t="str">
        <x:f>IF(CaseLedger!$A40="","",IFERROR(CaseLedger!$T40,""))</x:f>
        <x:v>Outcome/update should be added only after verified follow-up.</x:v>
      </x:c>
      <x:c r="M40" s="52" t="str">
        <x:f>IF(CaseLedger!$A40="","",IFERROR(CaseLedger!$U40,""))</x:f>
        <x:v>Add follow-up notes after checking with the verification team.</x:v>
      </x:c>
      <x:c r="N40" s="52" t="str">
        <x:f>IF(CaseLedger!$A40="","",IFERROR(CaseLedger!$V40,""))</x:f>
        <x:v>Add a real quote only with consent; do not publish this placeholder as a recipient quote.</x:v>
      </x:c>
      <x:c r="O40" s="52" t="str">
        <x:f>IF(CaseLedger!$A40="","",IFERROR(CaseLedger!$W40,""))</x:f>
        <x:v>Anonymized public summary; no full name, phone, address, ID, bank details, or donor identity included.</x:v>
      </x:c>
      <x:c r="P40" s="52" t="str">
        <x:f>IF(CaseLedger!$A40="","",IFERROR(CaseLedger!$C40,""))</x:f>
        <x:v>No</x:v>
      </x:c>
      <x:c r="Q40" s="52" t="str">
        <x:f>IF(CaseLedger!$A40="","",IFERROR(CaseLedger!$D40,""))</x:f>
        <x:v>Draft</x:v>
      </x:c>
      <x:c r="R40" s="52" t="str">
        <x:f>IF(CaseLedger!$A40="","",IFERROR(CaseLedger!$X40,""))</x:f>
      </x:c>
      <x:c r="S40" s="52" t="str">
        <x:f>IF(CaseLedger!$A40="","",IFERROR(CaseLedger!$Y40,""))</x:f>
        <x:v>Anonymized Humanitarians case image 1 for HUM-039</x:v>
      </x:c>
      <x:c r="T40" s="52" t="str">
        <x:f>IF(CaseLedger!$A40="","",IFERROR(CaseLedger!$Z40,""))</x:f>
        <x:v>Before/support context image - add only after consent.</x:v>
      </x:c>
      <x:c r="U40" s="52" t="str">
        <x:f>IF(CaseLedger!$A40="","",IFERROR(CaseLedger!$AA40,""))</x:f>
      </x:c>
      <x:c r="V40" s="52" t="str">
        <x:f>IF(CaseLedger!$A40="","",IFERROR(CaseLedger!$AB40,""))</x:f>
        <x:v>Anonymized Humanitarians case image 2 for HUM-039</x:v>
      </x:c>
      <x:c r="W40" s="52" t="str">
        <x:f>IF(CaseLedger!$A40="","",IFERROR(CaseLedger!$AC40,""))</x:f>
        <x:v>Support/equipment image - add only after consent.</x:v>
      </x:c>
      <x:c r="X40" s="52" t="str">
        <x:f>IF(CaseLedger!$A40="","",IFERROR(CaseLedger!$AD40,""))</x:f>
      </x:c>
      <x:c r="Y40" s="52" t="str">
        <x:f>IF(CaseLedger!$A40="","",IFERROR(CaseLedger!$AE40,""))</x:f>
        <x:v>Anonymized Humanitarians case image 3 for HUM-039</x:v>
      </x:c>
      <x:c r="Z40" s="52" t="str">
        <x:f>IF(CaseLedger!$A40="","",IFERROR(CaseLedger!$AF40,""))</x:f>
        <x:v>Outcome/follow-up image - add only after consent.</x:v>
      </x:c>
      <x:c r="AA40" s="52" t="str">
        <x:f>IF(CaseLedger!$A40="","",IFERROR(CaseLedger!$AG40,""))</x:f>
        <x:v>Pending consent</x:v>
      </x:c>
      <x:c r="AB40" s="52" t="str">
        <x:f>IF(CaseLedger!$A40="","",IFERROR(CaseLedger!$AH40,""))</x:f>
        <x:v>Paste public Google Drive image URLs only after recipient consent and privacy review.</x:v>
      </x:c>
      <x:c r="AC40"/>
    </x:row>
    <x:row r="41">
      <x:c r="A41" s="52" t="str">
        <x:f>IF(CaseLedger!$A41="","",IFERROR(CaseLedger!$A41,""))</x:f>
        <x:v>HUM-040</x:v>
      </x:c>
      <x:c r="B41" s="52" t="str">
        <x:f>IF(CaseLedger!$A41="","",IFERROR(CaseLedger!$H41,""))</x:f>
        <x:v>Support for Deep Freezer</x:v>
      </x:c>
      <x:c r="C41" s="52" t="str">
        <x:f>IF(CaseLedger!$A41="","",IFERROR(CaseLedger!$I41,""))</x:f>
        <x:v>Anonymized case HUM-040</x:v>
      </x:c>
      <x:c r="D41" s="52" t="str">
        <x:f>IF(CaseLedger!$A41="","",IFERROR(CaseLedger!$J41,""))</x:f>
        <x:v>Livelihood</x:v>
      </x:c>
      <x:c r="E41" s="52" t="str">
        <x:f>IF(CaseLedger!$A41="","",IFERROR(CaseLedger!$K41,""))</x:f>
        <x:v>Tools / equipment</x:v>
      </x:c>
      <x:c r="F41" s="52" t="str">
        <x:f>IF(CaseLedger!$A41="","",IFERROR(CaseLedger!$O41,""))</x:f>
        <x:v>Sadaqah</x:v>
      </x:c>
      <x:c r="G41" s="52" t="str">
        <x:f>IF(CaseLedger!$A41="","",IFERROR(CaseLedger!$E41,""))</x:f>
        <x:v>Jan 2026</x:v>
      </x:c>
      <x:c r="H41" s="52" t="str">
        <x:f>IF(CaseLedger!$A41="","",IFERROR(CaseLedger!$P41,""))</x:f>
        <x:v>Mallawan UP</x:v>
      </x:c>
      <x:c r="I41" s="52" t="str">
        <x:f>IF(CaseLedger!$A41="","",IFERROR(CaseLedger!$Q41,""))</x:f>
        <x:v>₹10,000–₹15,000</x:v>
      </x:c>
      <x:c r="J41" s="52" t="str">
        <x:f>IF(CaseLedger!$A41="","",IFERROR(CaseLedger!$R41,""))</x:f>
        <x:v>A verified recipient/family needed support related to tools / equipment.</x:v>
      </x:c>
      <x:c r="K41" s="52" t="str">
        <x:f>IF(CaseLedger!$A41="","",IFERROR(CaseLedger!$S41,""))</x:f>
        <x:v>Humanitarians supported the case through Sadaqah funds for support for deep freezer.</x:v>
      </x:c>
      <x:c r="L41" s="52" t="str">
        <x:f>IF(CaseLedger!$A41="","",IFERROR(CaseLedger!$T41,""))</x:f>
        <x:v>Outcome/update should be added only after verified follow-up.</x:v>
      </x:c>
      <x:c r="M41" s="52" t="str">
        <x:f>IF(CaseLedger!$A41="","",IFERROR(CaseLedger!$U41,""))</x:f>
        <x:v>Add follow-up notes after checking with the verification team.</x:v>
      </x:c>
      <x:c r="N41" s="52" t="str">
        <x:f>IF(CaseLedger!$A41="","",IFERROR(CaseLedger!$V41,""))</x:f>
        <x:v>Add a real quote only with consent; do not publish this placeholder as a recipient quote.</x:v>
      </x:c>
      <x:c r="O41" s="52" t="str">
        <x:f>IF(CaseLedger!$A41="","",IFERROR(CaseLedger!$W41,""))</x:f>
        <x:v>Anonymized public summary; no full name, phone, address, ID, bank details, or donor identity included.</x:v>
      </x:c>
      <x:c r="P41" s="52" t="str">
        <x:f>IF(CaseLedger!$A41="","",IFERROR(CaseLedger!$C41,""))</x:f>
        <x:v>No</x:v>
      </x:c>
      <x:c r="Q41" s="52" t="str">
        <x:f>IF(CaseLedger!$A41="","",IFERROR(CaseLedger!$D41,""))</x:f>
        <x:v>Draft</x:v>
      </x:c>
      <x:c r="R41" s="52" t="str">
        <x:f>IF(CaseLedger!$A41="","",IFERROR(CaseLedger!$X41,""))</x:f>
      </x:c>
      <x:c r="S41" s="52" t="str">
        <x:f>IF(CaseLedger!$A41="","",IFERROR(CaseLedger!$Y41,""))</x:f>
        <x:v>Anonymized Humanitarians case image 1 for HUM-040</x:v>
      </x:c>
      <x:c r="T41" s="52" t="str">
        <x:f>IF(CaseLedger!$A41="","",IFERROR(CaseLedger!$Z41,""))</x:f>
        <x:v>Before/support context image - add only after consent.</x:v>
      </x:c>
      <x:c r="U41" s="52" t="str">
        <x:f>IF(CaseLedger!$A41="","",IFERROR(CaseLedger!$AA41,""))</x:f>
      </x:c>
      <x:c r="V41" s="52" t="str">
        <x:f>IF(CaseLedger!$A41="","",IFERROR(CaseLedger!$AB41,""))</x:f>
        <x:v>Anonymized Humanitarians case image 2 for HUM-040</x:v>
      </x:c>
      <x:c r="W41" s="52" t="str">
        <x:f>IF(CaseLedger!$A41="","",IFERROR(CaseLedger!$AC41,""))</x:f>
        <x:v>Support/equipment image - add only after consent.</x:v>
      </x:c>
      <x:c r="X41" s="52" t="str">
        <x:f>IF(CaseLedger!$A41="","",IFERROR(CaseLedger!$AD41,""))</x:f>
      </x:c>
      <x:c r="Y41" s="52" t="str">
        <x:f>IF(CaseLedger!$A41="","",IFERROR(CaseLedger!$AE41,""))</x:f>
        <x:v>Anonymized Humanitarians case image 3 for HUM-040</x:v>
      </x:c>
      <x:c r="Z41" s="52" t="str">
        <x:f>IF(CaseLedger!$A41="","",IFERROR(CaseLedger!$AF41,""))</x:f>
        <x:v>Outcome/follow-up image - add only after consent.</x:v>
      </x:c>
      <x:c r="AA41" s="52" t="str">
        <x:f>IF(CaseLedger!$A41="","",IFERROR(CaseLedger!$AG41,""))</x:f>
        <x:v>Pending consent</x:v>
      </x:c>
      <x:c r="AB41" s="52" t="str">
        <x:f>IF(CaseLedger!$A41="","",IFERROR(CaseLedger!$AH41,""))</x:f>
        <x:v>Paste public Google Drive image URLs only after recipient consent and privacy review.</x:v>
      </x:c>
      <x:c r="AC41"/>
    </x:row>
    <x:row r="42">
      <x:c r="A42" s="52" t="str">
        <x:f>IF(CaseLedger!$A42="","",IFERROR(CaseLedger!$A42,""))</x:f>
        <x:v>HUM-041</x:v>
      </x:c>
      <x:c r="B42" s="52" t="str">
        <x:f>IF(CaseLedger!$A42="","",IFERROR(CaseLedger!$H42,""))</x:f>
        <x:v>Support for additional items to Footwear vendor</x:v>
      </x:c>
      <x:c r="C42" s="52" t="str">
        <x:f>IF(CaseLedger!$A42="","",IFERROR(CaseLedger!$I42,""))</x:f>
        <x:v>Anonymized case HUM-041</x:v>
      </x:c>
      <x:c r="D42" s="52" t="str">
        <x:f>IF(CaseLedger!$A42="","",IFERROR(CaseLedger!$J42,""))</x:f>
        <x:v>Livelihood</x:v>
      </x:c>
      <x:c r="E42" s="52" t="str">
        <x:f>IF(CaseLedger!$A42="","",IFERROR(CaseLedger!$K42,""))</x:f>
        <x:v>Shop / business inventory</x:v>
      </x:c>
      <x:c r="F42" s="52" t="str">
        <x:f>IF(CaseLedger!$A42="","",IFERROR(CaseLedger!$O42,""))</x:f>
        <x:v>Sadaqah</x:v>
      </x:c>
      <x:c r="G42" s="52" t="str">
        <x:f>IF(CaseLedger!$A42="","",IFERROR(CaseLedger!$E42,""))</x:f>
        <x:v>Jan 2026</x:v>
      </x:c>
      <x:c r="H42" s="52" t="str">
        <x:f>IF(CaseLedger!$A42="","",IFERROR(CaseLedger!$P42,""))</x:f>
        <x:v>Mallawan UP</x:v>
      </x:c>
      <x:c r="I42" s="52" t="str">
        <x:f>IF(CaseLedger!$A42="","",IFERROR(CaseLedger!$Q42,""))</x:f>
        <x:v>₹10,000–₹15,000</x:v>
      </x:c>
      <x:c r="J42" s="52" t="str">
        <x:f>IF(CaseLedger!$A42="","",IFERROR(CaseLedger!$R42,""))</x:f>
        <x:v>A verified recipient/family needed support related to shop / business inventory.</x:v>
      </x:c>
      <x:c r="K42" s="52" t="str">
        <x:f>IF(CaseLedger!$A42="","",IFERROR(CaseLedger!$S42,""))</x:f>
        <x:v>Humanitarians supported the case through Sadaqah funds for support for additional items to footwear vendor.</x:v>
      </x:c>
      <x:c r="L42" s="52" t="str">
        <x:f>IF(CaseLedger!$A42="","",IFERROR(CaseLedger!$T42,""))</x:f>
        <x:v>Outcome/update should be added only after verified follow-up.</x:v>
      </x:c>
      <x:c r="M42" s="52" t="str">
        <x:f>IF(CaseLedger!$A42="","",IFERROR(CaseLedger!$U42,""))</x:f>
        <x:v>Add follow-up notes after checking with the verification team.</x:v>
      </x:c>
      <x:c r="N42" s="52" t="str">
        <x:f>IF(CaseLedger!$A42="","",IFERROR(CaseLedger!$V42,""))</x:f>
        <x:v>Add a real quote only with consent; do not publish this placeholder as a recipient quote.</x:v>
      </x:c>
      <x:c r="O42" s="52" t="str">
        <x:f>IF(CaseLedger!$A42="","",IFERROR(CaseLedger!$W42,""))</x:f>
        <x:v>Anonymized public summary; no full name, phone, address, ID, bank details, or donor identity included.</x:v>
      </x:c>
      <x:c r="P42" s="52" t="str">
        <x:f>IF(CaseLedger!$A42="","",IFERROR(CaseLedger!$C42,""))</x:f>
        <x:v>No</x:v>
      </x:c>
      <x:c r="Q42" s="52" t="str">
        <x:f>IF(CaseLedger!$A42="","",IFERROR(CaseLedger!$D42,""))</x:f>
        <x:v>Draft</x:v>
      </x:c>
      <x:c r="R42" s="52" t="str">
        <x:f>IF(CaseLedger!$A42="","",IFERROR(CaseLedger!$X42,""))</x:f>
      </x:c>
      <x:c r="S42" s="52" t="str">
        <x:f>IF(CaseLedger!$A42="","",IFERROR(CaseLedger!$Y42,""))</x:f>
        <x:v>Anonymized Humanitarians case image 1 for HUM-041</x:v>
      </x:c>
      <x:c r="T42" s="52" t="str">
        <x:f>IF(CaseLedger!$A42="","",IFERROR(CaseLedger!$Z42,""))</x:f>
        <x:v>Before/support context image - add only after consent.</x:v>
      </x:c>
      <x:c r="U42" s="52" t="str">
        <x:f>IF(CaseLedger!$A42="","",IFERROR(CaseLedger!$AA42,""))</x:f>
      </x:c>
      <x:c r="V42" s="52" t="str">
        <x:f>IF(CaseLedger!$A42="","",IFERROR(CaseLedger!$AB42,""))</x:f>
        <x:v>Anonymized Humanitarians case image 2 for HUM-041</x:v>
      </x:c>
      <x:c r="W42" s="52" t="str">
        <x:f>IF(CaseLedger!$A42="","",IFERROR(CaseLedger!$AC42,""))</x:f>
        <x:v>Support/equipment image - add only after consent.</x:v>
      </x:c>
      <x:c r="X42" s="52" t="str">
        <x:f>IF(CaseLedger!$A42="","",IFERROR(CaseLedger!$AD42,""))</x:f>
      </x:c>
      <x:c r="Y42" s="52" t="str">
        <x:f>IF(CaseLedger!$A42="","",IFERROR(CaseLedger!$AE42,""))</x:f>
        <x:v>Anonymized Humanitarians case image 3 for HUM-041</x:v>
      </x:c>
      <x:c r="Z42" s="52" t="str">
        <x:f>IF(CaseLedger!$A42="","",IFERROR(CaseLedger!$AF42,""))</x:f>
        <x:v>Outcome/follow-up image - add only after consent.</x:v>
      </x:c>
      <x:c r="AA42" s="52" t="str">
        <x:f>IF(CaseLedger!$A42="","",IFERROR(CaseLedger!$AG42,""))</x:f>
        <x:v>Pending consent</x:v>
      </x:c>
      <x:c r="AB42" s="52" t="str">
        <x:f>IF(CaseLedger!$A42="","",IFERROR(CaseLedger!$AH42,""))</x:f>
        <x:v>Paste public Google Drive image URLs only after recipient consent and privacy review.</x:v>
      </x:c>
      <x:c r="AC42"/>
    </x:row>
    <x:row r="43">
      <x:c r="A43" s="52" t="str">
        <x:f>IF(CaseLedger!$A43="","",IFERROR(CaseLedger!$A43,""))</x:f>
        <x:v>HUM-042</x:v>
      </x:c>
      <x:c r="B43" s="52" t="str">
        <x:f>IF(CaseLedger!$A43="","",IFERROR(CaseLedger!$H43,""))</x:f>
        <x:v>Educational Support</x:v>
      </x:c>
      <x:c r="C43" s="52" t="str">
        <x:f>IF(CaseLedger!$A43="","",IFERROR(CaseLedger!$I43,""))</x:f>
        <x:v>Anonymized case HUM-042</x:v>
      </x:c>
      <x:c r="D43" s="52" t="str">
        <x:f>IF(CaseLedger!$A43="","",IFERROR(CaseLedger!$J43,""))</x:f>
        <x:v>Skill Sponsorship</x:v>
      </x:c>
      <x:c r="E43" s="52" t="str">
        <x:f>IF(CaseLedger!$A43="","",IFERROR(CaseLedger!$K43,""))</x:f>
        <x:v>Education / course sponsorship</x:v>
      </x:c>
      <x:c r="F43" s="52" t="str">
        <x:f>IF(CaseLedger!$A43="","",IFERROR(CaseLedger!$O43,""))</x:f>
        <x:v>Sadaqah</x:v>
      </x:c>
      <x:c r="G43" s="52" t="str">
        <x:f>IF(CaseLedger!$A43="","",IFERROR(CaseLedger!$E43,""))</x:f>
        <x:v>Mar 2026</x:v>
      </x:c>
      <x:c r="H43" s="52" t="str">
        <x:f>IF(CaseLedger!$A43="","",IFERROR(CaseLedger!$P43,""))</x:f>
        <x:v>Location withheld</x:v>
      </x:c>
      <x:c r="I43" s="52" t="str">
        <x:f>IF(CaseLedger!$A43="","",IFERROR(CaseLedger!$Q43,""))</x:f>
        <x:v>₹10,000–₹15,000</x:v>
      </x:c>
      <x:c r="J43" s="52" t="str">
        <x:f>IF(CaseLedger!$A43="","",IFERROR(CaseLedger!$R43,""))</x:f>
        <x:v>A verified recipient/family needed support related to education / course sponsorship.</x:v>
      </x:c>
      <x:c r="K43" s="52" t="str">
        <x:f>IF(CaseLedger!$A43="","",IFERROR(CaseLedger!$S43,""))</x:f>
        <x:v>Humanitarians supported the case through Sadaqah funds for educational support.</x:v>
      </x:c>
      <x:c r="L43" s="52" t="str">
        <x:f>IF(CaseLedger!$A43="","",IFERROR(CaseLedger!$T43,""))</x:f>
        <x:v>Outcome/update should be added only after verified follow-up.</x:v>
      </x:c>
      <x:c r="M43" s="52" t="str">
        <x:f>IF(CaseLedger!$A43="","",IFERROR(CaseLedger!$U43,""))</x:f>
        <x:v>Add follow-up notes after checking with the verification team.</x:v>
      </x:c>
      <x:c r="N43" s="52" t="str">
        <x:f>IF(CaseLedger!$A43="","",IFERROR(CaseLedger!$V43,""))</x:f>
        <x:v>Add a real quote only with consent; do not publish this placeholder as a recipient quote.</x:v>
      </x:c>
      <x:c r="O43" s="52" t="str">
        <x:f>IF(CaseLedger!$A43="","",IFERROR(CaseLedger!$W43,""))</x:f>
        <x:v>Anonymized public summary; no full name, phone, address, ID, bank details, or donor identity included.</x:v>
      </x:c>
      <x:c r="P43" s="52" t="str">
        <x:f>IF(CaseLedger!$A43="","",IFERROR(CaseLedger!$C43,""))</x:f>
        <x:v>No</x:v>
      </x:c>
      <x:c r="Q43" s="52" t="str">
        <x:f>IF(CaseLedger!$A43="","",IFERROR(CaseLedger!$D43,""))</x:f>
        <x:v>Archive</x:v>
      </x:c>
      <x:c r="R43" s="52" t="str">
        <x:f>IF(CaseLedger!$A43="","",IFERROR(CaseLedger!$X43,""))</x:f>
      </x:c>
      <x:c r="S43" s="52" t="str">
        <x:f>IF(CaseLedger!$A43="","",IFERROR(CaseLedger!$Y43,""))</x:f>
        <x:v>Anonymized Humanitarians case image 1 for HUM-042</x:v>
      </x:c>
      <x:c r="T43" s="52" t="str">
        <x:f>IF(CaseLedger!$A43="","",IFERROR(CaseLedger!$Z43,""))</x:f>
        <x:v>Before/support context image - add only after consent.</x:v>
      </x:c>
      <x:c r="U43" s="52" t="str">
        <x:f>IF(CaseLedger!$A43="","",IFERROR(CaseLedger!$AA43,""))</x:f>
      </x:c>
      <x:c r="V43" s="52" t="str">
        <x:f>IF(CaseLedger!$A43="","",IFERROR(CaseLedger!$AB43,""))</x:f>
        <x:v>Anonymized Humanitarians case image 2 for HUM-042</x:v>
      </x:c>
      <x:c r="W43" s="52" t="str">
        <x:f>IF(CaseLedger!$A43="","",IFERROR(CaseLedger!$AC43,""))</x:f>
        <x:v>Support/equipment image - add only after consent.</x:v>
      </x:c>
      <x:c r="X43" s="52" t="str">
        <x:f>IF(CaseLedger!$A43="","",IFERROR(CaseLedger!$AD43,""))</x:f>
      </x:c>
      <x:c r="Y43" s="52" t="str">
        <x:f>IF(CaseLedger!$A43="","",IFERROR(CaseLedger!$AE43,""))</x:f>
        <x:v>Anonymized Humanitarians case image 3 for HUM-042</x:v>
      </x:c>
      <x:c r="Z43" s="52" t="str">
        <x:f>IF(CaseLedger!$A43="","",IFERROR(CaseLedger!$AF43,""))</x:f>
        <x:v>Outcome/follow-up image - add only after consent.</x:v>
      </x:c>
      <x:c r="AA43" s="52" t="str">
        <x:f>IF(CaseLedger!$A43="","",IFERROR(CaseLedger!$AG43,""))</x:f>
        <x:v>Pending consent</x:v>
      </x:c>
      <x:c r="AB43" s="52" t="str">
        <x:f>IF(CaseLedger!$A43="","",IFERROR(CaseLedger!$AH43,""))</x:f>
        <x:v>Paste public Google Drive image URLs only after recipient consent and privacy review.</x:v>
      </x:c>
      <x:c r="AC43"/>
    </x:row>
    <x:row r="44">
      <x:c r="A44" s="52" t="str">
        <x:f>IF(CaseLedger!$A44="","",IFERROR(CaseLedger!$A44,""))</x:f>
        <x:v>HUM-043</x:v>
      </x:c>
      <x:c r="B44" s="52" t="str">
        <x:f>IF(CaseLedger!$A44="","",IFERROR(CaseLedger!$H44,""))</x:f>
        <x:v>Support for T shirt Printing and Tagging Machine</x:v>
      </x:c>
      <x:c r="C44" s="52" t="str">
        <x:f>IF(CaseLedger!$A44="","",IFERROR(CaseLedger!$I44,""))</x:f>
        <x:v>Anonymized case HUM-043</x:v>
      </x:c>
      <x:c r="D44" s="52" t="str">
        <x:f>IF(CaseLedger!$A44="","",IFERROR(CaseLedger!$J44,""))</x:f>
        <x:v>Livelihood</x:v>
      </x:c>
      <x:c r="E44" s="52" t="str">
        <x:f>IF(CaseLedger!$A44="","",IFERROR(CaseLedger!$K44,""))</x:f>
        <x:v>Tools / equipment</x:v>
      </x:c>
      <x:c r="F44" s="52" t="str">
        <x:f>IF(CaseLedger!$A44="","",IFERROR(CaseLedger!$O44,""))</x:f>
        <x:v>Sadaqah</x:v>
      </x:c>
      <x:c r="G44" s="52" t="str">
        <x:f>IF(CaseLedger!$A44="","",IFERROR(CaseLedger!$E44,""))</x:f>
        <x:v>Mar 2026</x:v>
      </x:c>
      <x:c r="H44" s="52" t="str">
        <x:f>IF(CaseLedger!$A44="","",IFERROR(CaseLedger!$P44,""))</x:f>
        <x:v>Location withheld</x:v>
      </x:c>
      <x:c r="I44" s="52" t="str">
        <x:f>IF(CaseLedger!$A44="","",IFERROR(CaseLedger!$Q44,""))</x:f>
        <x:v>₹10,000–₹15,000</x:v>
      </x:c>
      <x:c r="J44" s="52" t="str">
        <x:f>IF(CaseLedger!$A44="","",IFERROR(CaseLedger!$R44,""))</x:f>
        <x:v>A verified recipient/family needed support related to tools / equipment.</x:v>
      </x:c>
      <x:c r="K44" s="52" t="str">
        <x:f>IF(CaseLedger!$A44="","",IFERROR(CaseLedger!$S44,""))</x:f>
        <x:v>Humanitarians supported the case through Sadaqah funds for support for t shirt printing and tagging machine.</x:v>
      </x:c>
      <x:c r="L44" s="52" t="str">
        <x:f>IF(CaseLedger!$A44="","",IFERROR(CaseLedger!$T44,""))</x:f>
        <x:v>Outcome/update should be added only after verified follow-up.</x:v>
      </x:c>
      <x:c r="M44" s="52" t="str">
        <x:f>IF(CaseLedger!$A44="","",IFERROR(CaseLedger!$U44,""))</x:f>
        <x:v>Add follow-up notes after checking with the verification team.</x:v>
      </x:c>
      <x:c r="N44" s="52" t="str">
        <x:f>IF(CaseLedger!$A44="","",IFERROR(CaseLedger!$V44,""))</x:f>
        <x:v>Add a real quote only with consent; do not publish this placeholder as a recipient quote.</x:v>
      </x:c>
      <x:c r="O44" s="52" t="str">
        <x:f>IF(CaseLedger!$A44="","",IFERROR(CaseLedger!$W44,""))</x:f>
        <x:v>Anonymized public summary; no full name, phone, address, ID, bank details, or donor identity included.</x:v>
      </x:c>
      <x:c r="P44" s="52" t="str">
        <x:f>IF(CaseLedger!$A44="","",IFERROR(CaseLedger!$C44,""))</x:f>
        <x:v>No</x:v>
      </x:c>
      <x:c r="Q44" s="52" t="str">
        <x:f>IF(CaseLedger!$A44="","",IFERROR(CaseLedger!$D44,""))</x:f>
        <x:v>Draft</x:v>
      </x:c>
      <x:c r="R44" s="52" t="str">
        <x:f>IF(CaseLedger!$A44="","",IFERROR(CaseLedger!$X44,""))</x:f>
      </x:c>
      <x:c r="S44" s="52" t="str">
        <x:f>IF(CaseLedger!$A44="","",IFERROR(CaseLedger!$Y44,""))</x:f>
        <x:v>Anonymized Humanitarians case image 1 for HUM-043</x:v>
      </x:c>
      <x:c r="T44" s="52" t="str">
        <x:f>IF(CaseLedger!$A44="","",IFERROR(CaseLedger!$Z44,""))</x:f>
        <x:v>Before/support context image - add only after consent.</x:v>
      </x:c>
      <x:c r="U44" s="52" t="str">
        <x:f>IF(CaseLedger!$A44="","",IFERROR(CaseLedger!$AA44,""))</x:f>
      </x:c>
      <x:c r="V44" s="52" t="str">
        <x:f>IF(CaseLedger!$A44="","",IFERROR(CaseLedger!$AB44,""))</x:f>
        <x:v>Anonymized Humanitarians case image 2 for HUM-043</x:v>
      </x:c>
      <x:c r="W44" s="52" t="str">
        <x:f>IF(CaseLedger!$A44="","",IFERROR(CaseLedger!$AC44,""))</x:f>
        <x:v>Support/equipment image - add only after consent.</x:v>
      </x:c>
      <x:c r="X44" s="52" t="str">
        <x:f>IF(CaseLedger!$A44="","",IFERROR(CaseLedger!$AD44,""))</x:f>
      </x:c>
      <x:c r="Y44" s="52" t="str">
        <x:f>IF(CaseLedger!$A44="","",IFERROR(CaseLedger!$AE44,""))</x:f>
        <x:v>Anonymized Humanitarians case image 3 for HUM-043</x:v>
      </x:c>
      <x:c r="Z44" s="52" t="str">
        <x:f>IF(CaseLedger!$A44="","",IFERROR(CaseLedger!$AF44,""))</x:f>
        <x:v>Outcome/follow-up image - add only after consent.</x:v>
      </x:c>
      <x:c r="AA44" s="52" t="str">
        <x:f>IF(CaseLedger!$A44="","",IFERROR(CaseLedger!$AG44,""))</x:f>
        <x:v>Pending consent</x:v>
      </x:c>
      <x:c r="AB44" s="52" t="str">
        <x:f>IF(CaseLedger!$A44="","",IFERROR(CaseLedger!$AH44,""))</x:f>
        <x:v>Paste public Google Drive image URLs only after recipient consent and privacy review.</x:v>
      </x:c>
      <x:c r="AC44"/>
    </x:row>
    <x:row r="45">
      <x:c r="A45" s="52" t="str">
        <x:f>IF(CaseLedger!$A45="","",IFERROR(CaseLedger!$A45,""))</x:f>
        <x:v>HUM-044</x:v>
      </x:c>
      <x:c r="B45" s="52" t="str">
        <x:f>IF(CaseLedger!$A45="","",IFERROR(CaseLedger!$H45,""))</x:f>
        <x:v>Support for Widow</x:v>
      </x:c>
      <x:c r="C45" s="52" t="str">
        <x:f>IF(CaseLedger!$A45="","",IFERROR(CaseLedger!$I45,""))</x:f>
        <x:v>Anonymized case HUM-044</x:v>
      </x:c>
      <x:c r="D45" s="52" t="str">
        <x:f>IF(CaseLedger!$A45="","",IFERROR(CaseLedger!$J45,""))</x:f>
        <x:v>Emergency Support</x:v>
      </x:c>
      <x:c r="E45" s="52" t="str">
        <x:f>IF(CaseLedger!$A45="","",IFERROR(CaseLedger!$K45,""))</x:f>
        <x:v>Relief / emergency support</x:v>
      </x:c>
      <x:c r="F45" s="52" t="str">
        <x:f>IF(CaseLedger!$A45="","",IFERROR(CaseLedger!$O45,""))</x:f>
        <x:v>Zakat</x:v>
      </x:c>
      <x:c r="G45" s="52" t="str">
        <x:f>IF(CaseLedger!$A45="","",IFERROR(CaseLedger!$E45,""))</x:f>
        <x:v>Mar 2026</x:v>
      </x:c>
      <x:c r="H45" s="52" t="str">
        <x:f>IF(CaseLedger!$A45="","",IFERROR(CaseLedger!$P45,""))</x:f>
        <x:v>Location withheld</x:v>
      </x:c>
      <x:c r="I45" s="52" t="str">
        <x:f>IF(CaseLedger!$A45="","",IFERROR(CaseLedger!$Q45,""))</x:f>
        <x:v>₹15,000–₹25,000</x:v>
      </x:c>
      <x:c r="J45" s="52" t="str">
        <x:f>IF(CaseLedger!$A45="","",IFERROR(CaseLedger!$R45,""))</x:f>
        <x:v>A verified recipient/family needed support related to relief / emergency support.</x:v>
      </x:c>
      <x:c r="K45" s="52" t="str">
        <x:f>IF(CaseLedger!$A45="","",IFERROR(CaseLedger!$S45,""))</x:f>
        <x:v>Humanitarians supported the case through Zakat funds for support for widow.</x:v>
      </x:c>
      <x:c r="L45" s="52" t="str">
        <x:f>IF(CaseLedger!$A45="","",IFERROR(CaseLedger!$T45,""))</x:f>
        <x:v>Outcome/update should be added only after verified follow-up.</x:v>
      </x:c>
      <x:c r="M45" s="52" t="str">
        <x:f>IF(CaseLedger!$A45="","",IFERROR(CaseLedger!$U45,""))</x:f>
        <x:v>Add follow-up notes after checking with the verification team.</x:v>
      </x:c>
      <x:c r="N45" s="52" t="str">
        <x:f>IF(CaseLedger!$A45="","",IFERROR(CaseLedger!$V45,""))</x:f>
        <x:v>Add a real quote only with consent; do not publish this placeholder as a recipient quote.</x:v>
      </x:c>
      <x:c r="O45" s="52" t="str">
        <x:f>IF(CaseLedger!$A45="","",IFERROR(CaseLedger!$W45,""))</x:f>
        <x:v>Anonymized public summary; no full name, phone, address, ID, bank details, or donor identity included.</x:v>
      </x:c>
      <x:c r="P45" s="52" t="str">
        <x:f>IF(CaseLedger!$A45="","",IFERROR(CaseLedger!$C45,""))</x:f>
        <x:v>No</x:v>
      </x:c>
      <x:c r="Q45" s="52" t="str">
        <x:f>IF(CaseLedger!$A45="","",IFERROR(CaseLedger!$D45,""))</x:f>
        <x:v>Draft</x:v>
      </x:c>
      <x:c r="R45" s="52" t="str">
        <x:f>IF(CaseLedger!$A45="","",IFERROR(CaseLedger!$X45,""))</x:f>
      </x:c>
      <x:c r="S45" s="52" t="str">
        <x:f>IF(CaseLedger!$A45="","",IFERROR(CaseLedger!$Y45,""))</x:f>
        <x:v>Anonymized Humanitarians case image 1 for HUM-044</x:v>
      </x:c>
      <x:c r="T45" s="52" t="str">
        <x:f>IF(CaseLedger!$A45="","",IFERROR(CaseLedger!$Z45,""))</x:f>
        <x:v>Before/support context image - add only after consent.</x:v>
      </x:c>
      <x:c r="U45" s="52" t="str">
        <x:f>IF(CaseLedger!$A45="","",IFERROR(CaseLedger!$AA45,""))</x:f>
      </x:c>
      <x:c r="V45" s="52" t="str">
        <x:f>IF(CaseLedger!$A45="","",IFERROR(CaseLedger!$AB45,""))</x:f>
        <x:v>Anonymized Humanitarians case image 2 for HUM-044</x:v>
      </x:c>
      <x:c r="W45" s="52" t="str">
        <x:f>IF(CaseLedger!$A45="","",IFERROR(CaseLedger!$AC45,""))</x:f>
        <x:v>Support/equipment image - add only after consent.</x:v>
      </x:c>
      <x:c r="X45" s="52" t="str">
        <x:f>IF(CaseLedger!$A45="","",IFERROR(CaseLedger!$AD45,""))</x:f>
      </x:c>
      <x:c r="Y45" s="52" t="str">
        <x:f>IF(CaseLedger!$A45="","",IFERROR(CaseLedger!$AE45,""))</x:f>
        <x:v>Anonymized Humanitarians case image 3 for HUM-044</x:v>
      </x:c>
      <x:c r="Z45" s="52" t="str">
        <x:f>IF(CaseLedger!$A45="","",IFERROR(CaseLedger!$AF45,""))</x:f>
        <x:v>Outcome/follow-up image - add only after consent.</x:v>
      </x:c>
      <x:c r="AA45" s="52" t="str">
        <x:f>IF(CaseLedger!$A45="","",IFERROR(CaseLedger!$AG45,""))</x:f>
        <x:v>Pending consent</x:v>
      </x:c>
      <x:c r="AB45" s="52" t="str">
        <x:f>IF(CaseLedger!$A45="","",IFERROR(CaseLedger!$AH45,""))</x:f>
        <x:v>Paste public Google Drive image URLs only after recipient consent and privacy review.</x:v>
      </x:c>
      <x:c r="AC45"/>
    </x:row>
    <x:row r="46">
      <x:c r="A46" s="52" t="str">
        <x:f>IF(CaseLedger!$A46="","",IFERROR(CaseLedger!$A46,""))</x:f>
        <x:v>HUM-045</x:v>
      </x:c>
      <x:c r="B46" s="52" t="str">
        <x:f>IF(CaseLedger!$A46="","",IFERROR(CaseLedger!$H46,""))</x:f>
        <x:v>Support for increasing stock of gas cylinders</x:v>
      </x:c>
      <x:c r="C46" s="52" t="str">
        <x:f>IF(CaseLedger!$A46="","",IFERROR(CaseLedger!$I46,""))</x:f>
        <x:v>Anonymized case HUM-045</x:v>
      </x:c>
      <x:c r="D46" s="52" t="str">
        <x:f>IF(CaseLedger!$A46="","",IFERROR(CaseLedger!$J46,""))</x:f>
        <x:v>Livelihood</x:v>
      </x:c>
      <x:c r="E46" s="52" t="str">
        <x:f>IF(CaseLedger!$A46="","",IFERROR(CaseLedger!$K46,""))</x:f>
        <x:v>Tools / equipment</x:v>
      </x:c>
      <x:c r="F46" s="52" t="str">
        <x:f>IF(CaseLedger!$A46="","",IFERROR(CaseLedger!$O46,""))</x:f>
        <x:v>Zakat</x:v>
      </x:c>
      <x:c r="G46" s="52" t="str">
        <x:f>IF(CaseLedger!$A46="","",IFERROR(CaseLedger!$E46,""))</x:f>
        <x:v>Mar 2026</x:v>
      </x:c>
      <x:c r="H46" s="52" t="str">
        <x:f>IF(CaseLedger!$A46="","",IFERROR(CaseLedger!$P46,""))</x:f>
        <x:v>Location withheld</x:v>
      </x:c>
      <x:c r="I46" s="52" t="str">
        <x:f>IF(CaseLedger!$A46="","",IFERROR(CaseLedger!$Q46,""))</x:f>
        <x:v>₹15,000–₹25,000</x:v>
      </x:c>
      <x:c r="J46" s="52" t="str">
        <x:f>IF(CaseLedger!$A46="","",IFERROR(CaseLedger!$R46,""))</x:f>
        <x:v>A verified recipient/family needed support related to tools / equipment.</x:v>
      </x:c>
      <x:c r="K46" s="52" t="str">
        <x:f>IF(CaseLedger!$A46="","",IFERROR(CaseLedger!$S46,""))</x:f>
        <x:v>Humanitarians supported the case through Zakat funds for support for increasing stock of gas cylinders.</x:v>
      </x:c>
      <x:c r="L46" s="52" t="str">
        <x:f>IF(CaseLedger!$A46="","",IFERROR(CaseLedger!$T46,""))</x:f>
        <x:v>Outcome/update should be added only after verified follow-up.</x:v>
      </x:c>
      <x:c r="M46" s="52" t="str">
        <x:f>IF(CaseLedger!$A46="","",IFERROR(CaseLedger!$U46,""))</x:f>
        <x:v>Add follow-up notes after checking with the verification team.</x:v>
      </x:c>
      <x:c r="N46" s="52" t="str">
        <x:f>IF(CaseLedger!$A46="","",IFERROR(CaseLedger!$V46,""))</x:f>
        <x:v>Add a real quote only with consent; do not publish this placeholder as a recipient quote.</x:v>
      </x:c>
      <x:c r="O46" s="52" t="str">
        <x:f>IF(CaseLedger!$A46="","",IFERROR(CaseLedger!$W46,""))</x:f>
        <x:v>Anonymized public summary; no full name, phone, address, ID, bank details, or donor identity included.</x:v>
      </x:c>
      <x:c r="P46" s="52" t="str">
        <x:f>IF(CaseLedger!$A46="","",IFERROR(CaseLedger!$C46,""))</x:f>
        <x:v>No</x:v>
      </x:c>
      <x:c r="Q46" s="52" t="str">
        <x:f>IF(CaseLedger!$A46="","",IFERROR(CaseLedger!$D46,""))</x:f>
        <x:v>Draft</x:v>
      </x:c>
      <x:c r="R46" s="52" t="str">
        <x:f>IF(CaseLedger!$A46="","",IFERROR(CaseLedger!$X46,""))</x:f>
      </x:c>
      <x:c r="S46" s="52" t="str">
        <x:f>IF(CaseLedger!$A46="","",IFERROR(CaseLedger!$Y46,""))</x:f>
        <x:v>Anonymized Humanitarians case image 1 for HUM-045</x:v>
      </x:c>
      <x:c r="T46" s="52" t="str">
        <x:f>IF(CaseLedger!$A46="","",IFERROR(CaseLedger!$Z46,""))</x:f>
        <x:v>Before/support context image - add only after consent.</x:v>
      </x:c>
      <x:c r="U46" s="52" t="str">
        <x:f>IF(CaseLedger!$A46="","",IFERROR(CaseLedger!$AA46,""))</x:f>
      </x:c>
      <x:c r="V46" s="52" t="str">
        <x:f>IF(CaseLedger!$A46="","",IFERROR(CaseLedger!$AB46,""))</x:f>
        <x:v>Anonymized Humanitarians case image 2 for HUM-045</x:v>
      </x:c>
      <x:c r="W46" s="52" t="str">
        <x:f>IF(CaseLedger!$A46="","",IFERROR(CaseLedger!$AC46,""))</x:f>
        <x:v>Support/equipment image - add only after consent.</x:v>
      </x:c>
      <x:c r="X46" s="52" t="str">
        <x:f>IF(CaseLedger!$A46="","",IFERROR(CaseLedger!$AD46,""))</x:f>
      </x:c>
      <x:c r="Y46" s="52" t="str">
        <x:f>IF(CaseLedger!$A46="","",IFERROR(CaseLedger!$AE46,""))</x:f>
        <x:v>Anonymized Humanitarians case image 3 for HUM-045</x:v>
      </x:c>
      <x:c r="Z46" s="52" t="str">
        <x:f>IF(CaseLedger!$A46="","",IFERROR(CaseLedger!$AF46,""))</x:f>
        <x:v>Outcome/follow-up image - add only after consent.</x:v>
      </x:c>
      <x:c r="AA46" s="52" t="str">
        <x:f>IF(CaseLedger!$A46="","",IFERROR(CaseLedger!$AG46,""))</x:f>
        <x:v>Pending consent</x:v>
      </x:c>
      <x:c r="AB46" s="52" t="str">
        <x:f>IF(CaseLedger!$A46="","",IFERROR(CaseLedger!$AH46,""))</x:f>
        <x:v>Paste public Google Drive image URLs only after recipient consent and privacy review.</x:v>
      </x:c>
      <x:c r="AC46"/>
    </x:row>
    <x:row r="47">
      <x:c r="A47" s="52" t="str">
        <x:f>IF(CaseLedger!$A47="","",IFERROR(CaseLedger!$A47,""))</x:f>
        <x:v>HUM-046</x:v>
      </x:c>
      <x:c r="B47" s="52" t="str">
        <x:f>IF(CaseLedger!$A47="","",IFERROR(CaseLedger!$H47,""))</x:f>
        <x:v>Support for Masjid</x:v>
      </x:c>
      <x:c r="C47" s="52" t="str">
        <x:f>IF(CaseLedger!$A47="","",IFERROR(CaseLedger!$I47,""))</x:f>
        <x:v>Anonymized case HUM-046</x:v>
      </x:c>
      <x:c r="D47" s="52" t="str">
        <x:f>IF(CaseLedger!$A47="","",IFERROR(CaseLedger!$J47,""))</x:f>
        <x:v>Community Support</x:v>
      </x:c>
      <x:c r="E47" s="52" t="str">
        <x:f>IF(CaseLedger!$A47="","",IFERROR(CaseLedger!$K47,""))</x:f>
        <x:v>Masjid / community support</x:v>
      </x:c>
      <x:c r="F47" s="52" t="str">
        <x:f>IF(CaseLedger!$A47="","",IFERROR(CaseLedger!$O47,""))</x:f>
        <x:v>Sadaqah</x:v>
      </x:c>
      <x:c r="G47" s="52" t="str">
        <x:f>IF(CaseLedger!$A47="","",IFERROR(CaseLedger!$E47,""))</x:f>
        <x:v>Apr 2026</x:v>
      </x:c>
      <x:c r="H47" s="52" t="str">
        <x:f>IF(CaseLedger!$A47="","",IFERROR(CaseLedger!$P47,""))</x:f>
        <x:v>Location withheld</x:v>
      </x:c>
      <x:c r="I47" s="52" t="str">
        <x:f>IF(CaseLedger!$A47="","",IFERROR(CaseLedger!$Q47,""))</x:f>
        <x:v>Under ₹5,000</x:v>
      </x:c>
      <x:c r="J47" s="52" t="str">
        <x:f>IF(CaseLedger!$A47="","",IFERROR(CaseLedger!$R47,""))</x:f>
        <x:v>A verified recipient/family needed support related to masjid / community support.</x:v>
      </x:c>
      <x:c r="K47" s="52" t="str">
        <x:f>IF(CaseLedger!$A47="","",IFERROR(CaseLedger!$S47,""))</x:f>
        <x:v>Humanitarians supported the case through Sadaqah funds for support for masjid.</x:v>
      </x:c>
      <x:c r="L47" s="52" t="str">
        <x:f>IF(CaseLedger!$A47="","",IFERROR(CaseLedger!$T47,""))</x:f>
        <x:v>Outcome/update should be added only after verified follow-up.</x:v>
      </x:c>
      <x:c r="M47" s="52" t="str">
        <x:f>IF(CaseLedger!$A47="","",IFERROR(CaseLedger!$U47,""))</x:f>
        <x:v>Add follow-up notes after checking with the verification team.</x:v>
      </x:c>
      <x:c r="N47" s="52" t="str">
        <x:f>IF(CaseLedger!$A47="","",IFERROR(CaseLedger!$V47,""))</x:f>
        <x:v>Add a real quote only with consent; do not publish this placeholder as a recipient quote.</x:v>
      </x:c>
      <x:c r="O47" s="52" t="str">
        <x:f>IF(CaseLedger!$A47="","",IFERROR(CaseLedger!$W47,""))</x:f>
        <x:v>Anonymized public summary; no full name, phone, address, ID, bank details, or donor identity included.</x:v>
      </x:c>
      <x:c r="P47" s="52" t="str">
        <x:f>IF(CaseLedger!$A47="","",IFERROR(CaseLedger!$C47,""))</x:f>
        <x:v>No</x:v>
      </x:c>
      <x:c r="Q47" s="52" t="str">
        <x:f>IF(CaseLedger!$A47="","",IFERROR(CaseLedger!$D47,""))</x:f>
        <x:v>Archive</x:v>
      </x:c>
      <x:c r="R47" s="52" t="str">
        <x:f>IF(CaseLedger!$A47="","",IFERROR(CaseLedger!$X47,""))</x:f>
      </x:c>
      <x:c r="S47" s="52" t="str">
        <x:f>IF(CaseLedger!$A47="","",IFERROR(CaseLedger!$Y47,""))</x:f>
        <x:v>Anonymized Humanitarians case image 1 for HUM-046</x:v>
      </x:c>
      <x:c r="T47" s="52" t="str">
        <x:f>IF(CaseLedger!$A47="","",IFERROR(CaseLedger!$Z47,""))</x:f>
        <x:v>Before/support context image - add only after consent.</x:v>
      </x:c>
      <x:c r="U47" s="52" t="str">
        <x:f>IF(CaseLedger!$A47="","",IFERROR(CaseLedger!$AA47,""))</x:f>
      </x:c>
      <x:c r="V47" s="52" t="str">
        <x:f>IF(CaseLedger!$A47="","",IFERROR(CaseLedger!$AB47,""))</x:f>
        <x:v>Anonymized Humanitarians case image 2 for HUM-046</x:v>
      </x:c>
      <x:c r="W47" s="52" t="str">
        <x:f>IF(CaseLedger!$A47="","",IFERROR(CaseLedger!$AC47,""))</x:f>
        <x:v>Support/equipment image - add only after consent.</x:v>
      </x:c>
      <x:c r="X47" s="52" t="str">
        <x:f>IF(CaseLedger!$A47="","",IFERROR(CaseLedger!$AD47,""))</x:f>
      </x:c>
      <x:c r="Y47" s="52" t="str">
        <x:f>IF(CaseLedger!$A47="","",IFERROR(CaseLedger!$AE47,""))</x:f>
        <x:v>Anonymized Humanitarians case image 3 for HUM-046</x:v>
      </x:c>
      <x:c r="Z47" s="52" t="str">
        <x:f>IF(CaseLedger!$A47="","",IFERROR(CaseLedger!$AF47,""))</x:f>
        <x:v>Outcome/follow-up image - add only after consent.</x:v>
      </x:c>
      <x:c r="AA47" s="52" t="str">
        <x:f>IF(CaseLedger!$A47="","",IFERROR(CaseLedger!$AG47,""))</x:f>
        <x:v>Pending consent</x:v>
      </x:c>
      <x:c r="AB47" s="52" t="str">
        <x:f>IF(CaseLedger!$A47="","",IFERROR(CaseLedger!$AH47,""))</x:f>
        <x:v>Paste public Google Drive image URLs only after recipient consent and privacy review.</x:v>
      </x:c>
      <x:c r="AC47"/>
    </x:row>
    <x:row r="48">
      <x:c r="A48" s="52" t="str">
        <x:f>IF(CaseLedger!$A48="","",IFERROR(CaseLedger!$A48,""))</x:f>
      </x:c>
      <x:c r="B48" s="52" t="str">
        <x:f>IF(CaseLedger!$A48="","",IFERROR(CaseLedger!$H48,""))</x:f>
      </x:c>
      <x:c r="C48" s="52" t="str">
        <x:f>IF(CaseLedger!$A48="","",IFERROR(CaseLedger!$I48,""))</x:f>
      </x:c>
      <x:c r="D48" s="52" t="str">
        <x:f>IF(CaseLedger!$A48="","",IFERROR(CaseLedger!$J48,""))</x:f>
      </x:c>
      <x:c r="E48" s="52" t="str">
        <x:f>IF(CaseLedger!$A48="","",IFERROR(CaseLedger!$K48,""))</x:f>
      </x:c>
      <x:c r="F48" s="52" t="str">
        <x:f>IF(CaseLedger!$A48="","",IFERROR(CaseLedger!$O48,""))</x:f>
      </x:c>
      <x:c r="G48" s="52" t="str">
        <x:f>IF(CaseLedger!$A48="","",IFERROR(CaseLedger!$E48,""))</x:f>
      </x:c>
      <x:c r="H48" s="52" t="str">
        <x:f>IF(CaseLedger!$A48="","",IFERROR(CaseLedger!$P48,""))</x:f>
      </x:c>
      <x:c r="I48" s="52" t="str">
        <x:f>IF(CaseLedger!$A48="","",IFERROR(CaseLedger!$Q48,""))</x:f>
      </x:c>
      <x:c r="J48" s="52" t="str">
        <x:f>IF(CaseLedger!$A48="","",IFERROR(CaseLedger!$R48,""))</x:f>
      </x:c>
      <x:c r="K48" s="52" t="str">
        <x:f>IF(CaseLedger!$A48="","",IFERROR(CaseLedger!$S48,""))</x:f>
      </x:c>
      <x:c r="L48" s="52" t="str">
        <x:f>IF(CaseLedger!$A48="","",IFERROR(CaseLedger!$T48,""))</x:f>
      </x:c>
      <x:c r="M48" s="52" t="str">
        <x:f>IF(CaseLedger!$A48="","",IFERROR(CaseLedger!$U48,""))</x:f>
      </x:c>
      <x:c r="N48" s="52" t="str">
        <x:f>IF(CaseLedger!$A48="","",IFERROR(CaseLedger!$V48,""))</x:f>
      </x:c>
      <x:c r="O48" s="52" t="str">
        <x:f>IF(CaseLedger!$A48="","",IFERROR(CaseLedger!$W48,""))</x:f>
      </x:c>
      <x:c r="P48" s="52" t="str">
        <x:f>IF(CaseLedger!$A48="","",IFERROR(CaseLedger!$C48,""))</x:f>
      </x:c>
      <x:c r="Q48" s="52" t="str">
        <x:f>IF(CaseLedger!$A48="","",IFERROR(CaseLedger!$D48,""))</x:f>
      </x:c>
      <x:c r="R48" s="52" t="str">
        <x:f>IF(CaseLedger!$A48="","",IFERROR(CaseLedger!$X48,""))</x:f>
      </x:c>
      <x:c r="S48" s="52" t="str">
        <x:f>IF(CaseLedger!$A48="","",IFERROR(CaseLedger!$Y48,""))</x:f>
      </x:c>
      <x:c r="T48" s="52" t="str">
        <x:f>IF(CaseLedger!$A48="","",IFERROR(CaseLedger!$Z48,""))</x:f>
      </x:c>
      <x:c r="U48" s="52" t="str">
        <x:f>IF(CaseLedger!$A48="","",IFERROR(CaseLedger!$AA48,""))</x:f>
      </x:c>
      <x:c r="V48" s="52" t="str">
        <x:f>IF(CaseLedger!$A48="","",IFERROR(CaseLedger!$AB48,""))</x:f>
      </x:c>
      <x:c r="W48" s="52" t="str">
        <x:f>IF(CaseLedger!$A48="","",IFERROR(CaseLedger!$AC48,""))</x:f>
      </x:c>
      <x:c r="X48" s="52" t="str">
        <x:f>IF(CaseLedger!$A48="","",IFERROR(CaseLedger!$AD48,""))</x:f>
      </x:c>
      <x:c r="Y48" s="52" t="str">
        <x:f>IF(CaseLedger!$A48="","",IFERROR(CaseLedger!$AE48,""))</x:f>
      </x:c>
      <x:c r="Z48" s="52" t="str">
        <x:f>IF(CaseLedger!$A48="","",IFERROR(CaseLedger!$AF48,""))</x:f>
      </x:c>
      <x:c r="AA48" s="52" t="str">
        <x:f>IF(CaseLedger!$A48="","",IFERROR(CaseLedger!$AG48,""))</x:f>
      </x:c>
      <x:c r="AB48" s="52" t="str">
        <x:f>IF(CaseLedger!$A48="","",IFERROR(CaseLedger!$AH48,""))</x:f>
      </x:c>
      <x:c r="AC48"/>
    </x:row>
    <x:row r="49">
      <x:c r="A49" s="52" t="str">
        <x:f>IF(CaseLedger!$A49="","",IFERROR(CaseLedger!$A49,""))</x:f>
      </x:c>
      <x:c r="B49" s="52" t="str">
        <x:f>IF(CaseLedger!$A49="","",IFERROR(CaseLedger!$H49,""))</x:f>
      </x:c>
      <x:c r="C49" s="52" t="str">
        <x:f>IF(CaseLedger!$A49="","",IFERROR(CaseLedger!$I49,""))</x:f>
      </x:c>
      <x:c r="D49" s="52" t="str">
        <x:f>IF(CaseLedger!$A49="","",IFERROR(CaseLedger!$J49,""))</x:f>
      </x:c>
      <x:c r="E49" s="52" t="str">
        <x:f>IF(CaseLedger!$A49="","",IFERROR(CaseLedger!$K49,""))</x:f>
      </x:c>
      <x:c r="F49" s="52" t="str">
        <x:f>IF(CaseLedger!$A49="","",IFERROR(CaseLedger!$O49,""))</x:f>
      </x:c>
      <x:c r="G49" s="52" t="str">
        <x:f>IF(CaseLedger!$A49="","",IFERROR(CaseLedger!$E49,""))</x:f>
      </x:c>
      <x:c r="H49" s="52" t="str">
        <x:f>IF(CaseLedger!$A49="","",IFERROR(CaseLedger!$P49,""))</x:f>
      </x:c>
      <x:c r="I49" s="52" t="str">
        <x:f>IF(CaseLedger!$A49="","",IFERROR(CaseLedger!$Q49,""))</x:f>
      </x:c>
      <x:c r="J49" s="52" t="str">
        <x:f>IF(CaseLedger!$A49="","",IFERROR(CaseLedger!$R49,""))</x:f>
      </x:c>
      <x:c r="K49" s="52" t="str">
        <x:f>IF(CaseLedger!$A49="","",IFERROR(CaseLedger!$S49,""))</x:f>
      </x:c>
      <x:c r="L49" s="52" t="str">
        <x:f>IF(CaseLedger!$A49="","",IFERROR(CaseLedger!$T49,""))</x:f>
      </x:c>
      <x:c r="M49" s="52" t="str">
        <x:f>IF(CaseLedger!$A49="","",IFERROR(CaseLedger!$U49,""))</x:f>
      </x:c>
      <x:c r="N49" s="52" t="str">
        <x:f>IF(CaseLedger!$A49="","",IFERROR(CaseLedger!$V49,""))</x:f>
      </x:c>
      <x:c r="O49" s="52" t="str">
        <x:f>IF(CaseLedger!$A49="","",IFERROR(CaseLedger!$W49,""))</x:f>
      </x:c>
      <x:c r="P49" s="52" t="str">
        <x:f>IF(CaseLedger!$A49="","",IFERROR(CaseLedger!$C49,""))</x:f>
      </x:c>
      <x:c r="Q49" s="52" t="str">
        <x:f>IF(CaseLedger!$A49="","",IFERROR(CaseLedger!$D49,""))</x:f>
      </x:c>
      <x:c r="R49" s="52" t="str">
        <x:f>IF(CaseLedger!$A49="","",IFERROR(CaseLedger!$X49,""))</x:f>
      </x:c>
      <x:c r="S49" s="52" t="str">
        <x:f>IF(CaseLedger!$A49="","",IFERROR(CaseLedger!$Y49,""))</x:f>
      </x:c>
      <x:c r="T49" s="52" t="str">
        <x:f>IF(CaseLedger!$A49="","",IFERROR(CaseLedger!$Z49,""))</x:f>
      </x:c>
      <x:c r="U49" s="52" t="str">
        <x:f>IF(CaseLedger!$A49="","",IFERROR(CaseLedger!$AA49,""))</x:f>
      </x:c>
      <x:c r="V49" s="52" t="str">
        <x:f>IF(CaseLedger!$A49="","",IFERROR(CaseLedger!$AB49,""))</x:f>
      </x:c>
      <x:c r="W49" s="52" t="str">
        <x:f>IF(CaseLedger!$A49="","",IFERROR(CaseLedger!$AC49,""))</x:f>
      </x:c>
      <x:c r="X49" s="52" t="str">
        <x:f>IF(CaseLedger!$A49="","",IFERROR(CaseLedger!$AD49,""))</x:f>
      </x:c>
      <x:c r="Y49" s="52" t="str">
        <x:f>IF(CaseLedger!$A49="","",IFERROR(CaseLedger!$AE49,""))</x:f>
      </x:c>
      <x:c r="Z49" s="52" t="str">
        <x:f>IF(CaseLedger!$A49="","",IFERROR(CaseLedger!$AF49,""))</x:f>
      </x:c>
      <x:c r="AA49" s="52" t="str">
        <x:f>IF(CaseLedger!$A49="","",IFERROR(CaseLedger!$AG49,""))</x:f>
      </x:c>
      <x:c r="AB49" s="52" t="str">
        <x:f>IF(CaseLedger!$A49="","",IFERROR(CaseLedger!$AH49,""))</x:f>
      </x:c>
      <x:c r="AC49"/>
    </x:row>
    <x:row r="50">
      <x:c r="A50" s="52" t="str">
        <x:f>IF(CaseLedger!$A50="","",IFERROR(CaseLedger!$A50,""))</x:f>
      </x:c>
      <x:c r="B50" s="52" t="str">
        <x:f>IF(CaseLedger!$A50="","",IFERROR(CaseLedger!$H50,""))</x:f>
      </x:c>
      <x:c r="C50" s="52" t="str">
        <x:f>IF(CaseLedger!$A50="","",IFERROR(CaseLedger!$I50,""))</x:f>
      </x:c>
      <x:c r="D50" s="52" t="str">
        <x:f>IF(CaseLedger!$A50="","",IFERROR(CaseLedger!$J50,""))</x:f>
      </x:c>
      <x:c r="E50" s="52" t="str">
        <x:f>IF(CaseLedger!$A50="","",IFERROR(CaseLedger!$K50,""))</x:f>
      </x:c>
      <x:c r="F50" s="52" t="str">
        <x:f>IF(CaseLedger!$A50="","",IFERROR(CaseLedger!$O50,""))</x:f>
      </x:c>
      <x:c r="G50" s="52" t="str">
        <x:f>IF(CaseLedger!$A50="","",IFERROR(CaseLedger!$E50,""))</x:f>
      </x:c>
      <x:c r="H50" s="52" t="str">
        <x:f>IF(CaseLedger!$A50="","",IFERROR(CaseLedger!$P50,""))</x:f>
      </x:c>
      <x:c r="I50" s="52" t="str">
        <x:f>IF(CaseLedger!$A50="","",IFERROR(CaseLedger!$Q50,""))</x:f>
      </x:c>
      <x:c r="J50" s="52" t="str">
        <x:f>IF(CaseLedger!$A50="","",IFERROR(CaseLedger!$R50,""))</x:f>
      </x:c>
      <x:c r="K50" s="52" t="str">
        <x:f>IF(CaseLedger!$A50="","",IFERROR(CaseLedger!$S50,""))</x:f>
      </x:c>
      <x:c r="L50" s="52" t="str">
        <x:f>IF(CaseLedger!$A50="","",IFERROR(CaseLedger!$T50,""))</x:f>
      </x:c>
      <x:c r="M50" s="52" t="str">
        <x:f>IF(CaseLedger!$A50="","",IFERROR(CaseLedger!$U50,""))</x:f>
      </x:c>
      <x:c r="N50" s="52" t="str">
        <x:f>IF(CaseLedger!$A50="","",IFERROR(CaseLedger!$V50,""))</x:f>
      </x:c>
      <x:c r="O50" s="52" t="str">
        <x:f>IF(CaseLedger!$A50="","",IFERROR(CaseLedger!$W50,""))</x:f>
      </x:c>
      <x:c r="P50" s="52" t="str">
        <x:f>IF(CaseLedger!$A50="","",IFERROR(CaseLedger!$C50,""))</x:f>
      </x:c>
      <x:c r="Q50" s="52" t="str">
        <x:f>IF(CaseLedger!$A50="","",IFERROR(CaseLedger!$D50,""))</x:f>
      </x:c>
      <x:c r="R50" s="52" t="str">
        <x:f>IF(CaseLedger!$A50="","",IFERROR(CaseLedger!$X50,""))</x:f>
      </x:c>
      <x:c r="S50" s="52" t="str">
        <x:f>IF(CaseLedger!$A50="","",IFERROR(CaseLedger!$Y50,""))</x:f>
      </x:c>
      <x:c r="T50" s="52" t="str">
        <x:f>IF(CaseLedger!$A50="","",IFERROR(CaseLedger!$Z50,""))</x:f>
      </x:c>
      <x:c r="U50" s="52" t="str">
        <x:f>IF(CaseLedger!$A50="","",IFERROR(CaseLedger!$AA50,""))</x:f>
      </x:c>
      <x:c r="V50" s="52" t="str">
        <x:f>IF(CaseLedger!$A50="","",IFERROR(CaseLedger!$AB50,""))</x:f>
      </x:c>
      <x:c r="W50" s="52" t="str">
        <x:f>IF(CaseLedger!$A50="","",IFERROR(CaseLedger!$AC50,""))</x:f>
      </x:c>
      <x:c r="X50" s="52" t="str">
        <x:f>IF(CaseLedger!$A50="","",IFERROR(CaseLedger!$AD50,""))</x:f>
      </x:c>
      <x:c r="Y50" s="52" t="str">
        <x:f>IF(CaseLedger!$A50="","",IFERROR(CaseLedger!$AE50,""))</x:f>
      </x:c>
      <x:c r="Z50" s="52" t="str">
        <x:f>IF(CaseLedger!$A50="","",IFERROR(CaseLedger!$AF50,""))</x:f>
      </x:c>
      <x:c r="AA50" s="52" t="str">
        <x:f>IF(CaseLedger!$A50="","",IFERROR(CaseLedger!$AG50,""))</x:f>
      </x:c>
      <x:c r="AB50" s="52" t="str">
        <x:f>IF(CaseLedger!$A50="","",IFERROR(CaseLedger!$AH50,""))</x:f>
      </x:c>
      <x:c r="AC50"/>
    </x:row>
    <x:row r="51">
      <x:c r="A51" s="52" t="str">
        <x:f>IF(CaseLedger!$A51="","",IFERROR(CaseLedger!$A51,""))</x:f>
      </x:c>
      <x:c r="B51" s="52" t="str">
        <x:f>IF(CaseLedger!$A51="","",IFERROR(CaseLedger!$H51,""))</x:f>
      </x:c>
      <x:c r="C51" s="52" t="str">
        <x:f>IF(CaseLedger!$A51="","",IFERROR(CaseLedger!$I51,""))</x:f>
      </x:c>
      <x:c r="D51" s="52" t="str">
        <x:f>IF(CaseLedger!$A51="","",IFERROR(CaseLedger!$J51,""))</x:f>
      </x:c>
      <x:c r="E51" s="52" t="str">
        <x:f>IF(CaseLedger!$A51="","",IFERROR(CaseLedger!$K51,""))</x:f>
      </x:c>
      <x:c r="F51" s="52" t="str">
        <x:f>IF(CaseLedger!$A51="","",IFERROR(CaseLedger!$O51,""))</x:f>
      </x:c>
      <x:c r="G51" s="52" t="str">
        <x:f>IF(CaseLedger!$A51="","",IFERROR(CaseLedger!$E51,""))</x:f>
      </x:c>
      <x:c r="H51" s="52" t="str">
        <x:f>IF(CaseLedger!$A51="","",IFERROR(CaseLedger!$P51,""))</x:f>
      </x:c>
      <x:c r="I51" s="52" t="str">
        <x:f>IF(CaseLedger!$A51="","",IFERROR(CaseLedger!$Q51,""))</x:f>
      </x:c>
      <x:c r="J51" s="52" t="str">
        <x:f>IF(CaseLedger!$A51="","",IFERROR(CaseLedger!$R51,""))</x:f>
      </x:c>
      <x:c r="K51" s="52" t="str">
        <x:f>IF(CaseLedger!$A51="","",IFERROR(CaseLedger!$S51,""))</x:f>
      </x:c>
      <x:c r="L51" s="52" t="str">
        <x:f>IF(CaseLedger!$A51="","",IFERROR(CaseLedger!$T51,""))</x:f>
      </x:c>
      <x:c r="M51" s="52" t="str">
        <x:f>IF(CaseLedger!$A51="","",IFERROR(CaseLedger!$U51,""))</x:f>
      </x:c>
      <x:c r="N51" s="52" t="str">
        <x:f>IF(CaseLedger!$A51="","",IFERROR(CaseLedger!$V51,""))</x:f>
      </x:c>
      <x:c r="O51" s="52" t="str">
        <x:f>IF(CaseLedger!$A51="","",IFERROR(CaseLedger!$W51,""))</x:f>
      </x:c>
      <x:c r="P51" s="52" t="str">
        <x:f>IF(CaseLedger!$A51="","",IFERROR(CaseLedger!$C51,""))</x:f>
      </x:c>
      <x:c r="Q51" s="52" t="str">
        <x:f>IF(CaseLedger!$A51="","",IFERROR(CaseLedger!$D51,""))</x:f>
      </x:c>
      <x:c r="R51" s="52" t="str">
        <x:f>IF(CaseLedger!$A51="","",IFERROR(CaseLedger!$X51,""))</x:f>
      </x:c>
      <x:c r="S51" s="52" t="str">
        <x:f>IF(CaseLedger!$A51="","",IFERROR(CaseLedger!$Y51,""))</x:f>
      </x:c>
      <x:c r="T51" s="52" t="str">
        <x:f>IF(CaseLedger!$A51="","",IFERROR(CaseLedger!$Z51,""))</x:f>
      </x:c>
      <x:c r="U51" s="52" t="str">
        <x:f>IF(CaseLedger!$A51="","",IFERROR(CaseLedger!$AA51,""))</x:f>
      </x:c>
      <x:c r="V51" s="52" t="str">
        <x:f>IF(CaseLedger!$A51="","",IFERROR(CaseLedger!$AB51,""))</x:f>
      </x:c>
      <x:c r="W51" s="52" t="str">
        <x:f>IF(CaseLedger!$A51="","",IFERROR(CaseLedger!$AC51,""))</x:f>
      </x:c>
      <x:c r="X51" s="52" t="str">
        <x:f>IF(CaseLedger!$A51="","",IFERROR(CaseLedger!$AD51,""))</x:f>
      </x:c>
      <x:c r="Y51" s="52" t="str">
        <x:f>IF(CaseLedger!$A51="","",IFERROR(CaseLedger!$AE51,""))</x:f>
      </x:c>
      <x:c r="Z51" s="52" t="str">
        <x:f>IF(CaseLedger!$A51="","",IFERROR(CaseLedger!$AF51,""))</x:f>
      </x:c>
      <x:c r="AA51" s="52" t="str">
        <x:f>IF(CaseLedger!$A51="","",IFERROR(CaseLedger!$AG51,""))</x:f>
      </x:c>
      <x:c r="AB51" s="52" t="str">
        <x:f>IF(CaseLedger!$A51="","",IFERROR(CaseLedger!$AH51,""))</x:f>
      </x:c>
      <x:c r="AC51"/>
    </x:row>
    <x:row r="52">
      <x:c r="A52" s="52" t="str">
        <x:f>IF(CaseLedger!$A52="","",IFERROR(CaseLedger!$A52,""))</x:f>
      </x:c>
      <x:c r="B52" s="52" t="str">
        <x:f>IF(CaseLedger!$A52="","",IFERROR(CaseLedger!$H52,""))</x:f>
      </x:c>
      <x:c r="C52" s="52" t="str">
        <x:f>IF(CaseLedger!$A52="","",IFERROR(CaseLedger!$I52,""))</x:f>
      </x:c>
      <x:c r="D52" s="52" t="str">
        <x:f>IF(CaseLedger!$A52="","",IFERROR(CaseLedger!$J52,""))</x:f>
      </x:c>
      <x:c r="E52" s="52" t="str">
        <x:f>IF(CaseLedger!$A52="","",IFERROR(CaseLedger!$K52,""))</x:f>
      </x:c>
      <x:c r="F52" s="52" t="str">
        <x:f>IF(CaseLedger!$A52="","",IFERROR(CaseLedger!$O52,""))</x:f>
      </x:c>
      <x:c r="G52" s="52" t="str">
        <x:f>IF(CaseLedger!$A52="","",IFERROR(CaseLedger!$E52,""))</x:f>
      </x:c>
      <x:c r="H52" s="52" t="str">
        <x:f>IF(CaseLedger!$A52="","",IFERROR(CaseLedger!$P52,""))</x:f>
      </x:c>
      <x:c r="I52" s="52" t="str">
        <x:f>IF(CaseLedger!$A52="","",IFERROR(CaseLedger!$Q52,""))</x:f>
      </x:c>
      <x:c r="J52" s="52" t="str">
        <x:f>IF(CaseLedger!$A52="","",IFERROR(CaseLedger!$R52,""))</x:f>
      </x:c>
      <x:c r="K52" s="52" t="str">
        <x:f>IF(CaseLedger!$A52="","",IFERROR(CaseLedger!$S52,""))</x:f>
      </x:c>
      <x:c r="L52" s="52" t="str">
        <x:f>IF(CaseLedger!$A52="","",IFERROR(CaseLedger!$T52,""))</x:f>
      </x:c>
      <x:c r="M52" s="52" t="str">
        <x:f>IF(CaseLedger!$A52="","",IFERROR(CaseLedger!$U52,""))</x:f>
      </x:c>
      <x:c r="N52" s="52" t="str">
        <x:f>IF(CaseLedger!$A52="","",IFERROR(CaseLedger!$V52,""))</x:f>
      </x:c>
      <x:c r="O52" s="52" t="str">
        <x:f>IF(CaseLedger!$A52="","",IFERROR(CaseLedger!$W52,""))</x:f>
      </x:c>
      <x:c r="P52" s="52" t="str">
        <x:f>IF(CaseLedger!$A52="","",IFERROR(CaseLedger!$C52,""))</x:f>
      </x:c>
      <x:c r="Q52" s="52" t="str">
        <x:f>IF(CaseLedger!$A52="","",IFERROR(CaseLedger!$D52,""))</x:f>
      </x:c>
      <x:c r="R52" s="52" t="str">
        <x:f>IF(CaseLedger!$A52="","",IFERROR(CaseLedger!$X52,""))</x:f>
      </x:c>
      <x:c r="S52" s="52" t="str">
        <x:f>IF(CaseLedger!$A52="","",IFERROR(CaseLedger!$Y52,""))</x:f>
      </x:c>
      <x:c r="T52" s="52" t="str">
        <x:f>IF(CaseLedger!$A52="","",IFERROR(CaseLedger!$Z52,""))</x:f>
      </x:c>
      <x:c r="U52" s="52" t="str">
        <x:f>IF(CaseLedger!$A52="","",IFERROR(CaseLedger!$AA52,""))</x:f>
      </x:c>
      <x:c r="V52" s="52" t="str">
        <x:f>IF(CaseLedger!$A52="","",IFERROR(CaseLedger!$AB52,""))</x:f>
      </x:c>
      <x:c r="W52" s="52" t="str">
        <x:f>IF(CaseLedger!$A52="","",IFERROR(CaseLedger!$AC52,""))</x:f>
      </x:c>
      <x:c r="X52" s="52" t="str">
        <x:f>IF(CaseLedger!$A52="","",IFERROR(CaseLedger!$AD52,""))</x:f>
      </x:c>
      <x:c r="Y52" s="52" t="str">
        <x:f>IF(CaseLedger!$A52="","",IFERROR(CaseLedger!$AE52,""))</x:f>
      </x:c>
      <x:c r="Z52" s="52" t="str">
        <x:f>IF(CaseLedger!$A52="","",IFERROR(CaseLedger!$AF52,""))</x:f>
      </x:c>
      <x:c r="AA52" s="52" t="str">
        <x:f>IF(CaseLedger!$A52="","",IFERROR(CaseLedger!$AG52,""))</x:f>
      </x:c>
      <x:c r="AB52" s="52" t="str">
        <x:f>IF(CaseLedger!$A52="","",IFERROR(CaseLedger!$AH52,""))</x:f>
      </x:c>
      <x:c r="AC52"/>
    </x:row>
    <x:row r="53">
      <x:c r="A53" s="52" t="str">
        <x:f>IF(CaseLedger!$A53="","",IFERROR(CaseLedger!$A53,""))</x:f>
      </x:c>
      <x:c r="B53" s="52" t="str">
        <x:f>IF(CaseLedger!$A53="","",IFERROR(CaseLedger!$H53,""))</x:f>
      </x:c>
      <x:c r="C53" s="52" t="str">
        <x:f>IF(CaseLedger!$A53="","",IFERROR(CaseLedger!$I53,""))</x:f>
      </x:c>
      <x:c r="D53" s="52" t="str">
        <x:f>IF(CaseLedger!$A53="","",IFERROR(CaseLedger!$J53,""))</x:f>
      </x:c>
      <x:c r="E53" s="52" t="str">
        <x:f>IF(CaseLedger!$A53="","",IFERROR(CaseLedger!$K53,""))</x:f>
      </x:c>
      <x:c r="F53" s="52" t="str">
        <x:f>IF(CaseLedger!$A53="","",IFERROR(CaseLedger!$O53,""))</x:f>
      </x:c>
      <x:c r="G53" s="52" t="str">
        <x:f>IF(CaseLedger!$A53="","",IFERROR(CaseLedger!$E53,""))</x:f>
      </x:c>
      <x:c r="H53" s="52" t="str">
        <x:f>IF(CaseLedger!$A53="","",IFERROR(CaseLedger!$P53,""))</x:f>
      </x:c>
      <x:c r="I53" s="52" t="str">
        <x:f>IF(CaseLedger!$A53="","",IFERROR(CaseLedger!$Q53,""))</x:f>
      </x:c>
      <x:c r="J53" s="52" t="str">
        <x:f>IF(CaseLedger!$A53="","",IFERROR(CaseLedger!$R53,""))</x:f>
      </x:c>
      <x:c r="K53" s="52" t="str">
        <x:f>IF(CaseLedger!$A53="","",IFERROR(CaseLedger!$S53,""))</x:f>
      </x:c>
      <x:c r="L53" s="52" t="str">
        <x:f>IF(CaseLedger!$A53="","",IFERROR(CaseLedger!$T53,""))</x:f>
      </x:c>
      <x:c r="M53" s="52" t="str">
        <x:f>IF(CaseLedger!$A53="","",IFERROR(CaseLedger!$U53,""))</x:f>
      </x:c>
      <x:c r="N53" s="52" t="str">
        <x:f>IF(CaseLedger!$A53="","",IFERROR(CaseLedger!$V53,""))</x:f>
      </x:c>
      <x:c r="O53" s="52" t="str">
        <x:f>IF(CaseLedger!$A53="","",IFERROR(CaseLedger!$W53,""))</x:f>
      </x:c>
      <x:c r="P53" s="52" t="str">
        <x:f>IF(CaseLedger!$A53="","",IFERROR(CaseLedger!$C53,""))</x:f>
      </x:c>
      <x:c r="Q53" s="52" t="str">
        <x:f>IF(CaseLedger!$A53="","",IFERROR(CaseLedger!$D53,""))</x:f>
      </x:c>
      <x:c r="R53" s="52" t="str">
        <x:f>IF(CaseLedger!$A53="","",IFERROR(CaseLedger!$X53,""))</x:f>
      </x:c>
      <x:c r="S53" s="52" t="str">
        <x:f>IF(CaseLedger!$A53="","",IFERROR(CaseLedger!$Y53,""))</x:f>
      </x:c>
      <x:c r="T53" s="52" t="str">
        <x:f>IF(CaseLedger!$A53="","",IFERROR(CaseLedger!$Z53,""))</x:f>
      </x:c>
      <x:c r="U53" s="52" t="str">
        <x:f>IF(CaseLedger!$A53="","",IFERROR(CaseLedger!$AA53,""))</x:f>
      </x:c>
      <x:c r="V53" s="52" t="str">
        <x:f>IF(CaseLedger!$A53="","",IFERROR(CaseLedger!$AB53,""))</x:f>
      </x:c>
      <x:c r="W53" s="52" t="str">
        <x:f>IF(CaseLedger!$A53="","",IFERROR(CaseLedger!$AC53,""))</x:f>
      </x:c>
      <x:c r="X53" s="52" t="str">
        <x:f>IF(CaseLedger!$A53="","",IFERROR(CaseLedger!$AD53,""))</x:f>
      </x:c>
      <x:c r="Y53" s="52" t="str">
        <x:f>IF(CaseLedger!$A53="","",IFERROR(CaseLedger!$AE53,""))</x:f>
      </x:c>
      <x:c r="Z53" s="52" t="str">
        <x:f>IF(CaseLedger!$A53="","",IFERROR(CaseLedger!$AF53,""))</x:f>
      </x:c>
      <x:c r="AA53" s="52" t="str">
        <x:f>IF(CaseLedger!$A53="","",IFERROR(CaseLedger!$AG53,""))</x:f>
      </x:c>
      <x:c r="AB53" s="52" t="str">
        <x:f>IF(CaseLedger!$A53="","",IFERROR(CaseLedger!$AH53,""))</x:f>
      </x:c>
      <x:c r="AC53"/>
    </x:row>
    <x:row r="54">
      <x:c r="A54" s="52" t="str">
        <x:f>IF(CaseLedger!$A54="","",IFERROR(CaseLedger!$A54,""))</x:f>
      </x:c>
      <x:c r="B54" s="52" t="str">
        <x:f>IF(CaseLedger!$A54="","",IFERROR(CaseLedger!$H54,""))</x:f>
      </x:c>
      <x:c r="C54" s="52" t="str">
        <x:f>IF(CaseLedger!$A54="","",IFERROR(CaseLedger!$I54,""))</x:f>
      </x:c>
      <x:c r="D54" s="52" t="str">
        <x:f>IF(CaseLedger!$A54="","",IFERROR(CaseLedger!$J54,""))</x:f>
      </x:c>
      <x:c r="E54" s="52" t="str">
        <x:f>IF(CaseLedger!$A54="","",IFERROR(CaseLedger!$K54,""))</x:f>
      </x:c>
      <x:c r="F54" s="52" t="str">
        <x:f>IF(CaseLedger!$A54="","",IFERROR(CaseLedger!$O54,""))</x:f>
      </x:c>
      <x:c r="G54" s="52" t="str">
        <x:f>IF(CaseLedger!$A54="","",IFERROR(CaseLedger!$E54,""))</x:f>
      </x:c>
      <x:c r="H54" s="52" t="str">
        <x:f>IF(CaseLedger!$A54="","",IFERROR(CaseLedger!$P54,""))</x:f>
      </x:c>
      <x:c r="I54" s="52" t="str">
        <x:f>IF(CaseLedger!$A54="","",IFERROR(CaseLedger!$Q54,""))</x:f>
      </x:c>
      <x:c r="J54" s="52" t="str">
        <x:f>IF(CaseLedger!$A54="","",IFERROR(CaseLedger!$R54,""))</x:f>
      </x:c>
      <x:c r="K54" s="52" t="str">
        <x:f>IF(CaseLedger!$A54="","",IFERROR(CaseLedger!$S54,""))</x:f>
      </x:c>
      <x:c r="L54" s="52" t="str">
        <x:f>IF(CaseLedger!$A54="","",IFERROR(CaseLedger!$T54,""))</x:f>
      </x:c>
      <x:c r="M54" s="52" t="str">
        <x:f>IF(CaseLedger!$A54="","",IFERROR(CaseLedger!$U54,""))</x:f>
      </x:c>
      <x:c r="N54" s="52" t="str">
        <x:f>IF(CaseLedger!$A54="","",IFERROR(CaseLedger!$V54,""))</x:f>
      </x:c>
      <x:c r="O54" s="52" t="str">
        <x:f>IF(CaseLedger!$A54="","",IFERROR(CaseLedger!$W54,""))</x:f>
      </x:c>
      <x:c r="P54" s="52" t="str">
        <x:f>IF(CaseLedger!$A54="","",IFERROR(CaseLedger!$C54,""))</x:f>
      </x:c>
      <x:c r="Q54" s="52" t="str">
        <x:f>IF(CaseLedger!$A54="","",IFERROR(CaseLedger!$D54,""))</x:f>
      </x:c>
      <x:c r="R54" s="52" t="str">
        <x:f>IF(CaseLedger!$A54="","",IFERROR(CaseLedger!$X54,""))</x:f>
      </x:c>
      <x:c r="S54" s="52" t="str">
        <x:f>IF(CaseLedger!$A54="","",IFERROR(CaseLedger!$Y54,""))</x:f>
      </x:c>
      <x:c r="T54" s="52" t="str">
        <x:f>IF(CaseLedger!$A54="","",IFERROR(CaseLedger!$Z54,""))</x:f>
      </x:c>
      <x:c r="U54" s="52" t="str">
        <x:f>IF(CaseLedger!$A54="","",IFERROR(CaseLedger!$AA54,""))</x:f>
      </x:c>
      <x:c r="V54" s="52" t="str">
        <x:f>IF(CaseLedger!$A54="","",IFERROR(CaseLedger!$AB54,""))</x:f>
      </x:c>
      <x:c r="W54" s="52" t="str">
        <x:f>IF(CaseLedger!$A54="","",IFERROR(CaseLedger!$AC54,""))</x:f>
      </x:c>
      <x:c r="X54" s="52" t="str">
        <x:f>IF(CaseLedger!$A54="","",IFERROR(CaseLedger!$AD54,""))</x:f>
      </x:c>
      <x:c r="Y54" s="52" t="str">
        <x:f>IF(CaseLedger!$A54="","",IFERROR(CaseLedger!$AE54,""))</x:f>
      </x:c>
      <x:c r="Z54" s="52" t="str">
        <x:f>IF(CaseLedger!$A54="","",IFERROR(CaseLedger!$AF54,""))</x:f>
      </x:c>
      <x:c r="AA54" s="52" t="str">
        <x:f>IF(CaseLedger!$A54="","",IFERROR(CaseLedger!$AG54,""))</x:f>
      </x:c>
      <x:c r="AB54" s="52" t="str">
        <x:f>IF(CaseLedger!$A54="","",IFERROR(CaseLedger!$AH54,""))</x:f>
      </x:c>
      <x:c r="AC54"/>
    </x:row>
    <x:row r="55">
      <x:c r="A55" s="52" t="str">
        <x:f>IF(CaseLedger!$A55="","",IFERROR(CaseLedger!$A55,""))</x:f>
      </x:c>
      <x:c r="B55" s="52" t="str">
        <x:f>IF(CaseLedger!$A55="","",IFERROR(CaseLedger!$H55,""))</x:f>
      </x:c>
      <x:c r="C55" s="52" t="str">
        <x:f>IF(CaseLedger!$A55="","",IFERROR(CaseLedger!$I55,""))</x:f>
      </x:c>
      <x:c r="D55" s="52" t="str">
        <x:f>IF(CaseLedger!$A55="","",IFERROR(CaseLedger!$J55,""))</x:f>
      </x:c>
      <x:c r="E55" s="52" t="str">
        <x:f>IF(CaseLedger!$A55="","",IFERROR(CaseLedger!$K55,""))</x:f>
      </x:c>
      <x:c r="F55" s="52" t="str">
        <x:f>IF(CaseLedger!$A55="","",IFERROR(CaseLedger!$O55,""))</x:f>
      </x:c>
      <x:c r="G55" s="52" t="str">
        <x:f>IF(CaseLedger!$A55="","",IFERROR(CaseLedger!$E55,""))</x:f>
      </x:c>
      <x:c r="H55" s="52" t="str">
        <x:f>IF(CaseLedger!$A55="","",IFERROR(CaseLedger!$P55,""))</x:f>
      </x:c>
      <x:c r="I55" s="52" t="str">
        <x:f>IF(CaseLedger!$A55="","",IFERROR(CaseLedger!$Q55,""))</x:f>
      </x:c>
      <x:c r="J55" s="52" t="str">
        <x:f>IF(CaseLedger!$A55="","",IFERROR(CaseLedger!$R55,""))</x:f>
      </x:c>
      <x:c r="K55" s="52" t="str">
        <x:f>IF(CaseLedger!$A55="","",IFERROR(CaseLedger!$S55,""))</x:f>
      </x:c>
      <x:c r="L55" s="52" t="str">
        <x:f>IF(CaseLedger!$A55="","",IFERROR(CaseLedger!$T55,""))</x:f>
      </x:c>
      <x:c r="M55" s="52" t="str">
        <x:f>IF(CaseLedger!$A55="","",IFERROR(CaseLedger!$U55,""))</x:f>
      </x:c>
      <x:c r="N55" s="52" t="str">
        <x:f>IF(CaseLedger!$A55="","",IFERROR(CaseLedger!$V55,""))</x:f>
      </x:c>
      <x:c r="O55" s="52" t="str">
        <x:f>IF(CaseLedger!$A55="","",IFERROR(CaseLedger!$W55,""))</x:f>
      </x:c>
      <x:c r="P55" s="52" t="str">
        <x:f>IF(CaseLedger!$A55="","",IFERROR(CaseLedger!$C55,""))</x:f>
      </x:c>
      <x:c r="Q55" s="52" t="str">
        <x:f>IF(CaseLedger!$A55="","",IFERROR(CaseLedger!$D55,""))</x:f>
      </x:c>
      <x:c r="R55" s="52" t="str">
        <x:f>IF(CaseLedger!$A55="","",IFERROR(CaseLedger!$X55,""))</x:f>
      </x:c>
      <x:c r="S55" s="52" t="str">
        <x:f>IF(CaseLedger!$A55="","",IFERROR(CaseLedger!$Y55,""))</x:f>
      </x:c>
      <x:c r="T55" s="52" t="str">
        <x:f>IF(CaseLedger!$A55="","",IFERROR(CaseLedger!$Z55,""))</x:f>
      </x:c>
      <x:c r="U55" s="52" t="str">
        <x:f>IF(CaseLedger!$A55="","",IFERROR(CaseLedger!$AA55,""))</x:f>
      </x:c>
      <x:c r="V55" s="52" t="str">
        <x:f>IF(CaseLedger!$A55="","",IFERROR(CaseLedger!$AB55,""))</x:f>
      </x:c>
      <x:c r="W55" s="52" t="str">
        <x:f>IF(CaseLedger!$A55="","",IFERROR(CaseLedger!$AC55,""))</x:f>
      </x:c>
      <x:c r="X55" s="52" t="str">
        <x:f>IF(CaseLedger!$A55="","",IFERROR(CaseLedger!$AD55,""))</x:f>
      </x:c>
      <x:c r="Y55" s="52" t="str">
        <x:f>IF(CaseLedger!$A55="","",IFERROR(CaseLedger!$AE55,""))</x:f>
      </x:c>
      <x:c r="Z55" s="52" t="str">
        <x:f>IF(CaseLedger!$A55="","",IFERROR(CaseLedger!$AF55,""))</x:f>
      </x:c>
      <x:c r="AA55" s="52" t="str">
        <x:f>IF(CaseLedger!$A55="","",IFERROR(CaseLedger!$AG55,""))</x:f>
      </x:c>
      <x:c r="AB55" s="52" t="str">
        <x:f>IF(CaseLedger!$A55="","",IFERROR(CaseLedger!$AH55,""))</x:f>
      </x:c>
      <x:c r="AC55"/>
    </x:row>
    <x:row r="56">
      <x:c r="A56" s="52" t="str">
        <x:f>IF(CaseLedger!$A56="","",IFERROR(CaseLedger!$A56,""))</x:f>
      </x:c>
      <x:c r="B56" s="52" t="str">
        <x:f>IF(CaseLedger!$A56="","",IFERROR(CaseLedger!$H56,""))</x:f>
      </x:c>
      <x:c r="C56" s="52" t="str">
        <x:f>IF(CaseLedger!$A56="","",IFERROR(CaseLedger!$I56,""))</x:f>
      </x:c>
      <x:c r="D56" s="52" t="str">
        <x:f>IF(CaseLedger!$A56="","",IFERROR(CaseLedger!$J56,""))</x:f>
      </x:c>
      <x:c r="E56" s="52" t="str">
        <x:f>IF(CaseLedger!$A56="","",IFERROR(CaseLedger!$K56,""))</x:f>
      </x:c>
      <x:c r="F56" s="52" t="str">
        <x:f>IF(CaseLedger!$A56="","",IFERROR(CaseLedger!$O56,""))</x:f>
      </x:c>
      <x:c r="G56" s="52" t="str">
        <x:f>IF(CaseLedger!$A56="","",IFERROR(CaseLedger!$E56,""))</x:f>
      </x:c>
      <x:c r="H56" s="52" t="str">
        <x:f>IF(CaseLedger!$A56="","",IFERROR(CaseLedger!$P56,""))</x:f>
      </x:c>
      <x:c r="I56" s="52" t="str">
        <x:f>IF(CaseLedger!$A56="","",IFERROR(CaseLedger!$Q56,""))</x:f>
      </x:c>
      <x:c r="J56" s="52" t="str">
        <x:f>IF(CaseLedger!$A56="","",IFERROR(CaseLedger!$R56,""))</x:f>
      </x:c>
      <x:c r="K56" s="52" t="str">
        <x:f>IF(CaseLedger!$A56="","",IFERROR(CaseLedger!$S56,""))</x:f>
      </x:c>
      <x:c r="L56" s="52" t="str">
        <x:f>IF(CaseLedger!$A56="","",IFERROR(CaseLedger!$T56,""))</x:f>
      </x:c>
      <x:c r="M56" s="52" t="str">
        <x:f>IF(CaseLedger!$A56="","",IFERROR(CaseLedger!$U56,""))</x:f>
      </x:c>
      <x:c r="N56" s="52" t="str">
        <x:f>IF(CaseLedger!$A56="","",IFERROR(CaseLedger!$V56,""))</x:f>
      </x:c>
      <x:c r="O56" s="52" t="str">
        <x:f>IF(CaseLedger!$A56="","",IFERROR(CaseLedger!$W56,""))</x:f>
      </x:c>
      <x:c r="P56" s="52" t="str">
        <x:f>IF(CaseLedger!$A56="","",IFERROR(CaseLedger!$C56,""))</x:f>
      </x:c>
      <x:c r="Q56" s="52" t="str">
        <x:f>IF(CaseLedger!$A56="","",IFERROR(CaseLedger!$D56,""))</x:f>
      </x:c>
      <x:c r="R56" s="52" t="str">
        <x:f>IF(CaseLedger!$A56="","",IFERROR(CaseLedger!$X56,""))</x:f>
      </x:c>
      <x:c r="S56" s="52" t="str">
        <x:f>IF(CaseLedger!$A56="","",IFERROR(CaseLedger!$Y56,""))</x:f>
      </x:c>
      <x:c r="T56" s="52" t="str">
        <x:f>IF(CaseLedger!$A56="","",IFERROR(CaseLedger!$Z56,""))</x:f>
      </x:c>
      <x:c r="U56" s="52" t="str">
        <x:f>IF(CaseLedger!$A56="","",IFERROR(CaseLedger!$AA56,""))</x:f>
      </x:c>
      <x:c r="V56" s="52" t="str">
        <x:f>IF(CaseLedger!$A56="","",IFERROR(CaseLedger!$AB56,""))</x:f>
      </x:c>
      <x:c r="W56" s="52" t="str">
        <x:f>IF(CaseLedger!$A56="","",IFERROR(CaseLedger!$AC56,""))</x:f>
      </x:c>
      <x:c r="X56" s="52" t="str">
        <x:f>IF(CaseLedger!$A56="","",IFERROR(CaseLedger!$AD56,""))</x:f>
      </x:c>
      <x:c r="Y56" s="52" t="str">
        <x:f>IF(CaseLedger!$A56="","",IFERROR(CaseLedger!$AE56,""))</x:f>
      </x:c>
      <x:c r="Z56" s="52" t="str">
        <x:f>IF(CaseLedger!$A56="","",IFERROR(CaseLedger!$AF56,""))</x:f>
      </x:c>
      <x:c r="AA56" s="52" t="str">
        <x:f>IF(CaseLedger!$A56="","",IFERROR(CaseLedger!$AG56,""))</x:f>
      </x:c>
      <x:c r="AB56" s="52" t="str">
        <x:f>IF(CaseLedger!$A56="","",IFERROR(CaseLedger!$AH56,""))</x:f>
      </x:c>
      <x:c r="AC56"/>
    </x:row>
    <x:row r="57">
      <x:c r="A57" s="52" t="str">
        <x:f>IF(CaseLedger!$A57="","",IFERROR(CaseLedger!$A57,""))</x:f>
      </x:c>
      <x:c r="B57" s="52" t="str">
        <x:f>IF(CaseLedger!$A57="","",IFERROR(CaseLedger!$H57,""))</x:f>
      </x:c>
      <x:c r="C57" s="52" t="str">
        <x:f>IF(CaseLedger!$A57="","",IFERROR(CaseLedger!$I57,""))</x:f>
      </x:c>
      <x:c r="D57" s="52" t="str">
        <x:f>IF(CaseLedger!$A57="","",IFERROR(CaseLedger!$J57,""))</x:f>
      </x:c>
      <x:c r="E57" s="52" t="str">
        <x:f>IF(CaseLedger!$A57="","",IFERROR(CaseLedger!$K57,""))</x:f>
      </x:c>
      <x:c r="F57" s="52" t="str">
        <x:f>IF(CaseLedger!$A57="","",IFERROR(CaseLedger!$O57,""))</x:f>
      </x:c>
      <x:c r="G57" s="52" t="str">
        <x:f>IF(CaseLedger!$A57="","",IFERROR(CaseLedger!$E57,""))</x:f>
      </x:c>
      <x:c r="H57" s="52" t="str">
        <x:f>IF(CaseLedger!$A57="","",IFERROR(CaseLedger!$P57,""))</x:f>
      </x:c>
      <x:c r="I57" s="52" t="str">
        <x:f>IF(CaseLedger!$A57="","",IFERROR(CaseLedger!$Q57,""))</x:f>
      </x:c>
      <x:c r="J57" s="52" t="str">
        <x:f>IF(CaseLedger!$A57="","",IFERROR(CaseLedger!$R57,""))</x:f>
      </x:c>
      <x:c r="K57" s="52" t="str">
        <x:f>IF(CaseLedger!$A57="","",IFERROR(CaseLedger!$S57,""))</x:f>
      </x:c>
      <x:c r="L57" s="52" t="str">
        <x:f>IF(CaseLedger!$A57="","",IFERROR(CaseLedger!$T57,""))</x:f>
      </x:c>
      <x:c r="M57" s="52" t="str">
        <x:f>IF(CaseLedger!$A57="","",IFERROR(CaseLedger!$U57,""))</x:f>
      </x:c>
      <x:c r="N57" s="52" t="str">
        <x:f>IF(CaseLedger!$A57="","",IFERROR(CaseLedger!$V57,""))</x:f>
      </x:c>
      <x:c r="O57" s="52" t="str">
        <x:f>IF(CaseLedger!$A57="","",IFERROR(CaseLedger!$W57,""))</x:f>
      </x:c>
      <x:c r="P57" s="52" t="str">
        <x:f>IF(CaseLedger!$A57="","",IFERROR(CaseLedger!$C57,""))</x:f>
      </x:c>
      <x:c r="Q57" s="52" t="str">
        <x:f>IF(CaseLedger!$A57="","",IFERROR(CaseLedger!$D57,""))</x:f>
      </x:c>
      <x:c r="R57" s="52" t="str">
        <x:f>IF(CaseLedger!$A57="","",IFERROR(CaseLedger!$X57,""))</x:f>
      </x:c>
      <x:c r="S57" s="52" t="str">
        <x:f>IF(CaseLedger!$A57="","",IFERROR(CaseLedger!$Y57,""))</x:f>
      </x:c>
      <x:c r="T57" s="52" t="str">
        <x:f>IF(CaseLedger!$A57="","",IFERROR(CaseLedger!$Z57,""))</x:f>
      </x:c>
      <x:c r="U57" s="52" t="str">
        <x:f>IF(CaseLedger!$A57="","",IFERROR(CaseLedger!$AA57,""))</x:f>
      </x:c>
      <x:c r="V57" s="52" t="str">
        <x:f>IF(CaseLedger!$A57="","",IFERROR(CaseLedger!$AB57,""))</x:f>
      </x:c>
      <x:c r="W57" s="52" t="str">
        <x:f>IF(CaseLedger!$A57="","",IFERROR(CaseLedger!$AC57,""))</x:f>
      </x:c>
      <x:c r="X57" s="52" t="str">
        <x:f>IF(CaseLedger!$A57="","",IFERROR(CaseLedger!$AD57,""))</x:f>
      </x:c>
      <x:c r="Y57" s="52" t="str">
        <x:f>IF(CaseLedger!$A57="","",IFERROR(CaseLedger!$AE57,""))</x:f>
      </x:c>
      <x:c r="Z57" s="52" t="str">
        <x:f>IF(CaseLedger!$A57="","",IFERROR(CaseLedger!$AF57,""))</x:f>
      </x:c>
      <x:c r="AA57" s="52" t="str">
        <x:f>IF(CaseLedger!$A57="","",IFERROR(CaseLedger!$AG57,""))</x:f>
      </x:c>
      <x:c r="AB57" s="52" t="str">
        <x:f>IF(CaseLedger!$A57="","",IFERROR(CaseLedger!$AH57,""))</x:f>
      </x:c>
      <x:c r="AC57"/>
    </x:row>
    <x:row r="58">
      <x:c r="A58" s="52" t="str">
        <x:f>IF(CaseLedger!$A58="","",IFERROR(CaseLedger!$A58,""))</x:f>
      </x:c>
      <x:c r="B58" s="52" t="str">
        <x:f>IF(CaseLedger!$A58="","",IFERROR(CaseLedger!$H58,""))</x:f>
      </x:c>
      <x:c r="C58" s="52" t="str">
        <x:f>IF(CaseLedger!$A58="","",IFERROR(CaseLedger!$I58,""))</x:f>
      </x:c>
      <x:c r="D58" s="52" t="str">
        <x:f>IF(CaseLedger!$A58="","",IFERROR(CaseLedger!$J58,""))</x:f>
      </x:c>
      <x:c r="E58" s="52" t="str">
        <x:f>IF(CaseLedger!$A58="","",IFERROR(CaseLedger!$K58,""))</x:f>
      </x:c>
      <x:c r="F58" s="52" t="str">
        <x:f>IF(CaseLedger!$A58="","",IFERROR(CaseLedger!$O58,""))</x:f>
      </x:c>
      <x:c r="G58" s="52" t="str">
        <x:f>IF(CaseLedger!$A58="","",IFERROR(CaseLedger!$E58,""))</x:f>
      </x:c>
      <x:c r="H58" s="52" t="str">
        <x:f>IF(CaseLedger!$A58="","",IFERROR(CaseLedger!$P58,""))</x:f>
      </x:c>
      <x:c r="I58" s="52" t="str">
        <x:f>IF(CaseLedger!$A58="","",IFERROR(CaseLedger!$Q58,""))</x:f>
      </x:c>
      <x:c r="J58" s="52" t="str">
        <x:f>IF(CaseLedger!$A58="","",IFERROR(CaseLedger!$R58,""))</x:f>
      </x:c>
      <x:c r="K58" s="52" t="str">
        <x:f>IF(CaseLedger!$A58="","",IFERROR(CaseLedger!$S58,""))</x:f>
      </x:c>
      <x:c r="L58" s="52" t="str">
        <x:f>IF(CaseLedger!$A58="","",IFERROR(CaseLedger!$T58,""))</x:f>
      </x:c>
      <x:c r="M58" s="52" t="str">
        <x:f>IF(CaseLedger!$A58="","",IFERROR(CaseLedger!$U58,""))</x:f>
      </x:c>
      <x:c r="N58" s="52" t="str">
        <x:f>IF(CaseLedger!$A58="","",IFERROR(CaseLedger!$V58,""))</x:f>
      </x:c>
      <x:c r="O58" s="52" t="str">
        <x:f>IF(CaseLedger!$A58="","",IFERROR(CaseLedger!$W58,""))</x:f>
      </x:c>
      <x:c r="P58" s="52" t="str">
        <x:f>IF(CaseLedger!$A58="","",IFERROR(CaseLedger!$C58,""))</x:f>
      </x:c>
      <x:c r="Q58" s="52" t="str">
        <x:f>IF(CaseLedger!$A58="","",IFERROR(CaseLedger!$D58,""))</x:f>
      </x:c>
      <x:c r="R58" s="52" t="str">
        <x:f>IF(CaseLedger!$A58="","",IFERROR(CaseLedger!$X58,""))</x:f>
      </x:c>
      <x:c r="S58" s="52" t="str">
        <x:f>IF(CaseLedger!$A58="","",IFERROR(CaseLedger!$Y58,""))</x:f>
      </x:c>
      <x:c r="T58" s="52" t="str">
        <x:f>IF(CaseLedger!$A58="","",IFERROR(CaseLedger!$Z58,""))</x:f>
      </x:c>
      <x:c r="U58" s="52" t="str">
        <x:f>IF(CaseLedger!$A58="","",IFERROR(CaseLedger!$AA58,""))</x:f>
      </x:c>
      <x:c r="V58" s="52" t="str">
        <x:f>IF(CaseLedger!$A58="","",IFERROR(CaseLedger!$AB58,""))</x:f>
      </x:c>
      <x:c r="W58" s="52" t="str">
        <x:f>IF(CaseLedger!$A58="","",IFERROR(CaseLedger!$AC58,""))</x:f>
      </x:c>
      <x:c r="X58" s="52" t="str">
        <x:f>IF(CaseLedger!$A58="","",IFERROR(CaseLedger!$AD58,""))</x:f>
      </x:c>
      <x:c r="Y58" s="52" t="str">
        <x:f>IF(CaseLedger!$A58="","",IFERROR(CaseLedger!$AE58,""))</x:f>
      </x:c>
      <x:c r="Z58" s="52" t="str">
        <x:f>IF(CaseLedger!$A58="","",IFERROR(CaseLedger!$AF58,""))</x:f>
      </x:c>
      <x:c r="AA58" s="52" t="str">
        <x:f>IF(CaseLedger!$A58="","",IFERROR(CaseLedger!$AG58,""))</x:f>
      </x:c>
      <x:c r="AB58" s="52" t="str">
        <x:f>IF(CaseLedger!$A58="","",IFERROR(CaseLedger!$AH58,""))</x:f>
      </x:c>
      <x:c r="AC58"/>
    </x:row>
    <x:row r="59">
      <x:c r="A59" s="52" t="str">
        <x:f>IF(CaseLedger!$A59="","",IFERROR(CaseLedger!$A59,""))</x:f>
      </x:c>
      <x:c r="B59" s="52" t="str">
        <x:f>IF(CaseLedger!$A59="","",IFERROR(CaseLedger!$H59,""))</x:f>
      </x:c>
      <x:c r="C59" s="52" t="str">
        <x:f>IF(CaseLedger!$A59="","",IFERROR(CaseLedger!$I59,""))</x:f>
      </x:c>
      <x:c r="D59" s="52" t="str">
        <x:f>IF(CaseLedger!$A59="","",IFERROR(CaseLedger!$J59,""))</x:f>
      </x:c>
      <x:c r="E59" s="52" t="str">
        <x:f>IF(CaseLedger!$A59="","",IFERROR(CaseLedger!$K59,""))</x:f>
      </x:c>
      <x:c r="F59" s="52" t="str">
        <x:f>IF(CaseLedger!$A59="","",IFERROR(CaseLedger!$O59,""))</x:f>
      </x:c>
      <x:c r="G59" s="52" t="str">
        <x:f>IF(CaseLedger!$A59="","",IFERROR(CaseLedger!$E59,""))</x:f>
      </x:c>
      <x:c r="H59" s="52" t="str">
        <x:f>IF(CaseLedger!$A59="","",IFERROR(CaseLedger!$P59,""))</x:f>
      </x:c>
      <x:c r="I59" s="52" t="str">
        <x:f>IF(CaseLedger!$A59="","",IFERROR(CaseLedger!$Q59,""))</x:f>
      </x:c>
      <x:c r="J59" s="52" t="str">
        <x:f>IF(CaseLedger!$A59="","",IFERROR(CaseLedger!$R59,""))</x:f>
      </x:c>
      <x:c r="K59" s="52" t="str">
        <x:f>IF(CaseLedger!$A59="","",IFERROR(CaseLedger!$S59,""))</x:f>
      </x:c>
      <x:c r="L59" s="52" t="str">
        <x:f>IF(CaseLedger!$A59="","",IFERROR(CaseLedger!$T59,""))</x:f>
      </x:c>
      <x:c r="M59" s="52" t="str">
        <x:f>IF(CaseLedger!$A59="","",IFERROR(CaseLedger!$U59,""))</x:f>
      </x:c>
      <x:c r="N59" s="52" t="str">
        <x:f>IF(CaseLedger!$A59="","",IFERROR(CaseLedger!$V59,""))</x:f>
      </x:c>
      <x:c r="O59" s="52" t="str">
        <x:f>IF(CaseLedger!$A59="","",IFERROR(CaseLedger!$W59,""))</x:f>
      </x:c>
      <x:c r="P59" s="52" t="str">
        <x:f>IF(CaseLedger!$A59="","",IFERROR(CaseLedger!$C59,""))</x:f>
      </x:c>
      <x:c r="Q59" s="52" t="str">
        <x:f>IF(CaseLedger!$A59="","",IFERROR(CaseLedger!$D59,""))</x:f>
      </x:c>
      <x:c r="R59" s="52" t="str">
        <x:f>IF(CaseLedger!$A59="","",IFERROR(CaseLedger!$X59,""))</x:f>
      </x:c>
      <x:c r="S59" s="52" t="str">
        <x:f>IF(CaseLedger!$A59="","",IFERROR(CaseLedger!$Y59,""))</x:f>
      </x:c>
      <x:c r="T59" s="52" t="str">
        <x:f>IF(CaseLedger!$A59="","",IFERROR(CaseLedger!$Z59,""))</x:f>
      </x:c>
      <x:c r="U59" s="52" t="str">
        <x:f>IF(CaseLedger!$A59="","",IFERROR(CaseLedger!$AA59,""))</x:f>
      </x:c>
      <x:c r="V59" s="52" t="str">
        <x:f>IF(CaseLedger!$A59="","",IFERROR(CaseLedger!$AB59,""))</x:f>
      </x:c>
      <x:c r="W59" s="52" t="str">
        <x:f>IF(CaseLedger!$A59="","",IFERROR(CaseLedger!$AC59,""))</x:f>
      </x:c>
      <x:c r="X59" s="52" t="str">
        <x:f>IF(CaseLedger!$A59="","",IFERROR(CaseLedger!$AD59,""))</x:f>
      </x:c>
      <x:c r="Y59" s="52" t="str">
        <x:f>IF(CaseLedger!$A59="","",IFERROR(CaseLedger!$AE59,""))</x:f>
      </x:c>
      <x:c r="Z59" s="52" t="str">
        <x:f>IF(CaseLedger!$A59="","",IFERROR(CaseLedger!$AF59,""))</x:f>
      </x:c>
      <x:c r="AA59" s="52" t="str">
        <x:f>IF(CaseLedger!$A59="","",IFERROR(CaseLedger!$AG59,""))</x:f>
      </x:c>
      <x:c r="AB59" s="52" t="str">
        <x:f>IF(CaseLedger!$A59="","",IFERROR(CaseLedger!$AH59,""))</x:f>
      </x:c>
      <x:c r="AC59"/>
    </x:row>
    <x:row r="60">
      <x:c r="A60" s="52" t="str">
        <x:f>IF(CaseLedger!$A60="","",IFERROR(CaseLedger!$A60,""))</x:f>
      </x:c>
      <x:c r="B60" s="52" t="str">
        <x:f>IF(CaseLedger!$A60="","",IFERROR(CaseLedger!$H60,""))</x:f>
      </x:c>
      <x:c r="C60" s="52" t="str">
        <x:f>IF(CaseLedger!$A60="","",IFERROR(CaseLedger!$I60,""))</x:f>
      </x:c>
      <x:c r="D60" s="52" t="str">
        <x:f>IF(CaseLedger!$A60="","",IFERROR(CaseLedger!$J60,""))</x:f>
      </x:c>
      <x:c r="E60" s="52" t="str">
        <x:f>IF(CaseLedger!$A60="","",IFERROR(CaseLedger!$K60,""))</x:f>
      </x:c>
      <x:c r="F60" s="52" t="str">
        <x:f>IF(CaseLedger!$A60="","",IFERROR(CaseLedger!$O60,""))</x:f>
      </x:c>
      <x:c r="G60" s="52" t="str">
        <x:f>IF(CaseLedger!$A60="","",IFERROR(CaseLedger!$E60,""))</x:f>
      </x:c>
      <x:c r="H60" s="52" t="str">
        <x:f>IF(CaseLedger!$A60="","",IFERROR(CaseLedger!$P60,""))</x:f>
      </x:c>
      <x:c r="I60" s="52" t="str">
        <x:f>IF(CaseLedger!$A60="","",IFERROR(CaseLedger!$Q60,""))</x:f>
      </x:c>
      <x:c r="J60" s="52" t="str">
        <x:f>IF(CaseLedger!$A60="","",IFERROR(CaseLedger!$R60,""))</x:f>
      </x:c>
      <x:c r="K60" s="52" t="str">
        <x:f>IF(CaseLedger!$A60="","",IFERROR(CaseLedger!$S60,""))</x:f>
      </x:c>
      <x:c r="L60" s="52" t="str">
        <x:f>IF(CaseLedger!$A60="","",IFERROR(CaseLedger!$T60,""))</x:f>
      </x:c>
      <x:c r="M60" s="52" t="str">
        <x:f>IF(CaseLedger!$A60="","",IFERROR(CaseLedger!$U60,""))</x:f>
      </x:c>
      <x:c r="N60" s="52" t="str">
        <x:f>IF(CaseLedger!$A60="","",IFERROR(CaseLedger!$V60,""))</x:f>
      </x:c>
      <x:c r="O60" s="52" t="str">
        <x:f>IF(CaseLedger!$A60="","",IFERROR(CaseLedger!$W60,""))</x:f>
      </x:c>
      <x:c r="P60" s="52" t="str">
        <x:f>IF(CaseLedger!$A60="","",IFERROR(CaseLedger!$C60,""))</x:f>
      </x:c>
      <x:c r="Q60" s="52" t="str">
        <x:f>IF(CaseLedger!$A60="","",IFERROR(CaseLedger!$D60,""))</x:f>
      </x:c>
      <x:c r="R60" s="52" t="str">
        <x:f>IF(CaseLedger!$A60="","",IFERROR(CaseLedger!$X60,""))</x:f>
      </x:c>
      <x:c r="S60" s="52" t="str">
        <x:f>IF(CaseLedger!$A60="","",IFERROR(CaseLedger!$Y60,""))</x:f>
      </x:c>
      <x:c r="T60" s="52" t="str">
        <x:f>IF(CaseLedger!$A60="","",IFERROR(CaseLedger!$Z60,""))</x:f>
      </x:c>
      <x:c r="U60" s="52" t="str">
        <x:f>IF(CaseLedger!$A60="","",IFERROR(CaseLedger!$AA60,""))</x:f>
      </x:c>
      <x:c r="V60" s="52" t="str">
        <x:f>IF(CaseLedger!$A60="","",IFERROR(CaseLedger!$AB60,""))</x:f>
      </x:c>
      <x:c r="W60" s="52" t="str">
        <x:f>IF(CaseLedger!$A60="","",IFERROR(CaseLedger!$AC60,""))</x:f>
      </x:c>
      <x:c r="X60" s="52" t="str">
        <x:f>IF(CaseLedger!$A60="","",IFERROR(CaseLedger!$AD60,""))</x:f>
      </x:c>
      <x:c r="Y60" s="52" t="str">
        <x:f>IF(CaseLedger!$A60="","",IFERROR(CaseLedger!$AE60,""))</x:f>
      </x:c>
      <x:c r="Z60" s="52" t="str">
        <x:f>IF(CaseLedger!$A60="","",IFERROR(CaseLedger!$AF60,""))</x:f>
      </x:c>
      <x:c r="AA60" s="52" t="str">
        <x:f>IF(CaseLedger!$A60="","",IFERROR(CaseLedger!$AG60,""))</x:f>
      </x:c>
      <x:c r="AB60" s="52" t="str">
        <x:f>IF(CaseLedger!$A60="","",IFERROR(CaseLedger!$AH60,""))</x:f>
      </x:c>
      <x:c r="AC60"/>
    </x:row>
    <x:row r="61">
      <x:c r="A61" s="52" t="str">
        <x:f>IF(CaseLedger!$A61="","",IFERROR(CaseLedger!$A61,""))</x:f>
      </x:c>
      <x:c r="B61" s="52" t="str">
        <x:f>IF(CaseLedger!$A61="","",IFERROR(CaseLedger!$H61,""))</x:f>
      </x:c>
      <x:c r="C61" s="52" t="str">
        <x:f>IF(CaseLedger!$A61="","",IFERROR(CaseLedger!$I61,""))</x:f>
      </x:c>
      <x:c r="D61" s="52" t="str">
        <x:f>IF(CaseLedger!$A61="","",IFERROR(CaseLedger!$J61,""))</x:f>
      </x:c>
      <x:c r="E61" s="52" t="str">
        <x:f>IF(CaseLedger!$A61="","",IFERROR(CaseLedger!$K61,""))</x:f>
      </x:c>
      <x:c r="F61" s="52" t="str">
        <x:f>IF(CaseLedger!$A61="","",IFERROR(CaseLedger!$O61,""))</x:f>
      </x:c>
      <x:c r="G61" s="52" t="str">
        <x:f>IF(CaseLedger!$A61="","",IFERROR(CaseLedger!$E61,""))</x:f>
      </x:c>
      <x:c r="H61" s="52" t="str">
        <x:f>IF(CaseLedger!$A61="","",IFERROR(CaseLedger!$P61,""))</x:f>
      </x:c>
      <x:c r="I61" s="52" t="str">
        <x:f>IF(CaseLedger!$A61="","",IFERROR(CaseLedger!$Q61,""))</x:f>
      </x:c>
      <x:c r="J61" s="52" t="str">
        <x:f>IF(CaseLedger!$A61="","",IFERROR(CaseLedger!$R61,""))</x:f>
      </x:c>
      <x:c r="K61" s="52" t="str">
        <x:f>IF(CaseLedger!$A61="","",IFERROR(CaseLedger!$S61,""))</x:f>
      </x:c>
      <x:c r="L61" s="52" t="str">
        <x:f>IF(CaseLedger!$A61="","",IFERROR(CaseLedger!$T61,""))</x:f>
      </x:c>
      <x:c r="M61" s="52" t="str">
        <x:f>IF(CaseLedger!$A61="","",IFERROR(CaseLedger!$U61,""))</x:f>
      </x:c>
      <x:c r="N61" s="52" t="str">
        <x:f>IF(CaseLedger!$A61="","",IFERROR(CaseLedger!$V61,""))</x:f>
      </x:c>
      <x:c r="O61" s="52" t="str">
        <x:f>IF(CaseLedger!$A61="","",IFERROR(CaseLedger!$W61,""))</x:f>
      </x:c>
      <x:c r="P61" s="52" t="str">
        <x:f>IF(CaseLedger!$A61="","",IFERROR(CaseLedger!$C61,""))</x:f>
      </x:c>
      <x:c r="Q61" s="52" t="str">
        <x:f>IF(CaseLedger!$A61="","",IFERROR(CaseLedger!$D61,""))</x:f>
      </x:c>
      <x:c r="R61" s="52" t="str">
        <x:f>IF(CaseLedger!$A61="","",IFERROR(CaseLedger!$X61,""))</x:f>
      </x:c>
      <x:c r="S61" s="52" t="str">
        <x:f>IF(CaseLedger!$A61="","",IFERROR(CaseLedger!$Y61,""))</x:f>
      </x:c>
      <x:c r="T61" s="52" t="str">
        <x:f>IF(CaseLedger!$A61="","",IFERROR(CaseLedger!$Z61,""))</x:f>
      </x:c>
      <x:c r="U61" s="52" t="str">
        <x:f>IF(CaseLedger!$A61="","",IFERROR(CaseLedger!$AA61,""))</x:f>
      </x:c>
      <x:c r="V61" s="52" t="str">
        <x:f>IF(CaseLedger!$A61="","",IFERROR(CaseLedger!$AB61,""))</x:f>
      </x:c>
      <x:c r="W61" s="52" t="str">
        <x:f>IF(CaseLedger!$A61="","",IFERROR(CaseLedger!$AC61,""))</x:f>
      </x:c>
      <x:c r="X61" s="52" t="str">
        <x:f>IF(CaseLedger!$A61="","",IFERROR(CaseLedger!$AD61,""))</x:f>
      </x:c>
      <x:c r="Y61" s="52" t="str">
        <x:f>IF(CaseLedger!$A61="","",IFERROR(CaseLedger!$AE61,""))</x:f>
      </x:c>
      <x:c r="Z61" s="52" t="str">
        <x:f>IF(CaseLedger!$A61="","",IFERROR(CaseLedger!$AF61,""))</x:f>
      </x:c>
      <x:c r="AA61" s="52" t="str">
        <x:f>IF(CaseLedger!$A61="","",IFERROR(CaseLedger!$AG61,""))</x:f>
      </x:c>
      <x:c r="AB61" s="52" t="str">
        <x:f>IF(CaseLedger!$A61="","",IFERROR(CaseLedger!$AH61,""))</x:f>
      </x:c>
      <x:c r="AC61"/>
    </x:row>
    <x:row r="62">
      <x:c r="A62" s="52" t="str">
        <x:f>IF(CaseLedger!$A62="","",IFERROR(CaseLedger!$A62,""))</x:f>
      </x:c>
      <x:c r="B62" s="52" t="str">
        <x:f>IF(CaseLedger!$A62="","",IFERROR(CaseLedger!$H62,""))</x:f>
      </x:c>
      <x:c r="C62" s="52" t="str">
        <x:f>IF(CaseLedger!$A62="","",IFERROR(CaseLedger!$I62,""))</x:f>
      </x:c>
      <x:c r="D62" s="52" t="str">
        <x:f>IF(CaseLedger!$A62="","",IFERROR(CaseLedger!$J62,""))</x:f>
      </x:c>
      <x:c r="E62" s="52" t="str">
        <x:f>IF(CaseLedger!$A62="","",IFERROR(CaseLedger!$K62,""))</x:f>
      </x:c>
      <x:c r="F62" s="52" t="str">
        <x:f>IF(CaseLedger!$A62="","",IFERROR(CaseLedger!$O62,""))</x:f>
      </x:c>
      <x:c r="G62" s="52" t="str">
        <x:f>IF(CaseLedger!$A62="","",IFERROR(CaseLedger!$E62,""))</x:f>
      </x:c>
      <x:c r="H62" s="52" t="str">
        <x:f>IF(CaseLedger!$A62="","",IFERROR(CaseLedger!$P62,""))</x:f>
      </x:c>
      <x:c r="I62" s="52" t="str">
        <x:f>IF(CaseLedger!$A62="","",IFERROR(CaseLedger!$Q62,""))</x:f>
      </x:c>
      <x:c r="J62" s="52" t="str">
        <x:f>IF(CaseLedger!$A62="","",IFERROR(CaseLedger!$R62,""))</x:f>
      </x:c>
      <x:c r="K62" s="52" t="str">
        <x:f>IF(CaseLedger!$A62="","",IFERROR(CaseLedger!$S62,""))</x:f>
      </x:c>
      <x:c r="L62" s="52" t="str">
        <x:f>IF(CaseLedger!$A62="","",IFERROR(CaseLedger!$T62,""))</x:f>
      </x:c>
      <x:c r="M62" s="52" t="str">
        <x:f>IF(CaseLedger!$A62="","",IFERROR(CaseLedger!$U62,""))</x:f>
      </x:c>
      <x:c r="N62" s="52" t="str">
        <x:f>IF(CaseLedger!$A62="","",IFERROR(CaseLedger!$V62,""))</x:f>
      </x:c>
      <x:c r="O62" s="52" t="str">
        <x:f>IF(CaseLedger!$A62="","",IFERROR(CaseLedger!$W62,""))</x:f>
      </x:c>
      <x:c r="P62" s="52" t="str">
        <x:f>IF(CaseLedger!$A62="","",IFERROR(CaseLedger!$C62,""))</x:f>
      </x:c>
      <x:c r="Q62" s="52" t="str">
        <x:f>IF(CaseLedger!$A62="","",IFERROR(CaseLedger!$D62,""))</x:f>
      </x:c>
      <x:c r="R62" s="52" t="str">
        <x:f>IF(CaseLedger!$A62="","",IFERROR(CaseLedger!$X62,""))</x:f>
      </x:c>
      <x:c r="S62" s="52" t="str">
        <x:f>IF(CaseLedger!$A62="","",IFERROR(CaseLedger!$Y62,""))</x:f>
      </x:c>
      <x:c r="T62" s="52" t="str">
        <x:f>IF(CaseLedger!$A62="","",IFERROR(CaseLedger!$Z62,""))</x:f>
      </x:c>
      <x:c r="U62" s="52" t="str">
        <x:f>IF(CaseLedger!$A62="","",IFERROR(CaseLedger!$AA62,""))</x:f>
      </x:c>
      <x:c r="V62" s="52" t="str">
        <x:f>IF(CaseLedger!$A62="","",IFERROR(CaseLedger!$AB62,""))</x:f>
      </x:c>
      <x:c r="W62" s="52" t="str">
        <x:f>IF(CaseLedger!$A62="","",IFERROR(CaseLedger!$AC62,""))</x:f>
      </x:c>
      <x:c r="X62" s="52" t="str">
        <x:f>IF(CaseLedger!$A62="","",IFERROR(CaseLedger!$AD62,""))</x:f>
      </x:c>
      <x:c r="Y62" s="52" t="str">
        <x:f>IF(CaseLedger!$A62="","",IFERROR(CaseLedger!$AE62,""))</x:f>
      </x:c>
      <x:c r="Z62" s="52" t="str">
        <x:f>IF(CaseLedger!$A62="","",IFERROR(CaseLedger!$AF62,""))</x:f>
      </x:c>
      <x:c r="AA62" s="52" t="str">
        <x:f>IF(CaseLedger!$A62="","",IFERROR(CaseLedger!$AG62,""))</x:f>
      </x:c>
      <x:c r="AB62" s="52" t="str">
        <x:f>IF(CaseLedger!$A62="","",IFERROR(CaseLedger!$AH62,""))</x:f>
      </x:c>
      <x:c r="AC62"/>
    </x:row>
    <x:row r="63">
      <x:c r="A63" s="52" t="str">
        <x:f>IF(CaseLedger!$A63="","",IFERROR(CaseLedger!$A63,""))</x:f>
      </x:c>
      <x:c r="B63" s="52" t="str">
        <x:f>IF(CaseLedger!$A63="","",IFERROR(CaseLedger!$H63,""))</x:f>
      </x:c>
      <x:c r="C63" s="52" t="str">
        <x:f>IF(CaseLedger!$A63="","",IFERROR(CaseLedger!$I63,""))</x:f>
      </x:c>
      <x:c r="D63" s="52" t="str">
        <x:f>IF(CaseLedger!$A63="","",IFERROR(CaseLedger!$J63,""))</x:f>
      </x:c>
      <x:c r="E63" s="52" t="str">
        <x:f>IF(CaseLedger!$A63="","",IFERROR(CaseLedger!$K63,""))</x:f>
      </x:c>
      <x:c r="F63" s="52" t="str">
        <x:f>IF(CaseLedger!$A63="","",IFERROR(CaseLedger!$O63,""))</x:f>
      </x:c>
      <x:c r="G63" s="52" t="str">
        <x:f>IF(CaseLedger!$A63="","",IFERROR(CaseLedger!$E63,""))</x:f>
      </x:c>
      <x:c r="H63" s="52" t="str">
        <x:f>IF(CaseLedger!$A63="","",IFERROR(CaseLedger!$P63,""))</x:f>
      </x:c>
      <x:c r="I63" s="52" t="str">
        <x:f>IF(CaseLedger!$A63="","",IFERROR(CaseLedger!$Q63,""))</x:f>
      </x:c>
      <x:c r="J63" s="52" t="str">
        <x:f>IF(CaseLedger!$A63="","",IFERROR(CaseLedger!$R63,""))</x:f>
      </x:c>
      <x:c r="K63" s="52" t="str">
        <x:f>IF(CaseLedger!$A63="","",IFERROR(CaseLedger!$S63,""))</x:f>
      </x:c>
      <x:c r="L63" s="52" t="str">
        <x:f>IF(CaseLedger!$A63="","",IFERROR(CaseLedger!$T63,""))</x:f>
      </x:c>
      <x:c r="M63" s="52" t="str">
        <x:f>IF(CaseLedger!$A63="","",IFERROR(CaseLedger!$U63,""))</x:f>
      </x:c>
      <x:c r="N63" s="52" t="str">
        <x:f>IF(CaseLedger!$A63="","",IFERROR(CaseLedger!$V63,""))</x:f>
      </x:c>
      <x:c r="O63" s="52" t="str">
        <x:f>IF(CaseLedger!$A63="","",IFERROR(CaseLedger!$W63,""))</x:f>
      </x:c>
      <x:c r="P63" s="52" t="str">
        <x:f>IF(CaseLedger!$A63="","",IFERROR(CaseLedger!$C63,""))</x:f>
      </x:c>
      <x:c r="Q63" s="52" t="str">
        <x:f>IF(CaseLedger!$A63="","",IFERROR(CaseLedger!$D63,""))</x:f>
      </x:c>
      <x:c r="R63" s="52" t="str">
        <x:f>IF(CaseLedger!$A63="","",IFERROR(CaseLedger!$X63,""))</x:f>
      </x:c>
      <x:c r="S63" s="52" t="str">
        <x:f>IF(CaseLedger!$A63="","",IFERROR(CaseLedger!$Y63,""))</x:f>
      </x:c>
      <x:c r="T63" s="52" t="str">
        <x:f>IF(CaseLedger!$A63="","",IFERROR(CaseLedger!$Z63,""))</x:f>
      </x:c>
      <x:c r="U63" s="52" t="str">
        <x:f>IF(CaseLedger!$A63="","",IFERROR(CaseLedger!$AA63,""))</x:f>
      </x:c>
      <x:c r="V63" s="52" t="str">
        <x:f>IF(CaseLedger!$A63="","",IFERROR(CaseLedger!$AB63,""))</x:f>
      </x:c>
      <x:c r="W63" s="52" t="str">
        <x:f>IF(CaseLedger!$A63="","",IFERROR(CaseLedger!$AC63,""))</x:f>
      </x:c>
      <x:c r="X63" s="52" t="str">
        <x:f>IF(CaseLedger!$A63="","",IFERROR(CaseLedger!$AD63,""))</x:f>
      </x:c>
      <x:c r="Y63" s="52" t="str">
        <x:f>IF(CaseLedger!$A63="","",IFERROR(CaseLedger!$AE63,""))</x:f>
      </x:c>
      <x:c r="Z63" s="52" t="str">
        <x:f>IF(CaseLedger!$A63="","",IFERROR(CaseLedger!$AF63,""))</x:f>
      </x:c>
      <x:c r="AA63" s="52" t="str">
        <x:f>IF(CaseLedger!$A63="","",IFERROR(CaseLedger!$AG63,""))</x:f>
      </x:c>
      <x:c r="AB63" s="52" t="str">
        <x:f>IF(CaseLedger!$A63="","",IFERROR(CaseLedger!$AH63,""))</x:f>
      </x:c>
      <x:c r="AC63"/>
    </x:row>
    <x:row r="64">
      <x:c r="A64" s="52" t="str">
        <x:f>IF(CaseLedger!$A64="","",IFERROR(CaseLedger!$A64,""))</x:f>
      </x:c>
      <x:c r="B64" s="52" t="str">
        <x:f>IF(CaseLedger!$A64="","",IFERROR(CaseLedger!$H64,""))</x:f>
      </x:c>
      <x:c r="C64" s="52" t="str">
        <x:f>IF(CaseLedger!$A64="","",IFERROR(CaseLedger!$I64,""))</x:f>
      </x:c>
      <x:c r="D64" s="52" t="str">
        <x:f>IF(CaseLedger!$A64="","",IFERROR(CaseLedger!$J64,""))</x:f>
      </x:c>
      <x:c r="E64" s="52" t="str">
        <x:f>IF(CaseLedger!$A64="","",IFERROR(CaseLedger!$K64,""))</x:f>
      </x:c>
      <x:c r="F64" s="52" t="str">
        <x:f>IF(CaseLedger!$A64="","",IFERROR(CaseLedger!$O64,""))</x:f>
      </x:c>
      <x:c r="G64" s="52" t="str">
        <x:f>IF(CaseLedger!$A64="","",IFERROR(CaseLedger!$E64,""))</x:f>
      </x:c>
      <x:c r="H64" s="52" t="str">
        <x:f>IF(CaseLedger!$A64="","",IFERROR(CaseLedger!$P64,""))</x:f>
      </x:c>
      <x:c r="I64" s="52" t="str">
        <x:f>IF(CaseLedger!$A64="","",IFERROR(CaseLedger!$Q64,""))</x:f>
      </x:c>
      <x:c r="J64" s="52" t="str">
        <x:f>IF(CaseLedger!$A64="","",IFERROR(CaseLedger!$R64,""))</x:f>
      </x:c>
      <x:c r="K64" s="52" t="str">
        <x:f>IF(CaseLedger!$A64="","",IFERROR(CaseLedger!$S64,""))</x:f>
      </x:c>
      <x:c r="L64" s="52" t="str">
        <x:f>IF(CaseLedger!$A64="","",IFERROR(CaseLedger!$T64,""))</x:f>
      </x:c>
      <x:c r="M64" s="52" t="str">
        <x:f>IF(CaseLedger!$A64="","",IFERROR(CaseLedger!$U64,""))</x:f>
      </x:c>
      <x:c r="N64" s="52" t="str">
        <x:f>IF(CaseLedger!$A64="","",IFERROR(CaseLedger!$V64,""))</x:f>
      </x:c>
      <x:c r="O64" s="52" t="str">
        <x:f>IF(CaseLedger!$A64="","",IFERROR(CaseLedger!$W64,""))</x:f>
      </x:c>
      <x:c r="P64" s="52" t="str">
        <x:f>IF(CaseLedger!$A64="","",IFERROR(CaseLedger!$C64,""))</x:f>
      </x:c>
      <x:c r="Q64" s="52" t="str">
        <x:f>IF(CaseLedger!$A64="","",IFERROR(CaseLedger!$D64,""))</x:f>
      </x:c>
      <x:c r="R64" s="52" t="str">
        <x:f>IF(CaseLedger!$A64="","",IFERROR(CaseLedger!$X64,""))</x:f>
      </x:c>
      <x:c r="S64" s="52" t="str">
        <x:f>IF(CaseLedger!$A64="","",IFERROR(CaseLedger!$Y64,""))</x:f>
      </x:c>
      <x:c r="T64" s="52" t="str">
        <x:f>IF(CaseLedger!$A64="","",IFERROR(CaseLedger!$Z64,""))</x:f>
      </x:c>
      <x:c r="U64" s="52" t="str">
        <x:f>IF(CaseLedger!$A64="","",IFERROR(CaseLedger!$AA64,""))</x:f>
      </x:c>
      <x:c r="V64" s="52" t="str">
        <x:f>IF(CaseLedger!$A64="","",IFERROR(CaseLedger!$AB64,""))</x:f>
      </x:c>
      <x:c r="W64" s="52" t="str">
        <x:f>IF(CaseLedger!$A64="","",IFERROR(CaseLedger!$AC64,""))</x:f>
      </x:c>
      <x:c r="X64" s="52" t="str">
        <x:f>IF(CaseLedger!$A64="","",IFERROR(CaseLedger!$AD64,""))</x:f>
      </x:c>
      <x:c r="Y64" s="52" t="str">
        <x:f>IF(CaseLedger!$A64="","",IFERROR(CaseLedger!$AE64,""))</x:f>
      </x:c>
      <x:c r="Z64" s="52" t="str">
        <x:f>IF(CaseLedger!$A64="","",IFERROR(CaseLedger!$AF64,""))</x:f>
      </x:c>
      <x:c r="AA64" s="52" t="str">
        <x:f>IF(CaseLedger!$A64="","",IFERROR(CaseLedger!$AG64,""))</x:f>
      </x:c>
      <x:c r="AB64" s="52" t="str">
        <x:f>IF(CaseLedger!$A64="","",IFERROR(CaseLedger!$AH64,""))</x:f>
      </x:c>
      <x:c r="AC64"/>
    </x:row>
    <x:row r="65">
      <x:c r="A65" s="52" t="str">
        <x:f>IF(CaseLedger!$A65="","",IFERROR(CaseLedger!$A65,""))</x:f>
      </x:c>
      <x:c r="B65" s="52" t="str">
        <x:f>IF(CaseLedger!$A65="","",IFERROR(CaseLedger!$H65,""))</x:f>
      </x:c>
      <x:c r="C65" s="52" t="str">
        <x:f>IF(CaseLedger!$A65="","",IFERROR(CaseLedger!$I65,""))</x:f>
      </x:c>
      <x:c r="D65" s="52" t="str">
        <x:f>IF(CaseLedger!$A65="","",IFERROR(CaseLedger!$J65,""))</x:f>
      </x:c>
      <x:c r="E65" s="52" t="str">
        <x:f>IF(CaseLedger!$A65="","",IFERROR(CaseLedger!$K65,""))</x:f>
      </x:c>
      <x:c r="F65" s="52" t="str">
        <x:f>IF(CaseLedger!$A65="","",IFERROR(CaseLedger!$O65,""))</x:f>
      </x:c>
      <x:c r="G65" s="52" t="str">
        <x:f>IF(CaseLedger!$A65="","",IFERROR(CaseLedger!$E65,""))</x:f>
      </x:c>
      <x:c r="H65" s="52" t="str">
        <x:f>IF(CaseLedger!$A65="","",IFERROR(CaseLedger!$P65,""))</x:f>
      </x:c>
      <x:c r="I65" s="52" t="str">
        <x:f>IF(CaseLedger!$A65="","",IFERROR(CaseLedger!$Q65,""))</x:f>
      </x:c>
      <x:c r="J65" s="52" t="str">
        <x:f>IF(CaseLedger!$A65="","",IFERROR(CaseLedger!$R65,""))</x:f>
      </x:c>
      <x:c r="K65" s="52" t="str">
        <x:f>IF(CaseLedger!$A65="","",IFERROR(CaseLedger!$S65,""))</x:f>
      </x:c>
      <x:c r="L65" s="52" t="str">
        <x:f>IF(CaseLedger!$A65="","",IFERROR(CaseLedger!$T65,""))</x:f>
      </x:c>
      <x:c r="M65" s="52" t="str">
        <x:f>IF(CaseLedger!$A65="","",IFERROR(CaseLedger!$U65,""))</x:f>
      </x:c>
      <x:c r="N65" s="52" t="str">
        <x:f>IF(CaseLedger!$A65="","",IFERROR(CaseLedger!$V65,""))</x:f>
      </x:c>
      <x:c r="O65" s="52" t="str">
        <x:f>IF(CaseLedger!$A65="","",IFERROR(CaseLedger!$W65,""))</x:f>
      </x:c>
      <x:c r="P65" s="52" t="str">
        <x:f>IF(CaseLedger!$A65="","",IFERROR(CaseLedger!$C65,""))</x:f>
      </x:c>
      <x:c r="Q65" s="52" t="str">
        <x:f>IF(CaseLedger!$A65="","",IFERROR(CaseLedger!$D65,""))</x:f>
      </x:c>
      <x:c r="R65" s="52" t="str">
        <x:f>IF(CaseLedger!$A65="","",IFERROR(CaseLedger!$X65,""))</x:f>
      </x:c>
      <x:c r="S65" s="52" t="str">
        <x:f>IF(CaseLedger!$A65="","",IFERROR(CaseLedger!$Y65,""))</x:f>
      </x:c>
      <x:c r="T65" s="52" t="str">
        <x:f>IF(CaseLedger!$A65="","",IFERROR(CaseLedger!$Z65,""))</x:f>
      </x:c>
      <x:c r="U65" s="52" t="str">
        <x:f>IF(CaseLedger!$A65="","",IFERROR(CaseLedger!$AA65,""))</x:f>
      </x:c>
      <x:c r="V65" s="52" t="str">
        <x:f>IF(CaseLedger!$A65="","",IFERROR(CaseLedger!$AB65,""))</x:f>
      </x:c>
      <x:c r="W65" s="52" t="str">
        <x:f>IF(CaseLedger!$A65="","",IFERROR(CaseLedger!$AC65,""))</x:f>
      </x:c>
      <x:c r="X65" s="52" t="str">
        <x:f>IF(CaseLedger!$A65="","",IFERROR(CaseLedger!$AD65,""))</x:f>
      </x:c>
      <x:c r="Y65" s="52" t="str">
        <x:f>IF(CaseLedger!$A65="","",IFERROR(CaseLedger!$AE65,""))</x:f>
      </x:c>
      <x:c r="Z65" s="52" t="str">
        <x:f>IF(CaseLedger!$A65="","",IFERROR(CaseLedger!$AF65,""))</x:f>
      </x:c>
      <x:c r="AA65" s="52" t="str">
        <x:f>IF(CaseLedger!$A65="","",IFERROR(CaseLedger!$AG65,""))</x:f>
      </x:c>
      <x:c r="AB65" s="52" t="str">
        <x:f>IF(CaseLedger!$A65="","",IFERROR(CaseLedger!$AH65,""))</x:f>
      </x:c>
      <x:c r="AC65"/>
    </x:row>
    <x:row r="66">
      <x:c r="A66" s="52" t="str">
        <x:f>IF(CaseLedger!$A66="","",IFERROR(CaseLedger!$A66,""))</x:f>
      </x:c>
      <x:c r="B66" s="52" t="str">
        <x:f>IF(CaseLedger!$A66="","",IFERROR(CaseLedger!$H66,""))</x:f>
      </x:c>
      <x:c r="C66" s="52" t="str">
        <x:f>IF(CaseLedger!$A66="","",IFERROR(CaseLedger!$I66,""))</x:f>
      </x:c>
      <x:c r="D66" s="52" t="str">
        <x:f>IF(CaseLedger!$A66="","",IFERROR(CaseLedger!$J66,""))</x:f>
      </x:c>
      <x:c r="E66" s="52" t="str">
        <x:f>IF(CaseLedger!$A66="","",IFERROR(CaseLedger!$K66,""))</x:f>
      </x:c>
      <x:c r="F66" s="52" t="str">
        <x:f>IF(CaseLedger!$A66="","",IFERROR(CaseLedger!$O66,""))</x:f>
      </x:c>
      <x:c r="G66" s="52" t="str">
        <x:f>IF(CaseLedger!$A66="","",IFERROR(CaseLedger!$E66,""))</x:f>
      </x:c>
      <x:c r="H66" s="52" t="str">
        <x:f>IF(CaseLedger!$A66="","",IFERROR(CaseLedger!$P66,""))</x:f>
      </x:c>
      <x:c r="I66" s="52" t="str">
        <x:f>IF(CaseLedger!$A66="","",IFERROR(CaseLedger!$Q66,""))</x:f>
      </x:c>
      <x:c r="J66" s="52" t="str">
        <x:f>IF(CaseLedger!$A66="","",IFERROR(CaseLedger!$R66,""))</x:f>
      </x:c>
      <x:c r="K66" s="52" t="str">
        <x:f>IF(CaseLedger!$A66="","",IFERROR(CaseLedger!$S66,""))</x:f>
      </x:c>
      <x:c r="L66" s="52" t="str">
        <x:f>IF(CaseLedger!$A66="","",IFERROR(CaseLedger!$T66,""))</x:f>
      </x:c>
      <x:c r="M66" s="52" t="str">
        <x:f>IF(CaseLedger!$A66="","",IFERROR(CaseLedger!$U66,""))</x:f>
      </x:c>
      <x:c r="N66" s="52" t="str">
        <x:f>IF(CaseLedger!$A66="","",IFERROR(CaseLedger!$V66,""))</x:f>
      </x:c>
      <x:c r="O66" s="52" t="str">
        <x:f>IF(CaseLedger!$A66="","",IFERROR(CaseLedger!$W66,""))</x:f>
      </x:c>
      <x:c r="P66" s="52" t="str">
        <x:f>IF(CaseLedger!$A66="","",IFERROR(CaseLedger!$C66,""))</x:f>
      </x:c>
      <x:c r="Q66" s="52" t="str">
        <x:f>IF(CaseLedger!$A66="","",IFERROR(CaseLedger!$D66,""))</x:f>
      </x:c>
      <x:c r="R66" s="52" t="str">
        <x:f>IF(CaseLedger!$A66="","",IFERROR(CaseLedger!$X66,""))</x:f>
      </x:c>
      <x:c r="S66" s="52" t="str">
        <x:f>IF(CaseLedger!$A66="","",IFERROR(CaseLedger!$Y66,""))</x:f>
      </x:c>
      <x:c r="T66" s="52" t="str">
        <x:f>IF(CaseLedger!$A66="","",IFERROR(CaseLedger!$Z66,""))</x:f>
      </x:c>
      <x:c r="U66" s="52" t="str">
        <x:f>IF(CaseLedger!$A66="","",IFERROR(CaseLedger!$AA66,""))</x:f>
      </x:c>
      <x:c r="V66" s="52" t="str">
        <x:f>IF(CaseLedger!$A66="","",IFERROR(CaseLedger!$AB66,""))</x:f>
      </x:c>
      <x:c r="W66" s="52" t="str">
        <x:f>IF(CaseLedger!$A66="","",IFERROR(CaseLedger!$AC66,""))</x:f>
      </x:c>
      <x:c r="X66" s="52" t="str">
        <x:f>IF(CaseLedger!$A66="","",IFERROR(CaseLedger!$AD66,""))</x:f>
      </x:c>
      <x:c r="Y66" s="52" t="str">
        <x:f>IF(CaseLedger!$A66="","",IFERROR(CaseLedger!$AE66,""))</x:f>
      </x:c>
      <x:c r="Z66" s="52" t="str">
        <x:f>IF(CaseLedger!$A66="","",IFERROR(CaseLedger!$AF66,""))</x:f>
      </x:c>
      <x:c r="AA66" s="52" t="str">
        <x:f>IF(CaseLedger!$A66="","",IFERROR(CaseLedger!$AG66,""))</x:f>
      </x:c>
      <x:c r="AB66" s="52" t="str">
        <x:f>IF(CaseLedger!$A66="","",IFERROR(CaseLedger!$AH66,""))</x:f>
      </x:c>
      <x:c r="AC66"/>
    </x:row>
    <x:row r="67">
      <x:c r="A67" s="52" t="str">
        <x:f>IF(CaseLedger!$A67="","",IFERROR(CaseLedger!$A67,""))</x:f>
      </x:c>
      <x:c r="B67" s="52" t="str">
        <x:f>IF(CaseLedger!$A67="","",IFERROR(CaseLedger!$H67,""))</x:f>
      </x:c>
      <x:c r="C67" s="52" t="str">
        <x:f>IF(CaseLedger!$A67="","",IFERROR(CaseLedger!$I67,""))</x:f>
      </x:c>
      <x:c r="D67" s="52" t="str">
        <x:f>IF(CaseLedger!$A67="","",IFERROR(CaseLedger!$J67,""))</x:f>
      </x:c>
      <x:c r="E67" s="52" t="str">
        <x:f>IF(CaseLedger!$A67="","",IFERROR(CaseLedger!$K67,""))</x:f>
      </x:c>
      <x:c r="F67" s="52" t="str">
        <x:f>IF(CaseLedger!$A67="","",IFERROR(CaseLedger!$O67,""))</x:f>
      </x:c>
      <x:c r="G67" s="52" t="str">
        <x:f>IF(CaseLedger!$A67="","",IFERROR(CaseLedger!$E67,""))</x:f>
      </x:c>
      <x:c r="H67" s="52" t="str">
        <x:f>IF(CaseLedger!$A67="","",IFERROR(CaseLedger!$P67,""))</x:f>
      </x:c>
      <x:c r="I67" s="52" t="str">
        <x:f>IF(CaseLedger!$A67="","",IFERROR(CaseLedger!$Q67,""))</x:f>
      </x:c>
      <x:c r="J67" s="52" t="str">
        <x:f>IF(CaseLedger!$A67="","",IFERROR(CaseLedger!$R67,""))</x:f>
      </x:c>
      <x:c r="K67" s="52" t="str">
        <x:f>IF(CaseLedger!$A67="","",IFERROR(CaseLedger!$S67,""))</x:f>
      </x:c>
      <x:c r="L67" s="52" t="str">
        <x:f>IF(CaseLedger!$A67="","",IFERROR(CaseLedger!$T67,""))</x:f>
      </x:c>
      <x:c r="M67" s="52" t="str">
        <x:f>IF(CaseLedger!$A67="","",IFERROR(CaseLedger!$U67,""))</x:f>
      </x:c>
      <x:c r="N67" s="52" t="str">
        <x:f>IF(CaseLedger!$A67="","",IFERROR(CaseLedger!$V67,""))</x:f>
      </x:c>
      <x:c r="O67" s="52" t="str">
        <x:f>IF(CaseLedger!$A67="","",IFERROR(CaseLedger!$W67,""))</x:f>
      </x:c>
      <x:c r="P67" s="52" t="str">
        <x:f>IF(CaseLedger!$A67="","",IFERROR(CaseLedger!$C67,""))</x:f>
      </x:c>
      <x:c r="Q67" s="52" t="str">
        <x:f>IF(CaseLedger!$A67="","",IFERROR(CaseLedger!$D67,""))</x:f>
      </x:c>
      <x:c r="R67" s="52" t="str">
        <x:f>IF(CaseLedger!$A67="","",IFERROR(CaseLedger!$X67,""))</x:f>
      </x:c>
      <x:c r="S67" s="52" t="str">
        <x:f>IF(CaseLedger!$A67="","",IFERROR(CaseLedger!$Y67,""))</x:f>
      </x:c>
      <x:c r="T67" s="52" t="str">
        <x:f>IF(CaseLedger!$A67="","",IFERROR(CaseLedger!$Z67,""))</x:f>
      </x:c>
      <x:c r="U67" s="52" t="str">
        <x:f>IF(CaseLedger!$A67="","",IFERROR(CaseLedger!$AA67,""))</x:f>
      </x:c>
      <x:c r="V67" s="52" t="str">
        <x:f>IF(CaseLedger!$A67="","",IFERROR(CaseLedger!$AB67,""))</x:f>
      </x:c>
      <x:c r="W67" s="52" t="str">
        <x:f>IF(CaseLedger!$A67="","",IFERROR(CaseLedger!$AC67,""))</x:f>
      </x:c>
      <x:c r="X67" s="52" t="str">
        <x:f>IF(CaseLedger!$A67="","",IFERROR(CaseLedger!$AD67,""))</x:f>
      </x:c>
      <x:c r="Y67" s="52" t="str">
        <x:f>IF(CaseLedger!$A67="","",IFERROR(CaseLedger!$AE67,""))</x:f>
      </x:c>
      <x:c r="Z67" s="52" t="str">
        <x:f>IF(CaseLedger!$A67="","",IFERROR(CaseLedger!$AF67,""))</x:f>
      </x:c>
      <x:c r="AA67" s="52" t="str">
        <x:f>IF(CaseLedger!$A67="","",IFERROR(CaseLedger!$AG67,""))</x:f>
      </x:c>
      <x:c r="AB67" s="52" t="str">
        <x:f>IF(CaseLedger!$A67="","",IFERROR(CaseLedger!$AH67,""))</x:f>
      </x:c>
      <x:c r="AC67"/>
    </x:row>
    <x:row r="68">
      <x:c r="A68" s="52" t="str">
        <x:f>IF(CaseLedger!$A68="","",IFERROR(CaseLedger!$A68,""))</x:f>
      </x:c>
      <x:c r="B68" s="52" t="str">
        <x:f>IF(CaseLedger!$A68="","",IFERROR(CaseLedger!$H68,""))</x:f>
      </x:c>
      <x:c r="C68" s="52" t="str">
        <x:f>IF(CaseLedger!$A68="","",IFERROR(CaseLedger!$I68,""))</x:f>
      </x:c>
      <x:c r="D68" s="52" t="str">
        <x:f>IF(CaseLedger!$A68="","",IFERROR(CaseLedger!$J68,""))</x:f>
      </x:c>
      <x:c r="E68" s="52" t="str">
        <x:f>IF(CaseLedger!$A68="","",IFERROR(CaseLedger!$K68,""))</x:f>
      </x:c>
      <x:c r="F68" s="52" t="str">
        <x:f>IF(CaseLedger!$A68="","",IFERROR(CaseLedger!$O68,""))</x:f>
      </x:c>
      <x:c r="G68" s="52" t="str">
        <x:f>IF(CaseLedger!$A68="","",IFERROR(CaseLedger!$E68,""))</x:f>
      </x:c>
      <x:c r="H68" s="52" t="str">
        <x:f>IF(CaseLedger!$A68="","",IFERROR(CaseLedger!$P68,""))</x:f>
      </x:c>
      <x:c r="I68" s="52" t="str">
        <x:f>IF(CaseLedger!$A68="","",IFERROR(CaseLedger!$Q68,""))</x:f>
      </x:c>
      <x:c r="J68" s="52" t="str">
        <x:f>IF(CaseLedger!$A68="","",IFERROR(CaseLedger!$R68,""))</x:f>
      </x:c>
      <x:c r="K68" s="52" t="str">
        <x:f>IF(CaseLedger!$A68="","",IFERROR(CaseLedger!$S68,""))</x:f>
      </x:c>
      <x:c r="L68" s="52" t="str">
        <x:f>IF(CaseLedger!$A68="","",IFERROR(CaseLedger!$T68,""))</x:f>
      </x:c>
      <x:c r="M68" s="52" t="str">
        <x:f>IF(CaseLedger!$A68="","",IFERROR(CaseLedger!$U68,""))</x:f>
      </x:c>
      <x:c r="N68" s="52" t="str">
        <x:f>IF(CaseLedger!$A68="","",IFERROR(CaseLedger!$V68,""))</x:f>
      </x:c>
      <x:c r="O68" s="52" t="str">
        <x:f>IF(CaseLedger!$A68="","",IFERROR(CaseLedger!$W68,""))</x:f>
      </x:c>
      <x:c r="P68" s="52" t="str">
        <x:f>IF(CaseLedger!$A68="","",IFERROR(CaseLedger!$C68,""))</x:f>
      </x:c>
      <x:c r="Q68" s="52" t="str">
        <x:f>IF(CaseLedger!$A68="","",IFERROR(CaseLedger!$D68,""))</x:f>
      </x:c>
      <x:c r="R68" s="52" t="str">
        <x:f>IF(CaseLedger!$A68="","",IFERROR(CaseLedger!$X68,""))</x:f>
      </x:c>
      <x:c r="S68" s="52" t="str">
        <x:f>IF(CaseLedger!$A68="","",IFERROR(CaseLedger!$Y68,""))</x:f>
      </x:c>
      <x:c r="T68" s="52" t="str">
        <x:f>IF(CaseLedger!$A68="","",IFERROR(CaseLedger!$Z68,""))</x:f>
      </x:c>
      <x:c r="U68" s="52" t="str">
        <x:f>IF(CaseLedger!$A68="","",IFERROR(CaseLedger!$AA68,""))</x:f>
      </x:c>
      <x:c r="V68" s="52" t="str">
        <x:f>IF(CaseLedger!$A68="","",IFERROR(CaseLedger!$AB68,""))</x:f>
      </x:c>
      <x:c r="W68" s="52" t="str">
        <x:f>IF(CaseLedger!$A68="","",IFERROR(CaseLedger!$AC68,""))</x:f>
      </x:c>
      <x:c r="X68" s="52" t="str">
        <x:f>IF(CaseLedger!$A68="","",IFERROR(CaseLedger!$AD68,""))</x:f>
      </x:c>
      <x:c r="Y68" s="52" t="str">
        <x:f>IF(CaseLedger!$A68="","",IFERROR(CaseLedger!$AE68,""))</x:f>
      </x:c>
      <x:c r="Z68" s="52" t="str">
        <x:f>IF(CaseLedger!$A68="","",IFERROR(CaseLedger!$AF68,""))</x:f>
      </x:c>
      <x:c r="AA68" s="52" t="str">
        <x:f>IF(CaseLedger!$A68="","",IFERROR(CaseLedger!$AG68,""))</x:f>
      </x:c>
      <x:c r="AB68" s="52" t="str">
        <x:f>IF(CaseLedger!$A68="","",IFERROR(CaseLedger!$AH68,""))</x:f>
      </x:c>
      <x:c r="AC68"/>
    </x:row>
    <x:row r="69">
      <x:c r="A69" s="52" t="str">
        <x:f>IF(CaseLedger!$A69="","",IFERROR(CaseLedger!$A69,""))</x:f>
      </x:c>
      <x:c r="B69" s="52" t="str">
        <x:f>IF(CaseLedger!$A69="","",IFERROR(CaseLedger!$H69,""))</x:f>
      </x:c>
      <x:c r="C69" s="52" t="str">
        <x:f>IF(CaseLedger!$A69="","",IFERROR(CaseLedger!$I69,""))</x:f>
      </x:c>
      <x:c r="D69" s="52" t="str">
        <x:f>IF(CaseLedger!$A69="","",IFERROR(CaseLedger!$J69,""))</x:f>
      </x:c>
      <x:c r="E69" s="52" t="str">
        <x:f>IF(CaseLedger!$A69="","",IFERROR(CaseLedger!$K69,""))</x:f>
      </x:c>
      <x:c r="F69" s="52" t="str">
        <x:f>IF(CaseLedger!$A69="","",IFERROR(CaseLedger!$O69,""))</x:f>
      </x:c>
      <x:c r="G69" s="52" t="str">
        <x:f>IF(CaseLedger!$A69="","",IFERROR(CaseLedger!$E69,""))</x:f>
      </x:c>
      <x:c r="H69" s="52" t="str">
        <x:f>IF(CaseLedger!$A69="","",IFERROR(CaseLedger!$P69,""))</x:f>
      </x:c>
      <x:c r="I69" s="52" t="str">
        <x:f>IF(CaseLedger!$A69="","",IFERROR(CaseLedger!$Q69,""))</x:f>
      </x:c>
      <x:c r="J69" s="52" t="str">
        <x:f>IF(CaseLedger!$A69="","",IFERROR(CaseLedger!$R69,""))</x:f>
      </x:c>
      <x:c r="K69" s="52" t="str">
        <x:f>IF(CaseLedger!$A69="","",IFERROR(CaseLedger!$S69,""))</x:f>
      </x:c>
      <x:c r="L69" s="52" t="str">
        <x:f>IF(CaseLedger!$A69="","",IFERROR(CaseLedger!$T69,""))</x:f>
      </x:c>
      <x:c r="M69" s="52" t="str">
        <x:f>IF(CaseLedger!$A69="","",IFERROR(CaseLedger!$U69,""))</x:f>
      </x:c>
      <x:c r="N69" s="52" t="str">
        <x:f>IF(CaseLedger!$A69="","",IFERROR(CaseLedger!$V69,""))</x:f>
      </x:c>
      <x:c r="O69" s="52" t="str">
        <x:f>IF(CaseLedger!$A69="","",IFERROR(CaseLedger!$W69,""))</x:f>
      </x:c>
      <x:c r="P69" s="52" t="str">
        <x:f>IF(CaseLedger!$A69="","",IFERROR(CaseLedger!$C69,""))</x:f>
      </x:c>
      <x:c r="Q69" s="52" t="str">
        <x:f>IF(CaseLedger!$A69="","",IFERROR(CaseLedger!$D69,""))</x:f>
      </x:c>
      <x:c r="R69" s="52" t="str">
        <x:f>IF(CaseLedger!$A69="","",IFERROR(CaseLedger!$X69,""))</x:f>
      </x:c>
      <x:c r="S69" s="52" t="str">
        <x:f>IF(CaseLedger!$A69="","",IFERROR(CaseLedger!$Y69,""))</x:f>
      </x:c>
      <x:c r="T69" s="52" t="str">
        <x:f>IF(CaseLedger!$A69="","",IFERROR(CaseLedger!$Z69,""))</x:f>
      </x:c>
      <x:c r="U69" s="52" t="str">
        <x:f>IF(CaseLedger!$A69="","",IFERROR(CaseLedger!$AA69,""))</x:f>
      </x:c>
      <x:c r="V69" s="52" t="str">
        <x:f>IF(CaseLedger!$A69="","",IFERROR(CaseLedger!$AB69,""))</x:f>
      </x:c>
      <x:c r="W69" s="52" t="str">
        <x:f>IF(CaseLedger!$A69="","",IFERROR(CaseLedger!$AC69,""))</x:f>
      </x:c>
      <x:c r="X69" s="52" t="str">
        <x:f>IF(CaseLedger!$A69="","",IFERROR(CaseLedger!$AD69,""))</x:f>
      </x:c>
      <x:c r="Y69" s="52" t="str">
        <x:f>IF(CaseLedger!$A69="","",IFERROR(CaseLedger!$AE69,""))</x:f>
      </x:c>
      <x:c r="Z69" s="52" t="str">
        <x:f>IF(CaseLedger!$A69="","",IFERROR(CaseLedger!$AF69,""))</x:f>
      </x:c>
      <x:c r="AA69" s="52" t="str">
        <x:f>IF(CaseLedger!$A69="","",IFERROR(CaseLedger!$AG69,""))</x:f>
      </x:c>
      <x:c r="AB69" s="52" t="str">
        <x:f>IF(CaseLedger!$A69="","",IFERROR(CaseLedger!$AH69,""))</x:f>
      </x:c>
      <x:c r="AC69"/>
    </x:row>
    <x:row r="70">
      <x:c r="A70" s="52" t="str">
        <x:f>IF(CaseLedger!$A70="","",IFERROR(CaseLedger!$A70,""))</x:f>
      </x:c>
      <x:c r="B70" s="52" t="str">
        <x:f>IF(CaseLedger!$A70="","",IFERROR(CaseLedger!$H70,""))</x:f>
      </x:c>
      <x:c r="C70" s="52" t="str">
        <x:f>IF(CaseLedger!$A70="","",IFERROR(CaseLedger!$I70,""))</x:f>
      </x:c>
      <x:c r="D70" s="52" t="str">
        <x:f>IF(CaseLedger!$A70="","",IFERROR(CaseLedger!$J70,""))</x:f>
      </x:c>
      <x:c r="E70" s="52" t="str">
        <x:f>IF(CaseLedger!$A70="","",IFERROR(CaseLedger!$K70,""))</x:f>
      </x:c>
      <x:c r="F70" s="52" t="str">
        <x:f>IF(CaseLedger!$A70="","",IFERROR(CaseLedger!$O70,""))</x:f>
      </x:c>
      <x:c r="G70" s="52" t="str">
        <x:f>IF(CaseLedger!$A70="","",IFERROR(CaseLedger!$E70,""))</x:f>
      </x:c>
      <x:c r="H70" s="52" t="str">
        <x:f>IF(CaseLedger!$A70="","",IFERROR(CaseLedger!$P70,""))</x:f>
      </x:c>
      <x:c r="I70" s="52" t="str">
        <x:f>IF(CaseLedger!$A70="","",IFERROR(CaseLedger!$Q70,""))</x:f>
      </x:c>
      <x:c r="J70" s="52" t="str">
        <x:f>IF(CaseLedger!$A70="","",IFERROR(CaseLedger!$R70,""))</x:f>
      </x:c>
      <x:c r="K70" s="52" t="str">
        <x:f>IF(CaseLedger!$A70="","",IFERROR(CaseLedger!$S70,""))</x:f>
      </x:c>
      <x:c r="L70" s="52" t="str">
        <x:f>IF(CaseLedger!$A70="","",IFERROR(CaseLedger!$T70,""))</x:f>
      </x:c>
      <x:c r="M70" s="52" t="str">
        <x:f>IF(CaseLedger!$A70="","",IFERROR(CaseLedger!$U70,""))</x:f>
      </x:c>
      <x:c r="N70" s="52" t="str">
        <x:f>IF(CaseLedger!$A70="","",IFERROR(CaseLedger!$V70,""))</x:f>
      </x:c>
      <x:c r="O70" s="52" t="str">
        <x:f>IF(CaseLedger!$A70="","",IFERROR(CaseLedger!$W70,""))</x:f>
      </x:c>
      <x:c r="P70" s="52" t="str">
        <x:f>IF(CaseLedger!$A70="","",IFERROR(CaseLedger!$C70,""))</x:f>
      </x:c>
      <x:c r="Q70" s="52" t="str">
        <x:f>IF(CaseLedger!$A70="","",IFERROR(CaseLedger!$D70,""))</x:f>
      </x:c>
      <x:c r="R70" s="52" t="str">
        <x:f>IF(CaseLedger!$A70="","",IFERROR(CaseLedger!$X70,""))</x:f>
      </x:c>
      <x:c r="S70" s="52" t="str">
        <x:f>IF(CaseLedger!$A70="","",IFERROR(CaseLedger!$Y70,""))</x:f>
      </x:c>
      <x:c r="T70" s="52" t="str">
        <x:f>IF(CaseLedger!$A70="","",IFERROR(CaseLedger!$Z70,""))</x:f>
      </x:c>
      <x:c r="U70" s="52" t="str">
        <x:f>IF(CaseLedger!$A70="","",IFERROR(CaseLedger!$AA70,""))</x:f>
      </x:c>
      <x:c r="V70" s="52" t="str">
        <x:f>IF(CaseLedger!$A70="","",IFERROR(CaseLedger!$AB70,""))</x:f>
      </x:c>
      <x:c r="W70" s="52" t="str">
        <x:f>IF(CaseLedger!$A70="","",IFERROR(CaseLedger!$AC70,""))</x:f>
      </x:c>
      <x:c r="X70" s="52" t="str">
        <x:f>IF(CaseLedger!$A70="","",IFERROR(CaseLedger!$AD70,""))</x:f>
      </x:c>
      <x:c r="Y70" s="52" t="str">
        <x:f>IF(CaseLedger!$A70="","",IFERROR(CaseLedger!$AE70,""))</x:f>
      </x:c>
      <x:c r="Z70" s="52" t="str">
        <x:f>IF(CaseLedger!$A70="","",IFERROR(CaseLedger!$AF70,""))</x:f>
      </x:c>
      <x:c r="AA70" s="52" t="str">
        <x:f>IF(CaseLedger!$A70="","",IFERROR(CaseLedger!$AG70,""))</x:f>
      </x:c>
      <x:c r="AB70" s="52" t="str">
        <x:f>IF(CaseLedger!$A70="","",IFERROR(CaseLedger!$AH70,""))</x:f>
      </x:c>
      <x:c r="AC70"/>
    </x:row>
    <x:row r="71">
      <x:c r="A71" s="52" t="str">
        <x:f>IF(CaseLedger!$A71="","",IFERROR(CaseLedger!$A71,""))</x:f>
      </x:c>
      <x:c r="B71" s="52" t="str">
        <x:f>IF(CaseLedger!$A71="","",IFERROR(CaseLedger!$H71,""))</x:f>
      </x:c>
      <x:c r="C71" s="52" t="str">
        <x:f>IF(CaseLedger!$A71="","",IFERROR(CaseLedger!$I71,""))</x:f>
      </x:c>
      <x:c r="D71" s="52" t="str">
        <x:f>IF(CaseLedger!$A71="","",IFERROR(CaseLedger!$J71,""))</x:f>
      </x:c>
      <x:c r="E71" s="52" t="str">
        <x:f>IF(CaseLedger!$A71="","",IFERROR(CaseLedger!$K71,""))</x:f>
      </x:c>
      <x:c r="F71" s="52" t="str">
        <x:f>IF(CaseLedger!$A71="","",IFERROR(CaseLedger!$O71,""))</x:f>
      </x:c>
      <x:c r="G71" s="52" t="str">
        <x:f>IF(CaseLedger!$A71="","",IFERROR(CaseLedger!$E71,""))</x:f>
      </x:c>
      <x:c r="H71" s="52" t="str">
        <x:f>IF(CaseLedger!$A71="","",IFERROR(CaseLedger!$P71,""))</x:f>
      </x:c>
      <x:c r="I71" s="52" t="str">
        <x:f>IF(CaseLedger!$A71="","",IFERROR(CaseLedger!$Q71,""))</x:f>
      </x:c>
      <x:c r="J71" s="52" t="str">
        <x:f>IF(CaseLedger!$A71="","",IFERROR(CaseLedger!$R71,""))</x:f>
      </x:c>
      <x:c r="K71" s="52" t="str">
        <x:f>IF(CaseLedger!$A71="","",IFERROR(CaseLedger!$S71,""))</x:f>
      </x:c>
      <x:c r="L71" s="52" t="str">
        <x:f>IF(CaseLedger!$A71="","",IFERROR(CaseLedger!$T71,""))</x:f>
      </x:c>
      <x:c r="M71" s="52" t="str">
        <x:f>IF(CaseLedger!$A71="","",IFERROR(CaseLedger!$U71,""))</x:f>
      </x:c>
      <x:c r="N71" s="52" t="str">
        <x:f>IF(CaseLedger!$A71="","",IFERROR(CaseLedger!$V71,""))</x:f>
      </x:c>
      <x:c r="O71" s="52" t="str">
        <x:f>IF(CaseLedger!$A71="","",IFERROR(CaseLedger!$W71,""))</x:f>
      </x:c>
      <x:c r="P71" s="52" t="str">
        <x:f>IF(CaseLedger!$A71="","",IFERROR(CaseLedger!$C71,""))</x:f>
      </x:c>
      <x:c r="Q71" s="52" t="str">
        <x:f>IF(CaseLedger!$A71="","",IFERROR(CaseLedger!$D71,""))</x:f>
      </x:c>
      <x:c r="R71" s="52" t="str">
        <x:f>IF(CaseLedger!$A71="","",IFERROR(CaseLedger!$X71,""))</x:f>
      </x:c>
      <x:c r="S71" s="52" t="str">
        <x:f>IF(CaseLedger!$A71="","",IFERROR(CaseLedger!$Y71,""))</x:f>
      </x:c>
      <x:c r="T71" s="52" t="str">
        <x:f>IF(CaseLedger!$A71="","",IFERROR(CaseLedger!$Z71,""))</x:f>
      </x:c>
      <x:c r="U71" s="52" t="str">
        <x:f>IF(CaseLedger!$A71="","",IFERROR(CaseLedger!$AA71,""))</x:f>
      </x:c>
      <x:c r="V71" s="52" t="str">
        <x:f>IF(CaseLedger!$A71="","",IFERROR(CaseLedger!$AB71,""))</x:f>
      </x:c>
      <x:c r="W71" s="52" t="str">
        <x:f>IF(CaseLedger!$A71="","",IFERROR(CaseLedger!$AC71,""))</x:f>
      </x:c>
      <x:c r="X71" s="52" t="str">
        <x:f>IF(CaseLedger!$A71="","",IFERROR(CaseLedger!$AD71,""))</x:f>
      </x:c>
      <x:c r="Y71" s="52" t="str">
        <x:f>IF(CaseLedger!$A71="","",IFERROR(CaseLedger!$AE71,""))</x:f>
      </x:c>
      <x:c r="Z71" s="52" t="str">
        <x:f>IF(CaseLedger!$A71="","",IFERROR(CaseLedger!$AF71,""))</x:f>
      </x:c>
      <x:c r="AA71" s="52" t="str">
        <x:f>IF(CaseLedger!$A71="","",IFERROR(CaseLedger!$AG71,""))</x:f>
      </x:c>
      <x:c r="AB71" s="52" t="str">
        <x:f>IF(CaseLedger!$A71="","",IFERROR(CaseLedger!$AH71,""))</x:f>
      </x:c>
      <x:c r="AC71"/>
    </x:row>
    <x:row r="72">
      <x:c r="A72" s="52" t="str">
        <x:f>IF(CaseLedger!$A72="","",IFERROR(CaseLedger!$A72,""))</x:f>
      </x:c>
      <x:c r="B72" s="52" t="str">
        <x:f>IF(CaseLedger!$A72="","",IFERROR(CaseLedger!$H72,""))</x:f>
      </x:c>
      <x:c r="C72" s="52" t="str">
        <x:f>IF(CaseLedger!$A72="","",IFERROR(CaseLedger!$I72,""))</x:f>
      </x:c>
      <x:c r="D72" s="52" t="str">
        <x:f>IF(CaseLedger!$A72="","",IFERROR(CaseLedger!$J72,""))</x:f>
      </x:c>
      <x:c r="E72" s="52" t="str">
        <x:f>IF(CaseLedger!$A72="","",IFERROR(CaseLedger!$K72,""))</x:f>
      </x:c>
      <x:c r="F72" s="52" t="str">
        <x:f>IF(CaseLedger!$A72="","",IFERROR(CaseLedger!$O72,""))</x:f>
      </x:c>
      <x:c r="G72" s="52" t="str">
        <x:f>IF(CaseLedger!$A72="","",IFERROR(CaseLedger!$E72,""))</x:f>
      </x:c>
      <x:c r="H72" s="52" t="str">
        <x:f>IF(CaseLedger!$A72="","",IFERROR(CaseLedger!$P72,""))</x:f>
      </x:c>
      <x:c r="I72" s="52" t="str">
        <x:f>IF(CaseLedger!$A72="","",IFERROR(CaseLedger!$Q72,""))</x:f>
      </x:c>
      <x:c r="J72" s="52" t="str">
        <x:f>IF(CaseLedger!$A72="","",IFERROR(CaseLedger!$R72,""))</x:f>
      </x:c>
      <x:c r="K72" s="52" t="str">
        <x:f>IF(CaseLedger!$A72="","",IFERROR(CaseLedger!$S72,""))</x:f>
      </x:c>
      <x:c r="L72" s="52" t="str">
        <x:f>IF(CaseLedger!$A72="","",IFERROR(CaseLedger!$T72,""))</x:f>
      </x:c>
      <x:c r="M72" s="52" t="str">
        <x:f>IF(CaseLedger!$A72="","",IFERROR(CaseLedger!$U72,""))</x:f>
      </x:c>
      <x:c r="N72" s="52" t="str">
        <x:f>IF(CaseLedger!$A72="","",IFERROR(CaseLedger!$V72,""))</x:f>
      </x:c>
      <x:c r="O72" s="52" t="str">
        <x:f>IF(CaseLedger!$A72="","",IFERROR(CaseLedger!$W72,""))</x:f>
      </x:c>
      <x:c r="P72" s="52" t="str">
        <x:f>IF(CaseLedger!$A72="","",IFERROR(CaseLedger!$C72,""))</x:f>
      </x:c>
      <x:c r="Q72" s="52" t="str">
        <x:f>IF(CaseLedger!$A72="","",IFERROR(CaseLedger!$D72,""))</x:f>
      </x:c>
      <x:c r="R72" s="52" t="str">
        <x:f>IF(CaseLedger!$A72="","",IFERROR(CaseLedger!$X72,""))</x:f>
      </x:c>
      <x:c r="S72" s="52" t="str">
        <x:f>IF(CaseLedger!$A72="","",IFERROR(CaseLedger!$Y72,""))</x:f>
      </x:c>
      <x:c r="T72" s="52" t="str">
        <x:f>IF(CaseLedger!$A72="","",IFERROR(CaseLedger!$Z72,""))</x:f>
      </x:c>
      <x:c r="U72" s="52" t="str">
        <x:f>IF(CaseLedger!$A72="","",IFERROR(CaseLedger!$AA72,""))</x:f>
      </x:c>
      <x:c r="V72" s="52" t="str">
        <x:f>IF(CaseLedger!$A72="","",IFERROR(CaseLedger!$AB72,""))</x:f>
      </x:c>
      <x:c r="W72" s="52" t="str">
        <x:f>IF(CaseLedger!$A72="","",IFERROR(CaseLedger!$AC72,""))</x:f>
      </x:c>
      <x:c r="X72" s="52" t="str">
        <x:f>IF(CaseLedger!$A72="","",IFERROR(CaseLedger!$AD72,""))</x:f>
      </x:c>
      <x:c r="Y72" s="52" t="str">
        <x:f>IF(CaseLedger!$A72="","",IFERROR(CaseLedger!$AE72,""))</x:f>
      </x:c>
      <x:c r="Z72" s="52" t="str">
        <x:f>IF(CaseLedger!$A72="","",IFERROR(CaseLedger!$AF72,""))</x:f>
      </x:c>
      <x:c r="AA72" s="52" t="str">
        <x:f>IF(CaseLedger!$A72="","",IFERROR(CaseLedger!$AG72,""))</x:f>
      </x:c>
      <x:c r="AB72" s="52" t="str">
        <x:f>IF(CaseLedger!$A72="","",IFERROR(CaseLedger!$AH72,""))</x:f>
      </x:c>
      <x:c r="AC72"/>
    </x:row>
    <x:row r="73">
      <x:c r="A73" s="52" t="str">
        <x:f>IF(CaseLedger!$A73="","",IFERROR(CaseLedger!$A73,""))</x:f>
      </x:c>
      <x:c r="B73" s="52" t="str">
        <x:f>IF(CaseLedger!$A73="","",IFERROR(CaseLedger!$H73,""))</x:f>
      </x:c>
      <x:c r="C73" s="52" t="str">
        <x:f>IF(CaseLedger!$A73="","",IFERROR(CaseLedger!$I73,""))</x:f>
      </x:c>
      <x:c r="D73" s="52" t="str">
        <x:f>IF(CaseLedger!$A73="","",IFERROR(CaseLedger!$J73,""))</x:f>
      </x:c>
      <x:c r="E73" s="52" t="str">
        <x:f>IF(CaseLedger!$A73="","",IFERROR(CaseLedger!$K73,""))</x:f>
      </x:c>
      <x:c r="F73" s="52" t="str">
        <x:f>IF(CaseLedger!$A73="","",IFERROR(CaseLedger!$O73,""))</x:f>
      </x:c>
      <x:c r="G73" s="52" t="str">
        <x:f>IF(CaseLedger!$A73="","",IFERROR(CaseLedger!$E73,""))</x:f>
      </x:c>
      <x:c r="H73" s="52" t="str">
        <x:f>IF(CaseLedger!$A73="","",IFERROR(CaseLedger!$P73,""))</x:f>
      </x:c>
      <x:c r="I73" s="52" t="str">
        <x:f>IF(CaseLedger!$A73="","",IFERROR(CaseLedger!$Q73,""))</x:f>
      </x:c>
      <x:c r="J73" s="52" t="str">
        <x:f>IF(CaseLedger!$A73="","",IFERROR(CaseLedger!$R73,""))</x:f>
      </x:c>
      <x:c r="K73" s="52" t="str">
        <x:f>IF(CaseLedger!$A73="","",IFERROR(CaseLedger!$S73,""))</x:f>
      </x:c>
      <x:c r="L73" s="52" t="str">
        <x:f>IF(CaseLedger!$A73="","",IFERROR(CaseLedger!$T73,""))</x:f>
      </x:c>
      <x:c r="M73" s="52" t="str">
        <x:f>IF(CaseLedger!$A73="","",IFERROR(CaseLedger!$U73,""))</x:f>
      </x:c>
      <x:c r="N73" s="52" t="str">
        <x:f>IF(CaseLedger!$A73="","",IFERROR(CaseLedger!$V73,""))</x:f>
      </x:c>
      <x:c r="O73" s="52" t="str">
        <x:f>IF(CaseLedger!$A73="","",IFERROR(CaseLedger!$W73,""))</x:f>
      </x:c>
      <x:c r="P73" s="52" t="str">
        <x:f>IF(CaseLedger!$A73="","",IFERROR(CaseLedger!$C73,""))</x:f>
      </x:c>
      <x:c r="Q73" s="52" t="str">
        <x:f>IF(CaseLedger!$A73="","",IFERROR(CaseLedger!$D73,""))</x:f>
      </x:c>
      <x:c r="R73" s="52" t="str">
        <x:f>IF(CaseLedger!$A73="","",IFERROR(CaseLedger!$X73,""))</x:f>
      </x:c>
      <x:c r="S73" s="52" t="str">
        <x:f>IF(CaseLedger!$A73="","",IFERROR(CaseLedger!$Y73,""))</x:f>
      </x:c>
      <x:c r="T73" s="52" t="str">
        <x:f>IF(CaseLedger!$A73="","",IFERROR(CaseLedger!$Z73,""))</x:f>
      </x:c>
      <x:c r="U73" s="52" t="str">
        <x:f>IF(CaseLedger!$A73="","",IFERROR(CaseLedger!$AA73,""))</x:f>
      </x:c>
      <x:c r="V73" s="52" t="str">
        <x:f>IF(CaseLedger!$A73="","",IFERROR(CaseLedger!$AB73,""))</x:f>
      </x:c>
      <x:c r="W73" s="52" t="str">
        <x:f>IF(CaseLedger!$A73="","",IFERROR(CaseLedger!$AC73,""))</x:f>
      </x:c>
      <x:c r="X73" s="52" t="str">
        <x:f>IF(CaseLedger!$A73="","",IFERROR(CaseLedger!$AD73,""))</x:f>
      </x:c>
      <x:c r="Y73" s="52" t="str">
        <x:f>IF(CaseLedger!$A73="","",IFERROR(CaseLedger!$AE73,""))</x:f>
      </x:c>
      <x:c r="Z73" s="52" t="str">
        <x:f>IF(CaseLedger!$A73="","",IFERROR(CaseLedger!$AF73,""))</x:f>
      </x:c>
      <x:c r="AA73" s="52" t="str">
        <x:f>IF(CaseLedger!$A73="","",IFERROR(CaseLedger!$AG73,""))</x:f>
      </x:c>
      <x:c r="AB73" s="52" t="str">
        <x:f>IF(CaseLedger!$A73="","",IFERROR(CaseLedger!$AH73,""))</x:f>
      </x:c>
      <x:c r="AC73"/>
    </x:row>
    <x:row r="74">
      <x:c r="A74" s="52" t="str">
        <x:f>IF(CaseLedger!$A74="","",IFERROR(CaseLedger!$A74,""))</x:f>
      </x:c>
      <x:c r="B74" s="52" t="str">
        <x:f>IF(CaseLedger!$A74="","",IFERROR(CaseLedger!$H74,""))</x:f>
      </x:c>
      <x:c r="C74" s="52" t="str">
        <x:f>IF(CaseLedger!$A74="","",IFERROR(CaseLedger!$I74,""))</x:f>
      </x:c>
      <x:c r="D74" s="52" t="str">
        <x:f>IF(CaseLedger!$A74="","",IFERROR(CaseLedger!$J74,""))</x:f>
      </x:c>
      <x:c r="E74" s="52" t="str">
        <x:f>IF(CaseLedger!$A74="","",IFERROR(CaseLedger!$K74,""))</x:f>
      </x:c>
      <x:c r="F74" s="52" t="str">
        <x:f>IF(CaseLedger!$A74="","",IFERROR(CaseLedger!$O74,""))</x:f>
      </x:c>
      <x:c r="G74" s="52" t="str">
        <x:f>IF(CaseLedger!$A74="","",IFERROR(CaseLedger!$E74,""))</x:f>
      </x:c>
      <x:c r="H74" s="52" t="str">
        <x:f>IF(CaseLedger!$A74="","",IFERROR(CaseLedger!$P74,""))</x:f>
      </x:c>
      <x:c r="I74" s="52" t="str">
        <x:f>IF(CaseLedger!$A74="","",IFERROR(CaseLedger!$Q74,""))</x:f>
      </x:c>
      <x:c r="J74" s="52" t="str">
        <x:f>IF(CaseLedger!$A74="","",IFERROR(CaseLedger!$R74,""))</x:f>
      </x:c>
      <x:c r="K74" s="52" t="str">
        <x:f>IF(CaseLedger!$A74="","",IFERROR(CaseLedger!$S74,""))</x:f>
      </x:c>
      <x:c r="L74" s="52" t="str">
        <x:f>IF(CaseLedger!$A74="","",IFERROR(CaseLedger!$T74,""))</x:f>
      </x:c>
      <x:c r="M74" s="52" t="str">
        <x:f>IF(CaseLedger!$A74="","",IFERROR(CaseLedger!$U74,""))</x:f>
      </x:c>
      <x:c r="N74" s="52" t="str">
        <x:f>IF(CaseLedger!$A74="","",IFERROR(CaseLedger!$V74,""))</x:f>
      </x:c>
      <x:c r="O74" s="52" t="str">
        <x:f>IF(CaseLedger!$A74="","",IFERROR(CaseLedger!$W74,""))</x:f>
      </x:c>
      <x:c r="P74" s="52" t="str">
        <x:f>IF(CaseLedger!$A74="","",IFERROR(CaseLedger!$C74,""))</x:f>
      </x:c>
      <x:c r="Q74" s="52" t="str">
        <x:f>IF(CaseLedger!$A74="","",IFERROR(CaseLedger!$D74,""))</x:f>
      </x:c>
      <x:c r="R74" s="52" t="str">
        <x:f>IF(CaseLedger!$A74="","",IFERROR(CaseLedger!$X74,""))</x:f>
      </x:c>
      <x:c r="S74" s="52" t="str">
        <x:f>IF(CaseLedger!$A74="","",IFERROR(CaseLedger!$Y74,""))</x:f>
      </x:c>
      <x:c r="T74" s="52" t="str">
        <x:f>IF(CaseLedger!$A74="","",IFERROR(CaseLedger!$Z74,""))</x:f>
      </x:c>
      <x:c r="U74" s="52" t="str">
        <x:f>IF(CaseLedger!$A74="","",IFERROR(CaseLedger!$AA74,""))</x:f>
      </x:c>
      <x:c r="V74" s="52" t="str">
        <x:f>IF(CaseLedger!$A74="","",IFERROR(CaseLedger!$AB74,""))</x:f>
      </x:c>
      <x:c r="W74" s="52" t="str">
        <x:f>IF(CaseLedger!$A74="","",IFERROR(CaseLedger!$AC74,""))</x:f>
      </x:c>
      <x:c r="X74" s="52" t="str">
        <x:f>IF(CaseLedger!$A74="","",IFERROR(CaseLedger!$AD74,""))</x:f>
      </x:c>
      <x:c r="Y74" s="52" t="str">
        <x:f>IF(CaseLedger!$A74="","",IFERROR(CaseLedger!$AE74,""))</x:f>
      </x:c>
      <x:c r="Z74" s="52" t="str">
        <x:f>IF(CaseLedger!$A74="","",IFERROR(CaseLedger!$AF74,""))</x:f>
      </x:c>
      <x:c r="AA74" s="52" t="str">
        <x:f>IF(CaseLedger!$A74="","",IFERROR(CaseLedger!$AG74,""))</x:f>
      </x:c>
      <x:c r="AB74" s="52" t="str">
        <x:f>IF(CaseLedger!$A74="","",IFERROR(CaseLedger!$AH74,""))</x:f>
      </x:c>
      <x:c r="AC74"/>
    </x:row>
    <x:row r="75">
      <x:c r="A75" s="52" t="str">
        <x:f>IF(CaseLedger!$A75="","",IFERROR(CaseLedger!$A75,""))</x:f>
      </x:c>
      <x:c r="B75" s="52" t="str">
        <x:f>IF(CaseLedger!$A75="","",IFERROR(CaseLedger!$H75,""))</x:f>
      </x:c>
      <x:c r="C75" s="52" t="str">
        <x:f>IF(CaseLedger!$A75="","",IFERROR(CaseLedger!$I75,""))</x:f>
      </x:c>
      <x:c r="D75" s="52" t="str">
        <x:f>IF(CaseLedger!$A75="","",IFERROR(CaseLedger!$J75,""))</x:f>
      </x:c>
      <x:c r="E75" s="52" t="str">
        <x:f>IF(CaseLedger!$A75="","",IFERROR(CaseLedger!$K75,""))</x:f>
      </x:c>
      <x:c r="F75" s="52" t="str">
        <x:f>IF(CaseLedger!$A75="","",IFERROR(CaseLedger!$O75,""))</x:f>
      </x:c>
      <x:c r="G75" s="52" t="str">
        <x:f>IF(CaseLedger!$A75="","",IFERROR(CaseLedger!$E75,""))</x:f>
      </x:c>
      <x:c r="H75" s="52" t="str">
        <x:f>IF(CaseLedger!$A75="","",IFERROR(CaseLedger!$P75,""))</x:f>
      </x:c>
      <x:c r="I75" s="52" t="str">
        <x:f>IF(CaseLedger!$A75="","",IFERROR(CaseLedger!$Q75,""))</x:f>
      </x:c>
      <x:c r="J75" s="52" t="str">
        <x:f>IF(CaseLedger!$A75="","",IFERROR(CaseLedger!$R75,""))</x:f>
      </x:c>
      <x:c r="K75" s="52" t="str">
        <x:f>IF(CaseLedger!$A75="","",IFERROR(CaseLedger!$S75,""))</x:f>
      </x:c>
      <x:c r="L75" s="52" t="str">
        <x:f>IF(CaseLedger!$A75="","",IFERROR(CaseLedger!$T75,""))</x:f>
      </x:c>
      <x:c r="M75" s="52" t="str">
        <x:f>IF(CaseLedger!$A75="","",IFERROR(CaseLedger!$U75,""))</x:f>
      </x:c>
      <x:c r="N75" s="52" t="str">
        <x:f>IF(CaseLedger!$A75="","",IFERROR(CaseLedger!$V75,""))</x:f>
      </x:c>
      <x:c r="O75" s="52" t="str">
        <x:f>IF(CaseLedger!$A75="","",IFERROR(CaseLedger!$W75,""))</x:f>
      </x:c>
      <x:c r="P75" s="52" t="str">
        <x:f>IF(CaseLedger!$A75="","",IFERROR(CaseLedger!$C75,""))</x:f>
      </x:c>
      <x:c r="Q75" s="52" t="str">
        <x:f>IF(CaseLedger!$A75="","",IFERROR(CaseLedger!$D75,""))</x:f>
      </x:c>
      <x:c r="R75" s="52" t="str">
        <x:f>IF(CaseLedger!$A75="","",IFERROR(CaseLedger!$X75,""))</x:f>
      </x:c>
      <x:c r="S75" s="52" t="str">
        <x:f>IF(CaseLedger!$A75="","",IFERROR(CaseLedger!$Y75,""))</x:f>
      </x:c>
      <x:c r="T75" s="52" t="str">
        <x:f>IF(CaseLedger!$A75="","",IFERROR(CaseLedger!$Z75,""))</x:f>
      </x:c>
      <x:c r="U75" s="52" t="str">
        <x:f>IF(CaseLedger!$A75="","",IFERROR(CaseLedger!$AA75,""))</x:f>
      </x:c>
      <x:c r="V75" s="52" t="str">
        <x:f>IF(CaseLedger!$A75="","",IFERROR(CaseLedger!$AB75,""))</x:f>
      </x:c>
      <x:c r="W75" s="52" t="str">
        <x:f>IF(CaseLedger!$A75="","",IFERROR(CaseLedger!$AC75,""))</x:f>
      </x:c>
      <x:c r="X75" s="52" t="str">
        <x:f>IF(CaseLedger!$A75="","",IFERROR(CaseLedger!$AD75,""))</x:f>
      </x:c>
      <x:c r="Y75" s="52" t="str">
        <x:f>IF(CaseLedger!$A75="","",IFERROR(CaseLedger!$AE75,""))</x:f>
      </x:c>
      <x:c r="Z75" s="52" t="str">
        <x:f>IF(CaseLedger!$A75="","",IFERROR(CaseLedger!$AF75,""))</x:f>
      </x:c>
      <x:c r="AA75" s="52" t="str">
        <x:f>IF(CaseLedger!$A75="","",IFERROR(CaseLedger!$AG75,""))</x:f>
      </x:c>
      <x:c r="AB75" s="52" t="str">
        <x:f>IF(CaseLedger!$A75="","",IFERROR(CaseLedger!$AH75,""))</x:f>
      </x:c>
      <x:c r="AC75"/>
    </x:row>
    <x:row r="76">
      <x:c r="A76" s="52" t="str">
        <x:f>IF(CaseLedger!$A76="","",IFERROR(CaseLedger!$A76,""))</x:f>
      </x:c>
      <x:c r="B76" s="52" t="str">
        <x:f>IF(CaseLedger!$A76="","",IFERROR(CaseLedger!$H76,""))</x:f>
      </x:c>
      <x:c r="C76" s="52" t="str">
        <x:f>IF(CaseLedger!$A76="","",IFERROR(CaseLedger!$I76,""))</x:f>
      </x:c>
      <x:c r="D76" s="52" t="str">
        <x:f>IF(CaseLedger!$A76="","",IFERROR(CaseLedger!$J76,""))</x:f>
      </x:c>
      <x:c r="E76" s="52" t="str">
        <x:f>IF(CaseLedger!$A76="","",IFERROR(CaseLedger!$K76,""))</x:f>
      </x:c>
      <x:c r="F76" s="52" t="str">
        <x:f>IF(CaseLedger!$A76="","",IFERROR(CaseLedger!$O76,""))</x:f>
      </x:c>
      <x:c r="G76" s="52" t="str">
        <x:f>IF(CaseLedger!$A76="","",IFERROR(CaseLedger!$E76,""))</x:f>
      </x:c>
      <x:c r="H76" s="52" t="str">
        <x:f>IF(CaseLedger!$A76="","",IFERROR(CaseLedger!$P76,""))</x:f>
      </x:c>
      <x:c r="I76" s="52" t="str">
        <x:f>IF(CaseLedger!$A76="","",IFERROR(CaseLedger!$Q76,""))</x:f>
      </x:c>
      <x:c r="J76" s="52" t="str">
        <x:f>IF(CaseLedger!$A76="","",IFERROR(CaseLedger!$R76,""))</x:f>
      </x:c>
      <x:c r="K76" s="52" t="str">
        <x:f>IF(CaseLedger!$A76="","",IFERROR(CaseLedger!$S76,""))</x:f>
      </x:c>
      <x:c r="L76" s="52" t="str">
        <x:f>IF(CaseLedger!$A76="","",IFERROR(CaseLedger!$T76,""))</x:f>
      </x:c>
      <x:c r="M76" s="52" t="str">
        <x:f>IF(CaseLedger!$A76="","",IFERROR(CaseLedger!$U76,""))</x:f>
      </x:c>
      <x:c r="N76" s="52" t="str">
        <x:f>IF(CaseLedger!$A76="","",IFERROR(CaseLedger!$V76,""))</x:f>
      </x:c>
      <x:c r="O76" s="52" t="str">
        <x:f>IF(CaseLedger!$A76="","",IFERROR(CaseLedger!$W76,""))</x:f>
      </x:c>
      <x:c r="P76" s="52" t="str">
        <x:f>IF(CaseLedger!$A76="","",IFERROR(CaseLedger!$C76,""))</x:f>
      </x:c>
      <x:c r="Q76" s="52" t="str">
        <x:f>IF(CaseLedger!$A76="","",IFERROR(CaseLedger!$D76,""))</x:f>
      </x:c>
      <x:c r="R76" s="52" t="str">
        <x:f>IF(CaseLedger!$A76="","",IFERROR(CaseLedger!$X76,""))</x:f>
      </x:c>
      <x:c r="S76" s="52" t="str">
        <x:f>IF(CaseLedger!$A76="","",IFERROR(CaseLedger!$Y76,""))</x:f>
      </x:c>
      <x:c r="T76" s="52" t="str">
        <x:f>IF(CaseLedger!$A76="","",IFERROR(CaseLedger!$Z76,""))</x:f>
      </x:c>
      <x:c r="U76" s="52" t="str">
        <x:f>IF(CaseLedger!$A76="","",IFERROR(CaseLedger!$AA76,""))</x:f>
      </x:c>
      <x:c r="V76" s="52" t="str">
        <x:f>IF(CaseLedger!$A76="","",IFERROR(CaseLedger!$AB76,""))</x:f>
      </x:c>
      <x:c r="W76" s="52" t="str">
        <x:f>IF(CaseLedger!$A76="","",IFERROR(CaseLedger!$AC76,""))</x:f>
      </x:c>
      <x:c r="X76" s="52" t="str">
        <x:f>IF(CaseLedger!$A76="","",IFERROR(CaseLedger!$AD76,""))</x:f>
      </x:c>
      <x:c r="Y76" s="52" t="str">
        <x:f>IF(CaseLedger!$A76="","",IFERROR(CaseLedger!$AE76,""))</x:f>
      </x:c>
      <x:c r="Z76" s="52" t="str">
        <x:f>IF(CaseLedger!$A76="","",IFERROR(CaseLedger!$AF76,""))</x:f>
      </x:c>
      <x:c r="AA76" s="52" t="str">
        <x:f>IF(CaseLedger!$A76="","",IFERROR(CaseLedger!$AG76,""))</x:f>
      </x:c>
      <x:c r="AB76" s="52" t="str">
        <x:f>IF(CaseLedger!$A76="","",IFERROR(CaseLedger!$AH76,""))</x:f>
      </x:c>
      <x:c r="AC76"/>
    </x:row>
    <x:row r="77">
      <x:c r="A77" s="52" t="str">
        <x:f>IF(CaseLedger!$A77="","",IFERROR(CaseLedger!$A77,""))</x:f>
      </x:c>
      <x:c r="B77" s="52" t="str">
        <x:f>IF(CaseLedger!$A77="","",IFERROR(CaseLedger!$H77,""))</x:f>
      </x:c>
      <x:c r="C77" s="52" t="str">
        <x:f>IF(CaseLedger!$A77="","",IFERROR(CaseLedger!$I77,""))</x:f>
      </x:c>
      <x:c r="D77" s="52" t="str">
        <x:f>IF(CaseLedger!$A77="","",IFERROR(CaseLedger!$J77,""))</x:f>
      </x:c>
      <x:c r="E77" s="52" t="str">
        <x:f>IF(CaseLedger!$A77="","",IFERROR(CaseLedger!$K77,""))</x:f>
      </x:c>
      <x:c r="F77" s="52" t="str">
        <x:f>IF(CaseLedger!$A77="","",IFERROR(CaseLedger!$O77,""))</x:f>
      </x:c>
      <x:c r="G77" s="52" t="str">
        <x:f>IF(CaseLedger!$A77="","",IFERROR(CaseLedger!$E77,""))</x:f>
      </x:c>
      <x:c r="H77" s="52" t="str">
        <x:f>IF(CaseLedger!$A77="","",IFERROR(CaseLedger!$P77,""))</x:f>
      </x:c>
      <x:c r="I77" s="52" t="str">
        <x:f>IF(CaseLedger!$A77="","",IFERROR(CaseLedger!$Q77,""))</x:f>
      </x:c>
      <x:c r="J77" s="52" t="str">
        <x:f>IF(CaseLedger!$A77="","",IFERROR(CaseLedger!$R77,""))</x:f>
      </x:c>
      <x:c r="K77" s="52" t="str">
        <x:f>IF(CaseLedger!$A77="","",IFERROR(CaseLedger!$S77,""))</x:f>
      </x:c>
      <x:c r="L77" s="52" t="str">
        <x:f>IF(CaseLedger!$A77="","",IFERROR(CaseLedger!$T77,""))</x:f>
      </x:c>
      <x:c r="M77" s="52" t="str">
        <x:f>IF(CaseLedger!$A77="","",IFERROR(CaseLedger!$U77,""))</x:f>
      </x:c>
      <x:c r="N77" s="52" t="str">
        <x:f>IF(CaseLedger!$A77="","",IFERROR(CaseLedger!$V77,""))</x:f>
      </x:c>
      <x:c r="O77" s="52" t="str">
        <x:f>IF(CaseLedger!$A77="","",IFERROR(CaseLedger!$W77,""))</x:f>
      </x:c>
      <x:c r="P77" s="52" t="str">
        <x:f>IF(CaseLedger!$A77="","",IFERROR(CaseLedger!$C77,""))</x:f>
      </x:c>
      <x:c r="Q77" s="52" t="str">
        <x:f>IF(CaseLedger!$A77="","",IFERROR(CaseLedger!$D77,""))</x:f>
      </x:c>
      <x:c r="R77" s="52" t="str">
        <x:f>IF(CaseLedger!$A77="","",IFERROR(CaseLedger!$X77,""))</x:f>
      </x:c>
      <x:c r="S77" s="52" t="str">
        <x:f>IF(CaseLedger!$A77="","",IFERROR(CaseLedger!$Y77,""))</x:f>
      </x:c>
      <x:c r="T77" s="52" t="str">
        <x:f>IF(CaseLedger!$A77="","",IFERROR(CaseLedger!$Z77,""))</x:f>
      </x:c>
      <x:c r="U77" s="52" t="str">
        <x:f>IF(CaseLedger!$A77="","",IFERROR(CaseLedger!$AA77,""))</x:f>
      </x:c>
      <x:c r="V77" s="52" t="str">
        <x:f>IF(CaseLedger!$A77="","",IFERROR(CaseLedger!$AB77,""))</x:f>
      </x:c>
      <x:c r="W77" s="52" t="str">
        <x:f>IF(CaseLedger!$A77="","",IFERROR(CaseLedger!$AC77,""))</x:f>
      </x:c>
      <x:c r="X77" s="52" t="str">
        <x:f>IF(CaseLedger!$A77="","",IFERROR(CaseLedger!$AD77,""))</x:f>
      </x:c>
      <x:c r="Y77" s="52" t="str">
        <x:f>IF(CaseLedger!$A77="","",IFERROR(CaseLedger!$AE77,""))</x:f>
      </x:c>
      <x:c r="Z77" s="52" t="str">
        <x:f>IF(CaseLedger!$A77="","",IFERROR(CaseLedger!$AF77,""))</x:f>
      </x:c>
      <x:c r="AA77" s="52" t="str">
        <x:f>IF(CaseLedger!$A77="","",IFERROR(CaseLedger!$AG77,""))</x:f>
      </x:c>
      <x:c r="AB77" s="52" t="str">
        <x:f>IF(CaseLedger!$A77="","",IFERROR(CaseLedger!$AH77,""))</x:f>
      </x:c>
      <x:c r="AC77"/>
    </x:row>
    <x:row r="78">
      <x:c r="A78" s="52" t="str">
        <x:f>IF(CaseLedger!$A78="","",IFERROR(CaseLedger!$A78,""))</x:f>
      </x:c>
      <x:c r="B78" s="52" t="str">
        <x:f>IF(CaseLedger!$A78="","",IFERROR(CaseLedger!$H78,""))</x:f>
      </x:c>
      <x:c r="C78" s="52" t="str">
        <x:f>IF(CaseLedger!$A78="","",IFERROR(CaseLedger!$I78,""))</x:f>
      </x:c>
      <x:c r="D78" s="52" t="str">
        <x:f>IF(CaseLedger!$A78="","",IFERROR(CaseLedger!$J78,""))</x:f>
      </x:c>
      <x:c r="E78" s="52" t="str">
        <x:f>IF(CaseLedger!$A78="","",IFERROR(CaseLedger!$K78,""))</x:f>
      </x:c>
      <x:c r="F78" s="52" t="str">
        <x:f>IF(CaseLedger!$A78="","",IFERROR(CaseLedger!$O78,""))</x:f>
      </x:c>
      <x:c r="G78" s="52" t="str">
        <x:f>IF(CaseLedger!$A78="","",IFERROR(CaseLedger!$E78,""))</x:f>
      </x:c>
      <x:c r="H78" s="52" t="str">
        <x:f>IF(CaseLedger!$A78="","",IFERROR(CaseLedger!$P78,""))</x:f>
      </x:c>
      <x:c r="I78" s="52" t="str">
        <x:f>IF(CaseLedger!$A78="","",IFERROR(CaseLedger!$Q78,""))</x:f>
      </x:c>
      <x:c r="J78" s="52" t="str">
        <x:f>IF(CaseLedger!$A78="","",IFERROR(CaseLedger!$R78,""))</x:f>
      </x:c>
      <x:c r="K78" s="52" t="str">
        <x:f>IF(CaseLedger!$A78="","",IFERROR(CaseLedger!$S78,""))</x:f>
      </x:c>
      <x:c r="L78" s="52" t="str">
        <x:f>IF(CaseLedger!$A78="","",IFERROR(CaseLedger!$T78,""))</x:f>
      </x:c>
      <x:c r="M78" s="52" t="str">
        <x:f>IF(CaseLedger!$A78="","",IFERROR(CaseLedger!$U78,""))</x:f>
      </x:c>
      <x:c r="N78" s="52" t="str">
        <x:f>IF(CaseLedger!$A78="","",IFERROR(CaseLedger!$V78,""))</x:f>
      </x:c>
      <x:c r="O78" s="52" t="str">
        <x:f>IF(CaseLedger!$A78="","",IFERROR(CaseLedger!$W78,""))</x:f>
      </x:c>
      <x:c r="P78" s="52" t="str">
        <x:f>IF(CaseLedger!$A78="","",IFERROR(CaseLedger!$C78,""))</x:f>
      </x:c>
      <x:c r="Q78" s="52" t="str">
        <x:f>IF(CaseLedger!$A78="","",IFERROR(CaseLedger!$D78,""))</x:f>
      </x:c>
      <x:c r="R78" s="52" t="str">
        <x:f>IF(CaseLedger!$A78="","",IFERROR(CaseLedger!$X78,""))</x:f>
      </x:c>
      <x:c r="S78" s="52" t="str">
        <x:f>IF(CaseLedger!$A78="","",IFERROR(CaseLedger!$Y78,""))</x:f>
      </x:c>
      <x:c r="T78" s="52" t="str">
        <x:f>IF(CaseLedger!$A78="","",IFERROR(CaseLedger!$Z78,""))</x:f>
      </x:c>
      <x:c r="U78" s="52" t="str">
        <x:f>IF(CaseLedger!$A78="","",IFERROR(CaseLedger!$AA78,""))</x:f>
      </x:c>
      <x:c r="V78" s="52" t="str">
        <x:f>IF(CaseLedger!$A78="","",IFERROR(CaseLedger!$AB78,""))</x:f>
      </x:c>
      <x:c r="W78" s="52" t="str">
        <x:f>IF(CaseLedger!$A78="","",IFERROR(CaseLedger!$AC78,""))</x:f>
      </x:c>
      <x:c r="X78" s="52" t="str">
        <x:f>IF(CaseLedger!$A78="","",IFERROR(CaseLedger!$AD78,""))</x:f>
      </x:c>
      <x:c r="Y78" s="52" t="str">
        <x:f>IF(CaseLedger!$A78="","",IFERROR(CaseLedger!$AE78,""))</x:f>
      </x:c>
      <x:c r="Z78" s="52" t="str">
        <x:f>IF(CaseLedger!$A78="","",IFERROR(CaseLedger!$AF78,""))</x:f>
      </x:c>
      <x:c r="AA78" s="52" t="str">
        <x:f>IF(CaseLedger!$A78="","",IFERROR(CaseLedger!$AG78,""))</x:f>
      </x:c>
      <x:c r="AB78" s="52" t="str">
        <x:f>IF(CaseLedger!$A78="","",IFERROR(CaseLedger!$AH78,""))</x:f>
      </x:c>
      <x:c r="AC78"/>
    </x:row>
    <x:row r="79">
      <x:c r="A79" s="52" t="str">
        <x:f>IF(CaseLedger!$A79="","",IFERROR(CaseLedger!$A79,""))</x:f>
      </x:c>
      <x:c r="B79" s="52" t="str">
        <x:f>IF(CaseLedger!$A79="","",IFERROR(CaseLedger!$H79,""))</x:f>
      </x:c>
      <x:c r="C79" s="52" t="str">
        <x:f>IF(CaseLedger!$A79="","",IFERROR(CaseLedger!$I79,""))</x:f>
      </x:c>
      <x:c r="D79" s="52" t="str">
        <x:f>IF(CaseLedger!$A79="","",IFERROR(CaseLedger!$J79,""))</x:f>
      </x:c>
      <x:c r="E79" s="52" t="str">
        <x:f>IF(CaseLedger!$A79="","",IFERROR(CaseLedger!$K79,""))</x:f>
      </x:c>
      <x:c r="F79" s="52" t="str">
        <x:f>IF(CaseLedger!$A79="","",IFERROR(CaseLedger!$O79,""))</x:f>
      </x:c>
      <x:c r="G79" s="52" t="str">
        <x:f>IF(CaseLedger!$A79="","",IFERROR(CaseLedger!$E79,""))</x:f>
      </x:c>
      <x:c r="H79" s="52" t="str">
        <x:f>IF(CaseLedger!$A79="","",IFERROR(CaseLedger!$P79,""))</x:f>
      </x:c>
      <x:c r="I79" s="52" t="str">
        <x:f>IF(CaseLedger!$A79="","",IFERROR(CaseLedger!$Q79,""))</x:f>
      </x:c>
      <x:c r="J79" s="52" t="str">
        <x:f>IF(CaseLedger!$A79="","",IFERROR(CaseLedger!$R79,""))</x:f>
      </x:c>
      <x:c r="K79" s="52" t="str">
        <x:f>IF(CaseLedger!$A79="","",IFERROR(CaseLedger!$S79,""))</x:f>
      </x:c>
      <x:c r="L79" s="52" t="str">
        <x:f>IF(CaseLedger!$A79="","",IFERROR(CaseLedger!$T79,""))</x:f>
      </x:c>
      <x:c r="M79" s="52" t="str">
        <x:f>IF(CaseLedger!$A79="","",IFERROR(CaseLedger!$U79,""))</x:f>
      </x:c>
      <x:c r="N79" s="52" t="str">
        <x:f>IF(CaseLedger!$A79="","",IFERROR(CaseLedger!$V79,""))</x:f>
      </x:c>
      <x:c r="O79" s="52" t="str">
        <x:f>IF(CaseLedger!$A79="","",IFERROR(CaseLedger!$W79,""))</x:f>
      </x:c>
      <x:c r="P79" s="52" t="str">
        <x:f>IF(CaseLedger!$A79="","",IFERROR(CaseLedger!$C79,""))</x:f>
      </x:c>
      <x:c r="Q79" s="52" t="str">
        <x:f>IF(CaseLedger!$A79="","",IFERROR(CaseLedger!$D79,""))</x:f>
      </x:c>
      <x:c r="R79" s="52" t="str">
        <x:f>IF(CaseLedger!$A79="","",IFERROR(CaseLedger!$X79,""))</x:f>
      </x:c>
      <x:c r="S79" s="52" t="str">
        <x:f>IF(CaseLedger!$A79="","",IFERROR(CaseLedger!$Y79,""))</x:f>
      </x:c>
      <x:c r="T79" s="52" t="str">
        <x:f>IF(CaseLedger!$A79="","",IFERROR(CaseLedger!$Z79,""))</x:f>
      </x:c>
      <x:c r="U79" s="52" t="str">
        <x:f>IF(CaseLedger!$A79="","",IFERROR(CaseLedger!$AA79,""))</x:f>
      </x:c>
      <x:c r="V79" s="52" t="str">
        <x:f>IF(CaseLedger!$A79="","",IFERROR(CaseLedger!$AB79,""))</x:f>
      </x:c>
      <x:c r="W79" s="52" t="str">
        <x:f>IF(CaseLedger!$A79="","",IFERROR(CaseLedger!$AC79,""))</x:f>
      </x:c>
      <x:c r="X79" s="52" t="str">
        <x:f>IF(CaseLedger!$A79="","",IFERROR(CaseLedger!$AD79,""))</x:f>
      </x:c>
      <x:c r="Y79" s="52" t="str">
        <x:f>IF(CaseLedger!$A79="","",IFERROR(CaseLedger!$AE79,""))</x:f>
      </x:c>
      <x:c r="Z79" s="52" t="str">
        <x:f>IF(CaseLedger!$A79="","",IFERROR(CaseLedger!$AF79,""))</x:f>
      </x:c>
      <x:c r="AA79" s="52" t="str">
        <x:f>IF(CaseLedger!$A79="","",IFERROR(CaseLedger!$AG79,""))</x:f>
      </x:c>
      <x:c r="AB79" s="52" t="str">
        <x:f>IF(CaseLedger!$A79="","",IFERROR(CaseLedger!$AH79,""))</x:f>
      </x:c>
      <x:c r="AC79"/>
    </x:row>
    <x:row r="80">
      <x:c r="A80" s="52" t="str">
        <x:f>IF(CaseLedger!$A80="","",IFERROR(CaseLedger!$A80,""))</x:f>
      </x:c>
      <x:c r="B80" s="52" t="str">
        <x:f>IF(CaseLedger!$A80="","",IFERROR(CaseLedger!$H80,""))</x:f>
      </x:c>
      <x:c r="C80" s="52" t="str">
        <x:f>IF(CaseLedger!$A80="","",IFERROR(CaseLedger!$I80,""))</x:f>
      </x:c>
      <x:c r="D80" s="52" t="str">
        <x:f>IF(CaseLedger!$A80="","",IFERROR(CaseLedger!$J80,""))</x:f>
      </x:c>
      <x:c r="E80" s="52" t="str">
        <x:f>IF(CaseLedger!$A80="","",IFERROR(CaseLedger!$K80,""))</x:f>
      </x:c>
      <x:c r="F80" s="52" t="str">
        <x:f>IF(CaseLedger!$A80="","",IFERROR(CaseLedger!$O80,""))</x:f>
      </x:c>
      <x:c r="G80" s="52" t="str">
        <x:f>IF(CaseLedger!$A80="","",IFERROR(CaseLedger!$E80,""))</x:f>
      </x:c>
      <x:c r="H80" s="52" t="str">
        <x:f>IF(CaseLedger!$A80="","",IFERROR(CaseLedger!$P80,""))</x:f>
      </x:c>
      <x:c r="I80" s="52" t="str">
        <x:f>IF(CaseLedger!$A80="","",IFERROR(CaseLedger!$Q80,""))</x:f>
      </x:c>
      <x:c r="J80" s="52" t="str">
        <x:f>IF(CaseLedger!$A80="","",IFERROR(CaseLedger!$R80,""))</x:f>
      </x:c>
      <x:c r="K80" s="52" t="str">
        <x:f>IF(CaseLedger!$A80="","",IFERROR(CaseLedger!$S80,""))</x:f>
      </x:c>
      <x:c r="L80" s="52" t="str">
        <x:f>IF(CaseLedger!$A80="","",IFERROR(CaseLedger!$T80,""))</x:f>
      </x:c>
      <x:c r="M80" s="52" t="str">
        <x:f>IF(CaseLedger!$A80="","",IFERROR(CaseLedger!$U80,""))</x:f>
      </x:c>
      <x:c r="N80" s="52" t="str">
        <x:f>IF(CaseLedger!$A80="","",IFERROR(CaseLedger!$V80,""))</x:f>
      </x:c>
      <x:c r="O80" s="52" t="str">
        <x:f>IF(CaseLedger!$A80="","",IFERROR(CaseLedger!$W80,""))</x:f>
      </x:c>
      <x:c r="P80" s="52" t="str">
        <x:f>IF(CaseLedger!$A80="","",IFERROR(CaseLedger!$C80,""))</x:f>
      </x:c>
      <x:c r="Q80" s="52" t="str">
        <x:f>IF(CaseLedger!$A80="","",IFERROR(CaseLedger!$D80,""))</x:f>
      </x:c>
      <x:c r="R80" s="52" t="str">
        <x:f>IF(CaseLedger!$A80="","",IFERROR(CaseLedger!$X80,""))</x:f>
      </x:c>
      <x:c r="S80" s="52" t="str">
        <x:f>IF(CaseLedger!$A80="","",IFERROR(CaseLedger!$Y80,""))</x:f>
      </x:c>
      <x:c r="T80" s="52" t="str">
        <x:f>IF(CaseLedger!$A80="","",IFERROR(CaseLedger!$Z80,""))</x:f>
      </x:c>
      <x:c r="U80" s="52" t="str">
        <x:f>IF(CaseLedger!$A80="","",IFERROR(CaseLedger!$AA80,""))</x:f>
      </x:c>
      <x:c r="V80" s="52" t="str">
        <x:f>IF(CaseLedger!$A80="","",IFERROR(CaseLedger!$AB80,""))</x:f>
      </x:c>
      <x:c r="W80" s="52" t="str">
        <x:f>IF(CaseLedger!$A80="","",IFERROR(CaseLedger!$AC80,""))</x:f>
      </x:c>
      <x:c r="X80" s="52" t="str">
        <x:f>IF(CaseLedger!$A80="","",IFERROR(CaseLedger!$AD80,""))</x:f>
      </x:c>
      <x:c r="Y80" s="52" t="str">
        <x:f>IF(CaseLedger!$A80="","",IFERROR(CaseLedger!$AE80,""))</x:f>
      </x:c>
      <x:c r="Z80" s="52" t="str">
        <x:f>IF(CaseLedger!$A80="","",IFERROR(CaseLedger!$AF80,""))</x:f>
      </x:c>
      <x:c r="AA80" s="52" t="str">
        <x:f>IF(CaseLedger!$A80="","",IFERROR(CaseLedger!$AG80,""))</x:f>
      </x:c>
      <x:c r="AB80" s="52" t="str">
        <x:f>IF(CaseLedger!$A80="","",IFERROR(CaseLedger!$AH80,""))</x:f>
      </x:c>
      <x:c r="AC80"/>
    </x:row>
    <x:row r="81">
      <x:c r="A81" s="52" t="str">
        <x:f>IF(CaseLedger!$A81="","",IFERROR(CaseLedger!$A81,""))</x:f>
      </x:c>
      <x:c r="B81" s="52" t="str">
        <x:f>IF(CaseLedger!$A81="","",IFERROR(CaseLedger!$H81,""))</x:f>
      </x:c>
      <x:c r="C81" s="52" t="str">
        <x:f>IF(CaseLedger!$A81="","",IFERROR(CaseLedger!$I81,""))</x:f>
      </x:c>
      <x:c r="D81" s="52" t="str">
        <x:f>IF(CaseLedger!$A81="","",IFERROR(CaseLedger!$J81,""))</x:f>
      </x:c>
      <x:c r="E81" s="52" t="str">
        <x:f>IF(CaseLedger!$A81="","",IFERROR(CaseLedger!$K81,""))</x:f>
      </x:c>
      <x:c r="F81" s="52" t="str">
        <x:f>IF(CaseLedger!$A81="","",IFERROR(CaseLedger!$O81,""))</x:f>
      </x:c>
      <x:c r="G81" s="52" t="str">
        <x:f>IF(CaseLedger!$A81="","",IFERROR(CaseLedger!$E81,""))</x:f>
      </x:c>
      <x:c r="H81" s="52" t="str">
        <x:f>IF(CaseLedger!$A81="","",IFERROR(CaseLedger!$P81,""))</x:f>
      </x:c>
      <x:c r="I81" s="52" t="str">
        <x:f>IF(CaseLedger!$A81="","",IFERROR(CaseLedger!$Q81,""))</x:f>
      </x:c>
      <x:c r="J81" s="52" t="str">
        <x:f>IF(CaseLedger!$A81="","",IFERROR(CaseLedger!$R81,""))</x:f>
      </x:c>
      <x:c r="K81" s="52" t="str">
        <x:f>IF(CaseLedger!$A81="","",IFERROR(CaseLedger!$S81,""))</x:f>
      </x:c>
      <x:c r="L81" s="52" t="str">
        <x:f>IF(CaseLedger!$A81="","",IFERROR(CaseLedger!$T81,""))</x:f>
      </x:c>
      <x:c r="M81" s="52" t="str">
        <x:f>IF(CaseLedger!$A81="","",IFERROR(CaseLedger!$U81,""))</x:f>
      </x:c>
      <x:c r="N81" s="52" t="str">
        <x:f>IF(CaseLedger!$A81="","",IFERROR(CaseLedger!$V81,""))</x:f>
      </x:c>
      <x:c r="O81" s="52" t="str">
        <x:f>IF(CaseLedger!$A81="","",IFERROR(CaseLedger!$W81,""))</x:f>
      </x:c>
      <x:c r="P81" s="52" t="str">
        <x:f>IF(CaseLedger!$A81="","",IFERROR(CaseLedger!$C81,""))</x:f>
      </x:c>
      <x:c r="Q81" s="52" t="str">
        <x:f>IF(CaseLedger!$A81="","",IFERROR(CaseLedger!$D81,""))</x:f>
      </x:c>
      <x:c r="R81" s="52" t="str">
        <x:f>IF(CaseLedger!$A81="","",IFERROR(CaseLedger!$X81,""))</x:f>
      </x:c>
      <x:c r="S81" s="52" t="str">
        <x:f>IF(CaseLedger!$A81="","",IFERROR(CaseLedger!$Y81,""))</x:f>
      </x:c>
      <x:c r="T81" s="52" t="str">
        <x:f>IF(CaseLedger!$A81="","",IFERROR(CaseLedger!$Z81,""))</x:f>
      </x:c>
      <x:c r="U81" s="52" t="str">
        <x:f>IF(CaseLedger!$A81="","",IFERROR(CaseLedger!$AA81,""))</x:f>
      </x:c>
      <x:c r="V81" s="52" t="str">
        <x:f>IF(CaseLedger!$A81="","",IFERROR(CaseLedger!$AB81,""))</x:f>
      </x:c>
      <x:c r="W81" s="52" t="str">
        <x:f>IF(CaseLedger!$A81="","",IFERROR(CaseLedger!$AC81,""))</x:f>
      </x:c>
      <x:c r="X81" s="52" t="str">
        <x:f>IF(CaseLedger!$A81="","",IFERROR(CaseLedger!$AD81,""))</x:f>
      </x:c>
      <x:c r="Y81" s="52" t="str">
        <x:f>IF(CaseLedger!$A81="","",IFERROR(CaseLedger!$AE81,""))</x:f>
      </x:c>
      <x:c r="Z81" s="52" t="str">
        <x:f>IF(CaseLedger!$A81="","",IFERROR(CaseLedger!$AF81,""))</x:f>
      </x:c>
      <x:c r="AA81" s="52" t="str">
        <x:f>IF(CaseLedger!$A81="","",IFERROR(CaseLedger!$AG81,""))</x:f>
      </x:c>
      <x:c r="AB81" s="52" t="str">
        <x:f>IF(CaseLedger!$A81="","",IFERROR(CaseLedger!$AH81,""))</x:f>
      </x:c>
      <x:c r="AC81"/>
    </x:row>
    <x:row r="82">
      <x:c r="A82" s="52" t="str">
        <x:f>IF(CaseLedger!$A82="","",IFERROR(CaseLedger!$A82,""))</x:f>
      </x:c>
      <x:c r="B82" s="52" t="str">
        <x:f>IF(CaseLedger!$A82="","",IFERROR(CaseLedger!$H82,""))</x:f>
      </x:c>
      <x:c r="C82" s="52" t="str">
        <x:f>IF(CaseLedger!$A82="","",IFERROR(CaseLedger!$I82,""))</x:f>
      </x:c>
      <x:c r="D82" s="52" t="str">
        <x:f>IF(CaseLedger!$A82="","",IFERROR(CaseLedger!$J82,""))</x:f>
      </x:c>
      <x:c r="E82" s="52" t="str">
        <x:f>IF(CaseLedger!$A82="","",IFERROR(CaseLedger!$K82,""))</x:f>
      </x:c>
      <x:c r="F82" s="52" t="str">
        <x:f>IF(CaseLedger!$A82="","",IFERROR(CaseLedger!$O82,""))</x:f>
      </x:c>
      <x:c r="G82" s="52" t="str">
        <x:f>IF(CaseLedger!$A82="","",IFERROR(CaseLedger!$E82,""))</x:f>
      </x:c>
      <x:c r="H82" s="52" t="str">
        <x:f>IF(CaseLedger!$A82="","",IFERROR(CaseLedger!$P82,""))</x:f>
      </x:c>
      <x:c r="I82" s="52" t="str">
        <x:f>IF(CaseLedger!$A82="","",IFERROR(CaseLedger!$Q82,""))</x:f>
      </x:c>
      <x:c r="J82" s="52" t="str">
        <x:f>IF(CaseLedger!$A82="","",IFERROR(CaseLedger!$R82,""))</x:f>
      </x:c>
      <x:c r="K82" s="52" t="str">
        <x:f>IF(CaseLedger!$A82="","",IFERROR(CaseLedger!$S82,""))</x:f>
      </x:c>
      <x:c r="L82" s="52" t="str">
        <x:f>IF(CaseLedger!$A82="","",IFERROR(CaseLedger!$T82,""))</x:f>
      </x:c>
      <x:c r="M82" s="52" t="str">
        <x:f>IF(CaseLedger!$A82="","",IFERROR(CaseLedger!$U82,""))</x:f>
      </x:c>
      <x:c r="N82" s="52" t="str">
        <x:f>IF(CaseLedger!$A82="","",IFERROR(CaseLedger!$V82,""))</x:f>
      </x:c>
      <x:c r="O82" s="52" t="str">
        <x:f>IF(CaseLedger!$A82="","",IFERROR(CaseLedger!$W82,""))</x:f>
      </x:c>
      <x:c r="P82" s="52" t="str">
        <x:f>IF(CaseLedger!$A82="","",IFERROR(CaseLedger!$C82,""))</x:f>
      </x:c>
      <x:c r="Q82" s="52" t="str">
        <x:f>IF(CaseLedger!$A82="","",IFERROR(CaseLedger!$D82,""))</x:f>
      </x:c>
      <x:c r="R82" s="52" t="str">
        <x:f>IF(CaseLedger!$A82="","",IFERROR(CaseLedger!$X82,""))</x:f>
      </x:c>
      <x:c r="S82" s="52" t="str">
        <x:f>IF(CaseLedger!$A82="","",IFERROR(CaseLedger!$Y82,""))</x:f>
      </x:c>
      <x:c r="T82" s="52" t="str">
        <x:f>IF(CaseLedger!$A82="","",IFERROR(CaseLedger!$Z82,""))</x:f>
      </x:c>
      <x:c r="U82" s="52" t="str">
        <x:f>IF(CaseLedger!$A82="","",IFERROR(CaseLedger!$AA82,""))</x:f>
      </x:c>
      <x:c r="V82" s="52" t="str">
        <x:f>IF(CaseLedger!$A82="","",IFERROR(CaseLedger!$AB82,""))</x:f>
      </x:c>
      <x:c r="W82" s="52" t="str">
        <x:f>IF(CaseLedger!$A82="","",IFERROR(CaseLedger!$AC82,""))</x:f>
      </x:c>
      <x:c r="X82" s="52" t="str">
        <x:f>IF(CaseLedger!$A82="","",IFERROR(CaseLedger!$AD82,""))</x:f>
      </x:c>
      <x:c r="Y82" s="52" t="str">
        <x:f>IF(CaseLedger!$A82="","",IFERROR(CaseLedger!$AE82,""))</x:f>
      </x:c>
      <x:c r="Z82" s="52" t="str">
        <x:f>IF(CaseLedger!$A82="","",IFERROR(CaseLedger!$AF82,""))</x:f>
      </x:c>
      <x:c r="AA82" s="52" t="str">
        <x:f>IF(CaseLedger!$A82="","",IFERROR(CaseLedger!$AG82,""))</x:f>
      </x:c>
      <x:c r="AB82" s="52" t="str">
        <x:f>IF(CaseLedger!$A82="","",IFERROR(CaseLedger!$AH82,""))</x:f>
      </x:c>
      <x:c r="AC82"/>
    </x:row>
    <x:row r="83">
      <x:c r="A83" s="52" t="str">
        <x:f>IF(CaseLedger!$A83="","",IFERROR(CaseLedger!$A83,""))</x:f>
      </x:c>
      <x:c r="B83" s="52" t="str">
        <x:f>IF(CaseLedger!$A83="","",IFERROR(CaseLedger!$H83,""))</x:f>
      </x:c>
      <x:c r="C83" s="52" t="str">
        <x:f>IF(CaseLedger!$A83="","",IFERROR(CaseLedger!$I83,""))</x:f>
      </x:c>
      <x:c r="D83" s="52" t="str">
        <x:f>IF(CaseLedger!$A83="","",IFERROR(CaseLedger!$J83,""))</x:f>
      </x:c>
      <x:c r="E83" s="52" t="str">
        <x:f>IF(CaseLedger!$A83="","",IFERROR(CaseLedger!$K83,""))</x:f>
      </x:c>
      <x:c r="F83" s="52" t="str">
        <x:f>IF(CaseLedger!$A83="","",IFERROR(CaseLedger!$O83,""))</x:f>
      </x:c>
      <x:c r="G83" s="52" t="str">
        <x:f>IF(CaseLedger!$A83="","",IFERROR(CaseLedger!$E83,""))</x:f>
      </x:c>
      <x:c r="H83" s="52" t="str">
        <x:f>IF(CaseLedger!$A83="","",IFERROR(CaseLedger!$P83,""))</x:f>
      </x:c>
      <x:c r="I83" s="52" t="str">
        <x:f>IF(CaseLedger!$A83="","",IFERROR(CaseLedger!$Q83,""))</x:f>
      </x:c>
      <x:c r="J83" s="52" t="str">
        <x:f>IF(CaseLedger!$A83="","",IFERROR(CaseLedger!$R83,""))</x:f>
      </x:c>
      <x:c r="K83" s="52" t="str">
        <x:f>IF(CaseLedger!$A83="","",IFERROR(CaseLedger!$S83,""))</x:f>
      </x:c>
      <x:c r="L83" s="52" t="str">
        <x:f>IF(CaseLedger!$A83="","",IFERROR(CaseLedger!$T83,""))</x:f>
      </x:c>
      <x:c r="M83" s="52" t="str">
        <x:f>IF(CaseLedger!$A83="","",IFERROR(CaseLedger!$U83,""))</x:f>
      </x:c>
      <x:c r="N83" s="52" t="str">
        <x:f>IF(CaseLedger!$A83="","",IFERROR(CaseLedger!$V83,""))</x:f>
      </x:c>
      <x:c r="O83" s="52" t="str">
        <x:f>IF(CaseLedger!$A83="","",IFERROR(CaseLedger!$W83,""))</x:f>
      </x:c>
      <x:c r="P83" s="52" t="str">
        <x:f>IF(CaseLedger!$A83="","",IFERROR(CaseLedger!$C83,""))</x:f>
      </x:c>
      <x:c r="Q83" s="52" t="str">
        <x:f>IF(CaseLedger!$A83="","",IFERROR(CaseLedger!$D83,""))</x:f>
      </x:c>
      <x:c r="R83" s="52" t="str">
        <x:f>IF(CaseLedger!$A83="","",IFERROR(CaseLedger!$X83,""))</x:f>
      </x:c>
      <x:c r="S83" s="52" t="str">
        <x:f>IF(CaseLedger!$A83="","",IFERROR(CaseLedger!$Y83,""))</x:f>
      </x:c>
      <x:c r="T83" s="52" t="str">
        <x:f>IF(CaseLedger!$A83="","",IFERROR(CaseLedger!$Z83,""))</x:f>
      </x:c>
      <x:c r="U83" s="52" t="str">
        <x:f>IF(CaseLedger!$A83="","",IFERROR(CaseLedger!$AA83,""))</x:f>
      </x:c>
      <x:c r="V83" s="52" t="str">
        <x:f>IF(CaseLedger!$A83="","",IFERROR(CaseLedger!$AB83,""))</x:f>
      </x:c>
      <x:c r="W83" s="52" t="str">
        <x:f>IF(CaseLedger!$A83="","",IFERROR(CaseLedger!$AC83,""))</x:f>
      </x:c>
      <x:c r="X83" s="52" t="str">
        <x:f>IF(CaseLedger!$A83="","",IFERROR(CaseLedger!$AD83,""))</x:f>
      </x:c>
      <x:c r="Y83" s="52" t="str">
        <x:f>IF(CaseLedger!$A83="","",IFERROR(CaseLedger!$AE83,""))</x:f>
      </x:c>
      <x:c r="Z83" s="52" t="str">
        <x:f>IF(CaseLedger!$A83="","",IFERROR(CaseLedger!$AF83,""))</x:f>
      </x:c>
      <x:c r="AA83" s="52" t="str">
        <x:f>IF(CaseLedger!$A83="","",IFERROR(CaseLedger!$AG83,""))</x:f>
      </x:c>
      <x:c r="AB83" s="52" t="str">
        <x:f>IF(CaseLedger!$A83="","",IFERROR(CaseLedger!$AH83,""))</x:f>
      </x:c>
      <x:c r="AC83"/>
    </x:row>
    <x:row r="84">
      <x:c r="A84" s="52" t="str">
        <x:f>IF(CaseLedger!$A84="","",IFERROR(CaseLedger!$A84,""))</x:f>
      </x:c>
      <x:c r="B84" s="52" t="str">
        <x:f>IF(CaseLedger!$A84="","",IFERROR(CaseLedger!$H84,""))</x:f>
      </x:c>
      <x:c r="C84" s="52" t="str">
        <x:f>IF(CaseLedger!$A84="","",IFERROR(CaseLedger!$I84,""))</x:f>
      </x:c>
      <x:c r="D84" s="52" t="str">
        <x:f>IF(CaseLedger!$A84="","",IFERROR(CaseLedger!$J84,""))</x:f>
      </x:c>
      <x:c r="E84" s="52" t="str">
        <x:f>IF(CaseLedger!$A84="","",IFERROR(CaseLedger!$K84,""))</x:f>
      </x:c>
      <x:c r="F84" s="52" t="str">
        <x:f>IF(CaseLedger!$A84="","",IFERROR(CaseLedger!$O84,""))</x:f>
      </x:c>
      <x:c r="G84" s="52" t="str">
        <x:f>IF(CaseLedger!$A84="","",IFERROR(CaseLedger!$E84,""))</x:f>
      </x:c>
      <x:c r="H84" s="52" t="str">
        <x:f>IF(CaseLedger!$A84="","",IFERROR(CaseLedger!$P84,""))</x:f>
      </x:c>
      <x:c r="I84" s="52" t="str">
        <x:f>IF(CaseLedger!$A84="","",IFERROR(CaseLedger!$Q84,""))</x:f>
      </x:c>
      <x:c r="J84" s="52" t="str">
        <x:f>IF(CaseLedger!$A84="","",IFERROR(CaseLedger!$R84,""))</x:f>
      </x:c>
      <x:c r="K84" s="52" t="str">
        <x:f>IF(CaseLedger!$A84="","",IFERROR(CaseLedger!$S84,""))</x:f>
      </x:c>
      <x:c r="L84" s="52" t="str">
        <x:f>IF(CaseLedger!$A84="","",IFERROR(CaseLedger!$T84,""))</x:f>
      </x:c>
      <x:c r="M84" s="52" t="str">
        <x:f>IF(CaseLedger!$A84="","",IFERROR(CaseLedger!$U84,""))</x:f>
      </x:c>
      <x:c r="N84" s="52" t="str">
        <x:f>IF(CaseLedger!$A84="","",IFERROR(CaseLedger!$V84,""))</x:f>
      </x:c>
      <x:c r="O84" s="52" t="str">
        <x:f>IF(CaseLedger!$A84="","",IFERROR(CaseLedger!$W84,""))</x:f>
      </x:c>
      <x:c r="P84" s="52" t="str">
        <x:f>IF(CaseLedger!$A84="","",IFERROR(CaseLedger!$C84,""))</x:f>
      </x:c>
      <x:c r="Q84" s="52" t="str">
        <x:f>IF(CaseLedger!$A84="","",IFERROR(CaseLedger!$D84,""))</x:f>
      </x:c>
      <x:c r="R84" s="52" t="str">
        <x:f>IF(CaseLedger!$A84="","",IFERROR(CaseLedger!$X84,""))</x:f>
      </x:c>
      <x:c r="S84" s="52" t="str">
        <x:f>IF(CaseLedger!$A84="","",IFERROR(CaseLedger!$Y84,""))</x:f>
      </x:c>
      <x:c r="T84" s="52" t="str">
        <x:f>IF(CaseLedger!$A84="","",IFERROR(CaseLedger!$Z84,""))</x:f>
      </x:c>
      <x:c r="U84" s="52" t="str">
        <x:f>IF(CaseLedger!$A84="","",IFERROR(CaseLedger!$AA84,""))</x:f>
      </x:c>
      <x:c r="V84" s="52" t="str">
        <x:f>IF(CaseLedger!$A84="","",IFERROR(CaseLedger!$AB84,""))</x:f>
      </x:c>
      <x:c r="W84" s="52" t="str">
        <x:f>IF(CaseLedger!$A84="","",IFERROR(CaseLedger!$AC84,""))</x:f>
      </x:c>
      <x:c r="X84" s="52" t="str">
        <x:f>IF(CaseLedger!$A84="","",IFERROR(CaseLedger!$AD84,""))</x:f>
      </x:c>
      <x:c r="Y84" s="52" t="str">
        <x:f>IF(CaseLedger!$A84="","",IFERROR(CaseLedger!$AE84,""))</x:f>
      </x:c>
      <x:c r="Z84" s="52" t="str">
        <x:f>IF(CaseLedger!$A84="","",IFERROR(CaseLedger!$AF84,""))</x:f>
      </x:c>
      <x:c r="AA84" s="52" t="str">
        <x:f>IF(CaseLedger!$A84="","",IFERROR(CaseLedger!$AG84,""))</x:f>
      </x:c>
      <x:c r="AB84" s="52" t="str">
        <x:f>IF(CaseLedger!$A84="","",IFERROR(CaseLedger!$AH84,""))</x:f>
      </x:c>
      <x:c r="AC84"/>
    </x:row>
    <x:row r="85">
      <x:c r="A85" s="52" t="str">
        <x:f>IF(CaseLedger!$A85="","",IFERROR(CaseLedger!$A85,""))</x:f>
      </x:c>
      <x:c r="B85" s="52" t="str">
        <x:f>IF(CaseLedger!$A85="","",IFERROR(CaseLedger!$H85,""))</x:f>
      </x:c>
      <x:c r="C85" s="52" t="str">
        <x:f>IF(CaseLedger!$A85="","",IFERROR(CaseLedger!$I85,""))</x:f>
      </x:c>
      <x:c r="D85" s="52" t="str">
        <x:f>IF(CaseLedger!$A85="","",IFERROR(CaseLedger!$J85,""))</x:f>
      </x:c>
      <x:c r="E85" s="52" t="str">
        <x:f>IF(CaseLedger!$A85="","",IFERROR(CaseLedger!$K85,""))</x:f>
      </x:c>
      <x:c r="F85" s="52" t="str">
        <x:f>IF(CaseLedger!$A85="","",IFERROR(CaseLedger!$O85,""))</x:f>
      </x:c>
      <x:c r="G85" s="52" t="str">
        <x:f>IF(CaseLedger!$A85="","",IFERROR(CaseLedger!$E85,""))</x:f>
      </x:c>
      <x:c r="H85" s="52" t="str">
        <x:f>IF(CaseLedger!$A85="","",IFERROR(CaseLedger!$P85,""))</x:f>
      </x:c>
      <x:c r="I85" s="52" t="str">
        <x:f>IF(CaseLedger!$A85="","",IFERROR(CaseLedger!$Q85,""))</x:f>
      </x:c>
      <x:c r="J85" s="52" t="str">
        <x:f>IF(CaseLedger!$A85="","",IFERROR(CaseLedger!$R85,""))</x:f>
      </x:c>
      <x:c r="K85" s="52" t="str">
        <x:f>IF(CaseLedger!$A85="","",IFERROR(CaseLedger!$S85,""))</x:f>
      </x:c>
      <x:c r="L85" s="52" t="str">
        <x:f>IF(CaseLedger!$A85="","",IFERROR(CaseLedger!$T85,""))</x:f>
      </x:c>
      <x:c r="M85" s="52" t="str">
        <x:f>IF(CaseLedger!$A85="","",IFERROR(CaseLedger!$U85,""))</x:f>
      </x:c>
      <x:c r="N85" s="52" t="str">
        <x:f>IF(CaseLedger!$A85="","",IFERROR(CaseLedger!$V85,""))</x:f>
      </x:c>
      <x:c r="O85" s="52" t="str">
        <x:f>IF(CaseLedger!$A85="","",IFERROR(CaseLedger!$W85,""))</x:f>
      </x:c>
      <x:c r="P85" s="52" t="str">
        <x:f>IF(CaseLedger!$A85="","",IFERROR(CaseLedger!$C85,""))</x:f>
      </x:c>
      <x:c r="Q85" s="52" t="str">
        <x:f>IF(CaseLedger!$A85="","",IFERROR(CaseLedger!$D85,""))</x:f>
      </x:c>
      <x:c r="R85" s="52" t="str">
        <x:f>IF(CaseLedger!$A85="","",IFERROR(CaseLedger!$X85,""))</x:f>
      </x:c>
      <x:c r="S85" s="52" t="str">
        <x:f>IF(CaseLedger!$A85="","",IFERROR(CaseLedger!$Y85,""))</x:f>
      </x:c>
      <x:c r="T85" s="52" t="str">
        <x:f>IF(CaseLedger!$A85="","",IFERROR(CaseLedger!$Z85,""))</x:f>
      </x:c>
      <x:c r="U85" s="52" t="str">
        <x:f>IF(CaseLedger!$A85="","",IFERROR(CaseLedger!$AA85,""))</x:f>
      </x:c>
      <x:c r="V85" s="52" t="str">
        <x:f>IF(CaseLedger!$A85="","",IFERROR(CaseLedger!$AB85,""))</x:f>
      </x:c>
      <x:c r="W85" s="52" t="str">
        <x:f>IF(CaseLedger!$A85="","",IFERROR(CaseLedger!$AC85,""))</x:f>
      </x:c>
      <x:c r="X85" s="52" t="str">
        <x:f>IF(CaseLedger!$A85="","",IFERROR(CaseLedger!$AD85,""))</x:f>
      </x:c>
      <x:c r="Y85" s="52" t="str">
        <x:f>IF(CaseLedger!$A85="","",IFERROR(CaseLedger!$AE85,""))</x:f>
      </x:c>
      <x:c r="Z85" s="52" t="str">
        <x:f>IF(CaseLedger!$A85="","",IFERROR(CaseLedger!$AF85,""))</x:f>
      </x:c>
      <x:c r="AA85" s="52" t="str">
        <x:f>IF(CaseLedger!$A85="","",IFERROR(CaseLedger!$AG85,""))</x:f>
      </x:c>
      <x:c r="AB85" s="52" t="str">
        <x:f>IF(CaseLedger!$A85="","",IFERROR(CaseLedger!$AH85,""))</x:f>
      </x:c>
      <x:c r="AC85"/>
    </x:row>
    <x:row r="86">
      <x:c r="A86" s="52" t="str">
        <x:f>IF(CaseLedger!$A86="","",IFERROR(CaseLedger!$A86,""))</x:f>
      </x:c>
      <x:c r="B86" s="52" t="str">
        <x:f>IF(CaseLedger!$A86="","",IFERROR(CaseLedger!$H86,""))</x:f>
      </x:c>
      <x:c r="C86" s="52" t="str">
        <x:f>IF(CaseLedger!$A86="","",IFERROR(CaseLedger!$I86,""))</x:f>
      </x:c>
      <x:c r="D86" s="52" t="str">
        <x:f>IF(CaseLedger!$A86="","",IFERROR(CaseLedger!$J86,""))</x:f>
      </x:c>
      <x:c r="E86" s="52" t="str">
        <x:f>IF(CaseLedger!$A86="","",IFERROR(CaseLedger!$K86,""))</x:f>
      </x:c>
      <x:c r="F86" s="52" t="str">
        <x:f>IF(CaseLedger!$A86="","",IFERROR(CaseLedger!$O86,""))</x:f>
      </x:c>
      <x:c r="G86" s="52" t="str">
        <x:f>IF(CaseLedger!$A86="","",IFERROR(CaseLedger!$E86,""))</x:f>
      </x:c>
      <x:c r="H86" s="52" t="str">
        <x:f>IF(CaseLedger!$A86="","",IFERROR(CaseLedger!$P86,""))</x:f>
      </x:c>
      <x:c r="I86" s="52" t="str">
        <x:f>IF(CaseLedger!$A86="","",IFERROR(CaseLedger!$Q86,""))</x:f>
      </x:c>
      <x:c r="J86" s="52" t="str">
        <x:f>IF(CaseLedger!$A86="","",IFERROR(CaseLedger!$R86,""))</x:f>
      </x:c>
      <x:c r="K86" s="52" t="str">
        <x:f>IF(CaseLedger!$A86="","",IFERROR(CaseLedger!$S86,""))</x:f>
      </x:c>
      <x:c r="L86" s="52" t="str">
        <x:f>IF(CaseLedger!$A86="","",IFERROR(CaseLedger!$T86,""))</x:f>
      </x:c>
      <x:c r="M86" s="52" t="str">
        <x:f>IF(CaseLedger!$A86="","",IFERROR(CaseLedger!$U86,""))</x:f>
      </x:c>
      <x:c r="N86" s="52" t="str">
        <x:f>IF(CaseLedger!$A86="","",IFERROR(CaseLedger!$V86,""))</x:f>
      </x:c>
      <x:c r="O86" s="52" t="str">
        <x:f>IF(CaseLedger!$A86="","",IFERROR(CaseLedger!$W86,""))</x:f>
      </x:c>
      <x:c r="P86" s="52" t="str">
        <x:f>IF(CaseLedger!$A86="","",IFERROR(CaseLedger!$C86,""))</x:f>
      </x:c>
      <x:c r="Q86" s="52" t="str">
        <x:f>IF(CaseLedger!$A86="","",IFERROR(CaseLedger!$D86,""))</x:f>
      </x:c>
      <x:c r="R86" s="52" t="str">
        <x:f>IF(CaseLedger!$A86="","",IFERROR(CaseLedger!$X86,""))</x:f>
      </x:c>
      <x:c r="S86" s="52" t="str">
        <x:f>IF(CaseLedger!$A86="","",IFERROR(CaseLedger!$Y86,""))</x:f>
      </x:c>
      <x:c r="T86" s="52" t="str">
        <x:f>IF(CaseLedger!$A86="","",IFERROR(CaseLedger!$Z86,""))</x:f>
      </x:c>
      <x:c r="U86" s="52" t="str">
        <x:f>IF(CaseLedger!$A86="","",IFERROR(CaseLedger!$AA86,""))</x:f>
      </x:c>
      <x:c r="V86" s="52" t="str">
        <x:f>IF(CaseLedger!$A86="","",IFERROR(CaseLedger!$AB86,""))</x:f>
      </x:c>
      <x:c r="W86" s="52" t="str">
        <x:f>IF(CaseLedger!$A86="","",IFERROR(CaseLedger!$AC86,""))</x:f>
      </x:c>
      <x:c r="X86" s="52" t="str">
        <x:f>IF(CaseLedger!$A86="","",IFERROR(CaseLedger!$AD86,""))</x:f>
      </x:c>
      <x:c r="Y86" s="52" t="str">
        <x:f>IF(CaseLedger!$A86="","",IFERROR(CaseLedger!$AE86,""))</x:f>
      </x:c>
      <x:c r="Z86" s="52" t="str">
        <x:f>IF(CaseLedger!$A86="","",IFERROR(CaseLedger!$AF86,""))</x:f>
      </x:c>
      <x:c r="AA86" s="52" t="str">
        <x:f>IF(CaseLedger!$A86="","",IFERROR(CaseLedger!$AG86,""))</x:f>
      </x:c>
      <x:c r="AB86" s="52" t="str">
        <x:f>IF(CaseLedger!$A86="","",IFERROR(CaseLedger!$AH86,""))</x:f>
      </x:c>
      <x:c r="AC86"/>
    </x:row>
    <x:row r="87">
      <x:c r="A87" s="52" t="str">
        <x:f>IF(CaseLedger!$A87="","",IFERROR(CaseLedger!$A87,""))</x:f>
      </x:c>
      <x:c r="B87" s="52" t="str">
        <x:f>IF(CaseLedger!$A87="","",IFERROR(CaseLedger!$H87,""))</x:f>
      </x:c>
      <x:c r="C87" s="52" t="str">
        <x:f>IF(CaseLedger!$A87="","",IFERROR(CaseLedger!$I87,""))</x:f>
      </x:c>
      <x:c r="D87" s="52" t="str">
        <x:f>IF(CaseLedger!$A87="","",IFERROR(CaseLedger!$J87,""))</x:f>
      </x:c>
      <x:c r="E87" s="52" t="str">
        <x:f>IF(CaseLedger!$A87="","",IFERROR(CaseLedger!$K87,""))</x:f>
      </x:c>
      <x:c r="F87" s="52" t="str">
        <x:f>IF(CaseLedger!$A87="","",IFERROR(CaseLedger!$O87,""))</x:f>
      </x:c>
      <x:c r="G87" s="52" t="str">
        <x:f>IF(CaseLedger!$A87="","",IFERROR(CaseLedger!$E87,""))</x:f>
      </x:c>
      <x:c r="H87" s="52" t="str">
        <x:f>IF(CaseLedger!$A87="","",IFERROR(CaseLedger!$P87,""))</x:f>
      </x:c>
      <x:c r="I87" s="52" t="str">
        <x:f>IF(CaseLedger!$A87="","",IFERROR(CaseLedger!$Q87,""))</x:f>
      </x:c>
      <x:c r="J87" s="52" t="str">
        <x:f>IF(CaseLedger!$A87="","",IFERROR(CaseLedger!$R87,""))</x:f>
      </x:c>
      <x:c r="K87" s="52" t="str">
        <x:f>IF(CaseLedger!$A87="","",IFERROR(CaseLedger!$S87,""))</x:f>
      </x:c>
      <x:c r="L87" s="52" t="str">
        <x:f>IF(CaseLedger!$A87="","",IFERROR(CaseLedger!$T87,""))</x:f>
      </x:c>
      <x:c r="M87" s="52" t="str">
        <x:f>IF(CaseLedger!$A87="","",IFERROR(CaseLedger!$U87,""))</x:f>
      </x:c>
      <x:c r="N87" s="52" t="str">
        <x:f>IF(CaseLedger!$A87="","",IFERROR(CaseLedger!$V87,""))</x:f>
      </x:c>
      <x:c r="O87" s="52" t="str">
        <x:f>IF(CaseLedger!$A87="","",IFERROR(CaseLedger!$W87,""))</x:f>
      </x:c>
      <x:c r="P87" s="52" t="str">
        <x:f>IF(CaseLedger!$A87="","",IFERROR(CaseLedger!$C87,""))</x:f>
      </x:c>
      <x:c r="Q87" s="52" t="str">
        <x:f>IF(CaseLedger!$A87="","",IFERROR(CaseLedger!$D87,""))</x:f>
      </x:c>
      <x:c r="R87" s="52" t="str">
        <x:f>IF(CaseLedger!$A87="","",IFERROR(CaseLedger!$X87,""))</x:f>
      </x:c>
      <x:c r="S87" s="52" t="str">
        <x:f>IF(CaseLedger!$A87="","",IFERROR(CaseLedger!$Y87,""))</x:f>
      </x:c>
      <x:c r="T87" s="52" t="str">
        <x:f>IF(CaseLedger!$A87="","",IFERROR(CaseLedger!$Z87,""))</x:f>
      </x:c>
      <x:c r="U87" s="52" t="str">
        <x:f>IF(CaseLedger!$A87="","",IFERROR(CaseLedger!$AA87,""))</x:f>
      </x:c>
      <x:c r="V87" s="52" t="str">
        <x:f>IF(CaseLedger!$A87="","",IFERROR(CaseLedger!$AB87,""))</x:f>
      </x:c>
      <x:c r="W87" s="52" t="str">
        <x:f>IF(CaseLedger!$A87="","",IFERROR(CaseLedger!$AC87,""))</x:f>
      </x:c>
      <x:c r="X87" s="52" t="str">
        <x:f>IF(CaseLedger!$A87="","",IFERROR(CaseLedger!$AD87,""))</x:f>
      </x:c>
      <x:c r="Y87" s="52" t="str">
        <x:f>IF(CaseLedger!$A87="","",IFERROR(CaseLedger!$AE87,""))</x:f>
      </x:c>
      <x:c r="Z87" s="52" t="str">
        <x:f>IF(CaseLedger!$A87="","",IFERROR(CaseLedger!$AF87,""))</x:f>
      </x:c>
      <x:c r="AA87" s="52" t="str">
        <x:f>IF(CaseLedger!$A87="","",IFERROR(CaseLedger!$AG87,""))</x:f>
      </x:c>
      <x:c r="AB87" s="52" t="str">
        <x:f>IF(CaseLedger!$A87="","",IFERROR(CaseLedger!$AH87,""))</x:f>
      </x:c>
      <x:c r="AC87"/>
    </x:row>
    <x:row r="88">
      <x:c r="A88" s="52" t="str">
        <x:f>IF(CaseLedger!$A88="","",IFERROR(CaseLedger!$A88,""))</x:f>
      </x:c>
      <x:c r="B88" s="52" t="str">
        <x:f>IF(CaseLedger!$A88="","",IFERROR(CaseLedger!$H88,""))</x:f>
      </x:c>
      <x:c r="C88" s="52" t="str">
        <x:f>IF(CaseLedger!$A88="","",IFERROR(CaseLedger!$I88,""))</x:f>
      </x:c>
      <x:c r="D88" s="52" t="str">
        <x:f>IF(CaseLedger!$A88="","",IFERROR(CaseLedger!$J88,""))</x:f>
      </x:c>
      <x:c r="E88" s="52" t="str">
        <x:f>IF(CaseLedger!$A88="","",IFERROR(CaseLedger!$K88,""))</x:f>
      </x:c>
      <x:c r="F88" s="52" t="str">
        <x:f>IF(CaseLedger!$A88="","",IFERROR(CaseLedger!$O88,""))</x:f>
      </x:c>
      <x:c r="G88" s="52" t="str">
        <x:f>IF(CaseLedger!$A88="","",IFERROR(CaseLedger!$E88,""))</x:f>
      </x:c>
      <x:c r="H88" s="52" t="str">
        <x:f>IF(CaseLedger!$A88="","",IFERROR(CaseLedger!$P88,""))</x:f>
      </x:c>
      <x:c r="I88" s="52" t="str">
        <x:f>IF(CaseLedger!$A88="","",IFERROR(CaseLedger!$Q88,""))</x:f>
      </x:c>
      <x:c r="J88" s="52" t="str">
        <x:f>IF(CaseLedger!$A88="","",IFERROR(CaseLedger!$R88,""))</x:f>
      </x:c>
      <x:c r="K88" s="52" t="str">
        <x:f>IF(CaseLedger!$A88="","",IFERROR(CaseLedger!$S88,""))</x:f>
      </x:c>
      <x:c r="L88" s="52" t="str">
        <x:f>IF(CaseLedger!$A88="","",IFERROR(CaseLedger!$T88,""))</x:f>
      </x:c>
      <x:c r="M88" s="52" t="str">
        <x:f>IF(CaseLedger!$A88="","",IFERROR(CaseLedger!$U88,""))</x:f>
      </x:c>
      <x:c r="N88" s="52" t="str">
        <x:f>IF(CaseLedger!$A88="","",IFERROR(CaseLedger!$V88,""))</x:f>
      </x:c>
      <x:c r="O88" s="52" t="str">
        <x:f>IF(CaseLedger!$A88="","",IFERROR(CaseLedger!$W88,""))</x:f>
      </x:c>
      <x:c r="P88" s="52" t="str">
        <x:f>IF(CaseLedger!$A88="","",IFERROR(CaseLedger!$C88,""))</x:f>
      </x:c>
      <x:c r="Q88" s="52" t="str">
        <x:f>IF(CaseLedger!$A88="","",IFERROR(CaseLedger!$D88,""))</x:f>
      </x:c>
      <x:c r="R88" s="52" t="str">
        <x:f>IF(CaseLedger!$A88="","",IFERROR(CaseLedger!$X88,""))</x:f>
      </x:c>
      <x:c r="S88" s="52" t="str">
        <x:f>IF(CaseLedger!$A88="","",IFERROR(CaseLedger!$Y88,""))</x:f>
      </x:c>
      <x:c r="T88" s="52" t="str">
        <x:f>IF(CaseLedger!$A88="","",IFERROR(CaseLedger!$Z88,""))</x:f>
      </x:c>
      <x:c r="U88" s="52" t="str">
        <x:f>IF(CaseLedger!$A88="","",IFERROR(CaseLedger!$AA88,""))</x:f>
      </x:c>
      <x:c r="V88" s="52" t="str">
        <x:f>IF(CaseLedger!$A88="","",IFERROR(CaseLedger!$AB88,""))</x:f>
      </x:c>
      <x:c r="W88" s="52" t="str">
        <x:f>IF(CaseLedger!$A88="","",IFERROR(CaseLedger!$AC88,""))</x:f>
      </x:c>
      <x:c r="X88" s="52" t="str">
        <x:f>IF(CaseLedger!$A88="","",IFERROR(CaseLedger!$AD88,""))</x:f>
      </x:c>
      <x:c r="Y88" s="52" t="str">
        <x:f>IF(CaseLedger!$A88="","",IFERROR(CaseLedger!$AE88,""))</x:f>
      </x:c>
      <x:c r="Z88" s="52" t="str">
        <x:f>IF(CaseLedger!$A88="","",IFERROR(CaseLedger!$AF88,""))</x:f>
      </x:c>
      <x:c r="AA88" s="52" t="str">
        <x:f>IF(CaseLedger!$A88="","",IFERROR(CaseLedger!$AG88,""))</x:f>
      </x:c>
      <x:c r="AB88" s="52" t="str">
        <x:f>IF(CaseLedger!$A88="","",IFERROR(CaseLedger!$AH88,""))</x:f>
      </x:c>
      <x:c r="AC88"/>
    </x:row>
    <x:row r="89">
      <x:c r="A89" s="52" t="str">
        <x:f>IF(CaseLedger!$A89="","",IFERROR(CaseLedger!$A89,""))</x:f>
      </x:c>
      <x:c r="B89" s="52" t="str">
        <x:f>IF(CaseLedger!$A89="","",IFERROR(CaseLedger!$H89,""))</x:f>
      </x:c>
      <x:c r="C89" s="52" t="str">
        <x:f>IF(CaseLedger!$A89="","",IFERROR(CaseLedger!$I89,""))</x:f>
      </x:c>
      <x:c r="D89" s="52" t="str">
        <x:f>IF(CaseLedger!$A89="","",IFERROR(CaseLedger!$J89,""))</x:f>
      </x:c>
      <x:c r="E89" s="52" t="str">
        <x:f>IF(CaseLedger!$A89="","",IFERROR(CaseLedger!$K89,""))</x:f>
      </x:c>
      <x:c r="F89" s="52" t="str">
        <x:f>IF(CaseLedger!$A89="","",IFERROR(CaseLedger!$O89,""))</x:f>
      </x:c>
      <x:c r="G89" s="52" t="str">
        <x:f>IF(CaseLedger!$A89="","",IFERROR(CaseLedger!$E89,""))</x:f>
      </x:c>
      <x:c r="H89" s="52" t="str">
        <x:f>IF(CaseLedger!$A89="","",IFERROR(CaseLedger!$P89,""))</x:f>
      </x:c>
      <x:c r="I89" s="52" t="str">
        <x:f>IF(CaseLedger!$A89="","",IFERROR(CaseLedger!$Q89,""))</x:f>
      </x:c>
      <x:c r="J89" s="52" t="str">
        <x:f>IF(CaseLedger!$A89="","",IFERROR(CaseLedger!$R89,""))</x:f>
      </x:c>
      <x:c r="K89" s="52" t="str">
        <x:f>IF(CaseLedger!$A89="","",IFERROR(CaseLedger!$S89,""))</x:f>
      </x:c>
      <x:c r="L89" s="52" t="str">
        <x:f>IF(CaseLedger!$A89="","",IFERROR(CaseLedger!$T89,""))</x:f>
      </x:c>
      <x:c r="M89" s="52" t="str">
        <x:f>IF(CaseLedger!$A89="","",IFERROR(CaseLedger!$U89,""))</x:f>
      </x:c>
      <x:c r="N89" s="52" t="str">
        <x:f>IF(CaseLedger!$A89="","",IFERROR(CaseLedger!$V89,""))</x:f>
      </x:c>
      <x:c r="O89" s="52" t="str">
        <x:f>IF(CaseLedger!$A89="","",IFERROR(CaseLedger!$W89,""))</x:f>
      </x:c>
      <x:c r="P89" s="52" t="str">
        <x:f>IF(CaseLedger!$A89="","",IFERROR(CaseLedger!$C89,""))</x:f>
      </x:c>
      <x:c r="Q89" s="52" t="str">
        <x:f>IF(CaseLedger!$A89="","",IFERROR(CaseLedger!$D89,""))</x:f>
      </x:c>
      <x:c r="R89" s="52" t="str">
        <x:f>IF(CaseLedger!$A89="","",IFERROR(CaseLedger!$X89,""))</x:f>
      </x:c>
      <x:c r="S89" s="52" t="str">
        <x:f>IF(CaseLedger!$A89="","",IFERROR(CaseLedger!$Y89,""))</x:f>
      </x:c>
      <x:c r="T89" s="52" t="str">
        <x:f>IF(CaseLedger!$A89="","",IFERROR(CaseLedger!$Z89,""))</x:f>
      </x:c>
      <x:c r="U89" s="52" t="str">
        <x:f>IF(CaseLedger!$A89="","",IFERROR(CaseLedger!$AA89,""))</x:f>
      </x:c>
      <x:c r="V89" s="52" t="str">
        <x:f>IF(CaseLedger!$A89="","",IFERROR(CaseLedger!$AB89,""))</x:f>
      </x:c>
      <x:c r="W89" s="52" t="str">
        <x:f>IF(CaseLedger!$A89="","",IFERROR(CaseLedger!$AC89,""))</x:f>
      </x:c>
      <x:c r="X89" s="52" t="str">
        <x:f>IF(CaseLedger!$A89="","",IFERROR(CaseLedger!$AD89,""))</x:f>
      </x:c>
      <x:c r="Y89" s="52" t="str">
        <x:f>IF(CaseLedger!$A89="","",IFERROR(CaseLedger!$AE89,""))</x:f>
      </x:c>
      <x:c r="Z89" s="52" t="str">
        <x:f>IF(CaseLedger!$A89="","",IFERROR(CaseLedger!$AF89,""))</x:f>
      </x:c>
      <x:c r="AA89" s="52" t="str">
        <x:f>IF(CaseLedger!$A89="","",IFERROR(CaseLedger!$AG89,""))</x:f>
      </x:c>
      <x:c r="AB89" s="52" t="str">
        <x:f>IF(CaseLedger!$A89="","",IFERROR(CaseLedger!$AH89,""))</x:f>
      </x:c>
      <x:c r="AC89"/>
    </x:row>
    <x:row r="90">
      <x:c r="A90" s="52" t="str">
        <x:f>IF(CaseLedger!$A90="","",IFERROR(CaseLedger!$A90,""))</x:f>
      </x:c>
      <x:c r="B90" s="52" t="str">
        <x:f>IF(CaseLedger!$A90="","",IFERROR(CaseLedger!$H90,""))</x:f>
      </x:c>
      <x:c r="C90" s="52" t="str">
        <x:f>IF(CaseLedger!$A90="","",IFERROR(CaseLedger!$I90,""))</x:f>
      </x:c>
      <x:c r="D90" s="52" t="str">
        <x:f>IF(CaseLedger!$A90="","",IFERROR(CaseLedger!$J90,""))</x:f>
      </x:c>
      <x:c r="E90" s="52" t="str">
        <x:f>IF(CaseLedger!$A90="","",IFERROR(CaseLedger!$K90,""))</x:f>
      </x:c>
      <x:c r="F90" s="52" t="str">
        <x:f>IF(CaseLedger!$A90="","",IFERROR(CaseLedger!$O90,""))</x:f>
      </x:c>
      <x:c r="G90" s="52" t="str">
        <x:f>IF(CaseLedger!$A90="","",IFERROR(CaseLedger!$E90,""))</x:f>
      </x:c>
      <x:c r="H90" s="52" t="str">
        <x:f>IF(CaseLedger!$A90="","",IFERROR(CaseLedger!$P90,""))</x:f>
      </x:c>
      <x:c r="I90" s="52" t="str">
        <x:f>IF(CaseLedger!$A90="","",IFERROR(CaseLedger!$Q90,""))</x:f>
      </x:c>
      <x:c r="J90" s="52" t="str">
        <x:f>IF(CaseLedger!$A90="","",IFERROR(CaseLedger!$R90,""))</x:f>
      </x:c>
      <x:c r="K90" s="52" t="str">
        <x:f>IF(CaseLedger!$A90="","",IFERROR(CaseLedger!$S90,""))</x:f>
      </x:c>
      <x:c r="L90" s="52" t="str">
        <x:f>IF(CaseLedger!$A90="","",IFERROR(CaseLedger!$T90,""))</x:f>
      </x:c>
      <x:c r="M90" s="52" t="str">
        <x:f>IF(CaseLedger!$A90="","",IFERROR(CaseLedger!$U90,""))</x:f>
      </x:c>
      <x:c r="N90" s="52" t="str">
        <x:f>IF(CaseLedger!$A90="","",IFERROR(CaseLedger!$V90,""))</x:f>
      </x:c>
      <x:c r="O90" s="52" t="str">
        <x:f>IF(CaseLedger!$A90="","",IFERROR(CaseLedger!$W90,""))</x:f>
      </x:c>
      <x:c r="P90" s="52" t="str">
        <x:f>IF(CaseLedger!$A90="","",IFERROR(CaseLedger!$C90,""))</x:f>
      </x:c>
      <x:c r="Q90" s="52" t="str">
        <x:f>IF(CaseLedger!$A90="","",IFERROR(CaseLedger!$D90,""))</x:f>
      </x:c>
      <x:c r="R90" s="52" t="str">
        <x:f>IF(CaseLedger!$A90="","",IFERROR(CaseLedger!$X90,""))</x:f>
      </x:c>
      <x:c r="S90" s="52" t="str">
        <x:f>IF(CaseLedger!$A90="","",IFERROR(CaseLedger!$Y90,""))</x:f>
      </x:c>
      <x:c r="T90" s="52" t="str">
        <x:f>IF(CaseLedger!$A90="","",IFERROR(CaseLedger!$Z90,""))</x:f>
      </x:c>
      <x:c r="U90" s="52" t="str">
        <x:f>IF(CaseLedger!$A90="","",IFERROR(CaseLedger!$AA90,""))</x:f>
      </x:c>
      <x:c r="V90" s="52" t="str">
        <x:f>IF(CaseLedger!$A90="","",IFERROR(CaseLedger!$AB90,""))</x:f>
      </x:c>
      <x:c r="W90" s="52" t="str">
        <x:f>IF(CaseLedger!$A90="","",IFERROR(CaseLedger!$AC90,""))</x:f>
      </x:c>
      <x:c r="X90" s="52" t="str">
        <x:f>IF(CaseLedger!$A90="","",IFERROR(CaseLedger!$AD90,""))</x:f>
      </x:c>
      <x:c r="Y90" s="52" t="str">
        <x:f>IF(CaseLedger!$A90="","",IFERROR(CaseLedger!$AE90,""))</x:f>
      </x:c>
      <x:c r="Z90" s="52" t="str">
        <x:f>IF(CaseLedger!$A90="","",IFERROR(CaseLedger!$AF90,""))</x:f>
      </x:c>
      <x:c r="AA90" s="52" t="str">
        <x:f>IF(CaseLedger!$A90="","",IFERROR(CaseLedger!$AG90,""))</x:f>
      </x:c>
      <x:c r="AB90" s="52" t="str">
        <x:f>IF(CaseLedger!$A90="","",IFERROR(CaseLedger!$AH90,""))</x:f>
      </x:c>
      <x:c r="AC90"/>
    </x:row>
    <x:row r="91">
      <x:c r="A91" s="52" t="str">
        <x:f>IF(CaseLedger!$A91="","",IFERROR(CaseLedger!$A91,""))</x:f>
      </x:c>
      <x:c r="B91" s="52" t="str">
        <x:f>IF(CaseLedger!$A91="","",IFERROR(CaseLedger!$H91,""))</x:f>
      </x:c>
      <x:c r="C91" s="52" t="str">
        <x:f>IF(CaseLedger!$A91="","",IFERROR(CaseLedger!$I91,""))</x:f>
      </x:c>
      <x:c r="D91" s="52" t="str">
        <x:f>IF(CaseLedger!$A91="","",IFERROR(CaseLedger!$J91,""))</x:f>
      </x:c>
      <x:c r="E91" s="52" t="str">
        <x:f>IF(CaseLedger!$A91="","",IFERROR(CaseLedger!$K91,""))</x:f>
      </x:c>
      <x:c r="F91" s="52" t="str">
        <x:f>IF(CaseLedger!$A91="","",IFERROR(CaseLedger!$O91,""))</x:f>
      </x:c>
      <x:c r="G91" s="52" t="str">
        <x:f>IF(CaseLedger!$A91="","",IFERROR(CaseLedger!$E91,""))</x:f>
      </x:c>
      <x:c r="H91" s="52" t="str">
        <x:f>IF(CaseLedger!$A91="","",IFERROR(CaseLedger!$P91,""))</x:f>
      </x:c>
      <x:c r="I91" s="52" t="str">
        <x:f>IF(CaseLedger!$A91="","",IFERROR(CaseLedger!$Q91,""))</x:f>
      </x:c>
      <x:c r="J91" s="52" t="str">
        <x:f>IF(CaseLedger!$A91="","",IFERROR(CaseLedger!$R91,""))</x:f>
      </x:c>
      <x:c r="K91" s="52" t="str">
        <x:f>IF(CaseLedger!$A91="","",IFERROR(CaseLedger!$S91,""))</x:f>
      </x:c>
      <x:c r="L91" s="52" t="str">
        <x:f>IF(CaseLedger!$A91="","",IFERROR(CaseLedger!$T91,""))</x:f>
      </x:c>
      <x:c r="M91" s="52" t="str">
        <x:f>IF(CaseLedger!$A91="","",IFERROR(CaseLedger!$U91,""))</x:f>
      </x:c>
      <x:c r="N91" s="52" t="str">
        <x:f>IF(CaseLedger!$A91="","",IFERROR(CaseLedger!$V91,""))</x:f>
      </x:c>
      <x:c r="O91" s="52" t="str">
        <x:f>IF(CaseLedger!$A91="","",IFERROR(CaseLedger!$W91,""))</x:f>
      </x:c>
      <x:c r="P91" s="52" t="str">
        <x:f>IF(CaseLedger!$A91="","",IFERROR(CaseLedger!$C91,""))</x:f>
      </x:c>
      <x:c r="Q91" s="52" t="str">
        <x:f>IF(CaseLedger!$A91="","",IFERROR(CaseLedger!$D91,""))</x:f>
      </x:c>
      <x:c r="R91" s="52" t="str">
        <x:f>IF(CaseLedger!$A91="","",IFERROR(CaseLedger!$X91,""))</x:f>
      </x:c>
      <x:c r="S91" s="52" t="str">
        <x:f>IF(CaseLedger!$A91="","",IFERROR(CaseLedger!$Y91,""))</x:f>
      </x:c>
      <x:c r="T91" s="52" t="str">
        <x:f>IF(CaseLedger!$A91="","",IFERROR(CaseLedger!$Z91,""))</x:f>
      </x:c>
      <x:c r="U91" s="52" t="str">
        <x:f>IF(CaseLedger!$A91="","",IFERROR(CaseLedger!$AA91,""))</x:f>
      </x:c>
      <x:c r="V91" s="52" t="str">
        <x:f>IF(CaseLedger!$A91="","",IFERROR(CaseLedger!$AB91,""))</x:f>
      </x:c>
      <x:c r="W91" s="52" t="str">
        <x:f>IF(CaseLedger!$A91="","",IFERROR(CaseLedger!$AC91,""))</x:f>
      </x:c>
      <x:c r="X91" s="52" t="str">
        <x:f>IF(CaseLedger!$A91="","",IFERROR(CaseLedger!$AD91,""))</x:f>
      </x:c>
      <x:c r="Y91" s="52" t="str">
        <x:f>IF(CaseLedger!$A91="","",IFERROR(CaseLedger!$AE91,""))</x:f>
      </x:c>
      <x:c r="Z91" s="52" t="str">
        <x:f>IF(CaseLedger!$A91="","",IFERROR(CaseLedger!$AF91,""))</x:f>
      </x:c>
      <x:c r="AA91" s="52" t="str">
        <x:f>IF(CaseLedger!$A91="","",IFERROR(CaseLedger!$AG91,""))</x:f>
      </x:c>
      <x:c r="AB91" s="52" t="str">
        <x:f>IF(CaseLedger!$A91="","",IFERROR(CaseLedger!$AH91,""))</x:f>
      </x:c>
      <x:c r="AC91"/>
    </x:row>
    <x:row r="92">
      <x:c r="A92" s="52" t="str">
        <x:f>IF(CaseLedger!$A92="","",IFERROR(CaseLedger!$A92,""))</x:f>
      </x:c>
      <x:c r="B92" s="52" t="str">
        <x:f>IF(CaseLedger!$A92="","",IFERROR(CaseLedger!$H92,""))</x:f>
      </x:c>
      <x:c r="C92" s="52" t="str">
        <x:f>IF(CaseLedger!$A92="","",IFERROR(CaseLedger!$I92,""))</x:f>
      </x:c>
      <x:c r="D92" s="52" t="str">
        <x:f>IF(CaseLedger!$A92="","",IFERROR(CaseLedger!$J92,""))</x:f>
      </x:c>
      <x:c r="E92" s="52" t="str">
        <x:f>IF(CaseLedger!$A92="","",IFERROR(CaseLedger!$K92,""))</x:f>
      </x:c>
      <x:c r="F92" s="52" t="str">
        <x:f>IF(CaseLedger!$A92="","",IFERROR(CaseLedger!$O92,""))</x:f>
      </x:c>
      <x:c r="G92" s="52" t="str">
        <x:f>IF(CaseLedger!$A92="","",IFERROR(CaseLedger!$E92,""))</x:f>
      </x:c>
      <x:c r="H92" s="52" t="str">
        <x:f>IF(CaseLedger!$A92="","",IFERROR(CaseLedger!$P92,""))</x:f>
      </x:c>
      <x:c r="I92" s="52" t="str">
        <x:f>IF(CaseLedger!$A92="","",IFERROR(CaseLedger!$Q92,""))</x:f>
      </x:c>
      <x:c r="J92" s="52" t="str">
        <x:f>IF(CaseLedger!$A92="","",IFERROR(CaseLedger!$R92,""))</x:f>
      </x:c>
      <x:c r="K92" s="52" t="str">
        <x:f>IF(CaseLedger!$A92="","",IFERROR(CaseLedger!$S92,""))</x:f>
      </x:c>
      <x:c r="L92" s="52" t="str">
        <x:f>IF(CaseLedger!$A92="","",IFERROR(CaseLedger!$T92,""))</x:f>
      </x:c>
      <x:c r="M92" s="52" t="str">
        <x:f>IF(CaseLedger!$A92="","",IFERROR(CaseLedger!$U92,""))</x:f>
      </x:c>
      <x:c r="N92" s="52" t="str">
        <x:f>IF(CaseLedger!$A92="","",IFERROR(CaseLedger!$V92,""))</x:f>
      </x:c>
      <x:c r="O92" s="52" t="str">
        <x:f>IF(CaseLedger!$A92="","",IFERROR(CaseLedger!$W92,""))</x:f>
      </x:c>
      <x:c r="P92" s="52" t="str">
        <x:f>IF(CaseLedger!$A92="","",IFERROR(CaseLedger!$C92,""))</x:f>
      </x:c>
      <x:c r="Q92" s="52" t="str">
        <x:f>IF(CaseLedger!$A92="","",IFERROR(CaseLedger!$D92,""))</x:f>
      </x:c>
      <x:c r="R92" s="52" t="str">
        <x:f>IF(CaseLedger!$A92="","",IFERROR(CaseLedger!$X92,""))</x:f>
      </x:c>
      <x:c r="S92" s="52" t="str">
        <x:f>IF(CaseLedger!$A92="","",IFERROR(CaseLedger!$Y92,""))</x:f>
      </x:c>
      <x:c r="T92" s="52" t="str">
        <x:f>IF(CaseLedger!$A92="","",IFERROR(CaseLedger!$Z92,""))</x:f>
      </x:c>
      <x:c r="U92" s="52" t="str">
        <x:f>IF(CaseLedger!$A92="","",IFERROR(CaseLedger!$AA92,""))</x:f>
      </x:c>
      <x:c r="V92" s="52" t="str">
        <x:f>IF(CaseLedger!$A92="","",IFERROR(CaseLedger!$AB92,""))</x:f>
      </x:c>
      <x:c r="W92" s="52" t="str">
        <x:f>IF(CaseLedger!$A92="","",IFERROR(CaseLedger!$AC92,""))</x:f>
      </x:c>
      <x:c r="X92" s="52" t="str">
        <x:f>IF(CaseLedger!$A92="","",IFERROR(CaseLedger!$AD92,""))</x:f>
      </x:c>
      <x:c r="Y92" s="52" t="str">
        <x:f>IF(CaseLedger!$A92="","",IFERROR(CaseLedger!$AE92,""))</x:f>
      </x:c>
      <x:c r="Z92" s="52" t="str">
        <x:f>IF(CaseLedger!$A92="","",IFERROR(CaseLedger!$AF92,""))</x:f>
      </x:c>
      <x:c r="AA92" s="52" t="str">
        <x:f>IF(CaseLedger!$A92="","",IFERROR(CaseLedger!$AG92,""))</x:f>
      </x:c>
      <x:c r="AB92" s="52" t="str">
        <x:f>IF(CaseLedger!$A92="","",IFERROR(CaseLedger!$AH92,""))</x:f>
      </x:c>
      <x:c r="AC92"/>
    </x:row>
    <x:row r="93">
      <x:c r="A93" s="52" t="str">
        <x:f>IF(CaseLedger!$A93="","",IFERROR(CaseLedger!$A93,""))</x:f>
      </x:c>
      <x:c r="B93" s="52" t="str">
        <x:f>IF(CaseLedger!$A93="","",IFERROR(CaseLedger!$H93,""))</x:f>
      </x:c>
      <x:c r="C93" s="52" t="str">
        <x:f>IF(CaseLedger!$A93="","",IFERROR(CaseLedger!$I93,""))</x:f>
      </x:c>
      <x:c r="D93" s="52" t="str">
        <x:f>IF(CaseLedger!$A93="","",IFERROR(CaseLedger!$J93,""))</x:f>
      </x:c>
      <x:c r="E93" s="52" t="str">
        <x:f>IF(CaseLedger!$A93="","",IFERROR(CaseLedger!$K93,""))</x:f>
      </x:c>
      <x:c r="F93" s="52" t="str">
        <x:f>IF(CaseLedger!$A93="","",IFERROR(CaseLedger!$O93,""))</x:f>
      </x:c>
      <x:c r="G93" s="52" t="str">
        <x:f>IF(CaseLedger!$A93="","",IFERROR(CaseLedger!$E93,""))</x:f>
      </x:c>
      <x:c r="H93" s="52" t="str">
        <x:f>IF(CaseLedger!$A93="","",IFERROR(CaseLedger!$P93,""))</x:f>
      </x:c>
      <x:c r="I93" s="52" t="str">
        <x:f>IF(CaseLedger!$A93="","",IFERROR(CaseLedger!$Q93,""))</x:f>
      </x:c>
      <x:c r="J93" s="52" t="str">
        <x:f>IF(CaseLedger!$A93="","",IFERROR(CaseLedger!$R93,""))</x:f>
      </x:c>
      <x:c r="K93" s="52" t="str">
        <x:f>IF(CaseLedger!$A93="","",IFERROR(CaseLedger!$S93,""))</x:f>
      </x:c>
      <x:c r="L93" s="52" t="str">
        <x:f>IF(CaseLedger!$A93="","",IFERROR(CaseLedger!$T93,""))</x:f>
      </x:c>
      <x:c r="M93" s="52" t="str">
        <x:f>IF(CaseLedger!$A93="","",IFERROR(CaseLedger!$U93,""))</x:f>
      </x:c>
      <x:c r="N93" s="52" t="str">
        <x:f>IF(CaseLedger!$A93="","",IFERROR(CaseLedger!$V93,""))</x:f>
      </x:c>
      <x:c r="O93" s="52" t="str">
        <x:f>IF(CaseLedger!$A93="","",IFERROR(CaseLedger!$W93,""))</x:f>
      </x:c>
      <x:c r="P93" s="52" t="str">
        <x:f>IF(CaseLedger!$A93="","",IFERROR(CaseLedger!$C93,""))</x:f>
      </x:c>
      <x:c r="Q93" s="52" t="str">
        <x:f>IF(CaseLedger!$A93="","",IFERROR(CaseLedger!$D93,""))</x:f>
      </x:c>
      <x:c r="R93" s="52" t="str">
        <x:f>IF(CaseLedger!$A93="","",IFERROR(CaseLedger!$X93,""))</x:f>
      </x:c>
      <x:c r="S93" s="52" t="str">
        <x:f>IF(CaseLedger!$A93="","",IFERROR(CaseLedger!$Y93,""))</x:f>
      </x:c>
      <x:c r="T93" s="52" t="str">
        <x:f>IF(CaseLedger!$A93="","",IFERROR(CaseLedger!$Z93,""))</x:f>
      </x:c>
      <x:c r="U93" s="52" t="str">
        <x:f>IF(CaseLedger!$A93="","",IFERROR(CaseLedger!$AA93,""))</x:f>
      </x:c>
      <x:c r="V93" s="52" t="str">
        <x:f>IF(CaseLedger!$A93="","",IFERROR(CaseLedger!$AB93,""))</x:f>
      </x:c>
      <x:c r="W93" s="52" t="str">
        <x:f>IF(CaseLedger!$A93="","",IFERROR(CaseLedger!$AC93,""))</x:f>
      </x:c>
      <x:c r="X93" s="52" t="str">
        <x:f>IF(CaseLedger!$A93="","",IFERROR(CaseLedger!$AD93,""))</x:f>
      </x:c>
      <x:c r="Y93" s="52" t="str">
        <x:f>IF(CaseLedger!$A93="","",IFERROR(CaseLedger!$AE93,""))</x:f>
      </x:c>
      <x:c r="Z93" s="52" t="str">
        <x:f>IF(CaseLedger!$A93="","",IFERROR(CaseLedger!$AF93,""))</x:f>
      </x:c>
      <x:c r="AA93" s="52" t="str">
        <x:f>IF(CaseLedger!$A93="","",IFERROR(CaseLedger!$AG93,""))</x:f>
      </x:c>
      <x:c r="AB93" s="52" t="str">
        <x:f>IF(CaseLedger!$A93="","",IFERROR(CaseLedger!$AH93,""))</x:f>
      </x:c>
      <x:c r="AC93"/>
    </x:row>
    <x:row r="94">
      <x:c r="A94" s="52" t="str">
        <x:f>IF(CaseLedger!$A94="","",IFERROR(CaseLedger!$A94,""))</x:f>
      </x:c>
      <x:c r="B94" s="52" t="str">
        <x:f>IF(CaseLedger!$A94="","",IFERROR(CaseLedger!$H94,""))</x:f>
      </x:c>
      <x:c r="C94" s="52" t="str">
        <x:f>IF(CaseLedger!$A94="","",IFERROR(CaseLedger!$I94,""))</x:f>
      </x:c>
      <x:c r="D94" s="52" t="str">
        <x:f>IF(CaseLedger!$A94="","",IFERROR(CaseLedger!$J94,""))</x:f>
      </x:c>
      <x:c r="E94" s="52" t="str">
        <x:f>IF(CaseLedger!$A94="","",IFERROR(CaseLedger!$K94,""))</x:f>
      </x:c>
      <x:c r="F94" s="52" t="str">
        <x:f>IF(CaseLedger!$A94="","",IFERROR(CaseLedger!$O94,""))</x:f>
      </x:c>
      <x:c r="G94" s="52" t="str">
        <x:f>IF(CaseLedger!$A94="","",IFERROR(CaseLedger!$E94,""))</x:f>
      </x:c>
      <x:c r="H94" s="52" t="str">
        <x:f>IF(CaseLedger!$A94="","",IFERROR(CaseLedger!$P94,""))</x:f>
      </x:c>
      <x:c r="I94" s="52" t="str">
        <x:f>IF(CaseLedger!$A94="","",IFERROR(CaseLedger!$Q94,""))</x:f>
      </x:c>
      <x:c r="J94" s="52" t="str">
        <x:f>IF(CaseLedger!$A94="","",IFERROR(CaseLedger!$R94,""))</x:f>
      </x:c>
      <x:c r="K94" s="52" t="str">
        <x:f>IF(CaseLedger!$A94="","",IFERROR(CaseLedger!$S94,""))</x:f>
      </x:c>
      <x:c r="L94" s="52" t="str">
        <x:f>IF(CaseLedger!$A94="","",IFERROR(CaseLedger!$T94,""))</x:f>
      </x:c>
      <x:c r="M94" s="52" t="str">
        <x:f>IF(CaseLedger!$A94="","",IFERROR(CaseLedger!$U94,""))</x:f>
      </x:c>
      <x:c r="N94" s="52" t="str">
        <x:f>IF(CaseLedger!$A94="","",IFERROR(CaseLedger!$V94,""))</x:f>
      </x:c>
      <x:c r="O94" s="52" t="str">
        <x:f>IF(CaseLedger!$A94="","",IFERROR(CaseLedger!$W94,""))</x:f>
      </x:c>
      <x:c r="P94" s="52" t="str">
        <x:f>IF(CaseLedger!$A94="","",IFERROR(CaseLedger!$C94,""))</x:f>
      </x:c>
      <x:c r="Q94" s="52" t="str">
        <x:f>IF(CaseLedger!$A94="","",IFERROR(CaseLedger!$D94,""))</x:f>
      </x:c>
      <x:c r="R94" s="52" t="str">
        <x:f>IF(CaseLedger!$A94="","",IFERROR(CaseLedger!$X94,""))</x:f>
      </x:c>
      <x:c r="S94" s="52" t="str">
        <x:f>IF(CaseLedger!$A94="","",IFERROR(CaseLedger!$Y94,""))</x:f>
      </x:c>
      <x:c r="T94" s="52" t="str">
        <x:f>IF(CaseLedger!$A94="","",IFERROR(CaseLedger!$Z94,""))</x:f>
      </x:c>
      <x:c r="U94" s="52" t="str">
        <x:f>IF(CaseLedger!$A94="","",IFERROR(CaseLedger!$AA94,""))</x:f>
      </x:c>
      <x:c r="V94" s="52" t="str">
        <x:f>IF(CaseLedger!$A94="","",IFERROR(CaseLedger!$AB94,""))</x:f>
      </x:c>
      <x:c r="W94" s="52" t="str">
        <x:f>IF(CaseLedger!$A94="","",IFERROR(CaseLedger!$AC94,""))</x:f>
      </x:c>
      <x:c r="X94" s="52" t="str">
        <x:f>IF(CaseLedger!$A94="","",IFERROR(CaseLedger!$AD94,""))</x:f>
      </x:c>
      <x:c r="Y94" s="52" t="str">
        <x:f>IF(CaseLedger!$A94="","",IFERROR(CaseLedger!$AE94,""))</x:f>
      </x:c>
      <x:c r="Z94" s="52" t="str">
        <x:f>IF(CaseLedger!$A94="","",IFERROR(CaseLedger!$AF94,""))</x:f>
      </x:c>
      <x:c r="AA94" s="52" t="str">
        <x:f>IF(CaseLedger!$A94="","",IFERROR(CaseLedger!$AG94,""))</x:f>
      </x:c>
      <x:c r="AB94" s="52" t="str">
        <x:f>IF(CaseLedger!$A94="","",IFERROR(CaseLedger!$AH94,""))</x:f>
      </x:c>
      <x:c r="AC94"/>
    </x:row>
    <x:row r="95">
      <x:c r="A95" s="52" t="str">
        <x:f>IF(CaseLedger!$A95="","",IFERROR(CaseLedger!$A95,""))</x:f>
      </x:c>
      <x:c r="B95" s="52" t="str">
        <x:f>IF(CaseLedger!$A95="","",IFERROR(CaseLedger!$H95,""))</x:f>
      </x:c>
      <x:c r="C95" s="52" t="str">
        <x:f>IF(CaseLedger!$A95="","",IFERROR(CaseLedger!$I95,""))</x:f>
      </x:c>
      <x:c r="D95" s="52" t="str">
        <x:f>IF(CaseLedger!$A95="","",IFERROR(CaseLedger!$J95,""))</x:f>
      </x:c>
      <x:c r="E95" s="52" t="str">
        <x:f>IF(CaseLedger!$A95="","",IFERROR(CaseLedger!$K95,""))</x:f>
      </x:c>
      <x:c r="F95" s="52" t="str">
        <x:f>IF(CaseLedger!$A95="","",IFERROR(CaseLedger!$O95,""))</x:f>
      </x:c>
      <x:c r="G95" s="52" t="str">
        <x:f>IF(CaseLedger!$A95="","",IFERROR(CaseLedger!$E95,""))</x:f>
      </x:c>
      <x:c r="H95" s="52" t="str">
        <x:f>IF(CaseLedger!$A95="","",IFERROR(CaseLedger!$P95,""))</x:f>
      </x:c>
      <x:c r="I95" s="52" t="str">
        <x:f>IF(CaseLedger!$A95="","",IFERROR(CaseLedger!$Q95,""))</x:f>
      </x:c>
      <x:c r="J95" s="52" t="str">
        <x:f>IF(CaseLedger!$A95="","",IFERROR(CaseLedger!$R95,""))</x:f>
      </x:c>
      <x:c r="K95" s="52" t="str">
        <x:f>IF(CaseLedger!$A95="","",IFERROR(CaseLedger!$S95,""))</x:f>
      </x:c>
      <x:c r="L95" s="52" t="str">
        <x:f>IF(CaseLedger!$A95="","",IFERROR(CaseLedger!$T95,""))</x:f>
      </x:c>
      <x:c r="M95" s="52" t="str">
        <x:f>IF(CaseLedger!$A95="","",IFERROR(CaseLedger!$U95,""))</x:f>
      </x:c>
      <x:c r="N95" s="52" t="str">
        <x:f>IF(CaseLedger!$A95="","",IFERROR(CaseLedger!$V95,""))</x:f>
      </x:c>
      <x:c r="O95" s="52" t="str">
        <x:f>IF(CaseLedger!$A95="","",IFERROR(CaseLedger!$W95,""))</x:f>
      </x:c>
      <x:c r="P95" s="52" t="str">
        <x:f>IF(CaseLedger!$A95="","",IFERROR(CaseLedger!$C95,""))</x:f>
      </x:c>
      <x:c r="Q95" s="52" t="str">
        <x:f>IF(CaseLedger!$A95="","",IFERROR(CaseLedger!$D95,""))</x:f>
      </x:c>
      <x:c r="R95" s="52" t="str">
        <x:f>IF(CaseLedger!$A95="","",IFERROR(CaseLedger!$X95,""))</x:f>
      </x:c>
      <x:c r="S95" s="52" t="str">
        <x:f>IF(CaseLedger!$A95="","",IFERROR(CaseLedger!$Y95,""))</x:f>
      </x:c>
      <x:c r="T95" s="52" t="str">
        <x:f>IF(CaseLedger!$A95="","",IFERROR(CaseLedger!$Z95,""))</x:f>
      </x:c>
      <x:c r="U95" s="52" t="str">
        <x:f>IF(CaseLedger!$A95="","",IFERROR(CaseLedger!$AA95,""))</x:f>
      </x:c>
      <x:c r="V95" s="52" t="str">
        <x:f>IF(CaseLedger!$A95="","",IFERROR(CaseLedger!$AB95,""))</x:f>
      </x:c>
      <x:c r="W95" s="52" t="str">
        <x:f>IF(CaseLedger!$A95="","",IFERROR(CaseLedger!$AC95,""))</x:f>
      </x:c>
      <x:c r="X95" s="52" t="str">
        <x:f>IF(CaseLedger!$A95="","",IFERROR(CaseLedger!$AD95,""))</x:f>
      </x:c>
      <x:c r="Y95" s="52" t="str">
        <x:f>IF(CaseLedger!$A95="","",IFERROR(CaseLedger!$AE95,""))</x:f>
      </x:c>
      <x:c r="Z95" s="52" t="str">
        <x:f>IF(CaseLedger!$A95="","",IFERROR(CaseLedger!$AF95,""))</x:f>
      </x:c>
      <x:c r="AA95" s="52" t="str">
        <x:f>IF(CaseLedger!$A95="","",IFERROR(CaseLedger!$AG95,""))</x:f>
      </x:c>
      <x:c r="AB95" s="52" t="str">
        <x:f>IF(CaseLedger!$A95="","",IFERROR(CaseLedger!$AH95,""))</x:f>
      </x:c>
      <x:c r="AC95"/>
    </x:row>
    <x:row r="96">
      <x:c r="A96" s="52" t="str">
        <x:f>IF(CaseLedger!$A96="","",IFERROR(CaseLedger!$A96,""))</x:f>
      </x:c>
      <x:c r="B96" s="52" t="str">
        <x:f>IF(CaseLedger!$A96="","",IFERROR(CaseLedger!$H96,""))</x:f>
      </x:c>
      <x:c r="C96" s="52" t="str">
        <x:f>IF(CaseLedger!$A96="","",IFERROR(CaseLedger!$I96,""))</x:f>
      </x:c>
      <x:c r="D96" s="52" t="str">
        <x:f>IF(CaseLedger!$A96="","",IFERROR(CaseLedger!$J96,""))</x:f>
      </x:c>
      <x:c r="E96" s="52" t="str">
        <x:f>IF(CaseLedger!$A96="","",IFERROR(CaseLedger!$K96,""))</x:f>
      </x:c>
      <x:c r="F96" s="52" t="str">
        <x:f>IF(CaseLedger!$A96="","",IFERROR(CaseLedger!$O96,""))</x:f>
      </x:c>
      <x:c r="G96" s="52" t="str">
        <x:f>IF(CaseLedger!$A96="","",IFERROR(CaseLedger!$E96,""))</x:f>
      </x:c>
      <x:c r="H96" s="52" t="str">
        <x:f>IF(CaseLedger!$A96="","",IFERROR(CaseLedger!$P96,""))</x:f>
      </x:c>
      <x:c r="I96" s="52" t="str">
        <x:f>IF(CaseLedger!$A96="","",IFERROR(CaseLedger!$Q96,""))</x:f>
      </x:c>
      <x:c r="J96" s="52" t="str">
        <x:f>IF(CaseLedger!$A96="","",IFERROR(CaseLedger!$R96,""))</x:f>
      </x:c>
      <x:c r="K96" s="52" t="str">
        <x:f>IF(CaseLedger!$A96="","",IFERROR(CaseLedger!$S96,""))</x:f>
      </x:c>
      <x:c r="L96" s="52" t="str">
        <x:f>IF(CaseLedger!$A96="","",IFERROR(CaseLedger!$T96,""))</x:f>
      </x:c>
      <x:c r="M96" s="52" t="str">
        <x:f>IF(CaseLedger!$A96="","",IFERROR(CaseLedger!$U96,""))</x:f>
      </x:c>
      <x:c r="N96" s="52" t="str">
        <x:f>IF(CaseLedger!$A96="","",IFERROR(CaseLedger!$V96,""))</x:f>
      </x:c>
      <x:c r="O96" s="52" t="str">
        <x:f>IF(CaseLedger!$A96="","",IFERROR(CaseLedger!$W96,""))</x:f>
      </x:c>
      <x:c r="P96" s="52" t="str">
        <x:f>IF(CaseLedger!$A96="","",IFERROR(CaseLedger!$C96,""))</x:f>
      </x:c>
      <x:c r="Q96" s="52" t="str">
        <x:f>IF(CaseLedger!$A96="","",IFERROR(CaseLedger!$D96,""))</x:f>
      </x:c>
      <x:c r="R96" s="52" t="str">
        <x:f>IF(CaseLedger!$A96="","",IFERROR(CaseLedger!$X96,""))</x:f>
      </x:c>
      <x:c r="S96" s="52" t="str">
        <x:f>IF(CaseLedger!$A96="","",IFERROR(CaseLedger!$Y96,""))</x:f>
      </x:c>
      <x:c r="T96" s="52" t="str">
        <x:f>IF(CaseLedger!$A96="","",IFERROR(CaseLedger!$Z96,""))</x:f>
      </x:c>
      <x:c r="U96" s="52" t="str">
        <x:f>IF(CaseLedger!$A96="","",IFERROR(CaseLedger!$AA96,""))</x:f>
      </x:c>
      <x:c r="V96" s="52" t="str">
        <x:f>IF(CaseLedger!$A96="","",IFERROR(CaseLedger!$AB96,""))</x:f>
      </x:c>
      <x:c r="W96" s="52" t="str">
        <x:f>IF(CaseLedger!$A96="","",IFERROR(CaseLedger!$AC96,""))</x:f>
      </x:c>
      <x:c r="X96" s="52" t="str">
        <x:f>IF(CaseLedger!$A96="","",IFERROR(CaseLedger!$AD96,""))</x:f>
      </x:c>
      <x:c r="Y96" s="52" t="str">
        <x:f>IF(CaseLedger!$A96="","",IFERROR(CaseLedger!$AE96,""))</x:f>
      </x:c>
      <x:c r="Z96" s="52" t="str">
        <x:f>IF(CaseLedger!$A96="","",IFERROR(CaseLedger!$AF96,""))</x:f>
      </x:c>
      <x:c r="AA96" s="52" t="str">
        <x:f>IF(CaseLedger!$A96="","",IFERROR(CaseLedger!$AG96,""))</x:f>
      </x:c>
      <x:c r="AB96" s="52" t="str">
        <x:f>IF(CaseLedger!$A96="","",IFERROR(CaseLedger!$AH96,""))</x:f>
      </x:c>
      <x:c r="AC96"/>
    </x:row>
    <x:row r="97">
      <x:c r="A97" s="52" t="str">
        <x:f>IF(CaseLedger!$A97="","",IFERROR(CaseLedger!$A97,""))</x:f>
      </x:c>
      <x:c r="B97" s="52" t="str">
        <x:f>IF(CaseLedger!$A97="","",IFERROR(CaseLedger!$H97,""))</x:f>
      </x:c>
      <x:c r="C97" s="52" t="str">
        <x:f>IF(CaseLedger!$A97="","",IFERROR(CaseLedger!$I97,""))</x:f>
      </x:c>
      <x:c r="D97" s="52" t="str">
        <x:f>IF(CaseLedger!$A97="","",IFERROR(CaseLedger!$J97,""))</x:f>
      </x:c>
      <x:c r="E97" s="52" t="str">
        <x:f>IF(CaseLedger!$A97="","",IFERROR(CaseLedger!$K97,""))</x:f>
      </x:c>
      <x:c r="F97" s="52" t="str">
        <x:f>IF(CaseLedger!$A97="","",IFERROR(CaseLedger!$O97,""))</x:f>
      </x:c>
      <x:c r="G97" s="52" t="str">
        <x:f>IF(CaseLedger!$A97="","",IFERROR(CaseLedger!$E97,""))</x:f>
      </x:c>
      <x:c r="H97" s="52" t="str">
        <x:f>IF(CaseLedger!$A97="","",IFERROR(CaseLedger!$P97,""))</x:f>
      </x:c>
      <x:c r="I97" s="52" t="str">
        <x:f>IF(CaseLedger!$A97="","",IFERROR(CaseLedger!$Q97,""))</x:f>
      </x:c>
      <x:c r="J97" s="52" t="str">
        <x:f>IF(CaseLedger!$A97="","",IFERROR(CaseLedger!$R97,""))</x:f>
      </x:c>
      <x:c r="K97" s="52" t="str">
        <x:f>IF(CaseLedger!$A97="","",IFERROR(CaseLedger!$S97,""))</x:f>
      </x:c>
      <x:c r="L97" s="52" t="str">
        <x:f>IF(CaseLedger!$A97="","",IFERROR(CaseLedger!$T97,""))</x:f>
      </x:c>
      <x:c r="M97" s="52" t="str">
        <x:f>IF(CaseLedger!$A97="","",IFERROR(CaseLedger!$U97,""))</x:f>
      </x:c>
      <x:c r="N97" s="52" t="str">
        <x:f>IF(CaseLedger!$A97="","",IFERROR(CaseLedger!$V97,""))</x:f>
      </x:c>
      <x:c r="O97" s="52" t="str">
        <x:f>IF(CaseLedger!$A97="","",IFERROR(CaseLedger!$W97,""))</x:f>
      </x:c>
      <x:c r="P97" s="52" t="str">
        <x:f>IF(CaseLedger!$A97="","",IFERROR(CaseLedger!$C97,""))</x:f>
      </x:c>
      <x:c r="Q97" s="52" t="str">
        <x:f>IF(CaseLedger!$A97="","",IFERROR(CaseLedger!$D97,""))</x:f>
      </x:c>
      <x:c r="R97" s="52" t="str">
        <x:f>IF(CaseLedger!$A97="","",IFERROR(CaseLedger!$X97,""))</x:f>
      </x:c>
      <x:c r="S97" s="52" t="str">
        <x:f>IF(CaseLedger!$A97="","",IFERROR(CaseLedger!$Y97,""))</x:f>
      </x:c>
      <x:c r="T97" s="52" t="str">
        <x:f>IF(CaseLedger!$A97="","",IFERROR(CaseLedger!$Z97,""))</x:f>
      </x:c>
      <x:c r="U97" s="52" t="str">
        <x:f>IF(CaseLedger!$A97="","",IFERROR(CaseLedger!$AA97,""))</x:f>
      </x:c>
      <x:c r="V97" s="52" t="str">
        <x:f>IF(CaseLedger!$A97="","",IFERROR(CaseLedger!$AB97,""))</x:f>
      </x:c>
      <x:c r="W97" s="52" t="str">
        <x:f>IF(CaseLedger!$A97="","",IFERROR(CaseLedger!$AC97,""))</x:f>
      </x:c>
      <x:c r="X97" s="52" t="str">
        <x:f>IF(CaseLedger!$A97="","",IFERROR(CaseLedger!$AD97,""))</x:f>
      </x:c>
      <x:c r="Y97" s="52" t="str">
        <x:f>IF(CaseLedger!$A97="","",IFERROR(CaseLedger!$AE97,""))</x:f>
      </x:c>
      <x:c r="Z97" s="52" t="str">
        <x:f>IF(CaseLedger!$A97="","",IFERROR(CaseLedger!$AF97,""))</x:f>
      </x:c>
      <x:c r="AA97" s="52" t="str">
        <x:f>IF(CaseLedger!$A97="","",IFERROR(CaseLedger!$AG97,""))</x:f>
      </x:c>
      <x:c r="AB97" s="52" t="str">
        <x:f>IF(CaseLedger!$A97="","",IFERROR(CaseLedger!$AH97,""))</x:f>
      </x:c>
      <x:c r="AC97"/>
    </x:row>
    <x:row r="98">
      <x:c r="A98" s="52" t="str">
        <x:f>IF(CaseLedger!$A98="","",IFERROR(CaseLedger!$A98,""))</x:f>
      </x:c>
      <x:c r="B98" s="52" t="str">
        <x:f>IF(CaseLedger!$A98="","",IFERROR(CaseLedger!$H98,""))</x:f>
      </x:c>
      <x:c r="C98" s="52" t="str">
        <x:f>IF(CaseLedger!$A98="","",IFERROR(CaseLedger!$I98,""))</x:f>
      </x:c>
      <x:c r="D98" s="52" t="str">
        <x:f>IF(CaseLedger!$A98="","",IFERROR(CaseLedger!$J98,""))</x:f>
      </x:c>
      <x:c r="E98" s="52" t="str">
        <x:f>IF(CaseLedger!$A98="","",IFERROR(CaseLedger!$K98,""))</x:f>
      </x:c>
      <x:c r="F98" s="52" t="str">
        <x:f>IF(CaseLedger!$A98="","",IFERROR(CaseLedger!$O98,""))</x:f>
      </x:c>
      <x:c r="G98" s="52" t="str">
        <x:f>IF(CaseLedger!$A98="","",IFERROR(CaseLedger!$E98,""))</x:f>
      </x:c>
      <x:c r="H98" s="52" t="str">
        <x:f>IF(CaseLedger!$A98="","",IFERROR(CaseLedger!$P98,""))</x:f>
      </x:c>
      <x:c r="I98" s="52" t="str">
        <x:f>IF(CaseLedger!$A98="","",IFERROR(CaseLedger!$Q98,""))</x:f>
      </x:c>
      <x:c r="J98" s="52" t="str">
        <x:f>IF(CaseLedger!$A98="","",IFERROR(CaseLedger!$R98,""))</x:f>
      </x:c>
      <x:c r="K98" s="52" t="str">
        <x:f>IF(CaseLedger!$A98="","",IFERROR(CaseLedger!$S98,""))</x:f>
      </x:c>
      <x:c r="L98" s="52" t="str">
        <x:f>IF(CaseLedger!$A98="","",IFERROR(CaseLedger!$T98,""))</x:f>
      </x:c>
      <x:c r="M98" s="52" t="str">
        <x:f>IF(CaseLedger!$A98="","",IFERROR(CaseLedger!$U98,""))</x:f>
      </x:c>
      <x:c r="N98" s="52" t="str">
        <x:f>IF(CaseLedger!$A98="","",IFERROR(CaseLedger!$V98,""))</x:f>
      </x:c>
      <x:c r="O98" s="52" t="str">
        <x:f>IF(CaseLedger!$A98="","",IFERROR(CaseLedger!$W98,""))</x:f>
      </x:c>
      <x:c r="P98" s="52" t="str">
        <x:f>IF(CaseLedger!$A98="","",IFERROR(CaseLedger!$C98,""))</x:f>
      </x:c>
      <x:c r="Q98" s="52" t="str">
        <x:f>IF(CaseLedger!$A98="","",IFERROR(CaseLedger!$D98,""))</x:f>
      </x:c>
      <x:c r="R98" s="52" t="str">
        <x:f>IF(CaseLedger!$A98="","",IFERROR(CaseLedger!$X98,""))</x:f>
      </x:c>
      <x:c r="S98" s="52" t="str">
        <x:f>IF(CaseLedger!$A98="","",IFERROR(CaseLedger!$Y98,""))</x:f>
      </x:c>
      <x:c r="T98" s="52" t="str">
        <x:f>IF(CaseLedger!$A98="","",IFERROR(CaseLedger!$Z98,""))</x:f>
      </x:c>
      <x:c r="U98" s="52" t="str">
        <x:f>IF(CaseLedger!$A98="","",IFERROR(CaseLedger!$AA98,""))</x:f>
      </x:c>
      <x:c r="V98" s="52" t="str">
        <x:f>IF(CaseLedger!$A98="","",IFERROR(CaseLedger!$AB98,""))</x:f>
      </x:c>
      <x:c r="W98" s="52" t="str">
        <x:f>IF(CaseLedger!$A98="","",IFERROR(CaseLedger!$AC98,""))</x:f>
      </x:c>
      <x:c r="X98" s="52" t="str">
        <x:f>IF(CaseLedger!$A98="","",IFERROR(CaseLedger!$AD98,""))</x:f>
      </x:c>
      <x:c r="Y98" s="52" t="str">
        <x:f>IF(CaseLedger!$A98="","",IFERROR(CaseLedger!$AE98,""))</x:f>
      </x:c>
      <x:c r="Z98" s="52" t="str">
        <x:f>IF(CaseLedger!$A98="","",IFERROR(CaseLedger!$AF98,""))</x:f>
      </x:c>
      <x:c r="AA98" s="52" t="str">
        <x:f>IF(CaseLedger!$A98="","",IFERROR(CaseLedger!$AG98,""))</x:f>
      </x:c>
      <x:c r="AB98" s="52" t="str">
        <x:f>IF(CaseLedger!$A98="","",IFERROR(CaseLedger!$AH98,""))</x:f>
      </x:c>
      <x:c r="AC98"/>
    </x:row>
    <x:row r="99">
      <x:c r="A99" s="52" t="str">
        <x:f>IF(CaseLedger!$A99="","",IFERROR(CaseLedger!$A99,""))</x:f>
      </x:c>
      <x:c r="B99" s="52" t="str">
        <x:f>IF(CaseLedger!$A99="","",IFERROR(CaseLedger!$H99,""))</x:f>
      </x:c>
      <x:c r="C99" s="52" t="str">
        <x:f>IF(CaseLedger!$A99="","",IFERROR(CaseLedger!$I99,""))</x:f>
      </x:c>
      <x:c r="D99" s="52" t="str">
        <x:f>IF(CaseLedger!$A99="","",IFERROR(CaseLedger!$J99,""))</x:f>
      </x:c>
      <x:c r="E99" s="52" t="str">
        <x:f>IF(CaseLedger!$A99="","",IFERROR(CaseLedger!$K99,""))</x:f>
      </x:c>
      <x:c r="F99" s="52" t="str">
        <x:f>IF(CaseLedger!$A99="","",IFERROR(CaseLedger!$O99,""))</x:f>
      </x:c>
      <x:c r="G99" s="52" t="str">
        <x:f>IF(CaseLedger!$A99="","",IFERROR(CaseLedger!$E99,""))</x:f>
      </x:c>
      <x:c r="H99" s="52" t="str">
        <x:f>IF(CaseLedger!$A99="","",IFERROR(CaseLedger!$P99,""))</x:f>
      </x:c>
      <x:c r="I99" s="52" t="str">
        <x:f>IF(CaseLedger!$A99="","",IFERROR(CaseLedger!$Q99,""))</x:f>
      </x:c>
      <x:c r="J99" s="52" t="str">
        <x:f>IF(CaseLedger!$A99="","",IFERROR(CaseLedger!$R99,""))</x:f>
      </x:c>
      <x:c r="K99" s="52" t="str">
        <x:f>IF(CaseLedger!$A99="","",IFERROR(CaseLedger!$S99,""))</x:f>
      </x:c>
      <x:c r="L99" s="52" t="str">
        <x:f>IF(CaseLedger!$A99="","",IFERROR(CaseLedger!$T99,""))</x:f>
      </x:c>
      <x:c r="M99" s="52" t="str">
        <x:f>IF(CaseLedger!$A99="","",IFERROR(CaseLedger!$U99,""))</x:f>
      </x:c>
      <x:c r="N99" s="52" t="str">
        <x:f>IF(CaseLedger!$A99="","",IFERROR(CaseLedger!$V99,""))</x:f>
      </x:c>
      <x:c r="O99" s="52" t="str">
        <x:f>IF(CaseLedger!$A99="","",IFERROR(CaseLedger!$W99,""))</x:f>
      </x:c>
      <x:c r="P99" s="52" t="str">
        <x:f>IF(CaseLedger!$A99="","",IFERROR(CaseLedger!$C99,""))</x:f>
      </x:c>
      <x:c r="Q99" s="52" t="str">
        <x:f>IF(CaseLedger!$A99="","",IFERROR(CaseLedger!$D99,""))</x:f>
      </x:c>
      <x:c r="R99" s="52" t="str">
        <x:f>IF(CaseLedger!$A99="","",IFERROR(CaseLedger!$X99,""))</x:f>
      </x:c>
      <x:c r="S99" s="52" t="str">
        <x:f>IF(CaseLedger!$A99="","",IFERROR(CaseLedger!$Y99,""))</x:f>
      </x:c>
      <x:c r="T99" s="52" t="str">
        <x:f>IF(CaseLedger!$A99="","",IFERROR(CaseLedger!$Z99,""))</x:f>
      </x:c>
      <x:c r="U99" s="52" t="str">
        <x:f>IF(CaseLedger!$A99="","",IFERROR(CaseLedger!$AA99,""))</x:f>
      </x:c>
      <x:c r="V99" s="52" t="str">
        <x:f>IF(CaseLedger!$A99="","",IFERROR(CaseLedger!$AB99,""))</x:f>
      </x:c>
      <x:c r="W99" s="52" t="str">
        <x:f>IF(CaseLedger!$A99="","",IFERROR(CaseLedger!$AC99,""))</x:f>
      </x:c>
      <x:c r="X99" s="52" t="str">
        <x:f>IF(CaseLedger!$A99="","",IFERROR(CaseLedger!$AD99,""))</x:f>
      </x:c>
      <x:c r="Y99" s="52" t="str">
        <x:f>IF(CaseLedger!$A99="","",IFERROR(CaseLedger!$AE99,""))</x:f>
      </x:c>
      <x:c r="Z99" s="52" t="str">
        <x:f>IF(CaseLedger!$A99="","",IFERROR(CaseLedger!$AF99,""))</x:f>
      </x:c>
      <x:c r="AA99" s="52" t="str">
        <x:f>IF(CaseLedger!$A99="","",IFERROR(CaseLedger!$AG99,""))</x:f>
      </x:c>
      <x:c r="AB99" s="52" t="str">
        <x:f>IF(CaseLedger!$A99="","",IFERROR(CaseLedger!$AH99,""))</x:f>
      </x:c>
      <x:c r="AC99"/>
    </x:row>
    <x:row r="100">
      <x:c r="A100" s="52" t="str">
        <x:f>IF(CaseLedger!$A100="","",IFERROR(CaseLedger!$A100,""))</x:f>
      </x:c>
      <x:c r="B100" s="52" t="str">
        <x:f>IF(CaseLedger!$A100="","",IFERROR(CaseLedger!$H100,""))</x:f>
      </x:c>
      <x:c r="C100" s="52" t="str">
        <x:f>IF(CaseLedger!$A100="","",IFERROR(CaseLedger!$I100,""))</x:f>
      </x:c>
      <x:c r="D100" s="52" t="str">
        <x:f>IF(CaseLedger!$A100="","",IFERROR(CaseLedger!$J100,""))</x:f>
      </x:c>
      <x:c r="E100" s="52" t="str">
        <x:f>IF(CaseLedger!$A100="","",IFERROR(CaseLedger!$K100,""))</x:f>
      </x:c>
      <x:c r="F100" s="52" t="str">
        <x:f>IF(CaseLedger!$A100="","",IFERROR(CaseLedger!$O100,""))</x:f>
      </x:c>
      <x:c r="G100" s="52" t="str">
        <x:f>IF(CaseLedger!$A100="","",IFERROR(CaseLedger!$E100,""))</x:f>
      </x:c>
      <x:c r="H100" s="52" t="str">
        <x:f>IF(CaseLedger!$A100="","",IFERROR(CaseLedger!$P100,""))</x:f>
      </x:c>
      <x:c r="I100" s="52" t="str">
        <x:f>IF(CaseLedger!$A100="","",IFERROR(CaseLedger!$Q100,""))</x:f>
      </x:c>
      <x:c r="J100" s="52" t="str">
        <x:f>IF(CaseLedger!$A100="","",IFERROR(CaseLedger!$R100,""))</x:f>
      </x:c>
      <x:c r="K100" s="52" t="str">
        <x:f>IF(CaseLedger!$A100="","",IFERROR(CaseLedger!$S100,""))</x:f>
      </x:c>
      <x:c r="L100" s="52" t="str">
        <x:f>IF(CaseLedger!$A100="","",IFERROR(CaseLedger!$T100,""))</x:f>
      </x:c>
      <x:c r="M100" s="52" t="str">
        <x:f>IF(CaseLedger!$A100="","",IFERROR(CaseLedger!$U100,""))</x:f>
      </x:c>
      <x:c r="N100" s="52" t="str">
        <x:f>IF(CaseLedger!$A100="","",IFERROR(CaseLedger!$V100,""))</x:f>
      </x:c>
      <x:c r="O100" s="52" t="str">
        <x:f>IF(CaseLedger!$A100="","",IFERROR(CaseLedger!$W100,""))</x:f>
      </x:c>
      <x:c r="P100" s="52" t="str">
        <x:f>IF(CaseLedger!$A100="","",IFERROR(CaseLedger!$C100,""))</x:f>
      </x:c>
      <x:c r="Q100" s="52" t="str">
        <x:f>IF(CaseLedger!$A100="","",IFERROR(CaseLedger!$D100,""))</x:f>
      </x:c>
      <x:c r="R100" s="52" t="str">
        <x:f>IF(CaseLedger!$A100="","",IFERROR(CaseLedger!$X100,""))</x:f>
      </x:c>
      <x:c r="S100" s="52" t="str">
        <x:f>IF(CaseLedger!$A100="","",IFERROR(CaseLedger!$Y100,""))</x:f>
      </x:c>
      <x:c r="T100" s="52" t="str">
        <x:f>IF(CaseLedger!$A100="","",IFERROR(CaseLedger!$Z100,""))</x:f>
      </x:c>
      <x:c r="U100" s="52" t="str">
        <x:f>IF(CaseLedger!$A100="","",IFERROR(CaseLedger!$AA100,""))</x:f>
      </x:c>
      <x:c r="V100" s="52" t="str">
        <x:f>IF(CaseLedger!$A100="","",IFERROR(CaseLedger!$AB100,""))</x:f>
      </x:c>
      <x:c r="W100" s="52" t="str">
        <x:f>IF(CaseLedger!$A100="","",IFERROR(CaseLedger!$AC100,""))</x:f>
      </x:c>
      <x:c r="X100" s="52" t="str">
        <x:f>IF(CaseLedger!$A100="","",IFERROR(CaseLedger!$AD100,""))</x:f>
      </x:c>
      <x:c r="Y100" s="52" t="str">
        <x:f>IF(CaseLedger!$A100="","",IFERROR(CaseLedger!$AE100,""))</x:f>
      </x:c>
      <x:c r="Z100" s="52" t="str">
        <x:f>IF(CaseLedger!$A100="","",IFERROR(CaseLedger!$AF100,""))</x:f>
      </x:c>
      <x:c r="AA100" s="52" t="str">
        <x:f>IF(CaseLedger!$A100="","",IFERROR(CaseLedger!$AG100,""))</x:f>
      </x:c>
      <x:c r="AB100" s="52" t="str">
        <x:f>IF(CaseLedger!$A100="","",IFERROR(CaseLedger!$AH100,""))</x:f>
      </x:c>
      <x:c r="AC100"/>
    </x:row>
    <x:row r="101">
      <x:c r="A101" s="52" t="str">
        <x:f>IF(CaseLedger!$A101="","",IFERROR(CaseLedger!$A101,""))</x:f>
      </x:c>
      <x:c r="B101" s="52" t="str">
        <x:f>IF(CaseLedger!$A101="","",IFERROR(CaseLedger!$H101,""))</x:f>
      </x:c>
      <x:c r="C101" s="52" t="str">
        <x:f>IF(CaseLedger!$A101="","",IFERROR(CaseLedger!$I101,""))</x:f>
      </x:c>
      <x:c r="D101" s="52" t="str">
        <x:f>IF(CaseLedger!$A101="","",IFERROR(CaseLedger!$J101,""))</x:f>
      </x:c>
      <x:c r="E101" s="52" t="str">
        <x:f>IF(CaseLedger!$A101="","",IFERROR(CaseLedger!$K101,""))</x:f>
      </x:c>
      <x:c r="F101" s="52" t="str">
        <x:f>IF(CaseLedger!$A101="","",IFERROR(CaseLedger!$O101,""))</x:f>
      </x:c>
      <x:c r="G101" s="52" t="str">
        <x:f>IF(CaseLedger!$A101="","",IFERROR(CaseLedger!$E101,""))</x:f>
      </x:c>
      <x:c r="H101" s="52" t="str">
        <x:f>IF(CaseLedger!$A101="","",IFERROR(CaseLedger!$P101,""))</x:f>
      </x:c>
      <x:c r="I101" s="52" t="str">
        <x:f>IF(CaseLedger!$A101="","",IFERROR(CaseLedger!$Q101,""))</x:f>
      </x:c>
      <x:c r="J101" s="52" t="str">
        <x:f>IF(CaseLedger!$A101="","",IFERROR(CaseLedger!$R101,""))</x:f>
      </x:c>
      <x:c r="K101" s="52" t="str">
        <x:f>IF(CaseLedger!$A101="","",IFERROR(CaseLedger!$S101,""))</x:f>
      </x:c>
      <x:c r="L101" s="52" t="str">
        <x:f>IF(CaseLedger!$A101="","",IFERROR(CaseLedger!$T101,""))</x:f>
      </x:c>
      <x:c r="M101" s="52" t="str">
        <x:f>IF(CaseLedger!$A101="","",IFERROR(CaseLedger!$U101,""))</x:f>
      </x:c>
      <x:c r="N101" s="52" t="str">
        <x:f>IF(CaseLedger!$A101="","",IFERROR(CaseLedger!$V101,""))</x:f>
      </x:c>
      <x:c r="O101" s="52" t="str">
        <x:f>IF(CaseLedger!$A101="","",IFERROR(CaseLedger!$W101,""))</x:f>
      </x:c>
      <x:c r="P101" s="52" t="str">
        <x:f>IF(CaseLedger!$A101="","",IFERROR(CaseLedger!$C101,""))</x:f>
      </x:c>
      <x:c r="Q101" s="52" t="str">
        <x:f>IF(CaseLedger!$A101="","",IFERROR(CaseLedger!$D101,""))</x:f>
      </x:c>
      <x:c r="R101" s="52" t="str">
        <x:f>IF(CaseLedger!$A101="","",IFERROR(CaseLedger!$X101,""))</x:f>
      </x:c>
      <x:c r="S101" s="52" t="str">
        <x:f>IF(CaseLedger!$A101="","",IFERROR(CaseLedger!$Y101,""))</x:f>
      </x:c>
      <x:c r="T101" s="52" t="str">
        <x:f>IF(CaseLedger!$A101="","",IFERROR(CaseLedger!$Z101,""))</x:f>
      </x:c>
      <x:c r="U101" s="52" t="str">
        <x:f>IF(CaseLedger!$A101="","",IFERROR(CaseLedger!$AA101,""))</x:f>
      </x:c>
      <x:c r="V101" s="52" t="str">
        <x:f>IF(CaseLedger!$A101="","",IFERROR(CaseLedger!$AB101,""))</x:f>
      </x:c>
      <x:c r="W101" s="52" t="str">
        <x:f>IF(CaseLedger!$A101="","",IFERROR(CaseLedger!$AC101,""))</x:f>
      </x:c>
      <x:c r="X101" s="52" t="str">
        <x:f>IF(CaseLedger!$A101="","",IFERROR(CaseLedger!$AD101,""))</x:f>
      </x:c>
      <x:c r="Y101" s="52" t="str">
        <x:f>IF(CaseLedger!$A101="","",IFERROR(CaseLedger!$AE101,""))</x:f>
      </x:c>
      <x:c r="Z101" s="52" t="str">
        <x:f>IF(CaseLedger!$A101="","",IFERROR(CaseLedger!$AF101,""))</x:f>
      </x:c>
      <x:c r="AA101" s="52" t="str">
        <x:f>IF(CaseLedger!$A101="","",IFERROR(CaseLedger!$AG101,""))</x:f>
      </x:c>
      <x:c r="AB101" s="52" t="str">
        <x:f>IF(CaseLedger!$A101="","",IFERROR(CaseLedger!$AH101,""))</x:f>
      </x:c>
      <x:c r="AC101"/>
    </x:row>
    <x:row r="102">
      <x:c r="A102" s="52" t="str">
        <x:f>IF(CaseLedger!$A102="","",IFERROR(CaseLedger!$A102,""))</x:f>
      </x:c>
      <x:c r="B102" s="52" t="str">
        <x:f>IF(CaseLedger!$A102="","",IFERROR(CaseLedger!$H102,""))</x:f>
      </x:c>
      <x:c r="C102" s="52" t="str">
        <x:f>IF(CaseLedger!$A102="","",IFERROR(CaseLedger!$I102,""))</x:f>
      </x:c>
      <x:c r="D102" s="52" t="str">
        <x:f>IF(CaseLedger!$A102="","",IFERROR(CaseLedger!$J102,""))</x:f>
      </x:c>
      <x:c r="E102" s="52" t="str">
        <x:f>IF(CaseLedger!$A102="","",IFERROR(CaseLedger!$K102,""))</x:f>
      </x:c>
      <x:c r="F102" s="52" t="str">
        <x:f>IF(CaseLedger!$A102="","",IFERROR(CaseLedger!$O102,""))</x:f>
      </x:c>
      <x:c r="G102" s="52" t="str">
        <x:f>IF(CaseLedger!$A102="","",IFERROR(CaseLedger!$E102,""))</x:f>
      </x:c>
      <x:c r="H102" s="52" t="str">
        <x:f>IF(CaseLedger!$A102="","",IFERROR(CaseLedger!$P102,""))</x:f>
      </x:c>
      <x:c r="I102" s="52" t="str">
        <x:f>IF(CaseLedger!$A102="","",IFERROR(CaseLedger!$Q102,""))</x:f>
      </x:c>
      <x:c r="J102" s="52" t="str">
        <x:f>IF(CaseLedger!$A102="","",IFERROR(CaseLedger!$R102,""))</x:f>
      </x:c>
      <x:c r="K102" s="52" t="str">
        <x:f>IF(CaseLedger!$A102="","",IFERROR(CaseLedger!$S102,""))</x:f>
      </x:c>
      <x:c r="L102" s="52" t="str">
        <x:f>IF(CaseLedger!$A102="","",IFERROR(CaseLedger!$T102,""))</x:f>
      </x:c>
      <x:c r="M102" s="52" t="str">
        <x:f>IF(CaseLedger!$A102="","",IFERROR(CaseLedger!$U102,""))</x:f>
      </x:c>
      <x:c r="N102" s="52" t="str">
        <x:f>IF(CaseLedger!$A102="","",IFERROR(CaseLedger!$V102,""))</x:f>
      </x:c>
      <x:c r="O102" s="52" t="str">
        <x:f>IF(CaseLedger!$A102="","",IFERROR(CaseLedger!$W102,""))</x:f>
      </x:c>
      <x:c r="P102" s="52" t="str">
        <x:f>IF(CaseLedger!$A102="","",IFERROR(CaseLedger!$C102,""))</x:f>
      </x:c>
      <x:c r="Q102" s="52" t="str">
        <x:f>IF(CaseLedger!$A102="","",IFERROR(CaseLedger!$D102,""))</x:f>
      </x:c>
      <x:c r="R102" s="52" t="str">
        <x:f>IF(CaseLedger!$A102="","",IFERROR(CaseLedger!$X102,""))</x:f>
      </x:c>
      <x:c r="S102" s="52" t="str">
        <x:f>IF(CaseLedger!$A102="","",IFERROR(CaseLedger!$Y102,""))</x:f>
      </x:c>
      <x:c r="T102" s="52" t="str">
        <x:f>IF(CaseLedger!$A102="","",IFERROR(CaseLedger!$Z102,""))</x:f>
      </x:c>
      <x:c r="U102" s="52" t="str">
        <x:f>IF(CaseLedger!$A102="","",IFERROR(CaseLedger!$AA102,""))</x:f>
      </x:c>
      <x:c r="V102" s="52" t="str">
        <x:f>IF(CaseLedger!$A102="","",IFERROR(CaseLedger!$AB102,""))</x:f>
      </x:c>
      <x:c r="W102" s="52" t="str">
        <x:f>IF(CaseLedger!$A102="","",IFERROR(CaseLedger!$AC102,""))</x:f>
      </x:c>
      <x:c r="X102" s="52" t="str">
        <x:f>IF(CaseLedger!$A102="","",IFERROR(CaseLedger!$AD102,""))</x:f>
      </x:c>
      <x:c r="Y102" s="52" t="str">
        <x:f>IF(CaseLedger!$A102="","",IFERROR(CaseLedger!$AE102,""))</x:f>
      </x:c>
      <x:c r="Z102" s="52" t="str">
        <x:f>IF(CaseLedger!$A102="","",IFERROR(CaseLedger!$AF102,""))</x:f>
      </x:c>
      <x:c r="AA102" s="52" t="str">
        <x:f>IF(CaseLedger!$A102="","",IFERROR(CaseLedger!$AG102,""))</x:f>
      </x:c>
      <x:c r="AB102" s="52" t="str">
        <x:f>IF(CaseLedger!$A102="","",IFERROR(CaseLedger!$AH102,""))</x:f>
      </x:c>
      <x:c r="AC102"/>
    </x:row>
    <x:row r="103">
      <x:c r="A103" s="52" t="str">
        <x:f>IF(CaseLedger!$A103="","",IFERROR(CaseLedger!$A103,""))</x:f>
      </x:c>
      <x:c r="B103" s="52" t="str">
        <x:f>IF(CaseLedger!$A103="","",IFERROR(CaseLedger!$H103,""))</x:f>
      </x:c>
      <x:c r="C103" s="52" t="str">
        <x:f>IF(CaseLedger!$A103="","",IFERROR(CaseLedger!$I103,""))</x:f>
      </x:c>
      <x:c r="D103" s="52" t="str">
        <x:f>IF(CaseLedger!$A103="","",IFERROR(CaseLedger!$J103,""))</x:f>
      </x:c>
      <x:c r="E103" s="52" t="str">
        <x:f>IF(CaseLedger!$A103="","",IFERROR(CaseLedger!$K103,""))</x:f>
      </x:c>
      <x:c r="F103" s="52" t="str">
        <x:f>IF(CaseLedger!$A103="","",IFERROR(CaseLedger!$O103,""))</x:f>
      </x:c>
      <x:c r="G103" s="52" t="str">
        <x:f>IF(CaseLedger!$A103="","",IFERROR(CaseLedger!$E103,""))</x:f>
      </x:c>
      <x:c r="H103" s="52" t="str">
        <x:f>IF(CaseLedger!$A103="","",IFERROR(CaseLedger!$P103,""))</x:f>
      </x:c>
      <x:c r="I103" s="52" t="str">
        <x:f>IF(CaseLedger!$A103="","",IFERROR(CaseLedger!$Q103,""))</x:f>
      </x:c>
      <x:c r="J103" s="52" t="str">
        <x:f>IF(CaseLedger!$A103="","",IFERROR(CaseLedger!$R103,""))</x:f>
      </x:c>
      <x:c r="K103" s="52" t="str">
        <x:f>IF(CaseLedger!$A103="","",IFERROR(CaseLedger!$S103,""))</x:f>
      </x:c>
      <x:c r="L103" s="52" t="str">
        <x:f>IF(CaseLedger!$A103="","",IFERROR(CaseLedger!$T103,""))</x:f>
      </x:c>
      <x:c r="M103" s="52" t="str">
        <x:f>IF(CaseLedger!$A103="","",IFERROR(CaseLedger!$U103,""))</x:f>
      </x:c>
      <x:c r="N103" s="52" t="str">
        <x:f>IF(CaseLedger!$A103="","",IFERROR(CaseLedger!$V103,""))</x:f>
      </x:c>
      <x:c r="O103" s="52" t="str">
        <x:f>IF(CaseLedger!$A103="","",IFERROR(CaseLedger!$W103,""))</x:f>
      </x:c>
      <x:c r="P103" s="52" t="str">
        <x:f>IF(CaseLedger!$A103="","",IFERROR(CaseLedger!$C103,""))</x:f>
      </x:c>
      <x:c r="Q103" s="52" t="str">
        <x:f>IF(CaseLedger!$A103="","",IFERROR(CaseLedger!$D103,""))</x:f>
      </x:c>
      <x:c r="R103" s="52" t="str">
        <x:f>IF(CaseLedger!$A103="","",IFERROR(CaseLedger!$X103,""))</x:f>
      </x:c>
      <x:c r="S103" s="52" t="str">
        <x:f>IF(CaseLedger!$A103="","",IFERROR(CaseLedger!$Y103,""))</x:f>
      </x:c>
      <x:c r="T103" s="52" t="str">
        <x:f>IF(CaseLedger!$A103="","",IFERROR(CaseLedger!$Z103,""))</x:f>
      </x:c>
      <x:c r="U103" s="52" t="str">
        <x:f>IF(CaseLedger!$A103="","",IFERROR(CaseLedger!$AA103,""))</x:f>
      </x:c>
      <x:c r="V103" s="52" t="str">
        <x:f>IF(CaseLedger!$A103="","",IFERROR(CaseLedger!$AB103,""))</x:f>
      </x:c>
      <x:c r="W103" s="52" t="str">
        <x:f>IF(CaseLedger!$A103="","",IFERROR(CaseLedger!$AC103,""))</x:f>
      </x:c>
      <x:c r="X103" s="52" t="str">
        <x:f>IF(CaseLedger!$A103="","",IFERROR(CaseLedger!$AD103,""))</x:f>
      </x:c>
      <x:c r="Y103" s="52" t="str">
        <x:f>IF(CaseLedger!$A103="","",IFERROR(CaseLedger!$AE103,""))</x:f>
      </x:c>
      <x:c r="Z103" s="52" t="str">
        <x:f>IF(CaseLedger!$A103="","",IFERROR(CaseLedger!$AF103,""))</x:f>
      </x:c>
      <x:c r="AA103" s="52" t="str">
        <x:f>IF(CaseLedger!$A103="","",IFERROR(CaseLedger!$AG103,""))</x:f>
      </x:c>
      <x:c r="AB103" s="52" t="str">
        <x:f>IF(CaseLedger!$A103="","",IFERROR(CaseLedger!$AH103,""))</x:f>
      </x:c>
      <x:c r="AC103"/>
    </x:row>
    <x:row r="104">
      <x:c r="A104" s="52" t="str">
        <x:f>IF(CaseLedger!$A104="","",IFERROR(CaseLedger!$A104,""))</x:f>
      </x:c>
      <x:c r="B104" s="52" t="str">
        <x:f>IF(CaseLedger!$A104="","",IFERROR(CaseLedger!$H104,""))</x:f>
      </x:c>
      <x:c r="C104" s="52" t="str">
        <x:f>IF(CaseLedger!$A104="","",IFERROR(CaseLedger!$I104,""))</x:f>
      </x:c>
      <x:c r="D104" s="52" t="str">
        <x:f>IF(CaseLedger!$A104="","",IFERROR(CaseLedger!$J104,""))</x:f>
      </x:c>
      <x:c r="E104" s="52" t="str">
        <x:f>IF(CaseLedger!$A104="","",IFERROR(CaseLedger!$K104,""))</x:f>
      </x:c>
      <x:c r="F104" s="52" t="str">
        <x:f>IF(CaseLedger!$A104="","",IFERROR(CaseLedger!$O104,""))</x:f>
      </x:c>
      <x:c r="G104" s="52" t="str">
        <x:f>IF(CaseLedger!$A104="","",IFERROR(CaseLedger!$E104,""))</x:f>
      </x:c>
      <x:c r="H104" s="52" t="str">
        <x:f>IF(CaseLedger!$A104="","",IFERROR(CaseLedger!$P104,""))</x:f>
      </x:c>
      <x:c r="I104" s="52" t="str">
        <x:f>IF(CaseLedger!$A104="","",IFERROR(CaseLedger!$Q104,""))</x:f>
      </x:c>
      <x:c r="J104" s="52" t="str">
        <x:f>IF(CaseLedger!$A104="","",IFERROR(CaseLedger!$R104,""))</x:f>
      </x:c>
      <x:c r="K104" s="52" t="str">
        <x:f>IF(CaseLedger!$A104="","",IFERROR(CaseLedger!$S104,""))</x:f>
      </x:c>
      <x:c r="L104" s="52" t="str">
        <x:f>IF(CaseLedger!$A104="","",IFERROR(CaseLedger!$T104,""))</x:f>
      </x:c>
      <x:c r="M104" s="52" t="str">
        <x:f>IF(CaseLedger!$A104="","",IFERROR(CaseLedger!$U104,""))</x:f>
      </x:c>
      <x:c r="N104" s="52" t="str">
        <x:f>IF(CaseLedger!$A104="","",IFERROR(CaseLedger!$V104,""))</x:f>
      </x:c>
      <x:c r="O104" s="52" t="str">
        <x:f>IF(CaseLedger!$A104="","",IFERROR(CaseLedger!$W104,""))</x:f>
      </x:c>
      <x:c r="P104" s="52" t="str">
        <x:f>IF(CaseLedger!$A104="","",IFERROR(CaseLedger!$C104,""))</x:f>
      </x:c>
      <x:c r="Q104" s="52" t="str">
        <x:f>IF(CaseLedger!$A104="","",IFERROR(CaseLedger!$D104,""))</x:f>
      </x:c>
      <x:c r="R104" s="52" t="str">
        <x:f>IF(CaseLedger!$A104="","",IFERROR(CaseLedger!$X104,""))</x:f>
      </x:c>
      <x:c r="S104" s="52" t="str">
        <x:f>IF(CaseLedger!$A104="","",IFERROR(CaseLedger!$Y104,""))</x:f>
      </x:c>
      <x:c r="T104" s="52" t="str">
        <x:f>IF(CaseLedger!$A104="","",IFERROR(CaseLedger!$Z104,""))</x:f>
      </x:c>
      <x:c r="U104" s="52" t="str">
        <x:f>IF(CaseLedger!$A104="","",IFERROR(CaseLedger!$AA104,""))</x:f>
      </x:c>
      <x:c r="V104" s="52" t="str">
        <x:f>IF(CaseLedger!$A104="","",IFERROR(CaseLedger!$AB104,""))</x:f>
      </x:c>
      <x:c r="W104" s="52" t="str">
        <x:f>IF(CaseLedger!$A104="","",IFERROR(CaseLedger!$AC104,""))</x:f>
      </x:c>
      <x:c r="X104" s="52" t="str">
        <x:f>IF(CaseLedger!$A104="","",IFERROR(CaseLedger!$AD104,""))</x:f>
      </x:c>
      <x:c r="Y104" s="52" t="str">
        <x:f>IF(CaseLedger!$A104="","",IFERROR(CaseLedger!$AE104,""))</x:f>
      </x:c>
      <x:c r="Z104" s="52" t="str">
        <x:f>IF(CaseLedger!$A104="","",IFERROR(CaseLedger!$AF104,""))</x:f>
      </x:c>
      <x:c r="AA104" s="52" t="str">
        <x:f>IF(CaseLedger!$A104="","",IFERROR(CaseLedger!$AG104,""))</x:f>
      </x:c>
      <x:c r="AB104" s="52" t="str">
        <x:f>IF(CaseLedger!$A104="","",IFERROR(CaseLedger!$AH104,""))</x:f>
      </x:c>
      <x:c r="AC104"/>
    </x:row>
    <x:row r="105">
      <x:c r="A105" s="52" t="str">
        <x:f>IF(CaseLedger!$A105="","",IFERROR(CaseLedger!$A105,""))</x:f>
      </x:c>
      <x:c r="B105" s="52" t="str">
        <x:f>IF(CaseLedger!$A105="","",IFERROR(CaseLedger!$H105,""))</x:f>
      </x:c>
      <x:c r="C105" s="52" t="str">
        <x:f>IF(CaseLedger!$A105="","",IFERROR(CaseLedger!$I105,""))</x:f>
      </x:c>
      <x:c r="D105" s="52" t="str">
        <x:f>IF(CaseLedger!$A105="","",IFERROR(CaseLedger!$J105,""))</x:f>
      </x:c>
      <x:c r="E105" s="52" t="str">
        <x:f>IF(CaseLedger!$A105="","",IFERROR(CaseLedger!$K105,""))</x:f>
      </x:c>
      <x:c r="F105" s="52" t="str">
        <x:f>IF(CaseLedger!$A105="","",IFERROR(CaseLedger!$O105,""))</x:f>
      </x:c>
      <x:c r="G105" s="52" t="str">
        <x:f>IF(CaseLedger!$A105="","",IFERROR(CaseLedger!$E105,""))</x:f>
      </x:c>
      <x:c r="H105" s="52" t="str">
        <x:f>IF(CaseLedger!$A105="","",IFERROR(CaseLedger!$P105,""))</x:f>
      </x:c>
      <x:c r="I105" s="52" t="str">
        <x:f>IF(CaseLedger!$A105="","",IFERROR(CaseLedger!$Q105,""))</x:f>
      </x:c>
      <x:c r="J105" s="52" t="str">
        <x:f>IF(CaseLedger!$A105="","",IFERROR(CaseLedger!$R105,""))</x:f>
      </x:c>
      <x:c r="K105" s="52" t="str">
        <x:f>IF(CaseLedger!$A105="","",IFERROR(CaseLedger!$S105,""))</x:f>
      </x:c>
      <x:c r="L105" s="52" t="str">
        <x:f>IF(CaseLedger!$A105="","",IFERROR(CaseLedger!$T105,""))</x:f>
      </x:c>
      <x:c r="M105" s="52" t="str">
        <x:f>IF(CaseLedger!$A105="","",IFERROR(CaseLedger!$U105,""))</x:f>
      </x:c>
      <x:c r="N105" s="52" t="str">
        <x:f>IF(CaseLedger!$A105="","",IFERROR(CaseLedger!$V105,""))</x:f>
      </x:c>
      <x:c r="O105" s="52" t="str">
        <x:f>IF(CaseLedger!$A105="","",IFERROR(CaseLedger!$W105,""))</x:f>
      </x:c>
      <x:c r="P105" s="52" t="str">
        <x:f>IF(CaseLedger!$A105="","",IFERROR(CaseLedger!$C105,""))</x:f>
      </x:c>
      <x:c r="Q105" s="52" t="str">
        <x:f>IF(CaseLedger!$A105="","",IFERROR(CaseLedger!$D105,""))</x:f>
      </x:c>
      <x:c r="R105" s="52" t="str">
        <x:f>IF(CaseLedger!$A105="","",IFERROR(CaseLedger!$X105,""))</x:f>
      </x:c>
      <x:c r="S105" s="52" t="str">
        <x:f>IF(CaseLedger!$A105="","",IFERROR(CaseLedger!$Y105,""))</x:f>
      </x:c>
      <x:c r="T105" s="52" t="str">
        <x:f>IF(CaseLedger!$A105="","",IFERROR(CaseLedger!$Z105,""))</x:f>
      </x:c>
      <x:c r="U105" s="52" t="str">
        <x:f>IF(CaseLedger!$A105="","",IFERROR(CaseLedger!$AA105,""))</x:f>
      </x:c>
      <x:c r="V105" s="52" t="str">
        <x:f>IF(CaseLedger!$A105="","",IFERROR(CaseLedger!$AB105,""))</x:f>
      </x:c>
      <x:c r="W105" s="52" t="str">
        <x:f>IF(CaseLedger!$A105="","",IFERROR(CaseLedger!$AC105,""))</x:f>
      </x:c>
      <x:c r="X105" s="52" t="str">
        <x:f>IF(CaseLedger!$A105="","",IFERROR(CaseLedger!$AD105,""))</x:f>
      </x:c>
      <x:c r="Y105" s="52" t="str">
        <x:f>IF(CaseLedger!$A105="","",IFERROR(CaseLedger!$AE105,""))</x:f>
      </x:c>
      <x:c r="Z105" s="52" t="str">
        <x:f>IF(CaseLedger!$A105="","",IFERROR(CaseLedger!$AF105,""))</x:f>
      </x:c>
      <x:c r="AA105" s="52" t="str">
        <x:f>IF(CaseLedger!$A105="","",IFERROR(CaseLedger!$AG105,""))</x:f>
      </x:c>
      <x:c r="AB105" s="52" t="str">
        <x:f>IF(CaseLedger!$A105="","",IFERROR(CaseLedger!$AH105,""))</x:f>
      </x:c>
      <x:c r="AC105"/>
    </x:row>
    <x:row r="106">
      <x:c r="A106" s="52" t="str">
        <x:f>IF(CaseLedger!$A106="","",IFERROR(CaseLedger!$A106,""))</x:f>
      </x:c>
      <x:c r="B106" s="52" t="str">
        <x:f>IF(CaseLedger!$A106="","",IFERROR(CaseLedger!$H106,""))</x:f>
      </x:c>
      <x:c r="C106" s="52" t="str">
        <x:f>IF(CaseLedger!$A106="","",IFERROR(CaseLedger!$I106,""))</x:f>
      </x:c>
      <x:c r="D106" s="52" t="str">
        <x:f>IF(CaseLedger!$A106="","",IFERROR(CaseLedger!$J106,""))</x:f>
      </x:c>
      <x:c r="E106" s="52" t="str">
        <x:f>IF(CaseLedger!$A106="","",IFERROR(CaseLedger!$K106,""))</x:f>
      </x:c>
      <x:c r="F106" s="52" t="str">
        <x:f>IF(CaseLedger!$A106="","",IFERROR(CaseLedger!$O106,""))</x:f>
      </x:c>
      <x:c r="G106" s="52" t="str">
        <x:f>IF(CaseLedger!$A106="","",IFERROR(CaseLedger!$E106,""))</x:f>
      </x:c>
      <x:c r="H106" s="52" t="str">
        <x:f>IF(CaseLedger!$A106="","",IFERROR(CaseLedger!$P106,""))</x:f>
      </x:c>
      <x:c r="I106" s="52" t="str">
        <x:f>IF(CaseLedger!$A106="","",IFERROR(CaseLedger!$Q106,""))</x:f>
      </x:c>
      <x:c r="J106" s="52" t="str">
        <x:f>IF(CaseLedger!$A106="","",IFERROR(CaseLedger!$R106,""))</x:f>
      </x:c>
      <x:c r="K106" s="52" t="str">
        <x:f>IF(CaseLedger!$A106="","",IFERROR(CaseLedger!$S106,""))</x:f>
      </x:c>
      <x:c r="L106" s="52" t="str">
        <x:f>IF(CaseLedger!$A106="","",IFERROR(CaseLedger!$T106,""))</x:f>
      </x:c>
      <x:c r="M106" s="52" t="str">
        <x:f>IF(CaseLedger!$A106="","",IFERROR(CaseLedger!$U106,""))</x:f>
      </x:c>
      <x:c r="N106" s="52" t="str">
        <x:f>IF(CaseLedger!$A106="","",IFERROR(CaseLedger!$V106,""))</x:f>
      </x:c>
      <x:c r="O106" s="52" t="str">
        <x:f>IF(CaseLedger!$A106="","",IFERROR(CaseLedger!$W106,""))</x:f>
      </x:c>
      <x:c r="P106" s="52" t="str">
        <x:f>IF(CaseLedger!$A106="","",IFERROR(CaseLedger!$C106,""))</x:f>
      </x:c>
      <x:c r="Q106" s="52" t="str">
        <x:f>IF(CaseLedger!$A106="","",IFERROR(CaseLedger!$D106,""))</x:f>
      </x:c>
      <x:c r="R106" s="52" t="str">
        <x:f>IF(CaseLedger!$A106="","",IFERROR(CaseLedger!$X106,""))</x:f>
      </x:c>
      <x:c r="S106" s="52" t="str">
        <x:f>IF(CaseLedger!$A106="","",IFERROR(CaseLedger!$Y106,""))</x:f>
      </x:c>
      <x:c r="T106" s="52" t="str">
        <x:f>IF(CaseLedger!$A106="","",IFERROR(CaseLedger!$Z106,""))</x:f>
      </x:c>
      <x:c r="U106" s="52" t="str">
        <x:f>IF(CaseLedger!$A106="","",IFERROR(CaseLedger!$AA106,""))</x:f>
      </x:c>
      <x:c r="V106" s="52" t="str">
        <x:f>IF(CaseLedger!$A106="","",IFERROR(CaseLedger!$AB106,""))</x:f>
      </x:c>
      <x:c r="W106" s="52" t="str">
        <x:f>IF(CaseLedger!$A106="","",IFERROR(CaseLedger!$AC106,""))</x:f>
      </x:c>
      <x:c r="X106" s="52" t="str">
        <x:f>IF(CaseLedger!$A106="","",IFERROR(CaseLedger!$AD106,""))</x:f>
      </x:c>
      <x:c r="Y106" s="52" t="str">
        <x:f>IF(CaseLedger!$A106="","",IFERROR(CaseLedger!$AE106,""))</x:f>
      </x:c>
      <x:c r="Z106" s="52" t="str">
        <x:f>IF(CaseLedger!$A106="","",IFERROR(CaseLedger!$AF106,""))</x:f>
      </x:c>
      <x:c r="AA106" s="52" t="str">
        <x:f>IF(CaseLedger!$A106="","",IFERROR(CaseLedger!$AG106,""))</x:f>
      </x:c>
      <x:c r="AB106" s="52" t="str">
        <x:f>IF(CaseLedger!$A106="","",IFERROR(CaseLedger!$AH106,""))</x:f>
      </x:c>
      <x:c r="AC106"/>
    </x:row>
    <x:row r="107">
      <x:c r="A107" s="52" t="str">
        <x:f>IF(CaseLedger!$A107="","",IFERROR(CaseLedger!$A107,""))</x:f>
      </x:c>
      <x:c r="B107" s="52" t="str">
        <x:f>IF(CaseLedger!$A107="","",IFERROR(CaseLedger!$H107,""))</x:f>
      </x:c>
      <x:c r="C107" s="52" t="str">
        <x:f>IF(CaseLedger!$A107="","",IFERROR(CaseLedger!$I107,""))</x:f>
      </x:c>
      <x:c r="D107" s="52" t="str">
        <x:f>IF(CaseLedger!$A107="","",IFERROR(CaseLedger!$J107,""))</x:f>
      </x:c>
      <x:c r="E107" s="52" t="str">
        <x:f>IF(CaseLedger!$A107="","",IFERROR(CaseLedger!$K107,""))</x:f>
      </x:c>
      <x:c r="F107" s="52" t="str">
        <x:f>IF(CaseLedger!$A107="","",IFERROR(CaseLedger!$O107,""))</x:f>
      </x:c>
      <x:c r="G107" s="52" t="str">
        <x:f>IF(CaseLedger!$A107="","",IFERROR(CaseLedger!$E107,""))</x:f>
      </x:c>
      <x:c r="H107" s="52" t="str">
        <x:f>IF(CaseLedger!$A107="","",IFERROR(CaseLedger!$P107,""))</x:f>
      </x:c>
      <x:c r="I107" s="52" t="str">
        <x:f>IF(CaseLedger!$A107="","",IFERROR(CaseLedger!$Q107,""))</x:f>
      </x:c>
      <x:c r="J107" s="52" t="str">
        <x:f>IF(CaseLedger!$A107="","",IFERROR(CaseLedger!$R107,""))</x:f>
      </x:c>
      <x:c r="K107" s="52" t="str">
        <x:f>IF(CaseLedger!$A107="","",IFERROR(CaseLedger!$S107,""))</x:f>
      </x:c>
      <x:c r="L107" s="52" t="str">
        <x:f>IF(CaseLedger!$A107="","",IFERROR(CaseLedger!$T107,""))</x:f>
      </x:c>
      <x:c r="M107" s="52" t="str">
        <x:f>IF(CaseLedger!$A107="","",IFERROR(CaseLedger!$U107,""))</x:f>
      </x:c>
      <x:c r="N107" s="52" t="str">
        <x:f>IF(CaseLedger!$A107="","",IFERROR(CaseLedger!$V107,""))</x:f>
      </x:c>
      <x:c r="O107" s="52" t="str">
        <x:f>IF(CaseLedger!$A107="","",IFERROR(CaseLedger!$W107,""))</x:f>
      </x:c>
      <x:c r="P107" s="52" t="str">
        <x:f>IF(CaseLedger!$A107="","",IFERROR(CaseLedger!$C107,""))</x:f>
      </x:c>
      <x:c r="Q107" s="52" t="str">
        <x:f>IF(CaseLedger!$A107="","",IFERROR(CaseLedger!$D107,""))</x:f>
      </x:c>
      <x:c r="R107" s="52" t="str">
        <x:f>IF(CaseLedger!$A107="","",IFERROR(CaseLedger!$X107,""))</x:f>
      </x:c>
      <x:c r="S107" s="52" t="str">
        <x:f>IF(CaseLedger!$A107="","",IFERROR(CaseLedger!$Y107,""))</x:f>
      </x:c>
      <x:c r="T107" s="52" t="str">
        <x:f>IF(CaseLedger!$A107="","",IFERROR(CaseLedger!$Z107,""))</x:f>
      </x:c>
      <x:c r="U107" s="52" t="str">
        <x:f>IF(CaseLedger!$A107="","",IFERROR(CaseLedger!$AA107,""))</x:f>
      </x:c>
      <x:c r="V107" s="52" t="str">
        <x:f>IF(CaseLedger!$A107="","",IFERROR(CaseLedger!$AB107,""))</x:f>
      </x:c>
      <x:c r="W107" s="52" t="str">
        <x:f>IF(CaseLedger!$A107="","",IFERROR(CaseLedger!$AC107,""))</x:f>
      </x:c>
      <x:c r="X107" s="52" t="str">
        <x:f>IF(CaseLedger!$A107="","",IFERROR(CaseLedger!$AD107,""))</x:f>
      </x:c>
      <x:c r="Y107" s="52" t="str">
        <x:f>IF(CaseLedger!$A107="","",IFERROR(CaseLedger!$AE107,""))</x:f>
      </x:c>
      <x:c r="Z107" s="52" t="str">
        <x:f>IF(CaseLedger!$A107="","",IFERROR(CaseLedger!$AF107,""))</x:f>
      </x:c>
      <x:c r="AA107" s="52" t="str">
        <x:f>IF(CaseLedger!$A107="","",IFERROR(CaseLedger!$AG107,""))</x:f>
      </x:c>
      <x:c r="AB107" s="52" t="str">
        <x:f>IF(CaseLedger!$A107="","",IFERROR(CaseLedger!$AH107,""))</x:f>
      </x:c>
      <x:c r="AC107"/>
    </x:row>
    <x:row r="108">
      <x:c r="A108" s="52" t="str">
        <x:f>IF(CaseLedger!$A108="","",IFERROR(CaseLedger!$A108,""))</x:f>
      </x:c>
      <x:c r="B108" s="52" t="str">
        <x:f>IF(CaseLedger!$A108="","",IFERROR(CaseLedger!$H108,""))</x:f>
      </x:c>
      <x:c r="C108" s="52" t="str">
        <x:f>IF(CaseLedger!$A108="","",IFERROR(CaseLedger!$I108,""))</x:f>
      </x:c>
      <x:c r="D108" s="52" t="str">
        <x:f>IF(CaseLedger!$A108="","",IFERROR(CaseLedger!$J108,""))</x:f>
      </x:c>
      <x:c r="E108" s="52" t="str">
        <x:f>IF(CaseLedger!$A108="","",IFERROR(CaseLedger!$K108,""))</x:f>
      </x:c>
      <x:c r="F108" s="52" t="str">
        <x:f>IF(CaseLedger!$A108="","",IFERROR(CaseLedger!$O108,""))</x:f>
      </x:c>
      <x:c r="G108" s="52" t="str">
        <x:f>IF(CaseLedger!$A108="","",IFERROR(CaseLedger!$E108,""))</x:f>
      </x:c>
      <x:c r="H108" s="52" t="str">
        <x:f>IF(CaseLedger!$A108="","",IFERROR(CaseLedger!$P108,""))</x:f>
      </x:c>
      <x:c r="I108" s="52" t="str">
        <x:f>IF(CaseLedger!$A108="","",IFERROR(CaseLedger!$Q108,""))</x:f>
      </x:c>
      <x:c r="J108" s="52" t="str">
        <x:f>IF(CaseLedger!$A108="","",IFERROR(CaseLedger!$R108,""))</x:f>
      </x:c>
      <x:c r="K108" s="52" t="str">
        <x:f>IF(CaseLedger!$A108="","",IFERROR(CaseLedger!$S108,""))</x:f>
      </x:c>
      <x:c r="L108" s="52" t="str">
        <x:f>IF(CaseLedger!$A108="","",IFERROR(CaseLedger!$T108,""))</x:f>
      </x:c>
      <x:c r="M108" s="52" t="str">
        <x:f>IF(CaseLedger!$A108="","",IFERROR(CaseLedger!$U108,""))</x:f>
      </x:c>
      <x:c r="N108" s="52" t="str">
        <x:f>IF(CaseLedger!$A108="","",IFERROR(CaseLedger!$V108,""))</x:f>
      </x:c>
      <x:c r="O108" s="52" t="str">
        <x:f>IF(CaseLedger!$A108="","",IFERROR(CaseLedger!$W108,""))</x:f>
      </x:c>
      <x:c r="P108" s="52" t="str">
        <x:f>IF(CaseLedger!$A108="","",IFERROR(CaseLedger!$C108,""))</x:f>
      </x:c>
      <x:c r="Q108" s="52" t="str">
        <x:f>IF(CaseLedger!$A108="","",IFERROR(CaseLedger!$D108,""))</x:f>
      </x:c>
      <x:c r="R108" s="52" t="str">
        <x:f>IF(CaseLedger!$A108="","",IFERROR(CaseLedger!$X108,""))</x:f>
      </x:c>
      <x:c r="S108" s="52" t="str">
        <x:f>IF(CaseLedger!$A108="","",IFERROR(CaseLedger!$Y108,""))</x:f>
      </x:c>
      <x:c r="T108" s="52" t="str">
        <x:f>IF(CaseLedger!$A108="","",IFERROR(CaseLedger!$Z108,""))</x:f>
      </x:c>
      <x:c r="U108" s="52" t="str">
        <x:f>IF(CaseLedger!$A108="","",IFERROR(CaseLedger!$AA108,""))</x:f>
      </x:c>
      <x:c r="V108" s="52" t="str">
        <x:f>IF(CaseLedger!$A108="","",IFERROR(CaseLedger!$AB108,""))</x:f>
      </x:c>
      <x:c r="W108" s="52" t="str">
        <x:f>IF(CaseLedger!$A108="","",IFERROR(CaseLedger!$AC108,""))</x:f>
      </x:c>
      <x:c r="X108" s="52" t="str">
        <x:f>IF(CaseLedger!$A108="","",IFERROR(CaseLedger!$AD108,""))</x:f>
      </x:c>
      <x:c r="Y108" s="52" t="str">
        <x:f>IF(CaseLedger!$A108="","",IFERROR(CaseLedger!$AE108,""))</x:f>
      </x:c>
      <x:c r="Z108" s="52" t="str">
        <x:f>IF(CaseLedger!$A108="","",IFERROR(CaseLedger!$AF108,""))</x:f>
      </x:c>
      <x:c r="AA108" s="52" t="str">
        <x:f>IF(CaseLedger!$A108="","",IFERROR(CaseLedger!$AG108,""))</x:f>
      </x:c>
      <x:c r="AB108" s="52" t="str">
        <x:f>IF(CaseLedger!$A108="","",IFERROR(CaseLedger!$AH108,""))</x:f>
      </x:c>
      <x:c r="AC108"/>
    </x:row>
    <x:row r="109">
      <x:c r="A109" s="52" t="str">
        <x:f>IF(CaseLedger!$A109="","",IFERROR(CaseLedger!$A109,""))</x:f>
      </x:c>
      <x:c r="B109" s="52" t="str">
        <x:f>IF(CaseLedger!$A109="","",IFERROR(CaseLedger!$H109,""))</x:f>
      </x:c>
      <x:c r="C109" s="52" t="str">
        <x:f>IF(CaseLedger!$A109="","",IFERROR(CaseLedger!$I109,""))</x:f>
      </x:c>
      <x:c r="D109" s="52" t="str">
        <x:f>IF(CaseLedger!$A109="","",IFERROR(CaseLedger!$J109,""))</x:f>
      </x:c>
      <x:c r="E109" s="52" t="str">
        <x:f>IF(CaseLedger!$A109="","",IFERROR(CaseLedger!$K109,""))</x:f>
      </x:c>
      <x:c r="F109" s="52" t="str">
        <x:f>IF(CaseLedger!$A109="","",IFERROR(CaseLedger!$O109,""))</x:f>
      </x:c>
      <x:c r="G109" s="52" t="str">
        <x:f>IF(CaseLedger!$A109="","",IFERROR(CaseLedger!$E109,""))</x:f>
      </x:c>
      <x:c r="H109" s="52" t="str">
        <x:f>IF(CaseLedger!$A109="","",IFERROR(CaseLedger!$P109,""))</x:f>
      </x:c>
      <x:c r="I109" s="52" t="str">
        <x:f>IF(CaseLedger!$A109="","",IFERROR(CaseLedger!$Q109,""))</x:f>
      </x:c>
      <x:c r="J109" s="52" t="str">
        <x:f>IF(CaseLedger!$A109="","",IFERROR(CaseLedger!$R109,""))</x:f>
      </x:c>
      <x:c r="K109" s="52" t="str">
        <x:f>IF(CaseLedger!$A109="","",IFERROR(CaseLedger!$S109,""))</x:f>
      </x:c>
      <x:c r="L109" s="52" t="str">
        <x:f>IF(CaseLedger!$A109="","",IFERROR(CaseLedger!$T109,""))</x:f>
      </x:c>
      <x:c r="M109" s="52" t="str">
        <x:f>IF(CaseLedger!$A109="","",IFERROR(CaseLedger!$U109,""))</x:f>
      </x:c>
      <x:c r="N109" s="52" t="str">
        <x:f>IF(CaseLedger!$A109="","",IFERROR(CaseLedger!$V109,""))</x:f>
      </x:c>
      <x:c r="O109" s="52" t="str">
        <x:f>IF(CaseLedger!$A109="","",IFERROR(CaseLedger!$W109,""))</x:f>
      </x:c>
      <x:c r="P109" s="52" t="str">
        <x:f>IF(CaseLedger!$A109="","",IFERROR(CaseLedger!$C109,""))</x:f>
      </x:c>
      <x:c r="Q109" s="52" t="str">
        <x:f>IF(CaseLedger!$A109="","",IFERROR(CaseLedger!$D109,""))</x:f>
      </x:c>
      <x:c r="R109" s="52" t="str">
        <x:f>IF(CaseLedger!$A109="","",IFERROR(CaseLedger!$X109,""))</x:f>
      </x:c>
      <x:c r="S109" s="52" t="str">
        <x:f>IF(CaseLedger!$A109="","",IFERROR(CaseLedger!$Y109,""))</x:f>
      </x:c>
      <x:c r="T109" s="52" t="str">
        <x:f>IF(CaseLedger!$A109="","",IFERROR(CaseLedger!$Z109,""))</x:f>
      </x:c>
      <x:c r="U109" s="52" t="str">
        <x:f>IF(CaseLedger!$A109="","",IFERROR(CaseLedger!$AA109,""))</x:f>
      </x:c>
      <x:c r="V109" s="52" t="str">
        <x:f>IF(CaseLedger!$A109="","",IFERROR(CaseLedger!$AB109,""))</x:f>
      </x:c>
      <x:c r="W109" s="52" t="str">
        <x:f>IF(CaseLedger!$A109="","",IFERROR(CaseLedger!$AC109,""))</x:f>
      </x:c>
      <x:c r="X109" s="52" t="str">
        <x:f>IF(CaseLedger!$A109="","",IFERROR(CaseLedger!$AD109,""))</x:f>
      </x:c>
      <x:c r="Y109" s="52" t="str">
        <x:f>IF(CaseLedger!$A109="","",IFERROR(CaseLedger!$AE109,""))</x:f>
      </x:c>
      <x:c r="Z109" s="52" t="str">
        <x:f>IF(CaseLedger!$A109="","",IFERROR(CaseLedger!$AF109,""))</x:f>
      </x:c>
      <x:c r="AA109" s="52" t="str">
        <x:f>IF(CaseLedger!$A109="","",IFERROR(CaseLedger!$AG109,""))</x:f>
      </x:c>
      <x:c r="AB109" s="52" t="str">
        <x:f>IF(CaseLedger!$A109="","",IFERROR(CaseLedger!$AH109,""))</x:f>
      </x:c>
      <x:c r="AC109"/>
    </x:row>
    <x:row r="110">
      <x:c r="A110" s="52" t="str">
        <x:f>IF(CaseLedger!$A110="","",IFERROR(CaseLedger!$A110,""))</x:f>
      </x:c>
      <x:c r="B110" s="52" t="str">
        <x:f>IF(CaseLedger!$A110="","",IFERROR(CaseLedger!$H110,""))</x:f>
      </x:c>
      <x:c r="C110" s="52" t="str">
        <x:f>IF(CaseLedger!$A110="","",IFERROR(CaseLedger!$I110,""))</x:f>
      </x:c>
      <x:c r="D110" s="52" t="str">
        <x:f>IF(CaseLedger!$A110="","",IFERROR(CaseLedger!$J110,""))</x:f>
      </x:c>
      <x:c r="E110" s="52" t="str">
        <x:f>IF(CaseLedger!$A110="","",IFERROR(CaseLedger!$K110,""))</x:f>
      </x:c>
      <x:c r="F110" s="52" t="str">
        <x:f>IF(CaseLedger!$A110="","",IFERROR(CaseLedger!$O110,""))</x:f>
      </x:c>
      <x:c r="G110" s="52" t="str">
        <x:f>IF(CaseLedger!$A110="","",IFERROR(CaseLedger!$E110,""))</x:f>
      </x:c>
      <x:c r="H110" s="52" t="str">
        <x:f>IF(CaseLedger!$A110="","",IFERROR(CaseLedger!$P110,""))</x:f>
      </x:c>
      <x:c r="I110" s="52" t="str">
        <x:f>IF(CaseLedger!$A110="","",IFERROR(CaseLedger!$Q110,""))</x:f>
      </x:c>
      <x:c r="J110" s="52" t="str">
        <x:f>IF(CaseLedger!$A110="","",IFERROR(CaseLedger!$R110,""))</x:f>
      </x:c>
      <x:c r="K110" s="52" t="str">
        <x:f>IF(CaseLedger!$A110="","",IFERROR(CaseLedger!$S110,""))</x:f>
      </x:c>
      <x:c r="L110" s="52" t="str">
        <x:f>IF(CaseLedger!$A110="","",IFERROR(CaseLedger!$T110,""))</x:f>
      </x:c>
      <x:c r="M110" s="52" t="str">
        <x:f>IF(CaseLedger!$A110="","",IFERROR(CaseLedger!$U110,""))</x:f>
      </x:c>
      <x:c r="N110" s="52" t="str">
        <x:f>IF(CaseLedger!$A110="","",IFERROR(CaseLedger!$V110,""))</x:f>
      </x:c>
      <x:c r="O110" s="52" t="str">
        <x:f>IF(CaseLedger!$A110="","",IFERROR(CaseLedger!$W110,""))</x:f>
      </x:c>
      <x:c r="P110" s="52" t="str">
        <x:f>IF(CaseLedger!$A110="","",IFERROR(CaseLedger!$C110,""))</x:f>
      </x:c>
      <x:c r="Q110" s="52" t="str">
        <x:f>IF(CaseLedger!$A110="","",IFERROR(CaseLedger!$D110,""))</x:f>
      </x:c>
      <x:c r="R110" s="52" t="str">
        <x:f>IF(CaseLedger!$A110="","",IFERROR(CaseLedger!$X110,""))</x:f>
      </x:c>
      <x:c r="S110" s="52" t="str">
        <x:f>IF(CaseLedger!$A110="","",IFERROR(CaseLedger!$Y110,""))</x:f>
      </x:c>
      <x:c r="T110" s="52" t="str">
        <x:f>IF(CaseLedger!$A110="","",IFERROR(CaseLedger!$Z110,""))</x:f>
      </x:c>
      <x:c r="U110" s="52" t="str">
        <x:f>IF(CaseLedger!$A110="","",IFERROR(CaseLedger!$AA110,""))</x:f>
      </x:c>
      <x:c r="V110" s="52" t="str">
        <x:f>IF(CaseLedger!$A110="","",IFERROR(CaseLedger!$AB110,""))</x:f>
      </x:c>
      <x:c r="W110" s="52" t="str">
        <x:f>IF(CaseLedger!$A110="","",IFERROR(CaseLedger!$AC110,""))</x:f>
      </x:c>
      <x:c r="X110" s="52" t="str">
        <x:f>IF(CaseLedger!$A110="","",IFERROR(CaseLedger!$AD110,""))</x:f>
      </x:c>
      <x:c r="Y110" s="52" t="str">
        <x:f>IF(CaseLedger!$A110="","",IFERROR(CaseLedger!$AE110,""))</x:f>
      </x:c>
      <x:c r="Z110" s="52" t="str">
        <x:f>IF(CaseLedger!$A110="","",IFERROR(CaseLedger!$AF110,""))</x:f>
      </x:c>
      <x:c r="AA110" s="52" t="str">
        <x:f>IF(CaseLedger!$A110="","",IFERROR(CaseLedger!$AG110,""))</x:f>
      </x:c>
      <x:c r="AB110" s="52" t="str">
        <x:f>IF(CaseLedger!$A110="","",IFERROR(CaseLedger!$AH110,""))</x:f>
      </x:c>
      <x:c r="AC110"/>
    </x:row>
    <x:row r="111">
      <x:c r="A111" s="52" t="str">
        <x:f>IF(CaseLedger!$A111="","",IFERROR(CaseLedger!$A111,""))</x:f>
      </x:c>
      <x:c r="B111" s="52" t="str">
        <x:f>IF(CaseLedger!$A111="","",IFERROR(CaseLedger!$H111,""))</x:f>
      </x:c>
      <x:c r="C111" s="52" t="str">
        <x:f>IF(CaseLedger!$A111="","",IFERROR(CaseLedger!$I111,""))</x:f>
      </x:c>
      <x:c r="D111" s="52" t="str">
        <x:f>IF(CaseLedger!$A111="","",IFERROR(CaseLedger!$J111,""))</x:f>
      </x:c>
      <x:c r="E111" s="52" t="str">
        <x:f>IF(CaseLedger!$A111="","",IFERROR(CaseLedger!$K111,""))</x:f>
      </x:c>
      <x:c r="F111" s="52" t="str">
        <x:f>IF(CaseLedger!$A111="","",IFERROR(CaseLedger!$O111,""))</x:f>
      </x:c>
      <x:c r="G111" s="52" t="str">
        <x:f>IF(CaseLedger!$A111="","",IFERROR(CaseLedger!$E111,""))</x:f>
      </x:c>
      <x:c r="H111" s="52" t="str">
        <x:f>IF(CaseLedger!$A111="","",IFERROR(CaseLedger!$P111,""))</x:f>
      </x:c>
      <x:c r="I111" s="52" t="str">
        <x:f>IF(CaseLedger!$A111="","",IFERROR(CaseLedger!$Q111,""))</x:f>
      </x:c>
      <x:c r="J111" s="52" t="str">
        <x:f>IF(CaseLedger!$A111="","",IFERROR(CaseLedger!$R111,""))</x:f>
      </x:c>
      <x:c r="K111" s="52" t="str">
        <x:f>IF(CaseLedger!$A111="","",IFERROR(CaseLedger!$S111,""))</x:f>
      </x:c>
      <x:c r="L111" s="52" t="str">
        <x:f>IF(CaseLedger!$A111="","",IFERROR(CaseLedger!$T111,""))</x:f>
      </x:c>
      <x:c r="M111" s="52" t="str">
        <x:f>IF(CaseLedger!$A111="","",IFERROR(CaseLedger!$U111,""))</x:f>
      </x:c>
      <x:c r="N111" s="52" t="str">
        <x:f>IF(CaseLedger!$A111="","",IFERROR(CaseLedger!$V111,""))</x:f>
      </x:c>
      <x:c r="O111" s="52" t="str">
        <x:f>IF(CaseLedger!$A111="","",IFERROR(CaseLedger!$W111,""))</x:f>
      </x:c>
      <x:c r="P111" s="52" t="str">
        <x:f>IF(CaseLedger!$A111="","",IFERROR(CaseLedger!$C111,""))</x:f>
      </x:c>
      <x:c r="Q111" s="52" t="str">
        <x:f>IF(CaseLedger!$A111="","",IFERROR(CaseLedger!$D111,""))</x:f>
      </x:c>
      <x:c r="R111" s="52" t="str">
        <x:f>IF(CaseLedger!$A111="","",IFERROR(CaseLedger!$X111,""))</x:f>
      </x:c>
      <x:c r="S111" s="52" t="str">
        <x:f>IF(CaseLedger!$A111="","",IFERROR(CaseLedger!$Y111,""))</x:f>
      </x:c>
      <x:c r="T111" s="52" t="str">
        <x:f>IF(CaseLedger!$A111="","",IFERROR(CaseLedger!$Z111,""))</x:f>
      </x:c>
      <x:c r="U111" s="52" t="str">
        <x:f>IF(CaseLedger!$A111="","",IFERROR(CaseLedger!$AA111,""))</x:f>
      </x:c>
      <x:c r="V111" s="52" t="str">
        <x:f>IF(CaseLedger!$A111="","",IFERROR(CaseLedger!$AB111,""))</x:f>
      </x:c>
      <x:c r="W111" s="52" t="str">
        <x:f>IF(CaseLedger!$A111="","",IFERROR(CaseLedger!$AC111,""))</x:f>
      </x:c>
      <x:c r="X111" s="52" t="str">
        <x:f>IF(CaseLedger!$A111="","",IFERROR(CaseLedger!$AD111,""))</x:f>
      </x:c>
      <x:c r="Y111" s="52" t="str">
        <x:f>IF(CaseLedger!$A111="","",IFERROR(CaseLedger!$AE111,""))</x:f>
      </x:c>
      <x:c r="Z111" s="52" t="str">
        <x:f>IF(CaseLedger!$A111="","",IFERROR(CaseLedger!$AF111,""))</x:f>
      </x:c>
      <x:c r="AA111" s="52" t="str">
        <x:f>IF(CaseLedger!$A111="","",IFERROR(CaseLedger!$AG111,""))</x:f>
      </x:c>
      <x:c r="AB111" s="52" t="str">
        <x:f>IF(CaseLedger!$A111="","",IFERROR(CaseLedger!$AH111,""))</x:f>
      </x:c>
      <x:c r="AC111"/>
    </x:row>
    <x:row r="112">
      <x:c r="A112" s="52" t="str">
        <x:f>IF(CaseLedger!$A112="","",IFERROR(CaseLedger!$A112,""))</x:f>
      </x:c>
      <x:c r="B112" s="52" t="str">
        <x:f>IF(CaseLedger!$A112="","",IFERROR(CaseLedger!$H112,""))</x:f>
      </x:c>
      <x:c r="C112" s="52" t="str">
        <x:f>IF(CaseLedger!$A112="","",IFERROR(CaseLedger!$I112,""))</x:f>
      </x:c>
      <x:c r="D112" s="52" t="str">
        <x:f>IF(CaseLedger!$A112="","",IFERROR(CaseLedger!$J112,""))</x:f>
      </x:c>
      <x:c r="E112" s="52" t="str">
        <x:f>IF(CaseLedger!$A112="","",IFERROR(CaseLedger!$K112,""))</x:f>
      </x:c>
      <x:c r="F112" s="52" t="str">
        <x:f>IF(CaseLedger!$A112="","",IFERROR(CaseLedger!$O112,""))</x:f>
      </x:c>
      <x:c r="G112" s="52" t="str">
        <x:f>IF(CaseLedger!$A112="","",IFERROR(CaseLedger!$E112,""))</x:f>
      </x:c>
      <x:c r="H112" s="52" t="str">
        <x:f>IF(CaseLedger!$A112="","",IFERROR(CaseLedger!$P112,""))</x:f>
      </x:c>
      <x:c r="I112" s="52" t="str">
        <x:f>IF(CaseLedger!$A112="","",IFERROR(CaseLedger!$Q112,""))</x:f>
      </x:c>
      <x:c r="J112" s="52" t="str">
        <x:f>IF(CaseLedger!$A112="","",IFERROR(CaseLedger!$R112,""))</x:f>
      </x:c>
      <x:c r="K112" s="52" t="str">
        <x:f>IF(CaseLedger!$A112="","",IFERROR(CaseLedger!$S112,""))</x:f>
      </x:c>
      <x:c r="L112" s="52" t="str">
        <x:f>IF(CaseLedger!$A112="","",IFERROR(CaseLedger!$T112,""))</x:f>
      </x:c>
      <x:c r="M112" s="52" t="str">
        <x:f>IF(CaseLedger!$A112="","",IFERROR(CaseLedger!$U112,""))</x:f>
      </x:c>
      <x:c r="N112" s="52" t="str">
        <x:f>IF(CaseLedger!$A112="","",IFERROR(CaseLedger!$V112,""))</x:f>
      </x:c>
      <x:c r="O112" s="52" t="str">
        <x:f>IF(CaseLedger!$A112="","",IFERROR(CaseLedger!$W112,""))</x:f>
      </x:c>
      <x:c r="P112" s="52" t="str">
        <x:f>IF(CaseLedger!$A112="","",IFERROR(CaseLedger!$C112,""))</x:f>
      </x:c>
      <x:c r="Q112" s="52" t="str">
        <x:f>IF(CaseLedger!$A112="","",IFERROR(CaseLedger!$D112,""))</x:f>
      </x:c>
      <x:c r="R112" s="52" t="str">
        <x:f>IF(CaseLedger!$A112="","",IFERROR(CaseLedger!$X112,""))</x:f>
      </x:c>
      <x:c r="S112" s="52" t="str">
        <x:f>IF(CaseLedger!$A112="","",IFERROR(CaseLedger!$Y112,""))</x:f>
      </x:c>
      <x:c r="T112" s="52" t="str">
        <x:f>IF(CaseLedger!$A112="","",IFERROR(CaseLedger!$Z112,""))</x:f>
      </x:c>
      <x:c r="U112" s="52" t="str">
        <x:f>IF(CaseLedger!$A112="","",IFERROR(CaseLedger!$AA112,""))</x:f>
      </x:c>
      <x:c r="V112" s="52" t="str">
        <x:f>IF(CaseLedger!$A112="","",IFERROR(CaseLedger!$AB112,""))</x:f>
      </x:c>
      <x:c r="W112" s="52" t="str">
        <x:f>IF(CaseLedger!$A112="","",IFERROR(CaseLedger!$AC112,""))</x:f>
      </x:c>
      <x:c r="X112" s="52" t="str">
        <x:f>IF(CaseLedger!$A112="","",IFERROR(CaseLedger!$AD112,""))</x:f>
      </x:c>
      <x:c r="Y112" s="52" t="str">
        <x:f>IF(CaseLedger!$A112="","",IFERROR(CaseLedger!$AE112,""))</x:f>
      </x:c>
      <x:c r="Z112" s="52" t="str">
        <x:f>IF(CaseLedger!$A112="","",IFERROR(CaseLedger!$AF112,""))</x:f>
      </x:c>
      <x:c r="AA112" s="52" t="str">
        <x:f>IF(CaseLedger!$A112="","",IFERROR(CaseLedger!$AG112,""))</x:f>
      </x:c>
      <x:c r="AB112" s="52" t="str">
        <x:f>IF(CaseLedger!$A112="","",IFERROR(CaseLedger!$AH112,""))</x:f>
      </x:c>
      <x:c r="AC112"/>
    </x:row>
    <x:row r="113">
      <x:c r="A113" s="52" t="str">
        <x:f>IF(CaseLedger!$A113="","",IFERROR(CaseLedger!$A113,""))</x:f>
      </x:c>
      <x:c r="B113" s="52" t="str">
        <x:f>IF(CaseLedger!$A113="","",IFERROR(CaseLedger!$H113,""))</x:f>
      </x:c>
      <x:c r="C113" s="52" t="str">
        <x:f>IF(CaseLedger!$A113="","",IFERROR(CaseLedger!$I113,""))</x:f>
      </x:c>
      <x:c r="D113" s="52" t="str">
        <x:f>IF(CaseLedger!$A113="","",IFERROR(CaseLedger!$J113,""))</x:f>
      </x:c>
      <x:c r="E113" s="52" t="str">
        <x:f>IF(CaseLedger!$A113="","",IFERROR(CaseLedger!$K113,""))</x:f>
      </x:c>
      <x:c r="F113" s="52" t="str">
        <x:f>IF(CaseLedger!$A113="","",IFERROR(CaseLedger!$O113,""))</x:f>
      </x:c>
      <x:c r="G113" s="52" t="str">
        <x:f>IF(CaseLedger!$A113="","",IFERROR(CaseLedger!$E113,""))</x:f>
      </x:c>
      <x:c r="H113" s="52" t="str">
        <x:f>IF(CaseLedger!$A113="","",IFERROR(CaseLedger!$P113,""))</x:f>
      </x:c>
      <x:c r="I113" s="52" t="str">
        <x:f>IF(CaseLedger!$A113="","",IFERROR(CaseLedger!$Q113,""))</x:f>
      </x:c>
      <x:c r="J113" s="52" t="str">
        <x:f>IF(CaseLedger!$A113="","",IFERROR(CaseLedger!$R113,""))</x:f>
      </x:c>
      <x:c r="K113" s="52" t="str">
        <x:f>IF(CaseLedger!$A113="","",IFERROR(CaseLedger!$S113,""))</x:f>
      </x:c>
      <x:c r="L113" s="52" t="str">
        <x:f>IF(CaseLedger!$A113="","",IFERROR(CaseLedger!$T113,""))</x:f>
      </x:c>
      <x:c r="M113" s="52" t="str">
        <x:f>IF(CaseLedger!$A113="","",IFERROR(CaseLedger!$U113,""))</x:f>
      </x:c>
      <x:c r="N113" s="52" t="str">
        <x:f>IF(CaseLedger!$A113="","",IFERROR(CaseLedger!$V113,""))</x:f>
      </x:c>
      <x:c r="O113" s="52" t="str">
        <x:f>IF(CaseLedger!$A113="","",IFERROR(CaseLedger!$W113,""))</x:f>
      </x:c>
      <x:c r="P113" s="52" t="str">
        <x:f>IF(CaseLedger!$A113="","",IFERROR(CaseLedger!$C113,""))</x:f>
      </x:c>
      <x:c r="Q113" s="52" t="str">
        <x:f>IF(CaseLedger!$A113="","",IFERROR(CaseLedger!$D113,""))</x:f>
      </x:c>
      <x:c r="R113" s="52" t="str">
        <x:f>IF(CaseLedger!$A113="","",IFERROR(CaseLedger!$X113,""))</x:f>
      </x:c>
      <x:c r="S113" s="52" t="str">
        <x:f>IF(CaseLedger!$A113="","",IFERROR(CaseLedger!$Y113,""))</x:f>
      </x:c>
      <x:c r="T113" s="52" t="str">
        <x:f>IF(CaseLedger!$A113="","",IFERROR(CaseLedger!$Z113,""))</x:f>
      </x:c>
      <x:c r="U113" s="52" t="str">
        <x:f>IF(CaseLedger!$A113="","",IFERROR(CaseLedger!$AA113,""))</x:f>
      </x:c>
      <x:c r="V113" s="52" t="str">
        <x:f>IF(CaseLedger!$A113="","",IFERROR(CaseLedger!$AB113,""))</x:f>
      </x:c>
      <x:c r="W113" s="52" t="str">
        <x:f>IF(CaseLedger!$A113="","",IFERROR(CaseLedger!$AC113,""))</x:f>
      </x:c>
      <x:c r="X113" s="52" t="str">
        <x:f>IF(CaseLedger!$A113="","",IFERROR(CaseLedger!$AD113,""))</x:f>
      </x:c>
      <x:c r="Y113" s="52" t="str">
        <x:f>IF(CaseLedger!$A113="","",IFERROR(CaseLedger!$AE113,""))</x:f>
      </x:c>
      <x:c r="Z113" s="52" t="str">
        <x:f>IF(CaseLedger!$A113="","",IFERROR(CaseLedger!$AF113,""))</x:f>
      </x:c>
      <x:c r="AA113" s="52" t="str">
        <x:f>IF(CaseLedger!$A113="","",IFERROR(CaseLedger!$AG113,""))</x:f>
      </x:c>
      <x:c r="AB113" s="52" t="str">
        <x:f>IF(CaseLedger!$A113="","",IFERROR(CaseLedger!$AH113,""))</x:f>
      </x:c>
      <x:c r="AC113"/>
    </x:row>
    <x:row r="114">
      <x:c r="A114" s="52" t="str">
        <x:f>IF(CaseLedger!$A114="","",IFERROR(CaseLedger!$A114,""))</x:f>
      </x:c>
      <x:c r="B114" s="52" t="str">
        <x:f>IF(CaseLedger!$A114="","",IFERROR(CaseLedger!$H114,""))</x:f>
      </x:c>
      <x:c r="C114" s="52" t="str">
        <x:f>IF(CaseLedger!$A114="","",IFERROR(CaseLedger!$I114,""))</x:f>
      </x:c>
      <x:c r="D114" s="52" t="str">
        <x:f>IF(CaseLedger!$A114="","",IFERROR(CaseLedger!$J114,""))</x:f>
      </x:c>
      <x:c r="E114" s="52" t="str">
        <x:f>IF(CaseLedger!$A114="","",IFERROR(CaseLedger!$K114,""))</x:f>
      </x:c>
      <x:c r="F114" s="52" t="str">
        <x:f>IF(CaseLedger!$A114="","",IFERROR(CaseLedger!$O114,""))</x:f>
      </x:c>
      <x:c r="G114" s="52" t="str">
        <x:f>IF(CaseLedger!$A114="","",IFERROR(CaseLedger!$E114,""))</x:f>
      </x:c>
      <x:c r="H114" s="52" t="str">
        <x:f>IF(CaseLedger!$A114="","",IFERROR(CaseLedger!$P114,""))</x:f>
      </x:c>
      <x:c r="I114" s="52" t="str">
        <x:f>IF(CaseLedger!$A114="","",IFERROR(CaseLedger!$Q114,""))</x:f>
      </x:c>
      <x:c r="J114" s="52" t="str">
        <x:f>IF(CaseLedger!$A114="","",IFERROR(CaseLedger!$R114,""))</x:f>
      </x:c>
      <x:c r="K114" s="52" t="str">
        <x:f>IF(CaseLedger!$A114="","",IFERROR(CaseLedger!$S114,""))</x:f>
      </x:c>
      <x:c r="L114" s="52" t="str">
        <x:f>IF(CaseLedger!$A114="","",IFERROR(CaseLedger!$T114,""))</x:f>
      </x:c>
      <x:c r="M114" s="52" t="str">
        <x:f>IF(CaseLedger!$A114="","",IFERROR(CaseLedger!$U114,""))</x:f>
      </x:c>
      <x:c r="N114" s="52" t="str">
        <x:f>IF(CaseLedger!$A114="","",IFERROR(CaseLedger!$V114,""))</x:f>
      </x:c>
      <x:c r="O114" s="52" t="str">
        <x:f>IF(CaseLedger!$A114="","",IFERROR(CaseLedger!$W114,""))</x:f>
      </x:c>
      <x:c r="P114" s="52" t="str">
        <x:f>IF(CaseLedger!$A114="","",IFERROR(CaseLedger!$C114,""))</x:f>
      </x:c>
      <x:c r="Q114" s="52" t="str">
        <x:f>IF(CaseLedger!$A114="","",IFERROR(CaseLedger!$D114,""))</x:f>
      </x:c>
      <x:c r="R114" s="52" t="str">
        <x:f>IF(CaseLedger!$A114="","",IFERROR(CaseLedger!$X114,""))</x:f>
      </x:c>
      <x:c r="S114" s="52" t="str">
        <x:f>IF(CaseLedger!$A114="","",IFERROR(CaseLedger!$Y114,""))</x:f>
      </x:c>
      <x:c r="T114" s="52" t="str">
        <x:f>IF(CaseLedger!$A114="","",IFERROR(CaseLedger!$Z114,""))</x:f>
      </x:c>
      <x:c r="U114" s="52" t="str">
        <x:f>IF(CaseLedger!$A114="","",IFERROR(CaseLedger!$AA114,""))</x:f>
      </x:c>
      <x:c r="V114" s="52" t="str">
        <x:f>IF(CaseLedger!$A114="","",IFERROR(CaseLedger!$AB114,""))</x:f>
      </x:c>
      <x:c r="W114" s="52" t="str">
        <x:f>IF(CaseLedger!$A114="","",IFERROR(CaseLedger!$AC114,""))</x:f>
      </x:c>
      <x:c r="X114" s="52" t="str">
        <x:f>IF(CaseLedger!$A114="","",IFERROR(CaseLedger!$AD114,""))</x:f>
      </x:c>
      <x:c r="Y114" s="52" t="str">
        <x:f>IF(CaseLedger!$A114="","",IFERROR(CaseLedger!$AE114,""))</x:f>
      </x:c>
      <x:c r="Z114" s="52" t="str">
        <x:f>IF(CaseLedger!$A114="","",IFERROR(CaseLedger!$AF114,""))</x:f>
      </x:c>
      <x:c r="AA114" s="52" t="str">
        <x:f>IF(CaseLedger!$A114="","",IFERROR(CaseLedger!$AG114,""))</x:f>
      </x:c>
      <x:c r="AB114" s="52" t="str">
        <x:f>IF(CaseLedger!$A114="","",IFERROR(CaseLedger!$AH114,""))</x:f>
      </x:c>
      <x:c r="AC114"/>
    </x:row>
    <x:row r="115">
      <x:c r="A115" s="52" t="str">
        <x:f>IF(CaseLedger!$A115="","",IFERROR(CaseLedger!$A115,""))</x:f>
      </x:c>
      <x:c r="B115" s="52" t="str">
        <x:f>IF(CaseLedger!$A115="","",IFERROR(CaseLedger!$H115,""))</x:f>
      </x:c>
      <x:c r="C115" s="52" t="str">
        <x:f>IF(CaseLedger!$A115="","",IFERROR(CaseLedger!$I115,""))</x:f>
      </x:c>
      <x:c r="D115" s="52" t="str">
        <x:f>IF(CaseLedger!$A115="","",IFERROR(CaseLedger!$J115,""))</x:f>
      </x:c>
      <x:c r="E115" s="52" t="str">
        <x:f>IF(CaseLedger!$A115="","",IFERROR(CaseLedger!$K115,""))</x:f>
      </x:c>
      <x:c r="F115" s="52" t="str">
        <x:f>IF(CaseLedger!$A115="","",IFERROR(CaseLedger!$O115,""))</x:f>
      </x:c>
      <x:c r="G115" s="52" t="str">
        <x:f>IF(CaseLedger!$A115="","",IFERROR(CaseLedger!$E115,""))</x:f>
      </x:c>
      <x:c r="H115" s="52" t="str">
        <x:f>IF(CaseLedger!$A115="","",IFERROR(CaseLedger!$P115,""))</x:f>
      </x:c>
      <x:c r="I115" s="52" t="str">
        <x:f>IF(CaseLedger!$A115="","",IFERROR(CaseLedger!$Q115,""))</x:f>
      </x:c>
      <x:c r="J115" s="52" t="str">
        <x:f>IF(CaseLedger!$A115="","",IFERROR(CaseLedger!$R115,""))</x:f>
      </x:c>
      <x:c r="K115" s="52" t="str">
        <x:f>IF(CaseLedger!$A115="","",IFERROR(CaseLedger!$S115,""))</x:f>
      </x:c>
      <x:c r="L115" s="52" t="str">
        <x:f>IF(CaseLedger!$A115="","",IFERROR(CaseLedger!$T115,""))</x:f>
      </x:c>
      <x:c r="M115" s="52" t="str">
        <x:f>IF(CaseLedger!$A115="","",IFERROR(CaseLedger!$U115,""))</x:f>
      </x:c>
      <x:c r="N115" s="52" t="str">
        <x:f>IF(CaseLedger!$A115="","",IFERROR(CaseLedger!$V115,""))</x:f>
      </x:c>
      <x:c r="O115" s="52" t="str">
        <x:f>IF(CaseLedger!$A115="","",IFERROR(CaseLedger!$W115,""))</x:f>
      </x:c>
      <x:c r="P115" s="52" t="str">
        <x:f>IF(CaseLedger!$A115="","",IFERROR(CaseLedger!$C115,""))</x:f>
      </x:c>
      <x:c r="Q115" s="52" t="str">
        <x:f>IF(CaseLedger!$A115="","",IFERROR(CaseLedger!$D115,""))</x:f>
      </x:c>
      <x:c r="R115" s="52" t="str">
        <x:f>IF(CaseLedger!$A115="","",IFERROR(CaseLedger!$X115,""))</x:f>
      </x:c>
      <x:c r="S115" s="52" t="str">
        <x:f>IF(CaseLedger!$A115="","",IFERROR(CaseLedger!$Y115,""))</x:f>
      </x:c>
      <x:c r="T115" s="52" t="str">
        <x:f>IF(CaseLedger!$A115="","",IFERROR(CaseLedger!$Z115,""))</x:f>
      </x:c>
      <x:c r="U115" s="52" t="str">
        <x:f>IF(CaseLedger!$A115="","",IFERROR(CaseLedger!$AA115,""))</x:f>
      </x:c>
      <x:c r="V115" s="52" t="str">
        <x:f>IF(CaseLedger!$A115="","",IFERROR(CaseLedger!$AB115,""))</x:f>
      </x:c>
      <x:c r="W115" s="52" t="str">
        <x:f>IF(CaseLedger!$A115="","",IFERROR(CaseLedger!$AC115,""))</x:f>
      </x:c>
      <x:c r="X115" s="52" t="str">
        <x:f>IF(CaseLedger!$A115="","",IFERROR(CaseLedger!$AD115,""))</x:f>
      </x:c>
      <x:c r="Y115" s="52" t="str">
        <x:f>IF(CaseLedger!$A115="","",IFERROR(CaseLedger!$AE115,""))</x:f>
      </x:c>
      <x:c r="Z115" s="52" t="str">
        <x:f>IF(CaseLedger!$A115="","",IFERROR(CaseLedger!$AF115,""))</x:f>
      </x:c>
      <x:c r="AA115" s="52" t="str">
        <x:f>IF(CaseLedger!$A115="","",IFERROR(CaseLedger!$AG115,""))</x:f>
      </x:c>
      <x:c r="AB115" s="52" t="str">
        <x:f>IF(CaseLedger!$A115="","",IFERROR(CaseLedger!$AH115,""))</x:f>
      </x:c>
      <x:c r="AC115"/>
    </x:row>
    <x:row r="116">
      <x:c r="A116" s="52" t="str">
        <x:f>IF(CaseLedger!$A116="","",IFERROR(CaseLedger!$A116,""))</x:f>
      </x:c>
      <x:c r="B116" s="52" t="str">
        <x:f>IF(CaseLedger!$A116="","",IFERROR(CaseLedger!$H116,""))</x:f>
      </x:c>
      <x:c r="C116" s="52" t="str">
        <x:f>IF(CaseLedger!$A116="","",IFERROR(CaseLedger!$I116,""))</x:f>
      </x:c>
      <x:c r="D116" s="52" t="str">
        <x:f>IF(CaseLedger!$A116="","",IFERROR(CaseLedger!$J116,""))</x:f>
      </x:c>
      <x:c r="E116" s="52" t="str">
        <x:f>IF(CaseLedger!$A116="","",IFERROR(CaseLedger!$K116,""))</x:f>
      </x:c>
      <x:c r="F116" s="52" t="str">
        <x:f>IF(CaseLedger!$A116="","",IFERROR(CaseLedger!$O116,""))</x:f>
      </x:c>
      <x:c r="G116" s="52" t="str">
        <x:f>IF(CaseLedger!$A116="","",IFERROR(CaseLedger!$E116,""))</x:f>
      </x:c>
      <x:c r="H116" s="52" t="str">
        <x:f>IF(CaseLedger!$A116="","",IFERROR(CaseLedger!$P116,""))</x:f>
      </x:c>
      <x:c r="I116" s="52" t="str">
        <x:f>IF(CaseLedger!$A116="","",IFERROR(CaseLedger!$Q116,""))</x:f>
      </x:c>
      <x:c r="J116" s="52" t="str">
        <x:f>IF(CaseLedger!$A116="","",IFERROR(CaseLedger!$R116,""))</x:f>
      </x:c>
      <x:c r="K116" s="52" t="str">
        <x:f>IF(CaseLedger!$A116="","",IFERROR(CaseLedger!$S116,""))</x:f>
      </x:c>
      <x:c r="L116" s="52" t="str">
        <x:f>IF(CaseLedger!$A116="","",IFERROR(CaseLedger!$T116,""))</x:f>
      </x:c>
      <x:c r="M116" s="52" t="str">
        <x:f>IF(CaseLedger!$A116="","",IFERROR(CaseLedger!$U116,""))</x:f>
      </x:c>
      <x:c r="N116" s="52" t="str">
        <x:f>IF(CaseLedger!$A116="","",IFERROR(CaseLedger!$V116,""))</x:f>
      </x:c>
      <x:c r="O116" s="52" t="str">
        <x:f>IF(CaseLedger!$A116="","",IFERROR(CaseLedger!$W116,""))</x:f>
      </x:c>
      <x:c r="P116" s="52" t="str">
        <x:f>IF(CaseLedger!$A116="","",IFERROR(CaseLedger!$C116,""))</x:f>
      </x:c>
      <x:c r="Q116" s="52" t="str">
        <x:f>IF(CaseLedger!$A116="","",IFERROR(CaseLedger!$D116,""))</x:f>
      </x:c>
      <x:c r="R116" s="52" t="str">
        <x:f>IF(CaseLedger!$A116="","",IFERROR(CaseLedger!$X116,""))</x:f>
      </x:c>
      <x:c r="S116" s="52" t="str">
        <x:f>IF(CaseLedger!$A116="","",IFERROR(CaseLedger!$Y116,""))</x:f>
      </x:c>
      <x:c r="T116" s="52" t="str">
        <x:f>IF(CaseLedger!$A116="","",IFERROR(CaseLedger!$Z116,""))</x:f>
      </x:c>
      <x:c r="U116" s="52" t="str">
        <x:f>IF(CaseLedger!$A116="","",IFERROR(CaseLedger!$AA116,""))</x:f>
      </x:c>
      <x:c r="V116" s="52" t="str">
        <x:f>IF(CaseLedger!$A116="","",IFERROR(CaseLedger!$AB116,""))</x:f>
      </x:c>
      <x:c r="W116" s="52" t="str">
        <x:f>IF(CaseLedger!$A116="","",IFERROR(CaseLedger!$AC116,""))</x:f>
      </x:c>
      <x:c r="X116" s="52" t="str">
        <x:f>IF(CaseLedger!$A116="","",IFERROR(CaseLedger!$AD116,""))</x:f>
      </x:c>
      <x:c r="Y116" s="52" t="str">
        <x:f>IF(CaseLedger!$A116="","",IFERROR(CaseLedger!$AE116,""))</x:f>
      </x:c>
      <x:c r="Z116" s="52" t="str">
        <x:f>IF(CaseLedger!$A116="","",IFERROR(CaseLedger!$AF116,""))</x:f>
      </x:c>
      <x:c r="AA116" s="52" t="str">
        <x:f>IF(CaseLedger!$A116="","",IFERROR(CaseLedger!$AG116,""))</x:f>
      </x:c>
      <x:c r="AB116" s="52" t="str">
        <x:f>IF(CaseLedger!$A116="","",IFERROR(CaseLedger!$AH116,""))</x:f>
      </x:c>
      <x:c r="AC116"/>
    </x:row>
    <x:row r="117">
      <x:c r="A117" s="52" t="str">
        <x:f>IF(CaseLedger!$A117="","",IFERROR(CaseLedger!$A117,""))</x:f>
      </x:c>
      <x:c r="B117" s="52" t="str">
        <x:f>IF(CaseLedger!$A117="","",IFERROR(CaseLedger!$H117,""))</x:f>
      </x:c>
      <x:c r="C117" s="52" t="str">
        <x:f>IF(CaseLedger!$A117="","",IFERROR(CaseLedger!$I117,""))</x:f>
      </x:c>
      <x:c r="D117" s="52" t="str">
        <x:f>IF(CaseLedger!$A117="","",IFERROR(CaseLedger!$J117,""))</x:f>
      </x:c>
      <x:c r="E117" s="52" t="str">
        <x:f>IF(CaseLedger!$A117="","",IFERROR(CaseLedger!$K117,""))</x:f>
      </x:c>
      <x:c r="F117" s="52" t="str">
        <x:f>IF(CaseLedger!$A117="","",IFERROR(CaseLedger!$O117,""))</x:f>
      </x:c>
      <x:c r="G117" s="52" t="str">
        <x:f>IF(CaseLedger!$A117="","",IFERROR(CaseLedger!$E117,""))</x:f>
      </x:c>
      <x:c r="H117" s="52" t="str">
        <x:f>IF(CaseLedger!$A117="","",IFERROR(CaseLedger!$P117,""))</x:f>
      </x:c>
      <x:c r="I117" s="52" t="str">
        <x:f>IF(CaseLedger!$A117="","",IFERROR(CaseLedger!$Q117,""))</x:f>
      </x:c>
      <x:c r="J117" s="52" t="str">
        <x:f>IF(CaseLedger!$A117="","",IFERROR(CaseLedger!$R117,""))</x:f>
      </x:c>
      <x:c r="K117" s="52" t="str">
        <x:f>IF(CaseLedger!$A117="","",IFERROR(CaseLedger!$S117,""))</x:f>
      </x:c>
      <x:c r="L117" s="52" t="str">
        <x:f>IF(CaseLedger!$A117="","",IFERROR(CaseLedger!$T117,""))</x:f>
      </x:c>
      <x:c r="M117" s="52" t="str">
        <x:f>IF(CaseLedger!$A117="","",IFERROR(CaseLedger!$U117,""))</x:f>
      </x:c>
      <x:c r="N117" s="52" t="str">
        <x:f>IF(CaseLedger!$A117="","",IFERROR(CaseLedger!$V117,""))</x:f>
      </x:c>
      <x:c r="O117" s="52" t="str">
        <x:f>IF(CaseLedger!$A117="","",IFERROR(CaseLedger!$W117,""))</x:f>
      </x:c>
      <x:c r="P117" s="52" t="str">
        <x:f>IF(CaseLedger!$A117="","",IFERROR(CaseLedger!$C117,""))</x:f>
      </x:c>
      <x:c r="Q117" s="52" t="str">
        <x:f>IF(CaseLedger!$A117="","",IFERROR(CaseLedger!$D117,""))</x:f>
      </x:c>
      <x:c r="R117" s="52" t="str">
        <x:f>IF(CaseLedger!$A117="","",IFERROR(CaseLedger!$X117,""))</x:f>
      </x:c>
      <x:c r="S117" s="52" t="str">
        <x:f>IF(CaseLedger!$A117="","",IFERROR(CaseLedger!$Y117,""))</x:f>
      </x:c>
      <x:c r="T117" s="52" t="str">
        <x:f>IF(CaseLedger!$A117="","",IFERROR(CaseLedger!$Z117,""))</x:f>
      </x:c>
      <x:c r="U117" s="52" t="str">
        <x:f>IF(CaseLedger!$A117="","",IFERROR(CaseLedger!$AA117,""))</x:f>
      </x:c>
      <x:c r="V117" s="52" t="str">
        <x:f>IF(CaseLedger!$A117="","",IFERROR(CaseLedger!$AB117,""))</x:f>
      </x:c>
      <x:c r="W117" s="52" t="str">
        <x:f>IF(CaseLedger!$A117="","",IFERROR(CaseLedger!$AC117,""))</x:f>
      </x:c>
      <x:c r="X117" s="52" t="str">
        <x:f>IF(CaseLedger!$A117="","",IFERROR(CaseLedger!$AD117,""))</x:f>
      </x:c>
      <x:c r="Y117" s="52" t="str">
        <x:f>IF(CaseLedger!$A117="","",IFERROR(CaseLedger!$AE117,""))</x:f>
      </x:c>
      <x:c r="Z117" s="52" t="str">
        <x:f>IF(CaseLedger!$A117="","",IFERROR(CaseLedger!$AF117,""))</x:f>
      </x:c>
      <x:c r="AA117" s="52" t="str">
        <x:f>IF(CaseLedger!$A117="","",IFERROR(CaseLedger!$AG117,""))</x:f>
      </x:c>
      <x:c r="AB117" s="52" t="str">
        <x:f>IF(CaseLedger!$A117="","",IFERROR(CaseLedger!$AH117,""))</x:f>
      </x:c>
      <x:c r="AC117"/>
    </x:row>
    <x:row r="118">
      <x:c r="A118" s="52" t="str">
        <x:f>IF(CaseLedger!$A118="","",IFERROR(CaseLedger!$A118,""))</x:f>
      </x:c>
      <x:c r="B118" s="52" t="str">
        <x:f>IF(CaseLedger!$A118="","",IFERROR(CaseLedger!$H118,""))</x:f>
      </x:c>
      <x:c r="C118" s="52" t="str">
        <x:f>IF(CaseLedger!$A118="","",IFERROR(CaseLedger!$I118,""))</x:f>
      </x:c>
      <x:c r="D118" s="52" t="str">
        <x:f>IF(CaseLedger!$A118="","",IFERROR(CaseLedger!$J118,""))</x:f>
      </x:c>
      <x:c r="E118" s="52" t="str">
        <x:f>IF(CaseLedger!$A118="","",IFERROR(CaseLedger!$K118,""))</x:f>
      </x:c>
      <x:c r="F118" s="52" t="str">
        <x:f>IF(CaseLedger!$A118="","",IFERROR(CaseLedger!$O118,""))</x:f>
      </x:c>
      <x:c r="G118" s="52" t="str">
        <x:f>IF(CaseLedger!$A118="","",IFERROR(CaseLedger!$E118,""))</x:f>
      </x:c>
      <x:c r="H118" s="52" t="str">
        <x:f>IF(CaseLedger!$A118="","",IFERROR(CaseLedger!$P118,""))</x:f>
      </x:c>
      <x:c r="I118" s="52" t="str">
        <x:f>IF(CaseLedger!$A118="","",IFERROR(CaseLedger!$Q118,""))</x:f>
      </x:c>
      <x:c r="J118" s="52" t="str">
        <x:f>IF(CaseLedger!$A118="","",IFERROR(CaseLedger!$R118,""))</x:f>
      </x:c>
      <x:c r="K118" s="52" t="str">
        <x:f>IF(CaseLedger!$A118="","",IFERROR(CaseLedger!$S118,""))</x:f>
      </x:c>
      <x:c r="L118" s="52" t="str">
        <x:f>IF(CaseLedger!$A118="","",IFERROR(CaseLedger!$T118,""))</x:f>
      </x:c>
      <x:c r="M118" s="52" t="str">
        <x:f>IF(CaseLedger!$A118="","",IFERROR(CaseLedger!$U118,""))</x:f>
      </x:c>
      <x:c r="N118" s="52" t="str">
        <x:f>IF(CaseLedger!$A118="","",IFERROR(CaseLedger!$V118,""))</x:f>
      </x:c>
      <x:c r="O118" s="52" t="str">
        <x:f>IF(CaseLedger!$A118="","",IFERROR(CaseLedger!$W118,""))</x:f>
      </x:c>
      <x:c r="P118" s="52" t="str">
        <x:f>IF(CaseLedger!$A118="","",IFERROR(CaseLedger!$C118,""))</x:f>
      </x:c>
      <x:c r="Q118" s="52" t="str">
        <x:f>IF(CaseLedger!$A118="","",IFERROR(CaseLedger!$D118,""))</x:f>
      </x:c>
      <x:c r="R118" s="52" t="str">
        <x:f>IF(CaseLedger!$A118="","",IFERROR(CaseLedger!$X118,""))</x:f>
      </x:c>
      <x:c r="S118" s="52" t="str">
        <x:f>IF(CaseLedger!$A118="","",IFERROR(CaseLedger!$Y118,""))</x:f>
      </x:c>
      <x:c r="T118" s="52" t="str">
        <x:f>IF(CaseLedger!$A118="","",IFERROR(CaseLedger!$Z118,""))</x:f>
      </x:c>
      <x:c r="U118" s="52" t="str">
        <x:f>IF(CaseLedger!$A118="","",IFERROR(CaseLedger!$AA118,""))</x:f>
      </x:c>
      <x:c r="V118" s="52" t="str">
        <x:f>IF(CaseLedger!$A118="","",IFERROR(CaseLedger!$AB118,""))</x:f>
      </x:c>
      <x:c r="W118" s="52" t="str">
        <x:f>IF(CaseLedger!$A118="","",IFERROR(CaseLedger!$AC118,""))</x:f>
      </x:c>
      <x:c r="X118" s="52" t="str">
        <x:f>IF(CaseLedger!$A118="","",IFERROR(CaseLedger!$AD118,""))</x:f>
      </x:c>
      <x:c r="Y118" s="52" t="str">
        <x:f>IF(CaseLedger!$A118="","",IFERROR(CaseLedger!$AE118,""))</x:f>
      </x:c>
      <x:c r="Z118" s="52" t="str">
        <x:f>IF(CaseLedger!$A118="","",IFERROR(CaseLedger!$AF118,""))</x:f>
      </x:c>
      <x:c r="AA118" s="52" t="str">
        <x:f>IF(CaseLedger!$A118="","",IFERROR(CaseLedger!$AG118,""))</x:f>
      </x:c>
      <x:c r="AB118" s="52" t="str">
        <x:f>IF(CaseLedger!$A118="","",IFERROR(CaseLedger!$AH118,""))</x:f>
      </x:c>
      <x:c r="AC118"/>
    </x:row>
    <x:row r="119">
      <x:c r="A119" s="52" t="str">
        <x:f>IF(CaseLedger!$A119="","",IFERROR(CaseLedger!$A119,""))</x:f>
      </x:c>
      <x:c r="B119" s="52" t="str">
        <x:f>IF(CaseLedger!$A119="","",IFERROR(CaseLedger!$H119,""))</x:f>
      </x:c>
      <x:c r="C119" s="52" t="str">
        <x:f>IF(CaseLedger!$A119="","",IFERROR(CaseLedger!$I119,""))</x:f>
      </x:c>
      <x:c r="D119" s="52" t="str">
        <x:f>IF(CaseLedger!$A119="","",IFERROR(CaseLedger!$J119,""))</x:f>
      </x:c>
      <x:c r="E119" s="52" t="str">
        <x:f>IF(CaseLedger!$A119="","",IFERROR(CaseLedger!$K119,""))</x:f>
      </x:c>
      <x:c r="F119" s="52" t="str">
        <x:f>IF(CaseLedger!$A119="","",IFERROR(CaseLedger!$O119,""))</x:f>
      </x:c>
      <x:c r="G119" s="52" t="str">
        <x:f>IF(CaseLedger!$A119="","",IFERROR(CaseLedger!$E119,""))</x:f>
      </x:c>
      <x:c r="H119" s="52" t="str">
        <x:f>IF(CaseLedger!$A119="","",IFERROR(CaseLedger!$P119,""))</x:f>
      </x:c>
      <x:c r="I119" s="52" t="str">
        <x:f>IF(CaseLedger!$A119="","",IFERROR(CaseLedger!$Q119,""))</x:f>
      </x:c>
      <x:c r="J119" s="52" t="str">
        <x:f>IF(CaseLedger!$A119="","",IFERROR(CaseLedger!$R119,""))</x:f>
      </x:c>
      <x:c r="K119" s="52" t="str">
        <x:f>IF(CaseLedger!$A119="","",IFERROR(CaseLedger!$S119,""))</x:f>
      </x:c>
      <x:c r="L119" s="52" t="str">
        <x:f>IF(CaseLedger!$A119="","",IFERROR(CaseLedger!$T119,""))</x:f>
      </x:c>
      <x:c r="M119" s="52" t="str">
        <x:f>IF(CaseLedger!$A119="","",IFERROR(CaseLedger!$U119,""))</x:f>
      </x:c>
      <x:c r="N119" s="52" t="str">
        <x:f>IF(CaseLedger!$A119="","",IFERROR(CaseLedger!$V119,""))</x:f>
      </x:c>
      <x:c r="O119" s="52" t="str">
        <x:f>IF(CaseLedger!$A119="","",IFERROR(CaseLedger!$W119,""))</x:f>
      </x:c>
      <x:c r="P119" s="52" t="str">
        <x:f>IF(CaseLedger!$A119="","",IFERROR(CaseLedger!$C119,""))</x:f>
      </x:c>
      <x:c r="Q119" s="52" t="str">
        <x:f>IF(CaseLedger!$A119="","",IFERROR(CaseLedger!$D119,""))</x:f>
      </x:c>
      <x:c r="R119" s="52" t="str">
        <x:f>IF(CaseLedger!$A119="","",IFERROR(CaseLedger!$X119,""))</x:f>
      </x:c>
      <x:c r="S119" s="52" t="str">
        <x:f>IF(CaseLedger!$A119="","",IFERROR(CaseLedger!$Y119,""))</x:f>
      </x:c>
      <x:c r="T119" s="52" t="str">
        <x:f>IF(CaseLedger!$A119="","",IFERROR(CaseLedger!$Z119,""))</x:f>
      </x:c>
      <x:c r="U119" s="52" t="str">
        <x:f>IF(CaseLedger!$A119="","",IFERROR(CaseLedger!$AA119,""))</x:f>
      </x:c>
      <x:c r="V119" s="52" t="str">
        <x:f>IF(CaseLedger!$A119="","",IFERROR(CaseLedger!$AB119,""))</x:f>
      </x:c>
      <x:c r="W119" s="52" t="str">
        <x:f>IF(CaseLedger!$A119="","",IFERROR(CaseLedger!$AC119,""))</x:f>
      </x:c>
      <x:c r="X119" s="52" t="str">
        <x:f>IF(CaseLedger!$A119="","",IFERROR(CaseLedger!$AD119,""))</x:f>
      </x:c>
      <x:c r="Y119" s="52" t="str">
        <x:f>IF(CaseLedger!$A119="","",IFERROR(CaseLedger!$AE119,""))</x:f>
      </x:c>
      <x:c r="Z119" s="52" t="str">
        <x:f>IF(CaseLedger!$A119="","",IFERROR(CaseLedger!$AF119,""))</x:f>
      </x:c>
      <x:c r="AA119" s="52" t="str">
        <x:f>IF(CaseLedger!$A119="","",IFERROR(CaseLedger!$AG119,""))</x:f>
      </x:c>
      <x:c r="AB119" s="52" t="str">
        <x:f>IF(CaseLedger!$A119="","",IFERROR(CaseLedger!$AH119,""))</x:f>
      </x:c>
      <x:c r="AC119"/>
    </x:row>
    <x:row r="120">
      <x:c r="A120" s="52" t="str">
        <x:f>IF(CaseLedger!$A120="","",IFERROR(CaseLedger!$A120,""))</x:f>
      </x:c>
      <x:c r="B120" s="52" t="str">
        <x:f>IF(CaseLedger!$A120="","",IFERROR(CaseLedger!$H120,""))</x:f>
      </x:c>
      <x:c r="C120" s="52" t="str">
        <x:f>IF(CaseLedger!$A120="","",IFERROR(CaseLedger!$I120,""))</x:f>
      </x:c>
      <x:c r="D120" s="52" t="str">
        <x:f>IF(CaseLedger!$A120="","",IFERROR(CaseLedger!$J120,""))</x:f>
      </x:c>
      <x:c r="E120" s="52" t="str">
        <x:f>IF(CaseLedger!$A120="","",IFERROR(CaseLedger!$K120,""))</x:f>
      </x:c>
      <x:c r="F120" s="52" t="str">
        <x:f>IF(CaseLedger!$A120="","",IFERROR(CaseLedger!$O120,""))</x:f>
      </x:c>
      <x:c r="G120" s="52" t="str">
        <x:f>IF(CaseLedger!$A120="","",IFERROR(CaseLedger!$E120,""))</x:f>
      </x:c>
      <x:c r="H120" s="52" t="str">
        <x:f>IF(CaseLedger!$A120="","",IFERROR(CaseLedger!$P120,""))</x:f>
      </x:c>
      <x:c r="I120" s="52" t="str">
        <x:f>IF(CaseLedger!$A120="","",IFERROR(CaseLedger!$Q120,""))</x:f>
      </x:c>
      <x:c r="J120" s="52" t="str">
        <x:f>IF(CaseLedger!$A120="","",IFERROR(CaseLedger!$R120,""))</x:f>
      </x:c>
      <x:c r="K120" s="52" t="str">
        <x:f>IF(CaseLedger!$A120="","",IFERROR(CaseLedger!$S120,""))</x:f>
      </x:c>
      <x:c r="L120" s="52" t="str">
        <x:f>IF(CaseLedger!$A120="","",IFERROR(CaseLedger!$T120,""))</x:f>
      </x:c>
      <x:c r="M120" s="52" t="str">
        <x:f>IF(CaseLedger!$A120="","",IFERROR(CaseLedger!$U120,""))</x:f>
      </x:c>
      <x:c r="N120" s="52" t="str">
        <x:f>IF(CaseLedger!$A120="","",IFERROR(CaseLedger!$V120,""))</x:f>
      </x:c>
      <x:c r="O120" s="52" t="str">
        <x:f>IF(CaseLedger!$A120="","",IFERROR(CaseLedger!$W120,""))</x:f>
      </x:c>
      <x:c r="P120" s="52" t="str">
        <x:f>IF(CaseLedger!$A120="","",IFERROR(CaseLedger!$C120,""))</x:f>
      </x:c>
      <x:c r="Q120" s="52" t="str">
        <x:f>IF(CaseLedger!$A120="","",IFERROR(CaseLedger!$D120,""))</x:f>
      </x:c>
      <x:c r="R120" s="52" t="str">
        <x:f>IF(CaseLedger!$A120="","",IFERROR(CaseLedger!$X120,""))</x:f>
      </x:c>
      <x:c r="S120" s="52" t="str">
        <x:f>IF(CaseLedger!$A120="","",IFERROR(CaseLedger!$Y120,""))</x:f>
      </x:c>
      <x:c r="T120" s="52" t="str">
        <x:f>IF(CaseLedger!$A120="","",IFERROR(CaseLedger!$Z120,""))</x:f>
      </x:c>
      <x:c r="U120" s="52" t="str">
        <x:f>IF(CaseLedger!$A120="","",IFERROR(CaseLedger!$AA120,""))</x:f>
      </x:c>
      <x:c r="V120" s="52" t="str">
        <x:f>IF(CaseLedger!$A120="","",IFERROR(CaseLedger!$AB120,""))</x:f>
      </x:c>
      <x:c r="W120" s="52" t="str">
        <x:f>IF(CaseLedger!$A120="","",IFERROR(CaseLedger!$AC120,""))</x:f>
      </x:c>
      <x:c r="X120" s="52" t="str">
        <x:f>IF(CaseLedger!$A120="","",IFERROR(CaseLedger!$AD120,""))</x:f>
      </x:c>
      <x:c r="Y120" s="52" t="str">
        <x:f>IF(CaseLedger!$A120="","",IFERROR(CaseLedger!$AE120,""))</x:f>
      </x:c>
      <x:c r="Z120" s="52" t="str">
        <x:f>IF(CaseLedger!$A120="","",IFERROR(CaseLedger!$AF120,""))</x:f>
      </x:c>
      <x:c r="AA120" s="52" t="str">
        <x:f>IF(CaseLedger!$A120="","",IFERROR(CaseLedger!$AG120,""))</x:f>
      </x:c>
      <x:c r="AB120" s="52" t="str">
        <x:f>IF(CaseLedger!$A120="","",IFERROR(CaseLedger!$AH120,""))</x:f>
      </x:c>
      <x:c r="AC120"/>
    </x:row>
    <x:row r="121">
      <x:c r="A121" s="52" t="str">
        <x:f>IF(CaseLedger!$A121="","",IFERROR(CaseLedger!$A121,""))</x:f>
      </x:c>
      <x:c r="B121" s="52" t="str">
        <x:f>IF(CaseLedger!$A121="","",IFERROR(CaseLedger!$H121,""))</x:f>
      </x:c>
      <x:c r="C121" s="52" t="str">
        <x:f>IF(CaseLedger!$A121="","",IFERROR(CaseLedger!$I121,""))</x:f>
      </x:c>
      <x:c r="D121" s="52" t="str">
        <x:f>IF(CaseLedger!$A121="","",IFERROR(CaseLedger!$J121,""))</x:f>
      </x:c>
      <x:c r="E121" s="52" t="str">
        <x:f>IF(CaseLedger!$A121="","",IFERROR(CaseLedger!$K121,""))</x:f>
      </x:c>
      <x:c r="F121" s="52" t="str">
        <x:f>IF(CaseLedger!$A121="","",IFERROR(CaseLedger!$O121,""))</x:f>
      </x:c>
      <x:c r="G121" s="52" t="str">
        <x:f>IF(CaseLedger!$A121="","",IFERROR(CaseLedger!$E121,""))</x:f>
      </x:c>
      <x:c r="H121" s="52" t="str">
        <x:f>IF(CaseLedger!$A121="","",IFERROR(CaseLedger!$P121,""))</x:f>
      </x:c>
      <x:c r="I121" s="52" t="str">
        <x:f>IF(CaseLedger!$A121="","",IFERROR(CaseLedger!$Q121,""))</x:f>
      </x:c>
      <x:c r="J121" s="52" t="str">
        <x:f>IF(CaseLedger!$A121="","",IFERROR(CaseLedger!$R121,""))</x:f>
      </x:c>
      <x:c r="K121" s="52" t="str">
        <x:f>IF(CaseLedger!$A121="","",IFERROR(CaseLedger!$S121,""))</x:f>
      </x:c>
      <x:c r="L121" s="52" t="str">
        <x:f>IF(CaseLedger!$A121="","",IFERROR(CaseLedger!$T121,""))</x:f>
      </x:c>
      <x:c r="M121" s="52" t="str">
        <x:f>IF(CaseLedger!$A121="","",IFERROR(CaseLedger!$U121,""))</x:f>
      </x:c>
      <x:c r="N121" s="52" t="str">
        <x:f>IF(CaseLedger!$A121="","",IFERROR(CaseLedger!$V121,""))</x:f>
      </x:c>
      <x:c r="O121" s="52" t="str">
        <x:f>IF(CaseLedger!$A121="","",IFERROR(CaseLedger!$W121,""))</x:f>
      </x:c>
      <x:c r="P121" s="52" t="str">
        <x:f>IF(CaseLedger!$A121="","",IFERROR(CaseLedger!$C121,""))</x:f>
      </x:c>
      <x:c r="Q121" s="52" t="str">
        <x:f>IF(CaseLedger!$A121="","",IFERROR(CaseLedger!$D121,""))</x:f>
      </x:c>
      <x:c r="R121" s="52" t="str">
        <x:f>IF(CaseLedger!$A121="","",IFERROR(CaseLedger!$X121,""))</x:f>
      </x:c>
      <x:c r="S121" s="52" t="str">
        <x:f>IF(CaseLedger!$A121="","",IFERROR(CaseLedger!$Y121,""))</x:f>
      </x:c>
      <x:c r="T121" s="52" t="str">
        <x:f>IF(CaseLedger!$A121="","",IFERROR(CaseLedger!$Z121,""))</x:f>
      </x:c>
      <x:c r="U121" s="52" t="str">
        <x:f>IF(CaseLedger!$A121="","",IFERROR(CaseLedger!$AA121,""))</x:f>
      </x:c>
      <x:c r="V121" s="52" t="str">
        <x:f>IF(CaseLedger!$A121="","",IFERROR(CaseLedger!$AB121,""))</x:f>
      </x:c>
      <x:c r="W121" s="52" t="str">
        <x:f>IF(CaseLedger!$A121="","",IFERROR(CaseLedger!$AC121,""))</x:f>
      </x:c>
      <x:c r="X121" s="52" t="str">
        <x:f>IF(CaseLedger!$A121="","",IFERROR(CaseLedger!$AD121,""))</x:f>
      </x:c>
      <x:c r="Y121" s="52" t="str">
        <x:f>IF(CaseLedger!$A121="","",IFERROR(CaseLedger!$AE121,""))</x:f>
      </x:c>
      <x:c r="Z121" s="52" t="str">
        <x:f>IF(CaseLedger!$A121="","",IFERROR(CaseLedger!$AF121,""))</x:f>
      </x:c>
      <x:c r="AA121" s="52" t="str">
        <x:f>IF(CaseLedger!$A121="","",IFERROR(CaseLedger!$AG121,""))</x:f>
      </x:c>
      <x:c r="AB121" s="52" t="str">
        <x:f>IF(CaseLedger!$A121="","",IFERROR(CaseLedger!$AH121,""))</x:f>
      </x:c>
      <x:c r="AC121"/>
    </x:row>
    <x:row r="122">
      <x:c r="A122" s="52" t="str">
        <x:f>IF(CaseLedger!$A122="","",IFERROR(CaseLedger!$A122,""))</x:f>
      </x:c>
      <x:c r="B122" s="52" t="str">
        <x:f>IF(CaseLedger!$A122="","",IFERROR(CaseLedger!$H122,""))</x:f>
      </x:c>
      <x:c r="C122" s="52" t="str">
        <x:f>IF(CaseLedger!$A122="","",IFERROR(CaseLedger!$I122,""))</x:f>
      </x:c>
      <x:c r="D122" s="52" t="str">
        <x:f>IF(CaseLedger!$A122="","",IFERROR(CaseLedger!$J122,""))</x:f>
      </x:c>
      <x:c r="E122" s="52" t="str">
        <x:f>IF(CaseLedger!$A122="","",IFERROR(CaseLedger!$K122,""))</x:f>
      </x:c>
      <x:c r="F122" s="52" t="str">
        <x:f>IF(CaseLedger!$A122="","",IFERROR(CaseLedger!$O122,""))</x:f>
      </x:c>
      <x:c r="G122" s="52" t="str">
        <x:f>IF(CaseLedger!$A122="","",IFERROR(CaseLedger!$E122,""))</x:f>
      </x:c>
      <x:c r="H122" s="52" t="str">
        <x:f>IF(CaseLedger!$A122="","",IFERROR(CaseLedger!$P122,""))</x:f>
      </x:c>
      <x:c r="I122" s="52" t="str">
        <x:f>IF(CaseLedger!$A122="","",IFERROR(CaseLedger!$Q122,""))</x:f>
      </x:c>
      <x:c r="J122" s="52" t="str">
        <x:f>IF(CaseLedger!$A122="","",IFERROR(CaseLedger!$R122,""))</x:f>
      </x:c>
      <x:c r="K122" s="52" t="str">
        <x:f>IF(CaseLedger!$A122="","",IFERROR(CaseLedger!$S122,""))</x:f>
      </x:c>
      <x:c r="L122" s="52" t="str">
        <x:f>IF(CaseLedger!$A122="","",IFERROR(CaseLedger!$T122,""))</x:f>
      </x:c>
      <x:c r="M122" s="52" t="str">
        <x:f>IF(CaseLedger!$A122="","",IFERROR(CaseLedger!$U122,""))</x:f>
      </x:c>
      <x:c r="N122" s="52" t="str">
        <x:f>IF(CaseLedger!$A122="","",IFERROR(CaseLedger!$V122,""))</x:f>
      </x:c>
      <x:c r="O122" s="52" t="str">
        <x:f>IF(CaseLedger!$A122="","",IFERROR(CaseLedger!$W122,""))</x:f>
      </x:c>
      <x:c r="P122" s="52" t="str">
        <x:f>IF(CaseLedger!$A122="","",IFERROR(CaseLedger!$C122,""))</x:f>
      </x:c>
      <x:c r="Q122" s="52" t="str">
        <x:f>IF(CaseLedger!$A122="","",IFERROR(CaseLedger!$D122,""))</x:f>
      </x:c>
      <x:c r="R122" s="52" t="str">
        <x:f>IF(CaseLedger!$A122="","",IFERROR(CaseLedger!$X122,""))</x:f>
      </x:c>
      <x:c r="S122" s="52" t="str">
        <x:f>IF(CaseLedger!$A122="","",IFERROR(CaseLedger!$Y122,""))</x:f>
      </x:c>
      <x:c r="T122" s="52" t="str">
        <x:f>IF(CaseLedger!$A122="","",IFERROR(CaseLedger!$Z122,""))</x:f>
      </x:c>
      <x:c r="U122" s="52" t="str">
        <x:f>IF(CaseLedger!$A122="","",IFERROR(CaseLedger!$AA122,""))</x:f>
      </x:c>
      <x:c r="V122" s="52" t="str">
        <x:f>IF(CaseLedger!$A122="","",IFERROR(CaseLedger!$AB122,""))</x:f>
      </x:c>
      <x:c r="W122" s="52" t="str">
        <x:f>IF(CaseLedger!$A122="","",IFERROR(CaseLedger!$AC122,""))</x:f>
      </x:c>
      <x:c r="X122" s="52" t="str">
        <x:f>IF(CaseLedger!$A122="","",IFERROR(CaseLedger!$AD122,""))</x:f>
      </x:c>
      <x:c r="Y122" s="52" t="str">
        <x:f>IF(CaseLedger!$A122="","",IFERROR(CaseLedger!$AE122,""))</x:f>
      </x:c>
      <x:c r="Z122" s="52" t="str">
        <x:f>IF(CaseLedger!$A122="","",IFERROR(CaseLedger!$AF122,""))</x:f>
      </x:c>
      <x:c r="AA122" s="52" t="str">
        <x:f>IF(CaseLedger!$A122="","",IFERROR(CaseLedger!$AG122,""))</x:f>
      </x:c>
      <x:c r="AB122" s="52" t="str">
        <x:f>IF(CaseLedger!$A122="","",IFERROR(CaseLedger!$AH122,""))</x:f>
      </x:c>
      <x:c r="AC122"/>
    </x:row>
    <x:row r="123">
      <x:c r="A123" s="52" t="str">
        <x:f>IF(CaseLedger!$A123="","",IFERROR(CaseLedger!$A123,""))</x:f>
      </x:c>
      <x:c r="B123" s="52" t="str">
        <x:f>IF(CaseLedger!$A123="","",IFERROR(CaseLedger!$H123,""))</x:f>
      </x:c>
      <x:c r="C123" s="52" t="str">
        <x:f>IF(CaseLedger!$A123="","",IFERROR(CaseLedger!$I123,""))</x:f>
      </x:c>
      <x:c r="D123" s="52" t="str">
        <x:f>IF(CaseLedger!$A123="","",IFERROR(CaseLedger!$J123,""))</x:f>
      </x:c>
      <x:c r="E123" s="52" t="str">
        <x:f>IF(CaseLedger!$A123="","",IFERROR(CaseLedger!$K123,""))</x:f>
      </x:c>
      <x:c r="F123" s="52" t="str">
        <x:f>IF(CaseLedger!$A123="","",IFERROR(CaseLedger!$O123,""))</x:f>
      </x:c>
      <x:c r="G123" s="52" t="str">
        <x:f>IF(CaseLedger!$A123="","",IFERROR(CaseLedger!$E123,""))</x:f>
      </x:c>
      <x:c r="H123" s="52" t="str">
        <x:f>IF(CaseLedger!$A123="","",IFERROR(CaseLedger!$P123,""))</x:f>
      </x:c>
      <x:c r="I123" s="52" t="str">
        <x:f>IF(CaseLedger!$A123="","",IFERROR(CaseLedger!$Q123,""))</x:f>
      </x:c>
      <x:c r="J123" s="52" t="str">
        <x:f>IF(CaseLedger!$A123="","",IFERROR(CaseLedger!$R123,""))</x:f>
      </x:c>
      <x:c r="K123" s="52" t="str">
        <x:f>IF(CaseLedger!$A123="","",IFERROR(CaseLedger!$S123,""))</x:f>
      </x:c>
      <x:c r="L123" s="52" t="str">
        <x:f>IF(CaseLedger!$A123="","",IFERROR(CaseLedger!$T123,""))</x:f>
      </x:c>
      <x:c r="M123" s="52" t="str">
        <x:f>IF(CaseLedger!$A123="","",IFERROR(CaseLedger!$U123,""))</x:f>
      </x:c>
      <x:c r="N123" s="52" t="str">
        <x:f>IF(CaseLedger!$A123="","",IFERROR(CaseLedger!$V123,""))</x:f>
      </x:c>
      <x:c r="O123" s="52" t="str">
        <x:f>IF(CaseLedger!$A123="","",IFERROR(CaseLedger!$W123,""))</x:f>
      </x:c>
      <x:c r="P123" s="52" t="str">
        <x:f>IF(CaseLedger!$A123="","",IFERROR(CaseLedger!$C123,""))</x:f>
      </x:c>
      <x:c r="Q123" s="52" t="str">
        <x:f>IF(CaseLedger!$A123="","",IFERROR(CaseLedger!$D123,""))</x:f>
      </x:c>
      <x:c r="R123" s="52" t="str">
        <x:f>IF(CaseLedger!$A123="","",IFERROR(CaseLedger!$X123,""))</x:f>
      </x:c>
      <x:c r="S123" s="52" t="str">
        <x:f>IF(CaseLedger!$A123="","",IFERROR(CaseLedger!$Y123,""))</x:f>
      </x:c>
      <x:c r="T123" s="52" t="str">
        <x:f>IF(CaseLedger!$A123="","",IFERROR(CaseLedger!$Z123,""))</x:f>
      </x:c>
      <x:c r="U123" s="52" t="str">
        <x:f>IF(CaseLedger!$A123="","",IFERROR(CaseLedger!$AA123,""))</x:f>
      </x:c>
      <x:c r="V123" s="52" t="str">
        <x:f>IF(CaseLedger!$A123="","",IFERROR(CaseLedger!$AB123,""))</x:f>
      </x:c>
      <x:c r="W123" s="52" t="str">
        <x:f>IF(CaseLedger!$A123="","",IFERROR(CaseLedger!$AC123,""))</x:f>
      </x:c>
      <x:c r="X123" s="52" t="str">
        <x:f>IF(CaseLedger!$A123="","",IFERROR(CaseLedger!$AD123,""))</x:f>
      </x:c>
      <x:c r="Y123" s="52" t="str">
        <x:f>IF(CaseLedger!$A123="","",IFERROR(CaseLedger!$AE123,""))</x:f>
      </x:c>
      <x:c r="Z123" s="52" t="str">
        <x:f>IF(CaseLedger!$A123="","",IFERROR(CaseLedger!$AF123,""))</x:f>
      </x:c>
      <x:c r="AA123" s="52" t="str">
        <x:f>IF(CaseLedger!$A123="","",IFERROR(CaseLedger!$AG123,""))</x:f>
      </x:c>
      <x:c r="AB123" s="52" t="str">
        <x:f>IF(CaseLedger!$A123="","",IFERROR(CaseLedger!$AH123,""))</x:f>
      </x:c>
      <x:c r="AC123"/>
    </x:row>
    <x:row r="124">
      <x:c r="A124" s="52" t="str">
        <x:f>IF(CaseLedger!$A124="","",IFERROR(CaseLedger!$A124,""))</x:f>
      </x:c>
      <x:c r="B124" s="52" t="str">
        <x:f>IF(CaseLedger!$A124="","",IFERROR(CaseLedger!$H124,""))</x:f>
      </x:c>
      <x:c r="C124" s="52" t="str">
        <x:f>IF(CaseLedger!$A124="","",IFERROR(CaseLedger!$I124,""))</x:f>
      </x:c>
      <x:c r="D124" s="52" t="str">
        <x:f>IF(CaseLedger!$A124="","",IFERROR(CaseLedger!$J124,""))</x:f>
      </x:c>
      <x:c r="E124" s="52" t="str">
        <x:f>IF(CaseLedger!$A124="","",IFERROR(CaseLedger!$K124,""))</x:f>
      </x:c>
      <x:c r="F124" s="52" t="str">
        <x:f>IF(CaseLedger!$A124="","",IFERROR(CaseLedger!$O124,""))</x:f>
      </x:c>
      <x:c r="G124" s="52" t="str">
        <x:f>IF(CaseLedger!$A124="","",IFERROR(CaseLedger!$E124,""))</x:f>
      </x:c>
      <x:c r="H124" s="52" t="str">
        <x:f>IF(CaseLedger!$A124="","",IFERROR(CaseLedger!$P124,""))</x:f>
      </x:c>
      <x:c r="I124" s="52" t="str">
        <x:f>IF(CaseLedger!$A124="","",IFERROR(CaseLedger!$Q124,""))</x:f>
      </x:c>
      <x:c r="J124" s="52" t="str">
        <x:f>IF(CaseLedger!$A124="","",IFERROR(CaseLedger!$R124,""))</x:f>
      </x:c>
      <x:c r="K124" s="52" t="str">
        <x:f>IF(CaseLedger!$A124="","",IFERROR(CaseLedger!$S124,""))</x:f>
      </x:c>
      <x:c r="L124" s="52" t="str">
        <x:f>IF(CaseLedger!$A124="","",IFERROR(CaseLedger!$T124,""))</x:f>
      </x:c>
      <x:c r="M124" s="52" t="str">
        <x:f>IF(CaseLedger!$A124="","",IFERROR(CaseLedger!$U124,""))</x:f>
      </x:c>
      <x:c r="N124" s="52" t="str">
        <x:f>IF(CaseLedger!$A124="","",IFERROR(CaseLedger!$V124,""))</x:f>
      </x:c>
      <x:c r="O124" s="52" t="str">
        <x:f>IF(CaseLedger!$A124="","",IFERROR(CaseLedger!$W124,""))</x:f>
      </x:c>
      <x:c r="P124" s="52" t="str">
        <x:f>IF(CaseLedger!$A124="","",IFERROR(CaseLedger!$C124,""))</x:f>
      </x:c>
      <x:c r="Q124" s="52" t="str">
        <x:f>IF(CaseLedger!$A124="","",IFERROR(CaseLedger!$D124,""))</x:f>
      </x:c>
      <x:c r="R124" s="52" t="str">
        <x:f>IF(CaseLedger!$A124="","",IFERROR(CaseLedger!$X124,""))</x:f>
      </x:c>
      <x:c r="S124" s="52" t="str">
        <x:f>IF(CaseLedger!$A124="","",IFERROR(CaseLedger!$Y124,""))</x:f>
      </x:c>
      <x:c r="T124" s="52" t="str">
        <x:f>IF(CaseLedger!$A124="","",IFERROR(CaseLedger!$Z124,""))</x:f>
      </x:c>
      <x:c r="U124" s="52" t="str">
        <x:f>IF(CaseLedger!$A124="","",IFERROR(CaseLedger!$AA124,""))</x:f>
      </x:c>
      <x:c r="V124" s="52" t="str">
        <x:f>IF(CaseLedger!$A124="","",IFERROR(CaseLedger!$AB124,""))</x:f>
      </x:c>
      <x:c r="W124" s="52" t="str">
        <x:f>IF(CaseLedger!$A124="","",IFERROR(CaseLedger!$AC124,""))</x:f>
      </x:c>
      <x:c r="X124" s="52" t="str">
        <x:f>IF(CaseLedger!$A124="","",IFERROR(CaseLedger!$AD124,""))</x:f>
      </x:c>
      <x:c r="Y124" s="52" t="str">
        <x:f>IF(CaseLedger!$A124="","",IFERROR(CaseLedger!$AE124,""))</x:f>
      </x:c>
      <x:c r="Z124" s="52" t="str">
        <x:f>IF(CaseLedger!$A124="","",IFERROR(CaseLedger!$AF124,""))</x:f>
      </x:c>
      <x:c r="AA124" s="52" t="str">
        <x:f>IF(CaseLedger!$A124="","",IFERROR(CaseLedger!$AG124,""))</x:f>
      </x:c>
      <x:c r="AB124" s="52" t="str">
        <x:f>IF(CaseLedger!$A124="","",IFERROR(CaseLedger!$AH124,""))</x:f>
      </x:c>
      <x:c r="AC124"/>
    </x:row>
    <x:row r="125">
      <x:c r="A125" s="52" t="str">
        <x:f>IF(CaseLedger!$A125="","",IFERROR(CaseLedger!$A125,""))</x:f>
      </x:c>
      <x:c r="B125" s="52" t="str">
        <x:f>IF(CaseLedger!$A125="","",IFERROR(CaseLedger!$H125,""))</x:f>
      </x:c>
      <x:c r="C125" s="52" t="str">
        <x:f>IF(CaseLedger!$A125="","",IFERROR(CaseLedger!$I125,""))</x:f>
      </x:c>
      <x:c r="D125" s="52" t="str">
        <x:f>IF(CaseLedger!$A125="","",IFERROR(CaseLedger!$J125,""))</x:f>
      </x:c>
      <x:c r="E125" s="52" t="str">
        <x:f>IF(CaseLedger!$A125="","",IFERROR(CaseLedger!$K125,""))</x:f>
      </x:c>
      <x:c r="F125" s="52" t="str">
        <x:f>IF(CaseLedger!$A125="","",IFERROR(CaseLedger!$O125,""))</x:f>
      </x:c>
      <x:c r="G125" s="52" t="str">
        <x:f>IF(CaseLedger!$A125="","",IFERROR(CaseLedger!$E125,""))</x:f>
      </x:c>
      <x:c r="H125" s="52" t="str">
        <x:f>IF(CaseLedger!$A125="","",IFERROR(CaseLedger!$P125,""))</x:f>
      </x:c>
      <x:c r="I125" s="52" t="str">
        <x:f>IF(CaseLedger!$A125="","",IFERROR(CaseLedger!$Q125,""))</x:f>
      </x:c>
      <x:c r="J125" s="52" t="str">
        <x:f>IF(CaseLedger!$A125="","",IFERROR(CaseLedger!$R125,""))</x:f>
      </x:c>
      <x:c r="K125" s="52" t="str">
        <x:f>IF(CaseLedger!$A125="","",IFERROR(CaseLedger!$S125,""))</x:f>
      </x:c>
      <x:c r="L125" s="52" t="str">
        <x:f>IF(CaseLedger!$A125="","",IFERROR(CaseLedger!$T125,""))</x:f>
      </x:c>
      <x:c r="M125" s="52" t="str">
        <x:f>IF(CaseLedger!$A125="","",IFERROR(CaseLedger!$U125,""))</x:f>
      </x:c>
      <x:c r="N125" s="52" t="str">
        <x:f>IF(CaseLedger!$A125="","",IFERROR(CaseLedger!$V125,""))</x:f>
      </x:c>
      <x:c r="O125" s="52" t="str">
        <x:f>IF(CaseLedger!$A125="","",IFERROR(CaseLedger!$W125,""))</x:f>
      </x:c>
      <x:c r="P125" s="52" t="str">
        <x:f>IF(CaseLedger!$A125="","",IFERROR(CaseLedger!$C125,""))</x:f>
      </x:c>
      <x:c r="Q125" s="52" t="str">
        <x:f>IF(CaseLedger!$A125="","",IFERROR(CaseLedger!$D125,""))</x:f>
      </x:c>
      <x:c r="R125" s="52" t="str">
        <x:f>IF(CaseLedger!$A125="","",IFERROR(CaseLedger!$X125,""))</x:f>
      </x:c>
      <x:c r="S125" s="52" t="str">
        <x:f>IF(CaseLedger!$A125="","",IFERROR(CaseLedger!$Y125,""))</x:f>
      </x:c>
      <x:c r="T125" s="52" t="str">
        <x:f>IF(CaseLedger!$A125="","",IFERROR(CaseLedger!$Z125,""))</x:f>
      </x:c>
      <x:c r="U125" s="52" t="str">
        <x:f>IF(CaseLedger!$A125="","",IFERROR(CaseLedger!$AA125,""))</x:f>
      </x:c>
      <x:c r="V125" s="52" t="str">
        <x:f>IF(CaseLedger!$A125="","",IFERROR(CaseLedger!$AB125,""))</x:f>
      </x:c>
      <x:c r="W125" s="52" t="str">
        <x:f>IF(CaseLedger!$A125="","",IFERROR(CaseLedger!$AC125,""))</x:f>
      </x:c>
      <x:c r="X125" s="52" t="str">
        <x:f>IF(CaseLedger!$A125="","",IFERROR(CaseLedger!$AD125,""))</x:f>
      </x:c>
      <x:c r="Y125" s="52" t="str">
        <x:f>IF(CaseLedger!$A125="","",IFERROR(CaseLedger!$AE125,""))</x:f>
      </x:c>
      <x:c r="Z125" s="52" t="str">
        <x:f>IF(CaseLedger!$A125="","",IFERROR(CaseLedger!$AF125,""))</x:f>
      </x:c>
      <x:c r="AA125" s="52" t="str">
        <x:f>IF(CaseLedger!$A125="","",IFERROR(CaseLedger!$AG125,""))</x:f>
      </x:c>
      <x:c r="AB125" s="52" t="str">
        <x:f>IF(CaseLedger!$A125="","",IFERROR(CaseLedger!$AH125,""))</x:f>
      </x:c>
      <x:c r="AC125"/>
    </x:row>
    <x:row r="126">
      <x:c r="A126" s="52" t="str">
        <x:f>IF(CaseLedger!$A126="","",IFERROR(CaseLedger!$A126,""))</x:f>
      </x:c>
      <x:c r="B126" s="52" t="str">
        <x:f>IF(CaseLedger!$A126="","",IFERROR(CaseLedger!$H126,""))</x:f>
      </x:c>
      <x:c r="C126" s="52" t="str">
        <x:f>IF(CaseLedger!$A126="","",IFERROR(CaseLedger!$I126,""))</x:f>
      </x:c>
      <x:c r="D126" s="52" t="str">
        <x:f>IF(CaseLedger!$A126="","",IFERROR(CaseLedger!$J126,""))</x:f>
      </x:c>
      <x:c r="E126" s="52" t="str">
        <x:f>IF(CaseLedger!$A126="","",IFERROR(CaseLedger!$K126,""))</x:f>
      </x:c>
      <x:c r="F126" s="52" t="str">
        <x:f>IF(CaseLedger!$A126="","",IFERROR(CaseLedger!$O126,""))</x:f>
      </x:c>
      <x:c r="G126" s="52" t="str">
        <x:f>IF(CaseLedger!$A126="","",IFERROR(CaseLedger!$E126,""))</x:f>
      </x:c>
      <x:c r="H126" s="52" t="str">
        <x:f>IF(CaseLedger!$A126="","",IFERROR(CaseLedger!$P126,""))</x:f>
      </x:c>
      <x:c r="I126" s="52" t="str">
        <x:f>IF(CaseLedger!$A126="","",IFERROR(CaseLedger!$Q126,""))</x:f>
      </x:c>
      <x:c r="J126" s="52" t="str">
        <x:f>IF(CaseLedger!$A126="","",IFERROR(CaseLedger!$R126,""))</x:f>
      </x:c>
      <x:c r="K126" s="52" t="str">
        <x:f>IF(CaseLedger!$A126="","",IFERROR(CaseLedger!$S126,""))</x:f>
      </x:c>
      <x:c r="L126" s="52" t="str">
        <x:f>IF(CaseLedger!$A126="","",IFERROR(CaseLedger!$T126,""))</x:f>
      </x:c>
      <x:c r="M126" s="52" t="str">
        <x:f>IF(CaseLedger!$A126="","",IFERROR(CaseLedger!$U126,""))</x:f>
      </x:c>
      <x:c r="N126" s="52" t="str">
        <x:f>IF(CaseLedger!$A126="","",IFERROR(CaseLedger!$V126,""))</x:f>
      </x:c>
      <x:c r="O126" s="52" t="str">
        <x:f>IF(CaseLedger!$A126="","",IFERROR(CaseLedger!$W126,""))</x:f>
      </x:c>
      <x:c r="P126" s="52" t="str">
        <x:f>IF(CaseLedger!$A126="","",IFERROR(CaseLedger!$C126,""))</x:f>
      </x:c>
      <x:c r="Q126" s="52" t="str">
        <x:f>IF(CaseLedger!$A126="","",IFERROR(CaseLedger!$D126,""))</x:f>
      </x:c>
      <x:c r="R126" s="52" t="str">
        <x:f>IF(CaseLedger!$A126="","",IFERROR(CaseLedger!$X126,""))</x:f>
      </x:c>
      <x:c r="S126" s="52" t="str">
        <x:f>IF(CaseLedger!$A126="","",IFERROR(CaseLedger!$Y126,""))</x:f>
      </x:c>
      <x:c r="T126" s="52" t="str">
        <x:f>IF(CaseLedger!$A126="","",IFERROR(CaseLedger!$Z126,""))</x:f>
      </x:c>
      <x:c r="U126" s="52" t="str">
        <x:f>IF(CaseLedger!$A126="","",IFERROR(CaseLedger!$AA126,""))</x:f>
      </x:c>
      <x:c r="V126" s="52" t="str">
        <x:f>IF(CaseLedger!$A126="","",IFERROR(CaseLedger!$AB126,""))</x:f>
      </x:c>
      <x:c r="W126" s="52" t="str">
        <x:f>IF(CaseLedger!$A126="","",IFERROR(CaseLedger!$AC126,""))</x:f>
      </x:c>
      <x:c r="X126" s="52" t="str">
        <x:f>IF(CaseLedger!$A126="","",IFERROR(CaseLedger!$AD126,""))</x:f>
      </x:c>
      <x:c r="Y126" s="52" t="str">
        <x:f>IF(CaseLedger!$A126="","",IFERROR(CaseLedger!$AE126,""))</x:f>
      </x:c>
      <x:c r="Z126" s="52" t="str">
        <x:f>IF(CaseLedger!$A126="","",IFERROR(CaseLedger!$AF126,""))</x:f>
      </x:c>
      <x:c r="AA126" s="52" t="str">
        <x:f>IF(CaseLedger!$A126="","",IFERROR(CaseLedger!$AG126,""))</x:f>
      </x:c>
      <x:c r="AB126" s="52" t="str">
        <x:f>IF(CaseLedger!$A126="","",IFERROR(CaseLedger!$AH126,""))</x:f>
      </x:c>
      <x:c r="AC126"/>
    </x:row>
    <x:row r="127">
      <x:c r="A127" s="52" t="str">
        <x:f>IF(CaseLedger!$A127="","",IFERROR(CaseLedger!$A127,""))</x:f>
      </x:c>
      <x:c r="B127" s="52" t="str">
        <x:f>IF(CaseLedger!$A127="","",IFERROR(CaseLedger!$H127,""))</x:f>
      </x:c>
      <x:c r="C127" s="52" t="str">
        <x:f>IF(CaseLedger!$A127="","",IFERROR(CaseLedger!$I127,""))</x:f>
      </x:c>
      <x:c r="D127" s="52" t="str">
        <x:f>IF(CaseLedger!$A127="","",IFERROR(CaseLedger!$J127,""))</x:f>
      </x:c>
      <x:c r="E127" s="52" t="str">
        <x:f>IF(CaseLedger!$A127="","",IFERROR(CaseLedger!$K127,""))</x:f>
      </x:c>
      <x:c r="F127" s="52" t="str">
        <x:f>IF(CaseLedger!$A127="","",IFERROR(CaseLedger!$O127,""))</x:f>
      </x:c>
      <x:c r="G127" s="52" t="str">
        <x:f>IF(CaseLedger!$A127="","",IFERROR(CaseLedger!$E127,""))</x:f>
      </x:c>
      <x:c r="H127" s="52" t="str">
        <x:f>IF(CaseLedger!$A127="","",IFERROR(CaseLedger!$P127,""))</x:f>
      </x:c>
      <x:c r="I127" s="52" t="str">
        <x:f>IF(CaseLedger!$A127="","",IFERROR(CaseLedger!$Q127,""))</x:f>
      </x:c>
      <x:c r="J127" s="52" t="str">
        <x:f>IF(CaseLedger!$A127="","",IFERROR(CaseLedger!$R127,""))</x:f>
      </x:c>
      <x:c r="K127" s="52" t="str">
        <x:f>IF(CaseLedger!$A127="","",IFERROR(CaseLedger!$S127,""))</x:f>
      </x:c>
      <x:c r="L127" s="52" t="str">
        <x:f>IF(CaseLedger!$A127="","",IFERROR(CaseLedger!$T127,""))</x:f>
      </x:c>
      <x:c r="M127" s="52" t="str">
        <x:f>IF(CaseLedger!$A127="","",IFERROR(CaseLedger!$U127,""))</x:f>
      </x:c>
      <x:c r="N127" s="52" t="str">
        <x:f>IF(CaseLedger!$A127="","",IFERROR(CaseLedger!$V127,""))</x:f>
      </x:c>
      <x:c r="O127" s="52" t="str">
        <x:f>IF(CaseLedger!$A127="","",IFERROR(CaseLedger!$W127,""))</x:f>
      </x:c>
      <x:c r="P127" s="52" t="str">
        <x:f>IF(CaseLedger!$A127="","",IFERROR(CaseLedger!$C127,""))</x:f>
      </x:c>
      <x:c r="Q127" s="52" t="str">
        <x:f>IF(CaseLedger!$A127="","",IFERROR(CaseLedger!$D127,""))</x:f>
      </x:c>
      <x:c r="R127" s="52" t="str">
        <x:f>IF(CaseLedger!$A127="","",IFERROR(CaseLedger!$X127,""))</x:f>
      </x:c>
      <x:c r="S127" s="52" t="str">
        <x:f>IF(CaseLedger!$A127="","",IFERROR(CaseLedger!$Y127,""))</x:f>
      </x:c>
      <x:c r="T127" s="52" t="str">
        <x:f>IF(CaseLedger!$A127="","",IFERROR(CaseLedger!$Z127,""))</x:f>
      </x:c>
      <x:c r="U127" s="52" t="str">
        <x:f>IF(CaseLedger!$A127="","",IFERROR(CaseLedger!$AA127,""))</x:f>
      </x:c>
      <x:c r="V127" s="52" t="str">
        <x:f>IF(CaseLedger!$A127="","",IFERROR(CaseLedger!$AB127,""))</x:f>
      </x:c>
      <x:c r="W127" s="52" t="str">
        <x:f>IF(CaseLedger!$A127="","",IFERROR(CaseLedger!$AC127,""))</x:f>
      </x:c>
      <x:c r="X127" s="52" t="str">
        <x:f>IF(CaseLedger!$A127="","",IFERROR(CaseLedger!$AD127,""))</x:f>
      </x:c>
      <x:c r="Y127" s="52" t="str">
        <x:f>IF(CaseLedger!$A127="","",IFERROR(CaseLedger!$AE127,""))</x:f>
      </x:c>
      <x:c r="Z127" s="52" t="str">
        <x:f>IF(CaseLedger!$A127="","",IFERROR(CaseLedger!$AF127,""))</x:f>
      </x:c>
      <x:c r="AA127" s="52" t="str">
        <x:f>IF(CaseLedger!$A127="","",IFERROR(CaseLedger!$AG127,""))</x:f>
      </x:c>
      <x:c r="AB127" s="52" t="str">
        <x:f>IF(CaseLedger!$A127="","",IFERROR(CaseLedger!$AH127,""))</x:f>
      </x:c>
      <x:c r="AC127"/>
    </x:row>
    <x:row r="128">
      <x:c r="A128" s="52" t="str">
        <x:f>IF(CaseLedger!$A128="","",IFERROR(CaseLedger!$A128,""))</x:f>
      </x:c>
      <x:c r="B128" s="52" t="str">
        <x:f>IF(CaseLedger!$A128="","",IFERROR(CaseLedger!$H128,""))</x:f>
      </x:c>
      <x:c r="C128" s="52" t="str">
        <x:f>IF(CaseLedger!$A128="","",IFERROR(CaseLedger!$I128,""))</x:f>
      </x:c>
      <x:c r="D128" s="52" t="str">
        <x:f>IF(CaseLedger!$A128="","",IFERROR(CaseLedger!$J128,""))</x:f>
      </x:c>
      <x:c r="E128" s="52" t="str">
        <x:f>IF(CaseLedger!$A128="","",IFERROR(CaseLedger!$K128,""))</x:f>
      </x:c>
      <x:c r="F128" s="52" t="str">
        <x:f>IF(CaseLedger!$A128="","",IFERROR(CaseLedger!$O128,""))</x:f>
      </x:c>
      <x:c r="G128" s="52" t="str">
        <x:f>IF(CaseLedger!$A128="","",IFERROR(CaseLedger!$E128,""))</x:f>
      </x:c>
      <x:c r="H128" s="52" t="str">
        <x:f>IF(CaseLedger!$A128="","",IFERROR(CaseLedger!$P128,""))</x:f>
      </x:c>
      <x:c r="I128" s="52" t="str">
        <x:f>IF(CaseLedger!$A128="","",IFERROR(CaseLedger!$Q128,""))</x:f>
      </x:c>
      <x:c r="J128" s="52" t="str">
        <x:f>IF(CaseLedger!$A128="","",IFERROR(CaseLedger!$R128,""))</x:f>
      </x:c>
      <x:c r="K128" s="52" t="str">
        <x:f>IF(CaseLedger!$A128="","",IFERROR(CaseLedger!$S128,""))</x:f>
      </x:c>
      <x:c r="L128" s="52" t="str">
        <x:f>IF(CaseLedger!$A128="","",IFERROR(CaseLedger!$T128,""))</x:f>
      </x:c>
      <x:c r="M128" s="52" t="str">
        <x:f>IF(CaseLedger!$A128="","",IFERROR(CaseLedger!$U128,""))</x:f>
      </x:c>
      <x:c r="N128" s="52" t="str">
        <x:f>IF(CaseLedger!$A128="","",IFERROR(CaseLedger!$V128,""))</x:f>
      </x:c>
      <x:c r="O128" s="52" t="str">
        <x:f>IF(CaseLedger!$A128="","",IFERROR(CaseLedger!$W128,""))</x:f>
      </x:c>
      <x:c r="P128" s="52" t="str">
        <x:f>IF(CaseLedger!$A128="","",IFERROR(CaseLedger!$C128,""))</x:f>
      </x:c>
      <x:c r="Q128" s="52" t="str">
        <x:f>IF(CaseLedger!$A128="","",IFERROR(CaseLedger!$D128,""))</x:f>
      </x:c>
      <x:c r="R128" s="52" t="str">
        <x:f>IF(CaseLedger!$A128="","",IFERROR(CaseLedger!$X128,""))</x:f>
      </x:c>
      <x:c r="S128" s="52" t="str">
        <x:f>IF(CaseLedger!$A128="","",IFERROR(CaseLedger!$Y128,""))</x:f>
      </x:c>
      <x:c r="T128" s="52" t="str">
        <x:f>IF(CaseLedger!$A128="","",IFERROR(CaseLedger!$Z128,""))</x:f>
      </x:c>
      <x:c r="U128" s="52" t="str">
        <x:f>IF(CaseLedger!$A128="","",IFERROR(CaseLedger!$AA128,""))</x:f>
      </x:c>
      <x:c r="V128" s="52" t="str">
        <x:f>IF(CaseLedger!$A128="","",IFERROR(CaseLedger!$AB128,""))</x:f>
      </x:c>
      <x:c r="W128" s="52" t="str">
        <x:f>IF(CaseLedger!$A128="","",IFERROR(CaseLedger!$AC128,""))</x:f>
      </x:c>
      <x:c r="X128" s="52" t="str">
        <x:f>IF(CaseLedger!$A128="","",IFERROR(CaseLedger!$AD128,""))</x:f>
      </x:c>
      <x:c r="Y128" s="52" t="str">
        <x:f>IF(CaseLedger!$A128="","",IFERROR(CaseLedger!$AE128,""))</x:f>
      </x:c>
      <x:c r="Z128" s="52" t="str">
        <x:f>IF(CaseLedger!$A128="","",IFERROR(CaseLedger!$AF128,""))</x:f>
      </x:c>
      <x:c r="AA128" s="52" t="str">
        <x:f>IF(CaseLedger!$A128="","",IFERROR(CaseLedger!$AG128,""))</x:f>
      </x:c>
      <x:c r="AB128" s="52" t="str">
        <x:f>IF(CaseLedger!$A128="","",IFERROR(CaseLedger!$AH128,""))</x:f>
      </x:c>
      <x:c r="AC128"/>
    </x:row>
    <x:row r="129">
      <x:c r="A129" s="52" t="str">
        <x:f>IF(CaseLedger!$A129="","",IFERROR(CaseLedger!$A129,""))</x:f>
      </x:c>
      <x:c r="B129" s="52" t="str">
        <x:f>IF(CaseLedger!$A129="","",IFERROR(CaseLedger!$H129,""))</x:f>
      </x:c>
      <x:c r="C129" s="52" t="str">
        <x:f>IF(CaseLedger!$A129="","",IFERROR(CaseLedger!$I129,""))</x:f>
      </x:c>
      <x:c r="D129" s="52" t="str">
        <x:f>IF(CaseLedger!$A129="","",IFERROR(CaseLedger!$J129,""))</x:f>
      </x:c>
      <x:c r="E129" s="52" t="str">
        <x:f>IF(CaseLedger!$A129="","",IFERROR(CaseLedger!$K129,""))</x:f>
      </x:c>
      <x:c r="F129" s="52" t="str">
        <x:f>IF(CaseLedger!$A129="","",IFERROR(CaseLedger!$O129,""))</x:f>
      </x:c>
      <x:c r="G129" s="52" t="str">
        <x:f>IF(CaseLedger!$A129="","",IFERROR(CaseLedger!$E129,""))</x:f>
      </x:c>
      <x:c r="H129" s="52" t="str">
        <x:f>IF(CaseLedger!$A129="","",IFERROR(CaseLedger!$P129,""))</x:f>
      </x:c>
      <x:c r="I129" s="52" t="str">
        <x:f>IF(CaseLedger!$A129="","",IFERROR(CaseLedger!$Q129,""))</x:f>
      </x:c>
      <x:c r="J129" s="52" t="str">
        <x:f>IF(CaseLedger!$A129="","",IFERROR(CaseLedger!$R129,""))</x:f>
      </x:c>
      <x:c r="K129" s="52" t="str">
        <x:f>IF(CaseLedger!$A129="","",IFERROR(CaseLedger!$S129,""))</x:f>
      </x:c>
      <x:c r="L129" s="52" t="str">
        <x:f>IF(CaseLedger!$A129="","",IFERROR(CaseLedger!$T129,""))</x:f>
      </x:c>
      <x:c r="M129" s="52" t="str">
        <x:f>IF(CaseLedger!$A129="","",IFERROR(CaseLedger!$U129,""))</x:f>
      </x:c>
      <x:c r="N129" s="52" t="str">
        <x:f>IF(CaseLedger!$A129="","",IFERROR(CaseLedger!$V129,""))</x:f>
      </x:c>
      <x:c r="O129" s="52" t="str">
        <x:f>IF(CaseLedger!$A129="","",IFERROR(CaseLedger!$W129,""))</x:f>
      </x:c>
      <x:c r="P129" s="52" t="str">
        <x:f>IF(CaseLedger!$A129="","",IFERROR(CaseLedger!$C129,""))</x:f>
      </x:c>
      <x:c r="Q129" s="52" t="str">
        <x:f>IF(CaseLedger!$A129="","",IFERROR(CaseLedger!$D129,""))</x:f>
      </x:c>
      <x:c r="R129" s="52" t="str">
        <x:f>IF(CaseLedger!$A129="","",IFERROR(CaseLedger!$X129,""))</x:f>
      </x:c>
      <x:c r="S129" s="52" t="str">
        <x:f>IF(CaseLedger!$A129="","",IFERROR(CaseLedger!$Y129,""))</x:f>
      </x:c>
      <x:c r="T129" s="52" t="str">
        <x:f>IF(CaseLedger!$A129="","",IFERROR(CaseLedger!$Z129,""))</x:f>
      </x:c>
      <x:c r="U129" s="52" t="str">
        <x:f>IF(CaseLedger!$A129="","",IFERROR(CaseLedger!$AA129,""))</x:f>
      </x:c>
      <x:c r="V129" s="52" t="str">
        <x:f>IF(CaseLedger!$A129="","",IFERROR(CaseLedger!$AB129,""))</x:f>
      </x:c>
      <x:c r="W129" s="52" t="str">
        <x:f>IF(CaseLedger!$A129="","",IFERROR(CaseLedger!$AC129,""))</x:f>
      </x:c>
      <x:c r="X129" s="52" t="str">
        <x:f>IF(CaseLedger!$A129="","",IFERROR(CaseLedger!$AD129,""))</x:f>
      </x:c>
      <x:c r="Y129" s="52" t="str">
        <x:f>IF(CaseLedger!$A129="","",IFERROR(CaseLedger!$AE129,""))</x:f>
      </x:c>
      <x:c r="Z129" s="52" t="str">
        <x:f>IF(CaseLedger!$A129="","",IFERROR(CaseLedger!$AF129,""))</x:f>
      </x:c>
      <x:c r="AA129" s="52" t="str">
        <x:f>IF(CaseLedger!$A129="","",IFERROR(CaseLedger!$AG129,""))</x:f>
      </x:c>
      <x:c r="AB129" s="52" t="str">
        <x:f>IF(CaseLedger!$A129="","",IFERROR(CaseLedger!$AH129,""))</x:f>
      </x:c>
      <x:c r="AC129"/>
    </x:row>
    <x:row r="130">
      <x:c r="A130" s="52" t="str">
        <x:f>IF(CaseLedger!$A130="","",IFERROR(CaseLedger!$A130,""))</x:f>
      </x:c>
      <x:c r="B130" s="52" t="str">
        <x:f>IF(CaseLedger!$A130="","",IFERROR(CaseLedger!$H130,""))</x:f>
      </x:c>
      <x:c r="C130" s="52" t="str">
        <x:f>IF(CaseLedger!$A130="","",IFERROR(CaseLedger!$I130,""))</x:f>
      </x:c>
      <x:c r="D130" s="52" t="str">
        <x:f>IF(CaseLedger!$A130="","",IFERROR(CaseLedger!$J130,""))</x:f>
      </x:c>
      <x:c r="E130" s="52" t="str">
        <x:f>IF(CaseLedger!$A130="","",IFERROR(CaseLedger!$K130,""))</x:f>
      </x:c>
      <x:c r="F130" s="52" t="str">
        <x:f>IF(CaseLedger!$A130="","",IFERROR(CaseLedger!$O130,""))</x:f>
      </x:c>
      <x:c r="G130" s="52" t="str">
        <x:f>IF(CaseLedger!$A130="","",IFERROR(CaseLedger!$E130,""))</x:f>
      </x:c>
      <x:c r="H130" s="52" t="str">
        <x:f>IF(CaseLedger!$A130="","",IFERROR(CaseLedger!$P130,""))</x:f>
      </x:c>
      <x:c r="I130" s="52" t="str">
        <x:f>IF(CaseLedger!$A130="","",IFERROR(CaseLedger!$Q130,""))</x:f>
      </x:c>
      <x:c r="J130" s="52" t="str">
        <x:f>IF(CaseLedger!$A130="","",IFERROR(CaseLedger!$R130,""))</x:f>
      </x:c>
      <x:c r="K130" s="52" t="str">
        <x:f>IF(CaseLedger!$A130="","",IFERROR(CaseLedger!$S130,""))</x:f>
      </x:c>
      <x:c r="L130" s="52" t="str">
        <x:f>IF(CaseLedger!$A130="","",IFERROR(CaseLedger!$T130,""))</x:f>
      </x:c>
      <x:c r="M130" s="52" t="str">
        <x:f>IF(CaseLedger!$A130="","",IFERROR(CaseLedger!$U130,""))</x:f>
      </x:c>
      <x:c r="N130" s="52" t="str">
        <x:f>IF(CaseLedger!$A130="","",IFERROR(CaseLedger!$V130,""))</x:f>
      </x:c>
      <x:c r="O130" s="52" t="str">
        <x:f>IF(CaseLedger!$A130="","",IFERROR(CaseLedger!$W130,""))</x:f>
      </x:c>
      <x:c r="P130" s="52" t="str">
        <x:f>IF(CaseLedger!$A130="","",IFERROR(CaseLedger!$C130,""))</x:f>
      </x:c>
      <x:c r="Q130" s="52" t="str">
        <x:f>IF(CaseLedger!$A130="","",IFERROR(CaseLedger!$D130,""))</x:f>
      </x:c>
      <x:c r="R130" s="52" t="str">
        <x:f>IF(CaseLedger!$A130="","",IFERROR(CaseLedger!$X130,""))</x:f>
      </x:c>
      <x:c r="S130" s="52" t="str">
        <x:f>IF(CaseLedger!$A130="","",IFERROR(CaseLedger!$Y130,""))</x:f>
      </x:c>
      <x:c r="T130" s="52" t="str">
        <x:f>IF(CaseLedger!$A130="","",IFERROR(CaseLedger!$Z130,""))</x:f>
      </x:c>
      <x:c r="U130" s="52" t="str">
        <x:f>IF(CaseLedger!$A130="","",IFERROR(CaseLedger!$AA130,""))</x:f>
      </x:c>
      <x:c r="V130" s="52" t="str">
        <x:f>IF(CaseLedger!$A130="","",IFERROR(CaseLedger!$AB130,""))</x:f>
      </x:c>
      <x:c r="W130" s="52" t="str">
        <x:f>IF(CaseLedger!$A130="","",IFERROR(CaseLedger!$AC130,""))</x:f>
      </x:c>
      <x:c r="X130" s="52" t="str">
        <x:f>IF(CaseLedger!$A130="","",IFERROR(CaseLedger!$AD130,""))</x:f>
      </x:c>
      <x:c r="Y130" s="52" t="str">
        <x:f>IF(CaseLedger!$A130="","",IFERROR(CaseLedger!$AE130,""))</x:f>
      </x:c>
      <x:c r="Z130" s="52" t="str">
        <x:f>IF(CaseLedger!$A130="","",IFERROR(CaseLedger!$AF130,""))</x:f>
      </x:c>
      <x:c r="AA130" s="52" t="str">
        <x:f>IF(CaseLedger!$A130="","",IFERROR(CaseLedger!$AG130,""))</x:f>
      </x:c>
      <x:c r="AB130" s="52" t="str">
        <x:f>IF(CaseLedger!$A130="","",IFERROR(CaseLedger!$AH130,""))</x:f>
      </x:c>
      <x:c r="AC130"/>
    </x:row>
    <x:row r="131">
      <x:c r="A131" s="52" t="str">
        <x:f>IF(CaseLedger!$A131="","",IFERROR(CaseLedger!$A131,""))</x:f>
      </x:c>
      <x:c r="B131" s="52" t="str">
        <x:f>IF(CaseLedger!$A131="","",IFERROR(CaseLedger!$H131,""))</x:f>
      </x:c>
      <x:c r="C131" s="52" t="str">
        <x:f>IF(CaseLedger!$A131="","",IFERROR(CaseLedger!$I131,""))</x:f>
      </x:c>
      <x:c r="D131" s="52" t="str">
        <x:f>IF(CaseLedger!$A131="","",IFERROR(CaseLedger!$J131,""))</x:f>
      </x:c>
      <x:c r="E131" s="52" t="str">
        <x:f>IF(CaseLedger!$A131="","",IFERROR(CaseLedger!$K131,""))</x:f>
      </x:c>
      <x:c r="F131" s="52" t="str">
        <x:f>IF(CaseLedger!$A131="","",IFERROR(CaseLedger!$O131,""))</x:f>
      </x:c>
      <x:c r="G131" s="52" t="str">
        <x:f>IF(CaseLedger!$A131="","",IFERROR(CaseLedger!$E131,""))</x:f>
      </x:c>
      <x:c r="H131" s="52" t="str">
        <x:f>IF(CaseLedger!$A131="","",IFERROR(CaseLedger!$P131,""))</x:f>
      </x:c>
      <x:c r="I131" s="52" t="str">
        <x:f>IF(CaseLedger!$A131="","",IFERROR(CaseLedger!$Q131,""))</x:f>
      </x:c>
      <x:c r="J131" s="52" t="str">
        <x:f>IF(CaseLedger!$A131="","",IFERROR(CaseLedger!$R131,""))</x:f>
      </x:c>
      <x:c r="K131" s="52" t="str">
        <x:f>IF(CaseLedger!$A131="","",IFERROR(CaseLedger!$S131,""))</x:f>
      </x:c>
      <x:c r="L131" s="52" t="str">
        <x:f>IF(CaseLedger!$A131="","",IFERROR(CaseLedger!$T131,""))</x:f>
      </x:c>
      <x:c r="M131" s="52" t="str">
        <x:f>IF(CaseLedger!$A131="","",IFERROR(CaseLedger!$U131,""))</x:f>
      </x:c>
      <x:c r="N131" s="52" t="str">
        <x:f>IF(CaseLedger!$A131="","",IFERROR(CaseLedger!$V131,""))</x:f>
      </x:c>
      <x:c r="O131" s="52" t="str">
        <x:f>IF(CaseLedger!$A131="","",IFERROR(CaseLedger!$W131,""))</x:f>
      </x:c>
      <x:c r="P131" s="52" t="str">
        <x:f>IF(CaseLedger!$A131="","",IFERROR(CaseLedger!$C131,""))</x:f>
      </x:c>
      <x:c r="Q131" s="52" t="str">
        <x:f>IF(CaseLedger!$A131="","",IFERROR(CaseLedger!$D131,""))</x:f>
      </x:c>
      <x:c r="R131" s="52" t="str">
        <x:f>IF(CaseLedger!$A131="","",IFERROR(CaseLedger!$X131,""))</x:f>
      </x:c>
      <x:c r="S131" s="52" t="str">
        <x:f>IF(CaseLedger!$A131="","",IFERROR(CaseLedger!$Y131,""))</x:f>
      </x:c>
      <x:c r="T131" s="52" t="str">
        <x:f>IF(CaseLedger!$A131="","",IFERROR(CaseLedger!$Z131,""))</x:f>
      </x:c>
      <x:c r="U131" s="52" t="str">
        <x:f>IF(CaseLedger!$A131="","",IFERROR(CaseLedger!$AA131,""))</x:f>
      </x:c>
      <x:c r="V131" s="52" t="str">
        <x:f>IF(CaseLedger!$A131="","",IFERROR(CaseLedger!$AB131,""))</x:f>
      </x:c>
      <x:c r="W131" s="52" t="str">
        <x:f>IF(CaseLedger!$A131="","",IFERROR(CaseLedger!$AC131,""))</x:f>
      </x:c>
      <x:c r="X131" s="52" t="str">
        <x:f>IF(CaseLedger!$A131="","",IFERROR(CaseLedger!$AD131,""))</x:f>
      </x:c>
      <x:c r="Y131" s="52" t="str">
        <x:f>IF(CaseLedger!$A131="","",IFERROR(CaseLedger!$AE131,""))</x:f>
      </x:c>
      <x:c r="Z131" s="52" t="str">
        <x:f>IF(CaseLedger!$A131="","",IFERROR(CaseLedger!$AF131,""))</x:f>
      </x:c>
      <x:c r="AA131" s="52" t="str">
        <x:f>IF(CaseLedger!$A131="","",IFERROR(CaseLedger!$AG131,""))</x:f>
      </x:c>
      <x:c r="AB131" s="52" t="str">
        <x:f>IF(CaseLedger!$A131="","",IFERROR(CaseLedger!$AH131,""))</x:f>
      </x:c>
      <x:c r="AC131"/>
    </x:row>
    <x:row r="132">
      <x:c r="A132" s="52" t="str">
        <x:f>IF(CaseLedger!$A132="","",IFERROR(CaseLedger!$A132,""))</x:f>
      </x:c>
      <x:c r="B132" s="52" t="str">
        <x:f>IF(CaseLedger!$A132="","",IFERROR(CaseLedger!$H132,""))</x:f>
      </x:c>
      <x:c r="C132" s="52" t="str">
        <x:f>IF(CaseLedger!$A132="","",IFERROR(CaseLedger!$I132,""))</x:f>
      </x:c>
      <x:c r="D132" s="52" t="str">
        <x:f>IF(CaseLedger!$A132="","",IFERROR(CaseLedger!$J132,""))</x:f>
      </x:c>
      <x:c r="E132" s="52" t="str">
        <x:f>IF(CaseLedger!$A132="","",IFERROR(CaseLedger!$K132,""))</x:f>
      </x:c>
      <x:c r="F132" s="52" t="str">
        <x:f>IF(CaseLedger!$A132="","",IFERROR(CaseLedger!$O132,""))</x:f>
      </x:c>
      <x:c r="G132" s="52" t="str">
        <x:f>IF(CaseLedger!$A132="","",IFERROR(CaseLedger!$E132,""))</x:f>
      </x:c>
      <x:c r="H132" s="52" t="str">
        <x:f>IF(CaseLedger!$A132="","",IFERROR(CaseLedger!$P132,""))</x:f>
      </x:c>
      <x:c r="I132" s="52" t="str">
        <x:f>IF(CaseLedger!$A132="","",IFERROR(CaseLedger!$Q132,""))</x:f>
      </x:c>
      <x:c r="J132" s="52" t="str">
        <x:f>IF(CaseLedger!$A132="","",IFERROR(CaseLedger!$R132,""))</x:f>
      </x:c>
      <x:c r="K132" s="52" t="str">
        <x:f>IF(CaseLedger!$A132="","",IFERROR(CaseLedger!$S132,""))</x:f>
      </x:c>
      <x:c r="L132" s="52" t="str">
        <x:f>IF(CaseLedger!$A132="","",IFERROR(CaseLedger!$T132,""))</x:f>
      </x:c>
      <x:c r="M132" s="52" t="str">
        <x:f>IF(CaseLedger!$A132="","",IFERROR(CaseLedger!$U132,""))</x:f>
      </x:c>
      <x:c r="N132" s="52" t="str">
        <x:f>IF(CaseLedger!$A132="","",IFERROR(CaseLedger!$V132,""))</x:f>
      </x:c>
      <x:c r="O132" s="52" t="str">
        <x:f>IF(CaseLedger!$A132="","",IFERROR(CaseLedger!$W132,""))</x:f>
      </x:c>
      <x:c r="P132" s="52" t="str">
        <x:f>IF(CaseLedger!$A132="","",IFERROR(CaseLedger!$C132,""))</x:f>
      </x:c>
      <x:c r="Q132" s="52" t="str">
        <x:f>IF(CaseLedger!$A132="","",IFERROR(CaseLedger!$D132,""))</x:f>
      </x:c>
      <x:c r="R132" s="52" t="str">
        <x:f>IF(CaseLedger!$A132="","",IFERROR(CaseLedger!$X132,""))</x:f>
      </x:c>
      <x:c r="S132" s="52" t="str">
        <x:f>IF(CaseLedger!$A132="","",IFERROR(CaseLedger!$Y132,""))</x:f>
      </x:c>
      <x:c r="T132" s="52" t="str">
        <x:f>IF(CaseLedger!$A132="","",IFERROR(CaseLedger!$Z132,""))</x:f>
      </x:c>
      <x:c r="U132" s="52" t="str">
        <x:f>IF(CaseLedger!$A132="","",IFERROR(CaseLedger!$AA132,""))</x:f>
      </x:c>
      <x:c r="V132" s="52" t="str">
        <x:f>IF(CaseLedger!$A132="","",IFERROR(CaseLedger!$AB132,""))</x:f>
      </x:c>
      <x:c r="W132" s="52" t="str">
        <x:f>IF(CaseLedger!$A132="","",IFERROR(CaseLedger!$AC132,""))</x:f>
      </x:c>
      <x:c r="X132" s="52" t="str">
        <x:f>IF(CaseLedger!$A132="","",IFERROR(CaseLedger!$AD132,""))</x:f>
      </x:c>
      <x:c r="Y132" s="52" t="str">
        <x:f>IF(CaseLedger!$A132="","",IFERROR(CaseLedger!$AE132,""))</x:f>
      </x:c>
      <x:c r="Z132" s="52" t="str">
        <x:f>IF(CaseLedger!$A132="","",IFERROR(CaseLedger!$AF132,""))</x:f>
      </x:c>
      <x:c r="AA132" s="52" t="str">
        <x:f>IF(CaseLedger!$A132="","",IFERROR(CaseLedger!$AG132,""))</x:f>
      </x:c>
      <x:c r="AB132" s="52" t="str">
        <x:f>IF(CaseLedger!$A132="","",IFERROR(CaseLedger!$AH132,""))</x:f>
      </x:c>
      <x:c r="AC132"/>
    </x:row>
    <x:row r="133">
      <x:c r="A133" s="52" t="str">
        <x:f>IF(CaseLedger!$A133="","",IFERROR(CaseLedger!$A133,""))</x:f>
      </x:c>
      <x:c r="B133" s="52" t="str">
        <x:f>IF(CaseLedger!$A133="","",IFERROR(CaseLedger!$H133,""))</x:f>
      </x:c>
      <x:c r="C133" s="52" t="str">
        <x:f>IF(CaseLedger!$A133="","",IFERROR(CaseLedger!$I133,""))</x:f>
      </x:c>
      <x:c r="D133" s="52" t="str">
        <x:f>IF(CaseLedger!$A133="","",IFERROR(CaseLedger!$J133,""))</x:f>
      </x:c>
      <x:c r="E133" s="52" t="str">
        <x:f>IF(CaseLedger!$A133="","",IFERROR(CaseLedger!$K133,""))</x:f>
      </x:c>
      <x:c r="F133" s="52" t="str">
        <x:f>IF(CaseLedger!$A133="","",IFERROR(CaseLedger!$O133,""))</x:f>
      </x:c>
      <x:c r="G133" s="52" t="str">
        <x:f>IF(CaseLedger!$A133="","",IFERROR(CaseLedger!$E133,""))</x:f>
      </x:c>
      <x:c r="H133" s="52" t="str">
        <x:f>IF(CaseLedger!$A133="","",IFERROR(CaseLedger!$P133,""))</x:f>
      </x:c>
      <x:c r="I133" s="52" t="str">
        <x:f>IF(CaseLedger!$A133="","",IFERROR(CaseLedger!$Q133,""))</x:f>
      </x:c>
      <x:c r="J133" s="52" t="str">
        <x:f>IF(CaseLedger!$A133="","",IFERROR(CaseLedger!$R133,""))</x:f>
      </x:c>
      <x:c r="K133" s="52" t="str">
        <x:f>IF(CaseLedger!$A133="","",IFERROR(CaseLedger!$S133,""))</x:f>
      </x:c>
      <x:c r="L133" s="52" t="str">
        <x:f>IF(CaseLedger!$A133="","",IFERROR(CaseLedger!$T133,""))</x:f>
      </x:c>
      <x:c r="M133" s="52" t="str">
        <x:f>IF(CaseLedger!$A133="","",IFERROR(CaseLedger!$U133,""))</x:f>
      </x:c>
      <x:c r="N133" s="52" t="str">
        <x:f>IF(CaseLedger!$A133="","",IFERROR(CaseLedger!$V133,""))</x:f>
      </x:c>
      <x:c r="O133" s="52" t="str">
        <x:f>IF(CaseLedger!$A133="","",IFERROR(CaseLedger!$W133,""))</x:f>
      </x:c>
      <x:c r="P133" s="52" t="str">
        <x:f>IF(CaseLedger!$A133="","",IFERROR(CaseLedger!$C133,""))</x:f>
      </x:c>
      <x:c r="Q133" s="52" t="str">
        <x:f>IF(CaseLedger!$A133="","",IFERROR(CaseLedger!$D133,""))</x:f>
      </x:c>
      <x:c r="R133" s="52" t="str">
        <x:f>IF(CaseLedger!$A133="","",IFERROR(CaseLedger!$X133,""))</x:f>
      </x:c>
      <x:c r="S133" s="52" t="str">
        <x:f>IF(CaseLedger!$A133="","",IFERROR(CaseLedger!$Y133,""))</x:f>
      </x:c>
      <x:c r="T133" s="52" t="str">
        <x:f>IF(CaseLedger!$A133="","",IFERROR(CaseLedger!$Z133,""))</x:f>
      </x:c>
      <x:c r="U133" s="52" t="str">
        <x:f>IF(CaseLedger!$A133="","",IFERROR(CaseLedger!$AA133,""))</x:f>
      </x:c>
      <x:c r="V133" s="52" t="str">
        <x:f>IF(CaseLedger!$A133="","",IFERROR(CaseLedger!$AB133,""))</x:f>
      </x:c>
      <x:c r="W133" s="52" t="str">
        <x:f>IF(CaseLedger!$A133="","",IFERROR(CaseLedger!$AC133,""))</x:f>
      </x:c>
      <x:c r="X133" s="52" t="str">
        <x:f>IF(CaseLedger!$A133="","",IFERROR(CaseLedger!$AD133,""))</x:f>
      </x:c>
      <x:c r="Y133" s="52" t="str">
        <x:f>IF(CaseLedger!$A133="","",IFERROR(CaseLedger!$AE133,""))</x:f>
      </x:c>
      <x:c r="Z133" s="52" t="str">
        <x:f>IF(CaseLedger!$A133="","",IFERROR(CaseLedger!$AF133,""))</x:f>
      </x:c>
      <x:c r="AA133" s="52" t="str">
        <x:f>IF(CaseLedger!$A133="","",IFERROR(CaseLedger!$AG133,""))</x:f>
      </x:c>
      <x:c r="AB133" s="52" t="str">
        <x:f>IF(CaseLedger!$A133="","",IFERROR(CaseLedger!$AH133,""))</x:f>
      </x:c>
      <x:c r="AC133"/>
    </x:row>
    <x:row r="134">
      <x:c r="A134" s="52" t="str">
        <x:f>IF(CaseLedger!$A134="","",IFERROR(CaseLedger!$A134,""))</x:f>
      </x:c>
      <x:c r="B134" s="52" t="str">
        <x:f>IF(CaseLedger!$A134="","",IFERROR(CaseLedger!$H134,""))</x:f>
      </x:c>
      <x:c r="C134" s="52" t="str">
        <x:f>IF(CaseLedger!$A134="","",IFERROR(CaseLedger!$I134,""))</x:f>
      </x:c>
      <x:c r="D134" s="52" t="str">
        <x:f>IF(CaseLedger!$A134="","",IFERROR(CaseLedger!$J134,""))</x:f>
      </x:c>
      <x:c r="E134" s="52" t="str">
        <x:f>IF(CaseLedger!$A134="","",IFERROR(CaseLedger!$K134,""))</x:f>
      </x:c>
      <x:c r="F134" s="52" t="str">
        <x:f>IF(CaseLedger!$A134="","",IFERROR(CaseLedger!$O134,""))</x:f>
      </x:c>
      <x:c r="G134" s="52" t="str">
        <x:f>IF(CaseLedger!$A134="","",IFERROR(CaseLedger!$E134,""))</x:f>
      </x:c>
      <x:c r="H134" s="52" t="str">
        <x:f>IF(CaseLedger!$A134="","",IFERROR(CaseLedger!$P134,""))</x:f>
      </x:c>
      <x:c r="I134" s="52" t="str">
        <x:f>IF(CaseLedger!$A134="","",IFERROR(CaseLedger!$Q134,""))</x:f>
      </x:c>
      <x:c r="J134" s="52" t="str">
        <x:f>IF(CaseLedger!$A134="","",IFERROR(CaseLedger!$R134,""))</x:f>
      </x:c>
      <x:c r="K134" s="52" t="str">
        <x:f>IF(CaseLedger!$A134="","",IFERROR(CaseLedger!$S134,""))</x:f>
      </x:c>
      <x:c r="L134" s="52" t="str">
        <x:f>IF(CaseLedger!$A134="","",IFERROR(CaseLedger!$T134,""))</x:f>
      </x:c>
      <x:c r="M134" s="52" t="str">
        <x:f>IF(CaseLedger!$A134="","",IFERROR(CaseLedger!$U134,""))</x:f>
      </x:c>
      <x:c r="N134" s="52" t="str">
        <x:f>IF(CaseLedger!$A134="","",IFERROR(CaseLedger!$V134,""))</x:f>
      </x:c>
      <x:c r="O134" s="52" t="str">
        <x:f>IF(CaseLedger!$A134="","",IFERROR(CaseLedger!$W134,""))</x:f>
      </x:c>
      <x:c r="P134" s="52" t="str">
        <x:f>IF(CaseLedger!$A134="","",IFERROR(CaseLedger!$C134,""))</x:f>
      </x:c>
      <x:c r="Q134" s="52" t="str">
        <x:f>IF(CaseLedger!$A134="","",IFERROR(CaseLedger!$D134,""))</x:f>
      </x:c>
      <x:c r="R134" s="52" t="str">
        <x:f>IF(CaseLedger!$A134="","",IFERROR(CaseLedger!$X134,""))</x:f>
      </x:c>
      <x:c r="S134" s="52" t="str">
        <x:f>IF(CaseLedger!$A134="","",IFERROR(CaseLedger!$Y134,""))</x:f>
      </x:c>
      <x:c r="T134" s="52" t="str">
        <x:f>IF(CaseLedger!$A134="","",IFERROR(CaseLedger!$Z134,""))</x:f>
      </x:c>
      <x:c r="U134" s="52" t="str">
        <x:f>IF(CaseLedger!$A134="","",IFERROR(CaseLedger!$AA134,""))</x:f>
      </x:c>
      <x:c r="V134" s="52" t="str">
        <x:f>IF(CaseLedger!$A134="","",IFERROR(CaseLedger!$AB134,""))</x:f>
      </x:c>
      <x:c r="W134" s="52" t="str">
        <x:f>IF(CaseLedger!$A134="","",IFERROR(CaseLedger!$AC134,""))</x:f>
      </x:c>
      <x:c r="X134" s="52" t="str">
        <x:f>IF(CaseLedger!$A134="","",IFERROR(CaseLedger!$AD134,""))</x:f>
      </x:c>
      <x:c r="Y134" s="52" t="str">
        <x:f>IF(CaseLedger!$A134="","",IFERROR(CaseLedger!$AE134,""))</x:f>
      </x:c>
      <x:c r="Z134" s="52" t="str">
        <x:f>IF(CaseLedger!$A134="","",IFERROR(CaseLedger!$AF134,""))</x:f>
      </x:c>
      <x:c r="AA134" s="52" t="str">
        <x:f>IF(CaseLedger!$A134="","",IFERROR(CaseLedger!$AG134,""))</x:f>
      </x:c>
      <x:c r="AB134" s="52" t="str">
        <x:f>IF(CaseLedger!$A134="","",IFERROR(CaseLedger!$AH134,""))</x:f>
      </x:c>
      <x:c r="AC134"/>
    </x:row>
    <x:row r="135">
      <x:c r="A135" s="52" t="str">
        <x:f>IF(CaseLedger!$A135="","",IFERROR(CaseLedger!$A135,""))</x:f>
      </x:c>
      <x:c r="B135" s="52" t="str">
        <x:f>IF(CaseLedger!$A135="","",IFERROR(CaseLedger!$H135,""))</x:f>
      </x:c>
      <x:c r="C135" s="52" t="str">
        <x:f>IF(CaseLedger!$A135="","",IFERROR(CaseLedger!$I135,""))</x:f>
      </x:c>
      <x:c r="D135" s="52" t="str">
        <x:f>IF(CaseLedger!$A135="","",IFERROR(CaseLedger!$J135,""))</x:f>
      </x:c>
      <x:c r="E135" s="52" t="str">
        <x:f>IF(CaseLedger!$A135="","",IFERROR(CaseLedger!$K135,""))</x:f>
      </x:c>
      <x:c r="F135" s="52" t="str">
        <x:f>IF(CaseLedger!$A135="","",IFERROR(CaseLedger!$O135,""))</x:f>
      </x:c>
      <x:c r="G135" s="52" t="str">
        <x:f>IF(CaseLedger!$A135="","",IFERROR(CaseLedger!$E135,""))</x:f>
      </x:c>
      <x:c r="H135" s="52" t="str">
        <x:f>IF(CaseLedger!$A135="","",IFERROR(CaseLedger!$P135,""))</x:f>
      </x:c>
      <x:c r="I135" s="52" t="str">
        <x:f>IF(CaseLedger!$A135="","",IFERROR(CaseLedger!$Q135,""))</x:f>
      </x:c>
      <x:c r="J135" s="52" t="str">
        <x:f>IF(CaseLedger!$A135="","",IFERROR(CaseLedger!$R135,""))</x:f>
      </x:c>
      <x:c r="K135" s="52" t="str">
        <x:f>IF(CaseLedger!$A135="","",IFERROR(CaseLedger!$S135,""))</x:f>
      </x:c>
      <x:c r="L135" s="52" t="str">
        <x:f>IF(CaseLedger!$A135="","",IFERROR(CaseLedger!$T135,""))</x:f>
      </x:c>
      <x:c r="M135" s="52" t="str">
        <x:f>IF(CaseLedger!$A135="","",IFERROR(CaseLedger!$U135,""))</x:f>
      </x:c>
      <x:c r="N135" s="52" t="str">
        <x:f>IF(CaseLedger!$A135="","",IFERROR(CaseLedger!$V135,""))</x:f>
      </x:c>
      <x:c r="O135" s="52" t="str">
        <x:f>IF(CaseLedger!$A135="","",IFERROR(CaseLedger!$W135,""))</x:f>
      </x:c>
      <x:c r="P135" s="52" t="str">
        <x:f>IF(CaseLedger!$A135="","",IFERROR(CaseLedger!$C135,""))</x:f>
      </x:c>
      <x:c r="Q135" s="52" t="str">
        <x:f>IF(CaseLedger!$A135="","",IFERROR(CaseLedger!$D135,""))</x:f>
      </x:c>
      <x:c r="R135" s="52" t="str">
        <x:f>IF(CaseLedger!$A135="","",IFERROR(CaseLedger!$X135,""))</x:f>
      </x:c>
      <x:c r="S135" s="52" t="str">
        <x:f>IF(CaseLedger!$A135="","",IFERROR(CaseLedger!$Y135,""))</x:f>
      </x:c>
      <x:c r="T135" s="52" t="str">
        <x:f>IF(CaseLedger!$A135="","",IFERROR(CaseLedger!$Z135,""))</x:f>
      </x:c>
      <x:c r="U135" s="52" t="str">
        <x:f>IF(CaseLedger!$A135="","",IFERROR(CaseLedger!$AA135,""))</x:f>
      </x:c>
      <x:c r="V135" s="52" t="str">
        <x:f>IF(CaseLedger!$A135="","",IFERROR(CaseLedger!$AB135,""))</x:f>
      </x:c>
      <x:c r="W135" s="52" t="str">
        <x:f>IF(CaseLedger!$A135="","",IFERROR(CaseLedger!$AC135,""))</x:f>
      </x:c>
      <x:c r="X135" s="52" t="str">
        <x:f>IF(CaseLedger!$A135="","",IFERROR(CaseLedger!$AD135,""))</x:f>
      </x:c>
      <x:c r="Y135" s="52" t="str">
        <x:f>IF(CaseLedger!$A135="","",IFERROR(CaseLedger!$AE135,""))</x:f>
      </x:c>
      <x:c r="Z135" s="52" t="str">
        <x:f>IF(CaseLedger!$A135="","",IFERROR(CaseLedger!$AF135,""))</x:f>
      </x:c>
      <x:c r="AA135" s="52" t="str">
        <x:f>IF(CaseLedger!$A135="","",IFERROR(CaseLedger!$AG135,""))</x:f>
      </x:c>
      <x:c r="AB135" s="52" t="str">
        <x:f>IF(CaseLedger!$A135="","",IFERROR(CaseLedger!$AH135,""))</x:f>
      </x:c>
      <x:c r="AC135"/>
    </x:row>
    <x:row r="136">
      <x:c r="A136" s="52" t="str">
        <x:f>IF(CaseLedger!$A136="","",IFERROR(CaseLedger!$A136,""))</x:f>
      </x:c>
      <x:c r="B136" s="52" t="str">
        <x:f>IF(CaseLedger!$A136="","",IFERROR(CaseLedger!$H136,""))</x:f>
      </x:c>
      <x:c r="C136" s="52" t="str">
        <x:f>IF(CaseLedger!$A136="","",IFERROR(CaseLedger!$I136,""))</x:f>
      </x:c>
      <x:c r="D136" s="52" t="str">
        <x:f>IF(CaseLedger!$A136="","",IFERROR(CaseLedger!$J136,""))</x:f>
      </x:c>
      <x:c r="E136" s="52" t="str">
        <x:f>IF(CaseLedger!$A136="","",IFERROR(CaseLedger!$K136,""))</x:f>
      </x:c>
      <x:c r="F136" s="52" t="str">
        <x:f>IF(CaseLedger!$A136="","",IFERROR(CaseLedger!$O136,""))</x:f>
      </x:c>
      <x:c r="G136" s="52" t="str">
        <x:f>IF(CaseLedger!$A136="","",IFERROR(CaseLedger!$E136,""))</x:f>
      </x:c>
      <x:c r="H136" s="52" t="str">
        <x:f>IF(CaseLedger!$A136="","",IFERROR(CaseLedger!$P136,""))</x:f>
      </x:c>
      <x:c r="I136" s="52" t="str">
        <x:f>IF(CaseLedger!$A136="","",IFERROR(CaseLedger!$Q136,""))</x:f>
      </x:c>
      <x:c r="J136" s="52" t="str">
        <x:f>IF(CaseLedger!$A136="","",IFERROR(CaseLedger!$R136,""))</x:f>
      </x:c>
      <x:c r="K136" s="52" t="str">
        <x:f>IF(CaseLedger!$A136="","",IFERROR(CaseLedger!$S136,""))</x:f>
      </x:c>
      <x:c r="L136" s="52" t="str">
        <x:f>IF(CaseLedger!$A136="","",IFERROR(CaseLedger!$T136,""))</x:f>
      </x:c>
      <x:c r="M136" s="52" t="str">
        <x:f>IF(CaseLedger!$A136="","",IFERROR(CaseLedger!$U136,""))</x:f>
      </x:c>
      <x:c r="N136" s="52" t="str">
        <x:f>IF(CaseLedger!$A136="","",IFERROR(CaseLedger!$V136,""))</x:f>
      </x:c>
      <x:c r="O136" s="52" t="str">
        <x:f>IF(CaseLedger!$A136="","",IFERROR(CaseLedger!$W136,""))</x:f>
      </x:c>
      <x:c r="P136" s="52" t="str">
        <x:f>IF(CaseLedger!$A136="","",IFERROR(CaseLedger!$C136,""))</x:f>
      </x:c>
      <x:c r="Q136" s="52" t="str">
        <x:f>IF(CaseLedger!$A136="","",IFERROR(CaseLedger!$D136,""))</x:f>
      </x:c>
      <x:c r="R136" s="52" t="str">
        <x:f>IF(CaseLedger!$A136="","",IFERROR(CaseLedger!$X136,""))</x:f>
      </x:c>
      <x:c r="S136" s="52" t="str">
        <x:f>IF(CaseLedger!$A136="","",IFERROR(CaseLedger!$Y136,""))</x:f>
      </x:c>
      <x:c r="T136" s="52" t="str">
        <x:f>IF(CaseLedger!$A136="","",IFERROR(CaseLedger!$Z136,""))</x:f>
      </x:c>
      <x:c r="U136" s="52" t="str">
        <x:f>IF(CaseLedger!$A136="","",IFERROR(CaseLedger!$AA136,""))</x:f>
      </x:c>
      <x:c r="V136" s="52" t="str">
        <x:f>IF(CaseLedger!$A136="","",IFERROR(CaseLedger!$AB136,""))</x:f>
      </x:c>
      <x:c r="W136" s="52" t="str">
        <x:f>IF(CaseLedger!$A136="","",IFERROR(CaseLedger!$AC136,""))</x:f>
      </x:c>
      <x:c r="X136" s="52" t="str">
        <x:f>IF(CaseLedger!$A136="","",IFERROR(CaseLedger!$AD136,""))</x:f>
      </x:c>
      <x:c r="Y136" s="52" t="str">
        <x:f>IF(CaseLedger!$A136="","",IFERROR(CaseLedger!$AE136,""))</x:f>
      </x:c>
      <x:c r="Z136" s="52" t="str">
        <x:f>IF(CaseLedger!$A136="","",IFERROR(CaseLedger!$AF136,""))</x:f>
      </x:c>
      <x:c r="AA136" s="52" t="str">
        <x:f>IF(CaseLedger!$A136="","",IFERROR(CaseLedger!$AG136,""))</x:f>
      </x:c>
      <x:c r="AB136" s="52" t="str">
        <x:f>IF(CaseLedger!$A136="","",IFERROR(CaseLedger!$AH136,""))</x:f>
      </x:c>
      <x:c r="AC136"/>
    </x:row>
    <x:row r="137">
      <x:c r="A137" s="52" t="str">
        <x:f>IF(CaseLedger!$A137="","",IFERROR(CaseLedger!$A137,""))</x:f>
      </x:c>
      <x:c r="B137" s="52" t="str">
        <x:f>IF(CaseLedger!$A137="","",IFERROR(CaseLedger!$H137,""))</x:f>
      </x:c>
      <x:c r="C137" s="52" t="str">
        <x:f>IF(CaseLedger!$A137="","",IFERROR(CaseLedger!$I137,""))</x:f>
      </x:c>
      <x:c r="D137" s="52" t="str">
        <x:f>IF(CaseLedger!$A137="","",IFERROR(CaseLedger!$J137,""))</x:f>
      </x:c>
      <x:c r="E137" s="52" t="str">
        <x:f>IF(CaseLedger!$A137="","",IFERROR(CaseLedger!$K137,""))</x:f>
      </x:c>
      <x:c r="F137" s="52" t="str">
        <x:f>IF(CaseLedger!$A137="","",IFERROR(CaseLedger!$O137,""))</x:f>
      </x:c>
      <x:c r="G137" s="52" t="str">
        <x:f>IF(CaseLedger!$A137="","",IFERROR(CaseLedger!$E137,""))</x:f>
      </x:c>
      <x:c r="H137" s="52" t="str">
        <x:f>IF(CaseLedger!$A137="","",IFERROR(CaseLedger!$P137,""))</x:f>
      </x:c>
      <x:c r="I137" s="52" t="str">
        <x:f>IF(CaseLedger!$A137="","",IFERROR(CaseLedger!$Q137,""))</x:f>
      </x:c>
      <x:c r="J137" s="52" t="str">
        <x:f>IF(CaseLedger!$A137="","",IFERROR(CaseLedger!$R137,""))</x:f>
      </x:c>
      <x:c r="K137" s="52" t="str">
        <x:f>IF(CaseLedger!$A137="","",IFERROR(CaseLedger!$S137,""))</x:f>
      </x:c>
      <x:c r="L137" s="52" t="str">
        <x:f>IF(CaseLedger!$A137="","",IFERROR(CaseLedger!$T137,""))</x:f>
      </x:c>
      <x:c r="M137" s="52" t="str">
        <x:f>IF(CaseLedger!$A137="","",IFERROR(CaseLedger!$U137,""))</x:f>
      </x:c>
      <x:c r="N137" s="52" t="str">
        <x:f>IF(CaseLedger!$A137="","",IFERROR(CaseLedger!$V137,""))</x:f>
      </x:c>
      <x:c r="O137" s="52" t="str">
        <x:f>IF(CaseLedger!$A137="","",IFERROR(CaseLedger!$W137,""))</x:f>
      </x:c>
      <x:c r="P137" s="52" t="str">
        <x:f>IF(CaseLedger!$A137="","",IFERROR(CaseLedger!$C137,""))</x:f>
      </x:c>
      <x:c r="Q137" s="52" t="str">
        <x:f>IF(CaseLedger!$A137="","",IFERROR(CaseLedger!$D137,""))</x:f>
      </x:c>
      <x:c r="R137" s="52" t="str">
        <x:f>IF(CaseLedger!$A137="","",IFERROR(CaseLedger!$X137,""))</x:f>
      </x:c>
      <x:c r="S137" s="52" t="str">
        <x:f>IF(CaseLedger!$A137="","",IFERROR(CaseLedger!$Y137,""))</x:f>
      </x:c>
      <x:c r="T137" s="52" t="str">
        <x:f>IF(CaseLedger!$A137="","",IFERROR(CaseLedger!$Z137,""))</x:f>
      </x:c>
      <x:c r="U137" s="52" t="str">
        <x:f>IF(CaseLedger!$A137="","",IFERROR(CaseLedger!$AA137,""))</x:f>
      </x:c>
      <x:c r="V137" s="52" t="str">
        <x:f>IF(CaseLedger!$A137="","",IFERROR(CaseLedger!$AB137,""))</x:f>
      </x:c>
      <x:c r="W137" s="52" t="str">
        <x:f>IF(CaseLedger!$A137="","",IFERROR(CaseLedger!$AC137,""))</x:f>
      </x:c>
      <x:c r="X137" s="52" t="str">
        <x:f>IF(CaseLedger!$A137="","",IFERROR(CaseLedger!$AD137,""))</x:f>
      </x:c>
      <x:c r="Y137" s="52" t="str">
        <x:f>IF(CaseLedger!$A137="","",IFERROR(CaseLedger!$AE137,""))</x:f>
      </x:c>
      <x:c r="Z137" s="52" t="str">
        <x:f>IF(CaseLedger!$A137="","",IFERROR(CaseLedger!$AF137,""))</x:f>
      </x:c>
      <x:c r="AA137" s="52" t="str">
        <x:f>IF(CaseLedger!$A137="","",IFERROR(CaseLedger!$AG137,""))</x:f>
      </x:c>
      <x:c r="AB137" s="52" t="str">
        <x:f>IF(CaseLedger!$A137="","",IFERROR(CaseLedger!$AH137,""))</x:f>
      </x:c>
      <x:c r="AC137"/>
    </x:row>
    <x:row r="138">
      <x:c r="A138" s="52" t="str">
        <x:f>IF(CaseLedger!$A138="","",IFERROR(CaseLedger!$A138,""))</x:f>
      </x:c>
      <x:c r="B138" s="52" t="str">
        <x:f>IF(CaseLedger!$A138="","",IFERROR(CaseLedger!$H138,""))</x:f>
      </x:c>
      <x:c r="C138" s="52" t="str">
        <x:f>IF(CaseLedger!$A138="","",IFERROR(CaseLedger!$I138,""))</x:f>
      </x:c>
      <x:c r="D138" s="52" t="str">
        <x:f>IF(CaseLedger!$A138="","",IFERROR(CaseLedger!$J138,""))</x:f>
      </x:c>
      <x:c r="E138" s="52" t="str">
        <x:f>IF(CaseLedger!$A138="","",IFERROR(CaseLedger!$K138,""))</x:f>
      </x:c>
      <x:c r="F138" s="52" t="str">
        <x:f>IF(CaseLedger!$A138="","",IFERROR(CaseLedger!$O138,""))</x:f>
      </x:c>
      <x:c r="G138" s="52" t="str">
        <x:f>IF(CaseLedger!$A138="","",IFERROR(CaseLedger!$E138,""))</x:f>
      </x:c>
      <x:c r="H138" s="52" t="str">
        <x:f>IF(CaseLedger!$A138="","",IFERROR(CaseLedger!$P138,""))</x:f>
      </x:c>
      <x:c r="I138" s="52" t="str">
        <x:f>IF(CaseLedger!$A138="","",IFERROR(CaseLedger!$Q138,""))</x:f>
      </x:c>
      <x:c r="J138" s="52" t="str">
        <x:f>IF(CaseLedger!$A138="","",IFERROR(CaseLedger!$R138,""))</x:f>
      </x:c>
      <x:c r="K138" s="52" t="str">
        <x:f>IF(CaseLedger!$A138="","",IFERROR(CaseLedger!$S138,""))</x:f>
      </x:c>
      <x:c r="L138" s="52" t="str">
        <x:f>IF(CaseLedger!$A138="","",IFERROR(CaseLedger!$T138,""))</x:f>
      </x:c>
      <x:c r="M138" s="52" t="str">
        <x:f>IF(CaseLedger!$A138="","",IFERROR(CaseLedger!$U138,""))</x:f>
      </x:c>
      <x:c r="N138" s="52" t="str">
        <x:f>IF(CaseLedger!$A138="","",IFERROR(CaseLedger!$V138,""))</x:f>
      </x:c>
      <x:c r="O138" s="52" t="str">
        <x:f>IF(CaseLedger!$A138="","",IFERROR(CaseLedger!$W138,""))</x:f>
      </x:c>
      <x:c r="P138" s="52" t="str">
        <x:f>IF(CaseLedger!$A138="","",IFERROR(CaseLedger!$C138,""))</x:f>
      </x:c>
      <x:c r="Q138" s="52" t="str">
        <x:f>IF(CaseLedger!$A138="","",IFERROR(CaseLedger!$D138,""))</x:f>
      </x:c>
      <x:c r="R138" s="52" t="str">
        <x:f>IF(CaseLedger!$A138="","",IFERROR(CaseLedger!$X138,""))</x:f>
      </x:c>
      <x:c r="S138" s="52" t="str">
        <x:f>IF(CaseLedger!$A138="","",IFERROR(CaseLedger!$Y138,""))</x:f>
      </x:c>
      <x:c r="T138" s="52" t="str">
        <x:f>IF(CaseLedger!$A138="","",IFERROR(CaseLedger!$Z138,""))</x:f>
      </x:c>
      <x:c r="U138" s="52" t="str">
        <x:f>IF(CaseLedger!$A138="","",IFERROR(CaseLedger!$AA138,""))</x:f>
      </x:c>
      <x:c r="V138" s="52" t="str">
        <x:f>IF(CaseLedger!$A138="","",IFERROR(CaseLedger!$AB138,""))</x:f>
      </x:c>
      <x:c r="W138" s="52" t="str">
        <x:f>IF(CaseLedger!$A138="","",IFERROR(CaseLedger!$AC138,""))</x:f>
      </x:c>
      <x:c r="X138" s="52" t="str">
        <x:f>IF(CaseLedger!$A138="","",IFERROR(CaseLedger!$AD138,""))</x:f>
      </x:c>
      <x:c r="Y138" s="52" t="str">
        <x:f>IF(CaseLedger!$A138="","",IFERROR(CaseLedger!$AE138,""))</x:f>
      </x:c>
      <x:c r="Z138" s="52" t="str">
        <x:f>IF(CaseLedger!$A138="","",IFERROR(CaseLedger!$AF138,""))</x:f>
      </x:c>
      <x:c r="AA138" s="52" t="str">
        <x:f>IF(CaseLedger!$A138="","",IFERROR(CaseLedger!$AG138,""))</x:f>
      </x:c>
      <x:c r="AB138" s="52" t="str">
        <x:f>IF(CaseLedger!$A138="","",IFERROR(CaseLedger!$AH138,""))</x:f>
      </x:c>
      <x:c r="AC138"/>
    </x:row>
    <x:row r="139">
      <x:c r="A139" s="52" t="str">
        <x:f>IF(CaseLedger!$A139="","",IFERROR(CaseLedger!$A139,""))</x:f>
      </x:c>
      <x:c r="B139" s="52" t="str">
        <x:f>IF(CaseLedger!$A139="","",IFERROR(CaseLedger!$H139,""))</x:f>
      </x:c>
      <x:c r="C139" s="52" t="str">
        <x:f>IF(CaseLedger!$A139="","",IFERROR(CaseLedger!$I139,""))</x:f>
      </x:c>
      <x:c r="D139" s="52" t="str">
        <x:f>IF(CaseLedger!$A139="","",IFERROR(CaseLedger!$J139,""))</x:f>
      </x:c>
      <x:c r="E139" s="52" t="str">
        <x:f>IF(CaseLedger!$A139="","",IFERROR(CaseLedger!$K139,""))</x:f>
      </x:c>
      <x:c r="F139" s="52" t="str">
        <x:f>IF(CaseLedger!$A139="","",IFERROR(CaseLedger!$O139,""))</x:f>
      </x:c>
      <x:c r="G139" s="52" t="str">
        <x:f>IF(CaseLedger!$A139="","",IFERROR(CaseLedger!$E139,""))</x:f>
      </x:c>
      <x:c r="H139" s="52" t="str">
        <x:f>IF(CaseLedger!$A139="","",IFERROR(CaseLedger!$P139,""))</x:f>
      </x:c>
      <x:c r="I139" s="52" t="str">
        <x:f>IF(CaseLedger!$A139="","",IFERROR(CaseLedger!$Q139,""))</x:f>
      </x:c>
      <x:c r="J139" s="52" t="str">
        <x:f>IF(CaseLedger!$A139="","",IFERROR(CaseLedger!$R139,""))</x:f>
      </x:c>
      <x:c r="K139" s="52" t="str">
        <x:f>IF(CaseLedger!$A139="","",IFERROR(CaseLedger!$S139,""))</x:f>
      </x:c>
      <x:c r="L139" s="52" t="str">
        <x:f>IF(CaseLedger!$A139="","",IFERROR(CaseLedger!$T139,""))</x:f>
      </x:c>
      <x:c r="M139" s="52" t="str">
        <x:f>IF(CaseLedger!$A139="","",IFERROR(CaseLedger!$U139,""))</x:f>
      </x:c>
      <x:c r="N139" s="52" t="str">
        <x:f>IF(CaseLedger!$A139="","",IFERROR(CaseLedger!$V139,""))</x:f>
      </x:c>
      <x:c r="O139" s="52" t="str">
        <x:f>IF(CaseLedger!$A139="","",IFERROR(CaseLedger!$W139,""))</x:f>
      </x:c>
      <x:c r="P139" s="52" t="str">
        <x:f>IF(CaseLedger!$A139="","",IFERROR(CaseLedger!$C139,""))</x:f>
      </x:c>
      <x:c r="Q139" s="52" t="str">
        <x:f>IF(CaseLedger!$A139="","",IFERROR(CaseLedger!$D139,""))</x:f>
      </x:c>
      <x:c r="R139" s="52" t="str">
        <x:f>IF(CaseLedger!$A139="","",IFERROR(CaseLedger!$X139,""))</x:f>
      </x:c>
      <x:c r="S139" s="52" t="str">
        <x:f>IF(CaseLedger!$A139="","",IFERROR(CaseLedger!$Y139,""))</x:f>
      </x:c>
      <x:c r="T139" s="52" t="str">
        <x:f>IF(CaseLedger!$A139="","",IFERROR(CaseLedger!$Z139,""))</x:f>
      </x:c>
      <x:c r="U139" s="52" t="str">
        <x:f>IF(CaseLedger!$A139="","",IFERROR(CaseLedger!$AA139,""))</x:f>
      </x:c>
      <x:c r="V139" s="52" t="str">
        <x:f>IF(CaseLedger!$A139="","",IFERROR(CaseLedger!$AB139,""))</x:f>
      </x:c>
      <x:c r="W139" s="52" t="str">
        <x:f>IF(CaseLedger!$A139="","",IFERROR(CaseLedger!$AC139,""))</x:f>
      </x:c>
      <x:c r="X139" s="52" t="str">
        <x:f>IF(CaseLedger!$A139="","",IFERROR(CaseLedger!$AD139,""))</x:f>
      </x:c>
      <x:c r="Y139" s="52" t="str">
        <x:f>IF(CaseLedger!$A139="","",IFERROR(CaseLedger!$AE139,""))</x:f>
      </x:c>
      <x:c r="Z139" s="52" t="str">
        <x:f>IF(CaseLedger!$A139="","",IFERROR(CaseLedger!$AF139,""))</x:f>
      </x:c>
      <x:c r="AA139" s="52" t="str">
        <x:f>IF(CaseLedger!$A139="","",IFERROR(CaseLedger!$AG139,""))</x:f>
      </x:c>
      <x:c r="AB139" s="52" t="str">
        <x:f>IF(CaseLedger!$A139="","",IFERROR(CaseLedger!$AH139,""))</x:f>
      </x:c>
      <x:c r="AC139"/>
    </x:row>
    <x:row r="140">
      <x:c r="A140" s="52" t="str">
        <x:f>IF(CaseLedger!$A140="","",IFERROR(CaseLedger!$A140,""))</x:f>
      </x:c>
      <x:c r="B140" s="52" t="str">
        <x:f>IF(CaseLedger!$A140="","",IFERROR(CaseLedger!$H140,""))</x:f>
      </x:c>
      <x:c r="C140" s="52" t="str">
        <x:f>IF(CaseLedger!$A140="","",IFERROR(CaseLedger!$I140,""))</x:f>
      </x:c>
      <x:c r="D140" s="52" t="str">
        <x:f>IF(CaseLedger!$A140="","",IFERROR(CaseLedger!$J140,""))</x:f>
      </x:c>
      <x:c r="E140" s="52" t="str">
        <x:f>IF(CaseLedger!$A140="","",IFERROR(CaseLedger!$K140,""))</x:f>
      </x:c>
      <x:c r="F140" s="52" t="str">
        <x:f>IF(CaseLedger!$A140="","",IFERROR(CaseLedger!$O140,""))</x:f>
      </x:c>
      <x:c r="G140" s="52" t="str">
        <x:f>IF(CaseLedger!$A140="","",IFERROR(CaseLedger!$E140,""))</x:f>
      </x:c>
      <x:c r="H140" s="52" t="str">
        <x:f>IF(CaseLedger!$A140="","",IFERROR(CaseLedger!$P140,""))</x:f>
      </x:c>
      <x:c r="I140" s="52" t="str">
        <x:f>IF(CaseLedger!$A140="","",IFERROR(CaseLedger!$Q140,""))</x:f>
      </x:c>
      <x:c r="J140" s="52" t="str">
        <x:f>IF(CaseLedger!$A140="","",IFERROR(CaseLedger!$R140,""))</x:f>
      </x:c>
      <x:c r="K140" s="52" t="str">
        <x:f>IF(CaseLedger!$A140="","",IFERROR(CaseLedger!$S140,""))</x:f>
      </x:c>
      <x:c r="L140" s="52" t="str">
        <x:f>IF(CaseLedger!$A140="","",IFERROR(CaseLedger!$T140,""))</x:f>
      </x:c>
      <x:c r="M140" s="52" t="str">
        <x:f>IF(CaseLedger!$A140="","",IFERROR(CaseLedger!$U140,""))</x:f>
      </x:c>
      <x:c r="N140" s="52" t="str">
        <x:f>IF(CaseLedger!$A140="","",IFERROR(CaseLedger!$V140,""))</x:f>
      </x:c>
      <x:c r="O140" s="52" t="str">
        <x:f>IF(CaseLedger!$A140="","",IFERROR(CaseLedger!$W140,""))</x:f>
      </x:c>
      <x:c r="P140" s="52" t="str">
        <x:f>IF(CaseLedger!$A140="","",IFERROR(CaseLedger!$C140,""))</x:f>
      </x:c>
      <x:c r="Q140" s="52" t="str">
        <x:f>IF(CaseLedger!$A140="","",IFERROR(CaseLedger!$D140,""))</x:f>
      </x:c>
      <x:c r="R140" s="52" t="str">
        <x:f>IF(CaseLedger!$A140="","",IFERROR(CaseLedger!$X140,""))</x:f>
      </x:c>
      <x:c r="S140" s="52" t="str">
        <x:f>IF(CaseLedger!$A140="","",IFERROR(CaseLedger!$Y140,""))</x:f>
      </x:c>
      <x:c r="T140" s="52" t="str">
        <x:f>IF(CaseLedger!$A140="","",IFERROR(CaseLedger!$Z140,""))</x:f>
      </x:c>
      <x:c r="U140" s="52" t="str">
        <x:f>IF(CaseLedger!$A140="","",IFERROR(CaseLedger!$AA140,""))</x:f>
      </x:c>
      <x:c r="V140" s="52" t="str">
        <x:f>IF(CaseLedger!$A140="","",IFERROR(CaseLedger!$AB140,""))</x:f>
      </x:c>
      <x:c r="W140" s="52" t="str">
        <x:f>IF(CaseLedger!$A140="","",IFERROR(CaseLedger!$AC140,""))</x:f>
      </x:c>
      <x:c r="X140" s="52" t="str">
        <x:f>IF(CaseLedger!$A140="","",IFERROR(CaseLedger!$AD140,""))</x:f>
      </x:c>
      <x:c r="Y140" s="52" t="str">
        <x:f>IF(CaseLedger!$A140="","",IFERROR(CaseLedger!$AE140,""))</x:f>
      </x:c>
      <x:c r="Z140" s="52" t="str">
        <x:f>IF(CaseLedger!$A140="","",IFERROR(CaseLedger!$AF140,""))</x:f>
      </x:c>
      <x:c r="AA140" s="52" t="str">
        <x:f>IF(CaseLedger!$A140="","",IFERROR(CaseLedger!$AG140,""))</x:f>
      </x:c>
      <x:c r="AB140" s="52" t="str">
        <x:f>IF(CaseLedger!$A140="","",IFERROR(CaseLedger!$AH140,""))</x:f>
      </x:c>
      <x:c r="AC140"/>
    </x:row>
    <x:row r="141">
      <x:c r="A141" s="52" t="str">
        <x:f>IF(CaseLedger!$A141="","",IFERROR(CaseLedger!$A141,""))</x:f>
      </x:c>
      <x:c r="B141" s="52" t="str">
        <x:f>IF(CaseLedger!$A141="","",IFERROR(CaseLedger!$H141,""))</x:f>
      </x:c>
      <x:c r="C141" s="52" t="str">
        <x:f>IF(CaseLedger!$A141="","",IFERROR(CaseLedger!$I141,""))</x:f>
      </x:c>
      <x:c r="D141" s="52" t="str">
        <x:f>IF(CaseLedger!$A141="","",IFERROR(CaseLedger!$J141,""))</x:f>
      </x:c>
      <x:c r="E141" s="52" t="str">
        <x:f>IF(CaseLedger!$A141="","",IFERROR(CaseLedger!$K141,""))</x:f>
      </x:c>
      <x:c r="F141" s="52" t="str">
        <x:f>IF(CaseLedger!$A141="","",IFERROR(CaseLedger!$O141,""))</x:f>
      </x:c>
      <x:c r="G141" s="52" t="str">
        <x:f>IF(CaseLedger!$A141="","",IFERROR(CaseLedger!$E141,""))</x:f>
      </x:c>
      <x:c r="H141" s="52" t="str">
        <x:f>IF(CaseLedger!$A141="","",IFERROR(CaseLedger!$P141,""))</x:f>
      </x:c>
      <x:c r="I141" s="52" t="str">
        <x:f>IF(CaseLedger!$A141="","",IFERROR(CaseLedger!$Q141,""))</x:f>
      </x:c>
      <x:c r="J141" s="52" t="str">
        <x:f>IF(CaseLedger!$A141="","",IFERROR(CaseLedger!$R141,""))</x:f>
      </x:c>
      <x:c r="K141" s="52" t="str">
        <x:f>IF(CaseLedger!$A141="","",IFERROR(CaseLedger!$S141,""))</x:f>
      </x:c>
      <x:c r="L141" s="52" t="str">
        <x:f>IF(CaseLedger!$A141="","",IFERROR(CaseLedger!$T141,""))</x:f>
      </x:c>
      <x:c r="M141" s="52" t="str">
        <x:f>IF(CaseLedger!$A141="","",IFERROR(CaseLedger!$U141,""))</x:f>
      </x:c>
      <x:c r="N141" s="52" t="str">
        <x:f>IF(CaseLedger!$A141="","",IFERROR(CaseLedger!$V141,""))</x:f>
      </x:c>
      <x:c r="O141" s="52" t="str">
        <x:f>IF(CaseLedger!$A141="","",IFERROR(CaseLedger!$W141,""))</x:f>
      </x:c>
      <x:c r="P141" s="52" t="str">
        <x:f>IF(CaseLedger!$A141="","",IFERROR(CaseLedger!$C141,""))</x:f>
      </x:c>
      <x:c r="Q141" s="52" t="str">
        <x:f>IF(CaseLedger!$A141="","",IFERROR(CaseLedger!$D141,""))</x:f>
      </x:c>
      <x:c r="R141" s="52" t="str">
        <x:f>IF(CaseLedger!$A141="","",IFERROR(CaseLedger!$X141,""))</x:f>
      </x:c>
      <x:c r="S141" s="52" t="str">
        <x:f>IF(CaseLedger!$A141="","",IFERROR(CaseLedger!$Y141,""))</x:f>
      </x:c>
      <x:c r="T141" s="52" t="str">
        <x:f>IF(CaseLedger!$A141="","",IFERROR(CaseLedger!$Z141,""))</x:f>
      </x:c>
      <x:c r="U141" s="52" t="str">
        <x:f>IF(CaseLedger!$A141="","",IFERROR(CaseLedger!$AA141,""))</x:f>
      </x:c>
      <x:c r="V141" s="52" t="str">
        <x:f>IF(CaseLedger!$A141="","",IFERROR(CaseLedger!$AB141,""))</x:f>
      </x:c>
      <x:c r="W141" s="52" t="str">
        <x:f>IF(CaseLedger!$A141="","",IFERROR(CaseLedger!$AC141,""))</x:f>
      </x:c>
      <x:c r="X141" s="52" t="str">
        <x:f>IF(CaseLedger!$A141="","",IFERROR(CaseLedger!$AD141,""))</x:f>
      </x:c>
      <x:c r="Y141" s="52" t="str">
        <x:f>IF(CaseLedger!$A141="","",IFERROR(CaseLedger!$AE141,""))</x:f>
      </x:c>
      <x:c r="Z141" s="52" t="str">
        <x:f>IF(CaseLedger!$A141="","",IFERROR(CaseLedger!$AF141,""))</x:f>
      </x:c>
      <x:c r="AA141" s="52" t="str">
        <x:f>IF(CaseLedger!$A141="","",IFERROR(CaseLedger!$AG141,""))</x:f>
      </x:c>
      <x:c r="AB141" s="52" t="str">
        <x:f>IF(CaseLedger!$A141="","",IFERROR(CaseLedger!$AH141,""))</x:f>
      </x:c>
      <x:c r="AC141"/>
    </x:row>
    <x:row r="142">
      <x:c r="A142" s="52" t="str">
        <x:f>IF(CaseLedger!$A142="","",IFERROR(CaseLedger!$A142,""))</x:f>
      </x:c>
      <x:c r="B142" s="52" t="str">
        <x:f>IF(CaseLedger!$A142="","",IFERROR(CaseLedger!$H142,""))</x:f>
      </x:c>
      <x:c r="C142" s="52" t="str">
        <x:f>IF(CaseLedger!$A142="","",IFERROR(CaseLedger!$I142,""))</x:f>
      </x:c>
      <x:c r="D142" s="52" t="str">
        <x:f>IF(CaseLedger!$A142="","",IFERROR(CaseLedger!$J142,""))</x:f>
      </x:c>
      <x:c r="E142" s="52" t="str">
        <x:f>IF(CaseLedger!$A142="","",IFERROR(CaseLedger!$K142,""))</x:f>
      </x:c>
      <x:c r="F142" s="52" t="str">
        <x:f>IF(CaseLedger!$A142="","",IFERROR(CaseLedger!$O142,""))</x:f>
      </x:c>
      <x:c r="G142" s="52" t="str">
        <x:f>IF(CaseLedger!$A142="","",IFERROR(CaseLedger!$E142,""))</x:f>
      </x:c>
      <x:c r="H142" s="52" t="str">
        <x:f>IF(CaseLedger!$A142="","",IFERROR(CaseLedger!$P142,""))</x:f>
      </x:c>
      <x:c r="I142" s="52" t="str">
        <x:f>IF(CaseLedger!$A142="","",IFERROR(CaseLedger!$Q142,""))</x:f>
      </x:c>
      <x:c r="J142" s="52" t="str">
        <x:f>IF(CaseLedger!$A142="","",IFERROR(CaseLedger!$R142,""))</x:f>
      </x:c>
      <x:c r="K142" s="52" t="str">
        <x:f>IF(CaseLedger!$A142="","",IFERROR(CaseLedger!$S142,""))</x:f>
      </x:c>
      <x:c r="L142" s="52" t="str">
        <x:f>IF(CaseLedger!$A142="","",IFERROR(CaseLedger!$T142,""))</x:f>
      </x:c>
      <x:c r="M142" s="52" t="str">
        <x:f>IF(CaseLedger!$A142="","",IFERROR(CaseLedger!$U142,""))</x:f>
      </x:c>
      <x:c r="N142" s="52" t="str">
        <x:f>IF(CaseLedger!$A142="","",IFERROR(CaseLedger!$V142,""))</x:f>
      </x:c>
      <x:c r="O142" s="52" t="str">
        <x:f>IF(CaseLedger!$A142="","",IFERROR(CaseLedger!$W142,""))</x:f>
      </x:c>
      <x:c r="P142" s="52" t="str">
        <x:f>IF(CaseLedger!$A142="","",IFERROR(CaseLedger!$C142,""))</x:f>
      </x:c>
      <x:c r="Q142" s="52" t="str">
        <x:f>IF(CaseLedger!$A142="","",IFERROR(CaseLedger!$D142,""))</x:f>
      </x:c>
      <x:c r="R142" s="52" t="str">
        <x:f>IF(CaseLedger!$A142="","",IFERROR(CaseLedger!$X142,""))</x:f>
      </x:c>
      <x:c r="S142" s="52" t="str">
        <x:f>IF(CaseLedger!$A142="","",IFERROR(CaseLedger!$Y142,""))</x:f>
      </x:c>
      <x:c r="T142" s="52" t="str">
        <x:f>IF(CaseLedger!$A142="","",IFERROR(CaseLedger!$Z142,""))</x:f>
      </x:c>
      <x:c r="U142" s="52" t="str">
        <x:f>IF(CaseLedger!$A142="","",IFERROR(CaseLedger!$AA142,""))</x:f>
      </x:c>
      <x:c r="V142" s="52" t="str">
        <x:f>IF(CaseLedger!$A142="","",IFERROR(CaseLedger!$AB142,""))</x:f>
      </x:c>
      <x:c r="W142" s="52" t="str">
        <x:f>IF(CaseLedger!$A142="","",IFERROR(CaseLedger!$AC142,""))</x:f>
      </x:c>
      <x:c r="X142" s="52" t="str">
        <x:f>IF(CaseLedger!$A142="","",IFERROR(CaseLedger!$AD142,""))</x:f>
      </x:c>
      <x:c r="Y142" s="52" t="str">
        <x:f>IF(CaseLedger!$A142="","",IFERROR(CaseLedger!$AE142,""))</x:f>
      </x:c>
      <x:c r="Z142" s="52" t="str">
        <x:f>IF(CaseLedger!$A142="","",IFERROR(CaseLedger!$AF142,""))</x:f>
      </x:c>
      <x:c r="AA142" s="52" t="str">
        <x:f>IF(CaseLedger!$A142="","",IFERROR(CaseLedger!$AG142,""))</x:f>
      </x:c>
      <x:c r="AB142" s="52" t="str">
        <x:f>IF(CaseLedger!$A142="","",IFERROR(CaseLedger!$AH142,""))</x:f>
      </x:c>
      <x:c r="AC142"/>
    </x:row>
    <x:row r="143">
      <x:c r="A143" s="52" t="str">
        <x:f>IF(CaseLedger!$A143="","",IFERROR(CaseLedger!$A143,""))</x:f>
      </x:c>
      <x:c r="B143" s="52" t="str">
        <x:f>IF(CaseLedger!$A143="","",IFERROR(CaseLedger!$H143,""))</x:f>
      </x:c>
      <x:c r="C143" s="52" t="str">
        <x:f>IF(CaseLedger!$A143="","",IFERROR(CaseLedger!$I143,""))</x:f>
      </x:c>
      <x:c r="D143" s="52" t="str">
        <x:f>IF(CaseLedger!$A143="","",IFERROR(CaseLedger!$J143,""))</x:f>
      </x:c>
      <x:c r="E143" s="52" t="str">
        <x:f>IF(CaseLedger!$A143="","",IFERROR(CaseLedger!$K143,""))</x:f>
      </x:c>
      <x:c r="F143" s="52" t="str">
        <x:f>IF(CaseLedger!$A143="","",IFERROR(CaseLedger!$O143,""))</x:f>
      </x:c>
      <x:c r="G143" s="52" t="str">
        <x:f>IF(CaseLedger!$A143="","",IFERROR(CaseLedger!$E143,""))</x:f>
      </x:c>
      <x:c r="H143" s="52" t="str">
        <x:f>IF(CaseLedger!$A143="","",IFERROR(CaseLedger!$P143,""))</x:f>
      </x:c>
      <x:c r="I143" s="52" t="str">
        <x:f>IF(CaseLedger!$A143="","",IFERROR(CaseLedger!$Q143,""))</x:f>
      </x:c>
      <x:c r="J143" s="52" t="str">
        <x:f>IF(CaseLedger!$A143="","",IFERROR(CaseLedger!$R143,""))</x:f>
      </x:c>
      <x:c r="K143" s="52" t="str">
        <x:f>IF(CaseLedger!$A143="","",IFERROR(CaseLedger!$S143,""))</x:f>
      </x:c>
      <x:c r="L143" s="52" t="str">
        <x:f>IF(CaseLedger!$A143="","",IFERROR(CaseLedger!$T143,""))</x:f>
      </x:c>
      <x:c r="M143" s="52" t="str">
        <x:f>IF(CaseLedger!$A143="","",IFERROR(CaseLedger!$U143,""))</x:f>
      </x:c>
      <x:c r="N143" s="52" t="str">
        <x:f>IF(CaseLedger!$A143="","",IFERROR(CaseLedger!$V143,""))</x:f>
      </x:c>
      <x:c r="O143" s="52" t="str">
        <x:f>IF(CaseLedger!$A143="","",IFERROR(CaseLedger!$W143,""))</x:f>
      </x:c>
      <x:c r="P143" s="52" t="str">
        <x:f>IF(CaseLedger!$A143="","",IFERROR(CaseLedger!$C143,""))</x:f>
      </x:c>
      <x:c r="Q143" s="52" t="str">
        <x:f>IF(CaseLedger!$A143="","",IFERROR(CaseLedger!$D143,""))</x:f>
      </x:c>
      <x:c r="R143" s="52" t="str">
        <x:f>IF(CaseLedger!$A143="","",IFERROR(CaseLedger!$X143,""))</x:f>
      </x:c>
      <x:c r="S143" s="52" t="str">
        <x:f>IF(CaseLedger!$A143="","",IFERROR(CaseLedger!$Y143,""))</x:f>
      </x:c>
      <x:c r="T143" s="52" t="str">
        <x:f>IF(CaseLedger!$A143="","",IFERROR(CaseLedger!$Z143,""))</x:f>
      </x:c>
      <x:c r="U143" s="52" t="str">
        <x:f>IF(CaseLedger!$A143="","",IFERROR(CaseLedger!$AA143,""))</x:f>
      </x:c>
      <x:c r="V143" s="52" t="str">
        <x:f>IF(CaseLedger!$A143="","",IFERROR(CaseLedger!$AB143,""))</x:f>
      </x:c>
      <x:c r="W143" s="52" t="str">
        <x:f>IF(CaseLedger!$A143="","",IFERROR(CaseLedger!$AC143,""))</x:f>
      </x:c>
      <x:c r="X143" s="52" t="str">
        <x:f>IF(CaseLedger!$A143="","",IFERROR(CaseLedger!$AD143,""))</x:f>
      </x:c>
      <x:c r="Y143" s="52" t="str">
        <x:f>IF(CaseLedger!$A143="","",IFERROR(CaseLedger!$AE143,""))</x:f>
      </x:c>
      <x:c r="Z143" s="52" t="str">
        <x:f>IF(CaseLedger!$A143="","",IFERROR(CaseLedger!$AF143,""))</x:f>
      </x:c>
      <x:c r="AA143" s="52" t="str">
        <x:f>IF(CaseLedger!$A143="","",IFERROR(CaseLedger!$AG143,""))</x:f>
      </x:c>
      <x:c r="AB143" s="52" t="str">
        <x:f>IF(CaseLedger!$A143="","",IFERROR(CaseLedger!$AH143,""))</x:f>
      </x:c>
      <x:c r="AC143"/>
    </x:row>
    <x:row r="144">
      <x:c r="A144" s="52" t="str">
        <x:f>IF(CaseLedger!$A144="","",IFERROR(CaseLedger!$A144,""))</x:f>
      </x:c>
      <x:c r="B144" s="52" t="str">
        <x:f>IF(CaseLedger!$A144="","",IFERROR(CaseLedger!$H144,""))</x:f>
      </x:c>
      <x:c r="C144" s="52" t="str">
        <x:f>IF(CaseLedger!$A144="","",IFERROR(CaseLedger!$I144,""))</x:f>
      </x:c>
      <x:c r="D144" s="52" t="str">
        <x:f>IF(CaseLedger!$A144="","",IFERROR(CaseLedger!$J144,""))</x:f>
      </x:c>
      <x:c r="E144" s="52" t="str">
        <x:f>IF(CaseLedger!$A144="","",IFERROR(CaseLedger!$K144,""))</x:f>
      </x:c>
      <x:c r="F144" s="52" t="str">
        <x:f>IF(CaseLedger!$A144="","",IFERROR(CaseLedger!$O144,""))</x:f>
      </x:c>
      <x:c r="G144" s="52" t="str">
        <x:f>IF(CaseLedger!$A144="","",IFERROR(CaseLedger!$E144,""))</x:f>
      </x:c>
      <x:c r="H144" s="52" t="str">
        <x:f>IF(CaseLedger!$A144="","",IFERROR(CaseLedger!$P144,""))</x:f>
      </x:c>
      <x:c r="I144" s="52" t="str">
        <x:f>IF(CaseLedger!$A144="","",IFERROR(CaseLedger!$Q144,""))</x:f>
      </x:c>
      <x:c r="J144" s="52" t="str">
        <x:f>IF(CaseLedger!$A144="","",IFERROR(CaseLedger!$R144,""))</x:f>
      </x:c>
      <x:c r="K144" s="52" t="str">
        <x:f>IF(CaseLedger!$A144="","",IFERROR(CaseLedger!$S144,""))</x:f>
      </x:c>
      <x:c r="L144" s="52" t="str">
        <x:f>IF(CaseLedger!$A144="","",IFERROR(CaseLedger!$T144,""))</x:f>
      </x:c>
      <x:c r="M144" s="52" t="str">
        <x:f>IF(CaseLedger!$A144="","",IFERROR(CaseLedger!$U144,""))</x:f>
      </x:c>
      <x:c r="N144" s="52" t="str">
        <x:f>IF(CaseLedger!$A144="","",IFERROR(CaseLedger!$V144,""))</x:f>
      </x:c>
      <x:c r="O144" s="52" t="str">
        <x:f>IF(CaseLedger!$A144="","",IFERROR(CaseLedger!$W144,""))</x:f>
      </x:c>
      <x:c r="P144" s="52" t="str">
        <x:f>IF(CaseLedger!$A144="","",IFERROR(CaseLedger!$C144,""))</x:f>
      </x:c>
      <x:c r="Q144" s="52" t="str">
        <x:f>IF(CaseLedger!$A144="","",IFERROR(CaseLedger!$D144,""))</x:f>
      </x:c>
      <x:c r="R144" s="52" t="str">
        <x:f>IF(CaseLedger!$A144="","",IFERROR(CaseLedger!$X144,""))</x:f>
      </x:c>
      <x:c r="S144" s="52" t="str">
        <x:f>IF(CaseLedger!$A144="","",IFERROR(CaseLedger!$Y144,""))</x:f>
      </x:c>
      <x:c r="T144" s="52" t="str">
        <x:f>IF(CaseLedger!$A144="","",IFERROR(CaseLedger!$Z144,""))</x:f>
      </x:c>
      <x:c r="U144" s="52" t="str">
        <x:f>IF(CaseLedger!$A144="","",IFERROR(CaseLedger!$AA144,""))</x:f>
      </x:c>
      <x:c r="V144" s="52" t="str">
        <x:f>IF(CaseLedger!$A144="","",IFERROR(CaseLedger!$AB144,""))</x:f>
      </x:c>
      <x:c r="W144" s="52" t="str">
        <x:f>IF(CaseLedger!$A144="","",IFERROR(CaseLedger!$AC144,""))</x:f>
      </x:c>
      <x:c r="X144" s="52" t="str">
        <x:f>IF(CaseLedger!$A144="","",IFERROR(CaseLedger!$AD144,""))</x:f>
      </x:c>
      <x:c r="Y144" s="52" t="str">
        <x:f>IF(CaseLedger!$A144="","",IFERROR(CaseLedger!$AE144,""))</x:f>
      </x:c>
      <x:c r="Z144" s="52" t="str">
        <x:f>IF(CaseLedger!$A144="","",IFERROR(CaseLedger!$AF144,""))</x:f>
      </x:c>
      <x:c r="AA144" s="52" t="str">
        <x:f>IF(CaseLedger!$A144="","",IFERROR(CaseLedger!$AG144,""))</x:f>
      </x:c>
      <x:c r="AB144" s="52" t="str">
        <x:f>IF(CaseLedger!$A144="","",IFERROR(CaseLedger!$AH144,""))</x:f>
      </x:c>
      <x:c r="AC144"/>
    </x:row>
    <x:row r="145">
      <x:c r="A145" s="52" t="str">
        <x:f>IF(CaseLedger!$A145="","",IFERROR(CaseLedger!$A145,""))</x:f>
      </x:c>
      <x:c r="B145" s="52" t="str">
        <x:f>IF(CaseLedger!$A145="","",IFERROR(CaseLedger!$H145,""))</x:f>
      </x:c>
      <x:c r="C145" s="52" t="str">
        <x:f>IF(CaseLedger!$A145="","",IFERROR(CaseLedger!$I145,""))</x:f>
      </x:c>
      <x:c r="D145" s="52" t="str">
        <x:f>IF(CaseLedger!$A145="","",IFERROR(CaseLedger!$J145,""))</x:f>
      </x:c>
      <x:c r="E145" s="52" t="str">
        <x:f>IF(CaseLedger!$A145="","",IFERROR(CaseLedger!$K145,""))</x:f>
      </x:c>
      <x:c r="F145" s="52" t="str">
        <x:f>IF(CaseLedger!$A145="","",IFERROR(CaseLedger!$O145,""))</x:f>
      </x:c>
      <x:c r="G145" s="52" t="str">
        <x:f>IF(CaseLedger!$A145="","",IFERROR(CaseLedger!$E145,""))</x:f>
      </x:c>
      <x:c r="H145" s="52" t="str">
        <x:f>IF(CaseLedger!$A145="","",IFERROR(CaseLedger!$P145,""))</x:f>
      </x:c>
      <x:c r="I145" s="52" t="str">
        <x:f>IF(CaseLedger!$A145="","",IFERROR(CaseLedger!$Q145,""))</x:f>
      </x:c>
      <x:c r="J145" s="52" t="str">
        <x:f>IF(CaseLedger!$A145="","",IFERROR(CaseLedger!$R145,""))</x:f>
      </x:c>
      <x:c r="K145" s="52" t="str">
        <x:f>IF(CaseLedger!$A145="","",IFERROR(CaseLedger!$S145,""))</x:f>
      </x:c>
      <x:c r="L145" s="52" t="str">
        <x:f>IF(CaseLedger!$A145="","",IFERROR(CaseLedger!$T145,""))</x:f>
      </x:c>
      <x:c r="M145" s="52" t="str">
        <x:f>IF(CaseLedger!$A145="","",IFERROR(CaseLedger!$U145,""))</x:f>
      </x:c>
      <x:c r="N145" s="52" t="str">
        <x:f>IF(CaseLedger!$A145="","",IFERROR(CaseLedger!$V145,""))</x:f>
      </x:c>
      <x:c r="O145" s="52" t="str">
        <x:f>IF(CaseLedger!$A145="","",IFERROR(CaseLedger!$W145,""))</x:f>
      </x:c>
      <x:c r="P145" s="52" t="str">
        <x:f>IF(CaseLedger!$A145="","",IFERROR(CaseLedger!$C145,""))</x:f>
      </x:c>
      <x:c r="Q145" s="52" t="str">
        <x:f>IF(CaseLedger!$A145="","",IFERROR(CaseLedger!$D145,""))</x:f>
      </x:c>
      <x:c r="R145" s="52" t="str">
        <x:f>IF(CaseLedger!$A145="","",IFERROR(CaseLedger!$X145,""))</x:f>
      </x:c>
      <x:c r="S145" s="52" t="str">
        <x:f>IF(CaseLedger!$A145="","",IFERROR(CaseLedger!$Y145,""))</x:f>
      </x:c>
      <x:c r="T145" s="52" t="str">
        <x:f>IF(CaseLedger!$A145="","",IFERROR(CaseLedger!$Z145,""))</x:f>
      </x:c>
      <x:c r="U145" s="52" t="str">
        <x:f>IF(CaseLedger!$A145="","",IFERROR(CaseLedger!$AA145,""))</x:f>
      </x:c>
      <x:c r="V145" s="52" t="str">
        <x:f>IF(CaseLedger!$A145="","",IFERROR(CaseLedger!$AB145,""))</x:f>
      </x:c>
      <x:c r="W145" s="52" t="str">
        <x:f>IF(CaseLedger!$A145="","",IFERROR(CaseLedger!$AC145,""))</x:f>
      </x:c>
      <x:c r="X145" s="52" t="str">
        <x:f>IF(CaseLedger!$A145="","",IFERROR(CaseLedger!$AD145,""))</x:f>
      </x:c>
      <x:c r="Y145" s="52" t="str">
        <x:f>IF(CaseLedger!$A145="","",IFERROR(CaseLedger!$AE145,""))</x:f>
      </x:c>
      <x:c r="Z145" s="52" t="str">
        <x:f>IF(CaseLedger!$A145="","",IFERROR(CaseLedger!$AF145,""))</x:f>
      </x:c>
      <x:c r="AA145" s="52" t="str">
        <x:f>IF(CaseLedger!$A145="","",IFERROR(CaseLedger!$AG145,""))</x:f>
      </x:c>
      <x:c r="AB145" s="52" t="str">
        <x:f>IF(CaseLedger!$A145="","",IFERROR(CaseLedger!$AH145,""))</x:f>
      </x:c>
      <x:c r="AC145"/>
    </x:row>
    <x:row r="146">
      <x:c r="A146" s="52" t="str">
        <x:f>IF(CaseLedger!$A146="","",IFERROR(CaseLedger!$A146,""))</x:f>
      </x:c>
      <x:c r="B146" s="52" t="str">
        <x:f>IF(CaseLedger!$A146="","",IFERROR(CaseLedger!$H146,""))</x:f>
      </x:c>
      <x:c r="C146" s="52" t="str">
        <x:f>IF(CaseLedger!$A146="","",IFERROR(CaseLedger!$I146,""))</x:f>
      </x:c>
      <x:c r="D146" s="52" t="str">
        <x:f>IF(CaseLedger!$A146="","",IFERROR(CaseLedger!$J146,""))</x:f>
      </x:c>
      <x:c r="E146" s="52" t="str">
        <x:f>IF(CaseLedger!$A146="","",IFERROR(CaseLedger!$K146,""))</x:f>
      </x:c>
      <x:c r="F146" s="52" t="str">
        <x:f>IF(CaseLedger!$A146="","",IFERROR(CaseLedger!$O146,""))</x:f>
      </x:c>
      <x:c r="G146" s="52" t="str">
        <x:f>IF(CaseLedger!$A146="","",IFERROR(CaseLedger!$E146,""))</x:f>
      </x:c>
      <x:c r="H146" s="52" t="str">
        <x:f>IF(CaseLedger!$A146="","",IFERROR(CaseLedger!$P146,""))</x:f>
      </x:c>
      <x:c r="I146" s="52" t="str">
        <x:f>IF(CaseLedger!$A146="","",IFERROR(CaseLedger!$Q146,""))</x:f>
      </x:c>
      <x:c r="J146" s="52" t="str">
        <x:f>IF(CaseLedger!$A146="","",IFERROR(CaseLedger!$R146,""))</x:f>
      </x:c>
      <x:c r="K146" s="52" t="str">
        <x:f>IF(CaseLedger!$A146="","",IFERROR(CaseLedger!$S146,""))</x:f>
      </x:c>
      <x:c r="L146" s="52" t="str">
        <x:f>IF(CaseLedger!$A146="","",IFERROR(CaseLedger!$T146,""))</x:f>
      </x:c>
      <x:c r="M146" s="52" t="str">
        <x:f>IF(CaseLedger!$A146="","",IFERROR(CaseLedger!$U146,""))</x:f>
      </x:c>
      <x:c r="N146" s="52" t="str">
        <x:f>IF(CaseLedger!$A146="","",IFERROR(CaseLedger!$V146,""))</x:f>
      </x:c>
      <x:c r="O146" s="52" t="str">
        <x:f>IF(CaseLedger!$A146="","",IFERROR(CaseLedger!$W146,""))</x:f>
      </x:c>
      <x:c r="P146" s="52" t="str">
        <x:f>IF(CaseLedger!$A146="","",IFERROR(CaseLedger!$C146,""))</x:f>
      </x:c>
      <x:c r="Q146" s="52" t="str">
        <x:f>IF(CaseLedger!$A146="","",IFERROR(CaseLedger!$D146,""))</x:f>
      </x:c>
      <x:c r="R146" s="52" t="str">
        <x:f>IF(CaseLedger!$A146="","",IFERROR(CaseLedger!$X146,""))</x:f>
      </x:c>
      <x:c r="S146" s="52" t="str">
        <x:f>IF(CaseLedger!$A146="","",IFERROR(CaseLedger!$Y146,""))</x:f>
      </x:c>
      <x:c r="T146" s="52" t="str">
        <x:f>IF(CaseLedger!$A146="","",IFERROR(CaseLedger!$Z146,""))</x:f>
      </x:c>
      <x:c r="U146" s="52" t="str">
        <x:f>IF(CaseLedger!$A146="","",IFERROR(CaseLedger!$AA146,""))</x:f>
      </x:c>
      <x:c r="V146" s="52" t="str">
        <x:f>IF(CaseLedger!$A146="","",IFERROR(CaseLedger!$AB146,""))</x:f>
      </x:c>
      <x:c r="W146" s="52" t="str">
        <x:f>IF(CaseLedger!$A146="","",IFERROR(CaseLedger!$AC146,""))</x:f>
      </x:c>
      <x:c r="X146" s="52" t="str">
        <x:f>IF(CaseLedger!$A146="","",IFERROR(CaseLedger!$AD146,""))</x:f>
      </x:c>
      <x:c r="Y146" s="52" t="str">
        <x:f>IF(CaseLedger!$A146="","",IFERROR(CaseLedger!$AE146,""))</x:f>
      </x:c>
      <x:c r="Z146" s="52" t="str">
        <x:f>IF(CaseLedger!$A146="","",IFERROR(CaseLedger!$AF146,""))</x:f>
      </x:c>
      <x:c r="AA146" s="52" t="str">
        <x:f>IF(CaseLedger!$A146="","",IFERROR(CaseLedger!$AG146,""))</x:f>
      </x:c>
      <x:c r="AB146" s="52" t="str">
        <x:f>IF(CaseLedger!$A146="","",IFERROR(CaseLedger!$AH146,""))</x:f>
      </x:c>
      <x:c r="AC146"/>
    </x:row>
    <x:row r="147">
      <x:c r="A147" s="52" t="str">
        <x:f>IF(CaseLedger!$A147="","",IFERROR(CaseLedger!$A147,""))</x:f>
      </x:c>
      <x:c r="B147" s="52" t="str">
        <x:f>IF(CaseLedger!$A147="","",IFERROR(CaseLedger!$H147,""))</x:f>
      </x:c>
      <x:c r="C147" s="52" t="str">
        <x:f>IF(CaseLedger!$A147="","",IFERROR(CaseLedger!$I147,""))</x:f>
      </x:c>
      <x:c r="D147" s="52" t="str">
        <x:f>IF(CaseLedger!$A147="","",IFERROR(CaseLedger!$J147,""))</x:f>
      </x:c>
      <x:c r="E147" s="52" t="str">
        <x:f>IF(CaseLedger!$A147="","",IFERROR(CaseLedger!$K147,""))</x:f>
      </x:c>
      <x:c r="F147" s="52" t="str">
        <x:f>IF(CaseLedger!$A147="","",IFERROR(CaseLedger!$O147,""))</x:f>
      </x:c>
      <x:c r="G147" s="52" t="str">
        <x:f>IF(CaseLedger!$A147="","",IFERROR(CaseLedger!$E147,""))</x:f>
      </x:c>
      <x:c r="H147" s="52" t="str">
        <x:f>IF(CaseLedger!$A147="","",IFERROR(CaseLedger!$P147,""))</x:f>
      </x:c>
      <x:c r="I147" s="52" t="str">
        <x:f>IF(CaseLedger!$A147="","",IFERROR(CaseLedger!$Q147,""))</x:f>
      </x:c>
      <x:c r="J147" s="52" t="str">
        <x:f>IF(CaseLedger!$A147="","",IFERROR(CaseLedger!$R147,""))</x:f>
      </x:c>
      <x:c r="K147" s="52" t="str">
        <x:f>IF(CaseLedger!$A147="","",IFERROR(CaseLedger!$S147,""))</x:f>
      </x:c>
      <x:c r="L147" s="52" t="str">
        <x:f>IF(CaseLedger!$A147="","",IFERROR(CaseLedger!$T147,""))</x:f>
      </x:c>
      <x:c r="M147" s="52" t="str">
        <x:f>IF(CaseLedger!$A147="","",IFERROR(CaseLedger!$U147,""))</x:f>
      </x:c>
      <x:c r="N147" s="52" t="str">
        <x:f>IF(CaseLedger!$A147="","",IFERROR(CaseLedger!$V147,""))</x:f>
      </x:c>
      <x:c r="O147" s="52" t="str">
        <x:f>IF(CaseLedger!$A147="","",IFERROR(CaseLedger!$W147,""))</x:f>
      </x:c>
      <x:c r="P147" s="52" t="str">
        <x:f>IF(CaseLedger!$A147="","",IFERROR(CaseLedger!$C147,""))</x:f>
      </x:c>
      <x:c r="Q147" s="52" t="str">
        <x:f>IF(CaseLedger!$A147="","",IFERROR(CaseLedger!$D147,""))</x:f>
      </x:c>
      <x:c r="R147" s="52" t="str">
        <x:f>IF(CaseLedger!$A147="","",IFERROR(CaseLedger!$X147,""))</x:f>
      </x:c>
      <x:c r="S147" s="52" t="str">
        <x:f>IF(CaseLedger!$A147="","",IFERROR(CaseLedger!$Y147,""))</x:f>
      </x:c>
      <x:c r="T147" s="52" t="str">
        <x:f>IF(CaseLedger!$A147="","",IFERROR(CaseLedger!$Z147,""))</x:f>
      </x:c>
      <x:c r="U147" s="52" t="str">
        <x:f>IF(CaseLedger!$A147="","",IFERROR(CaseLedger!$AA147,""))</x:f>
      </x:c>
      <x:c r="V147" s="52" t="str">
        <x:f>IF(CaseLedger!$A147="","",IFERROR(CaseLedger!$AB147,""))</x:f>
      </x:c>
      <x:c r="W147" s="52" t="str">
        <x:f>IF(CaseLedger!$A147="","",IFERROR(CaseLedger!$AC147,""))</x:f>
      </x:c>
      <x:c r="X147" s="52" t="str">
        <x:f>IF(CaseLedger!$A147="","",IFERROR(CaseLedger!$AD147,""))</x:f>
      </x:c>
      <x:c r="Y147" s="52" t="str">
        <x:f>IF(CaseLedger!$A147="","",IFERROR(CaseLedger!$AE147,""))</x:f>
      </x:c>
      <x:c r="Z147" s="52" t="str">
        <x:f>IF(CaseLedger!$A147="","",IFERROR(CaseLedger!$AF147,""))</x:f>
      </x:c>
      <x:c r="AA147" s="52" t="str">
        <x:f>IF(CaseLedger!$A147="","",IFERROR(CaseLedger!$AG147,""))</x:f>
      </x:c>
      <x:c r="AB147" s="52" t="str">
        <x:f>IF(CaseLedger!$A147="","",IFERROR(CaseLedger!$AH147,""))</x:f>
      </x:c>
      <x:c r="AC147"/>
    </x:row>
    <x:row r="148">
      <x:c r="A148" s="52" t="str">
        <x:f>IF(CaseLedger!$A148="","",IFERROR(CaseLedger!$A148,""))</x:f>
      </x:c>
      <x:c r="B148" s="52" t="str">
        <x:f>IF(CaseLedger!$A148="","",IFERROR(CaseLedger!$H148,""))</x:f>
      </x:c>
      <x:c r="C148" s="52" t="str">
        <x:f>IF(CaseLedger!$A148="","",IFERROR(CaseLedger!$I148,""))</x:f>
      </x:c>
      <x:c r="D148" s="52" t="str">
        <x:f>IF(CaseLedger!$A148="","",IFERROR(CaseLedger!$J148,""))</x:f>
      </x:c>
      <x:c r="E148" s="52" t="str">
        <x:f>IF(CaseLedger!$A148="","",IFERROR(CaseLedger!$K148,""))</x:f>
      </x:c>
      <x:c r="F148" s="52" t="str">
        <x:f>IF(CaseLedger!$A148="","",IFERROR(CaseLedger!$O148,""))</x:f>
      </x:c>
      <x:c r="G148" s="52" t="str">
        <x:f>IF(CaseLedger!$A148="","",IFERROR(CaseLedger!$E148,""))</x:f>
      </x:c>
      <x:c r="H148" s="52" t="str">
        <x:f>IF(CaseLedger!$A148="","",IFERROR(CaseLedger!$P148,""))</x:f>
      </x:c>
      <x:c r="I148" s="52" t="str">
        <x:f>IF(CaseLedger!$A148="","",IFERROR(CaseLedger!$Q148,""))</x:f>
      </x:c>
      <x:c r="J148" s="52" t="str">
        <x:f>IF(CaseLedger!$A148="","",IFERROR(CaseLedger!$R148,""))</x:f>
      </x:c>
      <x:c r="K148" s="52" t="str">
        <x:f>IF(CaseLedger!$A148="","",IFERROR(CaseLedger!$S148,""))</x:f>
      </x:c>
      <x:c r="L148" s="52" t="str">
        <x:f>IF(CaseLedger!$A148="","",IFERROR(CaseLedger!$T148,""))</x:f>
      </x:c>
      <x:c r="M148" s="52" t="str">
        <x:f>IF(CaseLedger!$A148="","",IFERROR(CaseLedger!$U148,""))</x:f>
      </x:c>
      <x:c r="N148" s="52" t="str">
        <x:f>IF(CaseLedger!$A148="","",IFERROR(CaseLedger!$V148,""))</x:f>
      </x:c>
      <x:c r="O148" s="52" t="str">
        <x:f>IF(CaseLedger!$A148="","",IFERROR(CaseLedger!$W148,""))</x:f>
      </x:c>
      <x:c r="P148" s="52" t="str">
        <x:f>IF(CaseLedger!$A148="","",IFERROR(CaseLedger!$C148,""))</x:f>
      </x:c>
      <x:c r="Q148" s="52" t="str">
        <x:f>IF(CaseLedger!$A148="","",IFERROR(CaseLedger!$D148,""))</x:f>
      </x:c>
      <x:c r="R148" s="52" t="str">
        <x:f>IF(CaseLedger!$A148="","",IFERROR(CaseLedger!$X148,""))</x:f>
      </x:c>
      <x:c r="S148" s="52" t="str">
        <x:f>IF(CaseLedger!$A148="","",IFERROR(CaseLedger!$Y148,""))</x:f>
      </x:c>
      <x:c r="T148" s="52" t="str">
        <x:f>IF(CaseLedger!$A148="","",IFERROR(CaseLedger!$Z148,""))</x:f>
      </x:c>
      <x:c r="U148" s="52" t="str">
        <x:f>IF(CaseLedger!$A148="","",IFERROR(CaseLedger!$AA148,""))</x:f>
      </x:c>
      <x:c r="V148" s="52" t="str">
        <x:f>IF(CaseLedger!$A148="","",IFERROR(CaseLedger!$AB148,""))</x:f>
      </x:c>
      <x:c r="W148" s="52" t="str">
        <x:f>IF(CaseLedger!$A148="","",IFERROR(CaseLedger!$AC148,""))</x:f>
      </x:c>
      <x:c r="X148" s="52" t="str">
        <x:f>IF(CaseLedger!$A148="","",IFERROR(CaseLedger!$AD148,""))</x:f>
      </x:c>
      <x:c r="Y148" s="52" t="str">
        <x:f>IF(CaseLedger!$A148="","",IFERROR(CaseLedger!$AE148,""))</x:f>
      </x:c>
      <x:c r="Z148" s="52" t="str">
        <x:f>IF(CaseLedger!$A148="","",IFERROR(CaseLedger!$AF148,""))</x:f>
      </x:c>
      <x:c r="AA148" s="52" t="str">
        <x:f>IF(CaseLedger!$A148="","",IFERROR(CaseLedger!$AG148,""))</x:f>
      </x:c>
      <x:c r="AB148" s="52" t="str">
        <x:f>IF(CaseLedger!$A148="","",IFERROR(CaseLedger!$AH148,""))</x:f>
      </x:c>
      <x:c r="AC148"/>
    </x:row>
    <x:row r="149">
      <x:c r="A149" s="52" t="str">
        <x:f>IF(CaseLedger!$A149="","",IFERROR(CaseLedger!$A149,""))</x:f>
      </x:c>
      <x:c r="B149" s="52" t="str">
        <x:f>IF(CaseLedger!$A149="","",IFERROR(CaseLedger!$H149,""))</x:f>
      </x:c>
      <x:c r="C149" s="52" t="str">
        <x:f>IF(CaseLedger!$A149="","",IFERROR(CaseLedger!$I149,""))</x:f>
      </x:c>
      <x:c r="D149" s="52" t="str">
        <x:f>IF(CaseLedger!$A149="","",IFERROR(CaseLedger!$J149,""))</x:f>
      </x:c>
      <x:c r="E149" s="52" t="str">
        <x:f>IF(CaseLedger!$A149="","",IFERROR(CaseLedger!$K149,""))</x:f>
      </x:c>
      <x:c r="F149" s="52" t="str">
        <x:f>IF(CaseLedger!$A149="","",IFERROR(CaseLedger!$O149,""))</x:f>
      </x:c>
      <x:c r="G149" s="52" t="str">
        <x:f>IF(CaseLedger!$A149="","",IFERROR(CaseLedger!$E149,""))</x:f>
      </x:c>
      <x:c r="H149" s="52" t="str">
        <x:f>IF(CaseLedger!$A149="","",IFERROR(CaseLedger!$P149,""))</x:f>
      </x:c>
      <x:c r="I149" s="52" t="str">
        <x:f>IF(CaseLedger!$A149="","",IFERROR(CaseLedger!$Q149,""))</x:f>
      </x:c>
      <x:c r="J149" s="52" t="str">
        <x:f>IF(CaseLedger!$A149="","",IFERROR(CaseLedger!$R149,""))</x:f>
      </x:c>
      <x:c r="K149" s="52" t="str">
        <x:f>IF(CaseLedger!$A149="","",IFERROR(CaseLedger!$S149,""))</x:f>
      </x:c>
      <x:c r="L149" s="52" t="str">
        <x:f>IF(CaseLedger!$A149="","",IFERROR(CaseLedger!$T149,""))</x:f>
      </x:c>
      <x:c r="M149" s="52" t="str">
        <x:f>IF(CaseLedger!$A149="","",IFERROR(CaseLedger!$U149,""))</x:f>
      </x:c>
      <x:c r="N149" s="52" t="str">
        <x:f>IF(CaseLedger!$A149="","",IFERROR(CaseLedger!$V149,""))</x:f>
      </x:c>
      <x:c r="O149" s="52" t="str">
        <x:f>IF(CaseLedger!$A149="","",IFERROR(CaseLedger!$W149,""))</x:f>
      </x:c>
      <x:c r="P149" s="52" t="str">
        <x:f>IF(CaseLedger!$A149="","",IFERROR(CaseLedger!$C149,""))</x:f>
      </x:c>
      <x:c r="Q149" s="52" t="str">
        <x:f>IF(CaseLedger!$A149="","",IFERROR(CaseLedger!$D149,""))</x:f>
      </x:c>
      <x:c r="R149" s="52" t="str">
        <x:f>IF(CaseLedger!$A149="","",IFERROR(CaseLedger!$X149,""))</x:f>
      </x:c>
      <x:c r="S149" s="52" t="str">
        <x:f>IF(CaseLedger!$A149="","",IFERROR(CaseLedger!$Y149,""))</x:f>
      </x:c>
      <x:c r="T149" s="52" t="str">
        <x:f>IF(CaseLedger!$A149="","",IFERROR(CaseLedger!$Z149,""))</x:f>
      </x:c>
      <x:c r="U149" s="52" t="str">
        <x:f>IF(CaseLedger!$A149="","",IFERROR(CaseLedger!$AA149,""))</x:f>
      </x:c>
      <x:c r="V149" s="52" t="str">
        <x:f>IF(CaseLedger!$A149="","",IFERROR(CaseLedger!$AB149,""))</x:f>
      </x:c>
      <x:c r="W149" s="52" t="str">
        <x:f>IF(CaseLedger!$A149="","",IFERROR(CaseLedger!$AC149,""))</x:f>
      </x:c>
      <x:c r="X149" s="52" t="str">
        <x:f>IF(CaseLedger!$A149="","",IFERROR(CaseLedger!$AD149,""))</x:f>
      </x:c>
      <x:c r="Y149" s="52" t="str">
        <x:f>IF(CaseLedger!$A149="","",IFERROR(CaseLedger!$AE149,""))</x:f>
      </x:c>
      <x:c r="Z149" s="52" t="str">
        <x:f>IF(CaseLedger!$A149="","",IFERROR(CaseLedger!$AF149,""))</x:f>
      </x:c>
      <x:c r="AA149" s="52" t="str">
        <x:f>IF(CaseLedger!$A149="","",IFERROR(CaseLedger!$AG149,""))</x:f>
      </x:c>
      <x:c r="AB149" s="52" t="str">
        <x:f>IF(CaseLedger!$A149="","",IFERROR(CaseLedger!$AH149,""))</x:f>
      </x:c>
      <x:c r="AC149"/>
    </x:row>
    <x:row r="150">
      <x:c r="A150" s="52" t="str">
        <x:f>IF(CaseLedger!$A150="","",IFERROR(CaseLedger!$A150,""))</x:f>
      </x:c>
      <x:c r="B150" s="52" t="str">
        <x:f>IF(CaseLedger!$A150="","",IFERROR(CaseLedger!$H150,""))</x:f>
      </x:c>
      <x:c r="C150" s="52" t="str">
        <x:f>IF(CaseLedger!$A150="","",IFERROR(CaseLedger!$I150,""))</x:f>
      </x:c>
      <x:c r="D150" s="52" t="str">
        <x:f>IF(CaseLedger!$A150="","",IFERROR(CaseLedger!$J150,""))</x:f>
      </x:c>
      <x:c r="E150" s="52" t="str">
        <x:f>IF(CaseLedger!$A150="","",IFERROR(CaseLedger!$K150,""))</x:f>
      </x:c>
      <x:c r="F150" s="52" t="str">
        <x:f>IF(CaseLedger!$A150="","",IFERROR(CaseLedger!$O150,""))</x:f>
      </x:c>
      <x:c r="G150" s="52" t="str">
        <x:f>IF(CaseLedger!$A150="","",IFERROR(CaseLedger!$E150,""))</x:f>
      </x:c>
      <x:c r="H150" s="52" t="str">
        <x:f>IF(CaseLedger!$A150="","",IFERROR(CaseLedger!$P150,""))</x:f>
      </x:c>
      <x:c r="I150" s="52" t="str">
        <x:f>IF(CaseLedger!$A150="","",IFERROR(CaseLedger!$Q150,""))</x:f>
      </x:c>
      <x:c r="J150" s="52" t="str">
        <x:f>IF(CaseLedger!$A150="","",IFERROR(CaseLedger!$R150,""))</x:f>
      </x:c>
      <x:c r="K150" s="52" t="str">
        <x:f>IF(CaseLedger!$A150="","",IFERROR(CaseLedger!$S150,""))</x:f>
      </x:c>
      <x:c r="L150" s="52" t="str">
        <x:f>IF(CaseLedger!$A150="","",IFERROR(CaseLedger!$T150,""))</x:f>
      </x:c>
      <x:c r="M150" s="52" t="str">
        <x:f>IF(CaseLedger!$A150="","",IFERROR(CaseLedger!$U150,""))</x:f>
      </x:c>
      <x:c r="N150" s="52" t="str">
        <x:f>IF(CaseLedger!$A150="","",IFERROR(CaseLedger!$V150,""))</x:f>
      </x:c>
      <x:c r="O150" s="52" t="str">
        <x:f>IF(CaseLedger!$A150="","",IFERROR(CaseLedger!$W150,""))</x:f>
      </x:c>
      <x:c r="P150" s="52" t="str">
        <x:f>IF(CaseLedger!$A150="","",IFERROR(CaseLedger!$C150,""))</x:f>
      </x:c>
      <x:c r="Q150" s="52" t="str">
        <x:f>IF(CaseLedger!$A150="","",IFERROR(CaseLedger!$D150,""))</x:f>
      </x:c>
      <x:c r="R150" s="52" t="str">
        <x:f>IF(CaseLedger!$A150="","",IFERROR(CaseLedger!$X150,""))</x:f>
      </x:c>
      <x:c r="S150" s="52" t="str">
        <x:f>IF(CaseLedger!$A150="","",IFERROR(CaseLedger!$Y150,""))</x:f>
      </x:c>
      <x:c r="T150" s="52" t="str">
        <x:f>IF(CaseLedger!$A150="","",IFERROR(CaseLedger!$Z150,""))</x:f>
      </x:c>
      <x:c r="U150" s="52" t="str">
        <x:f>IF(CaseLedger!$A150="","",IFERROR(CaseLedger!$AA150,""))</x:f>
      </x:c>
      <x:c r="V150" s="52" t="str">
        <x:f>IF(CaseLedger!$A150="","",IFERROR(CaseLedger!$AB150,""))</x:f>
      </x:c>
      <x:c r="W150" s="52" t="str">
        <x:f>IF(CaseLedger!$A150="","",IFERROR(CaseLedger!$AC150,""))</x:f>
      </x:c>
      <x:c r="X150" s="52" t="str">
        <x:f>IF(CaseLedger!$A150="","",IFERROR(CaseLedger!$AD150,""))</x:f>
      </x:c>
      <x:c r="Y150" s="52" t="str">
        <x:f>IF(CaseLedger!$A150="","",IFERROR(CaseLedger!$AE150,""))</x:f>
      </x:c>
      <x:c r="Z150" s="52" t="str">
        <x:f>IF(CaseLedger!$A150="","",IFERROR(CaseLedger!$AF150,""))</x:f>
      </x:c>
      <x:c r="AA150" s="52" t="str">
        <x:f>IF(CaseLedger!$A150="","",IFERROR(CaseLedger!$AG150,""))</x:f>
      </x:c>
      <x:c r="AB150" s="52" t="str">
        <x:f>IF(CaseLedger!$A150="","",IFERROR(CaseLedger!$AH150,""))</x:f>
      </x:c>
      <x:c r="AC150"/>
    </x:row>
    <x:row r="151">
      <x:c r="A151" s="52" t="str">
        <x:f>IF(CaseLedger!$A151="","",IFERROR(CaseLedger!$A151,""))</x:f>
      </x:c>
      <x:c r="B151" s="52" t="str">
        <x:f>IF(CaseLedger!$A151="","",IFERROR(CaseLedger!$H151,""))</x:f>
      </x:c>
      <x:c r="C151" s="52" t="str">
        <x:f>IF(CaseLedger!$A151="","",IFERROR(CaseLedger!$I151,""))</x:f>
      </x:c>
      <x:c r="D151" s="52" t="str">
        <x:f>IF(CaseLedger!$A151="","",IFERROR(CaseLedger!$J151,""))</x:f>
      </x:c>
      <x:c r="E151" s="52" t="str">
        <x:f>IF(CaseLedger!$A151="","",IFERROR(CaseLedger!$K151,""))</x:f>
      </x:c>
      <x:c r="F151" s="52" t="str">
        <x:f>IF(CaseLedger!$A151="","",IFERROR(CaseLedger!$O151,""))</x:f>
      </x:c>
      <x:c r="G151" s="52" t="str">
        <x:f>IF(CaseLedger!$A151="","",IFERROR(CaseLedger!$E151,""))</x:f>
      </x:c>
      <x:c r="H151" s="52" t="str">
        <x:f>IF(CaseLedger!$A151="","",IFERROR(CaseLedger!$P151,""))</x:f>
      </x:c>
      <x:c r="I151" s="52" t="str">
        <x:f>IF(CaseLedger!$A151="","",IFERROR(CaseLedger!$Q151,""))</x:f>
      </x:c>
      <x:c r="J151" s="52" t="str">
        <x:f>IF(CaseLedger!$A151="","",IFERROR(CaseLedger!$R151,""))</x:f>
      </x:c>
      <x:c r="K151" s="52" t="str">
        <x:f>IF(CaseLedger!$A151="","",IFERROR(CaseLedger!$S151,""))</x:f>
      </x:c>
      <x:c r="L151" s="52" t="str">
        <x:f>IF(CaseLedger!$A151="","",IFERROR(CaseLedger!$T151,""))</x:f>
      </x:c>
      <x:c r="M151" s="52" t="str">
        <x:f>IF(CaseLedger!$A151="","",IFERROR(CaseLedger!$U151,""))</x:f>
      </x:c>
      <x:c r="N151" s="52" t="str">
        <x:f>IF(CaseLedger!$A151="","",IFERROR(CaseLedger!$V151,""))</x:f>
      </x:c>
      <x:c r="O151" s="52" t="str">
        <x:f>IF(CaseLedger!$A151="","",IFERROR(CaseLedger!$W151,""))</x:f>
      </x:c>
      <x:c r="P151" s="52" t="str">
        <x:f>IF(CaseLedger!$A151="","",IFERROR(CaseLedger!$C151,""))</x:f>
      </x:c>
      <x:c r="Q151" s="52" t="str">
        <x:f>IF(CaseLedger!$A151="","",IFERROR(CaseLedger!$D151,""))</x:f>
      </x:c>
      <x:c r="R151" s="52" t="str">
        <x:f>IF(CaseLedger!$A151="","",IFERROR(CaseLedger!$X151,""))</x:f>
      </x:c>
      <x:c r="S151" s="52" t="str">
        <x:f>IF(CaseLedger!$A151="","",IFERROR(CaseLedger!$Y151,""))</x:f>
      </x:c>
      <x:c r="T151" s="52" t="str">
        <x:f>IF(CaseLedger!$A151="","",IFERROR(CaseLedger!$Z151,""))</x:f>
      </x:c>
      <x:c r="U151" s="52" t="str">
        <x:f>IF(CaseLedger!$A151="","",IFERROR(CaseLedger!$AA151,""))</x:f>
      </x:c>
      <x:c r="V151" s="52" t="str">
        <x:f>IF(CaseLedger!$A151="","",IFERROR(CaseLedger!$AB151,""))</x:f>
      </x:c>
      <x:c r="W151" s="52" t="str">
        <x:f>IF(CaseLedger!$A151="","",IFERROR(CaseLedger!$AC151,""))</x:f>
      </x:c>
      <x:c r="X151" s="52" t="str">
        <x:f>IF(CaseLedger!$A151="","",IFERROR(CaseLedger!$AD151,""))</x:f>
      </x:c>
      <x:c r="Y151" s="52" t="str">
        <x:f>IF(CaseLedger!$A151="","",IFERROR(CaseLedger!$AE151,""))</x:f>
      </x:c>
      <x:c r="Z151" s="52" t="str">
        <x:f>IF(CaseLedger!$A151="","",IFERROR(CaseLedger!$AF151,""))</x:f>
      </x:c>
      <x:c r="AA151" s="52" t="str">
        <x:f>IF(CaseLedger!$A151="","",IFERROR(CaseLedger!$AG151,""))</x:f>
      </x:c>
      <x:c r="AB151" s="52" t="str">
        <x:f>IF(CaseLedger!$A151="","",IFERROR(CaseLedger!$AH151,""))</x:f>
      </x:c>
      <x:c r="AC151"/>
    </x:row>
    <x:row r="152">
      <x:c r="A152" s="52" t="str">
        <x:f>IF(CaseLedger!$A152="","",IFERROR(CaseLedger!$A152,""))</x:f>
      </x:c>
      <x:c r="B152" s="52" t="str">
        <x:f>IF(CaseLedger!$A152="","",IFERROR(CaseLedger!$H152,""))</x:f>
      </x:c>
      <x:c r="C152" s="52" t="str">
        <x:f>IF(CaseLedger!$A152="","",IFERROR(CaseLedger!$I152,""))</x:f>
      </x:c>
      <x:c r="D152" s="52" t="str">
        <x:f>IF(CaseLedger!$A152="","",IFERROR(CaseLedger!$J152,""))</x:f>
      </x:c>
      <x:c r="E152" s="52" t="str">
        <x:f>IF(CaseLedger!$A152="","",IFERROR(CaseLedger!$K152,""))</x:f>
      </x:c>
      <x:c r="F152" s="52" t="str">
        <x:f>IF(CaseLedger!$A152="","",IFERROR(CaseLedger!$O152,""))</x:f>
      </x:c>
      <x:c r="G152" s="52" t="str">
        <x:f>IF(CaseLedger!$A152="","",IFERROR(CaseLedger!$E152,""))</x:f>
      </x:c>
      <x:c r="H152" s="52" t="str">
        <x:f>IF(CaseLedger!$A152="","",IFERROR(CaseLedger!$P152,""))</x:f>
      </x:c>
      <x:c r="I152" s="52" t="str">
        <x:f>IF(CaseLedger!$A152="","",IFERROR(CaseLedger!$Q152,""))</x:f>
      </x:c>
      <x:c r="J152" s="52" t="str">
        <x:f>IF(CaseLedger!$A152="","",IFERROR(CaseLedger!$R152,""))</x:f>
      </x:c>
      <x:c r="K152" s="52" t="str">
        <x:f>IF(CaseLedger!$A152="","",IFERROR(CaseLedger!$S152,""))</x:f>
      </x:c>
      <x:c r="L152" s="52" t="str">
        <x:f>IF(CaseLedger!$A152="","",IFERROR(CaseLedger!$T152,""))</x:f>
      </x:c>
      <x:c r="M152" s="52" t="str">
        <x:f>IF(CaseLedger!$A152="","",IFERROR(CaseLedger!$U152,""))</x:f>
      </x:c>
      <x:c r="N152" s="52" t="str">
        <x:f>IF(CaseLedger!$A152="","",IFERROR(CaseLedger!$V152,""))</x:f>
      </x:c>
      <x:c r="O152" s="52" t="str">
        <x:f>IF(CaseLedger!$A152="","",IFERROR(CaseLedger!$W152,""))</x:f>
      </x:c>
      <x:c r="P152" s="52" t="str">
        <x:f>IF(CaseLedger!$A152="","",IFERROR(CaseLedger!$C152,""))</x:f>
      </x:c>
      <x:c r="Q152" s="52" t="str">
        <x:f>IF(CaseLedger!$A152="","",IFERROR(CaseLedger!$D152,""))</x:f>
      </x:c>
      <x:c r="R152" s="52" t="str">
        <x:f>IF(CaseLedger!$A152="","",IFERROR(CaseLedger!$X152,""))</x:f>
      </x:c>
      <x:c r="S152" s="52" t="str">
        <x:f>IF(CaseLedger!$A152="","",IFERROR(CaseLedger!$Y152,""))</x:f>
      </x:c>
      <x:c r="T152" s="52" t="str">
        <x:f>IF(CaseLedger!$A152="","",IFERROR(CaseLedger!$Z152,""))</x:f>
      </x:c>
      <x:c r="U152" s="52" t="str">
        <x:f>IF(CaseLedger!$A152="","",IFERROR(CaseLedger!$AA152,""))</x:f>
      </x:c>
      <x:c r="V152" s="52" t="str">
        <x:f>IF(CaseLedger!$A152="","",IFERROR(CaseLedger!$AB152,""))</x:f>
      </x:c>
      <x:c r="W152" s="52" t="str">
        <x:f>IF(CaseLedger!$A152="","",IFERROR(CaseLedger!$AC152,""))</x:f>
      </x:c>
      <x:c r="X152" s="52" t="str">
        <x:f>IF(CaseLedger!$A152="","",IFERROR(CaseLedger!$AD152,""))</x:f>
      </x:c>
      <x:c r="Y152" s="52" t="str">
        <x:f>IF(CaseLedger!$A152="","",IFERROR(CaseLedger!$AE152,""))</x:f>
      </x:c>
      <x:c r="Z152" s="52" t="str">
        <x:f>IF(CaseLedger!$A152="","",IFERROR(CaseLedger!$AF152,""))</x:f>
      </x:c>
      <x:c r="AA152" s="52" t="str">
        <x:f>IF(CaseLedger!$A152="","",IFERROR(CaseLedger!$AG152,""))</x:f>
      </x:c>
      <x:c r="AB152" s="52" t="str">
        <x:f>IF(CaseLedger!$A152="","",IFERROR(CaseLedger!$AH152,""))</x:f>
      </x:c>
      <x:c r="AC152"/>
    </x:row>
    <x:row r="153">
      <x:c r="A153" s="52" t="str">
        <x:f>IF(CaseLedger!$A153="","",IFERROR(CaseLedger!$A153,""))</x:f>
      </x:c>
      <x:c r="B153" s="52" t="str">
        <x:f>IF(CaseLedger!$A153="","",IFERROR(CaseLedger!$H153,""))</x:f>
      </x:c>
      <x:c r="C153" s="52" t="str">
        <x:f>IF(CaseLedger!$A153="","",IFERROR(CaseLedger!$I153,""))</x:f>
      </x:c>
      <x:c r="D153" s="52" t="str">
        <x:f>IF(CaseLedger!$A153="","",IFERROR(CaseLedger!$J153,""))</x:f>
      </x:c>
      <x:c r="E153" s="52" t="str">
        <x:f>IF(CaseLedger!$A153="","",IFERROR(CaseLedger!$K153,""))</x:f>
      </x:c>
      <x:c r="F153" s="52" t="str">
        <x:f>IF(CaseLedger!$A153="","",IFERROR(CaseLedger!$O153,""))</x:f>
      </x:c>
      <x:c r="G153" s="52" t="str">
        <x:f>IF(CaseLedger!$A153="","",IFERROR(CaseLedger!$E153,""))</x:f>
      </x:c>
      <x:c r="H153" s="52" t="str">
        <x:f>IF(CaseLedger!$A153="","",IFERROR(CaseLedger!$P153,""))</x:f>
      </x:c>
      <x:c r="I153" s="52" t="str">
        <x:f>IF(CaseLedger!$A153="","",IFERROR(CaseLedger!$Q153,""))</x:f>
      </x:c>
      <x:c r="J153" s="52" t="str">
        <x:f>IF(CaseLedger!$A153="","",IFERROR(CaseLedger!$R153,""))</x:f>
      </x:c>
      <x:c r="K153" s="52" t="str">
        <x:f>IF(CaseLedger!$A153="","",IFERROR(CaseLedger!$S153,""))</x:f>
      </x:c>
      <x:c r="L153" s="52" t="str">
        <x:f>IF(CaseLedger!$A153="","",IFERROR(CaseLedger!$T153,""))</x:f>
      </x:c>
      <x:c r="M153" s="52" t="str">
        <x:f>IF(CaseLedger!$A153="","",IFERROR(CaseLedger!$U153,""))</x:f>
      </x:c>
      <x:c r="N153" s="52" t="str">
        <x:f>IF(CaseLedger!$A153="","",IFERROR(CaseLedger!$V153,""))</x:f>
      </x:c>
      <x:c r="O153" s="52" t="str">
        <x:f>IF(CaseLedger!$A153="","",IFERROR(CaseLedger!$W153,""))</x:f>
      </x:c>
      <x:c r="P153" s="52" t="str">
        <x:f>IF(CaseLedger!$A153="","",IFERROR(CaseLedger!$C153,""))</x:f>
      </x:c>
      <x:c r="Q153" s="52" t="str">
        <x:f>IF(CaseLedger!$A153="","",IFERROR(CaseLedger!$D153,""))</x:f>
      </x:c>
      <x:c r="R153" s="52" t="str">
        <x:f>IF(CaseLedger!$A153="","",IFERROR(CaseLedger!$X153,""))</x:f>
      </x:c>
      <x:c r="S153" s="52" t="str">
        <x:f>IF(CaseLedger!$A153="","",IFERROR(CaseLedger!$Y153,""))</x:f>
      </x:c>
      <x:c r="T153" s="52" t="str">
        <x:f>IF(CaseLedger!$A153="","",IFERROR(CaseLedger!$Z153,""))</x:f>
      </x:c>
      <x:c r="U153" s="52" t="str">
        <x:f>IF(CaseLedger!$A153="","",IFERROR(CaseLedger!$AA153,""))</x:f>
      </x:c>
      <x:c r="V153" s="52" t="str">
        <x:f>IF(CaseLedger!$A153="","",IFERROR(CaseLedger!$AB153,""))</x:f>
      </x:c>
      <x:c r="W153" s="52" t="str">
        <x:f>IF(CaseLedger!$A153="","",IFERROR(CaseLedger!$AC153,""))</x:f>
      </x:c>
      <x:c r="X153" s="52" t="str">
        <x:f>IF(CaseLedger!$A153="","",IFERROR(CaseLedger!$AD153,""))</x:f>
      </x:c>
      <x:c r="Y153" s="52" t="str">
        <x:f>IF(CaseLedger!$A153="","",IFERROR(CaseLedger!$AE153,""))</x:f>
      </x:c>
      <x:c r="Z153" s="52" t="str">
        <x:f>IF(CaseLedger!$A153="","",IFERROR(CaseLedger!$AF153,""))</x:f>
      </x:c>
      <x:c r="AA153" s="52" t="str">
        <x:f>IF(CaseLedger!$A153="","",IFERROR(CaseLedger!$AG153,""))</x:f>
      </x:c>
      <x:c r="AB153" s="52" t="str">
        <x:f>IF(CaseLedger!$A153="","",IFERROR(CaseLedger!$AH153,""))</x:f>
      </x:c>
      <x:c r="AC153"/>
    </x:row>
    <x:row r="154">
      <x:c r="A154" s="52" t="str">
        <x:f>IF(CaseLedger!$A154="","",IFERROR(CaseLedger!$A154,""))</x:f>
      </x:c>
      <x:c r="B154" s="52" t="str">
        <x:f>IF(CaseLedger!$A154="","",IFERROR(CaseLedger!$H154,""))</x:f>
      </x:c>
      <x:c r="C154" s="52" t="str">
        <x:f>IF(CaseLedger!$A154="","",IFERROR(CaseLedger!$I154,""))</x:f>
      </x:c>
      <x:c r="D154" s="52" t="str">
        <x:f>IF(CaseLedger!$A154="","",IFERROR(CaseLedger!$J154,""))</x:f>
      </x:c>
      <x:c r="E154" s="52" t="str">
        <x:f>IF(CaseLedger!$A154="","",IFERROR(CaseLedger!$K154,""))</x:f>
      </x:c>
      <x:c r="F154" s="52" t="str">
        <x:f>IF(CaseLedger!$A154="","",IFERROR(CaseLedger!$O154,""))</x:f>
      </x:c>
      <x:c r="G154" s="52" t="str">
        <x:f>IF(CaseLedger!$A154="","",IFERROR(CaseLedger!$E154,""))</x:f>
      </x:c>
      <x:c r="H154" s="52" t="str">
        <x:f>IF(CaseLedger!$A154="","",IFERROR(CaseLedger!$P154,""))</x:f>
      </x:c>
      <x:c r="I154" s="52" t="str">
        <x:f>IF(CaseLedger!$A154="","",IFERROR(CaseLedger!$Q154,""))</x:f>
      </x:c>
      <x:c r="J154" s="52" t="str">
        <x:f>IF(CaseLedger!$A154="","",IFERROR(CaseLedger!$R154,""))</x:f>
      </x:c>
      <x:c r="K154" s="52" t="str">
        <x:f>IF(CaseLedger!$A154="","",IFERROR(CaseLedger!$S154,""))</x:f>
      </x:c>
      <x:c r="L154" s="52" t="str">
        <x:f>IF(CaseLedger!$A154="","",IFERROR(CaseLedger!$T154,""))</x:f>
      </x:c>
      <x:c r="M154" s="52" t="str">
        <x:f>IF(CaseLedger!$A154="","",IFERROR(CaseLedger!$U154,""))</x:f>
      </x:c>
      <x:c r="N154" s="52" t="str">
        <x:f>IF(CaseLedger!$A154="","",IFERROR(CaseLedger!$V154,""))</x:f>
      </x:c>
      <x:c r="O154" s="52" t="str">
        <x:f>IF(CaseLedger!$A154="","",IFERROR(CaseLedger!$W154,""))</x:f>
      </x:c>
      <x:c r="P154" s="52" t="str">
        <x:f>IF(CaseLedger!$A154="","",IFERROR(CaseLedger!$C154,""))</x:f>
      </x:c>
      <x:c r="Q154" s="52" t="str">
        <x:f>IF(CaseLedger!$A154="","",IFERROR(CaseLedger!$D154,""))</x:f>
      </x:c>
      <x:c r="R154" s="52" t="str">
        <x:f>IF(CaseLedger!$A154="","",IFERROR(CaseLedger!$X154,""))</x:f>
      </x:c>
      <x:c r="S154" s="52" t="str">
        <x:f>IF(CaseLedger!$A154="","",IFERROR(CaseLedger!$Y154,""))</x:f>
      </x:c>
      <x:c r="T154" s="52" t="str">
        <x:f>IF(CaseLedger!$A154="","",IFERROR(CaseLedger!$Z154,""))</x:f>
      </x:c>
      <x:c r="U154" s="52" t="str">
        <x:f>IF(CaseLedger!$A154="","",IFERROR(CaseLedger!$AA154,""))</x:f>
      </x:c>
      <x:c r="V154" s="52" t="str">
        <x:f>IF(CaseLedger!$A154="","",IFERROR(CaseLedger!$AB154,""))</x:f>
      </x:c>
      <x:c r="W154" s="52" t="str">
        <x:f>IF(CaseLedger!$A154="","",IFERROR(CaseLedger!$AC154,""))</x:f>
      </x:c>
      <x:c r="X154" s="52" t="str">
        <x:f>IF(CaseLedger!$A154="","",IFERROR(CaseLedger!$AD154,""))</x:f>
      </x:c>
      <x:c r="Y154" s="52" t="str">
        <x:f>IF(CaseLedger!$A154="","",IFERROR(CaseLedger!$AE154,""))</x:f>
      </x:c>
      <x:c r="Z154" s="52" t="str">
        <x:f>IF(CaseLedger!$A154="","",IFERROR(CaseLedger!$AF154,""))</x:f>
      </x:c>
      <x:c r="AA154" s="52" t="str">
        <x:f>IF(CaseLedger!$A154="","",IFERROR(CaseLedger!$AG154,""))</x:f>
      </x:c>
      <x:c r="AB154" s="52" t="str">
        <x:f>IF(CaseLedger!$A154="","",IFERROR(CaseLedger!$AH154,""))</x:f>
      </x:c>
      <x:c r="AC154"/>
    </x:row>
    <x:row r="155">
      <x:c r="A155" s="52" t="str">
        <x:f>IF(CaseLedger!$A155="","",IFERROR(CaseLedger!$A155,""))</x:f>
      </x:c>
      <x:c r="B155" s="52" t="str">
        <x:f>IF(CaseLedger!$A155="","",IFERROR(CaseLedger!$H155,""))</x:f>
      </x:c>
      <x:c r="C155" s="52" t="str">
        <x:f>IF(CaseLedger!$A155="","",IFERROR(CaseLedger!$I155,""))</x:f>
      </x:c>
      <x:c r="D155" s="52" t="str">
        <x:f>IF(CaseLedger!$A155="","",IFERROR(CaseLedger!$J155,""))</x:f>
      </x:c>
      <x:c r="E155" s="52" t="str">
        <x:f>IF(CaseLedger!$A155="","",IFERROR(CaseLedger!$K155,""))</x:f>
      </x:c>
      <x:c r="F155" s="52" t="str">
        <x:f>IF(CaseLedger!$A155="","",IFERROR(CaseLedger!$O155,""))</x:f>
      </x:c>
      <x:c r="G155" s="52" t="str">
        <x:f>IF(CaseLedger!$A155="","",IFERROR(CaseLedger!$E155,""))</x:f>
      </x:c>
      <x:c r="H155" s="52" t="str">
        <x:f>IF(CaseLedger!$A155="","",IFERROR(CaseLedger!$P155,""))</x:f>
      </x:c>
      <x:c r="I155" s="52" t="str">
        <x:f>IF(CaseLedger!$A155="","",IFERROR(CaseLedger!$Q155,""))</x:f>
      </x:c>
      <x:c r="J155" s="52" t="str">
        <x:f>IF(CaseLedger!$A155="","",IFERROR(CaseLedger!$R155,""))</x:f>
      </x:c>
      <x:c r="K155" s="52" t="str">
        <x:f>IF(CaseLedger!$A155="","",IFERROR(CaseLedger!$S155,""))</x:f>
      </x:c>
      <x:c r="L155" s="52" t="str">
        <x:f>IF(CaseLedger!$A155="","",IFERROR(CaseLedger!$T155,""))</x:f>
      </x:c>
      <x:c r="M155" s="52" t="str">
        <x:f>IF(CaseLedger!$A155="","",IFERROR(CaseLedger!$U155,""))</x:f>
      </x:c>
      <x:c r="N155" s="52" t="str">
        <x:f>IF(CaseLedger!$A155="","",IFERROR(CaseLedger!$V155,""))</x:f>
      </x:c>
      <x:c r="O155" s="52" t="str">
        <x:f>IF(CaseLedger!$A155="","",IFERROR(CaseLedger!$W155,""))</x:f>
      </x:c>
      <x:c r="P155" s="52" t="str">
        <x:f>IF(CaseLedger!$A155="","",IFERROR(CaseLedger!$C155,""))</x:f>
      </x:c>
      <x:c r="Q155" s="52" t="str">
        <x:f>IF(CaseLedger!$A155="","",IFERROR(CaseLedger!$D155,""))</x:f>
      </x:c>
      <x:c r="R155" s="52" t="str">
        <x:f>IF(CaseLedger!$A155="","",IFERROR(CaseLedger!$X155,""))</x:f>
      </x:c>
      <x:c r="S155" s="52" t="str">
        <x:f>IF(CaseLedger!$A155="","",IFERROR(CaseLedger!$Y155,""))</x:f>
      </x:c>
      <x:c r="T155" s="52" t="str">
        <x:f>IF(CaseLedger!$A155="","",IFERROR(CaseLedger!$Z155,""))</x:f>
      </x:c>
      <x:c r="U155" s="52" t="str">
        <x:f>IF(CaseLedger!$A155="","",IFERROR(CaseLedger!$AA155,""))</x:f>
      </x:c>
      <x:c r="V155" s="52" t="str">
        <x:f>IF(CaseLedger!$A155="","",IFERROR(CaseLedger!$AB155,""))</x:f>
      </x:c>
      <x:c r="W155" s="52" t="str">
        <x:f>IF(CaseLedger!$A155="","",IFERROR(CaseLedger!$AC155,""))</x:f>
      </x:c>
      <x:c r="X155" s="52" t="str">
        <x:f>IF(CaseLedger!$A155="","",IFERROR(CaseLedger!$AD155,""))</x:f>
      </x:c>
      <x:c r="Y155" s="52" t="str">
        <x:f>IF(CaseLedger!$A155="","",IFERROR(CaseLedger!$AE155,""))</x:f>
      </x:c>
      <x:c r="Z155" s="52" t="str">
        <x:f>IF(CaseLedger!$A155="","",IFERROR(CaseLedger!$AF155,""))</x:f>
      </x:c>
      <x:c r="AA155" s="52" t="str">
        <x:f>IF(CaseLedger!$A155="","",IFERROR(CaseLedger!$AG155,""))</x:f>
      </x:c>
      <x:c r="AB155" s="52" t="str">
        <x:f>IF(CaseLedger!$A155="","",IFERROR(CaseLedger!$AH155,""))</x:f>
      </x:c>
      <x:c r="AC155"/>
    </x:row>
    <x:row r="156">
      <x:c r="A156" s="52" t="str">
        <x:f>IF(CaseLedger!$A156="","",IFERROR(CaseLedger!$A156,""))</x:f>
      </x:c>
      <x:c r="B156" s="52" t="str">
        <x:f>IF(CaseLedger!$A156="","",IFERROR(CaseLedger!$H156,""))</x:f>
      </x:c>
      <x:c r="C156" s="52" t="str">
        <x:f>IF(CaseLedger!$A156="","",IFERROR(CaseLedger!$I156,""))</x:f>
      </x:c>
      <x:c r="D156" s="52" t="str">
        <x:f>IF(CaseLedger!$A156="","",IFERROR(CaseLedger!$J156,""))</x:f>
      </x:c>
      <x:c r="E156" s="52" t="str">
        <x:f>IF(CaseLedger!$A156="","",IFERROR(CaseLedger!$K156,""))</x:f>
      </x:c>
      <x:c r="F156" s="52" t="str">
        <x:f>IF(CaseLedger!$A156="","",IFERROR(CaseLedger!$O156,""))</x:f>
      </x:c>
      <x:c r="G156" s="52" t="str">
        <x:f>IF(CaseLedger!$A156="","",IFERROR(CaseLedger!$E156,""))</x:f>
      </x:c>
      <x:c r="H156" s="52" t="str">
        <x:f>IF(CaseLedger!$A156="","",IFERROR(CaseLedger!$P156,""))</x:f>
      </x:c>
      <x:c r="I156" s="52" t="str">
        <x:f>IF(CaseLedger!$A156="","",IFERROR(CaseLedger!$Q156,""))</x:f>
      </x:c>
      <x:c r="J156" s="52" t="str">
        <x:f>IF(CaseLedger!$A156="","",IFERROR(CaseLedger!$R156,""))</x:f>
      </x:c>
      <x:c r="K156" s="52" t="str">
        <x:f>IF(CaseLedger!$A156="","",IFERROR(CaseLedger!$S156,""))</x:f>
      </x:c>
      <x:c r="L156" s="52" t="str">
        <x:f>IF(CaseLedger!$A156="","",IFERROR(CaseLedger!$T156,""))</x:f>
      </x:c>
      <x:c r="M156" s="52" t="str">
        <x:f>IF(CaseLedger!$A156="","",IFERROR(CaseLedger!$U156,""))</x:f>
      </x:c>
      <x:c r="N156" s="52" t="str">
        <x:f>IF(CaseLedger!$A156="","",IFERROR(CaseLedger!$V156,""))</x:f>
      </x:c>
      <x:c r="O156" s="52" t="str">
        <x:f>IF(CaseLedger!$A156="","",IFERROR(CaseLedger!$W156,""))</x:f>
      </x:c>
      <x:c r="P156" s="52" t="str">
        <x:f>IF(CaseLedger!$A156="","",IFERROR(CaseLedger!$C156,""))</x:f>
      </x:c>
      <x:c r="Q156" s="52" t="str">
        <x:f>IF(CaseLedger!$A156="","",IFERROR(CaseLedger!$D156,""))</x:f>
      </x:c>
      <x:c r="R156" s="52" t="str">
        <x:f>IF(CaseLedger!$A156="","",IFERROR(CaseLedger!$X156,""))</x:f>
      </x:c>
      <x:c r="S156" s="52" t="str">
        <x:f>IF(CaseLedger!$A156="","",IFERROR(CaseLedger!$Y156,""))</x:f>
      </x:c>
      <x:c r="T156" s="52" t="str">
        <x:f>IF(CaseLedger!$A156="","",IFERROR(CaseLedger!$Z156,""))</x:f>
      </x:c>
      <x:c r="U156" s="52" t="str">
        <x:f>IF(CaseLedger!$A156="","",IFERROR(CaseLedger!$AA156,""))</x:f>
      </x:c>
      <x:c r="V156" s="52" t="str">
        <x:f>IF(CaseLedger!$A156="","",IFERROR(CaseLedger!$AB156,""))</x:f>
      </x:c>
      <x:c r="W156" s="52" t="str">
        <x:f>IF(CaseLedger!$A156="","",IFERROR(CaseLedger!$AC156,""))</x:f>
      </x:c>
      <x:c r="X156" s="52" t="str">
        <x:f>IF(CaseLedger!$A156="","",IFERROR(CaseLedger!$AD156,""))</x:f>
      </x:c>
      <x:c r="Y156" s="52" t="str">
        <x:f>IF(CaseLedger!$A156="","",IFERROR(CaseLedger!$AE156,""))</x:f>
      </x:c>
      <x:c r="Z156" s="52" t="str">
        <x:f>IF(CaseLedger!$A156="","",IFERROR(CaseLedger!$AF156,""))</x:f>
      </x:c>
      <x:c r="AA156" s="52" t="str">
        <x:f>IF(CaseLedger!$A156="","",IFERROR(CaseLedger!$AG156,""))</x:f>
      </x:c>
      <x:c r="AB156" s="52" t="str">
        <x:f>IF(CaseLedger!$A156="","",IFERROR(CaseLedger!$AH156,""))</x:f>
      </x:c>
      <x:c r="AC156"/>
    </x:row>
    <x:row r="157">
      <x:c r="A157" s="52" t="str">
        <x:f>IF(CaseLedger!$A157="","",IFERROR(CaseLedger!$A157,""))</x:f>
      </x:c>
      <x:c r="B157" s="52" t="str">
        <x:f>IF(CaseLedger!$A157="","",IFERROR(CaseLedger!$H157,""))</x:f>
      </x:c>
      <x:c r="C157" s="52" t="str">
        <x:f>IF(CaseLedger!$A157="","",IFERROR(CaseLedger!$I157,""))</x:f>
      </x:c>
      <x:c r="D157" s="52" t="str">
        <x:f>IF(CaseLedger!$A157="","",IFERROR(CaseLedger!$J157,""))</x:f>
      </x:c>
      <x:c r="E157" s="52" t="str">
        <x:f>IF(CaseLedger!$A157="","",IFERROR(CaseLedger!$K157,""))</x:f>
      </x:c>
      <x:c r="F157" s="52" t="str">
        <x:f>IF(CaseLedger!$A157="","",IFERROR(CaseLedger!$O157,""))</x:f>
      </x:c>
      <x:c r="G157" s="52" t="str">
        <x:f>IF(CaseLedger!$A157="","",IFERROR(CaseLedger!$E157,""))</x:f>
      </x:c>
      <x:c r="H157" s="52" t="str">
        <x:f>IF(CaseLedger!$A157="","",IFERROR(CaseLedger!$P157,""))</x:f>
      </x:c>
      <x:c r="I157" s="52" t="str">
        <x:f>IF(CaseLedger!$A157="","",IFERROR(CaseLedger!$Q157,""))</x:f>
      </x:c>
      <x:c r="J157" s="52" t="str">
        <x:f>IF(CaseLedger!$A157="","",IFERROR(CaseLedger!$R157,""))</x:f>
      </x:c>
      <x:c r="K157" s="52" t="str">
        <x:f>IF(CaseLedger!$A157="","",IFERROR(CaseLedger!$S157,""))</x:f>
      </x:c>
      <x:c r="L157" s="52" t="str">
        <x:f>IF(CaseLedger!$A157="","",IFERROR(CaseLedger!$T157,""))</x:f>
      </x:c>
      <x:c r="M157" s="52" t="str">
        <x:f>IF(CaseLedger!$A157="","",IFERROR(CaseLedger!$U157,""))</x:f>
      </x:c>
      <x:c r="N157" s="52" t="str">
        <x:f>IF(CaseLedger!$A157="","",IFERROR(CaseLedger!$V157,""))</x:f>
      </x:c>
      <x:c r="O157" s="52" t="str">
        <x:f>IF(CaseLedger!$A157="","",IFERROR(CaseLedger!$W157,""))</x:f>
      </x:c>
      <x:c r="P157" s="52" t="str">
        <x:f>IF(CaseLedger!$A157="","",IFERROR(CaseLedger!$C157,""))</x:f>
      </x:c>
      <x:c r="Q157" s="52" t="str">
        <x:f>IF(CaseLedger!$A157="","",IFERROR(CaseLedger!$D157,""))</x:f>
      </x:c>
      <x:c r="R157" s="52" t="str">
        <x:f>IF(CaseLedger!$A157="","",IFERROR(CaseLedger!$X157,""))</x:f>
      </x:c>
      <x:c r="S157" s="52" t="str">
        <x:f>IF(CaseLedger!$A157="","",IFERROR(CaseLedger!$Y157,""))</x:f>
      </x:c>
      <x:c r="T157" s="52" t="str">
        <x:f>IF(CaseLedger!$A157="","",IFERROR(CaseLedger!$Z157,""))</x:f>
      </x:c>
      <x:c r="U157" s="52" t="str">
        <x:f>IF(CaseLedger!$A157="","",IFERROR(CaseLedger!$AA157,""))</x:f>
      </x:c>
      <x:c r="V157" s="52" t="str">
        <x:f>IF(CaseLedger!$A157="","",IFERROR(CaseLedger!$AB157,""))</x:f>
      </x:c>
      <x:c r="W157" s="52" t="str">
        <x:f>IF(CaseLedger!$A157="","",IFERROR(CaseLedger!$AC157,""))</x:f>
      </x:c>
      <x:c r="X157" s="52" t="str">
        <x:f>IF(CaseLedger!$A157="","",IFERROR(CaseLedger!$AD157,""))</x:f>
      </x:c>
      <x:c r="Y157" s="52" t="str">
        <x:f>IF(CaseLedger!$A157="","",IFERROR(CaseLedger!$AE157,""))</x:f>
      </x:c>
      <x:c r="Z157" s="52" t="str">
        <x:f>IF(CaseLedger!$A157="","",IFERROR(CaseLedger!$AF157,""))</x:f>
      </x:c>
      <x:c r="AA157" s="52" t="str">
        <x:f>IF(CaseLedger!$A157="","",IFERROR(CaseLedger!$AG157,""))</x:f>
      </x:c>
      <x:c r="AB157" s="52" t="str">
        <x:f>IF(CaseLedger!$A157="","",IFERROR(CaseLedger!$AH157,""))</x:f>
      </x:c>
      <x:c r="AC157"/>
    </x:row>
    <x:row r="158">
      <x:c r="A158" s="52" t="str">
        <x:f>IF(CaseLedger!$A158="","",IFERROR(CaseLedger!$A158,""))</x:f>
      </x:c>
      <x:c r="B158" s="52" t="str">
        <x:f>IF(CaseLedger!$A158="","",IFERROR(CaseLedger!$H158,""))</x:f>
      </x:c>
      <x:c r="C158" s="52" t="str">
        <x:f>IF(CaseLedger!$A158="","",IFERROR(CaseLedger!$I158,""))</x:f>
      </x:c>
      <x:c r="D158" s="52" t="str">
        <x:f>IF(CaseLedger!$A158="","",IFERROR(CaseLedger!$J158,""))</x:f>
      </x:c>
      <x:c r="E158" s="52" t="str">
        <x:f>IF(CaseLedger!$A158="","",IFERROR(CaseLedger!$K158,""))</x:f>
      </x:c>
      <x:c r="F158" s="52" t="str">
        <x:f>IF(CaseLedger!$A158="","",IFERROR(CaseLedger!$O158,""))</x:f>
      </x:c>
      <x:c r="G158" s="52" t="str">
        <x:f>IF(CaseLedger!$A158="","",IFERROR(CaseLedger!$E158,""))</x:f>
      </x:c>
      <x:c r="H158" s="52" t="str">
        <x:f>IF(CaseLedger!$A158="","",IFERROR(CaseLedger!$P158,""))</x:f>
      </x:c>
      <x:c r="I158" s="52" t="str">
        <x:f>IF(CaseLedger!$A158="","",IFERROR(CaseLedger!$Q158,""))</x:f>
      </x:c>
      <x:c r="J158" s="52" t="str">
        <x:f>IF(CaseLedger!$A158="","",IFERROR(CaseLedger!$R158,""))</x:f>
      </x:c>
      <x:c r="K158" s="52" t="str">
        <x:f>IF(CaseLedger!$A158="","",IFERROR(CaseLedger!$S158,""))</x:f>
      </x:c>
      <x:c r="L158" s="52" t="str">
        <x:f>IF(CaseLedger!$A158="","",IFERROR(CaseLedger!$T158,""))</x:f>
      </x:c>
      <x:c r="M158" s="52" t="str">
        <x:f>IF(CaseLedger!$A158="","",IFERROR(CaseLedger!$U158,""))</x:f>
      </x:c>
      <x:c r="N158" s="52" t="str">
        <x:f>IF(CaseLedger!$A158="","",IFERROR(CaseLedger!$V158,""))</x:f>
      </x:c>
      <x:c r="O158" s="52" t="str">
        <x:f>IF(CaseLedger!$A158="","",IFERROR(CaseLedger!$W158,""))</x:f>
      </x:c>
      <x:c r="P158" s="52" t="str">
        <x:f>IF(CaseLedger!$A158="","",IFERROR(CaseLedger!$C158,""))</x:f>
      </x:c>
      <x:c r="Q158" s="52" t="str">
        <x:f>IF(CaseLedger!$A158="","",IFERROR(CaseLedger!$D158,""))</x:f>
      </x:c>
      <x:c r="R158" s="52" t="str">
        <x:f>IF(CaseLedger!$A158="","",IFERROR(CaseLedger!$X158,""))</x:f>
      </x:c>
      <x:c r="S158" s="52" t="str">
        <x:f>IF(CaseLedger!$A158="","",IFERROR(CaseLedger!$Y158,""))</x:f>
      </x:c>
      <x:c r="T158" s="52" t="str">
        <x:f>IF(CaseLedger!$A158="","",IFERROR(CaseLedger!$Z158,""))</x:f>
      </x:c>
      <x:c r="U158" s="52" t="str">
        <x:f>IF(CaseLedger!$A158="","",IFERROR(CaseLedger!$AA158,""))</x:f>
      </x:c>
      <x:c r="V158" s="52" t="str">
        <x:f>IF(CaseLedger!$A158="","",IFERROR(CaseLedger!$AB158,""))</x:f>
      </x:c>
      <x:c r="W158" s="52" t="str">
        <x:f>IF(CaseLedger!$A158="","",IFERROR(CaseLedger!$AC158,""))</x:f>
      </x:c>
      <x:c r="X158" s="52" t="str">
        <x:f>IF(CaseLedger!$A158="","",IFERROR(CaseLedger!$AD158,""))</x:f>
      </x:c>
      <x:c r="Y158" s="52" t="str">
        <x:f>IF(CaseLedger!$A158="","",IFERROR(CaseLedger!$AE158,""))</x:f>
      </x:c>
      <x:c r="Z158" s="52" t="str">
        <x:f>IF(CaseLedger!$A158="","",IFERROR(CaseLedger!$AF158,""))</x:f>
      </x:c>
      <x:c r="AA158" s="52" t="str">
        <x:f>IF(CaseLedger!$A158="","",IFERROR(CaseLedger!$AG158,""))</x:f>
      </x:c>
      <x:c r="AB158" s="52" t="str">
        <x:f>IF(CaseLedger!$A158="","",IFERROR(CaseLedger!$AH158,""))</x:f>
      </x:c>
      <x:c r="AC158"/>
    </x:row>
    <x:row r="159">
      <x:c r="A159" s="52" t="str">
        <x:f>IF(CaseLedger!$A159="","",IFERROR(CaseLedger!$A159,""))</x:f>
      </x:c>
      <x:c r="B159" s="52" t="str">
        <x:f>IF(CaseLedger!$A159="","",IFERROR(CaseLedger!$H159,""))</x:f>
      </x:c>
      <x:c r="C159" s="52" t="str">
        <x:f>IF(CaseLedger!$A159="","",IFERROR(CaseLedger!$I159,""))</x:f>
      </x:c>
      <x:c r="D159" s="52" t="str">
        <x:f>IF(CaseLedger!$A159="","",IFERROR(CaseLedger!$J159,""))</x:f>
      </x:c>
      <x:c r="E159" s="52" t="str">
        <x:f>IF(CaseLedger!$A159="","",IFERROR(CaseLedger!$K159,""))</x:f>
      </x:c>
      <x:c r="F159" s="52" t="str">
        <x:f>IF(CaseLedger!$A159="","",IFERROR(CaseLedger!$O159,""))</x:f>
      </x:c>
      <x:c r="G159" s="52" t="str">
        <x:f>IF(CaseLedger!$A159="","",IFERROR(CaseLedger!$E159,""))</x:f>
      </x:c>
      <x:c r="H159" s="52" t="str">
        <x:f>IF(CaseLedger!$A159="","",IFERROR(CaseLedger!$P159,""))</x:f>
      </x:c>
      <x:c r="I159" s="52" t="str">
        <x:f>IF(CaseLedger!$A159="","",IFERROR(CaseLedger!$Q159,""))</x:f>
      </x:c>
      <x:c r="J159" s="52" t="str">
        <x:f>IF(CaseLedger!$A159="","",IFERROR(CaseLedger!$R159,""))</x:f>
      </x:c>
      <x:c r="K159" s="52" t="str">
        <x:f>IF(CaseLedger!$A159="","",IFERROR(CaseLedger!$S159,""))</x:f>
      </x:c>
      <x:c r="L159" s="52" t="str">
        <x:f>IF(CaseLedger!$A159="","",IFERROR(CaseLedger!$T159,""))</x:f>
      </x:c>
      <x:c r="M159" s="52" t="str">
        <x:f>IF(CaseLedger!$A159="","",IFERROR(CaseLedger!$U159,""))</x:f>
      </x:c>
      <x:c r="N159" s="52" t="str">
        <x:f>IF(CaseLedger!$A159="","",IFERROR(CaseLedger!$V159,""))</x:f>
      </x:c>
      <x:c r="O159" s="52" t="str">
        <x:f>IF(CaseLedger!$A159="","",IFERROR(CaseLedger!$W159,""))</x:f>
      </x:c>
      <x:c r="P159" s="52" t="str">
        <x:f>IF(CaseLedger!$A159="","",IFERROR(CaseLedger!$C159,""))</x:f>
      </x:c>
      <x:c r="Q159" s="52" t="str">
        <x:f>IF(CaseLedger!$A159="","",IFERROR(CaseLedger!$D159,""))</x:f>
      </x:c>
      <x:c r="R159" s="52" t="str">
        <x:f>IF(CaseLedger!$A159="","",IFERROR(CaseLedger!$X159,""))</x:f>
      </x:c>
      <x:c r="S159" s="52" t="str">
        <x:f>IF(CaseLedger!$A159="","",IFERROR(CaseLedger!$Y159,""))</x:f>
      </x:c>
      <x:c r="T159" s="52" t="str">
        <x:f>IF(CaseLedger!$A159="","",IFERROR(CaseLedger!$Z159,""))</x:f>
      </x:c>
      <x:c r="U159" s="52" t="str">
        <x:f>IF(CaseLedger!$A159="","",IFERROR(CaseLedger!$AA159,""))</x:f>
      </x:c>
      <x:c r="V159" s="52" t="str">
        <x:f>IF(CaseLedger!$A159="","",IFERROR(CaseLedger!$AB159,""))</x:f>
      </x:c>
      <x:c r="W159" s="52" t="str">
        <x:f>IF(CaseLedger!$A159="","",IFERROR(CaseLedger!$AC159,""))</x:f>
      </x:c>
      <x:c r="X159" s="52" t="str">
        <x:f>IF(CaseLedger!$A159="","",IFERROR(CaseLedger!$AD159,""))</x:f>
      </x:c>
      <x:c r="Y159" s="52" t="str">
        <x:f>IF(CaseLedger!$A159="","",IFERROR(CaseLedger!$AE159,""))</x:f>
      </x:c>
      <x:c r="Z159" s="52" t="str">
        <x:f>IF(CaseLedger!$A159="","",IFERROR(CaseLedger!$AF159,""))</x:f>
      </x:c>
      <x:c r="AA159" s="52" t="str">
        <x:f>IF(CaseLedger!$A159="","",IFERROR(CaseLedger!$AG159,""))</x:f>
      </x:c>
      <x:c r="AB159" s="52" t="str">
        <x:f>IF(CaseLedger!$A159="","",IFERROR(CaseLedger!$AH159,""))</x:f>
      </x:c>
      <x:c r="AC159"/>
    </x:row>
    <x:row r="160">
      <x:c r="A160" s="52" t="str">
        <x:f>IF(CaseLedger!$A160="","",IFERROR(CaseLedger!$A160,""))</x:f>
      </x:c>
      <x:c r="B160" s="52" t="str">
        <x:f>IF(CaseLedger!$A160="","",IFERROR(CaseLedger!$H160,""))</x:f>
      </x:c>
      <x:c r="C160" s="52" t="str">
        <x:f>IF(CaseLedger!$A160="","",IFERROR(CaseLedger!$I160,""))</x:f>
      </x:c>
      <x:c r="D160" s="52" t="str">
        <x:f>IF(CaseLedger!$A160="","",IFERROR(CaseLedger!$J160,""))</x:f>
      </x:c>
      <x:c r="E160" s="52" t="str">
        <x:f>IF(CaseLedger!$A160="","",IFERROR(CaseLedger!$K160,""))</x:f>
      </x:c>
      <x:c r="F160" s="52" t="str">
        <x:f>IF(CaseLedger!$A160="","",IFERROR(CaseLedger!$O160,""))</x:f>
      </x:c>
      <x:c r="G160" s="52" t="str">
        <x:f>IF(CaseLedger!$A160="","",IFERROR(CaseLedger!$E160,""))</x:f>
      </x:c>
      <x:c r="H160" s="52" t="str">
        <x:f>IF(CaseLedger!$A160="","",IFERROR(CaseLedger!$P160,""))</x:f>
      </x:c>
      <x:c r="I160" s="52" t="str">
        <x:f>IF(CaseLedger!$A160="","",IFERROR(CaseLedger!$Q160,""))</x:f>
      </x:c>
      <x:c r="J160" s="52" t="str">
        <x:f>IF(CaseLedger!$A160="","",IFERROR(CaseLedger!$R160,""))</x:f>
      </x:c>
      <x:c r="K160" s="52" t="str">
        <x:f>IF(CaseLedger!$A160="","",IFERROR(CaseLedger!$S160,""))</x:f>
      </x:c>
      <x:c r="L160" s="52" t="str">
        <x:f>IF(CaseLedger!$A160="","",IFERROR(CaseLedger!$T160,""))</x:f>
      </x:c>
      <x:c r="M160" s="52" t="str">
        <x:f>IF(CaseLedger!$A160="","",IFERROR(CaseLedger!$U160,""))</x:f>
      </x:c>
      <x:c r="N160" s="52" t="str">
        <x:f>IF(CaseLedger!$A160="","",IFERROR(CaseLedger!$V160,""))</x:f>
      </x:c>
      <x:c r="O160" s="52" t="str">
        <x:f>IF(CaseLedger!$A160="","",IFERROR(CaseLedger!$W160,""))</x:f>
      </x:c>
      <x:c r="P160" s="52" t="str">
        <x:f>IF(CaseLedger!$A160="","",IFERROR(CaseLedger!$C160,""))</x:f>
      </x:c>
      <x:c r="Q160" s="52" t="str">
        <x:f>IF(CaseLedger!$A160="","",IFERROR(CaseLedger!$D160,""))</x:f>
      </x:c>
      <x:c r="R160" s="52" t="str">
        <x:f>IF(CaseLedger!$A160="","",IFERROR(CaseLedger!$X160,""))</x:f>
      </x:c>
      <x:c r="S160" s="52" t="str">
        <x:f>IF(CaseLedger!$A160="","",IFERROR(CaseLedger!$Y160,""))</x:f>
      </x:c>
      <x:c r="T160" s="52" t="str">
        <x:f>IF(CaseLedger!$A160="","",IFERROR(CaseLedger!$Z160,""))</x:f>
      </x:c>
      <x:c r="U160" s="52" t="str">
        <x:f>IF(CaseLedger!$A160="","",IFERROR(CaseLedger!$AA160,""))</x:f>
      </x:c>
      <x:c r="V160" s="52" t="str">
        <x:f>IF(CaseLedger!$A160="","",IFERROR(CaseLedger!$AB160,""))</x:f>
      </x:c>
      <x:c r="W160" s="52" t="str">
        <x:f>IF(CaseLedger!$A160="","",IFERROR(CaseLedger!$AC160,""))</x:f>
      </x:c>
      <x:c r="X160" s="52" t="str">
        <x:f>IF(CaseLedger!$A160="","",IFERROR(CaseLedger!$AD160,""))</x:f>
      </x:c>
      <x:c r="Y160" s="52" t="str">
        <x:f>IF(CaseLedger!$A160="","",IFERROR(CaseLedger!$AE160,""))</x:f>
      </x:c>
      <x:c r="Z160" s="52" t="str">
        <x:f>IF(CaseLedger!$A160="","",IFERROR(CaseLedger!$AF160,""))</x:f>
      </x:c>
      <x:c r="AA160" s="52" t="str">
        <x:f>IF(CaseLedger!$A160="","",IFERROR(CaseLedger!$AG160,""))</x:f>
      </x:c>
      <x:c r="AB160" s="52" t="str">
        <x:f>IF(CaseLedger!$A160="","",IFERROR(CaseLedger!$AH160,""))</x:f>
      </x:c>
      <x:c r="AC160"/>
    </x:row>
    <x:row r="161">
      <x:c r="A161" s="52" t="str">
        <x:f>IF(CaseLedger!$A161="","",IFERROR(CaseLedger!$A161,""))</x:f>
      </x:c>
      <x:c r="B161" s="52" t="str">
        <x:f>IF(CaseLedger!$A161="","",IFERROR(CaseLedger!$H161,""))</x:f>
      </x:c>
      <x:c r="C161" s="52" t="str">
        <x:f>IF(CaseLedger!$A161="","",IFERROR(CaseLedger!$I161,""))</x:f>
      </x:c>
      <x:c r="D161" s="52" t="str">
        <x:f>IF(CaseLedger!$A161="","",IFERROR(CaseLedger!$J161,""))</x:f>
      </x:c>
      <x:c r="E161" s="52" t="str">
        <x:f>IF(CaseLedger!$A161="","",IFERROR(CaseLedger!$K161,""))</x:f>
      </x:c>
      <x:c r="F161" s="52" t="str">
        <x:f>IF(CaseLedger!$A161="","",IFERROR(CaseLedger!$O161,""))</x:f>
      </x:c>
      <x:c r="G161" s="52" t="str">
        <x:f>IF(CaseLedger!$A161="","",IFERROR(CaseLedger!$E161,""))</x:f>
      </x:c>
      <x:c r="H161" s="52" t="str">
        <x:f>IF(CaseLedger!$A161="","",IFERROR(CaseLedger!$P161,""))</x:f>
      </x:c>
      <x:c r="I161" s="52" t="str">
        <x:f>IF(CaseLedger!$A161="","",IFERROR(CaseLedger!$Q161,""))</x:f>
      </x:c>
      <x:c r="J161" s="52" t="str">
        <x:f>IF(CaseLedger!$A161="","",IFERROR(CaseLedger!$R161,""))</x:f>
      </x:c>
      <x:c r="K161" s="52" t="str">
        <x:f>IF(CaseLedger!$A161="","",IFERROR(CaseLedger!$S161,""))</x:f>
      </x:c>
      <x:c r="L161" s="52" t="str">
        <x:f>IF(CaseLedger!$A161="","",IFERROR(CaseLedger!$T161,""))</x:f>
      </x:c>
      <x:c r="M161" s="52" t="str">
        <x:f>IF(CaseLedger!$A161="","",IFERROR(CaseLedger!$U161,""))</x:f>
      </x:c>
      <x:c r="N161" s="52" t="str">
        <x:f>IF(CaseLedger!$A161="","",IFERROR(CaseLedger!$V161,""))</x:f>
      </x:c>
      <x:c r="O161" s="52" t="str">
        <x:f>IF(CaseLedger!$A161="","",IFERROR(CaseLedger!$W161,""))</x:f>
      </x:c>
      <x:c r="P161" s="52" t="str">
        <x:f>IF(CaseLedger!$A161="","",IFERROR(CaseLedger!$C161,""))</x:f>
      </x:c>
      <x:c r="Q161" s="52" t="str">
        <x:f>IF(CaseLedger!$A161="","",IFERROR(CaseLedger!$D161,""))</x:f>
      </x:c>
      <x:c r="R161" s="52" t="str">
        <x:f>IF(CaseLedger!$A161="","",IFERROR(CaseLedger!$X161,""))</x:f>
      </x:c>
      <x:c r="S161" s="52" t="str">
        <x:f>IF(CaseLedger!$A161="","",IFERROR(CaseLedger!$Y161,""))</x:f>
      </x:c>
      <x:c r="T161" s="52" t="str">
        <x:f>IF(CaseLedger!$A161="","",IFERROR(CaseLedger!$Z161,""))</x:f>
      </x:c>
      <x:c r="U161" s="52" t="str">
        <x:f>IF(CaseLedger!$A161="","",IFERROR(CaseLedger!$AA161,""))</x:f>
      </x:c>
      <x:c r="V161" s="52" t="str">
        <x:f>IF(CaseLedger!$A161="","",IFERROR(CaseLedger!$AB161,""))</x:f>
      </x:c>
      <x:c r="W161" s="52" t="str">
        <x:f>IF(CaseLedger!$A161="","",IFERROR(CaseLedger!$AC161,""))</x:f>
      </x:c>
      <x:c r="X161" s="52" t="str">
        <x:f>IF(CaseLedger!$A161="","",IFERROR(CaseLedger!$AD161,""))</x:f>
      </x:c>
      <x:c r="Y161" s="52" t="str">
        <x:f>IF(CaseLedger!$A161="","",IFERROR(CaseLedger!$AE161,""))</x:f>
      </x:c>
      <x:c r="Z161" s="52" t="str">
        <x:f>IF(CaseLedger!$A161="","",IFERROR(CaseLedger!$AF161,""))</x:f>
      </x:c>
      <x:c r="AA161" s="52" t="str">
        <x:f>IF(CaseLedger!$A161="","",IFERROR(CaseLedger!$AG161,""))</x:f>
      </x:c>
      <x:c r="AB161" s="52" t="str">
        <x:f>IF(CaseLedger!$A161="","",IFERROR(CaseLedger!$AH161,""))</x:f>
      </x:c>
      <x:c r="AC161"/>
    </x:row>
    <x:row r="162">
      <x:c r="A162" s="52" t="str">
        <x:f>IF(CaseLedger!$A162="","",IFERROR(CaseLedger!$A162,""))</x:f>
      </x:c>
      <x:c r="B162" s="52" t="str">
        <x:f>IF(CaseLedger!$A162="","",IFERROR(CaseLedger!$H162,""))</x:f>
      </x:c>
      <x:c r="C162" s="52" t="str">
        <x:f>IF(CaseLedger!$A162="","",IFERROR(CaseLedger!$I162,""))</x:f>
      </x:c>
      <x:c r="D162" s="52" t="str">
        <x:f>IF(CaseLedger!$A162="","",IFERROR(CaseLedger!$J162,""))</x:f>
      </x:c>
      <x:c r="E162" s="52" t="str">
        <x:f>IF(CaseLedger!$A162="","",IFERROR(CaseLedger!$K162,""))</x:f>
      </x:c>
      <x:c r="F162" s="52" t="str">
        <x:f>IF(CaseLedger!$A162="","",IFERROR(CaseLedger!$O162,""))</x:f>
      </x:c>
      <x:c r="G162" s="52" t="str">
        <x:f>IF(CaseLedger!$A162="","",IFERROR(CaseLedger!$E162,""))</x:f>
      </x:c>
      <x:c r="H162" s="52" t="str">
        <x:f>IF(CaseLedger!$A162="","",IFERROR(CaseLedger!$P162,""))</x:f>
      </x:c>
      <x:c r="I162" s="52" t="str">
        <x:f>IF(CaseLedger!$A162="","",IFERROR(CaseLedger!$Q162,""))</x:f>
      </x:c>
      <x:c r="J162" s="52" t="str">
        <x:f>IF(CaseLedger!$A162="","",IFERROR(CaseLedger!$R162,""))</x:f>
      </x:c>
      <x:c r="K162" s="52" t="str">
        <x:f>IF(CaseLedger!$A162="","",IFERROR(CaseLedger!$S162,""))</x:f>
      </x:c>
      <x:c r="L162" s="52" t="str">
        <x:f>IF(CaseLedger!$A162="","",IFERROR(CaseLedger!$T162,""))</x:f>
      </x:c>
      <x:c r="M162" s="52" t="str">
        <x:f>IF(CaseLedger!$A162="","",IFERROR(CaseLedger!$U162,""))</x:f>
      </x:c>
      <x:c r="N162" s="52" t="str">
        <x:f>IF(CaseLedger!$A162="","",IFERROR(CaseLedger!$V162,""))</x:f>
      </x:c>
      <x:c r="O162" s="52" t="str">
        <x:f>IF(CaseLedger!$A162="","",IFERROR(CaseLedger!$W162,""))</x:f>
      </x:c>
      <x:c r="P162" s="52" t="str">
        <x:f>IF(CaseLedger!$A162="","",IFERROR(CaseLedger!$C162,""))</x:f>
      </x:c>
      <x:c r="Q162" s="52" t="str">
        <x:f>IF(CaseLedger!$A162="","",IFERROR(CaseLedger!$D162,""))</x:f>
      </x:c>
      <x:c r="R162" s="52" t="str">
        <x:f>IF(CaseLedger!$A162="","",IFERROR(CaseLedger!$X162,""))</x:f>
      </x:c>
      <x:c r="S162" s="52" t="str">
        <x:f>IF(CaseLedger!$A162="","",IFERROR(CaseLedger!$Y162,""))</x:f>
      </x:c>
      <x:c r="T162" s="52" t="str">
        <x:f>IF(CaseLedger!$A162="","",IFERROR(CaseLedger!$Z162,""))</x:f>
      </x:c>
      <x:c r="U162" s="52" t="str">
        <x:f>IF(CaseLedger!$A162="","",IFERROR(CaseLedger!$AA162,""))</x:f>
      </x:c>
      <x:c r="V162" s="52" t="str">
        <x:f>IF(CaseLedger!$A162="","",IFERROR(CaseLedger!$AB162,""))</x:f>
      </x:c>
      <x:c r="W162" s="52" t="str">
        <x:f>IF(CaseLedger!$A162="","",IFERROR(CaseLedger!$AC162,""))</x:f>
      </x:c>
      <x:c r="X162" s="52" t="str">
        <x:f>IF(CaseLedger!$A162="","",IFERROR(CaseLedger!$AD162,""))</x:f>
      </x:c>
      <x:c r="Y162" s="52" t="str">
        <x:f>IF(CaseLedger!$A162="","",IFERROR(CaseLedger!$AE162,""))</x:f>
      </x:c>
      <x:c r="Z162" s="52" t="str">
        <x:f>IF(CaseLedger!$A162="","",IFERROR(CaseLedger!$AF162,""))</x:f>
      </x:c>
      <x:c r="AA162" s="52" t="str">
        <x:f>IF(CaseLedger!$A162="","",IFERROR(CaseLedger!$AG162,""))</x:f>
      </x:c>
      <x:c r="AB162" s="52" t="str">
        <x:f>IF(CaseLedger!$A162="","",IFERROR(CaseLedger!$AH162,""))</x:f>
      </x:c>
      <x:c r="AC162"/>
    </x:row>
    <x:row r="163">
      <x:c r="A163" s="52" t="str">
        <x:f>IF(CaseLedger!$A163="","",IFERROR(CaseLedger!$A163,""))</x:f>
      </x:c>
      <x:c r="B163" s="52" t="str">
        <x:f>IF(CaseLedger!$A163="","",IFERROR(CaseLedger!$H163,""))</x:f>
      </x:c>
      <x:c r="C163" s="52" t="str">
        <x:f>IF(CaseLedger!$A163="","",IFERROR(CaseLedger!$I163,""))</x:f>
      </x:c>
      <x:c r="D163" s="52" t="str">
        <x:f>IF(CaseLedger!$A163="","",IFERROR(CaseLedger!$J163,""))</x:f>
      </x:c>
      <x:c r="E163" s="52" t="str">
        <x:f>IF(CaseLedger!$A163="","",IFERROR(CaseLedger!$K163,""))</x:f>
      </x:c>
      <x:c r="F163" s="52" t="str">
        <x:f>IF(CaseLedger!$A163="","",IFERROR(CaseLedger!$O163,""))</x:f>
      </x:c>
      <x:c r="G163" s="52" t="str">
        <x:f>IF(CaseLedger!$A163="","",IFERROR(CaseLedger!$E163,""))</x:f>
      </x:c>
      <x:c r="H163" s="52" t="str">
        <x:f>IF(CaseLedger!$A163="","",IFERROR(CaseLedger!$P163,""))</x:f>
      </x:c>
      <x:c r="I163" s="52" t="str">
        <x:f>IF(CaseLedger!$A163="","",IFERROR(CaseLedger!$Q163,""))</x:f>
      </x:c>
      <x:c r="J163" s="52" t="str">
        <x:f>IF(CaseLedger!$A163="","",IFERROR(CaseLedger!$R163,""))</x:f>
      </x:c>
      <x:c r="K163" s="52" t="str">
        <x:f>IF(CaseLedger!$A163="","",IFERROR(CaseLedger!$S163,""))</x:f>
      </x:c>
      <x:c r="L163" s="52" t="str">
        <x:f>IF(CaseLedger!$A163="","",IFERROR(CaseLedger!$T163,""))</x:f>
      </x:c>
      <x:c r="M163" s="52" t="str">
        <x:f>IF(CaseLedger!$A163="","",IFERROR(CaseLedger!$U163,""))</x:f>
      </x:c>
      <x:c r="N163" s="52" t="str">
        <x:f>IF(CaseLedger!$A163="","",IFERROR(CaseLedger!$V163,""))</x:f>
      </x:c>
      <x:c r="O163" s="52" t="str">
        <x:f>IF(CaseLedger!$A163="","",IFERROR(CaseLedger!$W163,""))</x:f>
      </x:c>
      <x:c r="P163" s="52" t="str">
        <x:f>IF(CaseLedger!$A163="","",IFERROR(CaseLedger!$C163,""))</x:f>
      </x:c>
      <x:c r="Q163" s="52" t="str">
        <x:f>IF(CaseLedger!$A163="","",IFERROR(CaseLedger!$D163,""))</x:f>
      </x:c>
      <x:c r="R163" s="52" t="str">
        <x:f>IF(CaseLedger!$A163="","",IFERROR(CaseLedger!$X163,""))</x:f>
      </x:c>
      <x:c r="S163" s="52" t="str">
        <x:f>IF(CaseLedger!$A163="","",IFERROR(CaseLedger!$Y163,""))</x:f>
      </x:c>
      <x:c r="T163" s="52" t="str">
        <x:f>IF(CaseLedger!$A163="","",IFERROR(CaseLedger!$Z163,""))</x:f>
      </x:c>
      <x:c r="U163" s="52" t="str">
        <x:f>IF(CaseLedger!$A163="","",IFERROR(CaseLedger!$AA163,""))</x:f>
      </x:c>
      <x:c r="V163" s="52" t="str">
        <x:f>IF(CaseLedger!$A163="","",IFERROR(CaseLedger!$AB163,""))</x:f>
      </x:c>
      <x:c r="W163" s="52" t="str">
        <x:f>IF(CaseLedger!$A163="","",IFERROR(CaseLedger!$AC163,""))</x:f>
      </x:c>
      <x:c r="X163" s="52" t="str">
        <x:f>IF(CaseLedger!$A163="","",IFERROR(CaseLedger!$AD163,""))</x:f>
      </x:c>
      <x:c r="Y163" s="52" t="str">
        <x:f>IF(CaseLedger!$A163="","",IFERROR(CaseLedger!$AE163,""))</x:f>
      </x:c>
      <x:c r="Z163" s="52" t="str">
        <x:f>IF(CaseLedger!$A163="","",IFERROR(CaseLedger!$AF163,""))</x:f>
      </x:c>
      <x:c r="AA163" s="52" t="str">
        <x:f>IF(CaseLedger!$A163="","",IFERROR(CaseLedger!$AG163,""))</x:f>
      </x:c>
      <x:c r="AB163" s="52" t="str">
        <x:f>IF(CaseLedger!$A163="","",IFERROR(CaseLedger!$AH163,""))</x:f>
      </x:c>
      <x:c r="AC163"/>
    </x:row>
    <x:row r="164">
      <x:c r="A164" s="52" t="str">
        <x:f>IF(CaseLedger!$A164="","",IFERROR(CaseLedger!$A164,""))</x:f>
      </x:c>
      <x:c r="B164" s="52" t="str">
        <x:f>IF(CaseLedger!$A164="","",IFERROR(CaseLedger!$H164,""))</x:f>
      </x:c>
      <x:c r="C164" s="52" t="str">
        <x:f>IF(CaseLedger!$A164="","",IFERROR(CaseLedger!$I164,""))</x:f>
      </x:c>
      <x:c r="D164" s="52" t="str">
        <x:f>IF(CaseLedger!$A164="","",IFERROR(CaseLedger!$J164,""))</x:f>
      </x:c>
      <x:c r="E164" s="52" t="str">
        <x:f>IF(CaseLedger!$A164="","",IFERROR(CaseLedger!$K164,""))</x:f>
      </x:c>
      <x:c r="F164" s="52" t="str">
        <x:f>IF(CaseLedger!$A164="","",IFERROR(CaseLedger!$O164,""))</x:f>
      </x:c>
      <x:c r="G164" s="52" t="str">
        <x:f>IF(CaseLedger!$A164="","",IFERROR(CaseLedger!$E164,""))</x:f>
      </x:c>
      <x:c r="H164" s="52" t="str">
        <x:f>IF(CaseLedger!$A164="","",IFERROR(CaseLedger!$P164,""))</x:f>
      </x:c>
      <x:c r="I164" s="52" t="str">
        <x:f>IF(CaseLedger!$A164="","",IFERROR(CaseLedger!$Q164,""))</x:f>
      </x:c>
      <x:c r="J164" s="52" t="str">
        <x:f>IF(CaseLedger!$A164="","",IFERROR(CaseLedger!$R164,""))</x:f>
      </x:c>
      <x:c r="K164" s="52" t="str">
        <x:f>IF(CaseLedger!$A164="","",IFERROR(CaseLedger!$S164,""))</x:f>
      </x:c>
      <x:c r="L164" s="52" t="str">
        <x:f>IF(CaseLedger!$A164="","",IFERROR(CaseLedger!$T164,""))</x:f>
      </x:c>
      <x:c r="M164" s="52" t="str">
        <x:f>IF(CaseLedger!$A164="","",IFERROR(CaseLedger!$U164,""))</x:f>
      </x:c>
      <x:c r="N164" s="52" t="str">
        <x:f>IF(CaseLedger!$A164="","",IFERROR(CaseLedger!$V164,""))</x:f>
      </x:c>
      <x:c r="O164" s="52" t="str">
        <x:f>IF(CaseLedger!$A164="","",IFERROR(CaseLedger!$W164,""))</x:f>
      </x:c>
      <x:c r="P164" s="52" t="str">
        <x:f>IF(CaseLedger!$A164="","",IFERROR(CaseLedger!$C164,""))</x:f>
      </x:c>
      <x:c r="Q164" s="52" t="str">
        <x:f>IF(CaseLedger!$A164="","",IFERROR(CaseLedger!$D164,""))</x:f>
      </x:c>
      <x:c r="R164" s="52" t="str">
        <x:f>IF(CaseLedger!$A164="","",IFERROR(CaseLedger!$X164,""))</x:f>
      </x:c>
      <x:c r="S164" s="52" t="str">
        <x:f>IF(CaseLedger!$A164="","",IFERROR(CaseLedger!$Y164,""))</x:f>
      </x:c>
      <x:c r="T164" s="52" t="str">
        <x:f>IF(CaseLedger!$A164="","",IFERROR(CaseLedger!$Z164,""))</x:f>
      </x:c>
      <x:c r="U164" s="52" t="str">
        <x:f>IF(CaseLedger!$A164="","",IFERROR(CaseLedger!$AA164,""))</x:f>
      </x:c>
      <x:c r="V164" s="52" t="str">
        <x:f>IF(CaseLedger!$A164="","",IFERROR(CaseLedger!$AB164,""))</x:f>
      </x:c>
      <x:c r="W164" s="52" t="str">
        <x:f>IF(CaseLedger!$A164="","",IFERROR(CaseLedger!$AC164,""))</x:f>
      </x:c>
      <x:c r="X164" s="52" t="str">
        <x:f>IF(CaseLedger!$A164="","",IFERROR(CaseLedger!$AD164,""))</x:f>
      </x:c>
      <x:c r="Y164" s="52" t="str">
        <x:f>IF(CaseLedger!$A164="","",IFERROR(CaseLedger!$AE164,""))</x:f>
      </x:c>
      <x:c r="Z164" s="52" t="str">
        <x:f>IF(CaseLedger!$A164="","",IFERROR(CaseLedger!$AF164,""))</x:f>
      </x:c>
      <x:c r="AA164" s="52" t="str">
        <x:f>IF(CaseLedger!$A164="","",IFERROR(CaseLedger!$AG164,""))</x:f>
      </x:c>
      <x:c r="AB164" s="52" t="str">
        <x:f>IF(CaseLedger!$A164="","",IFERROR(CaseLedger!$AH164,""))</x:f>
      </x:c>
      <x:c r="AC164"/>
    </x:row>
    <x:row r="165">
      <x:c r="A165" s="52" t="str">
        <x:f>IF(CaseLedger!$A165="","",IFERROR(CaseLedger!$A165,""))</x:f>
      </x:c>
      <x:c r="B165" s="52" t="str">
        <x:f>IF(CaseLedger!$A165="","",IFERROR(CaseLedger!$H165,""))</x:f>
      </x:c>
      <x:c r="C165" s="52" t="str">
        <x:f>IF(CaseLedger!$A165="","",IFERROR(CaseLedger!$I165,""))</x:f>
      </x:c>
      <x:c r="D165" s="52" t="str">
        <x:f>IF(CaseLedger!$A165="","",IFERROR(CaseLedger!$J165,""))</x:f>
      </x:c>
      <x:c r="E165" s="52" t="str">
        <x:f>IF(CaseLedger!$A165="","",IFERROR(CaseLedger!$K165,""))</x:f>
      </x:c>
      <x:c r="F165" s="52" t="str">
        <x:f>IF(CaseLedger!$A165="","",IFERROR(CaseLedger!$O165,""))</x:f>
      </x:c>
      <x:c r="G165" s="52" t="str">
        <x:f>IF(CaseLedger!$A165="","",IFERROR(CaseLedger!$E165,""))</x:f>
      </x:c>
      <x:c r="H165" s="52" t="str">
        <x:f>IF(CaseLedger!$A165="","",IFERROR(CaseLedger!$P165,""))</x:f>
      </x:c>
      <x:c r="I165" s="52" t="str">
        <x:f>IF(CaseLedger!$A165="","",IFERROR(CaseLedger!$Q165,""))</x:f>
      </x:c>
      <x:c r="J165" s="52" t="str">
        <x:f>IF(CaseLedger!$A165="","",IFERROR(CaseLedger!$R165,""))</x:f>
      </x:c>
      <x:c r="K165" s="52" t="str">
        <x:f>IF(CaseLedger!$A165="","",IFERROR(CaseLedger!$S165,""))</x:f>
      </x:c>
      <x:c r="L165" s="52" t="str">
        <x:f>IF(CaseLedger!$A165="","",IFERROR(CaseLedger!$T165,""))</x:f>
      </x:c>
      <x:c r="M165" s="52" t="str">
        <x:f>IF(CaseLedger!$A165="","",IFERROR(CaseLedger!$U165,""))</x:f>
      </x:c>
      <x:c r="N165" s="52" t="str">
        <x:f>IF(CaseLedger!$A165="","",IFERROR(CaseLedger!$V165,""))</x:f>
      </x:c>
      <x:c r="O165" s="52" t="str">
        <x:f>IF(CaseLedger!$A165="","",IFERROR(CaseLedger!$W165,""))</x:f>
      </x:c>
      <x:c r="P165" s="52" t="str">
        <x:f>IF(CaseLedger!$A165="","",IFERROR(CaseLedger!$C165,""))</x:f>
      </x:c>
      <x:c r="Q165" s="52" t="str">
        <x:f>IF(CaseLedger!$A165="","",IFERROR(CaseLedger!$D165,""))</x:f>
      </x:c>
      <x:c r="R165" s="52" t="str">
        <x:f>IF(CaseLedger!$A165="","",IFERROR(CaseLedger!$X165,""))</x:f>
      </x:c>
      <x:c r="S165" s="52" t="str">
        <x:f>IF(CaseLedger!$A165="","",IFERROR(CaseLedger!$Y165,""))</x:f>
      </x:c>
      <x:c r="T165" s="52" t="str">
        <x:f>IF(CaseLedger!$A165="","",IFERROR(CaseLedger!$Z165,""))</x:f>
      </x:c>
      <x:c r="U165" s="52" t="str">
        <x:f>IF(CaseLedger!$A165="","",IFERROR(CaseLedger!$AA165,""))</x:f>
      </x:c>
      <x:c r="V165" s="52" t="str">
        <x:f>IF(CaseLedger!$A165="","",IFERROR(CaseLedger!$AB165,""))</x:f>
      </x:c>
      <x:c r="W165" s="52" t="str">
        <x:f>IF(CaseLedger!$A165="","",IFERROR(CaseLedger!$AC165,""))</x:f>
      </x:c>
      <x:c r="X165" s="52" t="str">
        <x:f>IF(CaseLedger!$A165="","",IFERROR(CaseLedger!$AD165,""))</x:f>
      </x:c>
      <x:c r="Y165" s="52" t="str">
        <x:f>IF(CaseLedger!$A165="","",IFERROR(CaseLedger!$AE165,""))</x:f>
      </x:c>
      <x:c r="Z165" s="52" t="str">
        <x:f>IF(CaseLedger!$A165="","",IFERROR(CaseLedger!$AF165,""))</x:f>
      </x:c>
      <x:c r="AA165" s="52" t="str">
        <x:f>IF(CaseLedger!$A165="","",IFERROR(CaseLedger!$AG165,""))</x:f>
      </x:c>
      <x:c r="AB165" s="52" t="str">
        <x:f>IF(CaseLedger!$A165="","",IFERROR(CaseLedger!$AH165,""))</x:f>
      </x:c>
      <x:c r="AC165"/>
    </x:row>
    <x:row r="166">
      <x:c r="A166" s="52" t="str">
        <x:f>IF(CaseLedger!$A166="","",IFERROR(CaseLedger!$A166,""))</x:f>
      </x:c>
      <x:c r="B166" s="52" t="str">
        <x:f>IF(CaseLedger!$A166="","",IFERROR(CaseLedger!$H166,""))</x:f>
      </x:c>
      <x:c r="C166" s="52" t="str">
        <x:f>IF(CaseLedger!$A166="","",IFERROR(CaseLedger!$I166,""))</x:f>
      </x:c>
      <x:c r="D166" s="52" t="str">
        <x:f>IF(CaseLedger!$A166="","",IFERROR(CaseLedger!$J166,""))</x:f>
      </x:c>
      <x:c r="E166" s="52" t="str">
        <x:f>IF(CaseLedger!$A166="","",IFERROR(CaseLedger!$K166,""))</x:f>
      </x:c>
      <x:c r="F166" s="52" t="str">
        <x:f>IF(CaseLedger!$A166="","",IFERROR(CaseLedger!$O166,""))</x:f>
      </x:c>
      <x:c r="G166" s="52" t="str">
        <x:f>IF(CaseLedger!$A166="","",IFERROR(CaseLedger!$E166,""))</x:f>
      </x:c>
      <x:c r="H166" s="52" t="str">
        <x:f>IF(CaseLedger!$A166="","",IFERROR(CaseLedger!$P166,""))</x:f>
      </x:c>
      <x:c r="I166" s="52" t="str">
        <x:f>IF(CaseLedger!$A166="","",IFERROR(CaseLedger!$Q166,""))</x:f>
      </x:c>
      <x:c r="J166" s="52" t="str">
        <x:f>IF(CaseLedger!$A166="","",IFERROR(CaseLedger!$R166,""))</x:f>
      </x:c>
      <x:c r="K166" s="52" t="str">
        <x:f>IF(CaseLedger!$A166="","",IFERROR(CaseLedger!$S166,""))</x:f>
      </x:c>
      <x:c r="L166" s="52" t="str">
        <x:f>IF(CaseLedger!$A166="","",IFERROR(CaseLedger!$T166,""))</x:f>
      </x:c>
      <x:c r="M166" s="52" t="str">
        <x:f>IF(CaseLedger!$A166="","",IFERROR(CaseLedger!$U166,""))</x:f>
      </x:c>
      <x:c r="N166" s="52" t="str">
        <x:f>IF(CaseLedger!$A166="","",IFERROR(CaseLedger!$V166,""))</x:f>
      </x:c>
      <x:c r="O166" s="52" t="str">
        <x:f>IF(CaseLedger!$A166="","",IFERROR(CaseLedger!$W166,""))</x:f>
      </x:c>
      <x:c r="P166" s="52" t="str">
        <x:f>IF(CaseLedger!$A166="","",IFERROR(CaseLedger!$C166,""))</x:f>
      </x:c>
      <x:c r="Q166" s="52" t="str">
        <x:f>IF(CaseLedger!$A166="","",IFERROR(CaseLedger!$D166,""))</x:f>
      </x:c>
      <x:c r="R166" s="52" t="str">
        <x:f>IF(CaseLedger!$A166="","",IFERROR(CaseLedger!$X166,""))</x:f>
      </x:c>
      <x:c r="S166" s="52" t="str">
        <x:f>IF(CaseLedger!$A166="","",IFERROR(CaseLedger!$Y166,""))</x:f>
      </x:c>
      <x:c r="T166" s="52" t="str">
        <x:f>IF(CaseLedger!$A166="","",IFERROR(CaseLedger!$Z166,""))</x:f>
      </x:c>
      <x:c r="U166" s="52" t="str">
        <x:f>IF(CaseLedger!$A166="","",IFERROR(CaseLedger!$AA166,""))</x:f>
      </x:c>
      <x:c r="V166" s="52" t="str">
        <x:f>IF(CaseLedger!$A166="","",IFERROR(CaseLedger!$AB166,""))</x:f>
      </x:c>
      <x:c r="W166" s="52" t="str">
        <x:f>IF(CaseLedger!$A166="","",IFERROR(CaseLedger!$AC166,""))</x:f>
      </x:c>
      <x:c r="X166" s="52" t="str">
        <x:f>IF(CaseLedger!$A166="","",IFERROR(CaseLedger!$AD166,""))</x:f>
      </x:c>
      <x:c r="Y166" s="52" t="str">
        <x:f>IF(CaseLedger!$A166="","",IFERROR(CaseLedger!$AE166,""))</x:f>
      </x:c>
      <x:c r="Z166" s="52" t="str">
        <x:f>IF(CaseLedger!$A166="","",IFERROR(CaseLedger!$AF166,""))</x:f>
      </x:c>
      <x:c r="AA166" s="52" t="str">
        <x:f>IF(CaseLedger!$A166="","",IFERROR(CaseLedger!$AG166,""))</x:f>
      </x:c>
      <x:c r="AB166" s="52" t="str">
        <x:f>IF(CaseLedger!$A166="","",IFERROR(CaseLedger!$AH166,""))</x:f>
      </x:c>
      <x:c r="AC166"/>
    </x:row>
    <x:row r="167">
      <x:c r="A167" s="52" t="str">
        <x:f>IF(CaseLedger!$A167="","",IFERROR(CaseLedger!$A167,""))</x:f>
      </x:c>
      <x:c r="B167" s="52" t="str">
        <x:f>IF(CaseLedger!$A167="","",IFERROR(CaseLedger!$H167,""))</x:f>
      </x:c>
      <x:c r="C167" s="52" t="str">
        <x:f>IF(CaseLedger!$A167="","",IFERROR(CaseLedger!$I167,""))</x:f>
      </x:c>
      <x:c r="D167" s="52" t="str">
        <x:f>IF(CaseLedger!$A167="","",IFERROR(CaseLedger!$J167,""))</x:f>
      </x:c>
      <x:c r="E167" s="52" t="str">
        <x:f>IF(CaseLedger!$A167="","",IFERROR(CaseLedger!$K167,""))</x:f>
      </x:c>
      <x:c r="F167" s="52" t="str">
        <x:f>IF(CaseLedger!$A167="","",IFERROR(CaseLedger!$O167,""))</x:f>
      </x:c>
      <x:c r="G167" s="52" t="str">
        <x:f>IF(CaseLedger!$A167="","",IFERROR(CaseLedger!$E167,""))</x:f>
      </x:c>
      <x:c r="H167" s="52" t="str">
        <x:f>IF(CaseLedger!$A167="","",IFERROR(CaseLedger!$P167,""))</x:f>
      </x:c>
      <x:c r="I167" s="52" t="str">
        <x:f>IF(CaseLedger!$A167="","",IFERROR(CaseLedger!$Q167,""))</x:f>
      </x:c>
      <x:c r="J167" s="52" t="str">
        <x:f>IF(CaseLedger!$A167="","",IFERROR(CaseLedger!$R167,""))</x:f>
      </x:c>
      <x:c r="K167" s="52" t="str">
        <x:f>IF(CaseLedger!$A167="","",IFERROR(CaseLedger!$S167,""))</x:f>
      </x:c>
      <x:c r="L167" s="52" t="str">
        <x:f>IF(CaseLedger!$A167="","",IFERROR(CaseLedger!$T167,""))</x:f>
      </x:c>
      <x:c r="M167" s="52" t="str">
        <x:f>IF(CaseLedger!$A167="","",IFERROR(CaseLedger!$U167,""))</x:f>
      </x:c>
      <x:c r="N167" s="52" t="str">
        <x:f>IF(CaseLedger!$A167="","",IFERROR(CaseLedger!$V167,""))</x:f>
      </x:c>
      <x:c r="O167" s="52" t="str">
        <x:f>IF(CaseLedger!$A167="","",IFERROR(CaseLedger!$W167,""))</x:f>
      </x:c>
      <x:c r="P167" s="52" t="str">
        <x:f>IF(CaseLedger!$A167="","",IFERROR(CaseLedger!$C167,""))</x:f>
      </x:c>
      <x:c r="Q167" s="52" t="str">
        <x:f>IF(CaseLedger!$A167="","",IFERROR(CaseLedger!$D167,""))</x:f>
      </x:c>
      <x:c r="R167" s="52" t="str">
        <x:f>IF(CaseLedger!$A167="","",IFERROR(CaseLedger!$X167,""))</x:f>
      </x:c>
      <x:c r="S167" s="52" t="str">
        <x:f>IF(CaseLedger!$A167="","",IFERROR(CaseLedger!$Y167,""))</x:f>
      </x:c>
      <x:c r="T167" s="52" t="str">
        <x:f>IF(CaseLedger!$A167="","",IFERROR(CaseLedger!$Z167,""))</x:f>
      </x:c>
      <x:c r="U167" s="52" t="str">
        <x:f>IF(CaseLedger!$A167="","",IFERROR(CaseLedger!$AA167,""))</x:f>
      </x:c>
      <x:c r="V167" s="52" t="str">
        <x:f>IF(CaseLedger!$A167="","",IFERROR(CaseLedger!$AB167,""))</x:f>
      </x:c>
      <x:c r="W167" s="52" t="str">
        <x:f>IF(CaseLedger!$A167="","",IFERROR(CaseLedger!$AC167,""))</x:f>
      </x:c>
      <x:c r="X167" s="52" t="str">
        <x:f>IF(CaseLedger!$A167="","",IFERROR(CaseLedger!$AD167,""))</x:f>
      </x:c>
      <x:c r="Y167" s="52" t="str">
        <x:f>IF(CaseLedger!$A167="","",IFERROR(CaseLedger!$AE167,""))</x:f>
      </x:c>
      <x:c r="Z167" s="52" t="str">
        <x:f>IF(CaseLedger!$A167="","",IFERROR(CaseLedger!$AF167,""))</x:f>
      </x:c>
      <x:c r="AA167" s="52" t="str">
        <x:f>IF(CaseLedger!$A167="","",IFERROR(CaseLedger!$AG167,""))</x:f>
      </x:c>
      <x:c r="AB167" s="52" t="str">
        <x:f>IF(CaseLedger!$A167="","",IFERROR(CaseLedger!$AH167,""))</x:f>
      </x:c>
      <x:c r="AC167"/>
    </x:row>
    <x:row r="168">
      <x:c r="A168" s="52" t="str">
        <x:f>IF(CaseLedger!$A168="","",IFERROR(CaseLedger!$A168,""))</x:f>
      </x:c>
      <x:c r="B168" s="52" t="str">
        <x:f>IF(CaseLedger!$A168="","",IFERROR(CaseLedger!$H168,""))</x:f>
      </x:c>
      <x:c r="C168" s="52" t="str">
        <x:f>IF(CaseLedger!$A168="","",IFERROR(CaseLedger!$I168,""))</x:f>
      </x:c>
      <x:c r="D168" s="52" t="str">
        <x:f>IF(CaseLedger!$A168="","",IFERROR(CaseLedger!$J168,""))</x:f>
      </x:c>
      <x:c r="E168" s="52" t="str">
        <x:f>IF(CaseLedger!$A168="","",IFERROR(CaseLedger!$K168,""))</x:f>
      </x:c>
      <x:c r="F168" s="52" t="str">
        <x:f>IF(CaseLedger!$A168="","",IFERROR(CaseLedger!$O168,""))</x:f>
      </x:c>
      <x:c r="G168" s="52" t="str">
        <x:f>IF(CaseLedger!$A168="","",IFERROR(CaseLedger!$E168,""))</x:f>
      </x:c>
      <x:c r="H168" s="52" t="str">
        <x:f>IF(CaseLedger!$A168="","",IFERROR(CaseLedger!$P168,""))</x:f>
      </x:c>
      <x:c r="I168" s="52" t="str">
        <x:f>IF(CaseLedger!$A168="","",IFERROR(CaseLedger!$Q168,""))</x:f>
      </x:c>
      <x:c r="J168" s="52" t="str">
        <x:f>IF(CaseLedger!$A168="","",IFERROR(CaseLedger!$R168,""))</x:f>
      </x:c>
      <x:c r="K168" s="52" t="str">
        <x:f>IF(CaseLedger!$A168="","",IFERROR(CaseLedger!$S168,""))</x:f>
      </x:c>
      <x:c r="L168" s="52" t="str">
        <x:f>IF(CaseLedger!$A168="","",IFERROR(CaseLedger!$T168,""))</x:f>
      </x:c>
      <x:c r="M168" s="52" t="str">
        <x:f>IF(CaseLedger!$A168="","",IFERROR(CaseLedger!$U168,""))</x:f>
      </x:c>
      <x:c r="N168" s="52" t="str">
        <x:f>IF(CaseLedger!$A168="","",IFERROR(CaseLedger!$V168,""))</x:f>
      </x:c>
      <x:c r="O168" s="52" t="str">
        <x:f>IF(CaseLedger!$A168="","",IFERROR(CaseLedger!$W168,""))</x:f>
      </x:c>
      <x:c r="P168" s="52" t="str">
        <x:f>IF(CaseLedger!$A168="","",IFERROR(CaseLedger!$C168,""))</x:f>
      </x:c>
      <x:c r="Q168" s="52" t="str">
        <x:f>IF(CaseLedger!$A168="","",IFERROR(CaseLedger!$D168,""))</x:f>
      </x:c>
      <x:c r="R168" s="52" t="str">
        <x:f>IF(CaseLedger!$A168="","",IFERROR(CaseLedger!$X168,""))</x:f>
      </x:c>
      <x:c r="S168" s="52" t="str">
        <x:f>IF(CaseLedger!$A168="","",IFERROR(CaseLedger!$Y168,""))</x:f>
      </x:c>
      <x:c r="T168" s="52" t="str">
        <x:f>IF(CaseLedger!$A168="","",IFERROR(CaseLedger!$Z168,""))</x:f>
      </x:c>
      <x:c r="U168" s="52" t="str">
        <x:f>IF(CaseLedger!$A168="","",IFERROR(CaseLedger!$AA168,""))</x:f>
      </x:c>
      <x:c r="V168" s="52" t="str">
        <x:f>IF(CaseLedger!$A168="","",IFERROR(CaseLedger!$AB168,""))</x:f>
      </x:c>
      <x:c r="W168" s="52" t="str">
        <x:f>IF(CaseLedger!$A168="","",IFERROR(CaseLedger!$AC168,""))</x:f>
      </x:c>
      <x:c r="X168" s="52" t="str">
        <x:f>IF(CaseLedger!$A168="","",IFERROR(CaseLedger!$AD168,""))</x:f>
      </x:c>
      <x:c r="Y168" s="52" t="str">
        <x:f>IF(CaseLedger!$A168="","",IFERROR(CaseLedger!$AE168,""))</x:f>
      </x:c>
      <x:c r="Z168" s="52" t="str">
        <x:f>IF(CaseLedger!$A168="","",IFERROR(CaseLedger!$AF168,""))</x:f>
      </x:c>
      <x:c r="AA168" s="52" t="str">
        <x:f>IF(CaseLedger!$A168="","",IFERROR(CaseLedger!$AG168,""))</x:f>
      </x:c>
      <x:c r="AB168" s="52" t="str">
        <x:f>IF(CaseLedger!$A168="","",IFERROR(CaseLedger!$AH168,""))</x:f>
      </x:c>
      <x:c r="AC168"/>
    </x:row>
    <x:row r="169">
      <x:c r="A169" s="52" t="str">
        <x:f>IF(CaseLedger!$A169="","",IFERROR(CaseLedger!$A169,""))</x:f>
      </x:c>
      <x:c r="B169" s="52" t="str">
        <x:f>IF(CaseLedger!$A169="","",IFERROR(CaseLedger!$H169,""))</x:f>
      </x:c>
      <x:c r="C169" s="52" t="str">
        <x:f>IF(CaseLedger!$A169="","",IFERROR(CaseLedger!$I169,""))</x:f>
      </x:c>
      <x:c r="D169" s="52" t="str">
        <x:f>IF(CaseLedger!$A169="","",IFERROR(CaseLedger!$J169,""))</x:f>
      </x:c>
      <x:c r="E169" s="52" t="str">
        <x:f>IF(CaseLedger!$A169="","",IFERROR(CaseLedger!$K169,""))</x:f>
      </x:c>
      <x:c r="F169" s="52" t="str">
        <x:f>IF(CaseLedger!$A169="","",IFERROR(CaseLedger!$O169,""))</x:f>
      </x:c>
      <x:c r="G169" s="52" t="str">
        <x:f>IF(CaseLedger!$A169="","",IFERROR(CaseLedger!$E169,""))</x:f>
      </x:c>
      <x:c r="H169" s="52" t="str">
        <x:f>IF(CaseLedger!$A169="","",IFERROR(CaseLedger!$P169,""))</x:f>
      </x:c>
      <x:c r="I169" s="52" t="str">
        <x:f>IF(CaseLedger!$A169="","",IFERROR(CaseLedger!$Q169,""))</x:f>
      </x:c>
      <x:c r="J169" s="52" t="str">
        <x:f>IF(CaseLedger!$A169="","",IFERROR(CaseLedger!$R169,""))</x:f>
      </x:c>
      <x:c r="K169" s="52" t="str">
        <x:f>IF(CaseLedger!$A169="","",IFERROR(CaseLedger!$S169,""))</x:f>
      </x:c>
      <x:c r="L169" s="52" t="str">
        <x:f>IF(CaseLedger!$A169="","",IFERROR(CaseLedger!$T169,""))</x:f>
      </x:c>
      <x:c r="M169" s="52" t="str">
        <x:f>IF(CaseLedger!$A169="","",IFERROR(CaseLedger!$U169,""))</x:f>
      </x:c>
      <x:c r="N169" s="52" t="str">
        <x:f>IF(CaseLedger!$A169="","",IFERROR(CaseLedger!$V169,""))</x:f>
      </x:c>
      <x:c r="O169" s="52" t="str">
        <x:f>IF(CaseLedger!$A169="","",IFERROR(CaseLedger!$W169,""))</x:f>
      </x:c>
      <x:c r="P169" s="52" t="str">
        <x:f>IF(CaseLedger!$A169="","",IFERROR(CaseLedger!$C169,""))</x:f>
      </x:c>
      <x:c r="Q169" s="52" t="str">
        <x:f>IF(CaseLedger!$A169="","",IFERROR(CaseLedger!$D169,""))</x:f>
      </x:c>
      <x:c r="R169" s="52" t="str">
        <x:f>IF(CaseLedger!$A169="","",IFERROR(CaseLedger!$X169,""))</x:f>
      </x:c>
      <x:c r="S169" s="52" t="str">
        <x:f>IF(CaseLedger!$A169="","",IFERROR(CaseLedger!$Y169,""))</x:f>
      </x:c>
      <x:c r="T169" s="52" t="str">
        <x:f>IF(CaseLedger!$A169="","",IFERROR(CaseLedger!$Z169,""))</x:f>
      </x:c>
      <x:c r="U169" s="52" t="str">
        <x:f>IF(CaseLedger!$A169="","",IFERROR(CaseLedger!$AA169,""))</x:f>
      </x:c>
      <x:c r="V169" s="52" t="str">
        <x:f>IF(CaseLedger!$A169="","",IFERROR(CaseLedger!$AB169,""))</x:f>
      </x:c>
      <x:c r="W169" s="52" t="str">
        <x:f>IF(CaseLedger!$A169="","",IFERROR(CaseLedger!$AC169,""))</x:f>
      </x:c>
      <x:c r="X169" s="52" t="str">
        <x:f>IF(CaseLedger!$A169="","",IFERROR(CaseLedger!$AD169,""))</x:f>
      </x:c>
      <x:c r="Y169" s="52" t="str">
        <x:f>IF(CaseLedger!$A169="","",IFERROR(CaseLedger!$AE169,""))</x:f>
      </x:c>
      <x:c r="Z169" s="52" t="str">
        <x:f>IF(CaseLedger!$A169="","",IFERROR(CaseLedger!$AF169,""))</x:f>
      </x:c>
      <x:c r="AA169" s="52" t="str">
        <x:f>IF(CaseLedger!$A169="","",IFERROR(CaseLedger!$AG169,""))</x:f>
      </x:c>
      <x:c r="AB169" s="52" t="str">
        <x:f>IF(CaseLedger!$A169="","",IFERROR(CaseLedger!$AH169,""))</x:f>
      </x:c>
      <x:c r="AC169"/>
    </x:row>
    <x:row r="170">
      <x:c r="A170" s="52" t="str">
        <x:f>IF(CaseLedger!$A170="","",IFERROR(CaseLedger!$A170,""))</x:f>
      </x:c>
      <x:c r="B170" s="52" t="str">
        <x:f>IF(CaseLedger!$A170="","",IFERROR(CaseLedger!$H170,""))</x:f>
      </x:c>
      <x:c r="C170" s="52" t="str">
        <x:f>IF(CaseLedger!$A170="","",IFERROR(CaseLedger!$I170,""))</x:f>
      </x:c>
      <x:c r="D170" s="52" t="str">
        <x:f>IF(CaseLedger!$A170="","",IFERROR(CaseLedger!$J170,""))</x:f>
      </x:c>
      <x:c r="E170" s="52" t="str">
        <x:f>IF(CaseLedger!$A170="","",IFERROR(CaseLedger!$K170,""))</x:f>
      </x:c>
      <x:c r="F170" s="52" t="str">
        <x:f>IF(CaseLedger!$A170="","",IFERROR(CaseLedger!$O170,""))</x:f>
      </x:c>
      <x:c r="G170" s="52" t="str">
        <x:f>IF(CaseLedger!$A170="","",IFERROR(CaseLedger!$E170,""))</x:f>
      </x:c>
      <x:c r="H170" s="52" t="str">
        <x:f>IF(CaseLedger!$A170="","",IFERROR(CaseLedger!$P170,""))</x:f>
      </x:c>
      <x:c r="I170" s="52" t="str">
        <x:f>IF(CaseLedger!$A170="","",IFERROR(CaseLedger!$Q170,""))</x:f>
      </x:c>
      <x:c r="J170" s="52" t="str">
        <x:f>IF(CaseLedger!$A170="","",IFERROR(CaseLedger!$R170,""))</x:f>
      </x:c>
      <x:c r="K170" s="52" t="str">
        <x:f>IF(CaseLedger!$A170="","",IFERROR(CaseLedger!$S170,""))</x:f>
      </x:c>
      <x:c r="L170" s="52" t="str">
        <x:f>IF(CaseLedger!$A170="","",IFERROR(CaseLedger!$T170,""))</x:f>
      </x:c>
      <x:c r="M170" s="52" t="str">
        <x:f>IF(CaseLedger!$A170="","",IFERROR(CaseLedger!$U170,""))</x:f>
      </x:c>
      <x:c r="N170" s="52" t="str">
        <x:f>IF(CaseLedger!$A170="","",IFERROR(CaseLedger!$V170,""))</x:f>
      </x:c>
      <x:c r="O170" s="52" t="str">
        <x:f>IF(CaseLedger!$A170="","",IFERROR(CaseLedger!$W170,""))</x:f>
      </x:c>
      <x:c r="P170" s="52" t="str">
        <x:f>IF(CaseLedger!$A170="","",IFERROR(CaseLedger!$C170,""))</x:f>
      </x:c>
      <x:c r="Q170" s="52" t="str">
        <x:f>IF(CaseLedger!$A170="","",IFERROR(CaseLedger!$D170,""))</x:f>
      </x:c>
      <x:c r="R170" s="52" t="str">
        <x:f>IF(CaseLedger!$A170="","",IFERROR(CaseLedger!$X170,""))</x:f>
      </x:c>
      <x:c r="S170" s="52" t="str">
        <x:f>IF(CaseLedger!$A170="","",IFERROR(CaseLedger!$Y170,""))</x:f>
      </x:c>
      <x:c r="T170" s="52" t="str">
        <x:f>IF(CaseLedger!$A170="","",IFERROR(CaseLedger!$Z170,""))</x:f>
      </x:c>
      <x:c r="U170" s="52" t="str">
        <x:f>IF(CaseLedger!$A170="","",IFERROR(CaseLedger!$AA170,""))</x:f>
      </x:c>
      <x:c r="V170" s="52" t="str">
        <x:f>IF(CaseLedger!$A170="","",IFERROR(CaseLedger!$AB170,""))</x:f>
      </x:c>
      <x:c r="W170" s="52" t="str">
        <x:f>IF(CaseLedger!$A170="","",IFERROR(CaseLedger!$AC170,""))</x:f>
      </x:c>
      <x:c r="X170" s="52" t="str">
        <x:f>IF(CaseLedger!$A170="","",IFERROR(CaseLedger!$AD170,""))</x:f>
      </x:c>
      <x:c r="Y170" s="52" t="str">
        <x:f>IF(CaseLedger!$A170="","",IFERROR(CaseLedger!$AE170,""))</x:f>
      </x:c>
      <x:c r="Z170" s="52" t="str">
        <x:f>IF(CaseLedger!$A170="","",IFERROR(CaseLedger!$AF170,""))</x:f>
      </x:c>
      <x:c r="AA170" s="52" t="str">
        <x:f>IF(CaseLedger!$A170="","",IFERROR(CaseLedger!$AG170,""))</x:f>
      </x:c>
      <x:c r="AB170" s="52" t="str">
        <x:f>IF(CaseLedger!$A170="","",IFERROR(CaseLedger!$AH170,""))</x:f>
      </x:c>
      <x:c r="AC170"/>
    </x:row>
    <x:row r="171">
      <x:c r="A171" s="52" t="str">
        <x:f>IF(CaseLedger!$A171="","",IFERROR(CaseLedger!$A171,""))</x:f>
      </x:c>
      <x:c r="B171" s="52" t="str">
        <x:f>IF(CaseLedger!$A171="","",IFERROR(CaseLedger!$H171,""))</x:f>
      </x:c>
      <x:c r="C171" s="52" t="str">
        <x:f>IF(CaseLedger!$A171="","",IFERROR(CaseLedger!$I171,""))</x:f>
      </x:c>
      <x:c r="D171" s="52" t="str">
        <x:f>IF(CaseLedger!$A171="","",IFERROR(CaseLedger!$J171,""))</x:f>
      </x:c>
      <x:c r="E171" s="52" t="str">
        <x:f>IF(CaseLedger!$A171="","",IFERROR(CaseLedger!$K171,""))</x:f>
      </x:c>
      <x:c r="F171" s="52" t="str">
        <x:f>IF(CaseLedger!$A171="","",IFERROR(CaseLedger!$O171,""))</x:f>
      </x:c>
      <x:c r="G171" s="52" t="str">
        <x:f>IF(CaseLedger!$A171="","",IFERROR(CaseLedger!$E171,""))</x:f>
      </x:c>
      <x:c r="H171" s="52" t="str">
        <x:f>IF(CaseLedger!$A171="","",IFERROR(CaseLedger!$P171,""))</x:f>
      </x:c>
      <x:c r="I171" s="52" t="str">
        <x:f>IF(CaseLedger!$A171="","",IFERROR(CaseLedger!$Q171,""))</x:f>
      </x:c>
      <x:c r="J171" s="52" t="str">
        <x:f>IF(CaseLedger!$A171="","",IFERROR(CaseLedger!$R171,""))</x:f>
      </x:c>
      <x:c r="K171" s="52" t="str">
        <x:f>IF(CaseLedger!$A171="","",IFERROR(CaseLedger!$S171,""))</x:f>
      </x:c>
      <x:c r="L171" s="52" t="str">
        <x:f>IF(CaseLedger!$A171="","",IFERROR(CaseLedger!$T171,""))</x:f>
      </x:c>
      <x:c r="M171" s="52" t="str">
        <x:f>IF(CaseLedger!$A171="","",IFERROR(CaseLedger!$U171,""))</x:f>
      </x:c>
      <x:c r="N171" s="52" t="str">
        <x:f>IF(CaseLedger!$A171="","",IFERROR(CaseLedger!$V171,""))</x:f>
      </x:c>
      <x:c r="O171" s="52" t="str">
        <x:f>IF(CaseLedger!$A171="","",IFERROR(CaseLedger!$W171,""))</x:f>
      </x:c>
      <x:c r="P171" s="52" t="str">
        <x:f>IF(CaseLedger!$A171="","",IFERROR(CaseLedger!$C171,""))</x:f>
      </x:c>
      <x:c r="Q171" s="52" t="str">
        <x:f>IF(CaseLedger!$A171="","",IFERROR(CaseLedger!$D171,""))</x:f>
      </x:c>
      <x:c r="R171" s="52" t="str">
        <x:f>IF(CaseLedger!$A171="","",IFERROR(CaseLedger!$X171,""))</x:f>
      </x:c>
      <x:c r="S171" s="52" t="str">
        <x:f>IF(CaseLedger!$A171="","",IFERROR(CaseLedger!$Y171,""))</x:f>
      </x:c>
      <x:c r="T171" s="52" t="str">
        <x:f>IF(CaseLedger!$A171="","",IFERROR(CaseLedger!$Z171,""))</x:f>
      </x:c>
      <x:c r="U171" s="52" t="str">
        <x:f>IF(CaseLedger!$A171="","",IFERROR(CaseLedger!$AA171,""))</x:f>
      </x:c>
      <x:c r="V171" s="52" t="str">
        <x:f>IF(CaseLedger!$A171="","",IFERROR(CaseLedger!$AB171,""))</x:f>
      </x:c>
      <x:c r="W171" s="52" t="str">
        <x:f>IF(CaseLedger!$A171="","",IFERROR(CaseLedger!$AC171,""))</x:f>
      </x:c>
      <x:c r="X171" s="52" t="str">
        <x:f>IF(CaseLedger!$A171="","",IFERROR(CaseLedger!$AD171,""))</x:f>
      </x:c>
      <x:c r="Y171" s="52" t="str">
        <x:f>IF(CaseLedger!$A171="","",IFERROR(CaseLedger!$AE171,""))</x:f>
      </x:c>
      <x:c r="Z171" s="52" t="str">
        <x:f>IF(CaseLedger!$A171="","",IFERROR(CaseLedger!$AF171,""))</x:f>
      </x:c>
      <x:c r="AA171" s="52" t="str">
        <x:f>IF(CaseLedger!$A171="","",IFERROR(CaseLedger!$AG171,""))</x:f>
      </x:c>
      <x:c r="AB171" s="52" t="str">
        <x:f>IF(CaseLedger!$A171="","",IFERROR(CaseLedger!$AH171,""))</x:f>
      </x:c>
      <x:c r="AC171"/>
    </x:row>
    <x:row r="172">
      <x:c r="A172" s="52" t="str">
        <x:f>IF(CaseLedger!$A172="","",IFERROR(CaseLedger!$A172,""))</x:f>
      </x:c>
      <x:c r="B172" s="52" t="str">
        <x:f>IF(CaseLedger!$A172="","",IFERROR(CaseLedger!$H172,""))</x:f>
      </x:c>
      <x:c r="C172" s="52" t="str">
        <x:f>IF(CaseLedger!$A172="","",IFERROR(CaseLedger!$I172,""))</x:f>
      </x:c>
      <x:c r="D172" s="52" t="str">
        <x:f>IF(CaseLedger!$A172="","",IFERROR(CaseLedger!$J172,""))</x:f>
      </x:c>
      <x:c r="E172" s="52" t="str">
        <x:f>IF(CaseLedger!$A172="","",IFERROR(CaseLedger!$K172,""))</x:f>
      </x:c>
      <x:c r="F172" s="52" t="str">
        <x:f>IF(CaseLedger!$A172="","",IFERROR(CaseLedger!$O172,""))</x:f>
      </x:c>
      <x:c r="G172" s="52" t="str">
        <x:f>IF(CaseLedger!$A172="","",IFERROR(CaseLedger!$E172,""))</x:f>
      </x:c>
      <x:c r="H172" s="52" t="str">
        <x:f>IF(CaseLedger!$A172="","",IFERROR(CaseLedger!$P172,""))</x:f>
      </x:c>
      <x:c r="I172" s="52" t="str">
        <x:f>IF(CaseLedger!$A172="","",IFERROR(CaseLedger!$Q172,""))</x:f>
      </x:c>
      <x:c r="J172" s="52" t="str">
        <x:f>IF(CaseLedger!$A172="","",IFERROR(CaseLedger!$R172,""))</x:f>
      </x:c>
      <x:c r="K172" s="52" t="str">
        <x:f>IF(CaseLedger!$A172="","",IFERROR(CaseLedger!$S172,""))</x:f>
      </x:c>
      <x:c r="L172" s="52" t="str">
        <x:f>IF(CaseLedger!$A172="","",IFERROR(CaseLedger!$T172,""))</x:f>
      </x:c>
      <x:c r="M172" s="52" t="str">
        <x:f>IF(CaseLedger!$A172="","",IFERROR(CaseLedger!$U172,""))</x:f>
      </x:c>
      <x:c r="N172" s="52" t="str">
        <x:f>IF(CaseLedger!$A172="","",IFERROR(CaseLedger!$V172,""))</x:f>
      </x:c>
      <x:c r="O172" s="52" t="str">
        <x:f>IF(CaseLedger!$A172="","",IFERROR(CaseLedger!$W172,""))</x:f>
      </x:c>
      <x:c r="P172" s="52" t="str">
        <x:f>IF(CaseLedger!$A172="","",IFERROR(CaseLedger!$C172,""))</x:f>
      </x:c>
      <x:c r="Q172" s="52" t="str">
        <x:f>IF(CaseLedger!$A172="","",IFERROR(CaseLedger!$D172,""))</x:f>
      </x:c>
      <x:c r="R172" s="52" t="str">
        <x:f>IF(CaseLedger!$A172="","",IFERROR(CaseLedger!$X172,""))</x:f>
      </x:c>
      <x:c r="S172" s="52" t="str">
        <x:f>IF(CaseLedger!$A172="","",IFERROR(CaseLedger!$Y172,""))</x:f>
      </x:c>
      <x:c r="T172" s="52" t="str">
        <x:f>IF(CaseLedger!$A172="","",IFERROR(CaseLedger!$Z172,""))</x:f>
      </x:c>
      <x:c r="U172" s="52" t="str">
        <x:f>IF(CaseLedger!$A172="","",IFERROR(CaseLedger!$AA172,""))</x:f>
      </x:c>
      <x:c r="V172" s="52" t="str">
        <x:f>IF(CaseLedger!$A172="","",IFERROR(CaseLedger!$AB172,""))</x:f>
      </x:c>
      <x:c r="W172" s="52" t="str">
        <x:f>IF(CaseLedger!$A172="","",IFERROR(CaseLedger!$AC172,""))</x:f>
      </x:c>
      <x:c r="X172" s="52" t="str">
        <x:f>IF(CaseLedger!$A172="","",IFERROR(CaseLedger!$AD172,""))</x:f>
      </x:c>
      <x:c r="Y172" s="52" t="str">
        <x:f>IF(CaseLedger!$A172="","",IFERROR(CaseLedger!$AE172,""))</x:f>
      </x:c>
      <x:c r="Z172" s="52" t="str">
        <x:f>IF(CaseLedger!$A172="","",IFERROR(CaseLedger!$AF172,""))</x:f>
      </x:c>
      <x:c r="AA172" s="52" t="str">
        <x:f>IF(CaseLedger!$A172="","",IFERROR(CaseLedger!$AG172,""))</x:f>
      </x:c>
      <x:c r="AB172" s="52" t="str">
        <x:f>IF(CaseLedger!$A172="","",IFERROR(CaseLedger!$AH172,""))</x:f>
      </x:c>
      <x:c r="AC172"/>
    </x:row>
    <x:row r="173">
      <x:c r="A173" s="52" t="str">
        <x:f>IF(CaseLedger!$A173="","",IFERROR(CaseLedger!$A173,""))</x:f>
      </x:c>
      <x:c r="B173" s="52" t="str">
        <x:f>IF(CaseLedger!$A173="","",IFERROR(CaseLedger!$H173,""))</x:f>
      </x:c>
      <x:c r="C173" s="52" t="str">
        <x:f>IF(CaseLedger!$A173="","",IFERROR(CaseLedger!$I173,""))</x:f>
      </x:c>
      <x:c r="D173" s="52" t="str">
        <x:f>IF(CaseLedger!$A173="","",IFERROR(CaseLedger!$J173,""))</x:f>
      </x:c>
      <x:c r="E173" s="52" t="str">
        <x:f>IF(CaseLedger!$A173="","",IFERROR(CaseLedger!$K173,""))</x:f>
      </x:c>
      <x:c r="F173" s="52" t="str">
        <x:f>IF(CaseLedger!$A173="","",IFERROR(CaseLedger!$O173,""))</x:f>
      </x:c>
      <x:c r="G173" s="52" t="str">
        <x:f>IF(CaseLedger!$A173="","",IFERROR(CaseLedger!$E173,""))</x:f>
      </x:c>
      <x:c r="H173" s="52" t="str">
        <x:f>IF(CaseLedger!$A173="","",IFERROR(CaseLedger!$P173,""))</x:f>
      </x:c>
      <x:c r="I173" s="52" t="str">
        <x:f>IF(CaseLedger!$A173="","",IFERROR(CaseLedger!$Q173,""))</x:f>
      </x:c>
      <x:c r="J173" s="52" t="str">
        <x:f>IF(CaseLedger!$A173="","",IFERROR(CaseLedger!$R173,""))</x:f>
      </x:c>
      <x:c r="K173" s="52" t="str">
        <x:f>IF(CaseLedger!$A173="","",IFERROR(CaseLedger!$S173,""))</x:f>
      </x:c>
      <x:c r="L173" s="52" t="str">
        <x:f>IF(CaseLedger!$A173="","",IFERROR(CaseLedger!$T173,""))</x:f>
      </x:c>
      <x:c r="M173" s="52" t="str">
        <x:f>IF(CaseLedger!$A173="","",IFERROR(CaseLedger!$U173,""))</x:f>
      </x:c>
      <x:c r="N173" s="52" t="str">
        <x:f>IF(CaseLedger!$A173="","",IFERROR(CaseLedger!$V173,""))</x:f>
      </x:c>
      <x:c r="O173" s="52" t="str">
        <x:f>IF(CaseLedger!$A173="","",IFERROR(CaseLedger!$W173,""))</x:f>
      </x:c>
      <x:c r="P173" s="52" t="str">
        <x:f>IF(CaseLedger!$A173="","",IFERROR(CaseLedger!$C173,""))</x:f>
      </x:c>
      <x:c r="Q173" s="52" t="str">
        <x:f>IF(CaseLedger!$A173="","",IFERROR(CaseLedger!$D173,""))</x:f>
      </x:c>
      <x:c r="R173" s="52" t="str">
        <x:f>IF(CaseLedger!$A173="","",IFERROR(CaseLedger!$X173,""))</x:f>
      </x:c>
      <x:c r="S173" s="52" t="str">
        <x:f>IF(CaseLedger!$A173="","",IFERROR(CaseLedger!$Y173,""))</x:f>
      </x:c>
      <x:c r="T173" s="52" t="str">
        <x:f>IF(CaseLedger!$A173="","",IFERROR(CaseLedger!$Z173,""))</x:f>
      </x:c>
      <x:c r="U173" s="52" t="str">
        <x:f>IF(CaseLedger!$A173="","",IFERROR(CaseLedger!$AA173,""))</x:f>
      </x:c>
      <x:c r="V173" s="52" t="str">
        <x:f>IF(CaseLedger!$A173="","",IFERROR(CaseLedger!$AB173,""))</x:f>
      </x:c>
      <x:c r="W173" s="52" t="str">
        <x:f>IF(CaseLedger!$A173="","",IFERROR(CaseLedger!$AC173,""))</x:f>
      </x:c>
      <x:c r="X173" s="52" t="str">
        <x:f>IF(CaseLedger!$A173="","",IFERROR(CaseLedger!$AD173,""))</x:f>
      </x:c>
      <x:c r="Y173" s="52" t="str">
        <x:f>IF(CaseLedger!$A173="","",IFERROR(CaseLedger!$AE173,""))</x:f>
      </x:c>
      <x:c r="Z173" s="52" t="str">
        <x:f>IF(CaseLedger!$A173="","",IFERROR(CaseLedger!$AF173,""))</x:f>
      </x:c>
      <x:c r="AA173" s="52" t="str">
        <x:f>IF(CaseLedger!$A173="","",IFERROR(CaseLedger!$AG173,""))</x:f>
      </x:c>
      <x:c r="AB173" s="52" t="str">
        <x:f>IF(CaseLedger!$A173="","",IFERROR(CaseLedger!$AH173,""))</x:f>
      </x:c>
      <x:c r="AC173"/>
    </x:row>
    <x:row r="174">
      <x:c r="A174" s="52" t="str">
        <x:f>IF(CaseLedger!$A174="","",IFERROR(CaseLedger!$A174,""))</x:f>
      </x:c>
      <x:c r="B174" s="52" t="str">
        <x:f>IF(CaseLedger!$A174="","",IFERROR(CaseLedger!$H174,""))</x:f>
      </x:c>
      <x:c r="C174" s="52" t="str">
        <x:f>IF(CaseLedger!$A174="","",IFERROR(CaseLedger!$I174,""))</x:f>
      </x:c>
      <x:c r="D174" s="52" t="str">
        <x:f>IF(CaseLedger!$A174="","",IFERROR(CaseLedger!$J174,""))</x:f>
      </x:c>
      <x:c r="E174" s="52" t="str">
        <x:f>IF(CaseLedger!$A174="","",IFERROR(CaseLedger!$K174,""))</x:f>
      </x:c>
      <x:c r="F174" s="52" t="str">
        <x:f>IF(CaseLedger!$A174="","",IFERROR(CaseLedger!$O174,""))</x:f>
      </x:c>
      <x:c r="G174" s="52" t="str">
        <x:f>IF(CaseLedger!$A174="","",IFERROR(CaseLedger!$E174,""))</x:f>
      </x:c>
      <x:c r="H174" s="52" t="str">
        <x:f>IF(CaseLedger!$A174="","",IFERROR(CaseLedger!$P174,""))</x:f>
      </x:c>
      <x:c r="I174" s="52" t="str">
        <x:f>IF(CaseLedger!$A174="","",IFERROR(CaseLedger!$Q174,""))</x:f>
      </x:c>
      <x:c r="J174" s="52" t="str">
        <x:f>IF(CaseLedger!$A174="","",IFERROR(CaseLedger!$R174,""))</x:f>
      </x:c>
      <x:c r="K174" s="52" t="str">
        <x:f>IF(CaseLedger!$A174="","",IFERROR(CaseLedger!$S174,""))</x:f>
      </x:c>
      <x:c r="L174" s="52" t="str">
        <x:f>IF(CaseLedger!$A174="","",IFERROR(CaseLedger!$T174,""))</x:f>
      </x:c>
      <x:c r="M174" s="52" t="str">
        <x:f>IF(CaseLedger!$A174="","",IFERROR(CaseLedger!$U174,""))</x:f>
      </x:c>
      <x:c r="N174" s="52" t="str">
        <x:f>IF(CaseLedger!$A174="","",IFERROR(CaseLedger!$V174,""))</x:f>
      </x:c>
      <x:c r="O174" s="52" t="str">
        <x:f>IF(CaseLedger!$A174="","",IFERROR(CaseLedger!$W174,""))</x:f>
      </x:c>
      <x:c r="P174" s="52" t="str">
        <x:f>IF(CaseLedger!$A174="","",IFERROR(CaseLedger!$C174,""))</x:f>
      </x:c>
      <x:c r="Q174" s="52" t="str">
        <x:f>IF(CaseLedger!$A174="","",IFERROR(CaseLedger!$D174,""))</x:f>
      </x:c>
      <x:c r="R174" s="52" t="str">
        <x:f>IF(CaseLedger!$A174="","",IFERROR(CaseLedger!$X174,""))</x:f>
      </x:c>
      <x:c r="S174" s="52" t="str">
        <x:f>IF(CaseLedger!$A174="","",IFERROR(CaseLedger!$Y174,""))</x:f>
      </x:c>
      <x:c r="T174" s="52" t="str">
        <x:f>IF(CaseLedger!$A174="","",IFERROR(CaseLedger!$Z174,""))</x:f>
      </x:c>
      <x:c r="U174" s="52" t="str">
        <x:f>IF(CaseLedger!$A174="","",IFERROR(CaseLedger!$AA174,""))</x:f>
      </x:c>
      <x:c r="V174" s="52" t="str">
        <x:f>IF(CaseLedger!$A174="","",IFERROR(CaseLedger!$AB174,""))</x:f>
      </x:c>
      <x:c r="W174" s="52" t="str">
        <x:f>IF(CaseLedger!$A174="","",IFERROR(CaseLedger!$AC174,""))</x:f>
      </x:c>
      <x:c r="X174" s="52" t="str">
        <x:f>IF(CaseLedger!$A174="","",IFERROR(CaseLedger!$AD174,""))</x:f>
      </x:c>
      <x:c r="Y174" s="52" t="str">
        <x:f>IF(CaseLedger!$A174="","",IFERROR(CaseLedger!$AE174,""))</x:f>
      </x:c>
      <x:c r="Z174" s="52" t="str">
        <x:f>IF(CaseLedger!$A174="","",IFERROR(CaseLedger!$AF174,""))</x:f>
      </x:c>
      <x:c r="AA174" s="52" t="str">
        <x:f>IF(CaseLedger!$A174="","",IFERROR(CaseLedger!$AG174,""))</x:f>
      </x:c>
      <x:c r="AB174" s="52" t="str">
        <x:f>IF(CaseLedger!$A174="","",IFERROR(CaseLedger!$AH174,""))</x:f>
      </x:c>
      <x:c r="AC174"/>
    </x:row>
    <x:row r="175">
      <x:c r="A175" s="52" t="str">
        <x:f>IF(CaseLedger!$A175="","",IFERROR(CaseLedger!$A175,""))</x:f>
      </x:c>
      <x:c r="B175" s="52" t="str">
        <x:f>IF(CaseLedger!$A175="","",IFERROR(CaseLedger!$H175,""))</x:f>
      </x:c>
      <x:c r="C175" s="52" t="str">
        <x:f>IF(CaseLedger!$A175="","",IFERROR(CaseLedger!$I175,""))</x:f>
      </x:c>
      <x:c r="D175" s="52" t="str">
        <x:f>IF(CaseLedger!$A175="","",IFERROR(CaseLedger!$J175,""))</x:f>
      </x:c>
      <x:c r="E175" s="52" t="str">
        <x:f>IF(CaseLedger!$A175="","",IFERROR(CaseLedger!$K175,""))</x:f>
      </x:c>
      <x:c r="F175" s="52" t="str">
        <x:f>IF(CaseLedger!$A175="","",IFERROR(CaseLedger!$O175,""))</x:f>
      </x:c>
      <x:c r="G175" s="52" t="str">
        <x:f>IF(CaseLedger!$A175="","",IFERROR(CaseLedger!$E175,""))</x:f>
      </x:c>
      <x:c r="H175" s="52" t="str">
        <x:f>IF(CaseLedger!$A175="","",IFERROR(CaseLedger!$P175,""))</x:f>
      </x:c>
      <x:c r="I175" s="52" t="str">
        <x:f>IF(CaseLedger!$A175="","",IFERROR(CaseLedger!$Q175,""))</x:f>
      </x:c>
      <x:c r="J175" s="52" t="str">
        <x:f>IF(CaseLedger!$A175="","",IFERROR(CaseLedger!$R175,""))</x:f>
      </x:c>
      <x:c r="K175" s="52" t="str">
        <x:f>IF(CaseLedger!$A175="","",IFERROR(CaseLedger!$S175,""))</x:f>
      </x:c>
      <x:c r="L175" s="52" t="str">
        <x:f>IF(CaseLedger!$A175="","",IFERROR(CaseLedger!$T175,""))</x:f>
      </x:c>
      <x:c r="M175" s="52" t="str">
        <x:f>IF(CaseLedger!$A175="","",IFERROR(CaseLedger!$U175,""))</x:f>
      </x:c>
      <x:c r="N175" s="52" t="str">
        <x:f>IF(CaseLedger!$A175="","",IFERROR(CaseLedger!$V175,""))</x:f>
      </x:c>
      <x:c r="O175" s="52" t="str">
        <x:f>IF(CaseLedger!$A175="","",IFERROR(CaseLedger!$W175,""))</x:f>
      </x:c>
      <x:c r="P175" s="52" t="str">
        <x:f>IF(CaseLedger!$A175="","",IFERROR(CaseLedger!$C175,""))</x:f>
      </x:c>
      <x:c r="Q175" s="52" t="str">
        <x:f>IF(CaseLedger!$A175="","",IFERROR(CaseLedger!$D175,""))</x:f>
      </x:c>
      <x:c r="R175" s="52" t="str">
        <x:f>IF(CaseLedger!$A175="","",IFERROR(CaseLedger!$X175,""))</x:f>
      </x:c>
      <x:c r="S175" s="52" t="str">
        <x:f>IF(CaseLedger!$A175="","",IFERROR(CaseLedger!$Y175,""))</x:f>
      </x:c>
      <x:c r="T175" s="52" t="str">
        <x:f>IF(CaseLedger!$A175="","",IFERROR(CaseLedger!$Z175,""))</x:f>
      </x:c>
      <x:c r="U175" s="52" t="str">
        <x:f>IF(CaseLedger!$A175="","",IFERROR(CaseLedger!$AA175,""))</x:f>
      </x:c>
      <x:c r="V175" s="52" t="str">
        <x:f>IF(CaseLedger!$A175="","",IFERROR(CaseLedger!$AB175,""))</x:f>
      </x:c>
      <x:c r="W175" s="52" t="str">
        <x:f>IF(CaseLedger!$A175="","",IFERROR(CaseLedger!$AC175,""))</x:f>
      </x:c>
      <x:c r="X175" s="52" t="str">
        <x:f>IF(CaseLedger!$A175="","",IFERROR(CaseLedger!$AD175,""))</x:f>
      </x:c>
      <x:c r="Y175" s="52" t="str">
        <x:f>IF(CaseLedger!$A175="","",IFERROR(CaseLedger!$AE175,""))</x:f>
      </x:c>
      <x:c r="Z175" s="52" t="str">
        <x:f>IF(CaseLedger!$A175="","",IFERROR(CaseLedger!$AF175,""))</x:f>
      </x:c>
      <x:c r="AA175" s="52" t="str">
        <x:f>IF(CaseLedger!$A175="","",IFERROR(CaseLedger!$AG175,""))</x:f>
      </x:c>
      <x:c r="AB175" s="52" t="str">
        <x:f>IF(CaseLedger!$A175="","",IFERROR(CaseLedger!$AH175,""))</x:f>
      </x:c>
      <x:c r="AC175"/>
    </x:row>
    <x:row r="176">
      <x:c r="A176" s="52" t="str">
        <x:f>IF(CaseLedger!$A176="","",IFERROR(CaseLedger!$A176,""))</x:f>
      </x:c>
      <x:c r="B176" s="52" t="str">
        <x:f>IF(CaseLedger!$A176="","",IFERROR(CaseLedger!$H176,""))</x:f>
      </x:c>
      <x:c r="C176" s="52" t="str">
        <x:f>IF(CaseLedger!$A176="","",IFERROR(CaseLedger!$I176,""))</x:f>
      </x:c>
      <x:c r="D176" s="52" t="str">
        <x:f>IF(CaseLedger!$A176="","",IFERROR(CaseLedger!$J176,""))</x:f>
      </x:c>
      <x:c r="E176" s="52" t="str">
        <x:f>IF(CaseLedger!$A176="","",IFERROR(CaseLedger!$K176,""))</x:f>
      </x:c>
      <x:c r="F176" s="52" t="str">
        <x:f>IF(CaseLedger!$A176="","",IFERROR(CaseLedger!$O176,""))</x:f>
      </x:c>
      <x:c r="G176" s="52" t="str">
        <x:f>IF(CaseLedger!$A176="","",IFERROR(CaseLedger!$E176,""))</x:f>
      </x:c>
      <x:c r="H176" s="52" t="str">
        <x:f>IF(CaseLedger!$A176="","",IFERROR(CaseLedger!$P176,""))</x:f>
      </x:c>
      <x:c r="I176" s="52" t="str">
        <x:f>IF(CaseLedger!$A176="","",IFERROR(CaseLedger!$Q176,""))</x:f>
      </x:c>
      <x:c r="J176" s="52" t="str">
        <x:f>IF(CaseLedger!$A176="","",IFERROR(CaseLedger!$R176,""))</x:f>
      </x:c>
      <x:c r="K176" s="52" t="str">
        <x:f>IF(CaseLedger!$A176="","",IFERROR(CaseLedger!$S176,""))</x:f>
      </x:c>
      <x:c r="L176" s="52" t="str">
        <x:f>IF(CaseLedger!$A176="","",IFERROR(CaseLedger!$T176,""))</x:f>
      </x:c>
      <x:c r="M176" s="52" t="str">
        <x:f>IF(CaseLedger!$A176="","",IFERROR(CaseLedger!$U176,""))</x:f>
      </x:c>
      <x:c r="N176" s="52" t="str">
        <x:f>IF(CaseLedger!$A176="","",IFERROR(CaseLedger!$V176,""))</x:f>
      </x:c>
      <x:c r="O176" s="52" t="str">
        <x:f>IF(CaseLedger!$A176="","",IFERROR(CaseLedger!$W176,""))</x:f>
      </x:c>
      <x:c r="P176" s="52" t="str">
        <x:f>IF(CaseLedger!$A176="","",IFERROR(CaseLedger!$C176,""))</x:f>
      </x:c>
      <x:c r="Q176" s="52" t="str">
        <x:f>IF(CaseLedger!$A176="","",IFERROR(CaseLedger!$D176,""))</x:f>
      </x:c>
      <x:c r="R176" s="52" t="str">
        <x:f>IF(CaseLedger!$A176="","",IFERROR(CaseLedger!$X176,""))</x:f>
      </x:c>
      <x:c r="S176" s="52" t="str">
        <x:f>IF(CaseLedger!$A176="","",IFERROR(CaseLedger!$Y176,""))</x:f>
      </x:c>
      <x:c r="T176" s="52" t="str">
        <x:f>IF(CaseLedger!$A176="","",IFERROR(CaseLedger!$Z176,""))</x:f>
      </x:c>
      <x:c r="U176" s="52" t="str">
        <x:f>IF(CaseLedger!$A176="","",IFERROR(CaseLedger!$AA176,""))</x:f>
      </x:c>
      <x:c r="V176" s="52" t="str">
        <x:f>IF(CaseLedger!$A176="","",IFERROR(CaseLedger!$AB176,""))</x:f>
      </x:c>
      <x:c r="W176" s="52" t="str">
        <x:f>IF(CaseLedger!$A176="","",IFERROR(CaseLedger!$AC176,""))</x:f>
      </x:c>
      <x:c r="X176" s="52" t="str">
        <x:f>IF(CaseLedger!$A176="","",IFERROR(CaseLedger!$AD176,""))</x:f>
      </x:c>
      <x:c r="Y176" s="52" t="str">
        <x:f>IF(CaseLedger!$A176="","",IFERROR(CaseLedger!$AE176,""))</x:f>
      </x:c>
      <x:c r="Z176" s="52" t="str">
        <x:f>IF(CaseLedger!$A176="","",IFERROR(CaseLedger!$AF176,""))</x:f>
      </x:c>
      <x:c r="AA176" s="52" t="str">
        <x:f>IF(CaseLedger!$A176="","",IFERROR(CaseLedger!$AG176,""))</x:f>
      </x:c>
      <x:c r="AB176" s="52" t="str">
        <x:f>IF(CaseLedger!$A176="","",IFERROR(CaseLedger!$AH176,""))</x:f>
      </x:c>
      <x:c r="AC176"/>
    </x:row>
    <x:row r="177">
      <x:c r="A177" s="52" t="str">
        <x:f>IF(CaseLedger!$A177="","",IFERROR(CaseLedger!$A177,""))</x:f>
      </x:c>
      <x:c r="B177" s="52" t="str">
        <x:f>IF(CaseLedger!$A177="","",IFERROR(CaseLedger!$H177,""))</x:f>
      </x:c>
      <x:c r="C177" s="52" t="str">
        <x:f>IF(CaseLedger!$A177="","",IFERROR(CaseLedger!$I177,""))</x:f>
      </x:c>
      <x:c r="D177" s="52" t="str">
        <x:f>IF(CaseLedger!$A177="","",IFERROR(CaseLedger!$J177,""))</x:f>
      </x:c>
      <x:c r="E177" s="52" t="str">
        <x:f>IF(CaseLedger!$A177="","",IFERROR(CaseLedger!$K177,""))</x:f>
      </x:c>
      <x:c r="F177" s="52" t="str">
        <x:f>IF(CaseLedger!$A177="","",IFERROR(CaseLedger!$O177,""))</x:f>
      </x:c>
      <x:c r="G177" s="52" t="str">
        <x:f>IF(CaseLedger!$A177="","",IFERROR(CaseLedger!$E177,""))</x:f>
      </x:c>
      <x:c r="H177" s="52" t="str">
        <x:f>IF(CaseLedger!$A177="","",IFERROR(CaseLedger!$P177,""))</x:f>
      </x:c>
      <x:c r="I177" s="52" t="str">
        <x:f>IF(CaseLedger!$A177="","",IFERROR(CaseLedger!$Q177,""))</x:f>
      </x:c>
      <x:c r="J177" s="52" t="str">
        <x:f>IF(CaseLedger!$A177="","",IFERROR(CaseLedger!$R177,""))</x:f>
      </x:c>
      <x:c r="K177" s="52" t="str">
        <x:f>IF(CaseLedger!$A177="","",IFERROR(CaseLedger!$S177,""))</x:f>
      </x:c>
      <x:c r="L177" s="52" t="str">
        <x:f>IF(CaseLedger!$A177="","",IFERROR(CaseLedger!$T177,""))</x:f>
      </x:c>
      <x:c r="M177" s="52" t="str">
        <x:f>IF(CaseLedger!$A177="","",IFERROR(CaseLedger!$U177,""))</x:f>
      </x:c>
      <x:c r="N177" s="52" t="str">
        <x:f>IF(CaseLedger!$A177="","",IFERROR(CaseLedger!$V177,""))</x:f>
      </x:c>
      <x:c r="O177" s="52" t="str">
        <x:f>IF(CaseLedger!$A177="","",IFERROR(CaseLedger!$W177,""))</x:f>
      </x:c>
      <x:c r="P177" s="52" t="str">
        <x:f>IF(CaseLedger!$A177="","",IFERROR(CaseLedger!$C177,""))</x:f>
      </x:c>
      <x:c r="Q177" s="52" t="str">
        <x:f>IF(CaseLedger!$A177="","",IFERROR(CaseLedger!$D177,""))</x:f>
      </x:c>
      <x:c r="R177" s="52" t="str">
        <x:f>IF(CaseLedger!$A177="","",IFERROR(CaseLedger!$X177,""))</x:f>
      </x:c>
      <x:c r="S177" s="52" t="str">
        <x:f>IF(CaseLedger!$A177="","",IFERROR(CaseLedger!$Y177,""))</x:f>
      </x:c>
      <x:c r="T177" s="52" t="str">
        <x:f>IF(CaseLedger!$A177="","",IFERROR(CaseLedger!$Z177,""))</x:f>
      </x:c>
      <x:c r="U177" s="52" t="str">
        <x:f>IF(CaseLedger!$A177="","",IFERROR(CaseLedger!$AA177,""))</x:f>
      </x:c>
      <x:c r="V177" s="52" t="str">
        <x:f>IF(CaseLedger!$A177="","",IFERROR(CaseLedger!$AB177,""))</x:f>
      </x:c>
      <x:c r="W177" s="52" t="str">
        <x:f>IF(CaseLedger!$A177="","",IFERROR(CaseLedger!$AC177,""))</x:f>
      </x:c>
      <x:c r="X177" s="52" t="str">
        <x:f>IF(CaseLedger!$A177="","",IFERROR(CaseLedger!$AD177,""))</x:f>
      </x:c>
      <x:c r="Y177" s="52" t="str">
        <x:f>IF(CaseLedger!$A177="","",IFERROR(CaseLedger!$AE177,""))</x:f>
      </x:c>
      <x:c r="Z177" s="52" t="str">
        <x:f>IF(CaseLedger!$A177="","",IFERROR(CaseLedger!$AF177,""))</x:f>
      </x:c>
      <x:c r="AA177" s="52" t="str">
        <x:f>IF(CaseLedger!$A177="","",IFERROR(CaseLedger!$AG177,""))</x:f>
      </x:c>
      <x:c r="AB177" s="52" t="str">
        <x:f>IF(CaseLedger!$A177="","",IFERROR(CaseLedger!$AH177,""))</x:f>
      </x:c>
      <x:c r="AC177"/>
    </x:row>
    <x:row r="178">
      <x:c r="A178" s="52" t="str">
        <x:f>IF(CaseLedger!$A178="","",IFERROR(CaseLedger!$A178,""))</x:f>
      </x:c>
      <x:c r="B178" s="52" t="str">
        <x:f>IF(CaseLedger!$A178="","",IFERROR(CaseLedger!$H178,""))</x:f>
      </x:c>
      <x:c r="C178" s="52" t="str">
        <x:f>IF(CaseLedger!$A178="","",IFERROR(CaseLedger!$I178,""))</x:f>
      </x:c>
      <x:c r="D178" s="52" t="str">
        <x:f>IF(CaseLedger!$A178="","",IFERROR(CaseLedger!$J178,""))</x:f>
      </x:c>
      <x:c r="E178" s="52" t="str">
        <x:f>IF(CaseLedger!$A178="","",IFERROR(CaseLedger!$K178,""))</x:f>
      </x:c>
      <x:c r="F178" s="52" t="str">
        <x:f>IF(CaseLedger!$A178="","",IFERROR(CaseLedger!$O178,""))</x:f>
      </x:c>
      <x:c r="G178" s="52" t="str">
        <x:f>IF(CaseLedger!$A178="","",IFERROR(CaseLedger!$E178,""))</x:f>
      </x:c>
      <x:c r="H178" s="52" t="str">
        <x:f>IF(CaseLedger!$A178="","",IFERROR(CaseLedger!$P178,""))</x:f>
      </x:c>
      <x:c r="I178" s="52" t="str">
        <x:f>IF(CaseLedger!$A178="","",IFERROR(CaseLedger!$Q178,""))</x:f>
      </x:c>
      <x:c r="J178" s="52" t="str">
        <x:f>IF(CaseLedger!$A178="","",IFERROR(CaseLedger!$R178,""))</x:f>
      </x:c>
      <x:c r="K178" s="52" t="str">
        <x:f>IF(CaseLedger!$A178="","",IFERROR(CaseLedger!$S178,""))</x:f>
      </x:c>
      <x:c r="L178" s="52" t="str">
        <x:f>IF(CaseLedger!$A178="","",IFERROR(CaseLedger!$T178,""))</x:f>
      </x:c>
      <x:c r="M178" s="52" t="str">
        <x:f>IF(CaseLedger!$A178="","",IFERROR(CaseLedger!$U178,""))</x:f>
      </x:c>
      <x:c r="N178" s="52" t="str">
        <x:f>IF(CaseLedger!$A178="","",IFERROR(CaseLedger!$V178,""))</x:f>
      </x:c>
      <x:c r="O178" s="52" t="str">
        <x:f>IF(CaseLedger!$A178="","",IFERROR(CaseLedger!$W178,""))</x:f>
      </x:c>
      <x:c r="P178" s="52" t="str">
        <x:f>IF(CaseLedger!$A178="","",IFERROR(CaseLedger!$C178,""))</x:f>
      </x:c>
      <x:c r="Q178" s="52" t="str">
        <x:f>IF(CaseLedger!$A178="","",IFERROR(CaseLedger!$D178,""))</x:f>
      </x:c>
      <x:c r="R178" s="52" t="str">
        <x:f>IF(CaseLedger!$A178="","",IFERROR(CaseLedger!$X178,""))</x:f>
      </x:c>
      <x:c r="S178" s="52" t="str">
        <x:f>IF(CaseLedger!$A178="","",IFERROR(CaseLedger!$Y178,""))</x:f>
      </x:c>
      <x:c r="T178" s="52" t="str">
        <x:f>IF(CaseLedger!$A178="","",IFERROR(CaseLedger!$Z178,""))</x:f>
      </x:c>
      <x:c r="U178" s="52" t="str">
        <x:f>IF(CaseLedger!$A178="","",IFERROR(CaseLedger!$AA178,""))</x:f>
      </x:c>
      <x:c r="V178" s="52" t="str">
        <x:f>IF(CaseLedger!$A178="","",IFERROR(CaseLedger!$AB178,""))</x:f>
      </x:c>
      <x:c r="W178" s="52" t="str">
        <x:f>IF(CaseLedger!$A178="","",IFERROR(CaseLedger!$AC178,""))</x:f>
      </x:c>
      <x:c r="X178" s="52" t="str">
        <x:f>IF(CaseLedger!$A178="","",IFERROR(CaseLedger!$AD178,""))</x:f>
      </x:c>
      <x:c r="Y178" s="52" t="str">
        <x:f>IF(CaseLedger!$A178="","",IFERROR(CaseLedger!$AE178,""))</x:f>
      </x:c>
      <x:c r="Z178" s="52" t="str">
        <x:f>IF(CaseLedger!$A178="","",IFERROR(CaseLedger!$AF178,""))</x:f>
      </x:c>
      <x:c r="AA178" s="52" t="str">
        <x:f>IF(CaseLedger!$A178="","",IFERROR(CaseLedger!$AG178,""))</x:f>
      </x:c>
      <x:c r="AB178" s="52" t="str">
        <x:f>IF(CaseLedger!$A178="","",IFERROR(CaseLedger!$AH178,""))</x:f>
      </x:c>
      <x:c r="AC178"/>
    </x:row>
    <x:row r="179">
      <x:c r="A179" s="52" t="str">
        <x:f>IF(CaseLedger!$A179="","",IFERROR(CaseLedger!$A179,""))</x:f>
      </x:c>
      <x:c r="B179" s="52" t="str">
        <x:f>IF(CaseLedger!$A179="","",IFERROR(CaseLedger!$H179,""))</x:f>
      </x:c>
      <x:c r="C179" s="52" t="str">
        <x:f>IF(CaseLedger!$A179="","",IFERROR(CaseLedger!$I179,""))</x:f>
      </x:c>
      <x:c r="D179" s="52" t="str">
        <x:f>IF(CaseLedger!$A179="","",IFERROR(CaseLedger!$J179,""))</x:f>
      </x:c>
      <x:c r="E179" s="52" t="str">
        <x:f>IF(CaseLedger!$A179="","",IFERROR(CaseLedger!$K179,""))</x:f>
      </x:c>
      <x:c r="F179" s="52" t="str">
        <x:f>IF(CaseLedger!$A179="","",IFERROR(CaseLedger!$O179,""))</x:f>
      </x:c>
      <x:c r="G179" s="52" t="str">
        <x:f>IF(CaseLedger!$A179="","",IFERROR(CaseLedger!$E179,""))</x:f>
      </x:c>
      <x:c r="H179" s="52" t="str">
        <x:f>IF(CaseLedger!$A179="","",IFERROR(CaseLedger!$P179,""))</x:f>
      </x:c>
      <x:c r="I179" s="52" t="str">
        <x:f>IF(CaseLedger!$A179="","",IFERROR(CaseLedger!$Q179,""))</x:f>
      </x:c>
      <x:c r="J179" s="52" t="str">
        <x:f>IF(CaseLedger!$A179="","",IFERROR(CaseLedger!$R179,""))</x:f>
      </x:c>
      <x:c r="K179" s="52" t="str">
        <x:f>IF(CaseLedger!$A179="","",IFERROR(CaseLedger!$S179,""))</x:f>
      </x:c>
      <x:c r="L179" s="52" t="str">
        <x:f>IF(CaseLedger!$A179="","",IFERROR(CaseLedger!$T179,""))</x:f>
      </x:c>
      <x:c r="M179" s="52" t="str">
        <x:f>IF(CaseLedger!$A179="","",IFERROR(CaseLedger!$U179,""))</x:f>
      </x:c>
      <x:c r="N179" s="52" t="str">
        <x:f>IF(CaseLedger!$A179="","",IFERROR(CaseLedger!$V179,""))</x:f>
      </x:c>
      <x:c r="O179" s="52" t="str">
        <x:f>IF(CaseLedger!$A179="","",IFERROR(CaseLedger!$W179,""))</x:f>
      </x:c>
      <x:c r="P179" s="52" t="str">
        <x:f>IF(CaseLedger!$A179="","",IFERROR(CaseLedger!$C179,""))</x:f>
      </x:c>
      <x:c r="Q179" s="52" t="str">
        <x:f>IF(CaseLedger!$A179="","",IFERROR(CaseLedger!$D179,""))</x:f>
      </x:c>
      <x:c r="R179" s="52" t="str">
        <x:f>IF(CaseLedger!$A179="","",IFERROR(CaseLedger!$X179,""))</x:f>
      </x:c>
      <x:c r="S179" s="52" t="str">
        <x:f>IF(CaseLedger!$A179="","",IFERROR(CaseLedger!$Y179,""))</x:f>
      </x:c>
      <x:c r="T179" s="52" t="str">
        <x:f>IF(CaseLedger!$A179="","",IFERROR(CaseLedger!$Z179,""))</x:f>
      </x:c>
      <x:c r="U179" s="52" t="str">
        <x:f>IF(CaseLedger!$A179="","",IFERROR(CaseLedger!$AA179,""))</x:f>
      </x:c>
      <x:c r="V179" s="52" t="str">
        <x:f>IF(CaseLedger!$A179="","",IFERROR(CaseLedger!$AB179,""))</x:f>
      </x:c>
      <x:c r="W179" s="52" t="str">
        <x:f>IF(CaseLedger!$A179="","",IFERROR(CaseLedger!$AC179,""))</x:f>
      </x:c>
      <x:c r="X179" s="52" t="str">
        <x:f>IF(CaseLedger!$A179="","",IFERROR(CaseLedger!$AD179,""))</x:f>
      </x:c>
      <x:c r="Y179" s="52" t="str">
        <x:f>IF(CaseLedger!$A179="","",IFERROR(CaseLedger!$AE179,""))</x:f>
      </x:c>
      <x:c r="Z179" s="52" t="str">
        <x:f>IF(CaseLedger!$A179="","",IFERROR(CaseLedger!$AF179,""))</x:f>
      </x:c>
      <x:c r="AA179" s="52" t="str">
        <x:f>IF(CaseLedger!$A179="","",IFERROR(CaseLedger!$AG179,""))</x:f>
      </x:c>
      <x:c r="AB179" s="52" t="str">
        <x:f>IF(CaseLedger!$A179="","",IFERROR(CaseLedger!$AH179,""))</x:f>
      </x:c>
      <x:c r="AC179"/>
    </x:row>
    <x:row r="180">
      <x:c r="A180" s="52" t="str">
        <x:f>IF(CaseLedger!$A180="","",IFERROR(CaseLedger!$A180,""))</x:f>
      </x:c>
      <x:c r="B180" s="52" t="str">
        <x:f>IF(CaseLedger!$A180="","",IFERROR(CaseLedger!$H180,""))</x:f>
      </x:c>
      <x:c r="C180" s="52" t="str">
        <x:f>IF(CaseLedger!$A180="","",IFERROR(CaseLedger!$I180,""))</x:f>
      </x:c>
      <x:c r="D180" s="52" t="str">
        <x:f>IF(CaseLedger!$A180="","",IFERROR(CaseLedger!$J180,""))</x:f>
      </x:c>
      <x:c r="E180" s="52" t="str">
        <x:f>IF(CaseLedger!$A180="","",IFERROR(CaseLedger!$K180,""))</x:f>
      </x:c>
      <x:c r="F180" s="52" t="str">
        <x:f>IF(CaseLedger!$A180="","",IFERROR(CaseLedger!$O180,""))</x:f>
      </x:c>
      <x:c r="G180" s="52" t="str">
        <x:f>IF(CaseLedger!$A180="","",IFERROR(CaseLedger!$E180,""))</x:f>
      </x:c>
      <x:c r="H180" s="52" t="str">
        <x:f>IF(CaseLedger!$A180="","",IFERROR(CaseLedger!$P180,""))</x:f>
      </x:c>
      <x:c r="I180" s="52" t="str">
        <x:f>IF(CaseLedger!$A180="","",IFERROR(CaseLedger!$Q180,""))</x:f>
      </x:c>
      <x:c r="J180" s="52" t="str">
        <x:f>IF(CaseLedger!$A180="","",IFERROR(CaseLedger!$R180,""))</x:f>
      </x:c>
      <x:c r="K180" s="52" t="str">
        <x:f>IF(CaseLedger!$A180="","",IFERROR(CaseLedger!$S180,""))</x:f>
      </x:c>
      <x:c r="L180" s="52" t="str">
        <x:f>IF(CaseLedger!$A180="","",IFERROR(CaseLedger!$T180,""))</x:f>
      </x:c>
      <x:c r="M180" s="52" t="str">
        <x:f>IF(CaseLedger!$A180="","",IFERROR(CaseLedger!$U180,""))</x:f>
      </x:c>
      <x:c r="N180" s="52" t="str">
        <x:f>IF(CaseLedger!$A180="","",IFERROR(CaseLedger!$V180,""))</x:f>
      </x:c>
      <x:c r="O180" s="52" t="str">
        <x:f>IF(CaseLedger!$A180="","",IFERROR(CaseLedger!$W180,""))</x:f>
      </x:c>
      <x:c r="P180" s="52" t="str">
        <x:f>IF(CaseLedger!$A180="","",IFERROR(CaseLedger!$C180,""))</x:f>
      </x:c>
      <x:c r="Q180" s="52" t="str">
        <x:f>IF(CaseLedger!$A180="","",IFERROR(CaseLedger!$D180,""))</x:f>
      </x:c>
      <x:c r="R180" s="52" t="str">
        <x:f>IF(CaseLedger!$A180="","",IFERROR(CaseLedger!$X180,""))</x:f>
      </x:c>
      <x:c r="S180" s="52" t="str">
        <x:f>IF(CaseLedger!$A180="","",IFERROR(CaseLedger!$Y180,""))</x:f>
      </x:c>
      <x:c r="T180" s="52" t="str">
        <x:f>IF(CaseLedger!$A180="","",IFERROR(CaseLedger!$Z180,""))</x:f>
      </x:c>
      <x:c r="U180" s="52" t="str">
        <x:f>IF(CaseLedger!$A180="","",IFERROR(CaseLedger!$AA180,""))</x:f>
      </x:c>
      <x:c r="V180" s="52" t="str">
        <x:f>IF(CaseLedger!$A180="","",IFERROR(CaseLedger!$AB180,""))</x:f>
      </x:c>
      <x:c r="W180" s="52" t="str">
        <x:f>IF(CaseLedger!$A180="","",IFERROR(CaseLedger!$AC180,""))</x:f>
      </x:c>
      <x:c r="X180" s="52" t="str">
        <x:f>IF(CaseLedger!$A180="","",IFERROR(CaseLedger!$AD180,""))</x:f>
      </x:c>
      <x:c r="Y180" s="52" t="str">
        <x:f>IF(CaseLedger!$A180="","",IFERROR(CaseLedger!$AE180,""))</x:f>
      </x:c>
      <x:c r="Z180" s="52" t="str">
        <x:f>IF(CaseLedger!$A180="","",IFERROR(CaseLedger!$AF180,""))</x:f>
      </x:c>
      <x:c r="AA180" s="52" t="str">
        <x:f>IF(CaseLedger!$A180="","",IFERROR(CaseLedger!$AG180,""))</x:f>
      </x:c>
      <x:c r="AB180" s="52" t="str">
        <x:f>IF(CaseLedger!$A180="","",IFERROR(CaseLedger!$AH180,""))</x:f>
      </x:c>
      <x:c r="AC180"/>
    </x:row>
    <x:row r="181">
      <x:c r="A181" s="52" t="str">
        <x:f>IF(CaseLedger!$A181="","",IFERROR(CaseLedger!$A181,""))</x:f>
      </x:c>
      <x:c r="B181" s="52" t="str">
        <x:f>IF(CaseLedger!$A181="","",IFERROR(CaseLedger!$H181,""))</x:f>
      </x:c>
      <x:c r="C181" s="52" t="str">
        <x:f>IF(CaseLedger!$A181="","",IFERROR(CaseLedger!$I181,""))</x:f>
      </x:c>
      <x:c r="D181" s="52" t="str">
        <x:f>IF(CaseLedger!$A181="","",IFERROR(CaseLedger!$J181,""))</x:f>
      </x:c>
      <x:c r="E181" s="52" t="str">
        <x:f>IF(CaseLedger!$A181="","",IFERROR(CaseLedger!$K181,""))</x:f>
      </x:c>
      <x:c r="F181" s="52" t="str">
        <x:f>IF(CaseLedger!$A181="","",IFERROR(CaseLedger!$O181,""))</x:f>
      </x:c>
      <x:c r="G181" s="52" t="str">
        <x:f>IF(CaseLedger!$A181="","",IFERROR(CaseLedger!$E181,""))</x:f>
      </x:c>
      <x:c r="H181" s="52" t="str">
        <x:f>IF(CaseLedger!$A181="","",IFERROR(CaseLedger!$P181,""))</x:f>
      </x:c>
      <x:c r="I181" s="52" t="str">
        <x:f>IF(CaseLedger!$A181="","",IFERROR(CaseLedger!$Q181,""))</x:f>
      </x:c>
      <x:c r="J181" s="52" t="str">
        <x:f>IF(CaseLedger!$A181="","",IFERROR(CaseLedger!$R181,""))</x:f>
      </x:c>
      <x:c r="K181" s="52" t="str">
        <x:f>IF(CaseLedger!$A181="","",IFERROR(CaseLedger!$S181,""))</x:f>
      </x:c>
      <x:c r="L181" s="52" t="str">
        <x:f>IF(CaseLedger!$A181="","",IFERROR(CaseLedger!$T181,""))</x:f>
      </x:c>
      <x:c r="M181" s="52" t="str">
        <x:f>IF(CaseLedger!$A181="","",IFERROR(CaseLedger!$U181,""))</x:f>
      </x:c>
      <x:c r="N181" s="52" t="str">
        <x:f>IF(CaseLedger!$A181="","",IFERROR(CaseLedger!$V181,""))</x:f>
      </x:c>
      <x:c r="O181" s="52" t="str">
        <x:f>IF(CaseLedger!$A181="","",IFERROR(CaseLedger!$W181,""))</x:f>
      </x:c>
      <x:c r="P181" s="52" t="str">
        <x:f>IF(CaseLedger!$A181="","",IFERROR(CaseLedger!$C181,""))</x:f>
      </x:c>
      <x:c r="Q181" s="52" t="str">
        <x:f>IF(CaseLedger!$A181="","",IFERROR(CaseLedger!$D181,""))</x:f>
      </x:c>
      <x:c r="R181" s="52" t="str">
        <x:f>IF(CaseLedger!$A181="","",IFERROR(CaseLedger!$X181,""))</x:f>
      </x:c>
      <x:c r="S181" s="52" t="str">
        <x:f>IF(CaseLedger!$A181="","",IFERROR(CaseLedger!$Y181,""))</x:f>
      </x:c>
      <x:c r="T181" s="52" t="str">
        <x:f>IF(CaseLedger!$A181="","",IFERROR(CaseLedger!$Z181,""))</x:f>
      </x:c>
      <x:c r="U181" s="52" t="str">
        <x:f>IF(CaseLedger!$A181="","",IFERROR(CaseLedger!$AA181,""))</x:f>
      </x:c>
      <x:c r="V181" s="52" t="str">
        <x:f>IF(CaseLedger!$A181="","",IFERROR(CaseLedger!$AB181,""))</x:f>
      </x:c>
      <x:c r="W181" s="52" t="str">
        <x:f>IF(CaseLedger!$A181="","",IFERROR(CaseLedger!$AC181,""))</x:f>
      </x:c>
      <x:c r="X181" s="52" t="str">
        <x:f>IF(CaseLedger!$A181="","",IFERROR(CaseLedger!$AD181,""))</x:f>
      </x:c>
      <x:c r="Y181" s="52" t="str">
        <x:f>IF(CaseLedger!$A181="","",IFERROR(CaseLedger!$AE181,""))</x:f>
      </x:c>
      <x:c r="Z181" s="52" t="str">
        <x:f>IF(CaseLedger!$A181="","",IFERROR(CaseLedger!$AF181,""))</x:f>
      </x:c>
      <x:c r="AA181" s="52" t="str">
        <x:f>IF(CaseLedger!$A181="","",IFERROR(CaseLedger!$AG181,""))</x:f>
      </x:c>
      <x:c r="AB181" s="52" t="str">
        <x:f>IF(CaseLedger!$A181="","",IFERROR(CaseLedger!$AH181,""))</x:f>
      </x:c>
      <x:c r="AC181"/>
    </x:row>
    <x:row r="182">
      <x:c r="A182" s="52" t="str">
        <x:f>IF(CaseLedger!$A182="","",IFERROR(CaseLedger!$A182,""))</x:f>
      </x:c>
      <x:c r="B182" s="52" t="str">
        <x:f>IF(CaseLedger!$A182="","",IFERROR(CaseLedger!$H182,""))</x:f>
      </x:c>
      <x:c r="C182" s="52" t="str">
        <x:f>IF(CaseLedger!$A182="","",IFERROR(CaseLedger!$I182,""))</x:f>
      </x:c>
      <x:c r="D182" s="52" t="str">
        <x:f>IF(CaseLedger!$A182="","",IFERROR(CaseLedger!$J182,""))</x:f>
      </x:c>
      <x:c r="E182" s="52" t="str">
        <x:f>IF(CaseLedger!$A182="","",IFERROR(CaseLedger!$K182,""))</x:f>
      </x:c>
      <x:c r="F182" s="52" t="str">
        <x:f>IF(CaseLedger!$A182="","",IFERROR(CaseLedger!$O182,""))</x:f>
      </x:c>
      <x:c r="G182" s="52" t="str">
        <x:f>IF(CaseLedger!$A182="","",IFERROR(CaseLedger!$E182,""))</x:f>
      </x:c>
      <x:c r="H182" s="52" t="str">
        <x:f>IF(CaseLedger!$A182="","",IFERROR(CaseLedger!$P182,""))</x:f>
      </x:c>
      <x:c r="I182" s="52" t="str">
        <x:f>IF(CaseLedger!$A182="","",IFERROR(CaseLedger!$Q182,""))</x:f>
      </x:c>
      <x:c r="J182" s="52" t="str">
        <x:f>IF(CaseLedger!$A182="","",IFERROR(CaseLedger!$R182,""))</x:f>
      </x:c>
      <x:c r="K182" s="52" t="str">
        <x:f>IF(CaseLedger!$A182="","",IFERROR(CaseLedger!$S182,""))</x:f>
      </x:c>
      <x:c r="L182" s="52" t="str">
        <x:f>IF(CaseLedger!$A182="","",IFERROR(CaseLedger!$T182,""))</x:f>
      </x:c>
      <x:c r="M182" s="52" t="str">
        <x:f>IF(CaseLedger!$A182="","",IFERROR(CaseLedger!$U182,""))</x:f>
      </x:c>
      <x:c r="N182" s="52" t="str">
        <x:f>IF(CaseLedger!$A182="","",IFERROR(CaseLedger!$V182,""))</x:f>
      </x:c>
      <x:c r="O182" s="52" t="str">
        <x:f>IF(CaseLedger!$A182="","",IFERROR(CaseLedger!$W182,""))</x:f>
      </x:c>
      <x:c r="P182" s="52" t="str">
        <x:f>IF(CaseLedger!$A182="","",IFERROR(CaseLedger!$C182,""))</x:f>
      </x:c>
      <x:c r="Q182" s="52" t="str">
        <x:f>IF(CaseLedger!$A182="","",IFERROR(CaseLedger!$D182,""))</x:f>
      </x:c>
      <x:c r="R182" s="52" t="str">
        <x:f>IF(CaseLedger!$A182="","",IFERROR(CaseLedger!$X182,""))</x:f>
      </x:c>
      <x:c r="S182" s="52" t="str">
        <x:f>IF(CaseLedger!$A182="","",IFERROR(CaseLedger!$Y182,""))</x:f>
      </x:c>
      <x:c r="T182" s="52" t="str">
        <x:f>IF(CaseLedger!$A182="","",IFERROR(CaseLedger!$Z182,""))</x:f>
      </x:c>
      <x:c r="U182" s="52" t="str">
        <x:f>IF(CaseLedger!$A182="","",IFERROR(CaseLedger!$AA182,""))</x:f>
      </x:c>
      <x:c r="V182" s="52" t="str">
        <x:f>IF(CaseLedger!$A182="","",IFERROR(CaseLedger!$AB182,""))</x:f>
      </x:c>
      <x:c r="W182" s="52" t="str">
        <x:f>IF(CaseLedger!$A182="","",IFERROR(CaseLedger!$AC182,""))</x:f>
      </x:c>
      <x:c r="X182" s="52" t="str">
        <x:f>IF(CaseLedger!$A182="","",IFERROR(CaseLedger!$AD182,""))</x:f>
      </x:c>
      <x:c r="Y182" s="52" t="str">
        <x:f>IF(CaseLedger!$A182="","",IFERROR(CaseLedger!$AE182,""))</x:f>
      </x:c>
      <x:c r="Z182" s="52" t="str">
        <x:f>IF(CaseLedger!$A182="","",IFERROR(CaseLedger!$AF182,""))</x:f>
      </x:c>
      <x:c r="AA182" s="52" t="str">
        <x:f>IF(CaseLedger!$A182="","",IFERROR(CaseLedger!$AG182,""))</x:f>
      </x:c>
      <x:c r="AB182" s="52" t="str">
        <x:f>IF(CaseLedger!$A182="","",IFERROR(CaseLedger!$AH182,""))</x:f>
      </x:c>
      <x:c r="AC182"/>
    </x:row>
    <x:row r="183">
      <x:c r="A183" s="52" t="str">
        <x:f>IF(CaseLedger!$A183="","",IFERROR(CaseLedger!$A183,""))</x:f>
      </x:c>
      <x:c r="B183" s="52" t="str">
        <x:f>IF(CaseLedger!$A183="","",IFERROR(CaseLedger!$H183,""))</x:f>
      </x:c>
      <x:c r="C183" s="52" t="str">
        <x:f>IF(CaseLedger!$A183="","",IFERROR(CaseLedger!$I183,""))</x:f>
      </x:c>
      <x:c r="D183" s="52" t="str">
        <x:f>IF(CaseLedger!$A183="","",IFERROR(CaseLedger!$J183,""))</x:f>
      </x:c>
      <x:c r="E183" s="52" t="str">
        <x:f>IF(CaseLedger!$A183="","",IFERROR(CaseLedger!$K183,""))</x:f>
      </x:c>
      <x:c r="F183" s="52" t="str">
        <x:f>IF(CaseLedger!$A183="","",IFERROR(CaseLedger!$O183,""))</x:f>
      </x:c>
      <x:c r="G183" s="52" t="str">
        <x:f>IF(CaseLedger!$A183="","",IFERROR(CaseLedger!$E183,""))</x:f>
      </x:c>
      <x:c r="H183" s="52" t="str">
        <x:f>IF(CaseLedger!$A183="","",IFERROR(CaseLedger!$P183,""))</x:f>
      </x:c>
      <x:c r="I183" s="52" t="str">
        <x:f>IF(CaseLedger!$A183="","",IFERROR(CaseLedger!$Q183,""))</x:f>
      </x:c>
      <x:c r="J183" s="52" t="str">
        <x:f>IF(CaseLedger!$A183="","",IFERROR(CaseLedger!$R183,""))</x:f>
      </x:c>
      <x:c r="K183" s="52" t="str">
        <x:f>IF(CaseLedger!$A183="","",IFERROR(CaseLedger!$S183,""))</x:f>
      </x:c>
      <x:c r="L183" s="52" t="str">
        <x:f>IF(CaseLedger!$A183="","",IFERROR(CaseLedger!$T183,""))</x:f>
      </x:c>
      <x:c r="M183" s="52" t="str">
        <x:f>IF(CaseLedger!$A183="","",IFERROR(CaseLedger!$U183,""))</x:f>
      </x:c>
      <x:c r="N183" s="52" t="str">
        <x:f>IF(CaseLedger!$A183="","",IFERROR(CaseLedger!$V183,""))</x:f>
      </x:c>
      <x:c r="O183" s="52" t="str">
        <x:f>IF(CaseLedger!$A183="","",IFERROR(CaseLedger!$W183,""))</x:f>
      </x:c>
      <x:c r="P183" s="52" t="str">
        <x:f>IF(CaseLedger!$A183="","",IFERROR(CaseLedger!$C183,""))</x:f>
      </x:c>
      <x:c r="Q183" s="52" t="str">
        <x:f>IF(CaseLedger!$A183="","",IFERROR(CaseLedger!$D183,""))</x:f>
      </x:c>
      <x:c r="R183" s="52" t="str">
        <x:f>IF(CaseLedger!$A183="","",IFERROR(CaseLedger!$X183,""))</x:f>
      </x:c>
      <x:c r="S183" s="52" t="str">
        <x:f>IF(CaseLedger!$A183="","",IFERROR(CaseLedger!$Y183,""))</x:f>
      </x:c>
      <x:c r="T183" s="52" t="str">
        <x:f>IF(CaseLedger!$A183="","",IFERROR(CaseLedger!$Z183,""))</x:f>
      </x:c>
      <x:c r="U183" s="52" t="str">
        <x:f>IF(CaseLedger!$A183="","",IFERROR(CaseLedger!$AA183,""))</x:f>
      </x:c>
      <x:c r="V183" s="52" t="str">
        <x:f>IF(CaseLedger!$A183="","",IFERROR(CaseLedger!$AB183,""))</x:f>
      </x:c>
      <x:c r="W183" s="52" t="str">
        <x:f>IF(CaseLedger!$A183="","",IFERROR(CaseLedger!$AC183,""))</x:f>
      </x:c>
      <x:c r="X183" s="52" t="str">
        <x:f>IF(CaseLedger!$A183="","",IFERROR(CaseLedger!$AD183,""))</x:f>
      </x:c>
      <x:c r="Y183" s="52" t="str">
        <x:f>IF(CaseLedger!$A183="","",IFERROR(CaseLedger!$AE183,""))</x:f>
      </x:c>
      <x:c r="Z183" s="52" t="str">
        <x:f>IF(CaseLedger!$A183="","",IFERROR(CaseLedger!$AF183,""))</x:f>
      </x:c>
      <x:c r="AA183" s="52" t="str">
        <x:f>IF(CaseLedger!$A183="","",IFERROR(CaseLedger!$AG183,""))</x:f>
      </x:c>
      <x:c r="AB183" s="52" t="str">
        <x:f>IF(CaseLedger!$A183="","",IFERROR(CaseLedger!$AH183,""))</x:f>
      </x:c>
      <x:c r="AC183"/>
    </x:row>
    <x:row r="184">
      <x:c r="A184" s="52" t="str">
        <x:f>IF(CaseLedger!$A184="","",IFERROR(CaseLedger!$A184,""))</x:f>
      </x:c>
      <x:c r="B184" s="52" t="str">
        <x:f>IF(CaseLedger!$A184="","",IFERROR(CaseLedger!$H184,""))</x:f>
      </x:c>
      <x:c r="C184" s="52" t="str">
        <x:f>IF(CaseLedger!$A184="","",IFERROR(CaseLedger!$I184,""))</x:f>
      </x:c>
      <x:c r="D184" s="52" t="str">
        <x:f>IF(CaseLedger!$A184="","",IFERROR(CaseLedger!$J184,""))</x:f>
      </x:c>
      <x:c r="E184" s="52" t="str">
        <x:f>IF(CaseLedger!$A184="","",IFERROR(CaseLedger!$K184,""))</x:f>
      </x:c>
      <x:c r="F184" s="52" t="str">
        <x:f>IF(CaseLedger!$A184="","",IFERROR(CaseLedger!$O184,""))</x:f>
      </x:c>
      <x:c r="G184" s="52" t="str">
        <x:f>IF(CaseLedger!$A184="","",IFERROR(CaseLedger!$E184,""))</x:f>
      </x:c>
      <x:c r="H184" s="52" t="str">
        <x:f>IF(CaseLedger!$A184="","",IFERROR(CaseLedger!$P184,""))</x:f>
      </x:c>
      <x:c r="I184" s="52" t="str">
        <x:f>IF(CaseLedger!$A184="","",IFERROR(CaseLedger!$Q184,""))</x:f>
      </x:c>
      <x:c r="J184" s="52" t="str">
        <x:f>IF(CaseLedger!$A184="","",IFERROR(CaseLedger!$R184,""))</x:f>
      </x:c>
      <x:c r="K184" s="52" t="str">
        <x:f>IF(CaseLedger!$A184="","",IFERROR(CaseLedger!$S184,""))</x:f>
      </x:c>
      <x:c r="L184" s="52" t="str">
        <x:f>IF(CaseLedger!$A184="","",IFERROR(CaseLedger!$T184,""))</x:f>
      </x:c>
      <x:c r="M184" s="52" t="str">
        <x:f>IF(CaseLedger!$A184="","",IFERROR(CaseLedger!$U184,""))</x:f>
      </x:c>
      <x:c r="N184" s="52" t="str">
        <x:f>IF(CaseLedger!$A184="","",IFERROR(CaseLedger!$V184,""))</x:f>
      </x:c>
      <x:c r="O184" s="52" t="str">
        <x:f>IF(CaseLedger!$A184="","",IFERROR(CaseLedger!$W184,""))</x:f>
      </x:c>
      <x:c r="P184" s="52" t="str">
        <x:f>IF(CaseLedger!$A184="","",IFERROR(CaseLedger!$C184,""))</x:f>
      </x:c>
      <x:c r="Q184" s="52" t="str">
        <x:f>IF(CaseLedger!$A184="","",IFERROR(CaseLedger!$D184,""))</x:f>
      </x:c>
      <x:c r="R184" s="52" t="str">
        <x:f>IF(CaseLedger!$A184="","",IFERROR(CaseLedger!$X184,""))</x:f>
      </x:c>
      <x:c r="S184" s="52" t="str">
        <x:f>IF(CaseLedger!$A184="","",IFERROR(CaseLedger!$Y184,""))</x:f>
      </x:c>
      <x:c r="T184" s="52" t="str">
        <x:f>IF(CaseLedger!$A184="","",IFERROR(CaseLedger!$Z184,""))</x:f>
      </x:c>
      <x:c r="U184" s="52" t="str">
        <x:f>IF(CaseLedger!$A184="","",IFERROR(CaseLedger!$AA184,""))</x:f>
      </x:c>
      <x:c r="V184" s="52" t="str">
        <x:f>IF(CaseLedger!$A184="","",IFERROR(CaseLedger!$AB184,""))</x:f>
      </x:c>
      <x:c r="W184" s="52" t="str">
        <x:f>IF(CaseLedger!$A184="","",IFERROR(CaseLedger!$AC184,""))</x:f>
      </x:c>
      <x:c r="X184" s="52" t="str">
        <x:f>IF(CaseLedger!$A184="","",IFERROR(CaseLedger!$AD184,""))</x:f>
      </x:c>
      <x:c r="Y184" s="52" t="str">
        <x:f>IF(CaseLedger!$A184="","",IFERROR(CaseLedger!$AE184,""))</x:f>
      </x:c>
      <x:c r="Z184" s="52" t="str">
        <x:f>IF(CaseLedger!$A184="","",IFERROR(CaseLedger!$AF184,""))</x:f>
      </x:c>
      <x:c r="AA184" s="52" t="str">
        <x:f>IF(CaseLedger!$A184="","",IFERROR(CaseLedger!$AG184,""))</x:f>
      </x:c>
      <x:c r="AB184" s="52" t="str">
        <x:f>IF(CaseLedger!$A184="","",IFERROR(CaseLedger!$AH184,""))</x:f>
      </x:c>
      <x:c r="AC184"/>
    </x:row>
    <x:row r="185">
      <x:c r="A185" s="52" t="str">
        <x:f>IF(CaseLedger!$A185="","",IFERROR(CaseLedger!$A185,""))</x:f>
      </x:c>
      <x:c r="B185" s="52" t="str">
        <x:f>IF(CaseLedger!$A185="","",IFERROR(CaseLedger!$H185,""))</x:f>
      </x:c>
      <x:c r="C185" s="52" t="str">
        <x:f>IF(CaseLedger!$A185="","",IFERROR(CaseLedger!$I185,""))</x:f>
      </x:c>
      <x:c r="D185" s="52" t="str">
        <x:f>IF(CaseLedger!$A185="","",IFERROR(CaseLedger!$J185,""))</x:f>
      </x:c>
      <x:c r="E185" s="52" t="str">
        <x:f>IF(CaseLedger!$A185="","",IFERROR(CaseLedger!$K185,""))</x:f>
      </x:c>
      <x:c r="F185" s="52" t="str">
        <x:f>IF(CaseLedger!$A185="","",IFERROR(CaseLedger!$O185,""))</x:f>
      </x:c>
      <x:c r="G185" s="52" t="str">
        <x:f>IF(CaseLedger!$A185="","",IFERROR(CaseLedger!$E185,""))</x:f>
      </x:c>
      <x:c r="H185" s="52" t="str">
        <x:f>IF(CaseLedger!$A185="","",IFERROR(CaseLedger!$P185,""))</x:f>
      </x:c>
      <x:c r="I185" s="52" t="str">
        <x:f>IF(CaseLedger!$A185="","",IFERROR(CaseLedger!$Q185,""))</x:f>
      </x:c>
      <x:c r="J185" s="52" t="str">
        <x:f>IF(CaseLedger!$A185="","",IFERROR(CaseLedger!$R185,""))</x:f>
      </x:c>
      <x:c r="K185" s="52" t="str">
        <x:f>IF(CaseLedger!$A185="","",IFERROR(CaseLedger!$S185,""))</x:f>
      </x:c>
      <x:c r="L185" s="52" t="str">
        <x:f>IF(CaseLedger!$A185="","",IFERROR(CaseLedger!$T185,""))</x:f>
      </x:c>
      <x:c r="M185" s="52" t="str">
        <x:f>IF(CaseLedger!$A185="","",IFERROR(CaseLedger!$U185,""))</x:f>
      </x:c>
      <x:c r="N185" s="52" t="str">
        <x:f>IF(CaseLedger!$A185="","",IFERROR(CaseLedger!$V185,""))</x:f>
      </x:c>
      <x:c r="O185" s="52" t="str">
        <x:f>IF(CaseLedger!$A185="","",IFERROR(CaseLedger!$W185,""))</x:f>
      </x:c>
      <x:c r="P185" s="52" t="str">
        <x:f>IF(CaseLedger!$A185="","",IFERROR(CaseLedger!$C185,""))</x:f>
      </x:c>
      <x:c r="Q185" s="52" t="str">
        <x:f>IF(CaseLedger!$A185="","",IFERROR(CaseLedger!$D185,""))</x:f>
      </x:c>
      <x:c r="R185" s="52" t="str">
        <x:f>IF(CaseLedger!$A185="","",IFERROR(CaseLedger!$X185,""))</x:f>
      </x:c>
      <x:c r="S185" s="52" t="str">
        <x:f>IF(CaseLedger!$A185="","",IFERROR(CaseLedger!$Y185,""))</x:f>
      </x:c>
      <x:c r="T185" s="52" t="str">
        <x:f>IF(CaseLedger!$A185="","",IFERROR(CaseLedger!$Z185,""))</x:f>
      </x:c>
      <x:c r="U185" s="52" t="str">
        <x:f>IF(CaseLedger!$A185="","",IFERROR(CaseLedger!$AA185,""))</x:f>
      </x:c>
      <x:c r="V185" s="52" t="str">
        <x:f>IF(CaseLedger!$A185="","",IFERROR(CaseLedger!$AB185,""))</x:f>
      </x:c>
      <x:c r="W185" s="52" t="str">
        <x:f>IF(CaseLedger!$A185="","",IFERROR(CaseLedger!$AC185,""))</x:f>
      </x:c>
      <x:c r="X185" s="52" t="str">
        <x:f>IF(CaseLedger!$A185="","",IFERROR(CaseLedger!$AD185,""))</x:f>
      </x:c>
      <x:c r="Y185" s="52" t="str">
        <x:f>IF(CaseLedger!$A185="","",IFERROR(CaseLedger!$AE185,""))</x:f>
      </x:c>
      <x:c r="Z185" s="52" t="str">
        <x:f>IF(CaseLedger!$A185="","",IFERROR(CaseLedger!$AF185,""))</x:f>
      </x:c>
      <x:c r="AA185" s="52" t="str">
        <x:f>IF(CaseLedger!$A185="","",IFERROR(CaseLedger!$AG185,""))</x:f>
      </x:c>
      <x:c r="AB185" s="52" t="str">
        <x:f>IF(CaseLedger!$A185="","",IFERROR(CaseLedger!$AH185,""))</x:f>
      </x:c>
      <x:c r="AC185"/>
    </x:row>
    <x:row r="186">
      <x:c r="A186" s="52" t="str">
        <x:f>IF(CaseLedger!$A186="","",IFERROR(CaseLedger!$A186,""))</x:f>
      </x:c>
      <x:c r="B186" s="52" t="str">
        <x:f>IF(CaseLedger!$A186="","",IFERROR(CaseLedger!$H186,""))</x:f>
      </x:c>
      <x:c r="C186" s="52" t="str">
        <x:f>IF(CaseLedger!$A186="","",IFERROR(CaseLedger!$I186,""))</x:f>
      </x:c>
      <x:c r="D186" s="52" t="str">
        <x:f>IF(CaseLedger!$A186="","",IFERROR(CaseLedger!$J186,""))</x:f>
      </x:c>
      <x:c r="E186" s="52" t="str">
        <x:f>IF(CaseLedger!$A186="","",IFERROR(CaseLedger!$K186,""))</x:f>
      </x:c>
      <x:c r="F186" s="52" t="str">
        <x:f>IF(CaseLedger!$A186="","",IFERROR(CaseLedger!$O186,""))</x:f>
      </x:c>
      <x:c r="G186" s="52" t="str">
        <x:f>IF(CaseLedger!$A186="","",IFERROR(CaseLedger!$E186,""))</x:f>
      </x:c>
      <x:c r="H186" s="52" t="str">
        <x:f>IF(CaseLedger!$A186="","",IFERROR(CaseLedger!$P186,""))</x:f>
      </x:c>
      <x:c r="I186" s="52" t="str">
        <x:f>IF(CaseLedger!$A186="","",IFERROR(CaseLedger!$Q186,""))</x:f>
      </x:c>
      <x:c r="J186" s="52" t="str">
        <x:f>IF(CaseLedger!$A186="","",IFERROR(CaseLedger!$R186,""))</x:f>
      </x:c>
      <x:c r="K186" s="52" t="str">
        <x:f>IF(CaseLedger!$A186="","",IFERROR(CaseLedger!$S186,""))</x:f>
      </x:c>
      <x:c r="L186" s="52" t="str">
        <x:f>IF(CaseLedger!$A186="","",IFERROR(CaseLedger!$T186,""))</x:f>
      </x:c>
      <x:c r="M186" s="52" t="str">
        <x:f>IF(CaseLedger!$A186="","",IFERROR(CaseLedger!$U186,""))</x:f>
      </x:c>
      <x:c r="N186" s="52" t="str">
        <x:f>IF(CaseLedger!$A186="","",IFERROR(CaseLedger!$V186,""))</x:f>
      </x:c>
      <x:c r="O186" s="52" t="str">
        <x:f>IF(CaseLedger!$A186="","",IFERROR(CaseLedger!$W186,""))</x:f>
      </x:c>
      <x:c r="P186" s="52" t="str">
        <x:f>IF(CaseLedger!$A186="","",IFERROR(CaseLedger!$C186,""))</x:f>
      </x:c>
      <x:c r="Q186" s="52" t="str">
        <x:f>IF(CaseLedger!$A186="","",IFERROR(CaseLedger!$D186,""))</x:f>
      </x:c>
      <x:c r="R186" s="52" t="str">
        <x:f>IF(CaseLedger!$A186="","",IFERROR(CaseLedger!$X186,""))</x:f>
      </x:c>
      <x:c r="S186" s="52" t="str">
        <x:f>IF(CaseLedger!$A186="","",IFERROR(CaseLedger!$Y186,""))</x:f>
      </x:c>
      <x:c r="T186" s="52" t="str">
        <x:f>IF(CaseLedger!$A186="","",IFERROR(CaseLedger!$Z186,""))</x:f>
      </x:c>
      <x:c r="U186" s="52" t="str">
        <x:f>IF(CaseLedger!$A186="","",IFERROR(CaseLedger!$AA186,""))</x:f>
      </x:c>
      <x:c r="V186" s="52" t="str">
        <x:f>IF(CaseLedger!$A186="","",IFERROR(CaseLedger!$AB186,""))</x:f>
      </x:c>
      <x:c r="W186" s="52" t="str">
        <x:f>IF(CaseLedger!$A186="","",IFERROR(CaseLedger!$AC186,""))</x:f>
      </x:c>
      <x:c r="X186" s="52" t="str">
        <x:f>IF(CaseLedger!$A186="","",IFERROR(CaseLedger!$AD186,""))</x:f>
      </x:c>
      <x:c r="Y186" s="52" t="str">
        <x:f>IF(CaseLedger!$A186="","",IFERROR(CaseLedger!$AE186,""))</x:f>
      </x:c>
      <x:c r="Z186" s="52" t="str">
        <x:f>IF(CaseLedger!$A186="","",IFERROR(CaseLedger!$AF186,""))</x:f>
      </x:c>
      <x:c r="AA186" s="52" t="str">
        <x:f>IF(CaseLedger!$A186="","",IFERROR(CaseLedger!$AG186,""))</x:f>
      </x:c>
      <x:c r="AB186" s="52" t="str">
        <x:f>IF(CaseLedger!$A186="","",IFERROR(CaseLedger!$AH186,""))</x:f>
      </x:c>
      <x:c r="AC186"/>
    </x:row>
    <x:row r="187">
      <x:c r="A187" s="52" t="str">
        <x:f>IF(CaseLedger!$A187="","",IFERROR(CaseLedger!$A187,""))</x:f>
      </x:c>
      <x:c r="B187" s="52" t="str">
        <x:f>IF(CaseLedger!$A187="","",IFERROR(CaseLedger!$H187,""))</x:f>
      </x:c>
      <x:c r="C187" s="52" t="str">
        <x:f>IF(CaseLedger!$A187="","",IFERROR(CaseLedger!$I187,""))</x:f>
      </x:c>
      <x:c r="D187" s="52" t="str">
        <x:f>IF(CaseLedger!$A187="","",IFERROR(CaseLedger!$J187,""))</x:f>
      </x:c>
      <x:c r="E187" s="52" t="str">
        <x:f>IF(CaseLedger!$A187="","",IFERROR(CaseLedger!$K187,""))</x:f>
      </x:c>
      <x:c r="F187" s="52" t="str">
        <x:f>IF(CaseLedger!$A187="","",IFERROR(CaseLedger!$O187,""))</x:f>
      </x:c>
      <x:c r="G187" s="52" t="str">
        <x:f>IF(CaseLedger!$A187="","",IFERROR(CaseLedger!$E187,""))</x:f>
      </x:c>
      <x:c r="H187" s="52" t="str">
        <x:f>IF(CaseLedger!$A187="","",IFERROR(CaseLedger!$P187,""))</x:f>
      </x:c>
      <x:c r="I187" s="52" t="str">
        <x:f>IF(CaseLedger!$A187="","",IFERROR(CaseLedger!$Q187,""))</x:f>
      </x:c>
      <x:c r="J187" s="52" t="str">
        <x:f>IF(CaseLedger!$A187="","",IFERROR(CaseLedger!$R187,""))</x:f>
      </x:c>
      <x:c r="K187" s="52" t="str">
        <x:f>IF(CaseLedger!$A187="","",IFERROR(CaseLedger!$S187,""))</x:f>
      </x:c>
      <x:c r="L187" s="52" t="str">
        <x:f>IF(CaseLedger!$A187="","",IFERROR(CaseLedger!$T187,""))</x:f>
      </x:c>
      <x:c r="M187" s="52" t="str">
        <x:f>IF(CaseLedger!$A187="","",IFERROR(CaseLedger!$U187,""))</x:f>
      </x:c>
      <x:c r="N187" s="52" t="str">
        <x:f>IF(CaseLedger!$A187="","",IFERROR(CaseLedger!$V187,""))</x:f>
      </x:c>
      <x:c r="O187" s="52" t="str">
        <x:f>IF(CaseLedger!$A187="","",IFERROR(CaseLedger!$W187,""))</x:f>
      </x:c>
      <x:c r="P187" s="52" t="str">
        <x:f>IF(CaseLedger!$A187="","",IFERROR(CaseLedger!$C187,""))</x:f>
      </x:c>
      <x:c r="Q187" s="52" t="str">
        <x:f>IF(CaseLedger!$A187="","",IFERROR(CaseLedger!$D187,""))</x:f>
      </x:c>
      <x:c r="R187" s="52" t="str">
        <x:f>IF(CaseLedger!$A187="","",IFERROR(CaseLedger!$X187,""))</x:f>
      </x:c>
      <x:c r="S187" s="52" t="str">
        <x:f>IF(CaseLedger!$A187="","",IFERROR(CaseLedger!$Y187,""))</x:f>
      </x:c>
      <x:c r="T187" s="52" t="str">
        <x:f>IF(CaseLedger!$A187="","",IFERROR(CaseLedger!$Z187,""))</x:f>
      </x:c>
      <x:c r="U187" s="52" t="str">
        <x:f>IF(CaseLedger!$A187="","",IFERROR(CaseLedger!$AA187,""))</x:f>
      </x:c>
      <x:c r="V187" s="52" t="str">
        <x:f>IF(CaseLedger!$A187="","",IFERROR(CaseLedger!$AB187,""))</x:f>
      </x:c>
      <x:c r="W187" s="52" t="str">
        <x:f>IF(CaseLedger!$A187="","",IFERROR(CaseLedger!$AC187,""))</x:f>
      </x:c>
      <x:c r="X187" s="52" t="str">
        <x:f>IF(CaseLedger!$A187="","",IFERROR(CaseLedger!$AD187,""))</x:f>
      </x:c>
      <x:c r="Y187" s="52" t="str">
        <x:f>IF(CaseLedger!$A187="","",IFERROR(CaseLedger!$AE187,""))</x:f>
      </x:c>
      <x:c r="Z187" s="52" t="str">
        <x:f>IF(CaseLedger!$A187="","",IFERROR(CaseLedger!$AF187,""))</x:f>
      </x:c>
      <x:c r="AA187" s="52" t="str">
        <x:f>IF(CaseLedger!$A187="","",IFERROR(CaseLedger!$AG187,""))</x:f>
      </x:c>
      <x:c r="AB187" s="52" t="str">
        <x:f>IF(CaseLedger!$A187="","",IFERROR(CaseLedger!$AH187,""))</x:f>
      </x:c>
      <x:c r="AC187"/>
    </x:row>
    <x:row r="188">
      <x:c r="A188" s="52" t="str">
        <x:f>IF(CaseLedger!$A188="","",IFERROR(CaseLedger!$A188,""))</x:f>
      </x:c>
      <x:c r="B188" s="52" t="str">
        <x:f>IF(CaseLedger!$A188="","",IFERROR(CaseLedger!$H188,""))</x:f>
      </x:c>
      <x:c r="C188" s="52" t="str">
        <x:f>IF(CaseLedger!$A188="","",IFERROR(CaseLedger!$I188,""))</x:f>
      </x:c>
      <x:c r="D188" s="52" t="str">
        <x:f>IF(CaseLedger!$A188="","",IFERROR(CaseLedger!$J188,""))</x:f>
      </x:c>
      <x:c r="E188" s="52" t="str">
        <x:f>IF(CaseLedger!$A188="","",IFERROR(CaseLedger!$K188,""))</x:f>
      </x:c>
      <x:c r="F188" s="52" t="str">
        <x:f>IF(CaseLedger!$A188="","",IFERROR(CaseLedger!$O188,""))</x:f>
      </x:c>
      <x:c r="G188" s="52" t="str">
        <x:f>IF(CaseLedger!$A188="","",IFERROR(CaseLedger!$E188,""))</x:f>
      </x:c>
      <x:c r="H188" s="52" t="str">
        <x:f>IF(CaseLedger!$A188="","",IFERROR(CaseLedger!$P188,""))</x:f>
      </x:c>
      <x:c r="I188" s="52" t="str">
        <x:f>IF(CaseLedger!$A188="","",IFERROR(CaseLedger!$Q188,""))</x:f>
      </x:c>
      <x:c r="J188" s="52" t="str">
        <x:f>IF(CaseLedger!$A188="","",IFERROR(CaseLedger!$R188,""))</x:f>
      </x:c>
      <x:c r="K188" s="52" t="str">
        <x:f>IF(CaseLedger!$A188="","",IFERROR(CaseLedger!$S188,""))</x:f>
      </x:c>
      <x:c r="L188" s="52" t="str">
        <x:f>IF(CaseLedger!$A188="","",IFERROR(CaseLedger!$T188,""))</x:f>
      </x:c>
      <x:c r="M188" s="52" t="str">
        <x:f>IF(CaseLedger!$A188="","",IFERROR(CaseLedger!$U188,""))</x:f>
      </x:c>
      <x:c r="N188" s="52" t="str">
        <x:f>IF(CaseLedger!$A188="","",IFERROR(CaseLedger!$V188,""))</x:f>
      </x:c>
      <x:c r="O188" s="52" t="str">
        <x:f>IF(CaseLedger!$A188="","",IFERROR(CaseLedger!$W188,""))</x:f>
      </x:c>
      <x:c r="P188" s="52" t="str">
        <x:f>IF(CaseLedger!$A188="","",IFERROR(CaseLedger!$C188,""))</x:f>
      </x:c>
      <x:c r="Q188" s="52" t="str">
        <x:f>IF(CaseLedger!$A188="","",IFERROR(CaseLedger!$D188,""))</x:f>
      </x:c>
      <x:c r="R188" s="52" t="str">
        <x:f>IF(CaseLedger!$A188="","",IFERROR(CaseLedger!$X188,""))</x:f>
      </x:c>
      <x:c r="S188" s="52" t="str">
        <x:f>IF(CaseLedger!$A188="","",IFERROR(CaseLedger!$Y188,""))</x:f>
      </x:c>
      <x:c r="T188" s="52" t="str">
        <x:f>IF(CaseLedger!$A188="","",IFERROR(CaseLedger!$Z188,""))</x:f>
      </x:c>
      <x:c r="U188" s="52" t="str">
        <x:f>IF(CaseLedger!$A188="","",IFERROR(CaseLedger!$AA188,""))</x:f>
      </x:c>
      <x:c r="V188" s="52" t="str">
        <x:f>IF(CaseLedger!$A188="","",IFERROR(CaseLedger!$AB188,""))</x:f>
      </x:c>
      <x:c r="W188" s="52" t="str">
        <x:f>IF(CaseLedger!$A188="","",IFERROR(CaseLedger!$AC188,""))</x:f>
      </x:c>
      <x:c r="X188" s="52" t="str">
        <x:f>IF(CaseLedger!$A188="","",IFERROR(CaseLedger!$AD188,""))</x:f>
      </x:c>
      <x:c r="Y188" s="52" t="str">
        <x:f>IF(CaseLedger!$A188="","",IFERROR(CaseLedger!$AE188,""))</x:f>
      </x:c>
      <x:c r="Z188" s="52" t="str">
        <x:f>IF(CaseLedger!$A188="","",IFERROR(CaseLedger!$AF188,""))</x:f>
      </x:c>
      <x:c r="AA188" s="52" t="str">
        <x:f>IF(CaseLedger!$A188="","",IFERROR(CaseLedger!$AG188,""))</x:f>
      </x:c>
      <x:c r="AB188" s="52" t="str">
        <x:f>IF(CaseLedger!$A188="","",IFERROR(CaseLedger!$AH188,""))</x:f>
      </x:c>
      <x:c r="AC188"/>
    </x:row>
    <x:row r="189">
      <x:c r="A189" s="52" t="str">
        <x:f>IF(CaseLedger!$A189="","",IFERROR(CaseLedger!$A189,""))</x:f>
      </x:c>
      <x:c r="B189" s="52" t="str">
        <x:f>IF(CaseLedger!$A189="","",IFERROR(CaseLedger!$H189,""))</x:f>
      </x:c>
      <x:c r="C189" s="52" t="str">
        <x:f>IF(CaseLedger!$A189="","",IFERROR(CaseLedger!$I189,""))</x:f>
      </x:c>
      <x:c r="D189" s="52" t="str">
        <x:f>IF(CaseLedger!$A189="","",IFERROR(CaseLedger!$J189,""))</x:f>
      </x:c>
      <x:c r="E189" s="52" t="str">
        <x:f>IF(CaseLedger!$A189="","",IFERROR(CaseLedger!$K189,""))</x:f>
      </x:c>
      <x:c r="F189" s="52" t="str">
        <x:f>IF(CaseLedger!$A189="","",IFERROR(CaseLedger!$O189,""))</x:f>
      </x:c>
      <x:c r="G189" s="52" t="str">
        <x:f>IF(CaseLedger!$A189="","",IFERROR(CaseLedger!$E189,""))</x:f>
      </x:c>
      <x:c r="H189" s="52" t="str">
        <x:f>IF(CaseLedger!$A189="","",IFERROR(CaseLedger!$P189,""))</x:f>
      </x:c>
      <x:c r="I189" s="52" t="str">
        <x:f>IF(CaseLedger!$A189="","",IFERROR(CaseLedger!$Q189,""))</x:f>
      </x:c>
      <x:c r="J189" s="52" t="str">
        <x:f>IF(CaseLedger!$A189="","",IFERROR(CaseLedger!$R189,""))</x:f>
      </x:c>
      <x:c r="K189" s="52" t="str">
        <x:f>IF(CaseLedger!$A189="","",IFERROR(CaseLedger!$S189,""))</x:f>
      </x:c>
      <x:c r="L189" s="52" t="str">
        <x:f>IF(CaseLedger!$A189="","",IFERROR(CaseLedger!$T189,""))</x:f>
      </x:c>
      <x:c r="M189" s="52" t="str">
        <x:f>IF(CaseLedger!$A189="","",IFERROR(CaseLedger!$U189,""))</x:f>
      </x:c>
      <x:c r="N189" s="52" t="str">
        <x:f>IF(CaseLedger!$A189="","",IFERROR(CaseLedger!$V189,""))</x:f>
      </x:c>
      <x:c r="O189" s="52" t="str">
        <x:f>IF(CaseLedger!$A189="","",IFERROR(CaseLedger!$W189,""))</x:f>
      </x:c>
      <x:c r="P189" s="52" t="str">
        <x:f>IF(CaseLedger!$A189="","",IFERROR(CaseLedger!$C189,""))</x:f>
      </x:c>
      <x:c r="Q189" s="52" t="str">
        <x:f>IF(CaseLedger!$A189="","",IFERROR(CaseLedger!$D189,""))</x:f>
      </x:c>
      <x:c r="R189" s="52" t="str">
        <x:f>IF(CaseLedger!$A189="","",IFERROR(CaseLedger!$X189,""))</x:f>
      </x:c>
      <x:c r="S189" s="52" t="str">
        <x:f>IF(CaseLedger!$A189="","",IFERROR(CaseLedger!$Y189,""))</x:f>
      </x:c>
      <x:c r="T189" s="52" t="str">
        <x:f>IF(CaseLedger!$A189="","",IFERROR(CaseLedger!$Z189,""))</x:f>
      </x:c>
      <x:c r="U189" s="52" t="str">
        <x:f>IF(CaseLedger!$A189="","",IFERROR(CaseLedger!$AA189,""))</x:f>
      </x:c>
      <x:c r="V189" s="52" t="str">
        <x:f>IF(CaseLedger!$A189="","",IFERROR(CaseLedger!$AB189,""))</x:f>
      </x:c>
      <x:c r="W189" s="52" t="str">
        <x:f>IF(CaseLedger!$A189="","",IFERROR(CaseLedger!$AC189,""))</x:f>
      </x:c>
      <x:c r="X189" s="52" t="str">
        <x:f>IF(CaseLedger!$A189="","",IFERROR(CaseLedger!$AD189,""))</x:f>
      </x:c>
      <x:c r="Y189" s="52" t="str">
        <x:f>IF(CaseLedger!$A189="","",IFERROR(CaseLedger!$AE189,""))</x:f>
      </x:c>
      <x:c r="Z189" s="52" t="str">
        <x:f>IF(CaseLedger!$A189="","",IFERROR(CaseLedger!$AF189,""))</x:f>
      </x:c>
      <x:c r="AA189" s="52" t="str">
        <x:f>IF(CaseLedger!$A189="","",IFERROR(CaseLedger!$AG189,""))</x:f>
      </x:c>
      <x:c r="AB189" s="52" t="str">
        <x:f>IF(CaseLedger!$A189="","",IFERROR(CaseLedger!$AH189,""))</x:f>
      </x:c>
      <x:c r="AC189"/>
    </x:row>
    <x:row r="190">
      <x:c r="A190" s="52" t="str">
        <x:f>IF(CaseLedger!$A190="","",IFERROR(CaseLedger!$A190,""))</x:f>
      </x:c>
      <x:c r="B190" s="52" t="str">
        <x:f>IF(CaseLedger!$A190="","",IFERROR(CaseLedger!$H190,""))</x:f>
      </x:c>
      <x:c r="C190" s="52" t="str">
        <x:f>IF(CaseLedger!$A190="","",IFERROR(CaseLedger!$I190,""))</x:f>
      </x:c>
      <x:c r="D190" s="52" t="str">
        <x:f>IF(CaseLedger!$A190="","",IFERROR(CaseLedger!$J190,""))</x:f>
      </x:c>
      <x:c r="E190" s="52" t="str">
        <x:f>IF(CaseLedger!$A190="","",IFERROR(CaseLedger!$K190,""))</x:f>
      </x:c>
      <x:c r="F190" s="52" t="str">
        <x:f>IF(CaseLedger!$A190="","",IFERROR(CaseLedger!$O190,""))</x:f>
      </x:c>
      <x:c r="G190" s="52" t="str">
        <x:f>IF(CaseLedger!$A190="","",IFERROR(CaseLedger!$E190,""))</x:f>
      </x:c>
      <x:c r="H190" s="52" t="str">
        <x:f>IF(CaseLedger!$A190="","",IFERROR(CaseLedger!$P190,""))</x:f>
      </x:c>
      <x:c r="I190" s="52" t="str">
        <x:f>IF(CaseLedger!$A190="","",IFERROR(CaseLedger!$Q190,""))</x:f>
      </x:c>
      <x:c r="J190" s="52" t="str">
        <x:f>IF(CaseLedger!$A190="","",IFERROR(CaseLedger!$R190,""))</x:f>
      </x:c>
      <x:c r="K190" s="52" t="str">
        <x:f>IF(CaseLedger!$A190="","",IFERROR(CaseLedger!$S190,""))</x:f>
      </x:c>
      <x:c r="L190" s="52" t="str">
        <x:f>IF(CaseLedger!$A190="","",IFERROR(CaseLedger!$T190,""))</x:f>
      </x:c>
      <x:c r="M190" s="52" t="str">
        <x:f>IF(CaseLedger!$A190="","",IFERROR(CaseLedger!$U190,""))</x:f>
      </x:c>
      <x:c r="N190" s="52" t="str">
        <x:f>IF(CaseLedger!$A190="","",IFERROR(CaseLedger!$V190,""))</x:f>
      </x:c>
      <x:c r="O190" s="52" t="str">
        <x:f>IF(CaseLedger!$A190="","",IFERROR(CaseLedger!$W190,""))</x:f>
      </x:c>
      <x:c r="P190" s="52" t="str">
        <x:f>IF(CaseLedger!$A190="","",IFERROR(CaseLedger!$C190,""))</x:f>
      </x:c>
      <x:c r="Q190" s="52" t="str">
        <x:f>IF(CaseLedger!$A190="","",IFERROR(CaseLedger!$D190,""))</x:f>
      </x:c>
      <x:c r="R190" s="52" t="str">
        <x:f>IF(CaseLedger!$A190="","",IFERROR(CaseLedger!$X190,""))</x:f>
      </x:c>
      <x:c r="S190" s="52" t="str">
        <x:f>IF(CaseLedger!$A190="","",IFERROR(CaseLedger!$Y190,""))</x:f>
      </x:c>
      <x:c r="T190" s="52" t="str">
        <x:f>IF(CaseLedger!$A190="","",IFERROR(CaseLedger!$Z190,""))</x:f>
      </x:c>
      <x:c r="U190" s="52" t="str">
        <x:f>IF(CaseLedger!$A190="","",IFERROR(CaseLedger!$AA190,""))</x:f>
      </x:c>
      <x:c r="V190" s="52" t="str">
        <x:f>IF(CaseLedger!$A190="","",IFERROR(CaseLedger!$AB190,""))</x:f>
      </x:c>
      <x:c r="W190" s="52" t="str">
        <x:f>IF(CaseLedger!$A190="","",IFERROR(CaseLedger!$AC190,""))</x:f>
      </x:c>
      <x:c r="X190" s="52" t="str">
        <x:f>IF(CaseLedger!$A190="","",IFERROR(CaseLedger!$AD190,""))</x:f>
      </x:c>
      <x:c r="Y190" s="52" t="str">
        <x:f>IF(CaseLedger!$A190="","",IFERROR(CaseLedger!$AE190,""))</x:f>
      </x:c>
      <x:c r="Z190" s="52" t="str">
        <x:f>IF(CaseLedger!$A190="","",IFERROR(CaseLedger!$AF190,""))</x:f>
      </x:c>
      <x:c r="AA190" s="52" t="str">
        <x:f>IF(CaseLedger!$A190="","",IFERROR(CaseLedger!$AG190,""))</x:f>
      </x:c>
      <x:c r="AB190" s="52" t="str">
        <x:f>IF(CaseLedger!$A190="","",IFERROR(CaseLedger!$AH190,""))</x:f>
      </x:c>
      <x:c r="AC190"/>
    </x:row>
    <x:row r="191">
      <x:c r="A191" s="52" t="str">
        <x:f>IF(CaseLedger!$A191="","",IFERROR(CaseLedger!$A191,""))</x:f>
      </x:c>
      <x:c r="B191" s="52" t="str">
        <x:f>IF(CaseLedger!$A191="","",IFERROR(CaseLedger!$H191,""))</x:f>
      </x:c>
      <x:c r="C191" s="52" t="str">
        <x:f>IF(CaseLedger!$A191="","",IFERROR(CaseLedger!$I191,""))</x:f>
      </x:c>
      <x:c r="D191" s="52" t="str">
        <x:f>IF(CaseLedger!$A191="","",IFERROR(CaseLedger!$J191,""))</x:f>
      </x:c>
      <x:c r="E191" s="52" t="str">
        <x:f>IF(CaseLedger!$A191="","",IFERROR(CaseLedger!$K191,""))</x:f>
      </x:c>
      <x:c r="F191" s="52" t="str">
        <x:f>IF(CaseLedger!$A191="","",IFERROR(CaseLedger!$O191,""))</x:f>
      </x:c>
      <x:c r="G191" s="52" t="str">
        <x:f>IF(CaseLedger!$A191="","",IFERROR(CaseLedger!$E191,""))</x:f>
      </x:c>
      <x:c r="H191" s="52" t="str">
        <x:f>IF(CaseLedger!$A191="","",IFERROR(CaseLedger!$P191,""))</x:f>
      </x:c>
      <x:c r="I191" s="52" t="str">
        <x:f>IF(CaseLedger!$A191="","",IFERROR(CaseLedger!$Q191,""))</x:f>
      </x:c>
      <x:c r="J191" s="52" t="str">
        <x:f>IF(CaseLedger!$A191="","",IFERROR(CaseLedger!$R191,""))</x:f>
      </x:c>
      <x:c r="K191" s="52" t="str">
        <x:f>IF(CaseLedger!$A191="","",IFERROR(CaseLedger!$S191,""))</x:f>
      </x:c>
      <x:c r="L191" s="52" t="str">
        <x:f>IF(CaseLedger!$A191="","",IFERROR(CaseLedger!$T191,""))</x:f>
      </x:c>
      <x:c r="M191" s="52" t="str">
        <x:f>IF(CaseLedger!$A191="","",IFERROR(CaseLedger!$U191,""))</x:f>
      </x:c>
      <x:c r="N191" s="52" t="str">
        <x:f>IF(CaseLedger!$A191="","",IFERROR(CaseLedger!$V191,""))</x:f>
      </x:c>
      <x:c r="O191" s="52" t="str">
        <x:f>IF(CaseLedger!$A191="","",IFERROR(CaseLedger!$W191,""))</x:f>
      </x:c>
      <x:c r="P191" s="52" t="str">
        <x:f>IF(CaseLedger!$A191="","",IFERROR(CaseLedger!$C191,""))</x:f>
      </x:c>
      <x:c r="Q191" s="52" t="str">
        <x:f>IF(CaseLedger!$A191="","",IFERROR(CaseLedger!$D191,""))</x:f>
      </x:c>
      <x:c r="R191" s="52" t="str">
        <x:f>IF(CaseLedger!$A191="","",IFERROR(CaseLedger!$X191,""))</x:f>
      </x:c>
      <x:c r="S191" s="52" t="str">
        <x:f>IF(CaseLedger!$A191="","",IFERROR(CaseLedger!$Y191,""))</x:f>
      </x:c>
      <x:c r="T191" s="52" t="str">
        <x:f>IF(CaseLedger!$A191="","",IFERROR(CaseLedger!$Z191,""))</x:f>
      </x:c>
      <x:c r="U191" s="52" t="str">
        <x:f>IF(CaseLedger!$A191="","",IFERROR(CaseLedger!$AA191,""))</x:f>
      </x:c>
      <x:c r="V191" s="52" t="str">
        <x:f>IF(CaseLedger!$A191="","",IFERROR(CaseLedger!$AB191,""))</x:f>
      </x:c>
      <x:c r="W191" s="52" t="str">
        <x:f>IF(CaseLedger!$A191="","",IFERROR(CaseLedger!$AC191,""))</x:f>
      </x:c>
      <x:c r="X191" s="52" t="str">
        <x:f>IF(CaseLedger!$A191="","",IFERROR(CaseLedger!$AD191,""))</x:f>
      </x:c>
      <x:c r="Y191" s="52" t="str">
        <x:f>IF(CaseLedger!$A191="","",IFERROR(CaseLedger!$AE191,""))</x:f>
      </x:c>
      <x:c r="Z191" s="52" t="str">
        <x:f>IF(CaseLedger!$A191="","",IFERROR(CaseLedger!$AF191,""))</x:f>
      </x:c>
      <x:c r="AA191" s="52" t="str">
        <x:f>IF(CaseLedger!$A191="","",IFERROR(CaseLedger!$AG191,""))</x:f>
      </x:c>
      <x:c r="AB191" s="52" t="str">
        <x:f>IF(CaseLedger!$A191="","",IFERROR(CaseLedger!$AH191,""))</x:f>
      </x:c>
      <x:c r="AC191"/>
    </x:row>
    <x:row r="192">
      <x:c r="A192" s="52" t="str">
        <x:f>IF(CaseLedger!$A192="","",IFERROR(CaseLedger!$A192,""))</x:f>
      </x:c>
      <x:c r="B192" s="52" t="str">
        <x:f>IF(CaseLedger!$A192="","",IFERROR(CaseLedger!$H192,""))</x:f>
      </x:c>
      <x:c r="C192" s="52" t="str">
        <x:f>IF(CaseLedger!$A192="","",IFERROR(CaseLedger!$I192,""))</x:f>
      </x:c>
      <x:c r="D192" s="52" t="str">
        <x:f>IF(CaseLedger!$A192="","",IFERROR(CaseLedger!$J192,""))</x:f>
      </x:c>
      <x:c r="E192" s="52" t="str">
        <x:f>IF(CaseLedger!$A192="","",IFERROR(CaseLedger!$K192,""))</x:f>
      </x:c>
      <x:c r="F192" s="52" t="str">
        <x:f>IF(CaseLedger!$A192="","",IFERROR(CaseLedger!$O192,""))</x:f>
      </x:c>
      <x:c r="G192" s="52" t="str">
        <x:f>IF(CaseLedger!$A192="","",IFERROR(CaseLedger!$E192,""))</x:f>
      </x:c>
      <x:c r="H192" s="52" t="str">
        <x:f>IF(CaseLedger!$A192="","",IFERROR(CaseLedger!$P192,""))</x:f>
      </x:c>
      <x:c r="I192" s="52" t="str">
        <x:f>IF(CaseLedger!$A192="","",IFERROR(CaseLedger!$Q192,""))</x:f>
      </x:c>
      <x:c r="J192" s="52" t="str">
        <x:f>IF(CaseLedger!$A192="","",IFERROR(CaseLedger!$R192,""))</x:f>
      </x:c>
      <x:c r="K192" s="52" t="str">
        <x:f>IF(CaseLedger!$A192="","",IFERROR(CaseLedger!$S192,""))</x:f>
      </x:c>
      <x:c r="L192" s="52" t="str">
        <x:f>IF(CaseLedger!$A192="","",IFERROR(CaseLedger!$T192,""))</x:f>
      </x:c>
      <x:c r="M192" s="52" t="str">
        <x:f>IF(CaseLedger!$A192="","",IFERROR(CaseLedger!$U192,""))</x:f>
      </x:c>
      <x:c r="N192" s="52" t="str">
        <x:f>IF(CaseLedger!$A192="","",IFERROR(CaseLedger!$V192,""))</x:f>
      </x:c>
      <x:c r="O192" s="52" t="str">
        <x:f>IF(CaseLedger!$A192="","",IFERROR(CaseLedger!$W192,""))</x:f>
      </x:c>
      <x:c r="P192" s="52" t="str">
        <x:f>IF(CaseLedger!$A192="","",IFERROR(CaseLedger!$C192,""))</x:f>
      </x:c>
      <x:c r="Q192" s="52" t="str">
        <x:f>IF(CaseLedger!$A192="","",IFERROR(CaseLedger!$D192,""))</x:f>
      </x:c>
      <x:c r="R192" s="52" t="str">
        <x:f>IF(CaseLedger!$A192="","",IFERROR(CaseLedger!$X192,""))</x:f>
      </x:c>
      <x:c r="S192" s="52" t="str">
        <x:f>IF(CaseLedger!$A192="","",IFERROR(CaseLedger!$Y192,""))</x:f>
      </x:c>
      <x:c r="T192" s="52" t="str">
        <x:f>IF(CaseLedger!$A192="","",IFERROR(CaseLedger!$Z192,""))</x:f>
      </x:c>
      <x:c r="U192" s="52" t="str">
        <x:f>IF(CaseLedger!$A192="","",IFERROR(CaseLedger!$AA192,""))</x:f>
      </x:c>
      <x:c r="V192" s="52" t="str">
        <x:f>IF(CaseLedger!$A192="","",IFERROR(CaseLedger!$AB192,""))</x:f>
      </x:c>
      <x:c r="W192" s="52" t="str">
        <x:f>IF(CaseLedger!$A192="","",IFERROR(CaseLedger!$AC192,""))</x:f>
      </x:c>
      <x:c r="X192" s="52" t="str">
        <x:f>IF(CaseLedger!$A192="","",IFERROR(CaseLedger!$AD192,""))</x:f>
      </x:c>
      <x:c r="Y192" s="52" t="str">
        <x:f>IF(CaseLedger!$A192="","",IFERROR(CaseLedger!$AE192,""))</x:f>
      </x:c>
      <x:c r="Z192" s="52" t="str">
        <x:f>IF(CaseLedger!$A192="","",IFERROR(CaseLedger!$AF192,""))</x:f>
      </x:c>
      <x:c r="AA192" s="52" t="str">
        <x:f>IF(CaseLedger!$A192="","",IFERROR(CaseLedger!$AG192,""))</x:f>
      </x:c>
      <x:c r="AB192" s="52" t="str">
        <x:f>IF(CaseLedger!$A192="","",IFERROR(CaseLedger!$AH192,""))</x:f>
      </x:c>
      <x:c r="AC192"/>
    </x:row>
    <x:row r="193">
      <x:c r="A193" s="52" t="str">
        <x:f>IF(CaseLedger!$A193="","",IFERROR(CaseLedger!$A193,""))</x:f>
      </x:c>
      <x:c r="B193" s="52" t="str">
        <x:f>IF(CaseLedger!$A193="","",IFERROR(CaseLedger!$H193,""))</x:f>
      </x:c>
      <x:c r="C193" s="52" t="str">
        <x:f>IF(CaseLedger!$A193="","",IFERROR(CaseLedger!$I193,""))</x:f>
      </x:c>
      <x:c r="D193" s="52" t="str">
        <x:f>IF(CaseLedger!$A193="","",IFERROR(CaseLedger!$J193,""))</x:f>
      </x:c>
      <x:c r="E193" s="52" t="str">
        <x:f>IF(CaseLedger!$A193="","",IFERROR(CaseLedger!$K193,""))</x:f>
      </x:c>
      <x:c r="F193" s="52" t="str">
        <x:f>IF(CaseLedger!$A193="","",IFERROR(CaseLedger!$O193,""))</x:f>
      </x:c>
      <x:c r="G193" s="52" t="str">
        <x:f>IF(CaseLedger!$A193="","",IFERROR(CaseLedger!$E193,""))</x:f>
      </x:c>
      <x:c r="H193" s="52" t="str">
        <x:f>IF(CaseLedger!$A193="","",IFERROR(CaseLedger!$P193,""))</x:f>
      </x:c>
      <x:c r="I193" s="52" t="str">
        <x:f>IF(CaseLedger!$A193="","",IFERROR(CaseLedger!$Q193,""))</x:f>
      </x:c>
      <x:c r="J193" s="52" t="str">
        <x:f>IF(CaseLedger!$A193="","",IFERROR(CaseLedger!$R193,""))</x:f>
      </x:c>
      <x:c r="K193" s="52" t="str">
        <x:f>IF(CaseLedger!$A193="","",IFERROR(CaseLedger!$S193,""))</x:f>
      </x:c>
      <x:c r="L193" s="52" t="str">
        <x:f>IF(CaseLedger!$A193="","",IFERROR(CaseLedger!$T193,""))</x:f>
      </x:c>
      <x:c r="M193" s="52" t="str">
        <x:f>IF(CaseLedger!$A193="","",IFERROR(CaseLedger!$U193,""))</x:f>
      </x:c>
      <x:c r="N193" s="52" t="str">
        <x:f>IF(CaseLedger!$A193="","",IFERROR(CaseLedger!$V193,""))</x:f>
      </x:c>
      <x:c r="O193" s="52" t="str">
        <x:f>IF(CaseLedger!$A193="","",IFERROR(CaseLedger!$W193,""))</x:f>
      </x:c>
      <x:c r="P193" s="52" t="str">
        <x:f>IF(CaseLedger!$A193="","",IFERROR(CaseLedger!$C193,""))</x:f>
      </x:c>
      <x:c r="Q193" s="52" t="str">
        <x:f>IF(CaseLedger!$A193="","",IFERROR(CaseLedger!$D193,""))</x:f>
      </x:c>
      <x:c r="R193" s="52" t="str">
        <x:f>IF(CaseLedger!$A193="","",IFERROR(CaseLedger!$X193,""))</x:f>
      </x:c>
      <x:c r="S193" s="52" t="str">
        <x:f>IF(CaseLedger!$A193="","",IFERROR(CaseLedger!$Y193,""))</x:f>
      </x:c>
      <x:c r="T193" s="52" t="str">
        <x:f>IF(CaseLedger!$A193="","",IFERROR(CaseLedger!$Z193,""))</x:f>
      </x:c>
      <x:c r="U193" s="52" t="str">
        <x:f>IF(CaseLedger!$A193="","",IFERROR(CaseLedger!$AA193,""))</x:f>
      </x:c>
      <x:c r="V193" s="52" t="str">
        <x:f>IF(CaseLedger!$A193="","",IFERROR(CaseLedger!$AB193,""))</x:f>
      </x:c>
      <x:c r="W193" s="52" t="str">
        <x:f>IF(CaseLedger!$A193="","",IFERROR(CaseLedger!$AC193,""))</x:f>
      </x:c>
      <x:c r="X193" s="52" t="str">
        <x:f>IF(CaseLedger!$A193="","",IFERROR(CaseLedger!$AD193,""))</x:f>
      </x:c>
      <x:c r="Y193" s="52" t="str">
        <x:f>IF(CaseLedger!$A193="","",IFERROR(CaseLedger!$AE193,""))</x:f>
      </x:c>
      <x:c r="Z193" s="52" t="str">
        <x:f>IF(CaseLedger!$A193="","",IFERROR(CaseLedger!$AF193,""))</x:f>
      </x:c>
      <x:c r="AA193" s="52" t="str">
        <x:f>IF(CaseLedger!$A193="","",IFERROR(CaseLedger!$AG193,""))</x:f>
      </x:c>
      <x:c r="AB193" s="52" t="str">
        <x:f>IF(CaseLedger!$A193="","",IFERROR(CaseLedger!$AH193,""))</x:f>
      </x:c>
      <x:c r="AC193"/>
    </x:row>
    <x:row r="194">
      <x:c r="A194" s="52" t="str">
        <x:f>IF(CaseLedger!$A194="","",IFERROR(CaseLedger!$A194,""))</x:f>
      </x:c>
      <x:c r="B194" s="52" t="str">
        <x:f>IF(CaseLedger!$A194="","",IFERROR(CaseLedger!$H194,""))</x:f>
      </x:c>
      <x:c r="C194" s="52" t="str">
        <x:f>IF(CaseLedger!$A194="","",IFERROR(CaseLedger!$I194,""))</x:f>
      </x:c>
      <x:c r="D194" s="52" t="str">
        <x:f>IF(CaseLedger!$A194="","",IFERROR(CaseLedger!$J194,""))</x:f>
      </x:c>
      <x:c r="E194" s="52" t="str">
        <x:f>IF(CaseLedger!$A194="","",IFERROR(CaseLedger!$K194,""))</x:f>
      </x:c>
      <x:c r="F194" s="52" t="str">
        <x:f>IF(CaseLedger!$A194="","",IFERROR(CaseLedger!$O194,""))</x:f>
      </x:c>
      <x:c r="G194" s="52" t="str">
        <x:f>IF(CaseLedger!$A194="","",IFERROR(CaseLedger!$E194,""))</x:f>
      </x:c>
      <x:c r="H194" s="52" t="str">
        <x:f>IF(CaseLedger!$A194="","",IFERROR(CaseLedger!$P194,""))</x:f>
      </x:c>
      <x:c r="I194" s="52" t="str">
        <x:f>IF(CaseLedger!$A194="","",IFERROR(CaseLedger!$Q194,""))</x:f>
      </x:c>
      <x:c r="J194" s="52" t="str">
        <x:f>IF(CaseLedger!$A194="","",IFERROR(CaseLedger!$R194,""))</x:f>
      </x:c>
      <x:c r="K194" s="52" t="str">
        <x:f>IF(CaseLedger!$A194="","",IFERROR(CaseLedger!$S194,""))</x:f>
      </x:c>
      <x:c r="L194" s="52" t="str">
        <x:f>IF(CaseLedger!$A194="","",IFERROR(CaseLedger!$T194,""))</x:f>
      </x:c>
      <x:c r="M194" s="52" t="str">
        <x:f>IF(CaseLedger!$A194="","",IFERROR(CaseLedger!$U194,""))</x:f>
      </x:c>
      <x:c r="N194" s="52" t="str">
        <x:f>IF(CaseLedger!$A194="","",IFERROR(CaseLedger!$V194,""))</x:f>
      </x:c>
      <x:c r="O194" s="52" t="str">
        <x:f>IF(CaseLedger!$A194="","",IFERROR(CaseLedger!$W194,""))</x:f>
      </x:c>
      <x:c r="P194" s="52" t="str">
        <x:f>IF(CaseLedger!$A194="","",IFERROR(CaseLedger!$C194,""))</x:f>
      </x:c>
      <x:c r="Q194" s="52" t="str">
        <x:f>IF(CaseLedger!$A194="","",IFERROR(CaseLedger!$D194,""))</x:f>
      </x:c>
      <x:c r="R194" s="52" t="str">
        <x:f>IF(CaseLedger!$A194="","",IFERROR(CaseLedger!$X194,""))</x:f>
      </x:c>
      <x:c r="S194" s="52" t="str">
        <x:f>IF(CaseLedger!$A194="","",IFERROR(CaseLedger!$Y194,""))</x:f>
      </x:c>
      <x:c r="T194" s="52" t="str">
        <x:f>IF(CaseLedger!$A194="","",IFERROR(CaseLedger!$Z194,""))</x:f>
      </x:c>
      <x:c r="U194" s="52" t="str">
        <x:f>IF(CaseLedger!$A194="","",IFERROR(CaseLedger!$AA194,""))</x:f>
      </x:c>
      <x:c r="V194" s="52" t="str">
        <x:f>IF(CaseLedger!$A194="","",IFERROR(CaseLedger!$AB194,""))</x:f>
      </x:c>
      <x:c r="W194" s="52" t="str">
        <x:f>IF(CaseLedger!$A194="","",IFERROR(CaseLedger!$AC194,""))</x:f>
      </x:c>
      <x:c r="X194" s="52" t="str">
        <x:f>IF(CaseLedger!$A194="","",IFERROR(CaseLedger!$AD194,""))</x:f>
      </x:c>
      <x:c r="Y194" s="52" t="str">
        <x:f>IF(CaseLedger!$A194="","",IFERROR(CaseLedger!$AE194,""))</x:f>
      </x:c>
      <x:c r="Z194" s="52" t="str">
        <x:f>IF(CaseLedger!$A194="","",IFERROR(CaseLedger!$AF194,""))</x:f>
      </x:c>
      <x:c r="AA194" s="52" t="str">
        <x:f>IF(CaseLedger!$A194="","",IFERROR(CaseLedger!$AG194,""))</x:f>
      </x:c>
      <x:c r="AB194" s="52" t="str">
        <x:f>IF(CaseLedger!$A194="","",IFERROR(CaseLedger!$AH194,""))</x:f>
      </x:c>
      <x:c r="AC194"/>
    </x:row>
    <x:row r="195">
      <x:c r="A195" s="52" t="str">
        <x:f>IF(CaseLedger!$A195="","",IFERROR(CaseLedger!$A195,""))</x:f>
      </x:c>
      <x:c r="B195" s="52" t="str">
        <x:f>IF(CaseLedger!$A195="","",IFERROR(CaseLedger!$H195,""))</x:f>
      </x:c>
      <x:c r="C195" s="52" t="str">
        <x:f>IF(CaseLedger!$A195="","",IFERROR(CaseLedger!$I195,""))</x:f>
      </x:c>
      <x:c r="D195" s="52" t="str">
        <x:f>IF(CaseLedger!$A195="","",IFERROR(CaseLedger!$J195,""))</x:f>
      </x:c>
      <x:c r="E195" s="52" t="str">
        <x:f>IF(CaseLedger!$A195="","",IFERROR(CaseLedger!$K195,""))</x:f>
      </x:c>
      <x:c r="F195" s="52" t="str">
        <x:f>IF(CaseLedger!$A195="","",IFERROR(CaseLedger!$O195,""))</x:f>
      </x:c>
      <x:c r="G195" s="52" t="str">
        <x:f>IF(CaseLedger!$A195="","",IFERROR(CaseLedger!$E195,""))</x:f>
      </x:c>
      <x:c r="H195" s="52" t="str">
        <x:f>IF(CaseLedger!$A195="","",IFERROR(CaseLedger!$P195,""))</x:f>
      </x:c>
      <x:c r="I195" s="52" t="str">
        <x:f>IF(CaseLedger!$A195="","",IFERROR(CaseLedger!$Q195,""))</x:f>
      </x:c>
      <x:c r="J195" s="52" t="str">
        <x:f>IF(CaseLedger!$A195="","",IFERROR(CaseLedger!$R195,""))</x:f>
      </x:c>
      <x:c r="K195" s="52" t="str">
        <x:f>IF(CaseLedger!$A195="","",IFERROR(CaseLedger!$S195,""))</x:f>
      </x:c>
      <x:c r="L195" s="52" t="str">
        <x:f>IF(CaseLedger!$A195="","",IFERROR(CaseLedger!$T195,""))</x:f>
      </x:c>
      <x:c r="M195" s="52" t="str">
        <x:f>IF(CaseLedger!$A195="","",IFERROR(CaseLedger!$U195,""))</x:f>
      </x:c>
      <x:c r="N195" s="52" t="str">
        <x:f>IF(CaseLedger!$A195="","",IFERROR(CaseLedger!$V195,""))</x:f>
      </x:c>
      <x:c r="O195" s="52" t="str">
        <x:f>IF(CaseLedger!$A195="","",IFERROR(CaseLedger!$W195,""))</x:f>
      </x:c>
      <x:c r="P195" s="52" t="str">
        <x:f>IF(CaseLedger!$A195="","",IFERROR(CaseLedger!$C195,""))</x:f>
      </x:c>
      <x:c r="Q195" s="52" t="str">
        <x:f>IF(CaseLedger!$A195="","",IFERROR(CaseLedger!$D195,""))</x:f>
      </x:c>
      <x:c r="R195" s="52" t="str">
        <x:f>IF(CaseLedger!$A195="","",IFERROR(CaseLedger!$X195,""))</x:f>
      </x:c>
      <x:c r="S195" s="52" t="str">
        <x:f>IF(CaseLedger!$A195="","",IFERROR(CaseLedger!$Y195,""))</x:f>
      </x:c>
      <x:c r="T195" s="52" t="str">
        <x:f>IF(CaseLedger!$A195="","",IFERROR(CaseLedger!$Z195,""))</x:f>
      </x:c>
      <x:c r="U195" s="52" t="str">
        <x:f>IF(CaseLedger!$A195="","",IFERROR(CaseLedger!$AA195,""))</x:f>
      </x:c>
      <x:c r="V195" s="52" t="str">
        <x:f>IF(CaseLedger!$A195="","",IFERROR(CaseLedger!$AB195,""))</x:f>
      </x:c>
      <x:c r="W195" s="52" t="str">
        <x:f>IF(CaseLedger!$A195="","",IFERROR(CaseLedger!$AC195,""))</x:f>
      </x:c>
      <x:c r="X195" s="52" t="str">
        <x:f>IF(CaseLedger!$A195="","",IFERROR(CaseLedger!$AD195,""))</x:f>
      </x:c>
      <x:c r="Y195" s="52" t="str">
        <x:f>IF(CaseLedger!$A195="","",IFERROR(CaseLedger!$AE195,""))</x:f>
      </x:c>
      <x:c r="Z195" s="52" t="str">
        <x:f>IF(CaseLedger!$A195="","",IFERROR(CaseLedger!$AF195,""))</x:f>
      </x:c>
      <x:c r="AA195" s="52" t="str">
        <x:f>IF(CaseLedger!$A195="","",IFERROR(CaseLedger!$AG195,""))</x:f>
      </x:c>
      <x:c r="AB195" s="52" t="str">
        <x:f>IF(CaseLedger!$A195="","",IFERROR(CaseLedger!$AH195,""))</x:f>
      </x:c>
      <x:c r="AC195"/>
    </x:row>
    <x:row r="196">
      <x:c r="A196" s="52" t="str">
        <x:f>IF(CaseLedger!$A196="","",IFERROR(CaseLedger!$A196,""))</x:f>
      </x:c>
      <x:c r="B196" s="52" t="str">
        <x:f>IF(CaseLedger!$A196="","",IFERROR(CaseLedger!$H196,""))</x:f>
      </x:c>
      <x:c r="C196" s="52" t="str">
        <x:f>IF(CaseLedger!$A196="","",IFERROR(CaseLedger!$I196,""))</x:f>
      </x:c>
      <x:c r="D196" s="52" t="str">
        <x:f>IF(CaseLedger!$A196="","",IFERROR(CaseLedger!$J196,""))</x:f>
      </x:c>
      <x:c r="E196" s="52" t="str">
        <x:f>IF(CaseLedger!$A196="","",IFERROR(CaseLedger!$K196,""))</x:f>
      </x:c>
      <x:c r="F196" s="52" t="str">
        <x:f>IF(CaseLedger!$A196="","",IFERROR(CaseLedger!$O196,""))</x:f>
      </x:c>
      <x:c r="G196" s="52" t="str">
        <x:f>IF(CaseLedger!$A196="","",IFERROR(CaseLedger!$E196,""))</x:f>
      </x:c>
      <x:c r="H196" s="52" t="str">
        <x:f>IF(CaseLedger!$A196="","",IFERROR(CaseLedger!$P196,""))</x:f>
      </x:c>
      <x:c r="I196" s="52" t="str">
        <x:f>IF(CaseLedger!$A196="","",IFERROR(CaseLedger!$Q196,""))</x:f>
      </x:c>
      <x:c r="J196" s="52" t="str">
        <x:f>IF(CaseLedger!$A196="","",IFERROR(CaseLedger!$R196,""))</x:f>
      </x:c>
      <x:c r="K196" s="52" t="str">
        <x:f>IF(CaseLedger!$A196="","",IFERROR(CaseLedger!$S196,""))</x:f>
      </x:c>
      <x:c r="L196" s="52" t="str">
        <x:f>IF(CaseLedger!$A196="","",IFERROR(CaseLedger!$T196,""))</x:f>
      </x:c>
      <x:c r="M196" s="52" t="str">
        <x:f>IF(CaseLedger!$A196="","",IFERROR(CaseLedger!$U196,""))</x:f>
      </x:c>
      <x:c r="N196" s="52" t="str">
        <x:f>IF(CaseLedger!$A196="","",IFERROR(CaseLedger!$V196,""))</x:f>
      </x:c>
      <x:c r="O196" s="52" t="str">
        <x:f>IF(CaseLedger!$A196="","",IFERROR(CaseLedger!$W196,""))</x:f>
      </x:c>
      <x:c r="P196" s="52" t="str">
        <x:f>IF(CaseLedger!$A196="","",IFERROR(CaseLedger!$C196,""))</x:f>
      </x:c>
      <x:c r="Q196" s="52" t="str">
        <x:f>IF(CaseLedger!$A196="","",IFERROR(CaseLedger!$D196,""))</x:f>
      </x:c>
      <x:c r="R196" s="52" t="str">
        <x:f>IF(CaseLedger!$A196="","",IFERROR(CaseLedger!$X196,""))</x:f>
      </x:c>
      <x:c r="S196" s="52" t="str">
        <x:f>IF(CaseLedger!$A196="","",IFERROR(CaseLedger!$Y196,""))</x:f>
      </x:c>
      <x:c r="T196" s="52" t="str">
        <x:f>IF(CaseLedger!$A196="","",IFERROR(CaseLedger!$Z196,""))</x:f>
      </x:c>
      <x:c r="U196" s="52" t="str">
        <x:f>IF(CaseLedger!$A196="","",IFERROR(CaseLedger!$AA196,""))</x:f>
      </x:c>
      <x:c r="V196" s="52" t="str">
        <x:f>IF(CaseLedger!$A196="","",IFERROR(CaseLedger!$AB196,""))</x:f>
      </x:c>
      <x:c r="W196" s="52" t="str">
        <x:f>IF(CaseLedger!$A196="","",IFERROR(CaseLedger!$AC196,""))</x:f>
      </x:c>
      <x:c r="X196" s="52" t="str">
        <x:f>IF(CaseLedger!$A196="","",IFERROR(CaseLedger!$AD196,""))</x:f>
      </x:c>
      <x:c r="Y196" s="52" t="str">
        <x:f>IF(CaseLedger!$A196="","",IFERROR(CaseLedger!$AE196,""))</x:f>
      </x:c>
      <x:c r="Z196" s="52" t="str">
        <x:f>IF(CaseLedger!$A196="","",IFERROR(CaseLedger!$AF196,""))</x:f>
      </x:c>
      <x:c r="AA196" s="52" t="str">
        <x:f>IF(CaseLedger!$A196="","",IFERROR(CaseLedger!$AG196,""))</x:f>
      </x:c>
      <x:c r="AB196" s="52" t="str">
        <x:f>IF(CaseLedger!$A196="","",IFERROR(CaseLedger!$AH196,""))</x:f>
      </x:c>
      <x:c r="AC196"/>
    </x:row>
    <x:row r="197">
      <x:c r="A197" s="52" t="str">
        <x:f>IF(CaseLedger!$A197="","",IFERROR(CaseLedger!$A197,""))</x:f>
      </x:c>
      <x:c r="B197" s="52" t="str">
        <x:f>IF(CaseLedger!$A197="","",IFERROR(CaseLedger!$H197,""))</x:f>
      </x:c>
      <x:c r="C197" s="52" t="str">
        <x:f>IF(CaseLedger!$A197="","",IFERROR(CaseLedger!$I197,""))</x:f>
      </x:c>
      <x:c r="D197" s="52" t="str">
        <x:f>IF(CaseLedger!$A197="","",IFERROR(CaseLedger!$J197,""))</x:f>
      </x:c>
      <x:c r="E197" s="52" t="str">
        <x:f>IF(CaseLedger!$A197="","",IFERROR(CaseLedger!$K197,""))</x:f>
      </x:c>
      <x:c r="F197" s="52" t="str">
        <x:f>IF(CaseLedger!$A197="","",IFERROR(CaseLedger!$O197,""))</x:f>
      </x:c>
      <x:c r="G197" s="52" t="str">
        <x:f>IF(CaseLedger!$A197="","",IFERROR(CaseLedger!$E197,""))</x:f>
      </x:c>
      <x:c r="H197" s="52" t="str">
        <x:f>IF(CaseLedger!$A197="","",IFERROR(CaseLedger!$P197,""))</x:f>
      </x:c>
      <x:c r="I197" s="52" t="str">
        <x:f>IF(CaseLedger!$A197="","",IFERROR(CaseLedger!$Q197,""))</x:f>
      </x:c>
      <x:c r="J197" s="52" t="str">
        <x:f>IF(CaseLedger!$A197="","",IFERROR(CaseLedger!$R197,""))</x:f>
      </x:c>
      <x:c r="K197" s="52" t="str">
        <x:f>IF(CaseLedger!$A197="","",IFERROR(CaseLedger!$S197,""))</x:f>
      </x:c>
      <x:c r="L197" s="52" t="str">
        <x:f>IF(CaseLedger!$A197="","",IFERROR(CaseLedger!$T197,""))</x:f>
      </x:c>
      <x:c r="M197" s="52" t="str">
        <x:f>IF(CaseLedger!$A197="","",IFERROR(CaseLedger!$U197,""))</x:f>
      </x:c>
      <x:c r="N197" s="52" t="str">
        <x:f>IF(CaseLedger!$A197="","",IFERROR(CaseLedger!$V197,""))</x:f>
      </x:c>
      <x:c r="O197" s="52" t="str">
        <x:f>IF(CaseLedger!$A197="","",IFERROR(CaseLedger!$W197,""))</x:f>
      </x:c>
      <x:c r="P197" s="52" t="str">
        <x:f>IF(CaseLedger!$A197="","",IFERROR(CaseLedger!$C197,""))</x:f>
      </x:c>
      <x:c r="Q197" s="52" t="str">
        <x:f>IF(CaseLedger!$A197="","",IFERROR(CaseLedger!$D197,""))</x:f>
      </x:c>
      <x:c r="R197" s="52" t="str">
        <x:f>IF(CaseLedger!$A197="","",IFERROR(CaseLedger!$X197,""))</x:f>
      </x:c>
      <x:c r="S197" s="52" t="str">
        <x:f>IF(CaseLedger!$A197="","",IFERROR(CaseLedger!$Y197,""))</x:f>
      </x:c>
      <x:c r="T197" s="52" t="str">
        <x:f>IF(CaseLedger!$A197="","",IFERROR(CaseLedger!$Z197,""))</x:f>
      </x:c>
      <x:c r="U197" s="52" t="str">
        <x:f>IF(CaseLedger!$A197="","",IFERROR(CaseLedger!$AA197,""))</x:f>
      </x:c>
      <x:c r="V197" s="52" t="str">
        <x:f>IF(CaseLedger!$A197="","",IFERROR(CaseLedger!$AB197,""))</x:f>
      </x:c>
      <x:c r="W197" s="52" t="str">
        <x:f>IF(CaseLedger!$A197="","",IFERROR(CaseLedger!$AC197,""))</x:f>
      </x:c>
      <x:c r="X197" s="52" t="str">
        <x:f>IF(CaseLedger!$A197="","",IFERROR(CaseLedger!$AD197,""))</x:f>
      </x:c>
      <x:c r="Y197" s="52" t="str">
        <x:f>IF(CaseLedger!$A197="","",IFERROR(CaseLedger!$AE197,""))</x:f>
      </x:c>
      <x:c r="Z197" s="52" t="str">
        <x:f>IF(CaseLedger!$A197="","",IFERROR(CaseLedger!$AF197,""))</x:f>
      </x:c>
      <x:c r="AA197" s="52" t="str">
        <x:f>IF(CaseLedger!$A197="","",IFERROR(CaseLedger!$AG197,""))</x:f>
      </x:c>
      <x:c r="AB197" s="52" t="str">
        <x:f>IF(CaseLedger!$A197="","",IFERROR(CaseLedger!$AH197,""))</x:f>
      </x:c>
      <x:c r="AC197"/>
    </x:row>
    <x:row r="198">
      <x:c r="A198" s="52" t="str">
        <x:f>IF(CaseLedger!$A198="","",IFERROR(CaseLedger!$A198,""))</x:f>
      </x:c>
      <x:c r="B198" s="52" t="str">
        <x:f>IF(CaseLedger!$A198="","",IFERROR(CaseLedger!$H198,""))</x:f>
      </x:c>
      <x:c r="C198" s="52" t="str">
        <x:f>IF(CaseLedger!$A198="","",IFERROR(CaseLedger!$I198,""))</x:f>
      </x:c>
      <x:c r="D198" s="52" t="str">
        <x:f>IF(CaseLedger!$A198="","",IFERROR(CaseLedger!$J198,""))</x:f>
      </x:c>
      <x:c r="E198" s="52" t="str">
        <x:f>IF(CaseLedger!$A198="","",IFERROR(CaseLedger!$K198,""))</x:f>
      </x:c>
      <x:c r="F198" s="52" t="str">
        <x:f>IF(CaseLedger!$A198="","",IFERROR(CaseLedger!$O198,""))</x:f>
      </x:c>
      <x:c r="G198" s="52" t="str">
        <x:f>IF(CaseLedger!$A198="","",IFERROR(CaseLedger!$E198,""))</x:f>
      </x:c>
      <x:c r="H198" s="52" t="str">
        <x:f>IF(CaseLedger!$A198="","",IFERROR(CaseLedger!$P198,""))</x:f>
      </x:c>
      <x:c r="I198" s="52" t="str">
        <x:f>IF(CaseLedger!$A198="","",IFERROR(CaseLedger!$Q198,""))</x:f>
      </x:c>
      <x:c r="J198" s="52" t="str">
        <x:f>IF(CaseLedger!$A198="","",IFERROR(CaseLedger!$R198,""))</x:f>
      </x:c>
      <x:c r="K198" s="52" t="str">
        <x:f>IF(CaseLedger!$A198="","",IFERROR(CaseLedger!$S198,""))</x:f>
      </x:c>
      <x:c r="L198" s="52" t="str">
        <x:f>IF(CaseLedger!$A198="","",IFERROR(CaseLedger!$T198,""))</x:f>
      </x:c>
      <x:c r="M198" s="52" t="str">
        <x:f>IF(CaseLedger!$A198="","",IFERROR(CaseLedger!$U198,""))</x:f>
      </x:c>
      <x:c r="N198" s="52" t="str">
        <x:f>IF(CaseLedger!$A198="","",IFERROR(CaseLedger!$V198,""))</x:f>
      </x:c>
      <x:c r="O198" s="52" t="str">
        <x:f>IF(CaseLedger!$A198="","",IFERROR(CaseLedger!$W198,""))</x:f>
      </x:c>
      <x:c r="P198" s="52" t="str">
        <x:f>IF(CaseLedger!$A198="","",IFERROR(CaseLedger!$C198,""))</x:f>
      </x:c>
      <x:c r="Q198" s="52" t="str">
        <x:f>IF(CaseLedger!$A198="","",IFERROR(CaseLedger!$D198,""))</x:f>
      </x:c>
      <x:c r="R198" s="52" t="str">
        <x:f>IF(CaseLedger!$A198="","",IFERROR(CaseLedger!$X198,""))</x:f>
      </x:c>
      <x:c r="S198" s="52" t="str">
        <x:f>IF(CaseLedger!$A198="","",IFERROR(CaseLedger!$Y198,""))</x:f>
      </x:c>
      <x:c r="T198" s="52" t="str">
        <x:f>IF(CaseLedger!$A198="","",IFERROR(CaseLedger!$Z198,""))</x:f>
      </x:c>
      <x:c r="U198" s="52" t="str">
        <x:f>IF(CaseLedger!$A198="","",IFERROR(CaseLedger!$AA198,""))</x:f>
      </x:c>
      <x:c r="V198" s="52" t="str">
        <x:f>IF(CaseLedger!$A198="","",IFERROR(CaseLedger!$AB198,""))</x:f>
      </x:c>
      <x:c r="W198" s="52" t="str">
        <x:f>IF(CaseLedger!$A198="","",IFERROR(CaseLedger!$AC198,""))</x:f>
      </x:c>
      <x:c r="X198" s="52" t="str">
        <x:f>IF(CaseLedger!$A198="","",IFERROR(CaseLedger!$AD198,""))</x:f>
      </x:c>
      <x:c r="Y198" s="52" t="str">
        <x:f>IF(CaseLedger!$A198="","",IFERROR(CaseLedger!$AE198,""))</x:f>
      </x:c>
      <x:c r="Z198" s="52" t="str">
        <x:f>IF(CaseLedger!$A198="","",IFERROR(CaseLedger!$AF198,""))</x:f>
      </x:c>
      <x:c r="AA198" s="52" t="str">
        <x:f>IF(CaseLedger!$A198="","",IFERROR(CaseLedger!$AG198,""))</x:f>
      </x:c>
      <x:c r="AB198" s="52" t="str">
        <x:f>IF(CaseLedger!$A198="","",IFERROR(CaseLedger!$AH198,""))</x:f>
      </x:c>
      <x:c r="AC198"/>
    </x:row>
    <x:row r="199">
      <x:c r="A199" s="52" t="str">
        <x:f>IF(CaseLedger!$A199="","",IFERROR(CaseLedger!$A199,""))</x:f>
      </x:c>
      <x:c r="B199" s="52" t="str">
        <x:f>IF(CaseLedger!$A199="","",IFERROR(CaseLedger!$H199,""))</x:f>
      </x:c>
      <x:c r="C199" s="52" t="str">
        <x:f>IF(CaseLedger!$A199="","",IFERROR(CaseLedger!$I199,""))</x:f>
      </x:c>
      <x:c r="D199" s="52" t="str">
        <x:f>IF(CaseLedger!$A199="","",IFERROR(CaseLedger!$J199,""))</x:f>
      </x:c>
      <x:c r="E199" s="52" t="str">
        <x:f>IF(CaseLedger!$A199="","",IFERROR(CaseLedger!$K199,""))</x:f>
      </x:c>
      <x:c r="F199" s="52" t="str">
        <x:f>IF(CaseLedger!$A199="","",IFERROR(CaseLedger!$O199,""))</x:f>
      </x:c>
      <x:c r="G199" s="52" t="str">
        <x:f>IF(CaseLedger!$A199="","",IFERROR(CaseLedger!$E199,""))</x:f>
      </x:c>
      <x:c r="H199" s="52" t="str">
        <x:f>IF(CaseLedger!$A199="","",IFERROR(CaseLedger!$P199,""))</x:f>
      </x:c>
      <x:c r="I199" s="52" t="str">
        <x:f>IF(CaseLedger!$A199="","",IFERROR(CaseLedger!$Q199,""))</x:f>
      </x:c>
      <x:c r="J199" s="52" t="str">
        <x:f>IF(CaseLedger!$A199="","",IFERROR(CaseLedger!$R199,""))</x:f>
      </x:c>
      <x:c r="K199" s="52" t="str">
        <x:f>IF(CaseLedger!$A199="","",IFERROR(CaseLedger!$S199,""))</x:f>
      </x:c>
      <x:c r="L199" s="52" t="str">
        <x:f>IF(CaseLedger!$A199="","",IFERROR(CaseLedger!$T199,""))</x:f>
      </x:c>
      <x:c r="M199" s="52" t="str">
        <x:f>IF(CaseLedger!$A199="","",IFERROR(CaseLedger!$U199,""))</x:f>
      </x:c>
      <x:c r="N199" s="52" t="str">
        <x:f>IF(CaseLedger!$A199="","",IFERROR(CaseLedger!$V199,""))</x:f>
      </x:c>
      <x:c r="O199" s="52" t="str">
        <x:f>IF(CaseLedger!$A199="","",IFERROR(CaseLedger!$W199,""))</x:f>
      </x:c>
      <x:c r="P199" s="52" t="str">
        <x:f>IF(CaseLedger!$A199="","",IFERROR(CaseLedger!$C199,""))</x:f>
      </x:c>
      <x:c r="Q199" s="52" t="str">
        <x:f>IF(CaseLedger!$A199="","",IFERROR(CaseLedger!$D199,""))</x:f>
      </x:c>
      <x:c r="R199" s="52" t="str">
        <x:f>IF(CaseLedger!$A199="","",IFERROR(CaseLedger!$X199,""))</x:f>
      </x:c>
      <x:c r="S199" s="52" t="str">
        <x:f>IF(CaseLedger!$A199="","",IFERROR(CaseLedger!$Y199,""))</x:f>
      </x:c>
      <x:c r="T199" s="52" t="str">
        <x:f>IF(CaseLedger!$A199="","",IFERROR(CaseLedger!$Z199,""))</x:f>
      </x:c>
      <x:c r="U199" s="52" t="str">
        <x:f>IF(CaseLedger!$A199="","",IFERROR(CaseLedger!$AA199,""))</x:f>
      </x:c>
      <x:c r="V199" s="52" t="str">
        <x:f>IF(CaseLedger!$A199="","",IFERROR(CaseLedger!$AB199,""))</x:f>
      </x:c>
      <x:c r="W199" s="52" t="str">
        <x:f>IF(CaseLedger!$A199="","",IFERROR(CaseLedger!$AC199,""))</x:f>
      </x:c>
      <x:c r="X199" s="52" t="str">
        <x:f>IF(CaseLedger!$A199="","",IFERROR(CaseLedger!$AD199,""))</x:f>
      </x:c>
      <x:c r="Y199" s="52" t="str">
        <x:f>IF(CaseLedger!$A199="","",IFERROR(CaseLedger!$AE199,""))</x:f>
      </x:c>
      <x:c r="Z199" s="52" t="str">
        <x:f>IF(CaseLedger!$A199="","",IFERROR(CaseLedger!$AF199,""))</x:f>
      </x:c>
      <x:c r="AA199" s="52" t="str">
        <x:f>IF(CaseLedger!$A199="","",IFERROR(CaseLedger!$AG199,""))</x:f>
      </x:c>
      <x:c r="AB199" s="52" t="str">
        <x:f>IF(CaseLedger!$A199="","",IFERROR(CaseLedger!$AH199,""))</x:f>
      </x:c>
      <x:c r="AC199"/>
    </x:row>
    <x:row r="200">
      <x:c r="A200" s="52" t="str">
        <x:f>IF(CaseLedger!$A200="","",IFERROR(CaseLedger!$A200,""))</x:f>
      </x:c>
      <x:c r="B200" s="52" t="str">
        <x:f>IF(CaseLedger!$A200="","",IFERROR(CaseLedger!$H200,""))</x:f>
      </x:c>
      <x:c r="C200" s="52" t="str">
        <x:f>IF(CaseLedger!$A200="","",IFERROR(CaseLedger!$I200,""))</x:f>
      </x:c>
      <x:c r="D200" s="52" t="str">
        <x:f>IF(CaseLedger!$A200="","",IFERROR(CaseLedger!$J200,""))</x:f>
      </x:c>
      <x:c r="E200" s="52" t="str">
        <x:f>IF(CaseLedger!$A200="","",IFERROR(CaseLedger!$K200,""))</x:f>
      </x:c>
      <x:c r="F200" s="52" t="str">
        <x:f>IF(CaseLedger!$A200="","",IFERROR(CaseLedger!$O200,""))</x:f>
      </x:c>
      <x:c r="G200" s="52" t="str">
        <x:f>IF(CaseLedger!$A200="","",IFERROR(CaseLedger!$E200,""))</x:f>
      </x:c>
      <x:c r="H200" s="52" t="str">
        <x:f>IF(CaseLedger!$A200="","",IFERROR(CaseLedger!$P200,""))</x:f>
      </x:c>
      <x:c r="I200" s="52" t="str">
        <x:f>IF(CaseLedger!$A200="","",IFERROR(CaseLedger!$Q200,""))</x:f>
      </x:c>
      <x:c r="J200" s="52" t="str">
        <x:f>IF(CaseLedger!$A200="","",IFERROR(CaseLedger!$R200,""))</x:f>
      </x:c>
      <x:c r="K200" s="52" t="str">
        <x:f>IF(CaseLedger!$A200="","",IFERROR(CaseLedger!$S200,""))</x:f>
      </x:c>
      <x:c r="L200" s="52" t="str">
        <x:f>IF(CaseLedger!$A200="","",IFERROR(CaseLedger!$T200,""))</x:f>
      </x:c>
      <x:c r="M200" s="52" t="str">
        <x:f>IF(CaseLedger!$A200="","",IFERROR(CaseLedger!$U200,""))</x:f>
      </x:c>
      <x:c r="N200" s="52" t="str">
        <x:f>IF(CaseLedger!$A200="","",IFERROR(CaseLedger!$V200,""))</x:f>
      </x:c>
      <x:c r="O200" s="52" t="str">
        <x:f>IF(CaseLedger!$A200="","",IFERROR(CaseLedger!$W200,""))</x:f>
      </x:c>
      <x:c r="P200" s="52" t="str">
        <x:f>IF(CaseLedger!$A200="","",IFERROR(CaseLedger!$C200,""))</x:f>
      </x:c>
      <x:c r="Q200" s="52" t="str">
        <x:f>IF(CaseLedger!$A200="","",IFERROR(CaseLedger!$D200,""))</x:f>
      </x:c>
      <x:c r="R200" s="52" t="str">
        <x:f>IF(CaseLedger!$A200="","",IFERROR(CaseLedger!$X200,""))</x:f>
      </x:c>
      <x:c r="S200" s="52" t="str">
        <x:f>IF(CaseLedger!$A200="","",IFERROR(CaseLedger!$Y200,""))</x:f>
      </x:c>
      <x:c r="T200" s="52" t="str">
        <x:f>IF(CaseLedger!$A200="","",IFERROR(CaseLedger!$Z200,""))</x:f>
      </x:c>
      <x:c r="U200" s="52" t="str">
        <x:f>IF(CaseLedger!$A200="","",IFERROR(CaseLedger!$AA200,""))</x:f>
      </x:c>
      <x:c r="V200" s="52" t="str">
        <x:f>IF(CaseLedger!$A200="","",IFERROR(CaseLedger!$AB200,""))</x:f>
      </x:c>
      <x:c r="W200" s="52" t="str">
        <x:f>IF(CaseLedger!$A200="","",IFERROR(CaseLedger!$AC200,""))</x:f>
      </x:c>
      <x:c r="X200" s="52" t="str">
        <x:f>IF(CaseLedger!$A200="","",IFERROR(CaseLedger!$AD200,""))</x:f>
      </x:c>
      <x:c r="Y200" s="52" t="str">
        <x:f>IF(CaseLedger!$A200="","",IFERROR(CaseLedger!$AE200,""))</x:f>
      </x:c>
      <x:c r="Z200" s="52" t="str">
        <x:f>IF(CaseLedger!$A200="","",IFERROR(CaseLedger!$AF200,""))</x:f>
      </x:c>
      <x:c r="AA200" s="52" t="str">
        <x:f>IF(CaseLedger!$A200="","",IFERROR(CaseLedger!$AG200,""))</x:f>
      </x:c>
      <x:c r="AB200" s="52" t="str">
        <x:f>IF(CaseLedger!$A200="","",IFERROR(CaseLedger!$AH200,""))</x:f>
      </x:c>
      <x:c r="AC200"/>
    </x:row>
    <x:row r="201">
      <x:c r="A201" s="52" t="str">
        <x:f>IF(CaseLedger!$A201="","",IFERROR(CaseLedger!$A201,""))</x:f>
      </x:c>
      <x:c r="B201" s="52" t="str">
        <x:f>IF(CaseLedger!$A201="","",IFERROR(CaseLedger!$H201,""))</x:f>
      </x:c>
      <x:c r="C201" s="52" t="str">
        <x:f>IF(CaseLedger!$A201="","",IFERROR(CaseLedger!$I201,""))</x:f>
      </x:c>
      <x:c r="D201" s="52" t="str">
        <x:f>IF(CaseLedger!$A201="","",IFERROR(CaseLedger!$J201,""))</x:f>
      </x:c>
      <x:c r="E201" s="52" t="str">
        <x:f>IF(CaseLedger!$A201="","",IFERROR(CaseLedger!$K201,""))</x:f>
      </x:c>
      <x:c r="F201" s="52" t="str">
        <x:f>IF(CaseLedger!$A201="","",IFERROR(CaseLedger!$O201,""))</x:f>
      </x:c>
      <x:c r="G201" s="52" t="str">
        <x:f>IF(CaseLedger!$A201="","",IFERROR(CaseLedger!$E201,""))</x:f>
      </x:c>
      <x:c r="H201" s="52" t="str">
        <x:f>IF(CaseLedger!$A201="","",IFERROR(CaseLedger!$P201,""))</x:f>
      </x:c>
      <x:c r="I201" s="52" t="str">
        <x:f>IF(CaseLedger!$A201="","",IFERROR(CaseLedger!$Q201,""))</x:f>
      </x:c>
      <x:c r="J201" s="52" t="str">
        <x:f>IF(CaseLedger!$A201="","",IFERROR(CaseLedger!$R201,""))</x:f>
      </x:c>
      <x:c r="K201" s="52" t="str">
        <x:f>IF(CaseLedger!$A201="","",IFERROR(CaseLedger!$S201,""))</x:f>
      </x:c>
      <x:c r="L201" s="52" t="str">
        <x:f>IF(CaseLedger!$A201="","",IFERROR(CaseLedger!$T201,""))</x:f>
      </x:c>
      <x:c r="M201" s="52" t="str">
        <x:f>IF(CaseLedger!$A201="","",IFERROR(CaseLedger!$U201,""))</x:f>
      </x:c>
      <x:c r="N201" s="52" t="str">
        <x:f>IF(CaseLedger!$A201="","",IFERROR(CaseLedger!$V201,""))</x:f>
      </x:c>
      <x:c r="O201" s="52" t="str">
        <x:f>IF(CaseLedger!$A201="","",IFERROR(CaseLedger!$W201,""))</x:f>
      </x:c>
      <x:c r="P201" s="52" t="str">
        <x:f>IF(CaseLedger!$A201="","",IFERROR(CaseLedger!$C201,""))</x:f>
      </x:c>
      <x:c r="Q201" s="52" t="str">
        <x:f>IF(CaseLedger!$A201="","",IFERROR(CaseLedger!$D201,""))</x:f>
      </x:c>
      <x:c r="R201" s="52" t="str">
        <x:f>IF(CaseLedger!$A201="","",IFERROR(CaseLedger!$X201,""))</x:f>
      </x:c>
      <x:c r="S201" s="52" t="str">
        <x:f>IF(CaseLedger!$A201="","",IFERROR(CaseLedger!$Y201,""))</x:f>
      </x:c>
      <x:c r="T201" s="52" t="str">
        <x:f>IF(CaseLedger!$A201="","",IFERROR(CaseLedger!$Z201,""))</x:f>
      </x:c>
      <x:c r="U201" s="52" t="str">
        <x:f>IF(CaseLedger!$A201="","",IFERROR(CaseLedger!$AA201,""))</x:f>
      </x:c>
      <x:c r="V201" s="52" t="str">
        <x:f>IF(CaseLedger!$A201="","",IFERROR(CaseLedger!$AB201,""))</x:f>
      </x:c>
      <x:c r="W201" s="52" t="str">
        <x:f>IF(CaseLedger!$A201="","",IFERROR(CaseLedger!$AC201,""))</x:f>
      </x:c>
      <x:c r="X201" s="52" t="str">
        <x:f>IF(CaseLedger!$A201="","",IFERROR(CaseLedger!$AD201,""))</x:f>
      </x:c>
      <x:c r="Y201" s="52" t="str">
        <x:f>IF(CaseLedger!$A201="","",IFERROR(CaseLedger!$AE201,""))</x:f>
      </x:c>
      <x:c r="Z201" s="52" t="str">
        <x:f>IF(CaseLedger!$A201="","",IFERROR(CaseLedger!$AF201,""))</x:f>
      </x:c>
      <x:c r="AA201" s="52" t="str">
        <x:f>IF(CaseLedger!$A201="","",IFERROR(CaseLedger!$AG201,""))</x:f>
      </x:c>
      <x:c r="AB201" s="52" t="str">
        <x:f>IF(CaseLedger!$A201="","",IFERROR(CaseLedger!$AH201,""))</x:f>
      </x:c>
      <x:c r="AC201"/>
    </x:row>
    <x:row r="202">
      <x:c r="A202" s="52" t="str">
        <x:f>IF(CaseLedger!$A202="","",IFERROR(CaseLedger!$A202,""))</x:f>
      </x:c>
      <x:c r="B202" s="52" t="str">
        <x:f>IF(CaseLedger!$A202="","",IFERROR(CaseLedger!$H202,""))</x:f>
      </x:c>
      <x:c r="C202" s="52" t="str">
        <x:f>IF(CaseLedger!$A202="","",IFERROR(CaseLedger!$I202,""))</x:f>
      </x:c>
      <x:c r="D202" s="52" t="str">
        <x:f>IF(CaseLedger!$A202="","",IFERROR(CaseLedger!$J202,""))</x:f>
      </x:c>
      <x:c r="E202" s="52" t="str">
        <x:f>IF(CaseLedger!$A202="","",IFERROR(CaseLedger!$K202,""))</x:f>
      </x:c>
      <x:c r="F202" s="52" t="str">
        <x:f>IF(CaseLedger!$A202="","",IFERROR(CaseLedger!$O202,""))</x:f>
      </x:c>
      <x:c r="G202" s="52" t="str">
        <x:f>IF(CaseLedger!$A202="","",IFERROR(CaseLedger!$E202,""))</x:f>
      </x:c>
      <x:c r="H202" s="52" t="str">
        <x:f>IF(CaseLedger!$A202="","",IFERROR(CaseLedger!$P202,""))</x:f>
      </x:c>
      <x:c r="I202" s="52" t="str">
        <x:f>IF(CaseLedger!$A202="","",IFERROR(CaseLedger!$Q202,""))</x:f>
      </x:c>
      <x:c r="J202" s="52" t="str">
        <x:f>IF(CaseLedger!$A202="","",IFERROR(CaseLedger!$R202,""))</x:f>
      </x:c>
      <x:c r="K202" s="52" t="str">
        <x:f>IF(CaseLedger!$A202="","",IFERROR(CaseLedger!$S202,""))</x:f>
      </x:c>
      <x:c r="L202" s="52" t="str">
        <x:f>IF(CaseLedger!$A202="","",IFERROR(CaseLedger!$T202,""))</x:f>
      </x:c>
      <x:c r="M202" s="52" t="str">
        <x:f>IF(CaseLedger!$A202="","",IFERROR(CaseLedger!$U202,""))</x:f>
      </x:c>
      <x:c r="N202" s="52" t="str">
        <x:f>IF(CaseLedger!$A202="","",IFERROR(CaseLedger!$V202,""))</x:f>
      </x:c>
      <x:c r="O202" s="52" t="str">
        <x:f>IF(CaseLedger!$A202="","",IFERROR(CaseLedger!$W202,""))</x:f>
      </x:c>
      <x:c r="P202" s="52" t="str">
        <x:f>IF(CaseLedger!$A202="","",IFERROR(CaseLedger!$C202,""))</x:f>
      </x:c>
      <x:c r="Q202" s="52" t="str">
        <x:f>IF(CaseLedger!$A202="","",IFERROR(CaseLedger!$D202,""))</x:f>
      </x:c>
      <x:c r="R202" s="52" t="str">
        <x:f>IF(CaseLedger!$A202="","",IFERROR(CaseLedger!$X202,""))</x:f>
      </x:c>
      <x:c r="S202" s="52" t="str">
        <x:f>IF(CaseLedger!$A202="","",IFERROR(CaseLedger!$Y202,""))</x:f>
      </x:c>
      <x:c r="T202" s="52" t="str">
        <x:f>IF(CaseLedger!$A202="","",IFERROR(CaseLedger!$Z202,""))</x:f>
      </x:c>
      <x:c r="U202" s="52" t="str">
        <x:f>IF(CaseLedger!$A202="","",IFERROR(CaseLedger!$AA202,""))</x:f>
      </x:c>
      <x:c r="V202" s="52" t="str">
        <x:f>IF(CaseLedger!$A202="","",IFERROR(CaseLedger!$AB202,""))</x:f>
      </x:c>
      <x:c r="W202" s="52" t="str">
        <x:f>IF(CaseLedger!$A202="","",IFERROR(CaseLedger!$AC202,""))</x:f>
      </x:c>
      <x:c r="X202" s="52" t="str">
        <x:f>IF(CaseLedger!$A202="","",IFERROR(CaseLedger!$AD202,""))</x:f>
      </x:c>
      <x:c r="Y202" s="52" t="str">
        <x:f>IF(CaseLedger!$A202="","",IFERROR(CaseLedger!$AE202,""))</x:f>
      </x:c>
      <x:c r="Z202" s="52" t="str">
        <x:f>IF(CaseLedger!$A202="","",IFERROR(CaseLedger!$AF202,""))</x:f>
      </x:c>
      <x:c r="AA202" s="52" t="str">
        <x:f>IF(CaseLedger!$A202="","",IFERROR(CaseLedger!$AG202,""))</x:f>
      </x:c>
      <x:c r="AB202" s="52" t="str">
        <x:f>IF(CaseLedger!$A202="","",IFERROR(CaseLedger!$AH202,""))</x:f>
      </x:c>
      <x:c r="AC202"/>
    </x:row>
    <x:row r="203">
      <x:c r="A203" s="52" t="str">
        <x:f>IF(CaseLedger!$A203="","",IFERROR(CaseLedger!$A203,""))</x:f>
      </x:c>
      <x:c r="B203" s="52" t="str">
        <x:f>IF(CaseLedger!$A203="","",IFERROR(CaseLedger!$H203,""))</x:f>
      </x:c>
      <x:c r="C203" s="52" t="str">
        <x:f>IF(CaseLedger!$A203="","",IFERROR(CaseLedger!$I203,""))</x:f>
      </x:c>
      <x:c r="D203" s="52" t="str">
        <x:f>IF(CaseLedger!$A203="","",IFERROR(CaseLedger!$J203,""))</x:f>
      </x:c>
      <x:c r="E203" s="52" t="str">
        <x:f>IF(CaseLedger!$A203="","",IFERROR(CaseLedger!$K203,""))</x:f>
      </x:c>
      <x:c r="F203" s="52" t="str">
        <x:f>IF(CaseLedger!$A203="","",IFERROR(CaseLedger!$O203,""))</x:f>
      </x:c>
      <x:c r="G203" s="52" t="str">
        <x:f>IF(CaseLedger!$A203="","",IFERROR(CaseLedger!$E203,""))</x:f>
      </x:c>
      <x:c r="H203" s="52" t="str">
        <x:f>IF(CaseLedger!$A203="","",IFERROR(CaseLedger!$P203,""))</x:f>
      </x:c>
      <x:c r="I203" s="52" t="str">
        <x:f>IF(CaseLedger!$A203="","",IFERROR(CaseLedger!$Q203,""))</x:f>
      </x:c>
      <x:c r="J203" s="52" t="str">
        <x:f>IF(CaseLedger!$A203="","",IFERROR(CaseLedger!$R203,""))</x:f>
      </x:c>
      <x:c r="K203" s="52" t="str">
        <x:f>IF(CaseLedger!$A203="","",IFERROR(CaseLedger!$S203,""))</x:f>
      </x:c>
      <x:c r="L203" s="52" t="str">
        <x:f>IF(CaseLedger!$A203="","",IFERROR(CaseLedger!$T203,""))</x:f>
      </x:c>
      <x:c r="M203" s="52" t="str">
        <x:f>IF(CaseLedger!$A203="","",IFERROR(CaseLedger!$U203,""))</x:f>
      </x:c>
      <x:c r="N203" s="52" t="str">
        <x:f>IF(CaseLedger!$A203="","",IFERROR(CaseLedger!$V203,""))</x:f>
      </x:c>
      <x:c r="O203" s="52" t="str">
        <x:f>IF(CaseLedger!$A203="","",IFERROR(CaseLedger!$W203,""))</x:f>
      </x:c>
      <x:c r="P203" s="52" t="str">
        <x:f>IF(CaseLedger!$A203="","",IFERROR(CaseLedger!$C203,""))</x:f>
      </x:c>
      <x:c r="Q203" s="52" t="str">
        <x:f>IF(CaseLedger!$A203="","",IFERROR(CaseLedger!$D203,""))</x:f>
      </x:c>
      <x:c r="R203" s="52" t="str">
        <x:f>IF(CaseLedger!$A203="","",IFERROR(CaseLedger!$X203,""))</x:f>
      </x:c>
      <x:c r="S203" s="52" t="str">
        <x:f>IF(CaseLedger!$A203="","",IFERROR(CaseLedger!$Y203,""))</x:f>
      </x:c>
      <x:c r="T203" s="52" t="str">
        <x:f>IF(CaseLedger!$A203="","",IFERROR(CaseLedger!$Z203,""))</x:f>
      </x:c>
      <x:c r="U203" s="52" t="str">
        <x:f>IF(CaseLedger!$A203="","",IFERROR(CaseLedger!$AA203,""))</x:f>
      </x:c>
      <x:c r="V203" s="52" t="str">
        <x:f>IF(CaseLedger!$A203="","",IFERROR(CaseLedger!$AB203,""))</x:f>
      </x:c>
      <x:c r="W203" s="52" t="str">
        <x:f>IF(CaseLedger!$A203="","",IFERROR(CaseLedger!$AC203,""))</x:f>
      </x:c>
      <x:c r="X203" s="52" t="str">
        <x:f>IF(CaseLedger!$A203="","",IFERROR(CaseLedger!$AD203,""))</x:f>
      </x:c>
      <x:c r="Y203" s="52" t="str">
        <x:f>IF(CaseLedger!$A203="","",IFERROR(CaseLedger!$AE203,""))</x:f>
      </x:c>
      <x:c r="Z203" s="52" t="str">
        <x:f>IF(CaseLedger!$A203="","",IFERROR(CaseLedger!$AF203,""))</x:f>
      </x:c>
      <x:c r="AA203" s="52" t="str">
        <x:f>IF(CaseLedger!$A203="","",IFERROR(CaseLedger!$AG203,""))</x:f>
      </x:c>
      <x:c r="AB203" s="52" t="str">
        <x:f>IF(CaseLedger!$A203="","",IFERROR(CaseLedger!$AH203,""))</x:f>
      </x:c>
      <x:c r="AC203"/>
    </x:row>
    <x:row r="204">
      <x:c r="A204" s="52" t="str">
        <x:f>IF(CaseLedger!$A204="","",IFERROR(CaseLedger!$A204,""))</x:f>
      </x:c>
      <x:c r="B204" s="52" t="str">
        <x:f>IF(CaseLedger!$A204="","",IFERROR(CaseLedger!$H204,""))</x:f>
      </x:c>
      <x:c r="C204" s="52" t="str">
        <x:f>IF(CaseLedger!$A204="","",IFERROR(CaseLedger!$I204,""))</x:f>
      </x:c>
      <x:c r="D204" s="52" t="str">
        <x:f>IF(CaseLedger!$A204="","",IFERROR(CaseLedger!$J204,""))</x:f>
      </x:c>
      <x:c r="E204" s="52" t="str">
        <x:f>IF(CaseLedger!$A204="","",IFERROR(CaseLedger!$K204,""))</x:f>
      </x:c>
      <x:c r="F204" s="52" t="str">
        <x:f>IF(CaseLedger!$A204="","",IFERROR(CaseLedger!$O204,""))</x:f>
      </x:c>
      <x:c r="G204" s="52" t="str">
        <x:f>IF(CaseLedger!$A204="","",IFERROR(CaseLedger!$E204,""))</x:f>
      </x:c>
      <x:c r="H204" s="52" t="str">
        <x:f>IF(CaseLedger!$A204="","",IFERROR(CaseLedger!$P204,""))</x:f>
      </x:c>
      <x:c r="I204" s="52" t="str">
        <x:f>IF(CaseLedger!$A204="","",IFERROR(CaseLedger!$Q204,""))</x:f>
      </x:c>
      <x:c r="J204" s="52" t="str">
        <x:f>IF(CaseLedger!$A204="","",IFERROR(CaseLedger!$R204,""))</x:f>
      </x:c>
      <x:c r="K204" s="52" t="str">
        <x:f>IF(CaseLedger!$A204="","",IFERROR(CaseLedger!$S204,""))</x:f>
      </x:c>
      <x:c r="L204" s="52" t="str">
        <x:f>IF(CaseLedger!$A204="","",IFERROR(CaseLedger!$T204,""))</x:f>
      </x:c>
      <x:c r="M204" s="52" t="str">
        <x:f>IF(CaseLedger!$A204="","",IFERROR(CaseLedger!$U204,""))</x:f>
      </x:c>
      <x:c r="N204" s="52" t="str">
        <x:f>IF(CaseLedger!$A204="","",IFERROR(CaseLedger!$V204,""))</x:f>
      </x:c>
      <x:c r="O204" s="52" t="str">
        <x:f>IF(CaseLedger!$A204="","",IFERROR(CaseLedger!$W204,""))</x:f>
      </x:c>
      <x:c r="P204" s="52" t="str">
        <x:f>IF(CaseLedger!$A204="","",IFERROR(CaseLedger!$C204,""))</x:f>
      </x:c>
      <x:c r="Q204" s="52" t="str">
        <x:f>IF(CaseLedger!$A204="","",IFERROR(CaseLedger!$D204,""))</x:f>
      </x:c>
      <x:c r="R204" s="52" t="str">
        <x:f>IF(CaseLedger!$A204="","",IFERROR(CaseLedger!$X204,""))</x:f>
      </x:c>
      <x:c r="S204" s="52" t="str">
        <x:f>IF(CaseLedger!$A204="","",IFERROR(CaseLedger!$Y204,""))</x:f>
      </x:c>
      <x:c r="T204" s="52" t="str">
        <x:f>IF(CaseLedger!$A204="","",IFERROR(CaseLedger!$Z204,""))</x:f>
      </x:c>
      <x:c r="U204" s="52" t="str">
        <x:f>IF(CaseLedger!$A204="","",IFERROR(CaseLedger!$AA204,""))</x:f>
      </x:c>
      <x:c r="V204" s="52" t="str">
        <x:f>IF(CaseLedger!$A204="","",IFERROR(CaseLedger!$AB204,""))</x:f>
      </x:c>
      <x:c r="W204" s="52" t="str">
        <x:f>IF(CaseLedger!$A204="","",IFERROR(CaseLedger!$AC204,""))</x:f>
      </x:c>
      <x:c r="X204" s="52" t="str">
        <x:f>IF(CaseLedger!$A204="","",IFERROR(CaseLedger!$AD204,""))</x:f>
      </x:c>
      <x:c r="Y204" s="52" t="str">
        <x:f>IF(CaseLedger!$A204="","",IFERROR(CaseLedger!$AE204,""))</x:f>
      </x:c>
      <x:c r="Z204" s="52" t="str">
        <x:f>IF(CaseLedger!$A204="","",IFERROR(CaseLedger!$AF204,""))</x:f>
      </x:c>
      <x:c r="AA204" s="52" t="str">
        <x:f>IF(CaseLedger!$A204="","",IFERROR(CaseLedger!$AG204,""))</x:f>
      </x:c>
      <x:c r="AB204" s="52" t="str">
        <x:f>IF(CaseLedger!$A204="","",IFERROR(CaseLedger!$AH204,""))</x:f>
      </x:c>
      <x:c r="AC204"/>
    </x:row>
    <x:row r="205">
      <x:c r="A205" s="52" t="str">
        <x:f>IF(CaseLedger!$A205="","",IFERROR(CaseLedger!$A205,""))</x:f>
      </x:c>
      <x:c r="B205" s="52" t="str">
        <x:f>IF(CaseLedger!$A205="","",IFERROR(CaseLedger!$H205,""))</x:f>
      </x:c>
      <x:c r="C205" s="52" t="str">
        <x:f>IF(CaseLedger!$A205="","",IFERROR(CaseLedger!$I205,""))</x:f>
      </x:c>
      <x:c r="D205" s="52" t="str">
        <x:f>IF(CaseLedger!$A205="","",IFERROR(CaseLedger!$J205,""))</x:f>
      </x:c>
      <x:c r="E205" s="52" t="str">
        <x:f>IF(CaseLedger!$A205="","",IFERROR(CaseLedger!$K205,""))</x:f>
      </x:c>
      <x:c r="F205" s="52" t="str">
        <x:f>IF(CaseLedger!$A205="","",IFERROR(CaseLedger!$O205,""))</x:f>
      </x:c>
      <x:c r="G205" s="52" t="str">
        <x:f>IF(CaseLedger!$A205="","",IFERROR(CaseLedger!$E205,""))</x:f>
      </x:c>
      <x:c r="H205" s="52" t="str">
        <x:f>IF(CaseLedger!$A205="","",IFERROR(CaseLedger!$P205,""))</x:f>
      </x:c>
      <x:c r="I205" s="52" t="str">
        <x:f>IF(CaseLedger!$A205="","",IFERROR(CaseLedger!$Q205,""))</x:f>
      </x:c>
      <x:c r="J205" s="52" t="str">
        <x:f>IF(CaseLedger!$A205="","",IFERROR(CaseLedger!$R205,""))</x:f>
      </x:c>
      <x:c r="K205" s="52" t="str">
        <x:f>IF(CaseLedger!$A205="","",IFERROR(CaseLedger!$S205,""))</x:f>
      </x:c>
      <x:c r="L205" s="52" t="str">
        <x:f>IF(CaseLedger!$A205="","",IFERROR(CaseLedger!$T205,""))</x:f>
      </x:c>
      <x:c r="M205" s="52" t="str">
        <x:f>IF(CaseLedger!$A205="","",IFERROR(CaseLedger!$U205,""))</x:f>
      </x:c>
      <x:c r="N205" s="52" t="str">
        <x:f>IF(CaseLedger!$A205="","",IFERROR(CaseLedger!$V205,""))</x:f>
      </x:c>
      <x:c r="O205" s="52" t="str">
        <x:f>IF(CaseLedger!$A205="","",IFERROR(CaseLedger!$W205,""))</x:f>
      </x:c>
      <x:c r="P205" s="52" t="str">
        <x:f>IF(CaseLedger!$A205="","",IFERROR(CaseLedger!$C205,""))</x:f>
      </x:c>
      <x:c r="Q205" s="52" t="str">
        <x:f>IF(CaseLedger!$A205="","",IFERROR(CaseLedger!$D205,""))</x:f>
      </x:c>
      <x:c r="R205" s="52" t="str">
        <x:f>IF(CaseLedger!$A205="","",IFERROR(CaseLedger!$X205,""))</x:f>
      </x:c>
      <x:c r="S205" s="52" t="str">
        <x:f>IF(CaseLedger!$A205="","",IFERROR(CaseLedger!$Y205,""))</x:f>
      </x:c>
      <x:c r="T205" s="52" t="str">
        <x:f>IF(CaseLedger!$A205="","",IFERROR(CaseLedger!$Z205,""))</x:f>
      </x:c>
      <x:c r="U205" s="52" t="str">
        <x:f>IF(CaseLedger!$A205="","",IFERROR(CaseLedger!$AA205,""))</x:f>
      </x:c>
      <x:c r="V205" s="52" t="str">
        <x:f>IF(CaseLedger!$A205="","",IFERROR(CaseLedger!$AB205,""))</x:f>
      </x:c>
      <x:c r="W205" s="52" t="str">
        <x:f>IF(CaseLedger!$A205="","",IFERROR(CaseLedger!$AC205,""))</x:f>
      </x:c>
      <x:c r="X205" s="52" t="str">
        <x:f>IF(CaseLedger!$A205="","",IFERROR(CaseLedger!$AD205,""))</x:f>
      </x:c>
      <x:c r="Y205" s="52" t="str">
        <x:f>IF(CaseLedger!$A205="","",IFERROR(CaseLedger!$AE205,""))</x:f>
      </x:c>
      <x:c r="Z205" s="52" t="str">
        <x:f>IF(CaseLedger!$A205="","",IFERROR(CaseLedger!$AF205,""))</x:f>
      </x:c>
      <x:c r="AA205" s="52" t="str">
        <x:f>IF(CaseLedger!$A205="","",IFERROR(CaseLedger!$AG205,""))</x:f>
      </x:c>
      <x:c r="AB205" s="52" t="str">
        <x:f>IF(CaseLedger!$A205="","",IFERROR(CaseLedger!$AH205,""))</x:f>
      </x:c>
      <x:c r="AC205"/>
    </x:row>
    <x:row r="206">
      <x:c r="A206" s="52" t="str">
        <x:f>IF(CaseLedger!$A206="","",IFERROR(CaseLedger!$A206,""))</x:f>
      </x:c>
      <x:c r="B206" s="52" t="str">
        <x:f>IF(CaseLedger!$A206="","",IFERROR(CaseLedger!$H206,""))</x:f>
      </x:c>
      <x:c r="C206" s="52" t="str">
        <x:f>IF(CaseLedger!$A206="","",IFERROR(CaseLedger!$I206,""))</x:f>
      </x:c>
      <x:c r="D206" s="52" t="str">
        <x:f>IF(CaseLedger!$A206="","",IFERROR(CaseLedger!$J206,""))</x:f>
      </x:c>
      <x:c r="E206" s="52" t="str">
        <x:f>IF(CaseLedger!$A206="","",IFERROR(CaseLedger!$K206,""))</x:f>
      </x:c>
      <x:c r="F206" s="52" t="str">
        <x:f>IF(CaseLedger!$A206="","",IFERROR(CaseLedger!$O206,""))</x:f>
      </x:c>
      <x:c r="G206" s="52" t="str">
        <x:f>IF(CaseLedger!$A206="","",IFERROR(CaseLedger!$E206,""))</x:f>
      </x:c>
      <x:c r="H206" s="52" t="str">
        <x:f>IF(CaseLedger!$A206="","",IFERROR(CaseLedger!$P206,""))</x:f>
      </x:c>
      <x:c r="I206" s="52" t="str">
        <x:f>IF(CaseLedger!$A206="","",IFERROR(CaseLedger!$Q206,""))</x:f>
      </x:c>
      <x:c r="J206" s="52" t="str">
        <x:f>IF(CaseLedger!$A206="","",IFERROR(CaseLedger!$R206,""))</x:f>
      </x:c>
      <x:c r="K206" s="52" t="str">
        <x:f>IF(CaseLedger!$A206="","",IFERROR(CaseLedger!$S206,""))</x:f>
      </x:c>
      <x:c r="L206" s="52" t="str">
        <x:f>IF(CaseLedger!$A206="","",IFERROR(CaseLedger!$T206,""))</x:f>
      </x:c>
      <x:c r="M206" s="52" t="str">
        <x:f>IF(CaseLedger!$A206="","",IFERROR(CaseLedger!$U206,""))</x:f>
      </x:c>
      <x:c r="N206" s="52" t="str">
        <x:f>IF(CaseLedger!$A206="","",IFERROR(CaseLedger!$V206,""))</x:f>
      </x:c>
      <x:c r="O206" s="52" t="str">
        <x:f>IF(CaseLedger!$A206="","",IFERROR(CaseLedger!$W206,""))</x:f>
      </x:c>
      <x:c r="P206" s="52" t="str">
        <x:f>IF(CaseLedger!$A206="","",IFERROR(CaseLedger!$C206,""))</x:f>
      </x:c>
      <x:c r="Q206" s="52" t="str">
        <x:f>IF(CaseLedger!$A206="","",IFERROR(CaseLedger!$D206,""))</x:f>
      </x:c>
      <x:c r="R206" s="52" t="str">
        <x:f>IF(CaseLedger!$A206="","",IFERROR(CaseLedger!$X206,""))</x:f>
      </x:c>
      <x:c r="S206" s="52" t="str">
        <x:f>IF(CaseLedger!$A206="","",IFERROR(CaseLedger!$Y206,""))</x:f>
      </x:c>
      <x:c r="T206" s="52" t="str">
        <x:f>IF(CaseLedger!$A206="","",IFERROR(CaseLedger!$Z206,""))</x:f>
      </x:c>
      <x:c r="U206" s="52" t="str">
        <x:f>IF(CaseLedger!$A206="","",IFERROR(CaseLedger!$AA206,""))</x:f>
      </x:c>
      <x:c r="V206" s="52" t="str">
        <x:f>IF(CaseLedger!$A206="","",IFERROR(CaseLedger!$AB206,""))</x:f>
      </x:c>
      <x:c r="W206" s="52" t="str">
        <x:f>IF(CaseLedger!$A206="","",IFERROR(CaseLedger!$AC206,""))</x:f>
      </x:c>
      <x:c r="X206" s="52" t="str">
        <x:f>IF(CaseLedger!$A206="","",IFERROR(CaseLedger!$AD206,""))</x:f>
      </x:c>
      <x:c r="Y206" s="52" t="str">
        <x:f>IF(CaseLedger!$A206="","",IFERROR(CaseLedger!$AE206,""))</x:f>
      </x:c>
      <x:c r="Z206" s="52" t="str">
        <x:f>IF(CaseLedger!$A206="","",IFERROR(CaseLedger!$AF206,""))</x:f>
      </x:c>
      <x:c r="AA206" s="52" t="str">
        <x:f>IF(CaseLedger!$A206="","",IFERROR(CaseLedger!$AG206,""))</x:f>
      </x:c>
      <x:c r="AB206" s="52" t="str">
        <x:f>IF(CaseLedger!$A206="","",IFERROR(CaseLedger!$AH206,""))</x:f>
      </x:c>
      <x:c r="AC206"/>
    </x:row>
    <x:row r="207">
      <x:c r="A207" s="52" t="str">
        <x:f>IF(CaseLedger!$A207="","",IFERROR(CaseLedger!$A207,""))</x:f>
      </x:c>
      <x:c r="B207" s="52" t="str">
        <x:f>IF(CaseLedger!$A207="","",IFERROR(CaseLedger!$H207,""))</x:f>
      </x:c>
      <x:c r="C207" s="52" t="str">
        <x:f>IF(CaseLedger!$A207="","",IFERROR(CaseLedger!$I207,""))</x:f>
      </x:c>
      <x:c r="D207" s="52" t="str">
        <x:f>IF(CaseLedger!$A207="","",IFERROR(CaseLedger!$J207,""))</x:f>
      </x:c>
      <x:c r="E207" s="52" t="str">
        <x:f>IF(CaseLedger!$A207="","",IFERROR(CaseLedger!$K207,""))</x:f>
      </x:c>
      <x:c r="F207" s="52" t="str">
        <x:f>IF(CaseLedger!$A207="","",IFERROR(CaseLedger!$O207,""))</x:f>
      </x:c>
      <x:c r="G207" s="52" t="str">
        <x:f>IF(CaseLedger!$A207="","",IFERROR(CaseLedger!$E207,""))</x:f>
      </x:c>
      <x:c r="H207" s="52" t="str">
        <x:f>IF(CaseLedger!$A207="","",IFERROR(CaseLedger!$P207,""))</x:f>
      </x:c>
      <x:c r="I207" s="52" t="str">
        <x:f>IF(CaseLedger!$A207="","",IFERROR(CaseLedger!$Q207,""))</x:f>
      </x:c>
      <x:c r="J207" s="52" t="str">
        <x:f>IF(CaseLedger!$A207="","",IFERROR(CaseLedger!$R207,""))</x:f>
      </x:c>
      <x:c r="K207" s="52" t="str">
        <x:f>IF(CaseLedger!$A207="","",IFERROR(CaseLedger!$S207,""))</x:f>
      </x:c>
      <x:c r="L207" s="52" t="str">
        <x:f>IF(CaseLedger!$A207="","",IFERROR(CaseLedger!$T207,""))</x:f>
      </x:c>
      <x:c r="M207" s="52" t="str">
        <x:f>IF(CaseLedger!$A207="","",IFERROR(CaseLedger!$U207,""))</x:f>
      </x:c>
      <x:c r="N207" s="52" t="str">
        <x:f>IF(CaseLedger!$A207="","",IFERROR(CaseLedger!$V207,""))</x:f>
      </x:c>
      <x:c r="O207" s="52" t="str">
        <x:f>IF(CaseLedger!$A207="","",IFERROR(CaseLedger!$W207,""))</x:f>
      </x:c>
      <x:c r="P207" s="52" t="str">
        <x:f>IF(CaseLedger!$A207="","",IFERROR(CaseLedger!$C207,""))</x:f>
      </x:c>
      <x:c r="Q207" s="52" t="str">
        <x:f>IF(CaseLedger!$A207="","",IFERROR(CaseLedger!$D207,""))</x:f>
      </x:c>
      <x:c r="R207" s="52" t="str">
        <x:f>IF(CaseLedger!$A207="","",IFERROR(CaseLedger!$X207,""))</x:f>
      </x:c>
      <x:c r="S207" s="52" t="str">
        <x:f>IF(CaseLedger!$A207="","",IFERROR(CaseLedger!$Y207,""))</x:f>
      </x:c>
      <x:c r="T207" s="52" t="str">
        <x:f>IF(CaseLedger!$A207="","",IFERROR(CaseLedger!$Z207,""))</x:f>
      </x:c>
      <x:c r="U207" s="52" t="str">
        <x:f>IF(CaseLedger!$A207="","",IFERROR(CaseLedger!$AA207,""))</x:f>
      </x:c>
      <x:c r="V207" s="52" t="str">
        <x:f>IF(CaseLedger!$A207="","",IFERROR(CaseLedger!$AB207,""))</x:f>
      </x:c>
      <x:c r="W207" s="52" t="str">
        <x:f>IF(CaseLedger!$A207="","",IFERROR(CaseLedger!$AC207,""))</x:f>
      </x:c>
      <x:c r="X207" s="52" t="str">
        <x:f>IF(CaseLedger!$A207="","",IFERROR(CaseLedger!$AD207,""))</x:f>
      </x:c>
      <x:c r="Y207" s="52" t="str">
        <x:f>IF(CaseLedger!$A207="","",IFERROR(CaseLedger!$AE207,""))</x:f>
      </x:c>
      <x:c r="Z207" s="52" t="str">
        <x:f>IF(CaseLedger!$A207="","",IFERROR(CaseLedger!$AF207,""))</x:f>
      </x:c>
      <x:c r="AA207" s="52" t="str">
        <x:f>IF(CaseLedger!$A207="","",IFERROR(CaseLedger!$AG207,""))</x:f>
      </x:c>
      <x:c r="AB207" s="52" t="str">
        <x:f>IF(CaseLedger!$A207="","",IFERROR(CaseLedger!$AH207,""))</x:f>
      </x:c>
      <x:c r="AC207"/>
    </x:row>
    <x:row r="208">
      <x:c r="A208" s="52" t="str">
        <x:f>IF(CaseLedger!$A208="","",IFERROR(CaseLedger!$A208,""))</x:f>
      </x:c>
      <x:c r="B208" s="52" t="str">
        <x:f>IF(CaseLedger!$A208="","",IFERROR(CaseLedger!$H208,""))</x:f>
      </x:c>
      <x:c r="C208" s="52" t="str">
        <x:f>IF(CaseLedger!$A208="","",IFERROR(CaseLedger!$I208,""))</x:f>
      </x:c>
      <x:c r="D208" s="52" t="str">
        <x:f>IF(CaseLedger!$A208="","",IFERROR(CaseLedger!$J208,""))</x:f>
      </x:c>
      <x:c r="E208" s="52" t="str">
        <x:f>IF(CaseLedger!$A208="","",IFERROR(CaseLedger!$K208,""))</x:f>
      </x:c>
      <x:c r="F208" s="52" t="str">
        <x:f>IF(CaseLedger!$A208="","",IFERROR(CaseLedger!$O208,""))</x:f>
      </x:c>
      <x:c r="G208" s="52" t="str">
        <x:f>IF(CaseLedger!$A208="","",IFERROR(CaseLedger!$E208,""))</x:f>
      </x:c>
      <x:c r="H208" s="52" t="str">
        <x:f>IF(CaseLedger!$A208="","",IFERROR(CaseLedger!$P208,""))</x:f>
      </x:c>
      <x:c r="I208" s="52" t="str">
        <x:f>IF(CaseLedger!$A208="","",IFERROR(CaseLedger!$Q208,""))</x:f>
      </x:c>
      <x:c r="J208" s="52" t="str">
        <x:f>IF(CaseLedger!$A208="","",IFERROR(CaseLedger!$R208,""))</x:f>
      </x:c>
      <x:c r="K208" s="52" t="str">
        <x:f>IF(CaseLedger!$A208="","",IFERROR(CaseLedger!$S208,""))</x:f>
      </x:c>
      <x:c r="L208" s="52" t="str">
        <x:f>IF(CaseLedger!$A208="","",IFERROR(CaseLedger!$T208,""))</x:f>
      </x:c>
      <x:c r="M208" s="52" t="str">
        <x:f>IF(CaseLedger!$A208="","",IFERROR(CaseLedger!$U208,""))</x:f>
      </x:c>
      <x:c r="N208" s="52" t="str">
        <x:f>IF(CaseLedger!$A208="","",IFERROR(CaseLedger!$V208,""))</x:f>
      </x:c>
      <x:c r="O208" s="52" t="str">
        <x:f>IF(CaseLedger!$A208="","",IFERROR(CaseLedger!$W208,""))</x:f>
      </x:c>
      <x:c r="P208" s="52" t="str">
        <x:f>IF(CaseLedger!$A208="","",IFERROR(CaseLedger!$C208,""))</x:f>
      </x:c>
      <x:c r="Q208" s="52" t="str">
        <x:f>IF(CaseLedger!$A208="","",IFERROR(CaseLedger!$D208,""))</x:f>
      </x:c>
      <x:c r="R208" s="52" t="str">
        <x:f>IF(CaseLedger!$A208="","",IFERROR(CaseLedger!$X208,""))</x:f>
      </x:c>
      <x:c r="S208" s="52" t="str">
        <x:f>IF(CaseLedger!$A208="","",IFERROR(CaseLedger!$Y208,""))</x:f>
      </x:c>
      <x:c r="T208" s="52" t="str">
        <x:f>IF(CaseLedger!$A208="","",IFERROR(CaseLedger!$Z208,""))</x:f>
      </x:c>
      <x:c r="U208" s="52" t="str">
        <x:f>IF(CaseLedger!$A208="","",IFERROR(CaseLedger!$AA208,""))</x:f>
      </x:c>
      <x:c r="V208" s="52" t="str">
        <x:f>IF(CaseLedger!$A208="","",IFERROR(CaseLedger!$AB208,""))</x:f>
      </x:c>
      <x:c r="W208" s="52" t="str">
        <x:f>IF(CaseLedger!$A208="","",IFERROR(CaseLedger!$AC208,""))</x:f>
      </x:c>
      <x:c r="X208" s="52" t="str">
        <x:f>IF(CaseLedger!$A208="","",IFERROR(CaseLedger!$AD208,""))</x:f>
      </x:c>
      <x:c r="Y208" s="52" t="str">
        <x:f>IF(CaseLedger!$A208="","",IFERROR(CaseLedger!$AE208,""))</x:f>
      </x:c>
      <x:c r="Z208" s="52" t="str">
        <x:f>IF(CaseLedger!$A208="","",IFERROR(CaseLedger!$AF208,""))</x:f>
      </x:c>
      <x:c r="AA208" s="52" t="str">
        <x:f>IF(CaseLedger!$A208="","",IFERROR(CaseLedger!$AG208,""))</x:f>
      </x:c>
      <x:c r="AB208" s="52" t="str">
        <x:f>IF(CaseLedger!$A208="","",IFERROR(CaseLedger!$AH208,""))</x:f>
      </x:c>
      <x:c r="AC208"/>
    </x:row>
    <x:row r="209">
      <x:c r="A209" s="52" t="str">
        <x:f>IF(CaseLedger!$A209="","",IFERROR(CaseLedger!$A209,""))</x:f>
      </x:c>
      <x:c r="B209" s="52" t="str">
        <x:f>IF(CaseLedger!$A209="","",IFERROR(CaseLedger!$H209,""))</x:f>
      </x:c>
      <x:c r="C209" s="52" t="str">
        <x:f>IF(CaseLedger!$A209="","",IFERROR(CaseLedger!$I209,""))</x:f>
      </x:c>
      <x:c r="D209" s="52" t="str">
        <x:f>IF(CaseLedger!$A209="","",IFERROR(CaseLedger!$J209,""))</x:f>
      </x:c>
      <x:c r="E209" s="52" t="str">
        <x:f>IF(CaseLedger!$A209="","",IFERROR(CaseLedger!$K209,""))</x:f>
      </x:c>
      <x:c r="F209" s="52" t="str">
        <x:f>IF(CaseLedger!$A209="","",IFERROR(CaseLedger!$O209,""))</x:f>
      </x:c>
      <x:c r="G209" s="52" t="str">
        <x:f>IF(CaseLedger!$A209="","",IFERROR(CaseLedger!$E209,""))</x:f>
      </x:c>
      <x:c r="H209" s="52" t="str">
        <x:f>IF(CaseLedger!$A209="","",IFERROR(CaseLedger!$P209,""))</x:f>
      </x:c>
      <x:c r="I209" s="52" t="str">
        <x:f>IF(CaseLedger!$A209="","",IFERROR(CaseLedger!$Q209,""))</x:f>
      </x:c>
      <x:c r="J209" s="52" t="str">
        <x:f>IF(CaseLedger!$A209="","",IFERROR(CaseLedger!$R209,""))</x:f>
      </x:c>
      <x:c r="K209" s="52" t="str">
        <x:f>IF(CaseLedger!$A209="","",IFERROR(CaseLedger!$S209,""))</x:f>
      </x:c>
      <x:c r="L209" s="52" t="str">
        <x:f>IF(CaseLedger!$A209="","",IFERROR(CaseLedger!$T209,""))</x:f>
      </x:c>
      <x:c r="M209" s="52" t="str">
        <x:f>IF(CaseLedger!$A209="","",IFERROR(CaseLedger!$U209,""))</x:f>
      </x:c>
      <x:c r="N209" s="52" t="str">
        <x:f>IF(CaseLedger!$A209="","",IFERROR(CaseLedger!$V209,""))</x:f>
      </x:c>
      <x:c r="O209" s="52" t="str">
        <x:f>IF(CaseLedger!$A209="","",IFERROR(CaseLedger!$W209,""))</x:f>
      </x:c>
      <x:c r="P209" s="52" t="str">
        <x:f>IF(CaseLedger!$A209="","",IFERROR(CaseLedger!$C209,""))</x:f>
      </x:c>
      <x:c r="Q209" s="52" t="str">
        <x:f>IF(CaseLedger!$A209="","",IFERROR(CaseLedger!$D209,""))</x:f>
      </x:c>
      <x:c r="R209" s="52" t="str">
        <x:f>IF(CaseLedger!$A209="","",IFERROR(CaseLedger!$X209,""))</x:f>
      </x:c>
      <x:c r="S209" s="52" t="str">
        <x:f>IF(CaseLedger!$A209="","",IFERROR(CaseLedger!$Y209,""))</x:f>
      </x:c>
      <x:c r="T209" s="52" t="str">
        <x:f>IF(CaseLedger!$A209="","",IFERROR(CaseLedger!$Z209,""))</x:f>
      </x:c>
      <x:c r="U209" s="52" t="str">
        <x:f>IF(CaseLedger!$A209="","",IFERROR(CaseLedger!$AA209,""))</x:f>
      </x:c>
      <x:c r="V209" s="52" t="str">
        <x:f>IF(CaseLedger!$A209="","",IFERROR(CaseLedger!$AB209,""))</x:f>
      </x:c>
      <x:c r="W209" s="52" t="str">
        <x:f>IF(CaseLedger!$A209="","",IFERROR(CaseLedger!$AC209,""))</x:f>
      </x:c>
      <x:c r="X209" s="52" t="str">
        <x:f>IF(CaseLedger!$A209="","",IFERROR(CaseLedger!$AD209,""))</x:f>
      </x:c>
      <x:c r="Y209" s="52" t="str">
        <x:f>IF(CaseLedger!$A209="","",IFERROR(CaseLedger!$AE209,""))</x:f>
      </x:c>
      <x:c r="Z209" s="52" t="str">
        <x:f>IF(CaseLedger!$A209="","",IFERROR(CaseLedger!$AF209,""))</x:f>
      </x:c>
      <x:c r="AA209" s="52" t="str">
        <x:f>IF(CaseLedger!$A209="","",IFERROR(CaseLedger!$AG209,""))</x:f>
      </x:c>
      <x:c r="AB209" s="52" t="str">
        <x:f>IF(CaseLedger!$A209="","",IFERROR(CaseLedger!$AH209,""))</x:f>
      </x:c>
      <x:c r="AC209"/>
    </x:row>
    <x:row r="210">
      <x:c r="A210" s="52" t="str">
        <x:f>IF(CaseLedger!$A210="","",IFERROR(CaseLedger!$A210,""))</x:f>
      </x:c>
      <x:c r="B210" s="52" t="str">
        <x:f>IF(CaseLedger!$A210="","",IFERROR(CaseLedger!$H210,""))</x:f>
      </x:c>
      <x:c r="C210" s="52" t="str">
        <x:f>IF(CaseLedger!$A210="","",IFERROR(CaseLedger!$I210,""))</x:f>
      </x:c>
      <x:c r="D210" s="52" t="str">
        <x:f>IF(CaseLedger!$A210="","",IFERROR(CaseLedger!$J210,""))</x:f>
      </x:c>
      <x:c r="E210" s="52" t="str">
        <x:f>IF(CaseLedger!$A210="","",IFERROR(CaseLedger!$K210,""))</x:f>
      </x:c>
      <x:c r="F210" s="52" t="str">
        <x:f>IF(CaseLedger!$A210="","",IFERROR(CaseLedger!$O210,""))</x:f>
      </x:c>
      <x:c r="G210" s="52" t="str">
        <x:f>IF(CaseLedger!$A210="","",IFERROR(CaseLedger!$E210,""))</x:f>
      </x:c>
      <x:c r="H210" s="52" t="str">
        <x:f>IF(CaseLedger!$A210="","",IFERROR(CaseLedger!$P210,""))</x:f>
      </x:c>
      <x:c r="I210" s="52" t="str">
        <x:f>IF(CaseLedger!$A210="","",IFERROR(CaseLedger!$Q210,""))</x:f>
      </x:c>
      <x:c r="J210" s="52" t="str">
        <x:f>IF(CaseLedger!$A210="","",IFERROR(CaseLedger!$R210,""))</x:f>
      </x:c>
      <x:c r="K210" s="52" t="str">
        <x:f>IF(CaseLedger!$A210="","",IFERROR(CaseLedger!$S210,""))</x:f>
      </x:c>
      <x:c r="L210" s="52" t="str">
        <x:f>IF(CaseLedger!$A210="","",IFERROR(CaseLedger!$T210,""))</x:f>
      </x:c>
      <x:c r="M210" s="52" t="str">
        <x:f>IF(CaseLedger!$A210="","",IFERROR(CaseLedger!$U210,""))</x:f>
      </x:c>
      <x:c r="N210" s="52" t="str">
        <x:f>IF(CaseLedger!$A210="","",IFERROR(CaseLedger!$V210,""))</x:f>
      </x:c>
      <x:c r="O210" s="52" t="str">
        <x:f>IF(CaseLedger!$A210="","",IFERROR(CaseLedger!$W210,""))</x:f>
      </x:c>
      <x:c r="P210" s="52" t="str">
        <x:f>IF(CaseLedger!$A210="","",IFERROR(CaseLedger!$C210,""))</x:f>
      </x:c>
      <x:c r="Q210" s="52" t="str">
        <x:f>IF(CaseLedger!$A210="","",IFERROR(CaseLedger!$D210,""))</x:f>
      </x:c>
      <x:c r="R210" s="52" t="str">
        <x:f>IF(CaseLedger!$A210="","",IFERROR(CaseLedger!$X210,""))</x:f>
      </x:c>
      <x:c r="S210" s="52" t="str">
        <x:f>IF(CaseLedger!$A210="","",IFERROR(CaseLedger!$Y210,""))</x:f>
      </x:c>
      <x:c r="T210" s="52" t="str">
        <x:f>IF(CaseLedger!$A210="","",IFERROR(CaseLedger!$Z210,""))</x:f>
      </x:c>
      <x:c r="U210" s="52" t="str">
        <x:f>IF(CaseLedger!$A210="","",IFERROR(CaseLedger!$AA210,""))</x:f>
      </x:c>
      <x:c r="V210" s="52" t="str">
        <x:f>IF(CaseLedger!$A210="","",IFERROR(CaseLedger!$AB210,""))</x:f>
      </x:c>
      <x:c r="W210" s="52" t="str">
        <x:f>IF(CaseLedger!$A210="","",IFERROR(CaseLedger!$AC210,""))</x:f>
      </x:c>
      <x:c r="X210" s="52" t="str">
        <x:f>IF(CaseLedger!$A210="","",IFERROR(CaseLedger!$AD210,""))</x:f>
      </x:c>
      <x:c r="Y210" s="52" t="str">
        <x:f>IF(CaseLedger!$A210="","",IFERROR(CaseLedger!$AE210,""))</x:f>
      </x:c>
      <x:c r="Z210" s="52" t="str">
        <x:f>IF(CaseLedger!$A210="","",IFERROR(CaseLedger!$AF210,""))</x:f>
      </x:c>
      <x:c r="AA210" s="52" t="str">
        <x:f>IF(CaseLedger!$A210="","",IFERROR(CaseLedger!$AG210,""))</x:f>
      </x:c>
      <x:c r="AB210" s="52" t="str">
        <x:f>IF(CaseLedger!$A210="","",IFERROR(CaseLedger!$AH210,""))</x:f>
      </x:c>
      <x:c r="AC210"/>
    </x:row>
    <x:row r="211">
      <x:c r="A211" s="52" t="str">
        <x:f>IF(CaseLedger!$A211="","",IFERROR(CaseLedger!$A211,""))</x:f>
      </x:c>
      <x:c r="B211" s="52" t="str">
        <x:f>IF(CaseLedger!$A211="","",IFERROR(CaseLedger!$H211,""))</x:f>
      </x:c>
      <x:c r="C211" s="52" t="str">
        <x:f>IF(CaseLedger!$A211="","",IFERROR(CaseLedger!$I211,""))</x:f>
      </x:c>
      <x:c r="D211" s="52" t="str">
        <x:f>IF(CaseLedger!$A211="","",IFERROR(CaseLedger!$J211,""))</x:f>
      </x:c>
      <x:c r="E211" s="52" t="str">
        <x:f>IF(CaseLedger!$A211="","",IFERROR(CaseLedger!$K211,""))</x:f>
      </x:c>
      <x:c r="F211" s="52" t="str">
        <x:f>IF(CaseLedger!$A211="","",IFERROR(CaseLedger!$O211,""))</x:f>
      </x:c>
      <x:c r="G211" s="52" t="str">
        <x:f>IF(CaseLedger!$A211="","",IFERROR(CaseLedger!$E211,""))</x:f>
      </x:c>
      <x:c r="H211" s="52" t="str">
        <x:f>IF(CaseLedger!$A211="","",IFERROR(CaseLedger!$P211,""))</x:f>
      </x:c>
      <x:c r="I211" s="52" t="str">
        <x:f>IF(CaseLedger!$A211="","",IFERROR(CaseLedger!$Q211,""))</x:f>
      </x:c>
      <x:c r="J211" s="52" t="str">
        <x:f>IF(CaseLedger!$A211="","",IFERROR(CaseLedger!$R211,""))</x:f>
      </x:c>
      <x:c r="K211" s="52" t="str">
        <x:f>IF(CaseLedger!$A211="","",IFERROR(CaseLedger!$S211,""))</x:f>
      </x:c>
      <x:c r="L211" s="52" t="str">
        <x:f>IF(CaseLedger!$A211="","",IFERROR(CaseLedger!$T211,""))</x:f>
      </x:c>
      <x:c r="M211" s="52" t="str">
        <x:f>IF(CaseLedger!$A211="","",IFERROR(CaseLedger!$U211,""))</x:f>
      </x:c>
      <x:c r="N211" s="52" t="str">
        <x:f>IF(CaseLedger!$A211="","",IFERROR(CaseLedger!$V211,""))</x:f>
      </x:c>
      <x:c r="O211" s="52" t="str">
        <x:f>IF(CaseLedger!$A211="","",IFERROR(CaseLedger!$W211,""))</x:f>
      </x:c>
      <x:c r="P211" s="52" t="str">
        <x:f>IF(CaseLedger!$A211="","",IFERROR(CaseLedger!$C211,""))</x:f>
      </x:c>
      <x:c r="Q211" s="52" t="str">
        <x:f>IF(CaseLedger!$A211="","",IFERROR(CaseLedger!$D211,""))</x:f>
      </x:c>
      <x:c r="R211" s="52" t="str">
        <x:f>IF(CaseLedger!$A211="","",IFERROR(CaseLedger!$X211,""))</x:f>
      </x:c>
      <x:c r="S211" s="52" t="str">
        <x:f>IF(CaseLedger!$A211="","",IFERROR(CaseLedger!$Y211,""))</x:f>
      </x:c>
      <x:c r="T211" s="52" t="str">
        <x:f>IF(CaseLedger!$A211="","",IFERROR(CaseLedger!$Z211,""))</x:f>
      </x:c>
      <x:c r="U211" s="52" t="str">
        <x:f>IF(CaseLedger!$A211="","",IFERROR(CaseLedger!$AA211,""))</x:f>
      </x:c>
      <x:c r="V211" s="52" t="str">
        <x:f>IF(CaseLedger!$A211="","",IFERROR(CaseLedger!$AB211,""))</x:f>
      </x:c>
      <x:c r="W211" s="52" t="str">
        <x:f>IF(CaseLedger!$A211="","",IFERROR(CaseLedger!$AC211,""))</x:f>
      </x:c>
      <x:c r="X211" s="52" t="str">
        <x:f>IF(CaseLedger!$A211="","",IFERROR(CaseLedger!$AD211,""))</x:f>
      </x:c>
      <x:c r="Y211" s="52" t="str">
        <x:f>IF(CaseLedger!$A211="","",IFERROR(CaseLedger!$AE211,""))</x:f>
      </x:c>
      <x:c r="Z211" s="52" t="str">
        <x:f>IF(CaseLedger!$A211="","",IFERROR(CaseLedger!$AF211,""))</x:f>
      </x:c>
      <x:c r="AA211" s="52" t="str">
        <x:f>IF(CaseLedger!$A211="","",IFERROR(CaseLedger!$AG211,""))</x:f>
      </x:c>
      <x:c r="AB211" s="52" t="str">
        <x:f>IF(CaseLedger!$A211="","",IFERROR(CaseLedger!$AH211,""))</x:f>
      </x:c>
      <x:c r="AC211"/>
    </x:row>
    <x:row r="212">
      <x:c r="A212" s="52" t="str">
        <x:f>IF(CaseLedger!$A212="","",IFERROR(CaseLedger!$A212,""))</x:f>
      </x:c>
      <x:c r="B212" s="52" t="str">
        <x:f>IF(CaseLedger!$A212="","",IFERROR(CaseLedger!$H212,""))</x:f>
      </x:c>
      <x:c r="C212" s="52" t="str">
        <x:f>IF(CaseLedger!$A212="","",IFERROR(CaseLedger!$I212,""))</x:f>
      </x:c>
      <x:c r="D212" s="52" t="str">
        <x:f>IF(CaseLedger!$A212="","",IFERROR(CaseLedger!$J212,""))</x:f>
      </x:c>
      <x:c r="E212" s="52" t="str">
        <x:f>IF(CaseLedger!$A212="","",IFERROR(CaseLedger!$K212,""))</x:f>
      </x:c>
      <x:c r="F212" s="52" t="str">
        <x:f>IF(CaseLedger!$A212="","",IFERROR(CaseLedger!$O212,""))</x:f>
      </x:c>
      <x:c r="G212" s="52" t="str">
        <x:f>IF(CaseLedger!$A212="","",IFERROR(CaseLedger!$E212,""))</x:f>
      </x:c>
      <x:c r="H212" s="52" t="str">
        <x:f>IF(CaseLedger!$A212="","",IFERROR(CaseLedger!$P212,""))</x:f>
      </x:c>
      <x:c r="I212" s="52" t="str">
        <x:f>IF(CaseLedger!$A212="","",IFERROR(CaseLedger!$Q212,""))</x:f>
      </x:c>
      <x:c r="J212" s="52" t="str">
        <x:f>IF(CaseLedger!$A212="","",IFERROR(CaseLedger!$R212,""))</x:f>
      </x:c>
      <x:c r="K212" s="52" t="str">
        <x:f>IF(CaseLedger!$A212="","",IFERROR(CaseLedger!$S212,""))</x:f>
      </x:c>
      <x:c r="L212" s="52" t="str">
        <x:f>IF(CaseLedger!$A212="","",IFERROR(CaseLedger!$T212,""))</x:f>
      </x:c>
      <x:c r="M212" s="52" t="str">
        <x:f>IF(CaseLedger!$A212="","",IFERROR(CaseLedger!$U212,""))</x:f>
      </x:c>
      <x:c r="N212" s="52" t="str">
        <x:f>IF(CaseLedger!$A212="","",IFERROR(CaseLedger!$V212,""))</x:f>
      </x:c>
      <x:c r="O212" s="52" t="str">
        <x:f>IF(CaseLedger!$A212="","",IFERROR(CaseLedger!$W212,""))</x:f>
      </x:c>
      <x:c r="P212" s="52" t="str">
        <x:f>IF(CaseLedger!$A212="","",IFERROR(CaseLedger!$C212,""))</x:f>
      </x:c>
      <x:c r="Q212" s="52" t="str">
        <x:f>IF(CaseLedger!$A212="","",IFERROR(CaseLedger!$D212,""))</x:f>
      </x:c>
      <x:c r="R212" s="52" t="str">
        <x:f>IF(CaseLedger!$A212="","",IFERROR(CaseLedger!$X212,""))</x:f>
      </x:c>
      <x:c r="S212" s="52" t="str">
        <x:f>IF(CaseLedger!$A212="","",IFERROR(CaseLedger!$Y212,""))</x:f>
      </x:c>
      <x:c r="T212" s="52" t="str">
        <x:f>IF(CaseLedger!$A212="","",IFERROR(CaseLedger!$Z212,""))</x:f>
      </x:c>
      <x:c r="U212" s="52" t="str">
        <x:f>IF(CaseLedger!$A212="","",IFERROR(CaseLedger!$AA212,""))</x:f>
      </x:c>
      <x:c r="V212" s="52" t="str">
        <x:f>IF(CaseLedger!$A212="","",IFERROR(CaseLedger!$AB212,""))</x:f>
      </x:c>
      <x:c r="W212" s="52" t="str">
        <x:f>IF(CaseLedger!$A212="","",IFERROR(CaseLedger!$AC212,""))</x:f>
      </x:c>
      <x:c r="X212" s="52" t="str">
        <x:f>IF(CaseLedger!$A212="","",IFERROR(CaseLedger!$AD212,""))</x:f>
      </x:c>
      <x:c r="Y212" s="52" t="str">
        <x:f>IF(CaseLedger!$A212="","",IFERROR(CaseLedger!$AE212,""))</x:f>
      </x:c>
      <x:c r="Z212" s="52" t="str">
        <x:f>IF(CaseLedger!$A212="","",IFERROR(CaseLedger!$AF212,""))</x:f>
      </x:c>
      <x:c r="AA212" s="52" t="str">
        <x:f>IF(CaseLedger!$A212="","",IFERROR(CaseLedger!$AG212,""))</x:f>
      </x:c>
      <x:c r="AB212" s="52" t="str">
        <x:f>IF(CaseLedger!$A212="","",IFERROR(CaseLedger!$AH212,""))</x:f>
      </x:c>
      <x:c r="AC212"/>
    </x:row>
    <x:row r="213">
      <x:c r="A213" s="52" t="str">
        <x:f>IF(CaseLedger!$A213="","",IFERROR(CaseLedger!$A213,""))</x:f>
      </x:c>
      <x:c r="B213" s="52" t="str">
        <x:f>IF(CaseLedger!$A213="","",IFERROR(CaseLedger!$H213,""))</x:f>
      </x:c>
      <x:c r="C213" s="52" t="str">
        <x:f>IF(CaseLedger!$A213="","",IFERROR(CaseLedger!$I213,""))</x:f>
      </x:c>
      <x:c r="D213" s="52" t="str">
        <x:f>IF(CaseLedger!$A213="","",IFERROR(CaseLedger!$J213,""))</x:f>
      </x:c>
      <x:c r="E213" s="52" t="str">
        <x:f>IF(CaseLedger!$A213="","",IFERROR(CaseLedger!$K213,""))</x:f>
      </x:c>
      <x:c r="F213" s="52" t="str">
        <x:f>IF(CaseLedger!$A213="","",IFERROR(CaseLedger!$O213,""))</x:f>
      </x:c>
      <x:c r="G213" s="52" t="str">
        <x:f>IF(CaseLedger!$A213="","",IFERROR(CaseLedger!$E213,""))</x:f>
      </x:c>
      <x:c r="H213" s="52" t="str">
        <x:f>IF(CaseLedger!$A213="","",IFERROR(CaseLedger!$P213,""))</x:f>
      </x:c>
      <x:c r="I213" s="52" t="str">
        <x:f>IF(CaseLedger!$A213="","",IFERROR(CaseLedger!$Q213,""))</x:f>
      </x:c>
      <x:c r="J213" s="52" t="str">
        <x:f>IF(CaseLedger!$A213="","",IFERROR(CaseLedger!$R213,""))</x:f>
      </x:c>
      <x:c r="K213" s="52" t="str">
        <x:f>IF(CaseLedger!$A213="","",IFERROR(CaseLedger!$S213,""))</x:f>
      </x:c>
      <x:c r="L213" s="52" t="str">
        <x:f>IF(CaseLedger!$A213="","",IFERROR(CaseLedger!$T213,""))</x:f>
      </x:c>
      <x:c r="M213" s="52" t="str">
        <x:f>IF(CaseLedger!$A213="","",IFERROR(CaseLedger!$U213,""))</x:f>
      </x:c>
      <x:c r="N213" s="52" t="str">
        <x:f>IF(CaseLedger!$A213="","",IFERROR(CaseLedger!$V213,""))</x:f>
      </x:c>
      <x:c r="O213" s="52" t="str">
        <x:f>IF(CaseLedger!$A213="","",IFERROR(CaseLedger!$W213,""))</x:f>
      </x:c>
      <x:c r="P213" s="52" t="str">
        <x:f>IF(CaseLedger!$A213="","",IFERROR(CaseLedger!$C213,""))</x:f>
      </x:c>
      <x:c r="Q213" s="52" t="str">
        <x:f>IF(CaseLedger!$A213="","",IFERROR(CaseLedger!$D213,""))</x:f>
      </x:c>
      <x:c r="R213" s="52" t="str">
        <x:f>IF(CaseLedger!$A213="","",IFERROR(CaseLedger!$X213,""))</x:f>
      </x:c>
      <x:c r="S213" s="52" t="str">
        <x:f>IF(CaseLedger!$A213="","",IFERROR(CaseLedger!$Y213,""))</x:f>
      </x:c>
      <x:c r="T213" s="52" t="str">
        <x:f>IF(CaseLedger!$A213="","",IFERROR(CaseLedger!$Z213,""))</x:f>
      </x:c>
      <x:c r="U213" s="52" t="str">
        <x:f>IF(CaseLedger!$A213="","",IFERROR(CaseLedger!$AA213,""))</x:f>
      </x:c>
      <x:c r="V213" s="52" t="str">
        <x:f>IF(CaseLedger!$A213="","",IFERROR(CaseLedger!$AB213,""))</x:f>
      </x:c>
      <x:c r="W213" s="52" t="str">
        <x:f>IF(CaseLedger!$A213="","",IFERROR(CaseLedger!$AC213,""))</x:f>
      </x:c>
      <x:c r="X213" s="52" t="str">
        <x:f>IF(CaseLedger!$A213="","",IFERROR(CaseLedger!$AD213,""))</x:f>
      </x:c>
      <x:c r="Y213" s="52" t="str">
        <x:f>IF(CaseLedger!$A213="","",IFERROR(CaseLedger!$AE213,""))</x:f>
      </x:c>
      <x:c r="Z213" s="52" t="str">
        <x:f>IF(CaseLedger!$A213="","",IFERROR(CaseLedger!$AF213,""))</x:f>
      </x:c>
      <x:c r="AA213" s="52" t="str">
        <x:f>IF(CaseLedger!$A213="","",IFERROR(CaseLedger!$AG213,""))</x:f>
      </x:c>
      <x:c r="AB213" s="52" t="str">
        <x:f>IF(CaseLedger!$A213="","",IFERROR(CaseLedger!$AH213,""))</x:f>
      </x:c>
      <x:c r="AC213"/>
    </x:row>
    <x:row r="214">
      <x:c r="A214" s="52" t="str">
        <x:f>IF(CaseLedger!$A214="","",IFERROR(CaseLedger!$A214,""))</x:f>
      </x:c>
      <x:c r="B214" s="52" t="str">
        <x:f>IF(CaseLedger!$A214="","",IFERROR(CaseLedger!$H214,""))</x:f>
      </x:c>
      <x:c r="C214" s="52" t="str">
        <x:f>IF(CaseLedger!$A214="","",IFERROR(CaseLedger!$I214,""))</x:f>
      </x:c>
      <x:c r="D214" s="52" t="str">
        <x:f>IF(CaseLedger!$A214="","",IFERROR(CaseLedger!$J214,""))</x:f>
      </x:c>
      <x:c r="E214" s="52" t="str">
        <x:f>IF(CaseLedger!$A214="","",IFERROR(CaseLedger!$K214,""))</x:f>
      </x:c>
      <x:c r="F214" s="52" t="str">
        <x:f>IF(CaseLedger!$A214="","",IFERROR(CaseLedger!$O214,""))</x:f>
      </x:c>
      <x:c r="G214" s="52" t="str">
        <x:f>IF(CaseLedger!$A214="","",IFERROR(CaseLedger!$E214,""))</x:f>
      </x:c>
      <x:c r="H214" s="52" t="str">
        <x:f>IF(CaseLedger!$A214="","",IFERROR(CaseLedger!$P214,""))</x:f>
      </x:c>
      <x:c r="I214" s="52" t="str">
        <x:f>IF(CaseLedger!$A214="","",IFERROR(CaseLedger!$Q214,""))</x:f>
      </x:c>
      <x:c r="J214" s="52" t="str">
        <x:f>IF(CaseLedger!$A214="","",IFERROR(CaseLedger!$R214,""))</x:f>
      </x:c>
      <x:c r="K214" s="52" t="str">
        <x:f>IF(CaseLedger!$A214="","",IFERROR(CaseLedger!$S214,""))</x:f>
      </x:c>
      <x:c r="L214" s="52" t="str">
        <x:f>IF(CaseLedger!$A214="","",IFERROR(CaseLedger!$T214,""))</x:f>
      </x:c>
      <x:c r="M214" s="52" t="str">
        <x:f>IF(CaseLedger!$A214="","",IFERROR(CaseLedger!$U214,""))</x:f>
      </x:c>
      <x:c r="N214" s="52" t="str">
        <x:f>IF(CaseLedger!$A214="","",IFERROR(CaseLedger!$V214,""))</x:f>
      </x:c>
      <x:c r="O214" s="52" t="str">
        <x:f>IF(CaseLedger!$A214="","",IFERROR(CaseLedger!$W214,""))</x:f>
      </x:c>
      <x:c r="P214" s="52" t="str">
        <x:f>IF(CaseLedger!$A214="","",IFERROR(CaseLedger!$C214,""))</x:f>
      </x:c>
      <x:c r="Q214" s="52" t="str">
        <x:f>IF(CaseLedger!$A214="","",IFERROR(CaseLedger!$D214,""))</x:f>
      </x:c>
      <x:c r="R214" s="52" t="str">
        <x:f>IF(CaseLedger!$A214="","",IFERROR(CaseLedger!$X214,""))</x:f>
      </x:c>
      <x:c r="S214" s="52" t="str">
        <x:f>IF(CaseLedger!$A214="","",IFERROR(CaseLedger!$Y214,""))</x:f>
      </x:c>
      <x:c r="T214" s="52" t="str">
        <x:f>IF(CaseLedger!$A214="","",IFERROR(CaseLedger!$Z214,""))</x:f>
      </x:c>
      <x:c r="U214" s="52" t="str">
        <x:f>IF(CaseLedger!$A214="","",IFERROR(CaseLedger!$AA214,""))</x:f>
      </x:c>
      <x:c r="V214" s="52" t="str">
        <x:f>IF(CaseLedger!$A214="","",IFERROR(CaseLedger!$AB214,""))</x:f>
      </x:c>
      <x:c r="W214" s="52" t="str">
        <x:f>IF(CaseLedger!$A214="","",IFERROR(CaseLedger!$AC214,""))</x:f>
      </x:c>
      <x:c r="X214" s="52" t="str">
        <x:f>IF(CaseLedger!$A214="","",IFERROR(CaseLedger!$AD214,""))</x:f>
      </x:c>
      <x:c r="Y214" s="52" t="str">
        <x:f>IF(CaseLedger!$A214="","",IFERROR(CaseLedger!$AE214,""))</x:f>
      </x:c>
      <x:c r="Z214" s="52" t="str">
        <x:f>IF(CaseLedger!$A214="","",IFERROR(CaseLedger!$AF214,""))</x:f>
      </x:c>
      <x:c r="AA214" s="52" t="str">
        <x:f>IF(CaseLedger!$A214="","",IFERROR(CaseLedger!$AG214,""))</x:f>
      </x:c>
      <x:c r="AB214" s="52" t="str">
        <x:f>IF(CaseLedger!$A214="","",IFERROR(CaseLedger!$AH214,""))</x:f>
      </x:c>
      <x:c r="AC214"/>
    </x:row>
    <x:row r="215">
      <x:c r="A215" s="52" t="str">
        <x:f>IF(CaseLedger!$A215="","",IFERROR(CaseLedger!$A215,""))</x:f>
      </x:c>
      <x:c r="B215" s="52" t="str">
        <x:f>IF(CaseLedger!$A215="","",IFERROR(CaseLedger!$H215,""))</x:f>
      </x:c>
      <x:c r="C215" s="52" t="str">
        <x:f>IF(CaseLedger!$A215="","",IFERROR(CaseLedger!$I215,""))</x:f>
      </x:c>
      <x:c r="D215" s="52" t="str">
        <x:f>IF(CaseLedger!$A215="","",IFERROR(CaseLedger!$J215,""))</x:f>
      </x:c>
      <x:c r="E215" s="52" t="str">
        <x:f>IF(CaseLedger!$A215="","",IFERROR(CaseLedger!$K215,""))</x:f>
      </x:c>
      <x:c r="F215" s="52" t="str">
        <x:f>IF(CaseLedger!$A215="","",IFERROR(CaseLedger!$O215,""))</x:f>
      </x:c>
      <x:c r="G215" s="52" t="str">
        <x:f>IF(CaseLedger!$A215="","",IFERROR(CaseLedger!$E215,""))</x:f>
      </x:c>
      <x:c r="H215" s="52" t="str">
        <x:f>IF(CaseLedger!$A215="","",IFERROR(CaseLedger!$P215,""))</x:f>
      </x:c>
      <x:c r="I215" s="52" t="str">
        <x:f>IF(CaseLedger!$A215="","",IFERROR(CaseLedger!$Q215,""))</x:f>
      </x:c>
      <x:c r="J215" s="52" t="str">
        <x:f>IF(CaseLedger!$A215="","",IFERROR(CaseLedger!$R215,""))</x:f>
      </x:c>
      <x:c r="K215" s="52" t="str">
        <x:f>IF(CaseLedger!$A215="","",IFERROR(CaseLedger!$S215,""))</x:f>
      </x:c>
      <x:c r="L215" s="52" t="str">
        <x:f>IF(CaseLedger!$A215="","",IFERROR(CaseLedger!$T215,""))</x:f>
      </x:c>
      <x:c r="M215" s="52" t="str">
        <x:f>IF(CaseLedger!$A215="","",IFERROR(CaseLedger!$U215,""))</x:f>
      </x:c>
      <x:c r="N215" s="52" t="str">
        <x:f>IF(CaseLedger!$A215="","",IFERROR(CaseLedger!$V215,""))</x:f>
      </x:c>
      <x:c r="O215" s="52" t="str">
        <x:f>IF(CaseLedger!$A215="","",IFERROR(CaseLedger!$W215,""))</x:f>
      </x:c>
      <x:c r="P215" s="52" t="str">
        <x:f>IF(CaseLedger!$A215="","",IFERROR(CaseLedger!$C215,""))</x:f>
      </x:c>
      <x:c r="Q215" s="52" t="str">
        <x:f>IF(CaseLedger!$A215="","",IFERROR(CaseLedger!$D215,""))</x:f>
      </x:c>
      <x:c r="R215" s="52" t="str">
        <x:f>IF(CaseLedger!$A215="","",IFERROR(CaseLedger!$X215,""))</x:f>
      </x:c>
      <x:c r="S215" s="52" t="str">
        <x:f>IF(CaseLedger!$A215="","",IFERROR(CaseLedger!$Y215,""))</x:f>
      </x:c>
      <x:c r="T215" s="52" t="str">
        <x:f>IF(CaseLedger!$A215="","",IFERROR(CaseLedger!$Z215,""))</x:f>
      </x:c>
      <x:c r="U215" s="52" t="str">
        <x:f>IF(CaseLedger!$A215="","",IFERROR(CaseLedger!$AA215,""))</x:f>
      </x:c>
      <x:c r="V215" s="52" t="str">
        <x:f>IF(CaseLedger!$A215="","",IFERROR(CaseLedger!$AB215,""))</x:f>
      </x:c>
      <x:c r="W215" s="52" t="str">
        <x:f>IF(CaseLedger!$A215="","",IFERROR(CaseLedger!$AC215,""))</x:f>
      </x:c>
      <x:c r="X215" s="52" t="str">
        <x:f>IF(CaseLedger!$A215="","",IFERROR(CaseLedger!$AD215,""))</x:f>
      </x:c>
      <x:c r="Y215" s="52" t="str">
        <x:f>IF(CaseLedger!$A215="","",IFERROR(CaseLedger!$AE215,""))</x:f>
      </x:c>
      <x:c r="Z215" s="52" t="str">
        <x:f>IF(CaseLedger!$A215="","",IFERROR(CaseLedger!$AF215,""))</x:f>
      </x:c>
      <x:c r="AA215" s="52" t="str">
        <x:f>IF(CaseLedger!$A215="","",IFERROR(CaseLedger!$AG215,""))</x:f>
      </x:c>
      <x:c r="AB215" s="52" t="str">
        <x:f>IF(CaseLedger!$A215="","",IFERROR(CaseLedger!$AH215,""))</x:f>
      </x:c>
      <x:c r="AC215"/>
    </x:row>
    <x:row r="216">
      <x:c r="A216" s="52" t="str">
        <x:f>IF(CaseLedger!$A216="","",IFERROR(CaseLedger!$A216,""))</x:f>
      </x:c>
      <x:c r="B216" s="52" t="str">
        <x:f>IF(CaseLedger!$A216="","",IFERROR(CaseLedger!$H216,""))</x:f>
      </x:c>
      <x:c r="C216" s="52" t="str">
        <x:f>IF(CaseLedger!$A216="","",IFERROR(CaseLedger!$I216,""))</x:f>
      </x:c>
      <x:c r="D216" s="52" t="str">
        <x:f>IF(CaseLedger!$A216="","",IFERROR(CaseLedger!$J216,""))</x:f>
      </x:c>
      <x:c r="E216" s="52" t="str">
        <x:f>IF(CaseLedger!$A216="","",IFERROR(CaseLedger!$K216,""))</x:f>
      </x:c>
      <x:c r="F216" s="52" t="str">
        <x:f>IF(CaseLedger!$A216="","",IFERROR(CaseLedger!$O216,""))</x:f>
      </x:c>
      <x:c r="G216" s="52" t="str">
        <x:f>IF(CaseLedger!$A216="","",IFERROR(CaseLedger!$E216,""))</x:f>
      </x:c>
      <x:c r="H216" s="52" t="str">
        <x:f>IF(CaseLedger!$A216="","",IFERROR(CaseLedger!$P216,""))</x:f>
      </x:c>
      <x:c r="I216" s="52" t="str">
        <x:f>IF(CaseLedger!$A216="","",IFERROR(CaseLedger!$Q216,""))</x:f>
      </x:c>
      <x:c r="J216" s="52" t="str">
        <x:f>IF(CaseLedger!$A216="","",IFERROR(CaseLedger!$R216,""))</x:f>
      </x:c>
      <x:c r="K216" s="52" t="str">
        <x:f>IF(CaseLedger!$A216="","",IFERROR(CaseLedger!$S216,""))</x:f>
      </x:c>
      <x:c r="L216" s="52" t="str">
        <x:f>IF(CaseLedger!$A216="","",IFERROR(CaseLedger!$T216,""))</x:f>
      </x:c>
      <x:c r="M216" s="52" t="str">
        <x:f>IF(CaseLedger!$A216="","",IFERROR(CaseLedger!$U216,""))</x:f>
      </x:c>
      <x:c r="N216" s="52" t="str">
        <x:f>IF(CaseLedger!$A216="","",IFERROR(CaseLedger!$V216,""))</x:f>
      </x:c>
      <x:c r="O216" s="52" t="str">
        <x:f>IF(CaseLedger!$A216="","",IFERROR(CaseLedger!$W216,""))</x:f>
      </x:c>
      <x:c r="P216" s="52" t="str">
        <x:f>IF(CaseLedger!$A216="","",IFERROR(CaseLedger!$C216,""))</x:f>
      </x:c>
      <x:c r="Q216" s="52" t="str">
        <x:f>IF(CaseLedger!$A216="","",IFERROR(CaseLedger!$D216,""))</x:f>
      </x:c>
      <x:c r="R216" s="52" t="str">
        <x:f>IF(CaseLedger!$A216="","",IFERROR(CaseLedger!$X216,""))</x:f>
      </x:c>
      <x:c r="S216" s="52" t="str">
        <x:f>IF(CaseLedger!$A216="","",IFERROR(CaseLedger!$Y216,""))</x:f>
      </x:c>
      <x:c r="T216" s="52" t="str">
        <x:f>IF(CaseLedger!$A216="","",IFERROR(CaseLedger!$Z216,""))</x:f>
      </x:c>
      <x:c r="U216" s="52" t="str">
        <x:f>IF(CaseLedger!$A216="","",IFERROR(CaseLedger!$AA216,""))</x:f>
      </x:c>
      <x:c r="V216" s="52" t="str">
        <x:f>IF(CaseLedger!$A216="","",IFERROR(CaseLedger!$AB216,""))</x:f>
      </x:c>
      <x:c r="W216" s="52" t="str">
        <x:f>IF(CaseLedger!$A216="","",IFERROR(CaseLedger!$AC216,""))</x:f>
      </x:c>
      <x:c r="X216" s="52" t="str">
        <x:f>IF(CaseLedger!$A216="","",IFERROR(CaseLedger!$AD216,""))</x:f>
      </x:c>
      <x:c r="Y216" s="52" t="str">
        <x:f>IF(CaseLedger!$A216="","",IFERROR(CaseLedger!$AE216,""))</x:f>
      </x:c>
      <x:c r="Z216" s="52" t="str">
        <x:f>IF(CaseLedger!$A216="","",IFERROR(CaseLedger!$AF216,""))</x:f>
      </x:c>
      <x:c r="AA216" s="52" t="str">
        <x:f>IF(CaseLedger!$A216="","",IFERROR(CaseLedger!$AG216,""))</x:f>
      </x:c>
      <x:c r="AB216" s="52" t="str">
        <x:f>IF(CaseLedger!$A216="","",IFERROR(CaseLedger!$AH216,""))</x:f>
      </x:c>
      <x:c r="AC216"/>
    </x:row>
    <x:row r="217">
      <x:c r="A217" s="52" t="str">
        <x:f>IF(CaseLedger!$A217="","",IFERROR(CaseLedger!$A217,""))</x:f>
      </x:c>
      <x:c r="B217" s="52" t="str">
        <x:f>IF(CaseLedger!$A217="","",IFERROR(CaseLedger!$H217,""))</x:f>
      </x:c>
      <x:c r="C217" s="52" t="str">
        <x:f>IF(CaseLedger!$A217="","",IFERROR(CaseLedger!$I217,""))</x:f>
      </x:c>
      <x:c r="D217" s="52" t="str">
        <x:f>IF(CaseLedger!$A217="","",IFERROR(CaseLedger!$J217,""))</x:f>
      </x:c>
      <x:c r="E217" s="52" t="str">
        <x:f>IF(CaseLedger!$A217="","",IFERROR(CaseLedger!$K217,""))</x:f>
      </x:c>
      <x:c r="F217" s="52" t="str">
        <x:f>IF(CaseLedger!$A217="","",IFERROR(CaseLedger!$O217,""))</x:f>
      </x:c>
      <x:c r="G217" s="52" t="str">
        <x:f>IF(CaseLedger!$A217="","",IFERROR(CaseLedger!$E217,""))</x:f>
      </x:c>
      <x:c r="H217" s="52" t="str">
        <x:f>IF(CaseLedger!$A217="","",IFERROR(CaseLedger!$P217,""))</x:f>
      </x:c>
      <x:c r="I217" s="52" t="str">
        <x:f>IF(CaseLedger!$A217="","",IFERROR(CaseLedger!$Q217,""))</x:f>
      </x:c>
      <x:c r="J217" s="52" t="str">
        <x:f>IF(CaseLedger!$A217="","",IFERROR(CaseLedger!$R217,""))</x:f>
      </x:c>
      <x:c r="K217" s="52" t="str">
        <x:f>IF(CaseLedger!$A217="","",IFERROR(CaseLedger!$S217,""))</x:f>
      </x:c>
      <x:c r="L217" s="52" t="str">
        <x:f>IF(CaseLedger!$A217="","",IFERROR(CaseLedger!$T217,""))</x:f>
      </x:c>
      <x:c r="M217" s="52" t="str">
        <x:f>IF(CaseLedger!$A217="","",IFERROR(CaseLedger!$U217,""))</x:f>
      </x:c>
      <x:c r="N217" s="52" t="str">
        <x:f>IF(CaseLedger!$A217="","",IFERROR(CaseLedger!$V217,""))</x:f>
      </x:c>
      <x:c r="O217" s="52" t="str">
        <x:f>IF(CaseLedger!$A217="","",IFERROR(CaseLedger!$W217,""))</x:f>
      </x:c>
      <x:c r="P217" s="52" t="str">
        <x:f>IF(CaseLedger!$A217="","",IFERROR(CaseLedger!$C217,""))</x:f>
      </x:c>
      <x:c r="Q217" s="52" t="str">
        <x:f>IF(CaseLedger!$A217="","",IFERROR(CaseLedger!$D217,""))</x:f>
      </x:c>
      <x:c r="R217" s="52" t="str">
        <x:f>IF(CaseLedger!$A217="","",IFERROR(CaseLedger!$X217,""))</x:f>
      </x:c>
      <x:c r="S217" s="52" t="str">
        <x:f>IF(CaseLedger!$A217="","",IFERROR(CaseLedger!$Y217,""))</x:f>
      </x:c>
      <x:c r="T217" s="52" t="str">
        <x:f>IF(CaseLedger!$A217="","",IFERROR(CaseLedger!$Z217,""))</x:f>
      </x:c>
      <x:c r="U217" s="52" t="str">
        <x:f>IF(CaseLedger!$A217="","",IFERROR(CaseLedger!$AA217,""))</x:f>
      </x:c>
      <x:c r="V217" s="52" t="str">
        <x:f>IF(CaseLedger!$A217="","",IFERROR(CaseLedger!$AB217,""))</x:f>
      </x:c>
      <x:c r="W217" s="52" t="str">
        <x:f>IF(CaseLedger!$A217="","",IFERROR(CaseLedger!$AC217,""))</x:f>
      </x:c>
      <x:c r="X217" s="52" t="str">
        <x:f>IF(CaseLedger!$A217="","",IFERROR(CaseLedger!$AD217,""))</x:f>
      </x:c>
      <x:c r="Y217" s="52" t="str">
        <x:f>IF(CaseLedger!$A217="","",IFERROR(CaseLedger!$AE217,""))</x:f>
      </x:c>
      <x:c r="Z217" s="52" t="str">
        <x:f>IF(CaseLedger!$A217="","",IFERROR(CaseLedger!$AF217,""))</x:f>
      </x:c>
      <x:c r="AA217" s="52" t="str">
        <x:f>IF(CaseLedger!$A217="","",IFERROR(CaseLedger!$AG217,""))</x:f>
      </x:c>
      <x:c r="AB217" s="52" t="str">
        <x:f>IF(CaseLedger!$A217="","",IFERROR(CaseLedger!$AH217,""))</x:f>
      </x:c>
      <x:c r="AC217"/>
    </x:row>
    <x:row r="218">
      <x:c r="A218" s="52" t="str">
        <x:f>IF(CaseLedger!$A218="","",IFERROR(CaseLedger!$A218,""))</x:f>
      </x:c>
      <x:c r="B218" s="52" t="str">
        <x:f>IF(CaseLedger!$A218="","",IFERROR(CaseLedger!$H218,""))</x:f>
      </x:c>
      <x:c r="C218" s="52" t="str">
        <x:f>IF(CaseLedger!$A218="","",IFERROR(CaseLedger!$I218,""))</x:f>
      </x:c>
      <x:c r="D218" s="52" t="str">
        <x:f>IF(CaseLedger!$A218="","",IFERROR(CaseLedger!$J218,""))</x:f>
      </x:c>
      <x:c r="E218" s="52" t="str">
        <x:f>IF(CaseLedger!$A218="","",IFERROR(CaseLedger!$K218,""))</x:f>
      </x:c>
      <x:c r="F218" s="52" t="str">
        <x:f>IF(CaseLedger!$A218="","",IFERROR(CaseLedger!$O218,""))</x:f>
      </x:c>
      <x:c r="G218" s="52" t="str">
        <x:f>IF(CaseLedger!$A218="","",IFERROR(CaseLedger!$E218,""))</x:f>
      </x:c>
      <x:c r="H218" s="52" t="str">
        <x:f>IF(CaseLedger!$A218="","",IFERROR(CaseLedger!$P218,""))</x:f>
      </x:c>
      <x:c r="I218" s="52" t="str">
        <x:f>IF(CaseLedger!$A218="","",IFERROR(CaseLedger!$Q218,""))</x:f>
      </x:c>
      <x:c r="J218" s="52" t="str">
        <x:f>IF(CaseLedger!$A218="","",IFERROR(CaseLedger!$R218,""))</x:f>
      </x:c>
      <x:c r="K218" s="52" t="str">
        <x:f>IF(CaseLedger!$A218="","",IFERROR(CaseLedger!$S218,""))</x:f>
      </x:c>
      <x:c r="L218" s="52" t="str">
        <x:f>IF(CaseLedger!$A218="","",IFERROR(CaseLedger!$T218,""))</x:f>
      </x:c>
      <x:c r="M218" s="52" t="str">
        <x:f>IF(CaseLedger!$A218="","",IFERROR(CaseLedger!$U218,""))</x:f>
      </x:c>
      <x:c r="N218" s="52" t="str">
        <x:f>IF(CaseLedger!$A218="","",IFERROR(CaseLedger!$V218,""))</x:f>
      </x:c>
      <x:c r="O218" s="52" t="str">
        <x:f>IF(CaseLedger!$A218="","",IFERROR(CaseLedger!$W218,""))</x:f>
      </x:c>
      <x:c r="P218" s="52" t="str">
        <x:f>IF(CaseLedger!$A218="","",IFERROR(CaseLedger!$C218,""))</x:f>
      </x:c>
      <x:c r="Q218" s="52" t="str">
        <x:f>IF(CaseLedger!$A218="","",IFERROR(CaseLedger!$D218,""))</x:f>
      </x:c>
      <x:c r="R218" s="52" t="str">
        <x:f>IF(CaseLedger!$A218="","",IFERROR(CaseLedger!$X218,""))</x:f>
      </x:c>
      <x:c r="S218" s="52" t="str">
        <x:f>IF(CaseLedger!$A218="","",IFERROR(CaseLedger!$Y218,""))</x:f>
      </x:c>
      <x:c r="T218" s="52" t="str">
        <x:f>IF(CaseLedger!$A218="","",IFERROR(CaseLedger!$Z218,""))</x:f>
      </x:c>
      <x:c r="U218" s="52" t="str">
        <x:f>IF(CaseLedger!$A218="","",IFERROR(CaseLedger!$AA218,""))</x:f>
      </x:c>
      <x:c r="V218" s="52" t="str">
        <x:f>IF(CaseLedger!$A218="","",IFERROR(CaseLedger!$AB218,""))</x:f>
      </x:c>
      <x:c r="W218" s="52" t="str">
        <x:f>IF(CaseLedger!$A218="","",IFERROR(CaseLedger!$AC218,""))</x:f>
      </x:c>
      <x:c r="X218" s="52" t="str">
        <x:f>IF(CaseLedger!$A218="","",IFERROR(CaseLedger!$AD218,""))</x:f>
      </x:c>
      <x:c r="Y218" s="52" t="str">
        <x:f>IF(CaseLedger!$A218="","",IFERROR(CaseLedger!$AE218,""))</x:f>
      </x:c>
      <x:c r="Z218" s="52" t="str">
        <x:f>IF(CaseLedger!$A218="","",IFERROR(CaseLedger!$AF218,""))</x:f>
      </x:c>
      <x:c r="AA218" s="52" t="str">
        <x:f>IF(CaseLedger!$A218="","",IFERROR(CaseLedger!$AG218,""))</x:f>
      </x:c>
      <x:c r="AB218" s="52" t="str">
        <x:f>IF(CaseLedger!$A218="","",IFERROR(CaseLedger!$AH218,""))</x:f>
      </x:c>
      <x:c r="AC218"/>
    </x:row>
    <x:row r="219">
      <x:c r="A219" s="52" t="str">
        <x:f>IF(CaseLedger!$A219="","",IFERROR(CaseLedger!$A219,""))</x:f>
      </x:c>
      <x:c r="B219" s="52" t="str">
        <x:f>IF(CaseLedger!$A219="","",IFERROR(CaseLedger!$H219,""))</x:f>
      </x:c>
      <x:c r="C219" s="52" t="str">
        <x:f>IF(CaseLedger!$A219="","",IFERROR(CaseLedger!$I219,""))</x:f>
      </x:c>
      <x:c r="D219" s="52" t="str">
        <x:f>IF(CaseLedger!$A219="","",IFERROR(CaseLedger!$J219,""))</x:f>
      </x:c>
      <x:c r="E219" s="52" t="str">
        <x:f>IF(CaseLedger!$A219="","",IFERROR(CaseLedger!$K219,""))</x:f>
      </x:c>
      <x:c r="F219" s="52" t="str">
        <x:f>IF(CaseLedger!$A219="","",IFERROR(CaseLedger!$O219,""))</x:f>
      </x:c>
      <x:c r="G219" s="52" t="str">
        <x:f>IF(CaseLedger!$A219="","",IFERROR(CaseLedger!$E219,""))</x:f>
      </x:c>
      <x:c r="H219" s="52" t="str">
        <x:f>IF(CaseLedger!$A219="","",IFERROR(CaseLedger!$P219,""))</x:f>
      </x:c>
      <x:c r="I219" s="52" t="str">
        <x:f>IF(CaseLedger!$A219="","",IFERROR(CaseLedger!$Q219,""))</x:f>
      </x:c>
      <x:c r="J219" s="52" t="str">
        <x:f>IF(CaseLedger!$A219="","",IFERROR(CaseLedger!$R219,""))</x:f>
      </x:c>
      <x:c r="K219" s="52" t="str">
        <x:f>IF(CaseLedger!$A219="","",IFERROR(CaseLedger!$S219,""))</x:f>
      </x:c>
      <x:c r="L219" s="52" t="str">
        <x:f>IF(CaseLedger!$A219="","",IFERROR(CaseLedger!$T219,""))</x:f>
      </x:c>
      <x:c r="M219" s="52" t="str">
        <x:f>IF(CaseLedger!$A219="","",IFERROR(CaseLedger!$U219,""))</x:f>
      </x:c>
      <x:c r="N219" s="52" t="str">
        <x:f>IF(CaseLedger!$A219="","",IFERROR(CaseLedger!$V219,""))</x:f>
      </x:c>
      <x:c r="O219" s="52" t="str">
        <x:f>IF(CaseLedger!$A219="","",IFERROR(CaseLedger!$W219,""))</x:f>
      </x:c>
      <x:c r="P219" s="52" t="str">
        <x:f>IF(CaseLedger!$A219="","",IFERROR(CaseLedger!$C219,""))</x:f>
      </x:c>
      <x:c r="Q219" s="52" t="str">
        <x:f>IF(CaseLedger!$A219="","",IFERROR(CaseLedger!$D219,""))</x:f>
      </x:c>
      <x:c r="R219" s="52" t="str">
        <x:f>IF(CaseLedger!$A219="","",IFERROR(CaseLedger!$X219,""))</x:f>
      </x:c>
      <x:c r="S219" s="52" t="str">
        <x:f>IF(CaseLedger!$A219="","",IFERROR(CaseLedger!$Y219,""))</x:f>
      </x:c>
      <x:c r="T219" s="52" t="str">
        <x:f>IF(CaseLedger!$A219="","",IFERROR(CaseLedger!$Z219,""))</x:f>
      </x:c>
      <x:c r="U219" s="52" t="str">
        <x:f>IF(CaseLedger!$A219="","",IFERROR(CaseLedger!$AA219,""))</x:f>
      </x:c>
      <x:c r="V219" s="52" t="str">
        <x:f>IF(CaseLedger!$A219="","",IFERROR(CaseLedger!$AB219,""))</x:f>
      </x:c>
      <x:c r="W219" s="52" t="str">
        <x:f>IF(CaseLedger!$A219="","",IFERROR(CaseLedger!$AC219,""))</x:f>
      </x:c>
      <x:c r="X219" s="52" t="str">
        <x:f>IF(CaseLedger!$A219="","",IFERROR(CaseLedger!$AD219,""))</x:f>
      </x:c>
      <x:c r="Y219" s="52" t="str">
        <x:f>IF(CaseLedger!$A219="","",IFERROR(CaseLedger!$AE219,""))</x:f>
      </x:c>
      <x:c r="Z219" s="52" t="str">
        <x:f>IF(CaseLedger!$A219="","",IFERROR(CaseLedger!$AF219,""))</x:f>
      </x:c>
      <x:c r="AA219" s="52" t="str">
        <x:f>IF(CaseLedger!$A219="","",IFERROR(CaseLedger!$AG219,""))</x:f>
      </x:c>
      <x:c r="AB219" s="52" t="str">
        <x:f>IF(CaseLedger!$A219="","",IFERROR(CaseLedger!$AH219,""))</x:f>
      </x:c>
      <x:c r="AC219"/>
    </x:row>
    <x:row r="220">
      <x:c r="A220" s="52" t="str">
        <x:f>IF(CaseLedger!$A220="","",IFERROR(CaseLedger!$A220,""))</x:f>
      </x:c>
      <x:c r="B220" s="52" t="str">
        <x:f>IF(CaseLedger!$A220="","",IFERROR(CaseLedger!$H220,""))</x:f>
      </x:c>
      <x:c r="C220" s="52" t="str">
        <x:f>IF(CaseLedger!$A220="","",IFERROR(CaseLedger!$I220,""))</x:f>
      </x:c>
      <x:c r="D220" s="52" t="str">
        <x:f>IF(CaseLedger!$A220="","",IFERROR(CaseLedger!$J220,""))</x:f>
      </x:c>
      <x:c r="E220" s="52" t="str">
        <x:f>IF(CaseLedger!$A220="","",IFERROR(CaseLedger!$K220,""))</x:f>
      </x:c>
      <x:c r="F220" s="52" t="str">
        <x:f>IF(CaseLedger!$A220="","",IFERROR(CaseLedger!$O220,""))</x:f>
      </x:c>
      <x:c r="G220" s="52" t="str">
        <x:f>IF(CaseLedger!$A220="","",IFERROR(CaseLedger!$E220,""))</x:f>
      </x:c>
      <x:c r="H220" s="52" t="str">
        <x:f>IF(CaseLedger!$A220="","",IFERROR(CaseLedger!$P220,""))</x:f>
      </x:c>
      <x:c r="I220" s="52" t="str">
        <x:f>IF(CaseLedger!$A220="","",IFERROR(CaseLedger!$Q220,""))</x:f>
      </x:c>
      <x:c r="J220" s="52" t="str">
        <x:f>IF(CaseLedger!$A220="","",IFERROR(CaseLedger!$R220,""))</x:f>
      </x:c>
      <x:c r="K220" s="52" t="str">
        <x:f>IF(CaseLedger!$A220="","",IFERROR(CaseLedger!$S220,""))</x:f>
      </x:c>
      <x:c r="L220" s="52" t="str">
        <x:f>IF(CaseLedger!$A220="","",IFERROR(CaseLedger!$T220,""))</x:f>
      </x:c>
      <x:c r="M220" s="52" t="str">
        <x:f>IF(CaseLedger!$A220="","",IFERROR(CaseLedger!$U220,""))</x:f>
      </x:c>
      <x:c r="N220" s="52" t="str">
        <x:f>IF(CaseLedger!$A220="","",IFERROR(CaseLedger!$V220,""))</x:f>
      </x:c>
      <x:c r="O220" s="52" t="str">
        <x:f>IF(CaseLedger!$A220="","",IFERROR(CaseLedger!$W220,""))</x:f>
      </x:c>
      <x:c r="P220" s="52" t="str">
        <x:f>IF(CaseLedger!$A220="","",IFERROR(CaseLedger!$C220,""))</x:f>
      </x:c>
      <x:c r="Q220" s="52" t="str">
        <x:f>IF(CaseLedger!$A220="","",IFERROR(CaseLedger!$D220,""))</x:f>
      </x:c>
      <x:c r="R220" s="52" t="str">
        <x:f>IF(CaseLedger!$A220="","",IFERROR(CaseLedger!$X220,""))</x:f>
      </x:c>
      <x:c r="S220" s="52" t="str">
        <x:f>IF(CaseLedger!$A220="","",IFERROR(CaseLedger!$Y220,""))</x:f>
      </x:c>
      <x:c r="T220" s="52" t="str">
        <x:f>IF(CaseLedger!$A220="","",IFERROR(CaseLedger!$Z220,""))</x:f>
      </x:c>
      <x:c r="U220" s="52" t="str">
        <x:f>IF(CaseLedger!$A220="","",IFERROR(CaseLedger!$AA220,""))</x:f>
      </x:c>
      <x:c r="V220" s="52" t="str">
        <x:f>IF(CaseLedger!$A220="","",IFERROR(CaseLedger!$AB220,""))</x:f>
      </x:c>
      <x:c r="W220" s="52" t="str">
        <x:f>IF(CaseLedger!$A220="","",IFERROR(CaseLedger!$AC220,""))</x:f>
      </x:c>
      <x:c r="X220" s="52" t="str">
        <x:f>IF(CaseLedger!$A220="","",IFERROR(CaseLedger!$AD220,""))</x:f>
      </x:c>
      <x:c r="Y220" s="52" t="str">
        <x:f>IF(CaseLedger!$A220="","",IFERROR(CaseLedger!$AE220,""))</x:f>
      </x:c>
      <x:c r="Z220" s="52" t="str">
        <x:f>IF(CaseLedger!$A220="","",IFERROR(CaseLedger!$AF220,""))</x:f>
      </x:c>
      <x:c r="AA220" s="52" t="str">
        <x:f>IF(CaseLedger!$A220="","",IFERROR(CaseLedger!$AG220,""))</x:f>
      </x:c>
      <x:c r="AB220" s="52" t="str">
        <x:f>IF(CaseLedger!$A220="","",IFERROR(CaseLedger!$AH220,""))</x:f>
      </x:c>
      <x:c r="AC220"/>
    </x:row>
    <x:row r="221">
      <x:c r="A221" s="52" t="str">
        <x:f>IF(CaseLedger!$A221="","",IFERROR(CaseLedger!$A221,""))</x:f>
      </x:c>
      <x:c r="B221" s="52" t="str">
        <x:f>IF(CaseLedger!$A221="","",IFERROR(CaseLedger!$H221,""))</x:f>
      </x:c>
      <x:c r="C221" s="52" t="str">
        <x:f>IF(CaseLedger!$A221="","",IFERROR(CaseLedger!$I221,""))</x:f>
      </x:c>
      <x:c r="D221" s="52" t="str">
        <x:f>IF(CaseLedger!$A221="","",IFERROR(CaseLedger!$J221,""))</x:f>
      </x:c>
      <x:c r="E221" s="52" t="str">
        <x:f>IF(CaseLedger!$A221="","",IFERROR(CaseLedger!$K221,""))</x:f>
      </x:c>
      <x:c r="F221" s="52" t="str">
        <x:f>IF(CaseLedger!$A221="","",IFERROR(CaseLedger!$O221,""))</x:f>
      </x:c>
      <x:c r="G221" s="52" t="str">
        <x:f>IF(CaseLedger!$A221="","",IFERROR(CaseLedger!$E221,""))</x:f>
      </x:c>
      <x:c r="H221" s="52" t="str">
        <x:f>IF(CaseLedger!$A221="","",IFERROR(CaseLedger!$P221,""))</x:f>
      </x:c>
      <x:c r="I221" s="52" t="str">
        <x:f>IF(CaseLedger!$A221="","",IFERROR(CaseLedger!$Q221,""))</x:f>
      </x:c>
      <x:c r="J221" s="52" t="str">
        <x:f>IF(CaseLedger!$A221="","",IFERROR(CaseLedger!$R221,""))</x:f>
      </x:c>
      <x:c r="K221" s="52" t="str">
        <x:f>IF(CaseLedger!$A221="","",IFERROR(CaseLedger!$S221,""))</x:f>
      </x:c>
      <x:c r="L221" s="52" t="str">
        <x:f>IF(CaseLedger!$A221="","",IFERROR(CaseLedger!$T221,""))</x:f>
      </x:c>
      <x:c r="M221" s="52" t="str">
        <x:f>IF(CaseLedger!$A221="","",IFERROR(CaseLedger!$U221,""))</x:f>
      </x:c>
      <x:c r="N221" s="52" t="str">
        <x:f>IF(CaseLedger!$A221="","",IFERROR(CaseLedger!$V221,""))</x:f>
      </x:c>
      <x:c r="O221" s="52" t="str">
        <x:f>IF(CaseLedger!$A221="","",IFERROR(CaseLedger!$W221,""))</x:f>
      </x:c>
      <x:c r="P221" s="52" t="str">
        <x:f>IF(CaseLedger!$A221="","",IFERROR(CaseLedger!$C221,""))</x:f>
      </x:c>
      <x:c r="Q221" s="52" t="str">
        <x:f>IF(CaseLedger!$A221="","",IFERROR(CaseLedger!$D221,""))</x:f>
      </x:c>
      <x:c r="R221" s="52" t="str">
        <x:f>IF(CaseLedger!$A221="","",IFERROR(CaseLedger!$X221,""))</x:f>
      </x:c>
      <x:c r="S221" s="52" t="str">
        <x:f>IF(CaseLedger!$A221="","",IFERROR(CaseLedger!$Y221,""))</x:f>
      </x:c>
      <x:c r="T221" s="52" t="str">
        <x:f>IF(CaseLedger!$A221="","",IFERROR(CaseLedger!$Z221,""))</x:f>
      </x:c>
      <x:c r="U221" s="52" t="str">
        <x:f>IF(CaseLedger!$A221="","",IFERROR(CaseLedger!$AA221,""))</x:f>
      </x:c>
      <x:c r="V221" s="52" t="str">
        <x:f>IF(CaseLedger!$A221="","",IFERROR(CaseLedger!$AB221,""))</x:f>
      </x:c>
      <x:c r="W221" s="52" t="str">
        <x:f>IF(CaseLedger!$A221="","",IFERROR(CaseLedger!$AC221,""))</x:f>
      </x:c>
      <x:c r="X221" s="52" t="str">
        <x:f>IF(CaseLedger!$A221="","",IFERROR(CaseLedger!$AD221,""))</x:f>
      </x:c>
      <x:c r="Y221" s="52" t="str">
        <x:f>IF(CaseLedger!$A221="","",IFERROR(CaseLedger!$AE221,""))</x:f>
      </x:c>
      <x:c r="Z221" s="52" t="str">
        <x:f>IF(CaseLedger!$A221="","",IFERROR(CaseLedger!$AF221,""))</x:f>
      </x:c>
      <x:c r="AA221" s="52" t="str">
        <x:f>IF(CaseLedger!$A221="","",IFERROR(CaseLedger!$AG221,""))</x:f>
      </x:c>
      <x:c r="AB221" s="52" t="str">
        <x:f>IF(CaseLedger!$A221="","",IFERROR(CaseLedger!$AH221,""))</x:f>
      </x:c>
      <x:c r="AC221"/>
    </x:row>
    <x:row r="222">
      <x:c r="A222" s="52" t="str">
        <x:f>IF(CaseLedger!$A222="","",IFERROR(CaseLedger!$A222,""))</x:f>
      </x:c>
      <x:c r="B222" s="52" t="str">
        <x:f>IF(CaseLedger!$A222="","",IFERROR(CaseLedger!$H222,""))</x:f>
      </x:c>
      <x:c r="C222" s="52" t="str">
        <x:f>IF(CaseLedger!$A222="","",IFERROR(CaseLedger!$I222,""))</x:f>
      </x:c>
      <x:c r="D222" s="52" t="str">
        <x:f>IF(CaseLedger!$A222="","",IFERROR(CaseLedger!$J222,""))</x:f>
      </x:c>
      <x:c r="E222" s="52" t="str">
        <x:f>IF(CaseLedger!$A222="","",IFERROR(CaseLedger!$K222,""))</x:f>
      </x:c>
      <x:c r="F222" s="52" t="str">
        <x:f>IF(CaseLedger!$A222="","",IFERROR(CaseLedger!$O222,""))</x:f>
      </x:c>
      <x:c r="G222" s="52" t="str">
        <x:f>IF(CaseLedger!$A222="","",IFERROR(CaseLedger!$E222,""))</x:f>
      </x:c>
      <x:c r="H222" s="52" t="str">
        <x:f>IF(CaseLedger!$A222="","",IFERROR(CaseLedger!$P222,""))</x:f>
      </x:c>
      <x:c r="I222" s="52" t="str">
        <x:f>IF(CaseLedger!$A222="","",IFERROR(CaseLedger!$Q222,""))</x:f>
      </x:c>
      <x:c r="J222" s="52" t="str">
        <x:f>IF(CaseLedger!$A222="","",IFERROR(CaseLedger!$R222,""))</x:f>
      </x:c>
      <x:c r="K222" s="52" t="str">
        <x:f>IF(CaseLedger!$A222="","",IFERROR(CaseLedger!$S222,""))</x:f>
      </x:c>
      <x:c r="L222" s="52" t="str">
        <x:f>IF(CaseLedger!$A222="","",IFERROR(CaseLedger!$T222,""))</x:f>
      </x:c>
      <x:c r="M222" s="52" t="str">
        <x:f>IF(CaseLedger!$A222="","",IFERROR(CaseLedger!$U222,""))</x:f>
      </x:c>
      <x:c r="N222" s="52" t="str">
        <x:f>IF(CaseLedger!$A222="","",IFERROR(CaseLedger!$V222,""))</x:f>
      </x:c>
      <x:c r="O222" s="52" t="str">
        <x:f>IF(CaseLedger!$A222="","",IFERROR(CaseLedger!$W222,""))</x:f>
      </x:c>
      <x:c r="P222" s="52" t="str">
        <x:f>IF(CaseLedger!$A222="","",IFERROR(CaseLedger!$C222,""))</x:f>
      </x:c>
      <x:c r="Q222" s="52" t="str">
        <x:f>IF(CaseLedger!$A222="","",IFERROR(CaseLedger!$D222,""))</x:f>
      </x:c>
      <x:c r="R222" s="52" t="str">
        <x:f>IF(CaseLedger!$A222="","",IFERROR(CaseLedger!$X222,""))</x:f>
      </x:c>
      <x:c r="S222" s="52" t="str">
        <x:f>IF(CaseLedger!$A222="","",IFERROR(CaseLedger!$Y222,""))</x:f>
      </x:c>
      <x:c r="T222" s="52" t="str">
        <x:f>IF(CaseLedger!$A222="","",IFERROR(CaseLedger!$Z222,""))</x:f>
      </x:c>
      <x:c r="U222" s="52" t="str">
        <x:f>IF(CaseLedger!$A222="","",IFERROR(CaseLedger!$AA222,""))</x:f>
      </x:c>
      <x:c r="V222" s="52" t="str">
        <x:f>IF(CaseLedger!$A222="","",IFERROR(CaseLedger!$AB222,""))</x:f>
      </x:c>
      <x:c r="W222" s="52" t="str">
        <x:f>IF(CaseLedger!$A222="","",IFERROR(CaseLedger!$AC222,""))</x:f>
      </x:c>
      <x:c r="X222" s="52" t="str">
        <x:f>IF(CaseLedger!$A222="","",IFERROR(CaseLedger!$AD222,""))</x:f>
      </x:c>
      <x:c r="Y222" s="52" t="str">
        <x:f>IF(CaseLedger!$A222="","",IFERROR(CaseLedger!$AE222,""))</x:f>
      </x:c>
      <x:c r="Z222" s="52" t="str">
        <x:f>IF(CaseLedger!$A222="","",IFERROR(CaseLedger!$AF222,""))</x:f>
      </x:c>
      <x:c r="AA222" s="52" t="str">
        <x:f>IF(CaseLedger!$A222="","",IFERROR(CaseLedger!$AG222,""))</x:f>
      </x:c>
      <x:c r="AB222" s="52" t="str">
        <x:f>IF(CaseLedger!$A222="","",IFERROR(CaseLedger!$AH222,""))</x:f>
      </x:c>
      <x:c r="AC222"/>
    </x:row>
    <x:row r="223">
      <x:c r="A223" s="52" t="str">
        <x:f>IF(CaseLedger!$A223="","",IFERROR(CaseLedger!$A223,""))</x:f>
      </x:c>
      <x:c r="B223" s="52" t="str">
        <x:f>IF(CaseLedger!$A223="","",IFERROR(CaseLedger!$H223,""))</x:f>
      </x:c>
      <x:c r="C223" s="52" t="str">
        <x:f>IF(CaseLedger!$A223="","",IFERROR(CaseLedger!$I223,""))</x:f>
      </x:c>
      <x:c r="D223" s="52" t="str">
        <x:f>IF(CaseLedger!$A223="","",IFERROR(CaseLedger!$J223,""))</x:f>
      </x:c>
      <x:c r="E223" s="52" t="str">
        <x:f>IF(CaseLedger!$A223="","",IFERROR(CaseLedger!$K223,""))</x:f>
      </x:c>
      <x:c r="F223" s="52" t="str">
        <x:f>IF(CaseLedger!$A223="","",IFERROR(CaseLedger!$O223,""))</x:f>
      </x:c>
      <x:c r="G223" s="52" t="str">
        <x:f>IF(CaseLedger!$A223="","",IFERROR(CaseLedger!$E223,""))</x:f>
      </x:c>
      <x:c r="H223" s="52" t="str">
        <x:f>IF(CaseLedger!$A223="","",IFERROR(CaseLedger!$P223,""))</x:f>
      </x:c>
      <x:c r="I223" s="52" t="str">
        <x:f>IF(CaseLedger!$A223="","",IFERROR(CaseLedger!$Q223,""))</x:f>
      </x:c>
      <x:c r="J223" s="52" t="str">
        <x:f>IF(CaseLedger!$A223="","",IFERROR(CaseLedger!$R223,""))</x:f>
      </x:c>
      <x:c r="K223" s="52" t="str">
        <x:f>IF(CaseLedger!$A223="","",IFERROR(CaseLedger!$S223,""))</x:f>
      </x:c>
      <x:c r="L223" s="52" t="str">
        <x:f>IF(CaseLedger!$A223="","",IFERROR(CaseLedger!$T223,""))</x:f>
      </x:c>
      <x:c r="M223" s="52" t="str">
        <x:f>IF(CaseLedger!$A223="","",IFERROR(CaseLedger!$U223,""))</x:f>
      </x:c>
      <x:c r="N223" s="52" t="str">
        <x:f>IF(CaseLedger!$A223="","",IFERROR(CaseLedger!$V223,""))</x:f>
      </x:c>
      <x:c r="O223" s="52" t="str">
        <x:f>IF(CaseLedger!$A223="","",IFERROR(CaseLedger!$W223,""))</x:f>
      </x:c>
      <x:c r="P223" s="52" t="str">
        <x:f>IF(CaseLedger!$A223="","",IFERROR(CaseLedger!$C223,""))</x:f>
      </x:c>
      <x:c r="Q223" s="52" t="str">
        <x:f>IF(CaseLedger!$A223="","",IFERROR(CaseLedger!$D223,""))</x:f>
      </x:c>
      <x:c r="R223" s="52" t="str">
        <x:f>IF(CaseLedger!$A223="","",IFERROR(CaseLedger!$X223,""))</x:f>
      </x:c>
      <x:c r="S223" s="52" t="str">
        <x:f>IF(CaseLedger!$A223="","",IFERROR(CaseLedger!$Y223,""))</x:f>
      </x:c>
      <x:c r="T223" s="52" t="str">
        <x:f>IF(CaseLedger!$A223="","",IFERROR(CaseLedger!$Z223,""))</x:f>
      </x:c>
      <x:c r="U223" s="52" t="str">
        <x:f>IF(CaseLedger!$A223="","",IFERROR(CaseLedger!$AA223,""))</x:f>
      </x:c>
      <x:c r="V223" s="52" t="str">
        <x:f>IF(CaseLedger!$A223="","",IFERROR(CaseLedger!$AB223,""))</x:f>
      </x:c>
      <x:c r="W223" s="52" t="str">
        <x:f>IF(CaseLedger!$A223="","",IFERROR(CaseLedger!$AC223,""))</x:f>
      </x:c>
      <x:c r="X223" s="52" t="str">
        <x:f>IF(CaseLedger!$A223="","",IFERROR(CaseLedger!$AD223,""))</x:f>
      </x:c>
      <x:c r="Y223" s="52" t="str">
        <x:f>IF(CaseLedger!$A223="","",IFERROR(CaseLedger!$AE223,""))</x:f>
      </x:c>
      <x:c r="Z223" s="52" t="str">
        <x:f>IF(CaseLedger!$A223="","",IFERROR(CaseLedger!$AF223,""))</x:f>
      </x:c>
      <x:c r="AA223" s="52" t="str">
        <x:f>IF(CaseLedger!$A223="","",IFERROR(CaseLedger!$AG223,""))</x:f>
      </x:c>
      <x:c r="AB223" s="52" t="str">
        <x:f>IF(CaseLedger!$A223="","",IFERROR(CaseLedger!$AH223,""))</x:f>
      </x:c>
      <x:c r="AC223"/>
    </x:row>
    <x:row r="224">
      <x:c r="A224" s="52" t="str">
        <x:f>IF(CaseLedger!$A224="","",IFERROR(CaseLedger!$A224,""))</x:f>
      </x:c>
      <x:c r="B224" s="52" t="str">
        <x:f>IF(CaseLedger!$A224="","",IFERROR(CaseLedger!$H224,""))</x:f>
      </x:c>
      <x:c r="C224" s="52" t="str">
        <x:f>IF(CaseLedger!$A224="","",IFERROR(CaseLedger!$I224,""))</x:f>
      </x:c>
      <x:c r="D224" s="52" t="str">
        <x:f>IF(CaseLedger!$A224="","",IFERROR(CaseLedger!$J224,""))</x:f>
      </x:c>
      <x:c r="E224" s="52" t="str">
        <x:f>IF(CaseLedger!$A224="","",IFERROR(CaseLedger!$K224,""))</x:f>
      </x:c>
      <x:c r="F224" s="52" t="str">
        <x:f>IF(CaseLedger!$A224="","",IFERROR(CaseLedger!$O224,""))</x:f>
      </x:c>
      <x:c r="G224" s="52" t="str">
        <x:f>IF(CaseLedger!$A224="","",IFERROR(CaseLedger!$E224,""))</x:f>
      </x:c>
      <x:c r="H224" s="52" t="str">
        <x:f>IF(CaseLedger!$A224="","",IFERROR(CaseLedger!$P224,""))</x:f>
      </x:c>
      <x:c r="I224" s="52" t="str">
        <x:f>IF(CaseLedger!$A224="","",IFERROR(CaseLedger!$Q224,""))</x:f>
      </x:c>
      <x:c r="J224" s="52" t="str">
        <x:f>IF(CaseLedger!$A224="","",IFERROR(CaseLedger!$R224,""))</x:f>
      </x:c>
      <x:c r="K224" s="52" t="str">
        <x:f>IF(CaseLedger!$A224="","",IFERROR(CaseLedger!$S224,""))</x:f>
      </x:c>
      <x:c r="L224" s="52" t="str">
        <x:f>IF(CaseLedger!$A224="","",IFERROR(CaseLedger!$T224,""))</x:f>
      </x:c>
      <x:c r="M224" s="52" t="str">
        <x:f>IF(CaseLedger!$A224="","",IFERROR(CaseLedger!$U224,""))</x:f>
      </x:c>
      <x:c r="N224" s="52" t="str">
        <x:f>IF(CaseLedger!$A224="","",IFERROR(CaseLedger!$V224,""))</x:f>
      </x:c>
      <x:c r="O224" s="52" t="str">
        <x:f>IF(CaseLedger!$A224="","",IFERROR(CaseLedger!$W224,""))</x:f>
      </x:c>
      <x:c r="P224" s="52" t="str">
        <x:f>IF(CaseLedger!$A224="","",IFERROR(CaseLedger!$C224,""))</x:f>
      </x:c>
      <x:c r="Q224" s="52" t="str">
        <x:f>IF(CaseLedger!$A224="","",IFERROR(CaseLedger!$D224,""))</x:f>
      </x:c>
      <x:c r="R224" s="52" t="str">
        <x:f>IF(CaseLedger!$A224="","",IFERROR(CaseLedger!$X224,""))</x:f>
      </x:c>
      <x:c r="S224" s="52" t="str">
        <x:f>IF(CaseLedger!$A224="","",IFERROR(CaseLedger!$Y224,""))</x:f>
      </x:c>
      <x:c r="T224" s="52" t="str">
        <x:f>IF(CaseLedger!$A224="","",IFERROR(CaseLedger!$Z224,""))</x:f>
      </x:c>
      <x:c r="U224" s="52" t="str">
        <x:f>IF(CaseLedger!$A224="","",IFERROR(CaseLedger!$AA224,""))</x:f>
      </x:c>
      <x:c r="V224" s="52" t="str">
        <x:f>IF(CaseLedger!$A224="","",IFERROR(CaseLedger!$AB224,""))</x:f>
      </x:c>
      <x:c r="W224" s="52" t="str">
        <x:f>IF(CaseLedger!$A224="","",IFERROR(CaseLedger!$AC224,""))</x:f>
      </x:c>
      <x:c r="X224" s="52" t="str">
        <x:f>IF(CaseLedger!$A224="","",IFERROR(CaseLedger!$AD224,""))</x:f>
      </x:c>
      <x:c r="Y224" s="52" t="str">
        <x:f>IF(CaseLedger!$A224="","",IFERROR(CaseLedger!$AE224,""))</x:f>
      </x:c>
      <x:c r="Z224" s="52" t="str">
        <x:f>IF(CaseLedger!$A224="","",IFERROR(CaseLedger!$AF224,""))</x:f>
      </x:c>
      <x:c r="AA224" s="52" t="str">
        <x:f>IF(CaseLedger!$A224="","",IFERROR(CaseLedger!$AG224,""))</x:f>
      </x:c>
      <x:c r="AB224" s="52" t="str">
        <x:f>IF(CaseLedger!$A224="","",IFERROR(CaseLedger!$AH224,""))</x:f>
      </x:c>
      <x:c r="AC224"/>
    </x:row>
    <x:row r="225">
      <x:c r="A225" s="52" t="str">
        <x:f>IF(CaseLedger!$A225="","",IFERROR(CaseLedger!$A225,""))</x:f>
      </x:c>
      <x:c r="B225" s="52" t="str">
        <x:f>IF(CaseLedger!$A225="","",IFERROR(CaseLedger!$H225,""))</x:f>
      </x:c>
      <x:c r="C225" s="52" t="str">
        <x:f>IF(CaseLedger!$A225="","",IFERROR(CaseLedger!$I225,""))</x:f>
      </x:c>
      <x:c r="D225" s="52" t="str">
        <x:f>IF(CaseLedger!$A225="","",IFERROR(CaseLedger!$J225,""))</x:f>
      </x:c>
      <x:c r="E225" s="52" t="str">
        <x:f>IF(CaseLedger!$A225="","",IFERROR(CaseLedger!$K225,""))</x:f>
      </x:c>
      <x:c r="F225" s="52" t="str">
        <x:f>IF(CaseLedger!$A225="","",IFERROR(CaseLedger!$O225,""))</x:f>
      </x:c>
      <x:c r="G225" s="52" t="str">
        <x:f>IF(CaseLedger!$A225="","",IFERROR(CaseLedger!$E225,""))</x:f>
      </x:c>
      <x:c r="H225" s="52" t="str">
        <x:f>IF(CaseLedger!$A225="","",IFERROR(CaseLedger!$P225,""))</x:f>
      </x:c>
      <x:c r="I225" s="52" t="str">
        <x:f>IF(CaseLedger!$A225="","",IFERROR(CaseLedger!$Q225,""))</x:f>
      </x:c>
      <x:c r="J225" s="52" t="str">
        <x:f>IF(CaseLedger!$A225="","",IFERROR(CaseLedger!$R225,""))</x:f>
      </x:c>
      <x:c r="K225" s="52" t="str">
        <x:f>IF(CaseLedger!$A225="","",IFERROR(CaseLedger!$S225,""))</x:f>
      </x:c>
      <x:c r="L225" s="52" t="str">
        <x:f>IF(CaseLedger!$A225="","",IFERROR(CaseLedger!$T225,""))</x:f>
      </x:c>
      <x:c r="M225" s="52" t="str">
        <x:f>IF(CaseLedger!$A225="","",IFERROR(CaseLedger!$U225,""))</x:f>
      </x:c>
      <x:c r="N225" s="52" t="str">
        <x:f>IF(CaseLedger!$A225="","",IFERROR(CaseLedger!$V225,""))</x:f>
      </x:c>
      <x:c r="O225" s="52" t="str">
        <x:f>IF(CaseLedger!$A225="","",IFERROR(CaseLedger!$W225,""))</x:f>
      </x:c>
      <x:c r="P225" s="52" t="str">
        <x:f>IF(CaseLedger!$A225="","",IFERROR(CaseLedger!$C225,""))</x:f>
      </x:c>
      <x:c r="Q225" s="52" t="str">
        <x:f>IF(CaseLedger!$A225="","",IFERROR(CaseLedger!$D225,""))</x:f>
      </x:c>
      <x:c r="R225" s="52" t="str">
        <x:f>IF(CaseLedger!$A225="","",IFERROR(CaseLedger!$X225,""))</x:f>
      </x:c>
      <x:c r="S225" s="52" t="str">
        <x:f>IF(CaseLedger!$A225="","",IFERROR(CaseLedger!$Y225,""))</x:f>
      </x:c>
      <x:c r="T225" s="52" t="str">
        <x:f>IF(CaseLedger!$A225="","",IFERROR(CaseLedger!$Z225,""))</x:f>
      </x:c>
      <x:c r="U225" s="52" t="str">
        <x:f>IF(CaseLedger!$A225="","",IFERROR(CaseLedger!$AA225,""))</x:f>
      </x:c>
      <x:c r="V225" s="52" t="str">
        <x:f>IF(CaseLedger!$A225="","",IFERROR(CaseLedger!$AB225,""))</x:f>
      </x:c>
      <x:c r="W225" s="52" t="str">
        <x:f>IF(CaseLedger!$A225="","",IFERROR(CaseLedger!$AC225,""))</x:f>
      </x:c>
      <x:c r="X225" s="52" t="str">
        <x:f>IF(CaseLedger!$A225="","",IFERROR(CaseLedger!$AD225,""))</x:f>
      </x:c>
      <x:c r="Y225" s="52" t="str">
        <x:f>IF(CaseLedger!$A225="","",IFERROR(CaseLedger!$AE225,""))</x:f>
      </x:c>
      <x:c r="Z225" s="52" t="str">
        <x:f>IF(CaseLedger!$A225="","",IFERROR(CaseLedger!$AF225,""))</x:f>
      </x:c>
      <x:c r="AA225" s="52" t="str">
        <x:f>IF(CaseLedger!$A225="","",IFERROR(CaseLedger!$AG225,""))</x:f>
      </x:c>
      <x:c r="AB225" s="52" t="str">
        <x:f>IF(CaseLedger!$A225="","",IFERROR(CaseLedger!$AH225,""))</x:f>
      </x:c>
      <x:c r="AC225"/>
    </x:row>
    <x:row r="226">
      <x:c r="A226" s="52" t="str">
        <x:f>IF(CaseLedger!$A226="","",IFERROR(CaseLedger!$A226,""))</x:f>
      </x:c>
      <x:c r="B226" s="52" t="str">
        <x:f>IF(CaseLedger!$A226="","",IFERROR(CaseLedger!$H226,""))</x:f>
      </x:c>
      <x:c r="C226" s="52" t="str">
        <x:f>IF(CaseLedger!$A226="","",IFERROR(CaseLedger!$I226,""))</x:f>
      </x:c>
      <x:c r="D226" s="52" t="str">
        <x:f>IF(CaseLedger!$A226="","",IFERROR(CaseLedger!$J226,""))</x:f>
      </x:c>
      <x:c r="E226" s="52" t="str">
        <x:f>IF(CaseLedger!$A226="","",IFERROR(CaseLedger!$K226,""))</x:f>
      </x:c>
      <x:c r="F226" s="52" t="str">
        <x:f>IF(CaseLedger!$A226="","",IFERROR(CaseLedger!$O226,""))</x:f>
      </x:c>
      <x:c r="G226" s="52" t="str">
        <x:f>IF(CaseLedger!$A226="","",IFERROR(CaseLedger!$E226,""))</x:f>
      </x:c>
      <x:c r="H226" s="52" t="str">
        <x:f>IF(CaseLedger!$A226="","",IFERROR(CaseLedger!$P226,""))</x:f>
      </x:c>
      <x:c r="I226" s="52" t="str">
        <x:f>IF(CaseLedger!$A226="","",IFERROR(CaseLedger!$Q226,""))</x:f>
      </x:c>
      <x:c r="J226" s="52" t="str">
        <x:f>IF(CaseLedger!$A226="","",IFERROR(CaseLedger!$R226,""))</x:f>
      </x:c>
      <x:c r="K226" s="52" t="str">
        <x:f>IF(CaseLedger!$A226="","",IFERROR(CaseLedger!$S226,""))</x:f>
      </x:c>
      <x:c r="L226" s="52" t="str">
        <x:f>IF(CaseLedger!$A226="","",IFERROR(CaseLedger!$T226,""))</x:f>
      </x:c>
      <x:c r="M226" s="52" t="str">
        <x:f>IF(CaseLedger!$A226="","",IFERROR(CaseLedger!$U226,""))</x:f>
      </x:c>
      <x:c r="N226" s="52" t="str">
        <x:f>IF(CaseLedger!$A226="","",IFERROR(CaseLedger!$V226,""))</x:f>
      </x:c>
      <x:c r="O226" s="52" t="str">
        <x:f>IF(CaseLedger!$A226="","",IFERROR(CaseLedger!$W226,""))</x:f>
      </x:c>
      <x:c r="P226" s="52" t="str">
        <x:f>IF(CaseLedger!$A226="","",IFERROR(CaseLedger!$C226,""))</x:f>
      </x:c>
      <x:c r="Q226" s="52" t="str">
        <x:f>IF(CaseLedger!$A226="","",IFERROR(CaseLedger!$D226,""))</x:f>
      </x:c>
      <x:c r="R226" s="52" t="str">
        <x:f>IF(CaseLedger!$A226="","",IFERROR(CaseLedger!$X226,""))</x:f>
      </x:c>
      <x:c r="S226" s="52" t="str">
        <x:f>IF(CaseLedger!$A226="","",IFERROR(CaseLedger!$Y226,""))</x:f>
      </x:c>
      <x:c r="T226" s="52" t="str">
        <x:f>IF(CaseLedger!$A226="","",IFERROR(CaseLedger!$Z226,""))</x:f>
      </x:c>
      <x:c r="U226" s="52" t="str">
        <x:f>IF(CaseLedger!$A226="","",IFERROR(CaseLedger!$AA226,""))</x:f>
      </x:c>
      <x:c r="V226" s="52" t="str">
        <x:f>IF(CaseLedger!$A226="","",IFERROR(CaseLedger!$AB226,""))</x:f>
      </x:c>
      <x:c r="W226" s="52" t="str">
        <x:f>IF(CaseLedger!$A226="","",IFERROR(CaseLedger!$AC226,""))</x:f>
      </x:c>
      <x:c r="X226" s="52" t="str">
        <x:f>IF(CaseLedger!$A226="","",IFERROR(CaseLedger!$AD226,""))</x:f>
      </x:c>
      <x:c r="Y226" s="52" t="str">
        <x:f>IF(CaseLedger!$A226="","",IFERROR(CaseLedger!$AE226,""))</x:f>
      </x:c>
      <x:c r="Z226" s="52" t="str">
        <x:f>IF(CaseLedger!$A226="","",IFERROR(CaseLedger!$AF226,""))</x:f>
      </x:c>
      <x:c r="AA226" s="52" t="str">
        <x:f>IF(CaseLedger!$A226="","",IFERROR(CaseLedger!$AG226,""))</x:f>
      </x:c>
      <x:c r="AB226" s="52" t="str">
        <x:f>IF(CaseLedger!$A226="","",IFERROR(CaseLedger!$AH226,""))</x:f>
      </x:c>
      <x:c r="AC226"/>
    </x:row>
    <x:row r="227">
      <x:c r="A227" s="52" t="str">
        <x:f>IF(CaseLedger!$A227="","",IFERROR(CaseLedger!$A227,""))</x:f>
      </x:c>
      <x:c r="B227" s="52" t="str">
        <x:f>IF(CaseLedger!$A227="","",IFERROR(CaseLedger!$H227,""))</x:f>
      </x:c>
      <x:c r="C227" s="52" t="str">
        <x:f>IF(CaseLedger!$A227="","",IFERROR(CaseLedger!$I227,""))</x:f>
      </x:c>
      <x:c r="D227" s="52" t="str">
        <x:f>IF(CaseLedger!$A227="","",IFERROR(CaseLedger!$J227,""))</x:f>
      </x:c>
      <x:c r="E227" s="52" t="str">
        <x:f>IF(CaseLedger!$A227="","",IFERROR(CaseLedger!$K227,""))</x:f>
      </x:c>
      <x:c r="F227" s="52" t="str">
        <x:f>IF(CaseLedger!$A227="","",IFERROR(CaseLedger!$O227,""))</x:f>
      </x:c>
      <x:c r="G227" s="52" t="str">
        <x:f>IF(CaseLedger!$A227="","",IFERROR(CaseLedger!$E227,""))</x:f>
      </x:c>
      <x:c r="H227" s="52" t="str">
        <x:f>IF(CaseLedger!$A227="","",IFERROR(CaseLedger!$P227,""))</x:f>
      </x:c>
      <x:c r="I227" s="52" t="str">
        <x:f>IF(CaseLedger!$A227="","",IFERROR(CaseLedger!$Q227,""))</x:f>
      </x:c>
      <x:c r="J227" s="52" t="str">
        <x:f>IF(CaseLedger!$A227="","",IFERROR(CaseLedger!$R227,""))</x:f>
      </x:c>
      <x:c r="K227" s="52" t="str">
        <x:f>IF(CaseLedger!$A227="","",IFERROR(CaseLedger!$S227,""))</x:f>
      </x:c>
      <x:c r="L227" s="52" t="str">
        <x:f>IF(CaseLedger!$A227="","",IFERROR(CaseLedger!$T227,""))</x:f>
      </x:c>
      <x:c r="M227" s="52" t="str">
        <x:f>IF(CaseLedger!$A227="","",IFERROR(CaseLedger!$U227,""))</x:f>
      </x:c>
      <x:c r="N227" s="52" t="str">
        <x:f>IF(CaseLedger!$A227="","",IFERROR(CaseLedger!$V227,""))</x:f>
      </x:c>
      <x:c r="O227" s="52" t="str">
        <x:f>IF(CaseLedger!$A227="","",IFERROR(CaseLedger!$W227,""))</x:f>
      </x:c>
      <x:c r="P227" s="52" t="str">
        <x:f>IF(CaseLedger!$A227="","",IFERROR(CaseLedger!$C227,""))</x:f>
      </x:c>
      <x:c r="Q227" s="52" t="str">
        <x:f>IF(CaseLedger!$A227="","",IFERROR(CaseLedger!$D227,""))</x:f>
      </x:c>
      <x:c r="R227" s="52" t="str">
        <x:f>IF(CaseLedger!$A227="","",IFERROR(CaseLedger!$X227,""))</x:f>
      </x:c>
      <x:c r="S227" s="52" t="str">
        <x:f>IF(CaseLedger!$A227="","",IFERROR(CaseLedger!$Y227,""))</x:f>
      </x:c>
      <x:c r="T227" s="52" t="str">
        <x:f>IF(CaseLedger!$A227="","",IFERROR(CaseLedger!$Z227,""))</x:f>
      </x:c>
      <x:c r="U227" s="52" t="str">
        <x:f>IF(CaseLedger!$A227="","",IFERROR(CaseLedger!$AA227,""))</x:f>
      </x:c>
      <x:c r="V227" s="52" t="str">
        <x:f>IF(CaseLedger!$A227="","",IFERROR(CaseLedger!$AB227,""))</x:f>
      </x:c>
      <x:c r="W227" s="52" t="str">
        <x:f>IF(CaseLedger!$A227="","",IFERROR(CaseLedger!$AC227,""))</x:f>
      </x:c>
      <x:c r="X227" s="52" t="str">
        <x:f>IF(CaseLedger!$A227="","",IFERROR(CaseLedger!$AD227,""))</x:f>
      </x:c>
      <x:c r="Y227" s="52" t="str">
        <x:f>IF(CaseLedger!$A227="","",IFERROR(CaseLedger!$AE227,""))</x:f>
      </x:c>
      <x:c r="Z227" s="52" t="str">
        <x:f>IF(CaseLedger!$A227="","",IFERROR(CaseLedger!$AF227,""))</x:f>
      </x:c>
      <x:c r="AA227" s="52" t="str">
        <x:f>IF(CaseLedger!$A227="","",IFERROR(CaseLedger!$AG227,""))</x:f>
      </x:c>
      <x:c r="AB227" s="52" t="str">
        <x:f>IF(CaseLedger!$A227="","",IFERROR(CaseLedger!$AH227,""))</x:f>
      </x:c>
      <x:c r="AC227"/>
    </x:row>
    <x:row r="228">
      <x:c r="A228" s="52" t="str">
        <x:f>IF(CaseLedger!$A228="","",IFERROR(CaseLedger!$A228,""))</x:f>
      </x:c>
      <x:c r="B228" s="52" t="str">
        <x:f>IF(CaseLedger!$A228="","",IFERROR(CaseLedger!$H228,""))</x:f>
      </x:c>
      <x:c r="C228" s="52" t="str">
        <x:f>IF(CaseLedger!$A228="","",IFERROR(CaseLedger!$I228,""))</x:f>
      </x:c>
      <x:c r="D228" s="52" t="str">
        <x:f>IF(CaseLedger!$A228="","",IFERROR(CaseLedger!$J228,""))</x:f>
      </x:c>
      <x:c r="E228" s="52" t="str">
        <x:f>IF(CaseLedger!$A228="","",IFERROR(CaseLedger!$K228,""))</x:f>
      </x:c>
      <x:c r="F228" s="52" t="str">
        <x:f>IF(CaseLedger!$A228="","",IFERROR(CaseLedger!$O228,""))</x:f>
      </x:c>
      <x:c r="G228" s="52" t="str">
        <x:f>IF(CaseLedger!$A228="","",IFERROR(CaseLedger!$E228,""))</x:f>
      </x:c>
      <x:c r="H228" s="52" t="str">
        <x:f>IF(CaseLedger!$A228="","",IFERROR(CaseLedger!$P228,""))</x:f>
      </x:c>
      <x:c r="I228" s="52" t="str">
        <x:f>IF(CaseLedger!$A228="","",IFERROR(CaseLedger!$Q228,""))</x:f>
      </x:c>
      <x:c r="J228" s="52" t="str">
        <x:f>IF(CaseLedger!$A228="","",IFERROR(CaseLedger!$R228,""))</x:f>
      </x:c>
      <x:c r="K228" s="52" t="str">
        <x:f>IF(CaseLedger!$A228="","",IFERROR(CaseLedger!$S228,""))</x:f>
      </x:c>
      <x:c r="L228" s="52" t="str">
        <x:f>IF(CaseLedger!$A228="","",IFERROR(CaseLedger!$T228,""))</x:f>
      </x:c>
      <x:c r="M228" s="52" t="str">
        <x:f>IF(CaseLedger!$A228="","",IFERROR(CaseLedger!$U228,""))</x:f>
      </x:c>
      <x:c r="N228" s="52" t="str">
        <x:f>IF(CaseLedger!$A228="","",IFERROR(CaseLedger!$V228,""))</x:f>
      </x:c>
      <x:c r="O228" s="52" t="str">
        <x:f>IF(CaseLedger!$A228="","",IFERROR(CaseLedger!$W228,""))</x:f>
      </x:c>
      <x:c r="P228" s="52" t="str">
        <x:f>IF(CaseLedger!$A228="","",IFERROR(CaseLedger!$C228,""))</x:f>
      </x:c>
      <x:c r="Q228" s="52" t="str">
        <x:f>IF(CaseLedger!$A228="","",IFERROR(CaseLedger!$D228,""))</x:f>
      </x:c>
      <x:c r="R228" s="52" t="str">
        <x:f>IF(CaseLedger!$A228="","",IFERROR(CaseLedger!$X228,""))</x:f>
      </x:c>
      <x:c r="S228" s="52" t="str">
        <x:f>IF(CaseLedger!$A228="","",IFERROR(CaseLedger!$Y228,""))</x:f>
      </x:c>
      <x:c r="T228" s="52" t="str">
        <x:f>IF(CaseLedger!$A228="","",IFERROR(CaseLedger!$Z228,""))</x:f>
      </x:c>
      <x:c r="U228" s="52" t="str">
        <x:f>IF(CaseLedger!$A228="","",IFERROR(CaseLedger!$AA228,""))</x:f>
      </x:c>
      <x:c r="V228" s="52" t="str">
        <x:f>IF(CaseLedger!$A228="","",IFERROR(CaseLedger!$AB228,""))</x:f>
      </x:c>
      <x:c r="W228" s="52" t="str">
        <x:f>IF(CaseLedger!$A228="","",IFERROR(CaseLedger!$AC228,""))</x:f>
      </x:c>
      <x:c r="X228" s="52" t="str">
        <x:f>IF(CaseLedger!$A228="","",IFERROR(CaseLedger!$AD228,""))</x:f>
      </x:c>
      <x:c r="Y228" s="52" t="str">
        <x:f>IF(CaseLedger!$A228="","",IFERROR(CaseLedger!$AE228,""))</x:f>
      </x:c>
      <x:c r="Z228" s="52" t="str">
        <x:f>IF(CaseLedger!$A228="","",IFERROR(CaseLedger!$AF228,""))</x:f>
      </x:c>
      <x:c r="AA228" s="52" t="str">
        <x:f>IF(CaseLedger!$A228="","",IFERROR(CaseLedger!$AG228,""))</x:f>
      </x:c>
      <x:c r="AB228" s="52" t="str">
        <x:f>IF(CaseLedger!$A228="","",IFERROR(CaseLedger!$AH228,""))</x:f>
      </x:c>
      <x:c r="AC228"/>
    </x:row>
    <x:row r="229">
      <x:c r="A229" s="52" t="str">
        <x:f>IF(CaseLedger!$A229="","",IFERROR(CaseLedger!$A229,""))</x:f>
      </x:c>
      <x:c r="B229" s="52" t="str">
        <x:f>IF(CaseLedger!$A229="","",IFERROR(CaseLedger!$H229,""))</x:f>
      </x:c>
      <x:c r="C229" s="52" t="str">
        <x:f>IF(CaseLedger!$A229="","",IFERROR(CaseLedger!$I229,""))</x:f>
      </x:c>
      <x:c r="D229" s="52" t="str">
        <x:f>IF(CaseLedger!$A229="","",IFERROR(CaseLedger!$J229,""))</x:f>
      </x:c>
      <x:c r="E229" s="52" t="str">
        <x:f>IF(CaseLedger!$A229="","",IFERROR(CaseLedger!$K229,""))</x:f>
      </x:c>
      <x:c r="F229" s="52" t="str">
        <x:f>IF(CaseLedger!$A229="","",IFERROR(CaseLedger!$O229,""))</x:f>
      </x:c>
      <x:c r="G229" s="52" t="str">
        <x:f>IF(CaseLedger!$A229="","",IFERROR(CaseLedger!$E229,""))</x:f>
      </x:c>
      <x:c r="H229" s="52" t="str">
        <x:f>IF(CaseLedger!$A229="","",IFERROR(CaseLedger!$P229,""))</x:f>
      </x:c>
      <x:c r="I229" s="52" t="str">
        <x:f>IF(CaseLedger!$A229="","",IFERROR(CaseLedger!$Q229,""))</x:f>
      </x:c>
      <x:c r="J229" s="52" t="str">
        <x:f>IF(CaseLedger!$A229="","",IFERROR(CaseLedger!$R229,""))</x:f>
      </x:c>
      <x:c r="K229" s="52" t="str">
        <x:f>IF(CaseLedger!$A229="","",IFERROR(CaseLedger!$S229,""))</x:f>
      </x:c>
      <x:c r="L229" s="52" t="str">
        <x:f>IF(CaseLedger!$A229="","",IFERROR(CaseLedger!$T229,""))</x:f>
      </x:c>
      <x:c r="M229" s="52" t="str">
        <x:f>IF(CaseLedger!$A229="","",IFERROR(CaseLedger!$U229,""))</x:f>
      </x:c>
      <x:c r="N229" s="52" t="str">
        <x:f>IF(CaseLedger!$A229="","",IFERROR(CaseLedger!$V229,""))</x:f>
      </x:c>
      <x:c r="O229" s="52" t="str">
        <x:f>IF(CaseLedger!$A229="","",IFERROR(CaseLedger!$W229,""))</x:f>
      </x:c>
      <x:c r="P229" s="52" t="str">
        <x:f>IF(CaseLedger!$A229="","",IFERROR(CaseLedger!$C229,""))</x:f>
      </x:c>
      <x:c r="Q229" s="52" t="str">
        <x:f>IF(CaseLedger!$A229="","",IFERROR(CaseLedger!$D229,""))</x:f>
      </x:c>
      <x:c r="R229" s="52" t="str">
        <x:f>IF(CaseLedger!$A229="","",IFERROR(CaseLedger!$X229,""))</x:f>
      </x:c>
      <x:c r="S229" s="52" t="str">
        <x:f>IF(CaseLedger!$A229="","",IFERROR(CaseLedger!$Y229,""))</x:f>
      </x:c>
      <x:c r="T229" s="52" t="str">
        <x:f>IF(CaseLedger!$A229="","",IFERROR(CaseLedger!$Z229,""))</x:f>
      </x:c>
      <x:c r="U229" s="52" t="str">
        <x:f>IF(CaseLedger!$A229="","",IFERROR(CaseLedger!$AA229,""))</x:f>
      </x:c>
      <x:c r="V229" s="52" t="str">
        <x:f>IF(CaseLedger!$A229="","",IFERROR(CaseLedger!$AB229,""))</x:f>
      </x:c>
      <x:c r="W229" s="52" t="str">
        <x:f>IF(CaseLedger!$A229="","",IFERROR(CaseLedger!$AC229,""))</x:f>
      </x:c>
      <x:c r="X229" s="52" t="str">
        <x:f>IF(CaseLedger!$A229="","",IFERROR(CaseLedger!$AD229,""))</x:f>
      </x:c>
      <x:c r="Y229" s="52" t="str">
        <x:f>IF(CaseLedger!$A229="","",IFERROR(CaseLedger!$AE229,""))</x:f>
      </x:c>
      <x:c r="Z229" s="52" t="str">
        <x:f>IF(CaseLedger!$A229="","",IFERROR(CaseLedger!$AF229,""))</x:f>
      </x:c>
      <x:c r="AA229" s="52" t="str">
        <x:f>IF(CaseLedger!$A229="","",IFERROR(CaseLedger!$AG229,""))</x:f>
      </x:c>
      <x:c r="AB229" s="52" t="str">
        <x:f>IF(CaseLedger!$A229="","",IFERROR(CaseLedger!$AH229,""))</x:f>
      </x:c>
      <x:c r="AC229"/>
    </x:row>
    <x:row r="230">
      <x:c r="A230" s="52" t="str">
        <x:f>IF(CaseLedger!$A230="","",IFERROR(CaseLedger!$A230,""))</x:f>
      </x:c>
      <x:c r="B230" s="52" t="str">
        <x:f>IF(CaseLedger!$A230="","",IFERROR(CaseLedger!$H230,""))</x:f>
      </x:c>
      <x:c r="C230" s="52" t="str">
        <x:f>IF(CaseLedger!$A230="","",IFERROR(CaseLedger!$I230,""))</x:f>
      </x:c>
      <x:c r="D230" s="52" t="str">
        <x:f>IF(CaseLedger!$A230="","",IFERROR(CaseLedger!$J230,""))</x:f>
      </x:c>
      <x:c r="E230" s="52" t="str">
        <x:f>IF(CaseLedger!$A230="","",IFERROR(CaseLedger!$K230,""))</x:f>
      </x:c>
      <x:c r="F230" s="52" t="str">
        <x:f>IF(CaseLedger!$A230="","",IFERROR(CaseLedger!$O230,""))</x:f>
      </x:c>
      <x:c r="G230" s="52" t="str">
        <x:f>IF(CaseLedger!$A230="","",IFERROR(CaseLedger!$E230,""))</x:f>
      </x:c>
      <x:c r="H230" s="52" t="str">
        <x:f>IF(CaseLedger!$A230="","",IFERROR(CaseLedger!$P230,""))</x:f>
      </x:c>
      <x:c r="I230" s="52" t="str">
        <x:f>IF(CaseLedger!$A230="","",IFERROR(CaseLedger!$Q230,""))</x:f>
      </x:c>
      <x:c r="J230" s="52" t="str">
        <x:f>IF(CaseLedger!$A230="","",IFERROR(CaseLedger!$R230,""))</x:f>
      </x:c>
      <x:c r="K230" s="52" t="str">
        <x:f>IF(CaseLedger!$A230="","",IFERROR(CaseLedger!$S230,""))</x:f>
      </x:c>
      <x:c r="L230" s="52" t="str">
        <x:f>IF(CaseLedger!$A230="","",IFERROR(CaseLedger!$T230,""))</x:f>
      </x:c>
      <x:c r="M230" s="52" t="str">
        <x:f>IF(CaseLedger!$A230="","",IFERROR(CaseLedger!$U230,""))</x:f>
      </x:c>
      <x:c r="N230" s="52" t="str">
        <x:f>IF(CaseLedger!$A230="","",IFERROR(CaseLedger!$V230,""))</x:f>
      </x:c>
      <x:c r="O230" s="52" t="str">
        <x:f>IF(CaseLedger!$A230="","",IFERROR(CaseLedger!$W230,""))</x:f>
      </x:c>
      <x:c r="P230" s="52" t="str">
        <x:f>IF(CaseLedger!$A230="","",IFERROR(CaseLedger!$C230,""))</x:f>
      </x:c>
      <x:c r="Q230" s="52" t="str">
        <x:f>IF(CaseLedger!$A230="","",IFERROR(CaseLedger!$D230,""))</x:f>
      </x:c>
      <x:c r="R230" s="52" t="str">
        <x:f>IF(CaseLedger!$A230="","",IFERROR(CaseLedger!$X230,""))</x:f>
      </x:c>
      <x:c r="S230" s="52" t="str">
        <x:f>IF(CaseLedger!$A230="","",IFERROR(CaseLedger!$Y230,""))</x:f>
      </x:c>
      <x:c r="T230" s="52" t="str">
        <x:f>IF(CaseLedger!$A230="","",IFERROR(CaseLedger!$Z230,""))</x:f>
      </x:c>
      <x:c r="U230" s="52" t="str">
        <x:f>IF(CaseLedger!$A230="","",IFERROR(CaseLedger!$AA230,""))</x:f>
      </x:c>
      <x:c r="V230" s="52" t="str">
        <x:f>IF(CaseLedger!$A230="","",IFERROR(CaseLedger!$AB230,""))</x:f>
      </x:c>
      <x:c r="W230" s="52" t="str">
        <x:f>IF(CaseLedger!$A230="","",IFERROR(CaseLedger!$AC230,""))</x:f>
      </x:c>
      <x:c r="X230" s="52" t="str">
        <x:f>IF(CaseLedger!$A230="","",IFERROR(CaseLedger!$AD230,""))</x:f>
      </x:c>
      <x:c r="Y230" s="52" t="str">
        <x:f>IF(CaseLedger!$A230="","",IFERROR(CaseLedger!$AE230,""))</x:f>
      </x:c>
      <x:c r="Z230" s="52" t="str">
        <x:f>IF(CaseLedger!$A230="","",IFERROR(CaseLedger!$AF230,""))</x:f>
      </x:c>
      <x:c r="AA230" s="52" t="str">
        <x:f>IF(CaseLedger!$A230="","",IFERROR(CaseLedger!$AG230,""))</x:f>
      </x:c>
      <x:c r="AB230" s="52" t="str">
        <x:f>IF(CaseLedger!$A230="","",IFERROR(CaseLedger!$AH230,""))</x:f>
      </x:c>
      <x:c r="AC230"/>
    </x:row>
    <x:row r="231">
      <x:c r="A231" s="52" t="str">
        <x:f>IF(CaseLedger!$A231="","",IFERROR(CaseLedger!$A231,""))</x:f>
      </x:c>
      <x:c r="B231" s="52" t="str">
        <x:f>IF(CaseLedger!$A231="","",IFERROR(CaseLedger!$H231,""))</x:f>
      </x:c>
      <x:c r="C231" s="52" t="str">
        <x:f>IF(CaseLedger!$A231="","",IFERROR(CaseLedger!$I231,""))</x:f>
      </x:c>
      <x:c r="D231" s="52" t="str">
        <x:f>IF(CaseLedger!$A231="","",IFERROR(CaseLedger!$J231,""))</x:f>
      </x:c>
      <x:c r="E231" s="52" t="str">
        <x:f>IF(CaseLedger!$A231="","",IFERROR(CaseLedger!$K231,""))</x:f>
      </x:c>
      <x:c r="F231" s="52" t="str">
        <x:f>IF(CaseLedger!$A231="","",IFERROR(CaseLedger!$O231,""))</x:f>
      </x:c>
      <x:c r="G231" s="52" t="str">
        <x:f>IF(CaseLedger!$A231="","",IFERROR(CaseLedger!$E231,""))</x:f>
      </x:c>
      <x:c r="H231" s="52" t="str">
        <x:f>IF(CaseLedger!$A231="","",IFERROR(CaseLedger!$P231,""))</x:f>
      </x:c>
      <x:c r="I231" s="52" t="str">
        <x:f>IF(CaseLedger!$A231="","",IFERROR(CaseLedger!$Q231,""))</x:f>
      </x:c>
      <x:c r="J231" s="52" t="str">
        <x:f>IF(CaseLedger!$A231="","",IFERROR(CaseLedger!$R231,""))</x:f>
      </x:c>
      <x:c r="K231" s="52" t="str">
        <x:f>IF(CaseLedger!$A231="","",IFERROR(CaseLedger!$S231,""))</x:f>
      </x:c>
      <x:c r="L231" s="52" t="str">
        <x:f>IF(CaseLedger!$A231="","",IFERROR(CaseLedger!$T231,""))</x:f>
      </x:c>
      <x:c r="M231" s="52" t="str">
        <x:f>IF(CaseLedger!$A231="","",IFERROR(CaseLedger!$U231,""))</x:f>
      </x:c>
      <x:c r="N231" s="52" t="str">
        <x:f>IF(CaseLedger!$A231="","",IFERROR(CaseLedger!$V231,""))</x:f>
      </x:c>
      <x:c r="O231" s="52" t="str">
        <x:f>IF(CaseLedger!$A231="","",IFERROR(CaseLedger!$W231,""))</x:f>
      </x:c>
      <x:c r="P231" s="52" t="str">
        <x:f>IF(CaseLedger!$A231="","",IFERROR(CaseLedger!$C231,""))</x:f>
      </x:c>
      <x:c r="Q231" s="52" t="str">
        <x:f>IF(CaseLedger!$A231="","",IFERROR(CaseLedger!$D231,""))</x:f>
      </x:c>
      <x:c r="R231" s="52" t="str">
        <x:f>IF(CaseLedger!$A231="","",IFERROR(CaseLedger!$X231,""))</x:f>
      </x:c>
      <x:c r="S231" s="52" t="str">
        <x:f>IF(CaseLedger!$A231="","",IFERROR(CaseLedger!$Y231,""))</x:f>
      </x:c>
      <x:c r="T231" s="52" t="str">
        <x:f>IF(CaseLedger!$A231="","",IFERROR(CaseLedger!$Z231,""))</x:f>
      </x:c>
      <x:c r="U231" s="52" t="str">
        <x:f>IF(CaseLedger!$A231="","",IFERROR(CaseLedger!$AA231,""))</x:f>
      </x:c>
      <x:c r="V231" s="52" t="str">
        <x:f>IF(CaseLedger!$A231="","",IFERROR(CaseLedger!$AB231,""))</x:f>
      </x:c>
      <x:c r="W231" s="52" t="str">
        <x:f>IF(CaseLedger!$A231="","",IFERROR(CaseLedger!$AC231,""))</x:f>
      </x:c>
      <x:c r="X231" s="52" t="str">
        <x:f>IF(CaseLedger!$A231="","",IFERROR(CaseLedger!$AD231,""))</x:f>
      </x:c>
      <x:c r="Y231" s="52" t="str">
        <x:f>IF(CaseLedger!$A231="","",IFERROR(CaseLedger!$AE231,""))</x:f>
      </x:c>
      <x:c r="Z231" s="52" t="str">
        <x:f>IF(CaseLedger!$A231="","",IFERROR(CaseLedger!$AF231,""))</x:f>
      </x:c>
      <x:c r="AA231" s="52" t="str">
        <x:f>IF(CaseLedger!$A231="","",IFERROR(CaseLedger!$AG231,""))</x:f>
      </x:c>
      <x:c r="AB231" s="52" t="str">
        <x:f>IF(CaseLedger!$A231="","",IFERROR(CaseLedger!$AH231,""))</x:f>
      </x:c>
      <x:c r="AC231"/>
    </x:row>
    <x:row r="232">
      <x:c r="A232" s="52" t="str">
        <x:f>IF(CaseLedger!$A232="","",IFERROR(CaseLedger!$A232,""))</x:f>
      </x:c>
      <x:c r="B232" s="52" t="str">
        <x:f>IF(CaseLedger!$A232="","",IFERROR(CaseLedger!$H232,""))</x:f>
      </x:c>
      <x:c r="C232" s="52" t="str">
        <x:f>IF(CaseLedger!$A232="","",IFERROR(CaseLedger!$I232,""))</x:f>
      </x:c>
      <x:c r="D232" s="52" t="str">
        <x:f>IF(CaseLedger!$A232="","",IFERROR(CaseLedger!$J232,""))</x:f>
      </x:c>
      <x:c r="E232" s="52" t="str">
        <x:f>IF(CaseLedger!$A232="","",IFERROR(CaseLedger!$K232,""))</x:f>
      </x:c>
      <x:c r="F232" s="52" t="str">
        <x:f>IF(CaseLedger!$A232="","",IFERROR(CaseLedger!$O232,""))</x:f>
      </x:c>
      <x:c r="G232" s="52" t="str">
        <x:f>IF(CaseLedger!$A232="","",IFERROR(CaseLedger!$E232,""))</x:f>
      </x:c>
      <x:c r="H232" s="52" t="str">
        <x:f>IF(CaseLedger!$A232="","",IFERROR(CaseLedger!$P232,""))</x:f>
      </x:c>
      <x:c r="I232" s="52" t="str">
        <x:f>IF(CaseLedger!$A232="","",IFERROR(CaseLedger!$Q232,""))</x:f>
      </x:c>
      <x:c r="J232" s="52" t="str">
        <x:f>IF(CaseLedger!$A232="","",IFERROR(CaseLedger!$R232,""))</x:f>
      </x:c>
      <x:c r="K232" s="52" t="str">
        <x:f>IF(CaseLedger!$A232="","",IFERROR(CaseLedger!$S232,""))</x:f>
      </x:c>
      <x:c r="L232" s="52" t="str">
        <x:f>IF(CaseLedger!$A232="","",IFERROR(CaseLedger!$T232,""))</x:f>
      </x:c>
      <x:c r="M232" s="52" t="str">
        <x:f>IF(CaseLedger!$A232="","",IFERROR(CaseLedger!$U232,""))</x:f>
      </x:c>
      <x:c r="N232" s="52" t="str">
        <x:f>IF(CaseLedger!$A232="","",IFERROR(CaseLedger!$V232,""))</x:f>
      </x:c>
      <x:c r="O232" s="52" t="str">
        <x:f>IF(CaseLedger!$A232="","",IFERROR(CaseLedger!$W232,""))</x:f>
      </x:c>
      <x:c r="P232" s="52" t="str">
        <x:f>IF(CaseLedger!$A232="","",IFERROR(CaseLedger!$C232,""))</x:f>
      </x:c>
      <x:c r="Q232" s="52" t="str">
        <x:f>IF(CaseLedger!$A232="","",IFERROR(CaseLedger!$D232,""))</x:f>
      </x:c>
      <x:c r="R232" s="52" t="str">
        <x:f>IF(CaseLedger!$A232="","",IFERROR(CaseLedger!$X232,""))</x:f>
      </x:c>
      <x:c r="S232" s="52" t="str">
        <x:f>IF(CaseLedger!$A232="","",IFERROR(CaseLedger!$Y232,""))</x:f>
      </x:c>
      <x:c r="T232" s="52" t="str">
        <x:f>IF(CaseLedger!$A232="","",IFERROR(CaseLedger!$Z232,""))</x:f>
      </x:c>
      <x:c r="U232" s="52" t="str">
        <x:f>IF(CaseLedger!$A232="","",IFERROR(CaseLedger!$AA232,""))</x:f>
      </x:c>
      <x:c r="V232" s="52" t="str">
        <x:f>IF(CaseLedger!$A232="","",IFERROR(CaseLedger!$AB232,""))</x:f>
      </x:c>
      <x:c r="W232" s="52" t="str">
        <x:f>IF(CaseLedger!$A232="","",IFERROR(CaseLedger!$AC232,""))</x:f>
      </x:c>
      <x:c r="X232" s="52" t="str">
        <x:f>IF(CaseLedger!$A232="","",IFERROR(CaseLedger!$AD232,""))</x:f>
      </x:c>
      <x:c r="Y232" s="52" t="str">
        <x:f>IF(CaseLedger!$A232="","",IFERROR(CaseLedger!$AE232,""))</x:f>
      </x:c>
      <x:c r="Z232" s="52" t="str">
        <x:f>IF(CaseLedger!$A232="","",IFERROR(CaseLedger!$AF232,""))</x:f>
      </x:c>
      <x:c r="AA232" s="52" t="str">
        <x:f>IF(CaseLedger!$A232="","",IFERROR(CaseLedger!$AG232,""))</x:f>
      </x:c>
      <x:c r="AB232" s="52" t="str">
        <x:f>IF(CaseLedger!$A232="","",IFERROR(CaseLedger!$AH232,""))</x:f>
      </x:c>
      <x:c r="AC232"/>
    </x:row>
    <x:row r="233">
      <x:c r="A233" s="52" t="str">
        <x:f>IF(CaseLedger!$A233="","",IFERROR(CaseLedger!$A233,""))</x:f>
      </x:c>
      <x:c r="B233" s="52" t="str">
        <x:f>IF(CaseLedger!$A233="","",IFERROR(CaseLedger!$H233,""))</x:f>
      </x:c>
      <x:c r="C233" s="52" t="str">
        <x:f>IF(CaseLedger!$A233="","",IFERROR(CaseLedger!$I233,""))</x:f>
      </x:c>
      <x:c r="D233" s="52" t="str">
        <x:f>IF(CaseLedger!$A233="","",IFERROR(CaseLedger!$J233,""))</x:f>
      </x:c>
      <x:c r="E233" s="52" t="str">
        <x:f>IF(CaseLedger!$A233="","",IFERROR(CaseLedger!$K233,""))</x:f>
      </x:c>
      <x:c r="F233" s="52" t="str">
        <x:f>IF(CaseLedger!$A233="","",IFERROR(CaseLedger!$O233,""))</x:f>
      </x:c>
      <x:c r="G233" s="52" t="str">
        <x:f>IF(CaseLedger!$A233="","",IFERROR(CaseLedger!$E233,""))</x:f>
      </x:c>
      <x:c r="H233" s="52" t="str">
        <x:f>IF(CaseLedger!$A233="","",IFERROR(CaseLedger!$P233,""))</x:f>
      </x:c>
      <x:c r="I233" s="52" t="str">
        <x:f>IF(CaseLedger!$A233="","",IFERROR(CaseLedger!$Q233,""))</x:f>
      </x:c>
      <x:c r="J233" s="52" t="str">
        <x:f>IF(CaseLedger!$A233="","",IFERROR(CaseLedger!$R233,""))</x:f>
      </x:c>
      <x:c r="K233" s="52" t="str">
        <x:f>IF(CaseLedger!$A233="","",IFERROR(CaseLedger!$S233,""))</x:f>
      </x:c>
      <x:c r="L233" s="52" t="str">
        <x:f>IF(CaseLedger!$A233="","",IFERROR(CaseLedger!$T233,""))</x:f>
      </x:c>
      <x:c r="M233" s="52" t="str">
        <x:f>IF(CaseLedger!$A233="","",IFERROR(CaseLedger!$U233,""))</x:f>
      </x:c>
      <x:c r="N233" s="52" t="str">
        <x:f>IF(CaseLedger!$A233="","",IFERROR(CaseLedger!$V233,""))</x:f>
      </x:c>
      <x:c r="O233" s="52" t="str">
        <x:f>IF(CaseLedger!$A233="","",IFERROR(CaseLedger!$W233,""))</x:f>
      </x:c>
      <x:c r="P233" s="52" t="str">
        <x:f>IF(CaseLedger!$A233="","",IFERROR(CaseLedger!$C233,""))</x:f>
      </x:c>
      <x:c r="Q233" s="52" t="str">
        <x:f>IF(CaseLedger!$A233="","",IFERROR(CaseLedger!$D233,""))</x:f>
      </x:c>
      <x:c r="R233" s="52" t="str">
        <x:f>IF(CaseLedger!$A233="","",IFERROR(CaseLedger!$X233,""))</x:f>
      </x:c>
      <x:c r="S233" s="52" t="str">
        <x:f>IF(CaseLedger!$A233="","",IFERROR(CaseLedger!$Y233,""))</x:f>
      </x:c>
      <x:c r="T233" s="52" t="str">
        <x:f>IF(CaseLedger!$A233="","",IFERROR(CaseLedger!$Z233,""))</x:f>
      </x:c>
      <x:c r="U233" s="52" t="str">
        <x:f>IF(CaseLedger!$A233="","",IFERROR(CaseLedger!$AA233,""))</x:f>
      </x:c>
      <x:c r="V233" s="52" t="str">
        <x:f>IF(CaseLedger!$A233="","",IFERROR(CaseLedger!$AB233,""))</x:f>
      </x:c>
      <x:c r="W233" s="52" t="str">
        <x:f>IF(CaseLedger!$A233="","",IFERROR(CaseLedger!$AC233,""))</x:f>
      </x:c>
      <x:c r="X233" s="52" t="str">
        <x:f>IF(CaseLedger!$A233="","",IFERROR(CaseLedger!$AD233,""))</x:f>
      </x:c>
      <x:c r="Y233" s="52" t="str">
        <x:f>IF(CaseLedger!$A233="","",IFERROR(CaseLedger!$AE233,""))</x:f>
      </x:c>
      <x:c r="Z233" s="52" t="str">
        <x:f>IF(CaseLedger!$A233="","",IFERROR(CaseLedger!$AF233,""))</x:f>
      </x:c>
      <x:c r="AA233" s="52" t="str">
        <x:f>IF(CaseLedger!$A233="","",IFERROR(CaseLedger!$AG233,""))</x:f>
      </x:c>
      <x:c r="AB233" s="52" t="str">
        <x:f>IF(CaseLedger!$A233="","",IFERROR(CaseLedger!$AH233,""))</x:f>
      </x:c>
      <x:c r="AC233"/>
    </x:row>
    <x:row r="234">
      <x:c r="A234" s="52" t="str">
        <x:f>IF(CaseLedger!$A234="","",IFERROR(CaseLedger!$A234,""))</x:f>
      </x:c>
      <x:c r="B234" s="52" t="str">
        <x:f>IF(CaseLedger!$A234="","",IFERROR(CaseLedger!$H234,""))</x:f>
      </x:c>
      <x:c r="C234" s="52" t="str">
        <x:f>IF(CaseLedger!$A234="","",IFERROR(CaseLedger!$I234,""))</x:f>
      </x:c>
      <x:c r="D234" s="52" t="str">
        <x:f>IF(CaseLedger!$A234="","",IFERROR(CaseLedger!$J234,""))</x:f>
      </x:c>
      <x:c r="E234" s="52" t="str">
        <x:f>IF(CaseLedger!$A234="","",IFERROR(CaseLedger!$K234,""))</x:f>
      </x:c>
      <x:c r="F234" s="52" t="str">
        <x:f>IF(CaseLedger!$A234="","",IFERROR(CaseLedger!$O234,""))</x:f>
      </x:c>
      <x:c r="G234" s="52" t="str">
        <x:f>IF(CaseLedger!$A234="","",IFERROR(CaseLedger!$E234,""))</x:f>
      </x:c>
      <x:c r="H234" s="52" t="str">
        <x:f>IF(CaseLedger!$A234="","",IFERROR(CaseLedger!$P234,""))</x:f>
      </x:c>
      <x:c r="I234" s="52" t="str">
        <x:f>IF(CaseLedger!$A234="","",IFERROR(CaseLedger!$Q234,""))</x:f>
      </x:c>
      <x:c r="J234" s="52" t="str">
        <x:f>IF(CaseLedger!$A234="","",IFERROR(CaseLedger!$R234,""))</x:f>
      </x:c>
      <x:c r="K234" s="52" t="str">
        <x:f>IF(CaseLedger!$A234="","",IFERROR(CaseLedger!$S234,""))</x:f>
      </x:c>
      <x:c r="L234" s="52" t="str">
        <x:f>IF(CaseLedger!$A234="","",IFERROR(CaseLedger!$T234,""))</x:f>
      </x:c>
      <x:c r="M234" s="52" t="str">
        <x:f>IF(CaseLedger!$A234="","",IFERROR(CaseLedger!$U234,""))</x:f>
      </x:c>
      <x:c r="N234" s="52" t="str">
        <x:f>IF(CaseLedger!$A234="","",IFERROR(CaseLedger!$V234,""))</x:f>
      </x:c>
      <x:c r="O234" s="52" t="str">
        <x:f>IF(CaseLedger!$A234="","",IFERROR(CaseLedger!$W234,""))</x:f>
      </x:c>
      <x:c r="P234" s="52" t="str">
        <x:f>IF(CaseLedger!$A234="","",IFERROR(CaseLedger!$C234,""))</x:f>
      </x:c>
      <x:c r="Q234" s="52" t="str">
        <x:f>IF(CaseLedger!$A234="","",IFERROR(CaseLedger!$D234,""))</x:f>
      </x:c>
      <x:c r="R234" s="52" t="str">
        <x:f>IF(CaseLedger!$A234="","",IFERROR(CaseLedger!$X234,""))</x:f>
      </x:c>
      <x:c r="S234" s="52" t="str">
        <x:f>IF(CaseLedger!$A234="","",IFERROR(CaseLedger!$Y234,""))</x:f>
      </x:c>
      <x:c r="T234" s="52" t="str">
        <x:f>IF(CaseLedger!$A234="","",IFERROR(CaseLedger!$Z234,""))</x:f>
      </x:c>
      <x:c r="U234" s="52" t="str">
        <x:f>IF(CaseLedger!$A234="","",IFERROR(CaseLedger!$AA234,""))</x:f>
      </x:c>
      <x:c r="V234" s="52" t="str">
        <x:f>IF(CaseLedger!$A234="","",IFERROR(CaseLedger!$AB234,""))</x:f>
      </x:c>
      <x:c r="W234" s="52" t="str">
        <x:f>IF(CaseLedger!$A234="","",IFERROR(CaseLedger!$AC234,""))</x:f>
      </x:c>
      <x:c r="X234" s="52" t="str">
        <x:f>IF(CaseLedger!$A234="","",IFERROR(CaseLedger!$AD234,""))</x:f>
      </x:c>
      <x:c r="Y234" s="52" t="str">
        <x:f>IF(CaseLedger!$A234="","",IFERROR(CaseLedger!$AE234,""))</x:f>
      </x:c>
      <x:c r="Z234" s="52" t="str">
        <x:f>IF(CaseLedger!$A234="","",IFERROR(CaseLedger!$AF234,""))</x:f>
      </x:c>
      <x:c r="AA234" s="52" t="str">
        <x:f>IF(CaseLedger!$A234="","",IFERROR(CaseLedger!$AG234,""))</x:f>
      </x:c>
      <x:c r="AB234" s="52" t="str">
        <x:f>IF(CaseLedger!$A234="","",IFERROR(CaseLedger!$AH234,""))</x:f>
      </x:c>
      <x:c r="AC234"/>
    </x:row>
    <x:row r="235">
      <x:c r="A235" s="52" t="str">
        <x:f>IF(CaseLedger!$A235="","",IFERROR(CaseLedger!$A235,""))</x:f>
      </x:c>
      <x:c r="B235" s="52" t="str">
        <x:f>IF(CaseLedger!$A235="","",IFERROR(CaseLedger!$H235,""))</x:f>
      </x:c>
      <x:c r="C235" s="52" t="str">
        <x:f>IF(CaseLedger!$A235="","",IFERROR(CaseLedger!$I235,""))</x:f>
      </x:c>
      <x:c r="D235" s="52" t="str">
        <x:f>IF(CaseLedger!$A235="","",IFERROR(CaseLedger!$J235,""))</x:f>
      </x:c>
      <x:c r="E235" s="52" t="str">
        <x:f>IF(CaseLedger!$A235="","",IFERROR(CaseLedger!$K235,""))</x:f>
      </x:c>
      <x:c r="F235" s="52" t="str">
        <x:f>IF(CaseLedger!$A235="","",IFERROR(CaseLedger!$O235,""))</x:f>
      </x:c>
      <x:c r="G235" s="52" t="str">
        <x:f>IF(CaseLedger!$A235="","",IFERROR(CaseLedger!$E235,""))</x:f>
      </x:c>
      <x:c r="H235" s="52" t="str">
        <x:f>IF(CaseLedger!$A235="","",IFERROR(CaseLedger!$P235,""))</x:f>
      </x:c>
      <x:c r="I235" s="52" t="str">
        <x:f>IF(CaseLedger!$A235="","",IFERROR(CaseLedger!$Q235,""))</x:f>
      </x:c>
      <x:c r="J235" s="52" t="str">
        <x:f>IF(CaseLedger!$A235="","",IFERROR(CaseLedger!$R235,""))</x:f>
      </x:c>
      <x:c r="K235" s="52" t="str">
        <x:f>IF(CaseLedger!$A235="","",IFERROR(CaseLedger!$S235,""))</x:f>
      </x:c>
      <x:c r="L235" s="52" t="str">
        <x:f>IF(CaseLedger!$A235="","",IFERROR(CaseLedger!$T235,""))</x:f>
      </x:c>
      <x:c r="M235" s="52" t="str">
        <x:f>IF(CaseLedger!$A235="","",IFERROR(CaseLedger!$U235,""))</x:f>
      </x:c>
      <x:c r="N235" s="52" t="str">
        <x:f>IF(CaseLedger!$A235="","",IFERROR(CaseLedger!$V235,""))</x:f>
      </x:c>
      <x:c r="O235" s="52" t="str">
        <x:f>IF(CaseLedger!$A235="","",IFERROR(CaseLedger!$W235,""))</x:f>
      </x:c>
      <x:c r="P235" s="52" t="str">
        <x:f>IF(CaseLedger!$A235="","",IFERROR(CaseLedger!$C235,""))</x:f>
      </x:c>
      <x:c r="Q235" s="52" t="str">
        <x:f>IF(CaseLedger!$A235="","",IFERROR(CaseLedger!$D235,""))</x:f>
      </x:c>
      <x:c r="R235" s="52" t="str">
        <x:f>IF(CaseLedger!$A235="","",IFERROR(CaseLedger!$X235,""))</x:f>
      </x:c>
      <x:c r="S235" s="52" t="str">
        <x:f>IF(CaseLedger!$A235="","",IFERROR(CaseLedger!$Y235,""))</x:f>
      </x:c>
      <x:c r="T235" s="52" t="str">
        <x:f>IF(CaseLedger!$A235="","",IFERROR(CaseLedger!$Z235,""))</x:f>
      </x:c>
      <x:c r="U235" s="52" t="str">
        <x:f>IF(CaseLedger!$A235="","",IFERROR(CaseLedger!$AA235,""))</x:f>
      </x:c>
      <x:c r="V235" s="52" t="str">
        <x:f>IF(CaseLedger!$A235="","",IFERROR(CaseLedger!$AB235,""))</x:f>
      </x:c>
      <x:c r="W235" s="52" t="str">
        <x:f>IF(CaseLedger!$A235="","",IFERROR(CaseLedger!$AC235,""))</x:f>
      </x:c>
      <x:c r="X235" s="52" t="str">
        <x:f>IF(CaseLedger!$A235="","",IFERROR(CaseLedger!$AD235,""))</x:f>
      </x:c>
      <x:c r="Y235" s="52" t="str">
        <x:f>IF(CaseLedger!$A235="","",IFERROR(CaseLedger!$AE235,""))</x:f>
      </x:c>
      <x:c r="Z235" s="52" t="str">
        <x:f>IF(CaseLedger!$A235="","",IFERROR(CaseLedger!$AF235,""))</x:f>
      </x:c>
      <x:c r="AA235" s="52" t="str">
        <x:f>IF(CaseLedger!$A235="","",IFERROR(CaseLedger!$AG235,""))</x:f>
      </x:c>
      <x:c r="AB235" s="52" t="str">
        <x:f>IF(CaseLedger!$A235="","",IFERROR(CaseLedger!$AH235,""))</x:f>
      </x:c>
      <x:c r="AC235"/>
    </x:row>
    <x:row r="236">
      <x:c r="A236" s="52" t="str">
        <x:f>IF(CaseLedger!$A236="","",IFERROR(CaseLedger!$A236,""))</x:f>
      </x:c>
      <x:c r="B236" s="52" t="str">
        <x:f>IF(CaseLedger!$A236="","",IFERROR(CaseLedger!$H236,""))</x:f>
      </x:c>
      <x:c r="C236" s="52" t="str">
        <x:f>IF(CaseLedger!$A236="","",IFERROR(CaseLedger!$I236,""))</x:f>
      </x:c>
      <x:c r="D236" s="52" t="str">
        <x:f>IF(CaseLedger!$A236="","",IFERROR(CaseLedger!$J236,""))</x:f>
      </x:c>
      <x:c r="E236" s="52" t="str">
        <x:f>IF(CaseLedger!$A236="","",IFERROR(CaseLedger!$K236,""))</x:f>
      </x:c>
      <x:c r="F236" s="52" t="str">
        <x:f>IF(CaseLedger!$A236="","",IFERROR(CaseLedger!$O236,""))</x:f>
      </x:c>
      <x:c r="G236" s="52" t="str">
        <x:f>IF(CaseLedger!$A236="","",IFERROR(CaseLedger!$E236,""))</x:f>
      </x:c>
      <x:c r="H236" s="52" t="str">
        <x:f>IF(CaseLedger!$A236="","",IFERROR(CaseLedger!$P236,""))</x:f>
      </x:c>
      <x:c r="I236" s="52" t="str">
        <x:f>IF(CaseLedger!$A236="","",IFERROR(CaseLedger!$Q236,""))</x:f>
      </x:c>
      <x:c r="J236" s="52" t="str">
        <x:f>IF(CaseLedger!$A236="","",IFERROR(CaseLedger!$R236,""))</x:f>
      </x:c>
      <x:c r="K236" s="52" t="str">
        <x:f>IF(CaseLedger!$A236="","",IFERROR(CaseLedger!$S236,""))</x:f>
      </x:c>
      <x:c r="L236" s="52" t="str">
        <x:f>IF(CaseLedger!$A236="","",IFERROR(CaseLedger!$T236,""))</x:f>
      </x:c>
      <x:c r="M236" s="52" t="str">
        <x:f>IF(CaseLedger!$A236="","",IFERROR(CaseLedger!$U236,""))</x:f>
      </x:c>
      <x:c r="N236" s="52" t="str">
        <x:f>IF(CaseLedger!$A236="","",IFERROR(CaseLedger!$V236,""))</x:f>
      </x:c>
      <x:c r="O236" s="52" t="str">
        <x:f>IF(CaseLedger!$A236="","",IFERROR(CaseLedger!$W236,""))</x:f>
      </x:c>
      <x:c r="P236" s="52" t="str">
        <x:f>IF(CaseLedger!$A236="","",IFERROR(CaseLedger!$C236,""))</x:f>
      </x:c>
      <x:c r="Q236" s="52" t="str">
        <x:f>IF(CaseLedger!$A236="","",IFERROR(CaseLedger!$D236,""))</x:f>
      </x:c>
      <x:c r="R236" s="52" t="str">
        <x:f>IF(CaseLedger!$A236="","",IFERROR(CaseLedger!$X236,""))</x:f>
      </x:c>
      <x:c r="S236" s="52" t="str">
        <x:f>IF(CaseLedger!$A236="","",IFERROR(CaseLedger!$Y236,""))</x:f>
      </x:c>
      <x:c r="T236" s="52" t="str">
        <x:f>IF(CaseLedger!$A236="","",IFERROR(CaseLedger!$Z236,""))</x:f>
      </x:c>
      <x:c r="U236" s="52" t="str">
        <x:f>IF(CaseLedger!$A236="","",IFERROR(CaseLedger!$AA236,""))</x:f>
      </x:c>
      <x:c r="V236" s="52" t="str">
        <x:f>IF(CaseLedger!$A236="","",IFERROR(CaseLedger!$AB236,""))</x:f>
      </x:c>
      <x:c r="W236" s="52" t="str">
        <x:f>IF(CaseLedger!$A236="","",IFERROR(CaseLedger!$AC236,""))</x:f>
      </x:c>
      <x:c r="X236" s="52" t="str">
        <x:f>IF(CaseLedger!$A236="","",IFERROR(CaseLedger!$AD236,""))</x:f>
      </x:c>
      <x:c r="Y236" s="52" t="str">
        <x:f>IF(CaseLedger!$A236="","",IFERROR(CaseLedger!$AE236,""))</x:f>
      </x:c>
      <x:c r="Z236" s="52" t="str">
        <x:f>IF(CaseLedger!$A236="","",IFERROR(CaseLedger!$AF236,""))</x:f>
      </x:c>
      <x:c r="AA236" s="52" t="str">
        <x:f>IF(CaseLedger!$A236="","",IFERROR(CaseLedger!$AG236,""))</x:f>
      </x:c>
      <x:c r="AB236" s="52" t="str">
        <x:f>IF(CaseLedger!$A236="","",IFERROR(CaseLedger!$AH236,""))</x:f>
      </x:c>
      <x:c r="AC236"/>
    </x:row>
    <x:row r="237">
      <x:c r="A237" s="52" t="str">
        <x:f>IF(CaseLedger!$A237="","",IFERROR(CaseLedger!$A237,""))</x:f>
      </x:c>
      <x:c r="B237" s="52" t="str">
        <x:f>IF(CaseLedger!$A237="","",IFERROR(CaseLedger!$H237,""))</x:f>
      </x:c>
      <x:c r="C237" s="52" t="str">
        <x:f>IF(CaseLedger!$A237="","",IFERROR(CaseLedger!$I237,""))</x:f>
      </x:c>
      <x:c r="D237" s="52" t="str">
        <x:f>IF(CaseLedger!$A237="","",IFERROR(CaseLedger!$J237,""))</x:f>
      </x:c>
      <x:c r="E237" s="52" t="str">
        <x:f>IF(CaseLedger!$A237="","",IFERROR(CaseLedger!$K237,""))</x:f>
      </x:c>
      <x:c r="F237" s="52" t="str">
        <x:f>IF(CaseLedger!$A237="","",IFERROR(CaseLedger!$O237,""))</x:f>
      </x:c>
      <x:c r="G237" s="52" t="str">
        <x:f>IF(CaseLedger!$A237="","",IFERROR(CaseLedger!$E237,""))</x:f>
      </x:c>
      <x:c r="H237" s="52" t="str">
        <x:f>IF(CaseLedger!$A237="","",IFERROR(CaseLedger!$P237,""))</x:f>
      </x:c>
      <x:c r="I237" s="52" t="str">
        <x:f>IF(CaseLedger!$A237="","",IFERROR(CaseLedger!$Q237,""))</x:f>
      </x:c>
      <x:c r="J237" s="52" t="str">
        <x:f>IF(CaseLedger!$A237="","",IFERROR(CaseLedger!$R237,""))</x:f>
      </x:c>
      <x:c r="K237" s="52" t="str">
        <x:f>IF(CaseLedger!$A237="","",IFERROR(CaseLedger!$S237,""))</x:f>
      </x:c>
      <x:c r="L237" s="52" t="str">
        <x:f>IF(CaseLedger!$A237="","",IFERROR(CaseLedger!$T237,""))</x:f>
      </x:c>
      <x:c r="M237" s="52" t="str">
        <x:f>IF(CaseLedger!$A237="","",IFERROR(CaseLedger!$U237,""))</x:f>
      </x:c>
      <x:c r="N237" s="52" t="str">
        <x:f>IF(CaseLedger!$A237="","",IFERROR(CaseLedger!$V237,""))</x:f>
      </x:c>
      <x:c r="O237" s="52" t="str">
        <x:f>IF(CaseLedger!$A237="","",IFERROR(CaseLedger!$W237,""))</x:f>
      </x:c>
      <x:c r="P237" s="52" t="str">
        <x:f>IF(CaseLedger!$A237="","",IFERROR(CaseLedger!$C237,""))</x:f>
      </x:c>
      <x:c r="Q237" s="52" t="str">
        <x:f>IF(CaseLedger!$A237="","",IFERROR(CaseLedger!$D237,""))</x:f>
      </x:c>
      <x:c r="R237" s="52" t="str">
        <x:f>IF(CaseLedger!$A237="","",IFERROR(CaseLedger!$X237,""))</x:f>
      </x:c>
      <x:c r="S237" s="52" t="str">
        <x:f>IF(CaseLedger!$A237="","",IFERROR(CaseLedger!$Y237,""))</x:f>
      </x:c>
      <x:c r="T237" s="52" t="str">
        <x:f>IF(CaseLedger!$A237="","",IFERROR(CaseLedger!$Z237,""))</x:f>
      </x:c>
      <x:c r="U237" s="52" t="str">
        <x:f>IF(CaseLedger!$A237="","",IFERROR(CaseLedger!$AA237,""))</x:f>
      </x:c>
      <x:c r="V237" s="52" t="str">
        <x:f>IF(CaseLedger!$A237="","",IFERROR(CaseLedger!$AB237,""))</x:f>
      </x:c>
      <x:c r="W237" s="52" t="str">
        <x:f>IF(CaseLedger!$A237="","",IFERROR(CaseLedger!$AC237,""))</x:f>
      </x:c>
      <x:c r="X237" s="52" t="str">
        <x:f>IF(CaseLedger!$A237="","",IFERROR(CaseLedger!$AD237,""))</x:f>
      </x:c>
      <x:c r="Y237" s="52" t="str">
        <x:f>IF(CaseLedger!$A237="","",IFERROR(CaseLedger!$AE237,""))</x:f>
      </x:c>
      <x:c r="Z237" s="52" t="str">
        <x:f>IF(CaseLedger!$A237="","",IFERROR(CaseLedger!$AF237,""))</x:f>
      </x:c>
      <x:c r="AA237" s="52" t="str">
        <x:f>IF(CaseLedger!$A237="","",IFERROR(CaseLedger!$AG237,""))</x:f>
      </x:c>
      <x:c r="AB237" s="52" t="str">
        <x:f>IF(CaseLedger!$A237="","",IFERROR(CaseLedger!$AH237,""))</x:f>
      </x:c>
      <x:c r="AC237"/>
    </x:row>
    <x:row r="238">
      <x:c r="A238" s="52" t="str">
        <x:f>IF(CaseLedger!$A238="","",IFERROR(CaseLedger!$A238,""))</x:f>
      </x:c>
      <x:c r="B238" s="52" t="str">
        <x:f>IF(CaseLedger!$A238="","",IFERROR(CaseLedger!$H238,""))</x:f>
      </x:c>
      <x:c r="C238" s="52" t="str">
        <x:f>IF(CaseLedger!$A238="","",IFERROR(CaseLedger!$I238,""))</x:f>
      </x:c>
      <x:c r="D238" s="52" t="str">
        <x:f>IF(CaseLedger!$A238="","",IFERROR(CaseLedger!$J238,""))</x:f>
      </x:c>
      <x:c r="E238" s="52" t="str">
        <x:f>IF(CaseLedger!$A238="","",IFERROR(CaseLedger!$K238,""))</x:f>
      </x:c>
      <x:c r="F238" s="52" t="str">
        <x:f>IF(CaseLedger!$A238="","",IFERROR(CaseLedger!$O238,""))</x:f>
      </x:c>
      <x:c r="G238" s="52" t="str">
        <x:f>IF(CaseLedger!$A238="","",IFERROR(CaseLedger!$E238,""))</x:f>
      </x:c>
      <x:c r="H238" s="52" t="str">
        <x:f>IF(CaseLedger!$A238="","",IFERROR(CaseLedger!$P238,""))</x:f>
      </x:c>
      <x:c r="I238" s="52" t="str">
        <x:f>IF(CaseLedger!$A238="","",IFERROR(CaseLedger!$Q238,""))</x:f>
      </x:c>
      <x:c r="J238" s="52" t="str">
        <x:f>IF(CaseLedger!$A238="","",IFERROR(CaseLedger!$R238,""))</x:f>
      </x:c>
      <x:c r="K238" s="52" t="str">
        <x:f>IF(CaseLedger!$A238="","",IFERROR(CaseLedger!$S238,""))</x:f>
      </x:c>
      <x:c r="L238" s="52" t="str">
        <x:f>IF(CaseLedger!$A238="","",IFERROR(CaseLedger!$T238,""))</x:f>
      </x:c>
      <x:c r="M238" s="52" t="str">
        <x:f>IF(CaseLedger!$A238="","",IFERROR(CaseLedger!$U238,""))</x:f>
      </x:c>
      <x:c r="N238" s="52" t="str">
        <x:f>IF(CaseLedger!$A238="","",IFERROR(CaseLedger!$V238,""))</x:f>
      </x:c>
      <x:c r="O238" s="52" t="str">
        <x:f>IF(CaseLedger!$A238="","",IFERROR(CaseLedger!$W238,""))</x:f>
      </x:c>
      <x:c r="P238" s="52" t="str">
        <x:f>IF(CaseLedger!$A238="","",IFERROR(CaseLedger!$C238,""))</x:f>
      </x:c>
      <x:c r="Q238" s="52" t="str">
        <x:f>IF(CaseLedger!$A238="","",IFERROR(CaseLedger!$D238,""))</x:f>
      </x:c>
      <x:c r="R238" s="52" t="str">
        <x:f>IF(CaseLedger!$A238="","",IFERROR(CaseLedger!$X238,""))</x:f>
      </x:c>
      <x:c r="S238" s="52" t="str">
        <x:f>IF(CaseLedger!$A238="","",IFERROR(CaseLedger!$Y238,""))</x:f>
      </x:c>
      <x:c r="T238" s="52" t="str">
        <x:f>IF(CaseLedger!$A238="","",IFERROR(CaseLedger!$Z238,""))</x:f>
      </x:c>
      <x:c r="U238" s="52" t="str">
        <x:f>IF(CaseLedger!$A238="","",IFERROR(CaseLedger!$AA238,""))</x:f>
      </x:c>
      <x:c r="V238" s="52" t="str">
        <x:f>IF(CaseLedger!$A238="","",IFERROR(CaseLedger!$AB238,""))</x:f>
      </x:c>
      <x:c r="W238" s="52" t="str">
        <x:f>IF(CaseLedger!$A238="","",IFERROR(CaseLedger!$AC238,""))</x:f>
      </x:c>
      <x:c r="X238" s="52" t="str">
        <x:f>IF(CaseLedger!$A238="","",IFERROR(CaseLedger!$AD238,""))</x:f>
      </x:c>
      <x:c r="Y238" s="52" t="str">
        <x:f>IF(CaseLedger!$A238="","",IFERROR(CaseLedger!$AE238,""))</x:f>
      </x:c>
      <x:c r="Z238" s="52" t="str">
        <x:f>IF(CaseLedger!$A238="","",IFERROR(CaseLedger!$AF238,""))</x:f>
      </x:c>
      <x:c r="AA238" s="52" t="str">
        <x:f>IF(CaseLedger!$A238="","",IFERROR(CaseLedger!$AG238,""))</x:f>
      </x:c>
      <x:c r="AB238" s="52" t="str">
        <x:f>IF(CaseLedger!$A238="","",IFERROR(CaseLedger!$AH238,""))</x:f>
      </x:c>
      <x:c r="AC238"/>
    </x:row>
    <x:row r="239">
      <x:c r="A239" s="52" t="str">
        <x:f>IF(CaseLedger!$A239="","",IFERROR(CaseLedger!$A239,""))</x:f>
      </x:c>
      <x:c r="B239" s="52" t="str">
        <x:f>IF(CaseLedger!$A239="","",IFERROR(CaseLedger!$H239,""))</x:f>
      </x:c>
      <x:c r="C239" s="52" t="str">
        <x:f>IF(CaseLedger!$A239="","",IFERROR(CaseLedger!$I239,""))</x:f>
      </x:c>
      <x:c r="D239" s="52" t="str">
        <x:f>IF(CaseLedger!$A239="","",IFERROR(CaseLedger!$J239,""))</x:f>
      </x:c>
      <x:c r="E239" s="52" t="str">
        <x:f>IF(CaseLedger!$A239="","",IFERROR(CaseLedger!$K239,""))</x:f>
      </x:c>
      <x:c r="F239" s="52" t="str">
        <x:f>IF(CaseLedger!$A239="","",IFERROR(CaseLedger!$O239,""))</x:f>
      </x:c>
      <x:c r="G239" s="52" t="str">
        <x:f>IF(CaseLedger!$A239="","",IFERROR(CaseLedger!$E239,""))</x:f>
      </x:c>
      <x:c r="H239" s="52" t="str">
        <x:f>IF(CaseLedger!$A239="","",IFERROR(CaseLedger!$P239,""))</x:f>
      </x:c>
      <x:c r="I239" s="52" t="str">
        <x:f>IF(CaseLedger!$A239="","",IFERROR(CaseLedger!$Q239,""))</x:f>
      </x:c>
      <x:c r="J239" s="52" t="str">
        <x:f>IF(CaseLedger!$A239="","",IFERROR(CaseLedger!$R239,""))</x:f>
      </x:c>
      <x:c r="K239" s="52" t="str">
        <x:f>IF(CaseLedger!$A239="","",IFERROR(CaseLedger!$S239,""))</x:f>
      </x:c>
      <x:c r="L239" s="52" t="str">
        <x:f>IF(CaseLedger!$A239="","",IFERROR(CaseLedger!$T239,""))</x:f>
      </x:c>
      <x:c r="M239" s="52" t="str">
        <x:f>IF(CaseLedger!$A239="","",IFERROR(CaseLedger!$U239,""))</x:f>
      </x:c>
      <x:c r="N239" s="52" t="str">
        <x:f>IF(CaseLedger!$A239="","",IFERROR(CaseLedger!$V239,""))</x:f>
      </x:c>
      <x:c r="O239" s="52" t="str">
        <x:f>IF(CaseLedger!$A239="","",IFERROR(CaseLedger!$W239,""))</x:f>
      </x:c>
      <x:c r="P239" s="52" t="str">
        <x:f>IF(CaseLedger!$A239="","",IFERROR(CaseLedger!$C239,""))</x:f>
      </x:c>
      <x:c r="Q239" s="52" t="str">
        <x:f>IF(CaseLedger!$A239="","",IFERROR(CaseLedger!$D239,""))</x:f>
      </x:c>
      <x:c r="R239" s="52" t="str">
        <x:f>IF(CaseLedger!$A239="","",IFERROR(CaseLedger!$X239,""))</x:f>
      </x:c>
      <x:c r="S239" s="52" t="str">
        <x:f>IF(CaseLedger!$A239="","",IFERROR(CaseLedger!$Y239,""))</x:f>
      </x:c>
      <x:c r="T239" s="52" t="str">
        <x:f>IF(CaseLedger!$A239="","",IFERROR(CaseLedger!$Z239,""))</x:f>
      </x:c>
      <x:c r="U239" s="52" t="str">
        <x:f>IF(CaseLedger!$A239="","",IFERROR(CaseLedger!$AA239,""))</x:f>
      </x:c>
      <x:c r="V239" s="52" t="str">
        <x:f>IF(CaseLedger!$A239="","",IFERROR(CaseLedger!$AB239,""))</x:f>
      </x:c>
      <x:c r="W239" s="52" t="str">
        <x:f>IF(CaseLedger!$A239="","",IFERROR(CaseLedger!$AC239,""))</x:f>
      </x:c>
      <x:c r="X239" s="52" t="str">
        <x:f>IF(CaseLedger!$A239="","",IFERROR(CaseLedger!$AD239,""))</x:f>
      </x:c>
      <x:c r="Y239" s="52" t="str">
        <x:f>IF(CaseLedger!$A239="","",IFERROR(CaseLedger!$AE239,""))</x:f>
      </x:c>
      <x:c r="Z239" s="52" t="str">
        <x:f>IF(CaseLedger!$A239="","",IFERROR(CaseLedger!$AF239,""))</x:f>
      </x:c>
      <x:c r="AA239" s="52" t="str">
        <x:f>IF(CaseLedger!$A239="","",IFERROR(CaseLedger!$AG239,""))</x:f>
      </x:c>
      <x:c r="AB239" s="52" t="str">
        <x:f>IF(CaseLedger!$A239="","",IFERROR(CaseLedger!$AH239,""))</x:f>
      </x:c>
      <x:c r="AC239"/>
    </x:row>
    <x:row r="240">
      <x:c r="A240" s="52" t="str">
        <x:f>IF(CaseLedger!$A240="","",IFERROR(CaseLedger!$A240,""))</x:f>
      </x:c>
      <x:c r="B240" s="52" t="str">
        <x:f>IF(CaseLedger!$A240="","",IFERROR(CaseLedger!$H240,""))</x:f>
      </x:c>
      <x:c r="C240" s="52" t="str">
        <x:f>IF(CaseLedger!$A240="","",IFERROR(CaseLedger!$I240,""))</x:f>
      </x:c>
      <x:c r="D240" s="52" t="str">
        <x:f>IF(CaseLedger!$A240="","",IFERROR(CaseLedger!$J240,""))</x:f>
      </x:c>
      <x:c r="E240" s="52" t="str">
        <x:f>IF(CaseLedger!$A240="","",IFERROR(CaseLedger!$K240,""))</x:f>
      </x:c>
      <x:c r="F240" s="52" t="str">
        <x:f>IF(CaseLedger!$A240="","",IFERROR(CaseLedger!$O240,""))</x:f>
      </x:c>
      <x:c r="G240" s="52" t="str">
        <x:f>IF(CaseLedger!$A240="","",IFERROR(CaseLedger!$E240,""))</x:f>
      </x:c>
      <x:c r="H240" s="52" t="str">
        <x:f>IF(CaseLedger!$A240="","",IFERROR(CaseLedger!$P240,""))</x:f>
      </x:c>
      <x:c r="I240" s="52" t="str">
        <x:f>IF(CaseLedger!$A240="","",IFERROR(CaseLedger!$Q240,""))</x:f>
      </x:c>
      <x:c r="J240" s="52" t="str">
        <x:f>IF(CaseLedger!$A240="","",IFERROR(CaseLedger!$R240,""))</x:f>
      </x:c>
      <x:c r="K240" s="52" t="str">
        <x:f>IF(CaseLedger!$A240="","",IFERROR(CaseLedger!$S240,""))</x:f>
      </x:c>
      <x:c r="L240" s="52" t="str">
        <x:f>IF(CaseLedger!$A240="","",IFERROR(CaseLedger!$T240,""))</x:f>
      </x:c>
      <x:c r="M240" s="52" t="str">
        <x:f>IF(CaseLedger!$A240="","",IFERROR(CaseLedger!$U240,""))</x:f>
      </x:c>
      <x:c r="N240" s="52" t="str">
        <x:f>IF(CaseLedger!$A240="","",IFERROR(CaseLedger!$V240,""))</x:f>
      </x:c>
      <x:c r="O240" s="52" t="str">
        <x:f>IF(CaseLedger!$A240="","",IFERROR(CaseLedger!$W240,""))</x:f>
      </x:c>
      <x:c r="P240" s="52" t="str">
        <x:f>IF(CaseLedger!$A240="","",IFERROR(CaseLedger!$C240,""))</x:f>
      </x:c>
      <x:c r="Q240" s="52" t="str">
        <x:f>IF(CaseLedger!$A240="","",IFERROR(CaseLedger!$D240,""))</x:f>
      </x:c>
      <x:c r="R240" s="52" t="str">
        <x:f>IF(CaseLedger!$A240="","",IFERROR(CaseLedger!$X240,""))</x:f>
      </x:c>
      <x:c r="S240" s="52" t="str">
        <x:f>IF(CaseLedger!$A240="","",IFERROR(CaseLedger!$Y240,""))</x:f>
      </x:c>
      <x:c r="T240" s="52" t="str">
        <x:f>IF(CaseLedger!$A240="","",IFERROR(CaseLedger!$Z240,""))</x:f>
      </x:c>
      <x:c r="U240" s="52" t="str">
        <x:f>IF(CaseLedger!$A240="","",IFERROR(CaseLedger!$AA240,""))</x:f>
      </x:c>
      <x:c r="V240" s="52" t="str">
        <x:f>IF(CaseLedger!$A240="","",IFERROR(CaseLedger!$AB240,""))</x:f>
      </x:c>
      <x:c r="W240" s="52" t="str">
        <x:f>IF(CaseLedger!$A240="","",IFERROR(CaseLedger!$AC240,""))</x:f>
      </x:c>
      <x:c r="X240" s="52" t="str">
        <x:f>IF(CaseLedger!$A240="","",IFERROR(CaseLedger!$AD240,""))</x:f>
      </x:c>
      <x:c r="Y240" s="52" t="str">
        <x:f>IF(CaseLedger!$A240="","",IFERROR(CaseLedger!$AE240,""))</x:f>
      </x:c>
      <x:c r="Z240" s="52" t="str">
        <x:f>IF(CaseLedger!$A240="","",IFERROR(CaseLedger!$AF240,""))</x:f>
      </x:c>
      <x:c r="AA240" s="52" t="str">
        <x:f>IF(CaseLedger!$A240="","",IFERROR(CaseLedger!$AG240,""))</x:f>
      </x:c>
      <x:c r="AB240" s="52" t="str">
        <x:f>IF(CaseLedger!$A240="","",IFERROR(CaseLedger!$AH240,""))</x:f>
      </x:c>
      <x:c r="AC240"/>
    </x:row>
    <x:row r="241">
      <x:c r="A241" s="52" t="str">
        <x:f>IF(CaseLedger!$A241="","",IFERROR(CaseLedger!$A241,""))</x:f>
      </x:c>
      <x:c r="B241" s="52" t="str">
        <x:f>IF(CaseLedger!$A241="","",IFERROR(CaseLedger!$H241,""))</x:f>
      </x:c>
      <x:c r="C241" s="52" t="str">
        <x:f>IF(CaseLedger!$A241="","",IFERROR(CaseLedger!$I241,""))</x:f>
      </x:c>
      <x:c r="D241" s="52" t="str">
        <x:f>IF(CaseLedger!$A241="","",IFERROR(CaseLedger!$J241,""))</x:f>
      </x:c>
      <x:c r="E241" s="52" t="str">
        <x:f>IF(CaseLedger!$A241="","",IFERROR(CaseLedger!$K241,""))</x:f>
      </x:c>
      <x:c r="F241" s="52" t="str">
        <x:f>IF(CaseLedger!$A241="","",IFERROR(CaseLedger!$O241,""))</x:f>
      </x:c>
      <x:c r="G241" s="52" t="str">
        <x:f>IF(CaseLedger!$A241="","",IFERROR(CaseLedger!$E241,""))</x:f>
      </x:c>
      <x:c r="H241" s="52" t="str">
        <x:f>IF(CaseLedger!$A241="","",IFERROR(CaseLedger!$P241,""))</x:f>
      </x:c>
      <x:c r="I241" s="52" t="str">
        <x:f>IF(CaseLedger!$A241="","",IFERROR(CaseLedger!$Q241,""))</x:f>
      </x:c>
      <x:c r="J241" s="52" t="str">
        <x:f>IF(CaseLedger!$A241="","",IFERROR(CaseLedger!$R241,""))</x:f>
      </x:c>
      <x:c r="K241" s="52" t="str">
        <x:f>IF(CaseLedger!$A241="","",IFERROR(CaseLedger!$S241,""))</x:f>
      </x:c>
      <x:c r="L241" s="52" t="str">
        <x:f>IF(CaseLedger!$A241="","",IFERROR(CaseLedger!$T241,""))</x:f>
      </x:c>
      <x:c r="M241" s="52" t="str">
        <x:f>IF(CaseLedger!$A241="","",IFERROR(CaseLedger!$U241,""))</x:f>
      </x:c>
      <x:c r="N241" s="52" t="str">
        <x:f>IF(CaseLedger!$A241="","",IFERROR(CaseLedger!$V241,""))</x:f>
      </x:c>
      <x:c r="O241" s="52" t="str">
        <x:f>IF(CaseLedger!$A241="","",IFERROR(CaseLedger!$W241,""))</x:f>
      </x:c>
      <x:c r="P241" s="52" t="str">
        <x:f>IF(CaseLedger!$A241="","",IFERROR(CaseLedger!$C241,""))</x:f>
      </x:c>
      <x:c r="Q241" s="52" t="str">
        <x:f>IF(CaseLedger!$A241="","",IFERROR(CaseLedger!$D241,""))</x:f>
      </x:c>
      <x:c r="R241" s="52" t="str">
        <x:f>IF(CaseLedger!$A241="","",IFERROR(CaseLedger!$X241,""))</x:f>
      </x:c>
      <x:c r="S241" s="52" t="str">
        <x:f>IF(CaseLedger!$A241="","",IFERROR(CaseLedger!$Y241,""))</x:f>
      </x:c>
      <x:c r="T241" s="52" t="str">
        <x:f>IF(CaseLedger!$A241="","",IFERROR(CaseLedger!$Z241,""))</x:f>
      </x:c>
      <x:c r="U241" s="52" t="str">
        <x:f>IF(CaseLedger!$A241="","",IFERROR(CaseLedger!$AA241,""))</x:f>
      </x:c>
      <x:c r="V241" s="52" t="str">
        <x:f>IF(CaseLedger!$A241="","",IFERROR(CaseLedger!$AB241,""))</x:f>
      </x:c>
      <x:c r="W241" s="52" t="str">
        <x:f>IF(CaseLedger!$A241="","",IFERROR(CaseLedger!$AC241,""))</x:f>
      </x:c>
      <x:c r="X241" s="52" t="str">
        <x:f>IF(CaseLedger!$A241="","",IFERROR(CaseLedger!$AD241,""))</x:f>
      </x:c>
      <x:c r="Y241" s="52" t="str">
        <x:f>IF(CaseLedger!$A241="","",IFERROR(CaseLedger!$AE241,""))</x:f>
      </x:c>
      <x:c r="Z241" s="52" t="str">
        <x:f>IF(CaseLedger!$A241="","",IFERROR(CaseLedger!$AF241,""))</x:f>
      </x:c>
      <x:c r="AA241" s="52" t="str">
        <x:f>IF(CaseLedger!$A241="","",IFERROR(CaseLedger!$AG241,""))</x:f>
      </x:c>
      <x:c r="AB241" s="52" t="str">
        <x:f>IF(CaseLedger!$A241="","",IFERROR(CaseLedger!$AH241,""))</x:f>
      </x:c>
      <x:c r="AC241"/>
    </x:row>
    <x:row r="242">
      <x:c r="A242" s="52" t="str">
        <x:f>IF(CaseLedger!$A242="","",IFERROR(CaseLedger!$A242,""))</x:f>
      </x:c>
      <x:c r="B242" s="52" t="str">
        <x:f>IF(CaseLedger!$A242="","",IFERROR(CaseLedger!$H242,""))</x:f>
      </x:c>
      <x:c r="C242" s="52" t="str">
        <x:f>IF(CaseLedger!$A242="","",IFERROR(CaseLedger!$I242,""))</x:f>
      </x:c>
      <x:c r="D242" s="52" t="str">
        <x:f>IF(CaseLedger!$A242="","",IFERROR(CaseLedger!$J242,""))</x:f>
      </x:c>
      <x:c r="E242" s="52" t="str">
        <x:f>IF(CaseLedger!$A242="","",IFERROR(CaseLedger!$K242,""))</x:f>
      </x:c>
      <x:c r="F242" s="52" t="str">
        <x:f>IF(CaseLedger!$A242="","",IFERROR(CaseLedger!$O242,""))</x:f>
      </x:c>
      <x:c r="G242" s="52" t="str">
        <x:f>IF(CaseLedger!$A242="","",IFERROR(CaseLedger!$E242,""))</x:f>
      </x:c>
      <x:c r="H242" s="52" t="str">
        <x:f>IF(CaseLedger!$A242="","",IFERROR(CaseLedger!$P242,""))</x:f>
      </x:c>
      <x:c r="I242" s="52" t="str">
        <x:f>IF(CaseLedger!$A242="","",IFERROR(CaseLedger!$Q242,""))</x:f>
      </x:c>
      <x:c r="J242" s="52" t="str">
        <x:f>IF(CaseLedger!$A242="","",IFERROR(CaseLedger!$R242,""))</x:f>
      </x:c>
      <x:c r="K242" s="52" t="str">
        <x:f>IF(CaseLedger!$A242="","",IFERROR(CaseLedger!$S242,""))</x:f>
      </x:c>
      <x:c r="L242" s="52" t="str">
        <x:f>IF(CaseLedger!$A242="","",IFERROR(CaseLedger!$T242,""))</x:f>
      </x:c>
      <x:c r="M242" s="52" t="str">
        <x:f>IF(CaseLedger!$A242="","",IFERROR(CaseLedger!$U242,""))</x:f>
      </x:c>
      <x:c r="N242" s="52" t="str">
        <x:f>IF(CaseLedger!$A242="","",IFERROR(CaseLedger!$V242,""))</x:f>
      </x:c>
      <x:c r="O242" s="52" t="str">
        <x:f>IF(CaseLedger!$A242="","",IFERROR(CaseLedger!$W242,""))</x:f>
      </x:c>
      <x:c r="P242" s="52" t="str">
        <x:f>IF(CaseLedger!$A242="","",IFERROR(CaseLedger!$C242,""))</x:f>
      </x:c>
      <x:c r="Q242" s="52" t="str">
        <x:f>IF(CaseLedger!$A242="","",IFERROR(CaseLedger!$D242,""))</x:f>
      </x:c>
      <x:c r="R242" s="52" t="str">
        <x:f>IF(CaseLedger!$A242="","",IFERROR(CaseLedger!$X242,""))</x:f>
      </x:c>
      <x:c r="S242" s="52" t="str">
        <x:f>IF(CaseLedger!$A242="","",IFERROR(CaseLedger!$Y242,""))</x:f>
      </x:c>
      <x:c r="T242" s="52" t="str">
        <x:f>IF(CaseLedger!$A242="","",IFERROR(CaseLedger!$Z242,""))</x:f>
      </x:c>
      <x:c r="U242" s="52" t="str">
        <x:f>IF(CaseLedger!$A242="","",IFERROR(CaseLedger!$AA242,""))</x:f>
      </x:c>
      <x:c r="V242" s="52" t="str">
        <x:f>IF(CaseLedger!$A242="","",IFERROR(CaseLedger!$AB242,""))</x:f>
      </x:c>
      <x:c r="W242" s="52" t="str">
        <x:f>IF(CaseLedger!$A242="","",IFERROR(CaseLedger!$AC242,""))</x:f>
      </x:c>
      <x:c r="X242" s="52" t="str">
        <x:f>IF(CaseLedger!$A242="","",IFERROR(CaseLedger!$AD242,""))</x:f>
      </x:c>
      <x:c r="Y242" s="52" t="str">
        <x:f>IF(CaseLedger!$A242="","",IFERROR(CaseLedger!$AE242,""))</x:f>
      </x:c>
      <x:c r="Z242" s="52" t="str">
        <x:f>IF(CaseLedger!$A242="","",IFERROR(CaseLedger!$AF242,""))</x:f>
      </x:c>
      <x:c r="AA242" s="52" t="str">
        <x:f>IF(CaseLedger!$A242="","",IFERROR(CaseLedger!$AG242,""))</x:f>
      </x:c>
      <x:c r="AB242" s="52" t="str">
        <x:f>IF(CaseLedger!$A242="","",IFERROR(CaseLedger!$AH242,""))</x:f>
      </x:c>
      <x:c r="AC242"/>
    </x:row>
    <x:row r="243">
      <x:c r="A243" s="52" t="str">
        <x:f>IF(CaseLedger!$A243="","",IFERROR(CaseLedger!$A243,""))</x:f>
      </x:c>
      <x:c r="B243" s="52" t="str">
        <x:f>IF(CaseLedger!$A243="","",IFERROR(CaseLedger!$H243,""))</x:f>
      </x:c>
      <x:c r="C243" s="52" t="str">
        <x:f>IF(CaseLedger!$A243="","",IFERROR(CaseLedger!$I243,""))</x:f>
      </x:c>
      <x:c r="D243" s="52" t="str">
        <x:f>IF(CaseLedger!$A243="","",IFERROR(CaseLedger!$J243,""))</x:f>
      </x:c>
      <x:c r="E243" s="52" t="str">
        <x:f>IF(CaseLedger!$A243="","",IFERROR(CaseLedger!$K243,""))</x:f>
      </x:c>
      <x:c r="F243" s="52" t="str">
        <x:f>IF(CaseLedger!$A243="","",IFERROR(CaseLedger!$O243,""))</x:f>
      </x:c>
      <x:c r="G243" s="52" t="str">
        <x:f>IF(CaseLedger!$A243="","",IFERROR(CaseLedger!$E243,""))</x:f>
      </x:c>
      <x:c r="H243" s="52" t="str">
        <x:f>IF(CaseLedger!$A243="","",IFERROR(CaseLedger!$P243,""))</x:f>
      </x:c>
      <x:c r="I243" s="52" t="str">
        <x:f>IF(CaseLedger!$A243="","",IFERROR(CaseLedger!$Q243,""))</x:f>
      </x:c>
      <x:c r="J243" s="52" t="str">
        <x:f>IF(CaseLedger!$A243="","",IFERROR(CaseLedger!$R243,""))</x:f>
      </x:c>
      <x:c r="K243" s="52" t="str">
        <x:f>IF(CaseLedger!$A243="","",IFERROR(CaseLedger!$S243,""))</x:f>
      </x:c>
      <x:c r="L243" s="52" t="str">
        <x:f>IF(CaseLedger!$A243="","",IFERROR(CaseLedger!$T243,""))</x:f>
      </x:c>
      <x:c r="M243" s="52" t="str">
        <x:f>IF(CaseLedger!$A243="","",IFERROR(CaseLedger!$U243,""))</x:f>
      </x:c>
      <x:c r="N243" s="52" t="str">
        <x:f>IF(CaseLedger!$A243="","",IFERROR(CaseLedger!$V243,""))</x:f>
      </x:c>
      <x:c r="O243" s="52" t="str">
        <x:f>IF(CaseLedger!$A243="","",IFERROR(CaseLedger!$W243,""))</x:f>
      </x:c>
      <x:c r="P243" s="52" t="str">
        <x:f>IF(CaseLedger!$A243="","",IFERROR(CaseLedger!$C243,""))</x:f>
      </x:c>
      <x:c r="Q243" s="52" t="str">
        <x:f>IF(CaseLedger!$A243="","",IFERROR(CaseLedger!$D243,""))</x:f>
      </x:c>
      <x:c r="R243" s="52" t="str">
        <x:f>IF(CaseLedger!$A243="","",IFERROR(CaseLedger!$X243,""))</x:f>
      </x:c>
      <x:c r="S243" s="52" t="str">
        <x:f>IF(CaseLedger!$A243="","",IFERROR(CaseLedger!$Y243,""))</x:f>
      </x:c>
      <x:c r="T243" s="52" t="str">
        <x:f>IF(CaseLedger!$A243="","",IFERROR(CaseLedger!$Z243,""))</x:f>
      </x:c>
      <x:c r="U243" s="52" t="str">
        <x:f>IF(CaseLedger!$A243="","",IFERROR(CaseLedger!$AA243,""))</x:f>
      </x:c>
      <x:c r="V243" s="52" t="str">
        <x:f>IF(CaseLedger!$A243="","",IFERROR(CaseLedger!$AB243,""))</x:f>
      </x:c>
      <x:c r="W243" s="52" t="str">
        <x:f>IF(CaseLedger!$A243="","",IFERROR(CaseLedger!$AC243,""))</x:f>
      </x:c>
      <x:c r="X243" s="52" t="str">
        <x:f>IF(CaseLedger!$A243="","",IFERROR(CaseLedger!$AD243,""))</x:f>
      </x:c>
      <x:c r="Y243" s="52" t="str">
        <x:f>IF(CaseLedger!$A243="","",IFERROR(CaseLedger!$AE243,""))</x:f>
      </x:c>
      <x:c r="Z243" s="52" t="str">
        <x:f>IF(CaseLedger!$A243="","",IFERROR(CaseLedger!$AF243,""))</x:f>
      </x:c>
      <x:c r="AA243" s="52" t="str">
        <x:f>IF(CaseLedger!$A243="","",IFERROR(CaseLedger!$AG243,""))</x:f>
      </x:c>
      <x:c r="AB243" s="52" t="str">
        <x:f>IF(CaseLedger!$A243="","",IFERROR(CaseLedger!$AH243,""))</x:f>
      </x:c>
      <x:c r="AC243"/>
    </x:row>
    <x:row r="244">
      <x:c r="A244" s="52" t="str">
        <x:f>IF(CaseLedger!$A244="","",IFERROR(CaseLedger!$A244,""))</x:f>
      </x:c>
      <x:c r="B244" s="52" t="str">
        <x:f>IF(CaseLedger!$A244="","",IFERROR(CaseLedger!$H244,""))</x:f>
      </x:c>
      <x:c r="C244" s="52" t="str">
        <x:f>IF(CaseLedger!$A244="","",IFERROR(CaseLedger!$I244,""))</x:f>
      </x:c>
      <x:c r="D244" s="52" t="str">
        <x:f>IF(CaseLedger!$A244="","",IFERROR(CaseLedger!$J244,""))</x:f>
      </x:c>
      <x:c r="E244" s="52" t="str">
        <x:f>IF(CaseLedger!$A244="","",IFERROR(CaseLedger!$K244,""))</x:f>
      </x:c>
      <x:c r="F244" s="52" t="str">
        <x:f>IF(CaseLedger!$A244="","",IFERROR(CaseLedger!$O244,""))</x:f>
      </x:c>
      <x:c r="G244" s="52" t="str">
        <x:f>IF(CaseLedger!$A244="","",IFERROR(CaseLedger!$E244,""))</x:f>
      </x:c>
      <x:c r="H244" s="52" t="str">
        <x:f>IF(CaseLedger!$A244="","",IFERROR(CaseLedger!$P244,""))</x:f>
      </x:c>
      <x:c r="I244" s="52" t="str">
        <x:f>IF(CaseLedger!$A244="","",IFERROR(CaseLedger!$Q244,""))</x:f>
      </x:c>
      <x:c r="J244" s="52" t="str">
        <x:f>IF(CaseLedger!$A244="","",IFERROR(CaseLedger!$R244,""))</x:f>
      </x:c>
      <x:c r="K244" s="52" t="str">
        <x:f>IF(CaseLedger!$A244="","",IFERROR(CaseLedger!$S244,""))</x:f>
      </x:c>
      <x:c r="L244" s="52" t="str">
        <x:f>IF(CaseLedger!$A244="","",IFERROR(CaseLedger!$T244,""))</x:f>
      </x:c>
      <x:c r="M244" s="52" t="str">
        <x:f>IF(CaseLedger!$A244="","",IFERROR(CaseLedger!$U244,""))</x:f>
      </x:c>
      <x:c r="N244" s="52" t="str">
        <x:f>IF(CaseLedger!$A244="","",IFERROR(CaseLedger!$V244,""))</x:f>
      </x:c>
      <x:c r="O244" s="52" t="str">
        <x:f>IF(CaseLedger!$A244="","",IFERROR(CaseLedger!$W244,""))</x:f>
      </x:c>
      <x:c r="P244" s="52" t="str">
        <x:f>IF(CaseLedger!$A244="","",IFERROR(CaseLedger!$C244,""))</x:f>
      </x:c>
      <x:c r="Q244" s="52" t="str">
        <x:f>IF(CaseLedger!$A244="","",IFERROR(CaseLedger!$D244,""))</x:f>
      </x:c>
      <x:c r="R244" s="52" t="str">
        <x:f>IF(CaseLedger!$A244="","",IFERROR(CaseLedger!$X244,""))</x:f>
      </x:c>
      <x:c r="S244" s="52" t="str">
        <x:f>IF(CaseLedger!$A244="","",IFERROR(CaseLedger!$Y244,""))</x:f>
      </x:c>
      <x:c r="T244" s="52" t="str">
        <x:f>IF(CaseLedger!$A244="","",IFERROR(CaseLedger!$Z244,""))</x:f>
      </x:c>
      <x:c r="U244" s="52" t="str">
        <x:f>IF(CaseLedger!$A244="","",IFERROR(CaseLedger!$AA244,""))</x:f>
      </x:c>
      <x:c r="V244" s="52" t="str">
        <x:f>IF(CaseLedger!$A244="","",IFERROR(CaseLedger!$AB244,""))</x:f>
      </x:c>
      <x:c r="W244" s="52" t="str">
        <x:f>IF(CaseLedger!$A244="","",IFERROR(CaseLedger!$AC244,""))</x:f>
      </x:c>
      <x:c r="X244" s="52" t="str">
        <x:f>IF(CaseLedger!$A244="","",IFERROR(CaseLedger!$AD244,""))</x:f>
      </x:c>
      <x:c r="Y244" s="52" t="str">
        <x:f>IF(CaseLedger!$A244="","",IFERROR(CaseLedger!$AE244,""))</x:f>
      </x:c>
      <x:c r="Z244" s="52" t="str">
        <x:f>IF(CaseLedger!$A244="","",IFERROR(CaseLedger!$AF244,""))</x:f>
      </x:c>
      <x:c r="AA244" s="52" t="str">
        <x:f>IF(CaseLedger!$A244="","",IFERROR(CaseLedger!$AG244,""))</x:f>
      </x:c>
      <x:c r="AB244" s="52" t="str">
        <x:f>IF(CaseLedger!$A244="","",IFERROR(CaseLedger!$AH244,""))</x:f>
      </x:c>
      <x:c r="AC244"/>
    </x:row>
    <x:row r="245">
      <x:c r="A245" s="52" t="str">
        <x:f>IF(CaseLedger!$A245="","",IFERROR(CaseLedger!$A245,""))</x:f>
      </x:c>
      <x:c r="B245" s="52" t="str">
        <x:f>IF(CaseLedger!$A245="","",IFERROR(CaseLedger!$H245,""))</x:f>
      </x:c>
      <x:c r="C245" s="52" t="str">
        <x:f>IF(CaseLedger!$A245="","",IFERROR(CaseLedger!$I245,""))</x:f>
      </x:c>
      <x:c r="D245" s="52" t="str">
        <x:f>IF(CaseLedger!$A245="","",IFERROR(CaseLedger!$J245,""))</x:f>
      </x:c>
      <x:c r="E245" s="52" t="str">
        <x:f>IF(CaseLedger!$A245="","",IFERROR(CaseLedger!$K245,""))</x:f>
      </x:c>
      <x:c r="F245" s="52" t="str">
        <x:f>IF(CaseLedger!$A245="","",IFERROR(CaseLedger!$O245,""))</x:f>
      </x:c>
      <x:c r="G245" s="52" t="str">
        <x:f>IF(CaseLedger!$A245="","",IFERROR(CaseLedger!$E245,""))</x:f>
      </x:c>
      <x:c r="H245" s="52" t="str">
        <x:f>IF(CaseLedger!$A245="","",IFERROR(CaseLedger!$P245,""))</x:f>
      </x:c>
      <x:c r="I245" s="52" t="str">
        <x:f>IF(CaseLedger!$A245="","",IFERROR(CaseLedger!$Q245,""))</x:f>
      </x:c>
      <x:c r="J245" s="52" t="str">
        <x:f>IF(CaseLedger!$A245="","",IFERROR(CaseLedger!$R245,""))</x:f>
      </x:c>
      <x:c r="K245" s="52" t="str">
        <x:f>IF(CaseLedger!$A245="","",IFERROR(CaseLedger!$S245,""))</x:f>
      </x:c>
      <x:c r="L245" s="52" t="str">
        <x:f>IF(CaseLedger!$A245="","",IFERROR(CaseLedger!$T245,""))</x:f>
      </x:c>
      <x:c r="M245" s="52" t="str">
        <x:f>IF(CaseLedger!$A245="","",IFERROR(CaseLedger!$U245,""))</x:f>
      </x:c>
      <x:c r="N245" s="52" t="str">
        <x:f>IF(CaseLedger!$A245="","",IFERROR(CaseLedger!$V245,""))</x:f>
      </x:c>
      <x:c r="O245" s="52" t="str">
        <x:f>IF(CaseLedger!$A245="","",IFERROR(CaseLedger!$W245,""))</x:f>
      </x:c>
      <x:c r="P245" s="52" t="str">
        <x:f>IF(CaseLedger!$A245="","",IFERROR(CaseLedger!$C245,""))</x:f>
      </x:c>
      <x:c r="Q245" s="52" t="str">
        <x:f>IF(CaseLedger!$A245="","",IFERROR(CaseLedger!$D245,""))</x:f>
      </x:c>
      <x:c r="R245" s="52" t="str">
        <x:f>IF(CaseLedger!$A245="","",IFERROR(CaseLedger!$X245,""))</x:f>
      </x:c>
      <x:c r="S245" s="52" t="str">
        <x:f>IF(CaseLedger!$A245="","",IFERROR(CaseLedger!$Y245,""))</x:f>
      </x:c>
      <x:c r="T245" s="52" t="str">
        <x:f>IF(CaseLedger!$A245="","",IFERROR(CaseLedger!$Z245,""))</x:f>
      </x:c>
      <x:c r="U245" s="52" t="str">
        <x:f>IF(CaseLedger!$A245="","",IFERROR(CaseLedger!$AA245,""))</x:f>
      </x:c>
      <x:c r="V245" s="52" t="str">
        <x:f>IF(CaseLedger!$A245="","",IFERROR(CaseLedger!$AB245,""))</x:f>
      </x:c>
      <x:c r="W245" s="52" t="str">
        <x:f>IF(CaseLedger!$A245="","",IFERROR(CaseLedger!$AC245,""))</x:f>
      </x:c>
      <x:c r="X245" s="52" t="str">
        <x:f>IF(CaseLedger!$A245="","",IFERROR(CaseLedger!$AD245,""))</x:f>
      </x:c>
      <x:c r="Y245" s="52" t="str">
        <x:f>IF(CaseLedger!$A245="","",IFERROR(CaseLedger!$AE245,""))</x:f>
      </x:c>
      <x:c r="Z245" s="52" t="str">
        <x:f>IF(CaseLedger!$A245="","",IFERROR(CaseLedger!$AF245,""))</x:f>
      </x:c>
      <x:c r="AA245" s="52" t="str">
        <x:f>IF(CaseLedger!$A245="","",IFERROR(CaseLedger!$AG245,""))</x:f>
      </x:c>
      <x:c r="AB245" s="52" t="str">
        <x:f>IF(CaseLedger!$A245="","",IFERROR(CaseLedger!$AH245,""))</x:f>
      </x:c>
      <x:c r="AC245"/>
    </x:row>
    <x:row r="246">
      <x:c r="A246" s="52" t="str">
        <x:f>IF(CaseLedger!$A246="","",IFERROR(CaseLedger!$A246,""))</x:f>
      </x:c>
      <x:c r="B246" s="52" t="str">
        <x:f>IF(CaseLedger!$A246="","",IFERROR(CaseLedger!$H246,""))</x:f>
      </x:c>
      <x:c r="C246" s="52" t="str">
        <x:f>IF(CaseLedger!$A246="","",IFERROR(CaseLedger!$I246,""))</x:f>
      </x:c>
      <x:c r="D246" s="52" t="str">
        <x:f>IF(CaseLedger!$A246="","",IFERROR(CaseLedger!$J246,""))</x:f>
      </x:c>
      <x:c r="E246" s="52" t="str">
        <x:f>IF(CaseLedger!$A246="","",IFERROR(CaseLedger!$K246,""))</x:f>
      </x:c>
      <x:c r="F246" s="52" t="str">
        <x:f>IF(CaseLedger!$A246="","",IFERROR(CaseLedger!$O246,""))</x:f>
      </x:c>
      <x:c r="G246" s="52" t="str">
        <x:f>IF(CaseLedger!$A246="","",IFERROR(CaseLedger!$E246,""))</x:f>
      </x:c>
      <x:c r="H246" s="52" t="str">
        <x:f>IF(CaseLedger!$A246="","",IFERROR(CaseLedger!$P246,""))</x:f>
      </x:c>
      <x:c r="I246" s="52" t="str">
        <x:f>IF(CaseLedger!$A246="","",IFERROR(CaseLedger!$Q246,""))</x:f>
      </x:c>
      <x:c r="J246" s="52" t="str">
        <x:f>IF(CaseLedger!$A246="","",IFERROR(CaseLedger!$R246,""))</x:f>
      </x:c>
      <x:c r="K246" s="52" t="str">
        <x:f>IF(CaseLedger!$A246="","",IFERROR(CaseLedger!$S246,""))</x:f>
      </x:c>
      <x:c r="L246" s="52" t="str">
        <x:f>IF(CaseLedger!$A246="","",IFERROR(CaseLedger!$T246,""))</x:f>
      </x:c>
      <x:c r="M246" s="52" t="str">
        <x:f>IF(CaseLedger!$A246="","",IFERROR(CaseLedger!$U246,""))</x:f>
      </x:c>
      <x:c r="N246" s="52" t="str">
        <x:f>IF(CaseLedger!$A246="","",IFERROR(CaseLedger!$V246,""))</x:f>
      </x:c>
      <x:c r="O246" s="52" t="str">
        <x:f>IF(CaseLedger!$A246="","",IFERROR(CaseLedger!$W246,""))</x:f>
      </x:c>
      <x:c r="P246" s="52" t="str">
        <x:f>IF(CaseLedger!$A246="","",IFERROR(CaseLedger!$C246,""))</x:f>
      </x:c>
      <x:c r="Q246" s="52" t="str">
        <x:f>IF(CaseLedger!$A246="","",IFERROR(CaseLedger!$D246,""))</x:f>
      </x:c>
      <x:c r="R246" s="52" t="str">
        <x:f>IF(CaseLedger!$A246="","",IFERROR(CaseLedger!$X246,""))</x:f>
      </x:c>
      <x:c r="S246" s="52" t="str">
        <x:f>IF(CaseLedger!$A246="","",IFERROR(CaseLedger!$Y246,""))</x:f>
      </x:c>
      <x:c r="T246" s="52" t="str">
        <x:f>IF(CaseLedger!$A246="","",IFERROR(CaseLedger!$Z246,""))</x:f>
      </x:c>
      <x:c r="U246" s="52" t="str">
        <x:f>IF(CaseLedger!$A246="","",IFERROR(CaseLedger!$AA246,""))</x:f>
      </x:c>
      <x:c r="V246" s="52" t="str">
        <x:f>IF(CaseLedger!$A246="","",IFERROR(CaseLedger!$AB246,""))</x:f>
      </x:c>
      <x:c r="W246" s="52" t="str">
        <x:f>IF(CaseLedger!$A246="","",IFERROR(CaseLedger!$AC246,""))</x:f>
      </x:c>
      <x:c r="X246" s="52" t="str">
        <x:f>IF(CaseLedger!$A246="","",IFERROR(CaseLedger!$AD246,""))</x:f>
      </x:c>
      <x:c r="Y246" s="52" t="str">
        <x:f>IF(CaseLedger!$A246="","",IFERROR(CaseLedger!$AE246,""))</x:f>
      </x:c>
      <x:c r="Z246" s="52" t="str">
        <x:f>IF(CaseLedger!$A246="","",IFERROR(CaseLedger!$AF246,""))</x:f>
      </x:c>
      <x:c r="AA246" s="52" t="str">
        <x:f>IF(CaseLedger!$A246="","",IFERROR(CaseLedger!$AG246,""))</x:f>
      </x:c>
      <x:c r="AB246" s="52" t="str">
        <x:f>IF(CaseLedger!$A246="","",IFERROR(CaseLedger!$AH246,""))</x:f>
      </x:c>
      <x:c r="AC246"/>
    </x:row>
    <x:row r="247">
      <x:c r="A247" s="52" t="str">
        <x:f>IF(CaseLedger!$A247="","",IFERROR(CaseLedger!$A247,""))</x:f>
      </x:c>
      <x:c r="B247" s="52" t="str">
        <x:f>IF(CaseLedger!$A247="","",IFERROR(CaseLedger!$H247,""))</x:f>
      </x:c>
      <x:c r="C247" s="52" t="str">
        <x:f>IF(CaseLedger!$A247="","",IFERROR(CaseLedger!$I247,""))</x:f>
      </x:c>
      <x:c r="D247" s="52" t="str">
        <x:f>IF(CaseLedger!$A247="","",IFERROR(CaseLedger!$J247,""))</x:f>
      </x:c>
      <x:c r="E247" s="52" t="str">
        <x:f>IF(CaseLedger!$A247="","",IFERROR(CaseLedger!$K247,""))</x:f>
      </x:c>
      <x:c r="F247" s="52" t="str">
        <x:f>IF(CaseLedger!$A247="","",IFERROR(CaseLedger!$O247,""))</x:f>
      </x:c>
      <x:c r="G247" s="52" t="str">
        <x:f>IF(CaseLedger!$A247="","",IFERROR(CaseLedger!$E247,""))</x:f>
      </x:c>
      <x:c r="H247" s="52" t="str">
        <x:f>IF(CaseLedger!$A247="","",IFERROR(CaseLedger!$P247,""))</x:f>
      </x:c>
      <x:c r="I247" s="52" t="str">
        <x:f>IF(CaseLedger!$A247="","",IFERROR(CaseLedger!$Q247,""))</x:f>
      </x:c>
      <x:c r="J247" s="52" t="str">
        <x:f>IF(CaseLedger!$A247="","",IFERROR(CaseLedger!$R247,""))</x:f>
      </x:c>
      <x:c r="K247" s="52" t="str">
        <x:f>IF(CaseLedger!$A247="","",IFERROR(CaseLedger!$S247,""))</x:f>
      </x:c>
      <x:c r="L247" s="52" t="str">
        <x:f>IF(CaseLedger!$A247="","",IFERROR(CaseLedger!$T247,""))</x:f>
      </x:c>
      <x:c r="M247" s="52" t="str">
        <x:f>IF(CaseLedger!$A247="","",IFERROR(CaseLedger!$U247,""))</x:f>
      </x:c>
      <x:c r="N247" s="52" t="str">
        <x:f>IF(CaseLedger!$A247="","",IFERROR(CaseLedger!$V247,""))</x:f>
      </x:c>
      <x:c r="O247" s="52" t="str">
        <x:f>IF(CaseLedger!$A247="","",IFERROR(CaseLedger!$W247,""))</x:f>
      </x:c>
      <x:c r="P247" s="52" t="str">
        <x:f>IF(CaseLedger!$A247="","",IFERROR(CaseLedger!$C247,""))</x:f>
      </x:c>
      <x:c r="Q247" s="52" t="str">
        <x:f>IF(CaseLedger!$A247="","",IFERROR(CaseLedger!$D247,""))</x:f>
      </x:c>
      <x:c r="R247" s="52" t="str">
        <x:f>IF(CaseLedger!$A247="","",IFERROR(CaseLedger!$X247,""))</x:f>
      </x:c>
      <x:c r="S247" s="52" t="str">
        <x:f>IF(CaseLedger!$A247="","",IFERROR(CaseLedger!$Y247,""))</x:f>
      </x:c>
      <x:c r="T247" s="52" t="str">
        <x:f>IF(CaseLedger!$A247="","",IFERROR(CaseLedger!$Z247,""))</x:f>
      </x:c>
      <x:c r="U247" s="52" t="str">
        <x:f>IF(CaseLedger!$A247="","",IFERROR(CaseLedger!$AA247,""))</x:f>
      </x:c>
      <x:c r="V247" s="52" t="str">
        <x:f>IF(CaseLedger!$A247="","",IFERROR(CaseLedger!$AB247,""))</x:f>
      </x:c>
      <x:c r="W247" s="52" t="str">
        <x:f>IF(CaseLedger!$A247="","",IFERROR(CaseLedger!$AC247,""))</x:f>
      </x:c>
      <x:c r="X247" s="52" t="str">
        <x:f>IF(CaseLedger!$A247="","",IFERROR(CaseLedger!$AD247,""))</x:f>
      </x:c>
      <x:c r="Y247" s="52" t="str">
        <x:f>IF(CaseLedger!$A247="","",IFERROR(CaseLedger!$AE247,""))</x:f>
      </x:c>
      <x:c r="Z247" s="52" t="str">
        <x:f>IF(CaseLedger!$A247="","",IFERROR(CaseLedger!$AF247,""))</x:f>
      </x:c>
      <x:c r="AA247" s="52" t="str">
        <x:f>IF(CaseLedger!$A247="","",IFERROR(CaseLedger!$AG247,""))</x:f>
      </x:c>
      <x:c r="AB247" s="52" t="str">
        <x:f>IF(CaseLedger!$A247="","",IFERROR(CaseLedger!$AH247,""))</x:f>
      </x:c>
      <x:c r="AC247"/>
    </x:row>
    <x:row r="248">
      <x:c r="A248" s="52" t="str">
        <x:f>IF(CaseLedger!$A248="","",IFERROR(CaseLedger!$A248,""))</x:f>
      </x:c>
      <x:c r="B248" s="52" t="str">
        <x:f>IF(CaseLedger!$A248="","",IFERROR(CaseLedger!$H248,""))</x:f>
      </x:c>
      <x:c r="C248" s="52" t="str">
        <x:f>IF(CaseLedger!$A248="","",IFERROR(CaseLedger!$I248,""))</x:f>
      </x:c>
      <x:c r="D248" s="52" t="str">
        <x:f>IF(CaseLedger!$A248="","",IFERROR(CaseLedger!$J248,""))</x:f>
      </x:c>
      <x:c r="E248" s="52" t="str">
        <x:f>IF(CaseLedger!$A248="","",IFERROR(CaseLedger!$K248,""))</x:f>
      </x:c>
      <x:c r="F248" s="52" t="str">
        <x:f>IF(CaseLedger!$A248="","",IFERROR(CaseLedger!$O248,""))</x:f>
      </x:c>
      <x:c r="G248" s="52" t="str">
        <x:f>IF(CaseLedger!$A248="","",IFERROR(CaseLedger!$E248,""))</x:f>
      </x:c>
      <x:c r="H248" s="52" t="str">
        <x:f>IF(CaseLedger!$A248="","",IFERROR(CaseLedger!$P248,""))</x:f>
      </x:c>
      <x:c r="I248" s="52" t="str">
        <x:f>IF(CaseLedger!$A248="","",IFERROR(CaseLedger!$Q248,""))</x:f>
      </x:c>
      <x:c r="J248" s="52" t="str">
        <x:f>IF(CaseLedger!$A248="","",IFERROR(CaseLedger!$R248,""))</x:f>
      </x:c>
      <x:c r="K248" s="52" t="str">
        <x:f>IF(CaseLedger!$A248="","",IFERROR(CaseLedger!$S248,""))</x:f>
      </x:c>
      <x:c r="L248" s="52" t="str">
        <x:f>IF(CaseLedger!$A248="","",IFERROR(CaseLedger!$T248,""))</x:f>
      </x:c>
      <x:c r="M248" s="52" t="str">
        <x:f>IF(CaseLedger!$A248="","",IFERROR(CaseLedger!$U248,""))</x:f>
      </x:c>
      <x:c r="N248" s="52" t="str">
        <x:f>IF(CaseLedger!$A248="","",IFERROR(CaseLedger!$V248,""))</x:f>
      </x:c>
      <x:c r="O248" s="52" t="str">
        <x:f>IF(CaseLedger!$A248="","",IFERROR(CaseLedger!$W248,""))</x:f>
      </x:c>
      <x:c r="P248" s="52" t="str">
        <x:f>IF(CaseLedger!$A248="","",IFERROR(CaseLedger!$C248,""))</x:f>
      </x:c>
      <x:c r="Q248" s="52" t="str">
        <x:f>IF(CaseLedger!$A248="","",IFERROR(CaseLedger!$D248,""))</x:f>
      </x:c>
      <x:c r="R248" s="52" t="str">
        <x:f>IF(CaseLedger!$A248="","",IFERROR(CaseLedger!$X248,""))</x:f>
      </x:c>
      <x:c r="S248" s="52" t="str">
        <x:f>IF(CaseLedger!$A248="","",IFERROR(CaseLedger!$Y248,""))</x:f>
      </x:c>
      <x:c r="T248" s="52" t="str">
        <x:f>IF(CaseLedger!$A248="","",IFERROR(CaseLedger!$Z248,""))</x:f>
      </x:c>
      <x:c r="U248" s="52" t="str">
        <x:f>IF(CaseLedger!$A248="","",IFERROR(CaseLedger!$AA248,""))</x:f>
      </x:c>
      <x:c r="V248" s="52" t="str">
        <x:f>IF(CaseLedger!$A248="","",IFERROR(CaseLedger!$AB248,""))</x:f>
      </x:c>
      <x:c r="W248" s="52" t="str">
        <x:f>IF(CaseLedger!$A248="","",IFERROR(CaseLedger!$AC248,""))</x:f>
      </x:c>
      <x:c r="X248" s="52" t="str">
        <x:f>IF(CaseLedger!$A248="","",IFERROR(CaseLedger!$AD248,""))</x:f>
      </x:c>
      <x:c r="Y248" s="52" t="str">
        <x:f>IF(CaseLedger!$A248="","",IFERROR(CaseLedger!$AE248,""))</x:f>
      </x:c>
      <x:c r="Z248" s="52" t="str">
        <x:f>IF(CaseLedger!$A248="","",IFERROR(CaseLedger!$AF248,""))</x:f>
      </x:c>
      <x:c r="AA248" s="52" t="str">
        <x:f>IF(CaseLedger!$A248="","",IFERROR(CaseLedger!$AG248,""))</x:f>
      </x:c>
      <x:c r="AB248" s="52" t="str">
        <x:f>IF(CaseLedger!$A248="","",IFERROR(CaseLedger!$AH248,""))</x:f>
      </x:c>
      <x:c r="AC248"/>
    </x:row>
    <x:row r="249">
      <x:c r="A249" s="52" t="str">
        <x:f>IF(CaseLedger!$A249="","",IFERROR(CaseLedger!$A249,""))</x:f>
      </x:c>
      <x:c r="B249" s="52" t="str">
        <x:f>IF(CaseLedger!$A249="","",IFERROR(CaseLedger!$H249,""))</x:f>
      </x:c>
      <x:c r="C249" s="52" t="str">
        <x:f>IF(CaseLedger!$A249="","",IFERROR(CaseLedger!$I249,""))</x:f>
      </x:c>
      <x:c r="D249" s="52" t="str">
        <x:f>IF(CaseLedger!$A249="","",IFERROR(CaseLedger!$J249,""))</x:f>
      </x:c>
      <x:c r="E249" s="52" t="str">
        <x:f>IF(CaseLedger!$A249="","",IFERROR(CaseLedger!$K249,""))</x:f>
      </x:c>
      <x:c r="F249" s="52" t="str">
        <x:f>IF(CaseLedger!$A249="","",IFERROR(CaseLedger!$O249,""))</x:f>
      </x:c>
      <x:c r="G249" s="52" t="str">
        <x:f>IF(CaseLedger!$A249="","",IFERROR(CaseLedger!$E249,""))</x:f>
      </x:c>
      <x:c r="H249" s="52" t="str">
        <x:f>IF(CaseLedger!$A249="","",IFERROR(CaseLedger!$P249,""))</x:f>
      </x:c>
      <x:c r="I249" s="52" t="str">
        <x:f>IF(CaseLedger!$A249="","",IFERROR(CaseLedger!$Q249,""))</x:f>
      </x:c>
      <x:c r="J249" s="52" t="str">
        <x:f>IF(CaseLedger!$A249="","",IFERROR(CaseLedger!$R249,""))</x:f>
      </x:c>
      <x:c r="K249" s="52" t="str">
        <x:f>IF(CaseLedger!$A249="","",IFERROR(CaseLedger!$S249,""))</x:f>
      </x:c>
      <x:c r="L249" s="52" t="str">
        <x:f>IF(CaseLedger!$A249="","",IFERROR(CaseLedger!$T249,""))</x:f>
      </x:c>
      <x:c r="M249" s="52" t="str">
        <x:f>IF(CaseLedger!$A249="","",IFERROR(CaseLedger!$U249,""))</x:f>
      </x:c>
      <x:c r="N249" s="52" t="str">
        <x:f>IF(CaseLedger!$A249="","",IFERROR(CaseLedger!$V249,""))</x:f>
      </x:c>
      <x:c r="O249" s="52" t="str">
        <x:f>IF(CaseLedger!$A249="","",IFERROR(CaseLedger!$W249,""))</x:f>
      </x:c>
      <x:c r="P249" s="52" t="str">
        <x:f>IF(CaseLedger!$A249="","",IFERROR(CaseLedger!$C249,""))</x:f>
      </x:c>
      <x:c r="Q249" s="52" t="str">
        <x:f>IF(CaseLedger!$A249="","",IFERROR(CaseLedger!$D249,""))</x:f>
      </x:c>
      <x:c r="R249" s="52" t="str">
        <x:f>IF(CaseLedger!$A249="","",IFERROR(CaseLedger!$X249,""))</x:f>
      </x:c>
      <x:c r="S249" s="52" t="str">
        <x:f>IF(CaseLedger!$A249="","",IFERROR(CaseLedger!$Y249,""))</x:f>
      </x:c>
      <x:c r="T249" s="52" t="str">
        <x:f>IF(CaseLedger!$A249="","",IFERROR(CaseLedger!$Z249,""))</x:f>
      </x:c>
      <x:c r="U249" s="52" t="str">
        <x:f>IF(CaseLedger!$A249="","",IFERROR(CaseLedger!$AA249,""))</x:f>
      </x:c>
      <x:c r="V249" s="52" t="str">
        <x:f>IF(CaseLedger!$A249="","",IFERROR(CaseLedger!$AB249,""))</x:f>
      </x:c>
      <x:c r="W249" s="52" t="str">
        <x:f>IF(CaseLedger!$A249="","",IFERROR(CaseLedger!$AC249,""))</x:f>
      </x:c>
      <x:c r="X249" s="52" t="str">
        <x:f>IF(CaseLedger!$A249="","",IFERROR(CaseLedger!$AD249,""))</x:f>
      </x:c>
      <x:c r="Y249" s="52" t="str">
        <x:f>IF(CaseLedger!$A249="","",IFERROR(CaseLedger!$AE249,""))</x:f>
      </x:c>
      <x:c r="Z249" s="52" t="str">
        <x:f>IF(CaseLedger!$A249="","",IFERROR(CaseLedger!$AF249,""))</x:f>
      </x:c>
      <x:c r="AA249" s="52" t="str">
        <x:f>IF(CaseLedger!$A249="","",IFERROR(CaseLedger!$AG249,""))</x:f>
      </x:c>
      <x:c r="AB249" s="52" t="str">
        <x:f>IF(CaseLedger!$A249="","",IFERROR(CaseLedger!$AH249,""))</x:f>
      </x:c>
      <x:c r="AC249"/>
    </x:row>
    <x:row r="250">
      <x:c r="A250" s="52" t="str">
        <x:f>IF(CaseLedger!$A250="","",IFERROR(CaseLedger!$A250,""))</x:f>
      </x:c>
      <x:c r="B250" s="52" t="str">
        <x:f>IF(CaseLedger!$A250="","",IFERROR(CaseLedger!$H250,""))</x:f>
      </x:c>
      <x:c r="C250" s="52" t="str">
        <x:f>IF(CaseLedger!$A250="","",IFERROR(CaseLedger!$I250,""))</x:f>
      </x:c>
      <x:c r="D250" s="52" t="str">
        <x:f>IF(CaseLedger!$A250="","",IFERROR(CaseLedger!$J250,""))</x:f>
      </x:c>
      <x:c r="E250" s="52" t="str">
        <x:f>IF(CaseLedger!$A250="","",IFERROR(CaseLedger!$K250,""))</x:f>
      </x:c>
      <x:c r="F250" s="52" t="str">
        <x:f>IF(CaseLedger!$A250="","",IFERROR(CaseLedger!$O250,""))</x:f>
      </x:c>
      <x:c r="G250" s="52" t="str">
        <x:f>IF(CaseLedger!$A250="","",IFERROR(CaseLedger!$E250,""))</x:f>
      </x:c>
      <x:c r="H250" s="52" t="str">
        <x:f>IF(CaseLedger!$A250="","",IFERROR(CaseLedger!$P250,""))</x:f>
      </x:c>
      <x:c r="I250" s="52" t="str">
        <x:f>IF(CaseLedger!$A250="","",IFERROR(CaseLedger!$Q250,""))</x:f>
      </x:c>
      <x:c r="J250" s="52" t="str">
        <x:f>IF(CaseLedger!$A250="","",IFERROR(CaseLedger!$R250,""))</x:f>
      </x:c>
      <x:c r="K250" s="52" t="str">
        <x:f>IF(CaseLedger!$A250="","",IFERROR(CaseLedger!$S250,""))</x:f>
      </x:c>
      <x:c r="L250" s="52" t="str">
        <x:f>IF(CaseLedger!$A250="","",IFERROR(CaseLedger!$T250,""))</x:f>
      </x:c>
      <x:c r="M250" s="52" t="str">
        <x:f>IF(CaseLedger!$A250="","",IFERROR(CaseLedger!$U250,""))</x:f>
      </x:c>
      <x:c r="N250" s="52" t="str">
        <x:f>IF(CaseLedger!$A250="","",IFERROR(CaseLedger!$V250,""))</x:f>
      </x:c>
      <x:c r="O250" s="52" t="str">
        <x:f>IF(CaseLedger!$A250="","",IFERROR(CaseLedger!$W250,""))</x:f>
      </x:c>
      <x:c r="P250" s="52" t="str">
        <x:f>IF(CaseLedger!$A250="","",IFERROR(CaseLedger!$C250,""))</x:f>
      </x:c>
      <x:c r="Q250" s="52" t="str">
        <x:f>IF(CaseLedger!$A250="","",IFERROR(CaseLedger!$D250,""))</x:f>
      </x:c>
      <x:c r="R250" s="52" t="str">
        <x:f>IF(CaseLedger!$A250="","",IFERROR(CaseLedger!$X250,""))</x:f>
      </x:c>
      <x:c r="S250" s="52" t="str">
        <x:f>IF(CaseLedger!$A250="","",IFERROR(CaseLedger!$Y250,""))</x:f>
      </x:c>
      <x:c r="T250" s="52" t="str">
        <x:f>IF(CaseLedger!$A250="","",IFERROR(CaseLedger!$Z250,""))</x:f>
      </x:c>
      <x:c r="U250" s="52" t="str">
        <x:f>IF(CaseLedger!$A250="","",IFERROR(CaseLedger!$AA250,""))</x:f>
      </x:c>
      <x:c r="V250" s="52" t="str">
        <x:f>IF(CaseLedger!$A250="","",IFERROR(CaseLedger!$AB250,""))</x:f>
      </x:c>
      <x:c r="W250" s="52" t="str">
        <x:f>IF(CaseLedger!$A250="","",IFERROR(CaseLedger!$AC250,""))</x:f>
      </x:c>
      <x:c r="X250" s="52" t="str">
        <x:f>IF(CaseLedger!$A250="","",IFERROR(CaseLedger!$AD250,""))</x:f>
      </x:c>
      <x:c r="Y250" s="52" t="str">
        <x:f>IF(CaseLedger!$A250="","",IFERROR(CaseLedger!$AE250,""))</x:f>
      </x:c>
      <x:c r="Z250" s="52" t="str">
        <x:f>IF(CaseLedger!$A250="","",IFERROR(CaseLedger!$AF250,""))</x:f>
      </x:c>
      <x:c r="AA250" s="52" t="str">
        <x:f>IF(CaseLedger!$A250="","",IFERROR(CaseLedger!$AG250,""))</x:f>
      </x:c>
      <x:c r="AB250" s="52" t="str">
        <x:f>IF(CaseLedger!$A250="","",IFERROR(CaseLedger!$AH250,""))</x:f>
      </x:c>
      <x:c r="AC250"/>
    </x:row>
    <x:row r="251">
      <x:c r="A251" s="52" t="str">
        <x:f>IF(CaseLedger!$A251="","",IFERROR(CaseLedger!$A251,""))</x:f>
      </x:c>
      <x:c r="B251" s="52" t="str">
        <x:f>IF(CaseLedger!$A251="","",IFERROR(CaseLedger!$H251,""))</x:f>
      </x:c>
      <x:c r="C251" s="52" t="str">
        <x:f>IF(CaseLedger!$A251="","",IFERROR(CaseLedger!$I251,""))</x:f>
      </x:c>
      <x:c r="D251" s="52" t="str">
        <x:f>IF(CaseLedger!$A251="","",IFERROR(CaseLedger!$J251,""))</x:f>
      </x:c>
      <x:c r="E251" s="52" t="str">
        <x:f>IF(CaseLedger!$A251="","",IFERROR(CaseLedger!$K251,""))</x:f>
      </x:c>
      <x:c r="F251" s="52" t="str">
        <x:f>IF(CaseLedger!$A251="","",IFERROR(CaseLedger!$O251,""))</x:f>
      </x:c>
      <x:c r="G251" s="52" t="str">
        <x:f>IF(CaseLedger!$A251="","",IFERROR(CaseLedger!$E251,""))</x:f>
      </x:c>
      <x:c r="H251" s="52" t="str">
        <x:f>IF(CaseLedger!$A251="","",IFERROR(CaseLedger!$P251,""))</x:f>
      </x:c>
      <x:c r="I251" s="52" t="str">
        <x:f>IF(CaseLedger!$A251="","",IFERROR(CaseLedger!$Q251,""))</x:f>
      </x:c>
      <x:c r="J251" s="52" t="str">
        <x:f>IF(CaseLedger!$A251="","",IFERROR(CaseLedger!$R251,""))</x:f>
      </x:c>
      <x:c r="K251" s="52" t="str">
        <x:f>IF(CaseLedger!$A251="","",IFERROR(CaseLedger!$S251,""))</x:f>
      </x:c>
      <x:c r="L251" s="52" t="str">
        <x:f>IF(CaseLedger!$A251="","",IFERROR(CaseLedger!$T251,""))</x:f>
      </x:c>
      <x:c r="M251" s="52" t="str">
        <x:f>IF(CaseLedger!$A251="","",IFERROR(CaseLedger!$U251,""))</x:f>
      </x:c>
      <x:c r="N251" s="52" t="str">
        <x:f>IF(CaseLedger!$A251="","",IFERROR(CaseLedger!$V251,""))</x:f>
      </x:c>
      <x:c r="O251" s="52" t="str">
        <x:f>IF(CaseLedger!$A251="","",IFERROR(CaseLedger!$W251,""))</x:f>
      </x:c>
      <x:c r="P251" s="52" t="str">
        <x:f>IF(CaseLedger!$A251="","",IFERROR(CaseLedger!$C251,""))</x:f>
      </x:c>
      <x:c r="Q251" s="52" t="str">
        <x:f>IF(CaseLedger!$A251="","",IFERROR(CaseLedger!$D251,""))</x:f>
      </x:c>
      <x:c r="R251" s="52" t="str">
        <x:f>IF(CaseLedger!$A251="","",IFERROR(CaseLedger!$X251,""))</x:f>
      </x:c>
      <x:c r="S251" s="52" t="str">
        <x:f>IF(CaseLedger!$A251="","",IFERROR(CaseLedger!$Y251,""))</x:f>
      </x:c>
      <x:c r="T251" s="52" t="str">
        <x:f>IF(CaseLedger!$A251="","",IFERROR(CaseLedger!$Z251,""))</x:f>
      </x:c>
      <x:c r="U251" s="52" t="str">
        <x:f>IF(CaseLedger!$A251="","",IFERROR(CaseLedger!$AA251,""))</x:f>
      </x:c>
      <x:c r="V251" s="52" t="str">
        <x:f>IF(CaseLedger!$A251="","",IFERROR(CaseLedger!$AB251,""))</x:f>
      </x:c>
      <x:c r="W251" s="52" t="str">
        <x:f>IF(CaseLedger!$A251="","",IFERROR(CaseLedger!$AC251,""))</x:f>
      </x:c>
      <x:c r="X251" s="52" t="str">
        <x:f>IF(CaseLedger!$A251="","",IFERROR(CaseLedger!$AD251,""))</x:f>
      </x:c>
      <x:c r="Y251" s="52" t="str">
        <x:f>IF(CaseLedger!$A251="","",IFERROR(CaseLedger!$AE251,""))</x:f>
      </x:c>
      <x:c r="Z251" s="52" t="str">
        <x:f>IF(CaseLedger!$A251="","",IFERROR(CaseLedger!$AF251,""))</x:f>
      </x:c>
      <x:c r="AA251" s="52" t="str">
        <x:f>IF(CaseLedger!$A251="","",IFERROR(CaseLedger!$AG251,""))</x:f>
      </x:c>
      <x:c r="AB251" s="52" t="str">
        <x:f>IF(CaseLedger!$A251="","",IFERROR(CaseLedger!$AH251,""))</x:f>
      </x:c>
      <x:c r="AC251"/>
    </x:row>
    <x:row r="252">
      <x:c r="A252" s="52" t="str">
        <x:f>IF(CaseLedger!$A252="","",IFERROR(CaseLedger!$A252,""))</x:f>
      </x:c>
      <x:c r="B252" s="52" t="str">
        <x:f>IF(CaseLedger!$A252="","",IFERROR(CaseLedger!$H252,""))</x:f>
      </x:c>
      <x:c r="C252" s="52" t="str">
        <x:f>IF(CaseLedger!$A252="","",IFERROR(CaseLedger!$I252,""))</x:f>
      </x:c>
      <x:c r="D252" s="52" t="str">
        <x:f>IF(CaseLedger!$A252="","",IFERROR(CaseLedger!$J252,""))</x:f>
      </x:c>
      <x:c r="E252" s="52" t="str">
        <x:f>IF(CaseLedger!$A252="","",IFERROR(CaseLedger!$K252,""))</x:f>
      </x:c>
      <x:c r="F252" s="52" t="str">
        <x:f>IF(CaseLedger!$A252="","",IFERROR(CaseLedger!$O252,""))</x:f>
      </x:c>
      <x:c r="G252" s="52" t="str">
        <x:f>IF(CaseLedger!$A252="","",IFERROR(CaseLedger!$E252,""))</x:f>
      </x:c>
      <x:c r="H252" s="52" t="str">
        <x:f>IF(CaseLedger!$A252="","",IFERROR(CaseLedger!$P252,""))</x:f>
      </x:c>
      <x:c r="I252" s="52" t="str">
        <x:f>IF(CaseLedger!$A252="","",IFERROR(CaseLedger!$Q252,""))</x:f>
      </x:c>
      <x:c r="J252" s="52" t="str">
        <x:f>IF(CaseLedger!$A252="","",IFERROR(CaseLedger!$R252,""))</x:f>
      </x:c>
      <x:c r="K252" s="52" t="str">
        <x:f>IF(CaseLedger!$A252="","",IFERROR(CaseLedger!$S252,""))</x:f>
      </x:c>
      <x:c r="L252" s="52" t="str">
        <x:f>IF(CaseLedger!$A252="","",IFERROR(CaseLedger!$T252,""))</x:f>
      </x:c>
      <x:c r="M252" s="52" t="str">
        <x:f>IF(CaseLedger!$A252="","",IFERROR(CaseLedger!$U252,""))</x:f>
      </x:c>
      <x:c r="N252" s="52" t="str">
        <x:f>IF(CaseLedger!$A252="","",IFERROR(CaseLedger!$V252,""))</x:f>
      </x:c>
      <x:c r="O252" s="52" t="str">
        <x:f>IF(CaseLedger!$A252="","",IFERROR(CaseLedger!$W252,""))</x:f>
      </x:c>
      <x:c r="P252" s="52" t="str">
        <x:f>IF(CaseLedger!$A252="","",IFERROR(CaseLedger!$C252,""))</x:f>
      </x:c>
      <x:c r="Q252" s="52" t="str">
        <x:f>IF(CaseLedger!$A252="","",IFERROR(CaseLedger!$D252,""))</x:f>
      </x:c>
      <x:c r="R252" s="52" t="str">
        <x:f>IF(CaseLedger!$A252="","",IFERROR(CaseLedger!$X252,""))</x:f>
      </x:c>
      <x:c r="S252" s="52" t="str">
        <x:f>IF(CaseLedger!$A252="","",IFERROR(CaseLedger!$Y252,""))</x:f>
      </x:c>
      <x:c r="T252" s="52" t="str">
        <x:f>IF(CaseLedger!$A252="","",IFERROR(CaseLedger!$Z252,""))</x:f>
      </x:c>
      <x:c r="U252" s="52" t="str">
        <x:f>IF(CaseLedger!$A252="","",IFERROR(CaseLedger!$AA252,""))</x:f>
      </x:c>
      <x:c r="V252" s="52" t="str">
        <x:f>IF(CaseLedger!$A252="","",IFERROR(CaseLedger!$AB252,""))</x:f>
      </x:c>
      <x:c r="W252" s="52" t="str">
        <x:f>IF(CaseLedger!$A252="","",IFERROR(CaseLedger!$AC252,""))</x:f>
      </x:c>
      <x:c r="X252" s="52" t="str">
        <x:f>IF(CaseLedger!$A252="","",IFERROR(CaseLedger!$AD252,""))</x:f>
      </x:c>
      <x:c r="Y252" s="52" t="str">
        <x:f>IF(CaseLedger!$A252="","",IFERROR(CaseLedger!$AE252,""))</x:f>
      </x:c>
      <x:c r="Z252" s="52" t="str">
        <x:f>IF(CaseLedger!$A252="","",IFERROR(CaseLedger!$AF252,""))</x:f>
      </x:c>
      <x:c r="AA252" s="52" t="str">
        <x:f>IF(CaseLedger!$A252="","",IFERROR(CaseLedger!$AG252,""))</x:f>
      </x:c>
      <x:c r="AB252" s="52" t="str">
        <x:f>IF(CaseLedger!$A252="","",IFERROR(CaseLedger!$AH252,""))</x:f>
      </x:c>
      <x:c r="AC252"/>
    </x:row>
    <x:row r="253">
      <x:c r="A253" s="52" t="str">
        <x:f>IF(CaseLedger!$A253="","",IFERROR(CaseLedger!$A253,""))</x:f>
      </x:c>
      <x:c r="B253" s="52" t="str">
        <x:f>IF(CaseLedger!$A253="","",IFERROR(CaseLedger!$H253,""))</x:f>
      </x:c>
      <x:c r="C253" s="52" t="str">
        <x:f>IF(CaseLedger!$A253="","",IFERROR(CaseLedger!$I253,""))</x:f>
      </x:c>
      <x:c r="D253" s="52" t="str">
        <x:f>IF(CaseLedger!$A253="","",IFERROR(CaseLedger!$J253,""))</x:f>
      </x:c>
      <x:c r="E253" s="52" t="str">
        <x:f>IF(CaseLedger!$A253="","",IFERROR(CaseLedger!$K253,""))</x:f>
      </x:c>
      <x:c r="F253" s="52" t="str">
        <x:f>IF(CaseLedger!$A253="","",IFERROR(CaseLedger!$O253,""))</x:f>
      </x:c>
      <x:c r="G253" s="52" t="str">
        <x:f>IF(CaseLedger!$A253="","",IFERROR(CaseLedger!$E253,""))</x:f>
      </x:c>
      <x:c r="H253" s="52" t="str">
        <x:f>IF(CaseLedger!$A253="","",IFERROR(CaseLedger!$P253,""))</x:f>
      </x:c>
      <x:c r="I253" s="52" t="str">
        <x:f>IF(CaseLedger!$A253="","",IFERROR(CaseLedger!$Q253,""))</x:f>
      </x:c>
      <x:c r="J253" s="52" t="str">
        <x:f>IF(CaseLedger!$A253="","",IFERROR(CaseLedger!$R253,""))</x:f>
      </x:c>
      <x:c r="K253" s="52" t="str">
        <x:f>IF(CaseLedger!$A253="","",IFERROR(CaseLedger!$S253,""))</x:f>
      </x:c>
      <x:c r="L253" s="52" t="str">
        <x:f>IF(CaseLedger!$A253="","",IFERROR(CaseLedger!$T253,""))</x:f>
      </x:c>
      <x:c r="M253" s="52" t="str">
        <x:f>IF(CaseLedger!$A253="","",IFERROR(CaseLedger!$U253,""))</x:f>
      </x:c>
      <x:c r="N253" s="52" t="str">
        <x:f>IF(CaseLedger!$A253="","",IFERROR(CaseLedger!$V253,""))</x:f>
      </x:c>
      <x:c r="O253" s="52" t="str">
        <x:f>IF(CaseLedger!$A253="","",IFERROR(CaseLedger!$W253,""))</x:f>
      </x:c>
      <x:c r="P253" s="52" t="str">
        <x:f>IF(CaseLedger!$A253="","",IFERROR(CaseLedger!$C253,""))</x:f>
      </x:c>
      <x:c r="Q253" s="52" t="str">
        <x:f>IF(CaseLedger!$A253="","",IFERROR(CaseLedger!$D253,""))</x:f>
      </x:c>
      <x:c r="R253" s="52" t="str">
        <x:f>IF(CaseLedger!$A253="","",IFERROR(CaseLedger!$X253,""))</x:f>
      </x:c>
      <x:c r="S253" s="52" t="str">
        <x:f>IF(CaseLedger!$A253="","",IFERROR(CaseLedger!$Y253,""))</x:f>
      </x:c>
      <x:c r="T253" s="52" t="str">
        <x:f>IF(CaseLedger!$A253="","",IFERROR(CaseLedger!$Z253,""))</x:f>
      </x:c>
      <x:c r="U253" s="52" t="str">
        <x:f>IF(CaseLedger!$A253="","",IFERROR(CaseLedger!$AA253,""))</x:f>
      </x:c>
      <x:c r="V253" s="52" t="str">
        <x:f>IF(CaseLedger!$A253="","",IFERROR(CaseLedger!$AB253,""))</x:f>
      </x:c>
      <x:c r="W253" s="52" t="str">
        <x:f>IF(CaseLedger!$A253="","",IFERROR(CaseLedger!$AC253,""))</x:f>
      </x:c>
      <x:c r="X253" s="52" t="str">
        <x:f>IF(CaseLedger!$A253="","",IFERROR(CaseLedger!$AD253,""))</x:f>
      </x:c>
      <x:c r="Y253" s="52" t="str">
        <x:f>IF(CaseLedger!$A253="","",IFERROR(CaseLedger!$AE253,""))</x:f>
      </x:c>
      <x:c r="Z253" s="52" t="str">
        <x:f>IF(CaseLedger!$A253="","",IFERROR(CaseLedger!$AF253,""))</x:f>
      </x:c>
      <x:c r="AA253" s="52" t="str">
        <x:f>IF(CaseLedger!$A253="","",IFERROR(CaseLedger!$AG253,""))</x:f>
      </x:c>
      <x:c r="AB253" s="52" t="str">
        <x:f>IF(CaseLedger!$A253="","",IFERROR(CaseLedger!$AH253,""))</x:f>
      </x:c>
      <x:c r="AC253"/>
    </x:row>
    <x:row r="254">
      <x:c r="A254" s="52" t="str">
        <x:f>IF(CaseLedger!$A254="","",IFERROR(CaseLedger!$A254,""))</x:f>
      </x:c>
      <x:c r="B254" s="52" t="str">
        <x:f>IF(CaseLedger!$A254="","",IFERROR(CaseLedger!$H254,""))</x:f>
      </x:c>
      <x:c r="C254" s="52" t="str">
        <x:f>IF(CaseLedger!$A254="","",IFERROR(CaseLedger!$I254,""))</x:f>
      </x:c>
      <x:c r="D254" s="52" t="str">
        <x:f>IF(CaseLedger!$A254="","",IFERROR(CaseLedger!$J254,""))</x:f>
      </x:c>
      <x:c r="E254" s="52" t="str">
        <x:f>IF(CaseLedger!$A254="","",IFERROR(CaseLedger!$K254,""))</x:f>
      </x:c>
      <x:c r="F254" s="52" t="str">
        <x:f>IF(CaseLedger!$A254="","",IFERROR(CaseLedger!$O254,""))</x:f>
      </x:c>
      <x:c r="G254" s="52" t="str">
        <x:f>IF(CaseLedger!$A254="","",IFERROR(CaseLedger!$E254,""))</x:f>
      </x:c>
      <x:c r="H254" s="52" t="str">
        <x:f>IF(CaseLedger!$A254="","",IFERROR(CaseLedger!$P254,""))</x:f>
      </x:c>
      <x:c r="I254" s="52" t="str">
        <x:f>IF(CaseLedger!$A254="","",IFERROR(CaseLedger!$Q254,""))</x:f>
      </x:c>
      <x:c r="J254" s="52" t="str">
        <x:f>IF(CaseLedger!$A254="","",IFERROR(CaseLedger!$R254,""))</x:f>
      </x:c>
      <x:c r="K254" s="52" t="str">
        <x:f>IF(CaseLedger!$A254="","",IFERROR(CaseLedger!$S254,""))</x:f>
      </x:c>
      <x:c r="L254" s="52" t="str">
        <x:f>IF(CaseLedger!$A254="","",IFERROR(CaseLedger!$T254,""))</x:f>
      </x:c>
      <x:c r="M254" s="52" t="str">
        <x:f>IF(CaseLedger!$A254="","",IFERROR(CaseLedger!$U254,""))</x:f>
      </x:c>
      <x:c r="N254" s="52" t="str">
        <x:f>IF(CaseLedger!$A254="","",IFERROR(CaseLedger!$V254,""))</x:f>
      </x:c>
      <x:c r="O254" s="52" t="str">
        <x:f>IF(CaseLedger!$A254="","",IFERROR(CaseLedger!$W254,""))</x:f>
      </x:c>
      <x:c r="P254" s="52" t="str">
        <x:f>IF(CaseLedger!$A254="","",IFERROR(CaseLedger!$C254,""))</x:f>
      </x:c>
      <x:c r="Q254" s="52" t="str">
        <x:f>IF(CaseLedger!$A254="","",IFERROR(CaseLedger!$D254,""))</x:f>
      </x:c>
      <x:c r="R254" s="52" t="str">
        <x:f>IF(CaseLedger!$A254="","",IFERROR(CaseLedger!$X254,""))</x:f>
      </x:c>
      <x:c r="S254" s="52" t="str">
        <x:f>IF(CaseLedger!$A254="","",IFERROR(CaseLedger!$Y254,""))</x:f>
      </x:c>
      <x:c r="T254" s="52" t="str">
        <x:f>IF(CaseLedger!$A254="","",IFERROR(CaseLedger!$Z254,""))</x:f>
      </x:c>
      <x:c r="U254" s="52" t="str">
        <x:f>IF(CaseLedger!$A254="","",IFERROR(CaseLedger!$AA254,""))</x:f>
      </x:c>
      <x:c r="V254" s="52" t="str">
        <x:f>IF(CaseLedger!$A254="","",IFERROR(CaseLedger!$AB254,""))</x:f>
      </x:c>
      <x:c r="W254" s="52" t="str">
        <x:f>IF(CaseLedger!$A254="","",IFERROR(CaseLedger!$AC254,""))</x:f>
      </x:c>
      <x:c r="X254" s="52" t="str">
        <x:f>IF(CaseLedger!$A254="","",IFERROR(CaseLedger!$AD254,""))</x:f>
      </x:c>
      <x:c r="Y254" s="52" t="str">
        <x:f>IF(CaseLedger!$A254="","",IFERROR(CaseLedger!$AE254,""))</x:f>
      </x:c>
      <x:c r="Z254" s="52" t="str">
        <x:f>IF(CaseLedger!$A254="","",IFERROR(CaseLedger!$AF254,""))</x:f>
      </x:c>
      <x:c r="AA254" s="52" t="str">
        <x:f>IF(CaseLedger!$A254="","",IFERROR(CaseLedger!$AG254,""))</x:f>
      </x:c>
      <x:c r="AB254" s="52" t="str">
        <x:f>IF(CaseLedger!$A254="","",IFERROR(CaseLedger!$AH254,""))</x:f>
      </x:c>
      <x:c r="AC254"/>
    </x:row>
    <x:row r="255">
      <x:c r="A255" s="52" t="str">
        <x:f>IF(CaseLedger!$A255="","",IFERROR(CaseLedger!$A255,""))</x:f>
      </x:c>
      <x:c r="B255" s="52" t="str">
        <x:f>IF(CaseLedger!$A255="","",IFERROR(CaseLedger!$H255,""))</x:f>
      </x:c>
      <x:c r="C255" s="52" t="str">
        <x:f>IF(CaseLedger!$A255="","",IFERROR(CaseLedger!$I255,""))</x:f>
      </x:c>
      <x:c r="D255" s="52" t="str">
        <x:f>IF(CaseLedger!$A255="","",IFERROR(CaseLedger!$J255,""))</x:f>
      </x:c>
      <x:c r="E255" s="52" t="str">
        <x:f>IF(CaseLedger!$A255="","",IFERROR(CaseLedger!$K255,""))</x:f>
      </x:c>
      <x:c r="F255" s="52" t="str">
        <x:f>IF(CaseLedger!$A255="","",IFERROR(CaseLedger!$O255,""))</x:f>
      </x:c>
      <x:c r="G255" s="52" t="str">
        <x:f>IF(CaseLedger!$A255="","",IFERROR(CaseLedger!$E255,""))</x:f>
      </x:c>
      <x:c r="H255" s="52" t="str">
        <x:f>IF(CaseLedger!$A255="","",IFERROR(CaseLedger!$P255,""))</x:f>
      </x:c>
      <x:c r="I255" s="52" t="str">
        <x:f>IF(CaseLedger!$A255="","",IFERROR(CaseLedger!$Q255,""))</x:f>
      </x:c>
      <x:c r="J255" s="52" t="str">
        <x:f>IF(CaseLedger!$A255="","",IFERROR(CaseLedger!$R255,""))</x:f>
      </x:c>
      <x:c r="K255" s="52" t="str">
        <x:f>IF(CaseLedger!$A255="","",IFERROR(CaseLedger!$S255,""))</x:f>
      </x:c>
      <x:c r="L255" s="52" t="str">
        <x:f>IF(CaseLedger!$A255="","",IFERROR(CaseLedger!$T255,""))</x:f>
      </x:c>
      <x:c r="M255" s="52" t="str">
        <x:f>IF(CaseLedger!$A255="","",IFERROR(CaseLedger!$U255,""))</x:f>
      </x:c>
      <x:c r="N255" s="52" t="str">
        <x:f>IF(CaseLedger!$A255="","",IFERROR(CaseLedger!$V255,""))</x:f>
      </x:c>
      <x:c r="O255" s="52" t="str">
        <x:f>IF(CaseLedger!$A255="","",IFERROR(CaseLedger!$W255,""))</x:f>
      </x:c>
      <x:c r="P255" s="52" t="str">
        <x:f>IF(CaseLedger!$A255="","",IFERROR(CaseLedger!$C255,""))</x:f>
      </x:c>
      <x:c r="Q255" s="52" t="str">
        <x:f>IF(CaseLedger!$A255="","",IFERROR(CaseLedger!$D255,""))</x:f>
      </x:c>
      <x:c r="R255" s="52" t="str">
        <x:f>IF(CaseLedger!$A255="","",IFERROR(CaseLedger!$X255,""))</x:f>
      </x:c>
      <x:c r="S255" s="52" t="str">
        <x:f>IF(CaseLedger!$A255="","",IFERROR(CaseLedger!$Y255,""))</x:f>
      </x:c>
      <x:c r="T255" s="52" t="str">
        <x:f>IF(CaseLedger!$A255="","",IFERROR(CaseLedger!$Z255,""))</x:f>
      </x:c>
      <x:c r="U255" s="52" t="str">
        <x:f>IF(CaseLedger!$A255="","",IFERROR(CaseLedger!$AA255,""))</x:f>
      </x:c>
      <x:c r="V255" s="52" t="str">
        <x:f>IF(CaseLedger!$A255="","",IFERROR(CaseLedger!$AB255,""))</x:f>
      </x:c>
      <x:c r="W255" s="52" t="str">
        <x:f>IF(CaseLedger!$A255="","",IFERROR(CaseLedger!$AC255,""))</x:f>
      </x:c>
      <x:c r="X255" s="52" t="str">
        <x:f>IF(CaseLedger!$A255="","",IFERROR(CaseLedger!$AD255,""))</x:f>
      </x:c>
      <x:c r="Y255" s="52" t="str">
        <x:f>IF(CaseLedger!$A255="","",IFERROR(CaseLedger!$AE255,""))</x:f>
      </x:c>
      <x:c r="Z255" s="52" t="str">
        <x:f>IF(CaseLedger!$A255="","",IFERROR(CaseLedger!$AF255,""))</x:f>
      </x:c>
      <x:c r="AA255" s="52" t="str">
        <x:f>IF(CaseLedger!$A255="","",IFERROR(CaseLedger!$AG255,""))</x:f>
      </x:c>
      <x:c r="AB255" s="52" t="str">
        <x:f>IF(CaseLedger!$A255="","",IFERROR(CaseLedger!$AH255,""))</x:f>
      </x:c>
      <x:c r="AC255"/>
    </x:row>
    <x:row r="256">
      <x:c r="A256" s="52" t="str">
        <x:f>IF(CaseLedger!$A256="","",IFERROR(CaseLedger!$A256,""))</x:f>
      </x:c>
      <x:c r="B256" s="52" t="str">
        <x:f>IF(CaseLedger!$A256="","",IFERROR(CaseLedger!$H256,""))</x:f>
      </x:c>
      <x:c r="C256" s="52" t="str">
        <x:f>IF(CaseLedger!$A256="","",IFERROR(CaseLedger!$I256,""))</x:f>
      </x:c>
      <x:c r="D256" s="52" t="str">
        <x:f>IF(CaseLedger!$A256="","",IFERROR(CaseLedger!$J256,""))</x:f>
      </x:c>
      <x:c r="E256" s="52" t="str">
        <x:f>IF(CaseLedger!$A256="","",IFERROR(CaseLedger!$K256,""))</x:f>
      </x:c>
      <x:c r="F256" s="52" t="str">
        <x:f>IF(CaseLedger!$A256="","",IFERROR(CaseLedger!$O256,""))</x:f>
      </x:c>
      <x:c r="G256" s="52" t="str">
        <x:f>IF(CaseLedger!$A256="","",IFERROR(CaseLedger!$E256,""))</x:f>
      </x:c>
      <x:c r="H256" s="52" t="str">
        <x:f>IF(CaseLedger!$A256="","",IFERROR(CaseLedger!$P256,""))</x:f>
      </x:c>
      <x:c r="I256" s="52" t="str">
        <x:f>IF(CaseLedger!$A256="","",IFERROR(CaseLedger!$Q256,""))</x:f>
      </x:c>
      <x:c r="J256" s="52" t="str">
        <x:f>IF(CaseLedger!$A256="","",IFERROR(CaseLedger!$R256,""))</x:f>
      </x:c>
      <x:c r="K256" s="52" t="str">
        <x:f>IF(CaseLedger!$A256="","",IFERROR(CaseLedger!$S256,""))</x:f>
      </x:c>
      <x:c r="L256" s="52" t="str">
        <x:f>IF(CaseLedger!$A256="","",IFERROR(CaseLedger!$T256,""))</x:f>
      </x:c>
      <x:c r="M256" s="52" t="str">
        <x:f>IF(CaseLedger!$A256="","",IFERROR(CaseLedger!$U256,""))</x:f>
      </x:c>
      <x:c r="N256" s="52" t="str">
        <x:f>IF(CaseLedger!$A256="","",IFERROR(CaseLedger!$V256,""))</x:f>
      </x:c>
      <x:c r="O256" s="52" t="str">
        <x:f>IF(CaseLedger!$A256="","",IFERROR(CaseLedger!$W256,""))</x:f>
      </x:c>
      <x:c r="P256" s="52" t="str">
        <x:f>IF(CaseLedger!$A256="","",IFERROR(CaseLedger!$C256,""))</x:f>
      </x:c>
      <x:c r="Q256" s="52" t="str">
        <x:f>IF(CaseLedger!$A256="","",IFERROR(CaseLedger!$D256,""))</x:f>
      </x:c>
      <x:c r="R256" s="52" t="str">
        <x:f>IF(CaseLedger!$A256="","",IFERROR(CaseLedger!$X256,""))</x:f>
      </x:c>
      <x:c r="S256" s="52" t="str">
        <x:f>IF(CaseLedger!$A256="","",IFERROR(CaseLedger!$Y256,""))</x:f>
      </x:c>
      <x:c r="T256" s="52" t="str">
        <x:f>IF(CaseLedger!$A256="","",IFERROR(CaseLedger!$Z256,""))</x:f>
      </x:c>
      <x:c r="U256" s="52" t="str">
        <x:f>IF(CaseLedger!$A256="","",IFERROR(CaseLedger!$AA256,""))</x:f>
      </x:c>
      <x:c r="V256" s="52" t="str">
        <x:f>IF(CaseLedger!$A256="","",IFERROR(CaseLedger!$AB256,""))</x:f>
      </x:c>
      <x:c r="W256" s="52" t="str">
        <x:f>IF(CaseLedger!$A256="","",IFERROR(CaseLedger!$AC256,""))</x:f>
      </x:c>
      <x:c r="X256" s="52" t="str">
        <x:f>IF(CaseLedger!$A256="","",IFERROR(CaseLedger!$AD256,""))</x:f>
      </x:c>
      <x:c r="Y256" s="52" t="str">
        <x:f>IF(CaseLedger!$A256="","",IFERROR(CaseLedger!$AE256,""))</x:f>
      </x:c>
      <x:c r="Z256" s="52" t="str">
        <x:f>IF(CaseLedger!$A256="","",IFERROR(CaseLedger!$AF256,""))</x:f>
      </x:c>
      <x:c r="AA256" s="52" t="str">
        <x:f>IF(CaseLedger!$A256="","",IFERROR(CaseLedger!$AG256,""))</x:f>
      </x:c>
      <x:c r="AB256" s="52" t="str">
        <x:f>IF(CaseLedger!$A256="","",IFERROR(CaseLedger!$AH256,""))</x:f>
      </x:c>
      <x:c r="AC256"/>
    </x:row>
    <x:row r="257">
      <x:c r="A257" s="52" t="str">
        <x:f>IF(CaseLedger!$A257="","",IFERROR(CaseLedger!$A257,""))</x:f>
      </x:c>
      <x:c r="B257" s="52" t="str">
        <x:f>IF(CaseLedger!$A257="","",IFERROR(CaseLedger!$H257,""))</x:f>
      </x:c>
      <x:c r="C257" s="52" t="str">
        <x:f>IF(CaseLedger!$A257="","",IFERROR(CaseLedger!$I257,""))</x:f>
      </x:c>
      <x:c r="D257" s="52" t="str">
        <x:f>IF(CaseLedger!$A257="","",IFERROR(CaseLedger!$J257,""))</x:f>
      </x:c>
      <x:c r="E257" s="52" t="str">
        <x:f>IF(CaseLedger!$A257="","",IFERROR(CaseLedger!$K257,""))</x:f>
      </x:c>
      <x:c r="F257" s="52" t="str">
        <x:f>IF(CaseLedger!$A257="","",IFERROR(CaseLedger!$O257,""))</x:f>
      </x:c>
      <x:c r="G257" s="52" t="str">
        <x:f>IF(CaseLedger!$A257="","",IFERROR(CaseLedger!$E257,""))</x:f>
      </x:c>
      <x:c r="H257" s="52" t="str">
        <x:f>IF(CaseLedger!$A257="","",IFERROR(CaseLedger!$P257,""))</x:f>
      </x:c>
      <x:c r="I257" s="52" t="str">
        <x:f>IF(CaseLedger!$A257="","",IFERROR(CaseLedger!$Q257,""))</x:f>
      </x:c>
      <x:c r="J257" s="52" t="str">
        <x:f>IF(CaseLedger!$A257="","",IFERROR(CaseLedger!$R257,""))</x:f>
      </x:c>
      <x:c r="K257" s="52" t="str">
        <x:f>IF(CaseLedger!$A257="","",IFERROR(CaseLedger!$S257,""))</x:f>
      </x:c>
      <x:c r="L257" s="52" t="str">
        <x:f>IF(CaseLedger!$A257="","",IFERROR(CaseLedger!$T257,""))</x:f>
      </x:c>
      <x:c r="M257" s="52" t="str">
        <x:f>IF(CaseLedger!$A257="","",IFERROR(CaseLedger!$U257,""))</x:f>
      </x:c>
      <x:c r="N257" s="52" t="str">
        <x:f>IF(CaseLedger!$A257="","",IFERROR(CaseLedger!$V257,""))</x:f>
      </x:c>
      <x:c r="O257" s="52" t="str">
        <x:f>IF(CaseLedger!$A257="","",IFERROR(CaseLedger!$W257,""))</x:f>
      </x:c>
      <x:c r="P257" s="52" t="str">
        <x:f>IF(CaseLedger!$A257="","",IFERROR(CaseLedger!$C257,""))</x:f>
      </x:c>
      <x:c r="Q257" s="52" t="str">
        <x:f>IF(CaseLedger!$A257="","",IFERROR(CaseLedger!$D257,""))</x:f>
      </x:c>
      <x:c r="R257" s="52" t="str">
        <x:f>IF(CaseLedger!$A257="","",IFERROR(CaseLedger!$X257,""))</x:f>
      </x:c>
      <x:c r="S257" s="52" t="str">
        <x:f>IF(CaseLedger!$A257="","",IFERROR(CaseLedger!$Y257,""))</x:f>
      </x:c>
      <x:c r="T257" s="52" t="str">
        <x:f>IF(CaseLedger!$A257="","",IFERROR(CaseLedger!$Z257,""))</x:f>
      </x:c>
      <x:c r="U257" s="52" t="str">
        <x:f>IF(CaseLedger!$A257="","",IFERROR(CaseLedger!$AA257,""))</x:f>
      </x:c>
      <x:c r="V257" s="52" t="str">
        <x:f>IF(CaseLedger!$A257="","",IFERROR(CaseLedger!$AB257,""))</x:f>
      </x:c>
      <x:c r="W257" s="52" t="str">
        <x:f>IF(CaseLedger!$A257="","",IFERROR(CaseLedger!$AC257,""))</x:f>
      </x:c>
      <x:c r="X257" s="52" t="str">
        <x:f>IF(CaseLedger!$A257="","",IFERROR(CaseLedger!$AD257,""))</x:f>
      </x:c>
      <x:c r="Y257" s="52" t="str">
        <x:f>IF(CaseLedger!$A257="","",IFERROR(CaseLedger!$AE257,""))</x:f>
      </x:c>
      <x:c r="Z257" s="52" t="str">
        <x:f>IF(CaseLedger!$A257="","",IFERROR(CaseLedger!$AF257,""))</x:f>
      </x:c>
      <x:c r="AA257" s="52" t="str">
        <x:f>IF(CaseLedger!$A257="","",IFERROR(CaseLedger!$AG257,""))</x:f>
      </x:c>
      <x:c r="AB257" s="52" t="str">
        <x:f>IF(CaseLedger!$A257="","",IFERROR(CaseLedger!$AH257,""))</x:f>
      </x:c>
      <x:c r="AC257"/>
    </x:row>
    <x:row r="258">
      <x:c r="A258" s="52" t="str">
        <x:f>IF(CaseLedger!$A258="","",IFERROR(CaseLedger!$A258,""))</x:f>
      </x:c>
      <x:c r="B258" s="52" t="str">
        <x:f>IF(CaseLedger!$A258="","",IFERROR(CaseLedger!$H258,""))</x:f>
      </x:c>
      <x:c r="C258" s="52" t="str">
        <x:f>IF(CaseLedger!$A258="","",IFERROR(CaseLedger!$I258,""))</x:f>
      </x:c>
      <x:c r="D258" s="52" t="str">
        <x:f>IF(CaseLedger!$A258="","",IFERROR(CaseLedger!$J258,""))</x:f>
      </x:c>
      <x:c r="E258" s="52" t="str">
        <x:f>IF(CaseLedger!$A258="","",IFERROR(CaseLedger!$K258,""))</x:f>
      </x:c>
      <x:c r="F258" s="52" t="str">
        <x:f>IF(CaseLedger!$A258="","",IFERROR(CaseLedger!$O258,""))</x:f>
      </x:c>
      <x:c r="G258" s="52" t="str">
        <x:f>IF(CaseLedger!$A258="","",IFERROR(CaseLedger!$E258,""))</x:f>
      </x:c>
      <x:c r="H258" s="52" t="str">
        <x:f>IF(CaseLedger!$A258="","",IFERROR(CaseLedger!$P258,""))</x:f>
      </x:c>
      <x:c r="I258" s="52" t="str">
        <x:f>IF(CaseLedger!$A258="","",IFERROR(CaseLedger!$Q258,""))</x:f>
      </x:c>
      <x:c r="J258" s="52" t="str">
        <x:f>IF(CaseLedger!$A258="","",IFERROR(CaseLedger!$R258,""))</x:f>
      </x:c>
      <x:c r="K258" s="52" t="str">
        <x:f>IF(CaseLedger!$A258="","",IFERROR(CaseLedger!$S258,""))</x:f>
      </x:c>
      <x:c r="L258" s="52" t="str">
        <x:f>IF(CaseLedger!$A258="","",IFERROR(CaseLedger!$T258,""))</x:f>
      </x:c>
      <x:c r="M258" s="52" t="str">
        <x:f>IF(CaseLedger!$A258="","",IFERROR(CaseLedger!$U258,""))</x:f>
      </x:c>
      <x:c r="N258" s="52" t="str">
        <x:f>IF(CaseLedger!$A258="","",IFERROR(CaseLedger!$V258,""))</x:f>
      </x:c>
      <x:c r="O258" s="52" t="str">
        <x:f>IF(CaseLedger!$A258="","",IFERROR(CaseLedger!$W258,""))</x:f>
      </x:c>
      <x:c r="P258" s="52" t="str">
        <x:f>IF(CaseLedger!$A258="","",IFERROR(CaseLedger!$C258,""))</x:f>
      </x:c>
      <x:c r="Q258" s="52" t="str">
        <x:f>IF(CaseLedger!$A258="","",IFERROR(CaseLedger!$D258,""))</x:f>
      </x:c>
      <x:c r="R258" s="52" t="str">
        <x:f>IF(CaseLedger!$A258="","",IFERROR(CaseLedger!$X258,""))</x:f>
      </x:c>
      <x:c r="S258" s="52" t="str">
        <x:f>IF(CaseLedger!$A258="","",IFERROR(CaseLedger!$Y258,""))</x:f>
      </x:c>
      <x:c r="T258" s="52" t="str">
        <x:f>IF(CaseLedger!$A258="","",IFERROR(CaseLedger!$Z258,""))</x:f>
      </x:c>
      <x:c r="U258" s="52" t="str">
        <x:f>IF(CaseLedger!$A258="","",IFERROR(CaseLedger!$AA258,""))</x:f>
      </x:c>
      <x:c r="V258" s="52" t="str">
        <x:f>IF(CaseLedger!$A258="","",IFERROR(CaseLedger!$AB258,""))</x:f>
      </x:c>
      <x:c r="W258" s="52" t="str">
        <x:f>IF(CaseLedger!$A258="","",IFERROR(CaseLedger!$AC258,""))</x:f>
      </x:c>
      <x:c r="X258" s="52" t="str">
        <x:f>IF(CaseLedger!$A258="","",IFERROR(CaseLedger!$AD258,""))</x:f>
      </x:c>
      <x:c r="Y258" s="52" t="str">
        <x:f>IF(CaseLedger!$A258="","",IFERROR(CaseLedger!$AE258,""))</x:f>
      </x:c>
      <x:c r="Z258" s="52" t="str">
        <x:f>IF(CaseLedger!$A258="","",IFERROR(CaseLedger!$AF258,""))</x:f>
      </x:c>
      <x:c r="AA258" s="52" t="str">
        <x:f>IF(CaseLedger!$A258="","",IFERROR(CaseLedger!$AG258,""))</x:f>
      </x:c>
      <x:c r="AB258" s="52" t="str">
        <x:f>IF(CaseLedger!$A258="","",IFERROR(CaseLedger!$AH258,""))</x:f>
      </x:c>
      <x:c r="AC258"/>
    </x:row>
    <x:row r="259">
      <x:c r="A259" s="52" t="str">
        <x:f>IF(CaseLedger!$A259="","",IFERROR(CaseLedger!$A259,""))</x:f>
      </x:c>
      <x:c r="B259" s="52" t="str">
        <x:f>IF(CaseLedger!$A259="","",IFERROR(CaseLedger!$H259,""))</x:f>
      </x:c>
      <x:c r="C259" s="52" t="str">
        <x:f>IF(CaseLedger!$A259="","",IFERROR(CaseLedger!$I259,""))</x:f>
      </x:c>
      <x:c r="D259" s="52" t="str">
        <x:f>IF(CaseLedger!$A259="","",IFERROR(CaseLedger!$J259,""))</x:f>
      </x:c>
      <x:c r="E259" s="52" t="str">
        <x:f>IF(CaseLedger!$A259="","",IFERROR(CaseLedger!$K259,""))</x:f>
      </x:c>
      <x:c r="F259" s="52" t="str">
        <x:f>IF(CaseLedger!$A259="","",IFERROR(CaseLedger!$O259,""))</x:f>
      </x:c>
      <x:c r="G259" s="52" t="str">
        <x:f>IF(CaseLedger!$A259="","",IFERROR(CaseLedger!$E259,""))</x:f>
      </x:c>
      <x:c r="H259" s="52" t="str">
        <x:f>IF(CaseLedger!$A259="","",IFERROR(CaseLedger!$P259,""))</x:f>
      </x:c>
      <x:c r="I259" s="52" t="str">
        <x:f>IF(CaseLedger!$A259="","",IFERROR(CaseLedger!$Q259,""))</x:f>
      </x:c>
      <x:c r="J259" s="52" t="str">
        <x:f>IF(CaseLedger!$A259="","",IFERROR(CaseLedger!$R259,""))</x:f>
      </x:c>
      <x:c r="K259" s="52" t="str">
        <x:f>IF(CaseLedger!$A259="","",IFERROR(CaseLedger!$S259,""))</x:f>
      </x:c>
      <x:c r="L259" s="52" t="str">
        <x:f>IF(CaseLedger!$A259="","",IFERROR(CaseLedger!$T259,""))</x:f>
      </x:c>
      <x:c r="M259" s="52" t="str">
        <x:f>IF(CaseLedger!$A259="","",IFERROR(CaseLedger!$U259,""))</x:f>
      </x:c>
      <x:c r="N259" s="52" t="str">
        <x:f>IF(CaseLedger!$A259="","",IFERROR(CaseLedger!$V259,""))</x:f>
      </x:c>
      <x:c r="O259" s="52" t="str">
        <x:f>IF(CaseLedger!$A259="","",IFERROR(CaseLedger!$W259,""))</x:f>
      </x:c>
      <x:c r="P259" s="52" t="str">
        <x:f>IF(CaseLedger!$A259="","",IFERROR(CaseLedger!$C259,""))</x:f>
      </x:c>
      <x:c r="Q259" s="52" t="str">
        <x:f>IF(CaseLedger!$A259="","",IFERROR(CaseLedger!$D259,""))</x:f>
      </x:c>
      <x:c r="R259" s="52" t="str">
        <x:f>IF(CaseLedger!$A259="","",IFERROR(CaseLedger!$X259,""))</x:f>
      </x:c>
      <x:c r="S259" s="52" t="str">
        <x:f>IF(CaseLedger!$A259="","",IFERROR(CaseLedger!$Y259,""))</x:f>
      </x:c>
      <x:c r="T259" s="52" t="str">
        <x:f>IF(CaseLedger!$A259="","",IFERROR(CaseLedger!$Z259,""))</x:f>
      </x:c>
      <x:c r="U259" s="52" t="str">
        <x:f>IF(CaseLedger!$A259="","",IFERROR(CaseLedger!$AA259,""))</x:f>
      </x:c>
      <x:c r="V259" s="52" t="str">
        <x:f>IF(CaseLedger!$A259="","",IFERROR(CaseLedger!$AB259,""))</x:f>
      </x:c>
      <x:c r="W259" s="52" t="str">
        <x:f>IF(CaseLedger!$A259="","",IFERROR(CaseLedger!$AC259,""))</x:f>
      </x:c>
      <x:c r="X259" s="52" t="str">
        <x:f>IF(CaseLedger!$A259="","",IFERROR(CaseLedger!$AD259,""))</x:f>
      </x:c>
      <x:c r="Y259" s="52" t="str">
        <x:f>IF(CaseLedger!$A259="","",IFERROR(CaseLedger!$AE259,""))</x:f>
      </x:c>
      <x:c r="Z259" s="52" t="str">
        <x:f>IF(CaseLedger!$A259="","",IFERROR(CaseLedger!$AF259,""))</x:f>
      </x:c>
      <x:c r="AA259" s="52" t="str">
        <x:f>IF(CaseLedger!$A259="","",IFERROR(CaseLedger!$AG259,""))</x:f>
      </x:c>
      <x:c r="AB259" s="52" t="str">
        <x:f>IF(CaseLedger!$A259="","",IFERROR(CaseLedger!$AH259,""))</x:f>
      </x:c>
      <x:c r="AC259"/>
    </x:row>
    <x:row r="260">
      <x:c r="A260" s="52" t="str">
        <x:f>IF(CaseLedger!$A260="","",IFERROR(CaseLedger!$A260,""))</x:f>
      </x:c>
      <x:c r="B260" s="52" t="str">
        <x:f>IF(CaseLedger!$A260="","",IFERROR(CaseLedger!$H260,""))</x:f>
      </x:c>
      <x:c r="C260" s="52" t="str">
        <x:f>IF(CaseLedger!$A260="","",IFERROR(CaseLedger!$I260,""))</x:f>
      </x:c>
      <x:c r="D260" s="52" t="str">
        <x:f>IF(CaseLedger!$A260="","",IFERROR(CaseLedger!$J260,""))</x:f>
      </x:c>
      <x:c r="E260" s="52" t="str">
        <x:f>IF(CaseLedger!$A260="","",IFERROR(CaseLedger!$K260,""))</x:f>
      </x:c>
      <x:c r="F260" s="52" t="str">
        <x:f>IF(CaseLedger!$A260="","",IFERROR(CaseLedger!$O260,""))</x:f>
      </x:c>
      <x:c r="G260" s="52" t="str">
        <x:f>IF(CaseLedger!$A260="","",IFERROR(CaseLedger!$E260,""))</x:f>
      </x:c>
      <x:c r="H260" s="52" t="str">
        <x:f>IF(CaseLedger!$A260="","",IFERROR(CaseLedger!$P260,""))</x:f>
      </x:c>
      <x:c r="I260" s="52" t="str">
        <x:f>IF(CaseLedger!$A260="","",IFERROR(CaseLedger!$Q260,""))</x:f>
      </x:c>
      <x:c r="J260" s="52" t="str">
        <x:f>IF(CaseLedger!$A260="","",IFERROR(CaseLedger!$R260,""))</x:f>
      </x:c>
      <x:c r="K260" s="52" t="str">
        <x:f>IF(CaseLedger!$A260="","",IFERROR(CaseLedger!$S260,""))</x:f>
      </x:c>
      <x:c r="L260" s="52" t="str">
        <x:f>IF(CaseLedger!$A260="","",IFERROR(CaseLedger!$T260,""))</x:f>
      </x:c>
      <x:c r="M260" s="52" t="str">
        <x:f>IF(CaseLedger!$A260="","",IFERROR(CaseLedger!$U260,""))</x:f>
      </x:c>
      <x:c r="N260" s="52" t="str">
        <x:f>IF(CaseLedger!$A260="","",IFERROR(CaseLedger!$V260,""))</x:f>
      </x:c>
      <x:c r="O260" s="52" t="str">
        <x:f>IF(CaseLedger!$A260="","",IFERROR(CaseLedger!$W260,""))</x:f>
      </x:c>
      <x:c r="P260" s="52" t="str">
        <x:f>IF(CaseLedger!$A260="","",IFERROR(CaseLedger!$C260,""))</x:f>
      </x:c>
      <x:c r="Q260" s="52" t="str">
        <x:f>IF(CaseLedger!$A260="","",IFERROR(CaseLedger!$D260,""))</x:f>
      </x:c>
      <x:c r="R260" s="52" t="str">
        <x:f>IF(CaseLedger!$A260="","",IFERROR(CaseLedger!$X260,""))</x:f>
      </x:c>
      <x:c r="S260" s="52" t="str">
        <x:f>IF(CaseLedger!$A260="","",IFERROR(CaseLedger!$Y260,""))</x:f>
      </x:c>
      <x:c r="T260" s="52" t="str">
        <x:f>IF(CaseLedger!$A260="","",IFERROR(CaseLedger!$Z260,""))</x:f>
      </x:c>
      <x:c r="U260" s="52" t="str">
        <x:f>IF(CaseLedger!$A260="","",IFERROR(CaseLedger!$AA260,""))</x:f>
      </x:c>
      <x:c r="V260" s="52" t="str">
        <x:f>IF(CaseLedger!$A260="","",IFERROR(CaseLedger!$AB260,""))</x:f>
      </x:c>
      <x:c r="W260" s="52" t="str">
        <x:f>IF(CaseLedger!$A260="","",IFERROR(CaseLedger!$AC260,""))</x:f>
      </x:c>
      <x:c r="X260" s="52" t="str">
        <x:f>IF(CaseLedger!$A260="","",IFERROR(CaseLedger!$AD260,""))</x:f>
      </x:c>
      <x:c r="Y260" s="52" t="str">
        <x:f>IF(CaseLedger!$A260="","",IFERROR(CaseLedger!$AE260,""))</x:f>
      </x:c>
      <x:c r="Z260" s="52" t="str">
        <x:f>IF(CaseLedger!$A260="","",IFERROR(CaseLedger!$AF260,""))</x:f>
      </x:c>
      <x:c r="AA260" s="52" t="str">
        <x:f>IF(CaseLedger!$A260="","",IFERROR(CaseLedger!$AG260,""))</x:f>
      </x:c>
      <x:c r="AB260" s="52" t="str">
        <x:f>IF(CaseLedger!$A260="","",IFERROR(CaseLedger!$AH260,""))</x:f>
      </x:c>
      <x:c r="AC260"/>
    </x:row>
    <x:row r="261">
      <x:c r="A261" s="52" t="str">
        <x:f>IF(CaseLedger!$A261="","",IFERROR(CaseLedger!$A261,""))</x:f>
      </x:c>
      <x:c r="B261" s="52" t="str">
        <x:f>IF(CaseLedger!$A261="","",IFERROR(CaseLedger!$H261,""))</x:f>
      </x:c>
      <x:c r="C261" s="52" t="str">
        <x:f>IF(CaseLedger!$A261="","",IFERROR(CaseLedger!$I261,""))</x:f>
      </x:c>
      <x:c r="D261" s="52" t="str">
        <x:f>IF(CaseLedger!$A261="","",IFERROR(CaseLedger!$J261,""))</x:f>
      </x:c>
      <x:c r="E261" s="52" t="str">
        <x:f>IF(CaseLedger!$A261="","",IFERROR(CaseLedger!$K261,""))</x:f>
      </x:c>
      <x:c r="F261" s="52" t="str">
        <x:f>IF(CaseLedger!$A261="","",IFERROR(CaseLedger!$O261,""))</x:f>
      </x:c>
      <x:c r="G261" s="52" t="str">
        <x:f>IF(CaseLedger!$A261="","",IFERROR(CaseLedger!$E261,""))</x:f>
      </x:c>
      <x:c r="H261" s="52" t="str">
        <x:f>IF(CaseLedger!$A261="","",IFERROR(CaseLedger!$P261,""))</x:f>
      </x:c>
      <x:c r="I261" s="52" t="str">
        <x:f>IF(CaseLedger!$A261="","",IFERROR(CaseLedger!$Q261,""))</x:f>
      </x:c>
      <x:c r="J261" s="52" t="str">
        <x:f>IF(CaseLedger!$A261="","",IFERROR(CaseLedger!$R261,""))</x:f>
      </x:c>
      <x:c r="K261" s="52" t="str">
        <x:f>IF(CaseLedger!$A261="","",IFERROR(CaseLedger!$S261,""))</x:f>
      </x:c>
      <x:c r="L261" s="52" t="str">
        <x:f>IF(CaseLedger!$A261="","",IFERROR(CaseLedger!$T261,""))</x:f>
      </x:c>
      <x:c r="M261" s="52" t="str">
        <x:f>IF(CaseLedger!$A261="","",IFERROR(CaseLedger!$U261,""))</x:f>
      </x:c>
      <x:c r="N261" s="52" t="str">
        <x:f>IF(CaseLedger!$A261="","",IFERROR(CaseLedger!$V261,""))</x:f>
      </x:c>
      <x:c r="O261" s="52" t="str">
        <x:f>IF(CaseLedger!$A261="","",IFERROR(CaseLedger!$W261,""))</x:f>
      </x:c>
      <x:c r="P261" s="52" t="str">
        <x:f>IF(CaseLedger!$A261="","",IFERROR(CaseLedger!$C261,""))</x:f>
      </x:c>
      <x:c r="Q261" s="52" t="str">
        <x:f>IF(CaseLedger!$A261="","",IFERROR(CaseLedger!$D261,""))</x:f>
      </x:c>
      <x:c r="R261" s="52" t="str">
        <x:f>IF(CaseLedger!$A261="","",IFERROR(CaseLedger!$X261,""))</x:f>
      </x:c>
      <x:c r="S261" s="52" t="str">
        <x:f>IF(CaseLedger!$A261="","",IFERROR(CaseLedger!$Y261,""))</x:f>
      </x:c>
      <x:c r="T261" s="52" t="str">
        <x:f>IF(CaseLedger!$A261="","",IFERROR(CaseLedger!$Z261,""))</x:f>
      </x:c>
      <x:c r="U261" s="52" t="str">
        <x:f>IF(CaseLedger!$A261="","",IFERROR(CaseLedger!$AA261,""))</x:f>
      </x:c>
      <x:c r="V261" s="52" t="str">
        <x:f>IF(CaseLedger!$A261="","",IFERROR(CaseLedger!$AB261,""))</x:f>
      </x:c>
      <x:c r="W261" s="52" t="str">
        <x:f>IF(CaseLedger!$A261="","",IFERROR(CaseLedger!$AC261,""))</x:f>
      </x:c>
      <x:c r="X261" s="52" t="str">
        <x:f>IF(CaseLedger!$A261="","",IFERROR(CaseLedger!$AD261,""))</x:f>
      </x:c>
      <x:c r="Y261" s="52" t="str">
        <x:f>IF(CaseLedger!$A261="","",IFERROR(CaseLedger!$AE261,""))</x:f>
      </x:c>
      <x:c r="Z261" s="52" t="str">
        <x:f>IF(CaseLedger!$A261="","",IFERROR(CaseLedger!$AF261,""))</x:f>
      </x:c>
      <x:c r="AA261" s="52" t="str">
        <x:f>IF(CaseLedger!$A261="","",IFERROR(CaseLedger!$AG261,""))</x:f>
      </x:c>
      <x:c r="AB261" s="52" t="str">
        <x:f>IF(CaseLedger!$A261="","",IFERROR(CaseLedger!$AH261,""))</x:f>
      </x:c>
      <x:c r="AC261"/>
    </x:row>
    <x:row r="262">
      <x:c r="A262" s="52" t="str">
        <x:f>IF(CaseLedger!$A262="","",IFERROR(CaseLedger!$A262,""))</x:f>
      </x:c>
      <x:c r="B262" s="52" t="str">
        <x:f>IF(CaseLedger!$A262="","",IFERROR(CaseLedger!$H262,""))</x:f>
      </x:c>
      <x:c r="C262" s="52" t="str">
        <x:f>IF(CaseLedger!$A262="","",IFERROR(CaseLedger!$I262,""))</x:f>
      </x:c>
      <x:c r="D262" s="52" t="str">
        <x:f>IF(CaseLedger!$A262="","",IFERROR(CaseLedger!$J262,""))</x:f>
      </x:c>
      <x:c r="E262" s="52" t="str">
        <x:f>IF(CaseLedger!$A262="","",IFERROR(CaseLedger!$K262,""))</x:f>
      </x:c>
      <x:c r="F262" s="52" t="str">
        <x:f>IF(CaseLedger!$A262="","",IFERROR(CaseLedger!$O262,""))</x:f>
      </x:c>
      <x:c r="G262" s="52" t="str">
        <x:f>IF(CaseLedger!$A262="","",IFERROR(CaseLedger!$E262,""))</x:f>
      </x:c>
      <x:c r="H262" s="52" t="str">
        <x:f>IF(CaseLedger!$A262="","",IFERROR(CaseLedger!$P262,""))</x:f>
      </x:c>
      <x:c r="I262" s="52" t="str">
        <x:f>IF(CaseLedger!$A262="","",IFERROR(CaseLedger!$Q262,""))</x:f>
      </x:c>
      <x:c r="J262" s="52" t="str">
        <x:f>IF(CaseLedger!$A262="","",IFERROR(CaseLedger!$R262,""))</x:f>
      </x:c>
      <x:c r="K262" s="52" t="str">
        <x:f>IF(CaseLedger!$A262="","",IFERROR(CaseLedger!$S262,""))</x:f>
      </x:c>
      <x:c r="L262" s="52" t="str">
        <x:f>IF(CaseLedger!$A262="","",IFERROR(CaseLedger!$T262,""))</x:f>
      </x:c>
      <x:c r="M262" s="52" t="str">
        <x:f>IF(CaseLedger!$A262="","",IFERROR(CaseLedger!$U262,""))</x:f>
      </x:c>
      <x:c r="N262" s="52" t="str">
        <x:f>IF(CaseLedger!$A262="","",IFERROR(CaseLedger!$V262,""))</x:f>
      </x:c>
      <x:c r="O262" s="52" t="str">
        <x:f>IF(CaseLedger!$A262="","",IFERROR(CaseLedger!$W262,""))</x:f>
      </x:c>
      <x:c r="P262" s="52" t="str">
        <x:f>IF(CaseLedger!$A262="","",IFERROR(CaseLedger!$C262,""))</x:f>
      </x:c>
      <x:c r="Q262" s="52" t="str">
        <x:f>IF(CaseLedger!$A262="","",IFERROR(CaseLedger!$D262,""))</x:f>
      </x:c>
      <x:c r="R262" s="52" t="str">
        <x:f>IF(CaseLedger!$A262="","",IFERROR(CaseLedger!$X262,""))</x:f>
      </x:c>
      <x:c r="S262" s="52" t="str">
        <x:f>IF(CaseLedger!$A262="","",IFERROR(CaseLedger!$Y262,""))</x:f>
      </x:c>
      <x:c r="T262" s="52" t="str">
        <x:f>IF(CaseLedger!$A262="","",IFERROR(CaseLedger!$Z262,""))</x:f>
      </x:c>
      <x:c r="U262" s="52" t="str">
        <x:f>IF(CaseLedger!$A262="","",IFERROR(CaseLedger!$AA262,""))</x:f>
      </x:c>
      <x:c r="V262" s="52" t="str">
        <x:f>IF(CaseLedger!$A262="","",IFERROR(CaseLedger!$AB262,""))</x:f>
      </x:c>
      <x:c r="W262" s="52" t="str">
        <x:f>IF(CaseLedger!$A262="","",IFERROR(CaseLedger!$AC262,""))</x:f>
      </x:c>
      <x:c r="X262" s="52" t="str">
        <x:f>IF(CaseLedger!$A262="","",IFERROR(CaseLedger!$AD262,""))</x:f>
      </x:c>
      <x:c r="Y262" s="52" t="str">
        <x:f>IF(CaseLedger!$A262="","",IFERROR(CaseLedger!$AE262,""))</x:f>
      </x:c>
      <x:c r="Z262" s="52" t="str">
        <x:f>IF(CaseLedger!$A262="","",IFERROR(CaseLedger!$AF262,""))</x:f>
      </x:c>
      <x:c r="AA262" s="52" t="str">
        <x:f>IF(CaseLedger!$A262="","",IFERROR(CaseLedger!$AG262,""))</x:f>
      </x:c>
      <x:c r="AB262" s="52" t="str">
        <x:f>IF(CaseLedger!$A262="","",IFERROR(CaseLedger!$AH262,""))</x:f>
      </x:c>
      <x:c r="AC262"/>
    </x:row>
    <x:row r="263">
      <x:c r="A263" s="52" t="str">
        <x:f>IF(CaseLedger!$A263="","",IFERROR(CaseLedger!$A263,""))</x:f>
      </x:c>
      <x:c r="B263" s="52" t="str">
        <x:f>IF(CaseLedger!$A263="","",IFERROR(CaseLedger!$H263,""))</x:f>
      </x:c>
      <x:c r="C263" s="52" t="str">
        <x:f>IF(CaseLedger!$A263="","",IFERROR(CaseLedger!$I263,""))</x:f>
      </x:c>
      <x:c r="D263" s="52" t="str">
        <x:f>IF(CaseLedger!$A263="","",IFERROR(CaseLedger!$J263,""))</x:f>
      </x:c>
      <x:c r="E263" s="52" t="str">
        <x:f>IF(CaseLedger!$A263="","",IFERROR(CaseLedger!$K263,""))</x:f>
      </x:c>
      <x:c r="F263" s="52" t="str">
        <x:f>IF(CaseLedger!$A263="","",IFERROR(CaseLedger!$O263,""))</x:f>
      </x:c>
      <x:c r="G263" s="52" t="str">
        <x:f>IF(CaseLedger!$A263="","",IFERROR(CaseLedger!$E263,""))</x:f>
      </x:c>
      <x:c r="H263" s="52" t="str">
        <x:f>IF(CaseLedger!$A263="","",IFERROR(CaseLedger!$P263,""))</x:f>
      </x:c>
      <x:c r="I263" s="52" t="str">
        <x:f>IF(CaseLedger!$A263="","",IFERROR(CaseLedger!$Q263,""))</x:f>
      </x:c>
      <x:c r="J263" s="52" t="str">
        <x:f>IF(CaseLedger!$A263="","",IFERROR(CaseLedger!$R263,""))</x:f>
      </x:c>
      <x:c r="K263" s="52" t="str">
        <x:f>IF(CaseLedger!$A263="","",IFERROR(CaseLedger!$S263,""))</x:f>
      </x:c>
      <x:c r="L263" s="52" t="str">
        <x:f>IF(CaseLedger!$A263="","",IFERROR(CaseLedger!$T263,""))</x:f>
      </x:c>
      <x:c r="M263" s="52" t="str">
        <x:f>IF(CaseLedger!$A263="","",IFERROR(CaseLedger!$U263,""))</x:f>
      </x:c>
      <x:c r="N263" s="52" t="str">
        <x:f>IF(CaseLedger!$A263="","",IFERROR(CaseLedger!$V263,""))</x:f>
      </x:c>
      <x:c r="O263" s="52" t="str">
        <x:f>IF(CaseLedger!$A263="","",IFERROR(CaseLedger!$W263,""))</x:f>
      </x:c>
      <x:c r="P263" s="52" t="str">
        <x:f>IF(CaseLedger!$A263="","",IFERROR(CaseLedger!$C263,""))</x:f>
      </x:c>
      <x:c r="Q263" s="52" t="str">
        <x:f>IF(CaseLedger!$A263="","",IFERROR(CaseLedger!$D263,""))</x:f>
      </x:c>
      <x:c r="R263" s="52" t="str">
        <x:f>IF(CaseLedger!$A263="","",IFERROR(CaseLedger!$X263,""))</x:f>
      </x:c>
      <x:c r="S263" s="52" t="str">
        <x:f>IF(CaseLedger!$A263="","",IFERROR(CaseLedger!$Y263,""))</x:f>
      </x:c>
      <x:c r="T263" s="52" t="str">
        <x:f>IF(CaseLedger!$A263="","",IFERROR(CaseLedger!$Z263,""))</x:f>
      </x:c>
      <x:c r="U263" s="52" t="str">
        <x:f>IF(CaseLedger!$A263="","",IFERROR(CaseLedger!$AA263,""))</x:f>
      </x:c>
      <x:c r="V263" s="52" t="str">
        <x:f>IF(CaseLedger!$A263="","",IFERROR(CaseLedger!$AB263,""))</x:f>
      </x:c>
      <x:c r="W263" s="52" t="str">
        <x:f>IF(CaseLedger!$A263="","",IFERROR(CaseLedger!$AC263,""))</x:f>
      </x:c>
      <x:c r="X263" s="52" t="str">
        <x:f>IF(CaseLedger!$A263="","",IFERROR(CaseLedger!$AD263,""))</x:f>
      </x:c>
      <x:c r="Y263" s="52" t="str">
        <x:f>IF(CaseLedger!$A263="","",IFERROR(CaseLedger!$AE263,""))</x:f>
      </x:c>
      <x:c r="Z263" s="52" t="str">
        <x:f>IF(CaseLedger!$A263="","",IFERROR(CaseLedger!$AF263,""))</x:f>
      </x:c>
      <x:c r="AA263" s="52" t="str">
        <x:f>IF(CaseLedger!$A263="","",IFERROR(CaseLedger!$AG263,""))</x:f>
      </x:c>
      <x:c r="AB263" s="52" t="str">
        <x:f>IF(CaseLedger!$A263="","",IFERROR(CaseLedger!$AH263,""))</x:f>
      </x:c>
      <x:c r="AC263"/>
    </x:row>
    <x:row r="264">
      <x:c r="A264" s="52" t="str">
        <x:f>IF(CaseLedger!$A264="","",IFERROR(CaseLedger!$A264,""))</x:f>
      </x:c>
      <x:c r="B264" s="52" t="str">
        <x:f>IF(CaseLedger!$A264="","",IFERROR(CaseLedger!$H264,""))</x:f>
      </x:c>
      <x:c r="C264" s="52" t="str">
        <x:f>IF(CaseLedger!$A264="","",IFERROR(CaseLedger!$I264,""))</x:f>
      </x:c>
      <x:c r="D264" s="52" t="str">
        <x:f>IF(CaseLedger!$A264="","",IFERROR(CaseLedger!$J264,""))</x:f>
      </x:c>
      <x:c r="E264" s="52" t="str">
        <x:f>IF(CaseLedger!$A264="","",IFERROR(CaseLedger!$K264,""))</x:f>
      </x:c>
      <x:c r="F264" s="52" t="str">
        <x:f>IF(CaseLedger!$A264="","",IFERROR(CaseLedger!$O264,""))</x:f>
      </x:c>
      <x:c r="G264" s="52" t="str">
        <x:f>IF(CaseLedger!$A264="","",IFERROR(CaseLedger!$E264,""))</x:f>
      </x:c>
      <x:c r="H264" s="52" t="str">
        <x:f>IF(CaseLedger!$A264="","",IFERROR(CaseLedger!$P264,""))</x:f>
      </x:c>
      <x:c r="I264" s="52" t="str">
        <x:f>IF(CaseLedger!$A264="","",IFERROR(CaseLedger!$Q264,""))</x:f>
      </x:c>
      <x:c r="J264" s="52" t="str">
        <x:f>IF(CaseLedger!$A264="","",IFERROR(CaseLedger!$R264,""))</x:f>
      </x:c>
      <x:c r="K264" s="52" t="str">
        <x:f>IF(CaseLedger!$A264="","",IFERROR(CaseLedger!$S264,""))</x:f>
      </x:c>
      <x:c r="L264" s="52" t="str">
        <x:f>IF(CaseLedger!$A264="","",IFERROR(CaseLedger!$T264,""))</x:f>
      </x:c>
      <x:c r="M264" s="52" t="str">
        <x:f>IF(CaseLedger!$A264="","",IFERROR(CaseLedger!$U264,""))</x:f>
      </x:c>
      <x:c r="N264" s="52" t="str">
        <x:f>IF(CaseLedger!$A264="","",IFERROR(CaseLedger!$V264,""))</x:f>
      </x:c>
      <x:c r="O264" s="52" t="str">
        <x:f>IF(CaseLedger!$A264="","",IFERROR(CaseLedger!$W264,""))</x:f>
      </x:c>
      <x:c r="P264" s="52" t="str">
        <x:f>IF(CaseLedger!$A264="","",IFERROR(CaseLedger!$C264,""))</x:f>
      </x:c>
      <x:c r="Q264" s="52" t="str">
        <x:f>IF(CaseLedger!$A264="","",IFERROR(CaseLedger!$D264,""))</x:f>
      </x:c>
      <x:c r="R264" s="52" t="str">
        <x:f>IF(CaseLedger!$A264="","",IFERROR(CaseLedger!$X264,""))</x:f>
      </x:c>
      <x:c r="S264" s="52" t="str">
        <x:f>IF(CaseLedger!$A264="","",IFERROR(CaseLedger!$Y264,""))</x:f>
      </x:c>
      <x:c r="T264" s="52" t="str">
        <x:f>IF(CaseLedger!$A264="","",IFERROR(CaseLedger!$Z264,""))</x:f>
      </x:c>
      <x:c r="U264" s="52" t="str">
        <x:f>IF(CaseLedger!$A264="","",IFERROR(CaseLedger!$AA264,""))</x:f>
      </x:c>
      <x:c r="V264" s="52" t="str">
        <x:f>IF(CaseLedger!$A264="","",IFERROR(CaseLedger!$AB264,""))</x:f>
      </x:c>
      <x:c r="W264" s="52" t="str">
        <x:f>IF(CaseLedger!$A264="","",IFERROR(CaseLedger!$AC264,""))</x:f>
      </x:c>
      <x:c r="X264" s="52" t="str">
        <x:f>IF(CaseLedger!$A264="","",IFERROR(CaseLedger!$AD264,""))</x:f>
      </x:c>
      <x:c r="Y264" s="52" t="str">
        <x:f>IF(CaseLedger!$A264="","",IFERROR(CaseLedger!$AE264,""))</x:f>
      </x:c>
      <x:c r="Z264" s="52" t="str">
        <x:f>IF(CaseLedger!$A264="","",IFERROR(CaseLedger!$AF264,""))</x:f>
      </x:c>
      <x:c r="AA264" s="52" t="str">
        <x:f>IF(CaseLedger!$A264="","",IFERROR(CaseLedger!$AG264,""))</x:f>
      </x:c>
      <x:c r="AB264" s="52" t="str">
        <x:f>IF(CaseLedger!$A264="","",IFERROR(CaseLedger!$AH264,""))</x:f>
      </x:c>
      <x:c r="AC264"/>
    </x:row>
    <x:row r="265">
      <x:c r="A265" s="52" t="str">
        <x:f>IF(CaseLedger!$A265="","",IFERROR(CaseLedger!$A265,""))</x:f>
      </x:c>
      <x:c r="B265" s="52" t="str">
        <x:f>IF(CaseLedger!$A265="","",IFERROR(CaseLedger!$H265,""))</x:f>
      </x:c>
      <x:c r="C265" s="52" t="str">
        <x:f>IF(CaseLedger!$A265="","",IFERROR(CaseLedger!$I265,""))</x:f>
      </x:c>
      <x:c r="D265" s="52" t="str">
        <x:f>IF(CaseLedger!$A265="","",IFERROR(CaseLedger!$J265,""))</x:f>
      </x:c>
      <x:c r="E265" s="52" t="str">
        <x:f>IF(CaseLedger!$A265="","",IFERROR(CaseLedger!$K265,""))</x:f>
      </x:c>
      <x:c r="F265" s="52" t="str">
        <x:f>IF(CaseLedger!$A265="","",IFERROR(CaseLedger!$O265,""))</x:f>
      </x:c>
      <x:c r="G265" s="52" t="str">
        <x:f>IF(CaseLedger!$A265="","",IFERROR(CaseLedger!$E265,""))</x:f>
      </x:c>
      <x:c r="H265" s="52" t="str">
        <x:f>IF(CaseLedger!$A265="","",IFERROR(CaseLedger!$P265,""))</x:f>
      </x:c>
      <x:c r="I265" s="52" t="str">
        <x:f>IF(CaseLedger!$A265="","",IFERROR(CaseLedger!$Q265,""))</x:f>
      </x:c>
      <x:c r="J265" s="52" t="str">
        <x:f>IF(CaseLedger!$A265="","",IFERROR(CaseLedger!$R265,""))</x:f>
      </x:c>
      <x:c r="K265" s="52" t="str">
        <x:f>IF(CaseLedger!$A265="","",IFERROR(CaseLedger!$S265,""))</x:f>
      </x:c>
      <x:c r="L265" s="52" t="str">
        <x:f>IF(CaseLedger!$A265="","",IFERROR(CaseLedger!$T265,""))</x:f>
      </x:c>
      <x:c r="M265" s="52" t="str">
        <x:f>IF(CaseLedger!$A265="","",IFERROR(CaseLedger!$U265,""))</x:f>
      </x:c>
      <x:c r="N265" s="52" t="str">
        <x:f>IF(CaseLedger!$A265="","",IFERROR(CaseLedger!$V265,""))</x:f>
      </x:c>
      <x:c r="O265" s="52" t="str">
        <x:f>IF(CaseLedger!$A265="","",IFERROR(CaseLedger!$W265,""))</x:f>
      </x:c>
      <x:c r="P265" s="52" t="str">
        <x:f>IF(CaseLedger!$A265="","",IFERROR(CaseLedger!$C265,""))</x:f>
      </x:c>
      <x:c r="Q265" s="52" t="str">
        <x:f>IF(CaseLedger!$A265="","",IFERROR(CaseLedger!$D265,""))</x:f>
      </x:c>
      <x:c r="R265" s="52" t="str">
        <x:f>IF(CaseLedger!$A265="","",IFERROR(CaseLedger!$X265,""))</x:f>
      </x:c>
      <x:c r="S265" s="52" t="str">
        <x:f>IF(CaseLedger!$A265="","",IFERROR(CaseLedger!$Y265,""))</x:f>
      </x:c>
      <x:c r="T265" s="52" t="str">
        <x:f>IF(CaseLedger!$A265="","",IFERROR(CaseLedger!$Z265,""))</x:f>
      </x:c>
      <x:c r="U265" s="52" t="str">
        <x:f>IF(CaseLedger!$A265="","",IFERROR(CaseLedger!$AA265,""))</x:f>
      </x:c>
      <x:c r="V265" s="52" t="str">
        <x:f>IF(CaseLedger!$A265="","",IFERROR(CaseLedger!$AB265,""))</x:f>
      </x:c>
      <x:c r="W265" s="52" t="str">
        <x:f>IF(CaseLedger!$A265="","",IFERROR(CaseLedger!$AC265,""))</x:f>
      </x:c>
      <x:c r="X265" s="52" t="str">
        <x:f>IF(CaseLedger!$A265="","",IFERROR(CaseLedger!$AD265,""))</x:f>
      </x:c>
      <x:c r="Y265" s="52" t="str">
        <x:f>IF(CaseLedger!$A265="","",IFERROR(CaseLedger!$AE265,""))</x:f>
      </x:c>
      <x:c r="Z265" s="52" t="str">
        <x:f>IF(CaseLedger!$A265="","",IFERROR(CaseLedger!$AF265,""))</x:f>
      </x:c>
      <x:c r="AA265" s="52" t="str">
        <x:f>IF(CaseLedger!$A265="","",IFERROR(CaseLedger!$AG265,""))</x:f>
      </x:c>
      <x:c r="AB265" s="52" t="str">
        <x:f>IF(CaseLedger!$A265="","",IFERROR(CaseLedger!$AH265,""))</x:f>
      </x:c>
      <x:c r="AC265"/>
    </x:row>
    <x:row r="266">
      <x:c r="A266" s="52" t="str">
        <x:f>IF(CaseLedger!$A266="","",IFERROR(CaseLedger!$A266,""))</x:f>
      </x:c>
      <x:c r="B266" s="52" t="str">
        <x:f>IF(CaseLedger!$A266="","",IFERROR(CaseLedger!$H266,""))</x:f>
      </x:c>
      <x:c r="C266" s="52" t="str">
        <x:f>IF(CaseLedger!$A266="","",IFERROR(CaseLedger!$I266,""))</x:f>
      </x:c>
      <x:c r="D266" s="52" t="str">
        <x:f>IF(CaseLedger!$A266="","",IFERROR(CaseLedger!$J266,""))</x:f>
      </x:c>
      <x:c r="E266" s="52" t="str">
        <x:f>IF(CaseLedger!$A266="","",IFERROR(CaseLedger!$K266,""))</x:f>
      </x:c>
      <x:c r="F266" s="52" t="str">
        <x:f>IF(CaseLedger!$A266="","",IFERROR(CaseLedger!$O266,""))</x:f>
      </x:c>
      <x:c r="G266" s="52" t="str">
        <x:f>IF(CaseLedger!$A266="","",IFERROR(CaseLedger!$E266,""))</x:f>
      </x:c>
      <x:c r="H266" s="52" t="str">
        <x:f>IF(CaseLedger!$A266="","",IFERROR(CaseLedger!$P266,""))</x:f>
      </x:c>
      <x:c r="I266" s="52" t="str">
        <x:f>IF(CaseLedger!$A266="","",IFERROR(CaseLedger!$Q266,""))</x:f>
      </x:c>
      <x:c r="J266" s="52" t="str">
        <x:f>IF(CaseLedger!$A266="","",IFERROR(CaseLedger!$R266,""))</x:f>
      </x:c>
      <x:c r="K266" s="52" t="str">
        <x:f>IF(CaseLedger!$A266="","",IFERROR(CaseLedger!$S266,""))</x:f>
      </x:c>
      <x:c r="L266" s="52" t="str">
        <x:f>IF(CaseLedger!$A266="","",IFERROR(CaseLedger!$T266,""))</x:f>
      </x:c>
      <x:c r="M266" s="52" t="str">
        <x:f>IF(CaseLedger!$A266="","",IFERROR(CaseLedger!$U266,""))</x:f>
      </x:c>
      <x:c r="N266" s="52" t="str">
        <x:f>IF(CaseLedger!$A266="","",IFERROR(CaseLedger!$V266,""))</x:f>
      </x:c>
      <x:c r="O266" s="52" t="str">
        <x:f>IF(CaseLedger!$A266="","",IFERROR(CaseLedger!$W266,""))</x:f>
      </x:c>
      <x:c r="P266" s="52" t="str">
        <x:f>IF(CaseLedger!$A266="","",IFERROR(CaseLedger!$C266,""))</x:f>
      </x:c>
      <x:c r="Q266" s="52" t="str">
        <x:f>IF(CaseLedger!$A266="","",IFERROR(CaseLedger!$D266,""))</x:f>
      </x:c>
      <x:c r="R266" s="52" t="str">
        <x:f>IF(CaseLedger!$A266="","",IFERROR(CaseLedger!$X266,""))</x:f>
      </x:c>
      <x:c r="S266" s="52" t="str">
        <x:f>IF(CaseLedger!$A266="","",IFERROR(CaseLedger!$Y266,""))</x:f>
      </x:c>
      <x:c r="T266" s="52" t="str">
        <x:f>IF(CaseLedger!$A266="","",IFERROR(CaseLedger!$Z266,""))</x:f>
      </x:c>
      <x:c r="U266" s="52" t="str">
        <x:f>IF(CaseLedger!$A266="","",IFERROR(CaseLedger!$AA266,""))</x:f>
      </x:c>
      <x:c r="V266" s="52" t="str">
        <x:f>IF(CaseLedger!$A266="","",IFERROR(CaseLedger!$AB266,""))</x:f>
      </x:c>
      <x:c r="W266" s="52" t="str">
        <x:f>IF(CaseLedger!$A266="","",IFERROR(CaseLedger!$AC266,""))</x:f>
      </x:c>
      <x:c r="X266" s="52" t="str">
        <x:f>IF(CaseLedger!$A266="","",IFERROR(CaseLedger!$AD266,""))</x:f>
      </x:c>
      <x:c r="Y266" s="52" t="str">
        <x:f>IF(CaseLedger!$A266="","",IFERROR(CaseLedger!$AE266,""))</x:f>
      </x:c>
      <x:c r="Z266" s="52" t="str">
        <x:f>IF(CaseLedger!$A266="","",IFERROR(CaseLedger!$AF266,""))</x:f>
      </x:c>
      <x:c r="AA266" s="52" t="str">
        <x:f>IF(CaseLedger!$A266="","",IFERROR(CaseLedger!$AG266,""))</x:f>
      </x:c>
      <x:c r="AB266" s="52" t="str">
        <x:f>IF(CaseLedger!$A266="","",IFERROR(CaseLedger!$AH266,""))</x:f>
      </x:c>
      <x:c r="AC266"/>
    </x:row>
    <x:row r="267">
      <x:c r="A267" s="52" t="str">
        <x:f>IF(CaseLedger!$A267="","",IFERROR(CaseLedger!$A267,""))</x:f>
      </x:c>
      <x:c r="B267" s="52" t="str">
        <x:f>IF(CaseLedger!$A267="","",IFERROR(CaseLedger!$H267,""))</x:f>
      </x:c>
      <x:c r="C267" s="52" t="str">
        <x:f>IF(CaseLedger!$A267="","",IFERROR(CaseLedger!$I267,""))</x:f>
      </x:c>
      <x:c r="D267" s="52" t="str">
        <x:f>IF(CaseLedger!$A267="","",IFERROR(CaseLedger!$J267,""))</x:f>
      </x:c>
      <x:c r="E267" s="52" t="str">
        <x:f>IF(CaseLedger!$A267="","",IFERROR(CaseLedger!$K267,""))</x:f>
      </x:c>
      <x:c r="F267" s="52" t="str">
        <x:f>IF(CaseLedger!$A267="","",IFERROR(CaseLedger!$O267,""))</x:f>
      </x:c>
      <x:c r="G267" s="52" t="str">
        <x:f>IF(CaseLedger!$A267="","",IFERROR(CaseLedger!$E267,""))</x:f>
      </x:c>
      <x:c r="H267" s="52" t="str">
        <x:f>IF(CaseLedger!$A267="","",IFERROR(CaseLedger!$P267,""))</x:f>
      </x:c>
      <x:c r="I267" s="52" t="str">
        <x:f>IF(CaseLedger!$A267="","",IFERROR(CaseLedger!$Q267,""))</x:f>
      </x:c>
      <x:c r="J267" s="52" t="str">
        <x:f>IF(CaseLedger!$A267="","",IFERROR(CaseLedger!$R267,""))</x:f>
      </x:c>
      <x:c r="K267" s="52" t="str">
        <x:f>IF(CaseLedger!$A267="","",IFERROR(CaseLedger!$S267,""))</x:f>
      </x:c>
      <x:c r="L267" s="52" t="str">
        <x:f>IF(CaseLedger!$A267="","",IFERROR(CaseLedger!$T267,""))</x:f>
      </x:c>
      <x:c r="M267" s="52" t="str">
        <x:f>IF(CaseLedger!$A267="","",IFERROR(CaseLedger!$U267,""))</x:f>
      </x:c>
      <x:c r="N267" s="52" t="str">
        <x:f>IF(CaseLedger!$A267="","",IFERROR(CaseLedger!$V267,""))</x:f>
      </x:c>
      <x:c r="O267" s="52" t="str">
        <x:f>IF(CaseLedger!$A267="","",IFERROR(CaseLedger!$W267,""))</x:f>
      </x:c>
      <x:c r="P267" s="52" t="str">
        <x:f>IF(CaseLedger!$A267="","",IFERROR(CaseLedger!$C267,""))</x:f>
      </x:c>
      <x:c r="Q267" s="52" t="str">
        <x:f>IF(CaseLedger!$A267="","",IFERROR(CaseLedger!$D267,""))</x:f>
      </x:c>
      <x:c r="R267" s="52" t="str">
        <x:f>IF(CaseLedger!$A267="","",IFERROR(CaseLedger!$X267,""))</x:f>
      </x:c>
      <x:c r="S267" s="52" t="str">
        <x:f>IF(CaseLedger!$A267="","",IFERROR(CaseLedger!$Y267,""))</x:f>
      </x:c>
      <x:c r="T267" s="52" t="str">
        <x:f>IF(CaseLedger!$A267="","",IFERROR(CaseLedger!$Z267,""))</x:f>
      </x:c>
      <x:c r="U267" s="52" t="str">
        <x:f>IF(CaseLedger!$A267="","",IFERROR(CaseLedger!$AA267,""))</x:f>
      </x:c>
      <x:c r="V267" s="52" t="str">
        <x:f>IF(CaseLedger!$A267="","",IFERROR(CaseLedger!$AB267,""))</x:f>
      </x:c>
      <x:c r="W267" s="52" t="str">
        <x:f>IF(CaseLedger!$A267="","",IFERROR(CaseLedger!$AC267,""))</x:f>
      </x:c>
      <x:c r="X267" s="52" t="str">
        <x:f>IF(CaseLedger!$A267="","",IFERROR(CaseLedger!$AD267,""))</x:f>
      </x:c>
      <x:c r="Y267" s="52" t="str">
        <x:f>IF(CaseLedger!$A267="","",IFERROR(CaseLedger!$AE267,""))</x:f>
      </x:c>
      <x:c r="Z267" s="52" t="str">
        <x:f>IF(CaseLedger!$A267="","",IFERROR(CaseLedger!$AF267,""))</x:f>
      </x:c>
      <x:c r="AA267" s="52" t="str">
        <x:f>IF(CaseLedger!$A267="","",IFERROR(CaseLedger!$AG267,""))</x:f>
      </x:c>
      <x:c r="AB267" s="52" t="str">
        <x:f>IF(CaseLedger!$A267="","",IFERROR(CaseLedger!$AH267,""))</x:f>
      </x:c>
      <x:c r="AC267"/>
    </x:row>
    <x:row r="268">
      <x:c r="A268" s="52" t="str">
        <x:f>IF(CaseLedger!$A268="","",IFERROR(CaseLedger!$A268,""))</x:f>
      </x:c>
      <x:c r="B268" s="52" t="str">
        <x:f>IF(CaseLedger!$A268="","",IFERROR(CaseLedger!$H268,""))</x:f>
      </x:c>
      <x:c r="C268" s="52" t="str">
        <x:f>IF(CaseLedger!$A268="","",IFERROR(CaseLedger!$I268,""))</x:f>
      </x:c>
      <x:c r="D268" s="52" t="str">
        <x:f>IF(CaseLedger!$A268="","",IFERROR(CaseLedger!$J268,""))</x:f>
      </x:c>
      <x:c r="E268" s="52" t="str">
        <x:f>IF(CaseLedger!$A268="","",IFERROR(CaseLedger!$K268,""))</x:f>
      </x:c>
      <x:c r="F268" s="52" t="str">
        <x:f>IF(CaseLedger!$A268="","",IFERROR(CaseLedger!$O268,""))</x:f>
      </x:c>
      <x:c r="G268" s="52" t="str">
        <x:f>IF(CaseLedger!$A268="","",IFERROR(CaseLedger!$E268,""))</x:f>
      </x:c>
      <x:c r="H268" s="52" t="str">
        <x:f>IF(CaseLedger!$A268="","",IFERROR(CaseLedger!$P268,""))</x:f>
      </x:c>
      <x:c r="I268" s="52" t="str">
        <x:f>IF(CaseLedger!$A268="","",IFERROR(CaseLedger!$Q268,""))</x:f>
      </x:c>
      <x:c r="J268" s="52" t="str">
        <x:f>IF(CaseLedger!$A268="","",IFERROR(CaseLedger!$R268,""))</x:f>
      </x:c>
      <x:c r="K268" s="52" t="str">
        <x:f>IF(CaseLedger!$A268="","",IFERROR(CaseLedger!$S268,""))</x:f>
      </x:c>
      <x:c r="L268" s="52" t="str">
        <x:f>IF(CaseLedger!$A268="","",IFERROR(CaseLedger!$T268,""))</x:f>
      </x:c>
      <x:c r="M268" s="52" t="str">
        <x:f>IF(CaseLedger!$A268="","",IFERROR(CaseLedger!$U268,""))</x:f>
      </x:c>
      <x:c r="N268" s="52" t="str">
        <x:f>IF(CaseLedger!$A268="","",IFERROR(CaseLedger!$V268,""))</x:f>
      </x:c>
      <x:c r="O268" s="52" t="str">
        <x:f>IF(CaseLedger!$A268="","",IFERROR(CaseLedger!$W268,""))</x:f>
      </x:c>
      <x:c r="P268" s="52" t="str">
        <x:f>IF(CaseLedger!$A268="","",IFERROR(CaseLedger!$C268,""))</x:f>
      </x:c>
      <x:c r="Q268" s="52" t="str">
        <x:f>IF(CaseLedger!$A268="","",IFERROR(CaseLedger!$D268,""))</x:f>
      </x:c>
      <x:c r="R268" s="52" t="str">
        <x:f>IF(CaseLedger!$A268="","",IFERROR(CaseLedger!$X268,""))</x:f>
      </x:c>
      <x:c r="S268" s="52" t="str">
        <x:f>IF(CaseLedger!$A268="","",IFERROR(CaseLedger!$Y268,""))</x:f>
      </x:c>
      <x:c r="T268" s="52" t="str">
        <x:f>IF(CaseLedger!$A268="","",IFERROR(CaseLedger!$Z268,""))</x:f>
      </x:c>
      <x:c r="U268" s="52" t="str">
        <x:f>IF(CaseLedger!$A268="","",IFERROR(CaseLedger!$AA268,""))</x:f>
      </x:c>
      <x:c r="V268" s="52" t="str">
        <x:f>IF(CaseLedger!$A268="","",IFERROR(CaseLedger!$AB268,""))</x:f>
      </x:c>
      <x:c r="W268" s="52" t="str">
        <x:f>IF(CaseLedger!$A268="","",IFERROR(CaseLedger!$AC268,""))</x:f>
      </x:c>
      <x:c r="X268" s="52" t="str">
        <x:f>IF(CaseLedger!$A268="","",IFERROR(CaseLedger!$AD268,""))</x:f>
      </x:c>
      <x:c r="Y268" s="52" t="str">
        <x:f>IF(CaseLedger!$A268="","",IFERROR(CaseLedger!$AE268,""))</x:f>
      </x:c>
      <x:c r="Z268" s="52" t="str">
        <x:f>IF(CaseLedger!$A268="","",IFERROR(CaseLedger!$AF268,""))</x:f>
      </x:c>
      <x:c r="AA268" s="52" t="str">
        <x:f>IF(CaseLedger!$A268="","",IFERROR(CaseLedger!$AG268,""))</x:f>
      </x:c>
      <x:c r="AB268" s="52" t="str">
        <x:f>IF(CaseLedger!$A268="","",IFERROR(CaseLedger!$AH268,""))</x:f>
      </x:c>
      <x:c r="AC268"/>
    </x:row>
    <x:row r="269">
      <x:c r="A269" s="52" t="str">
        <x:f>IF(CaseLedger!$A269="","",IFERROR(CaseLedger!$A269,""))</x:f>
      </x:c>
      <x:c r="B269" s="52" t="str">
        <x:f>IF(CaseLedger!$A269="","",IFERROR(CaseLedger!$H269,""))</x:f>
      </x:c>
      <x:c r="C269" s="52" t="str">
        <x:f>IF(CaseLedger!$A269="","",IFERROR(CaseLedger!$I269,""))</x:f>
      </x:c>
      <x:c r="D269" s="52" t="str">
        <x:f>IF(CaseLedger!$A269="","",IFERROR(CaseLedger!$J269,""))</x:f>
      </x:c>
      <x:c r="E269" s="52" t="str">
        <x:f>IF(CaseLedger!$A269="","",IFERROR(CaseLedger!$K269,""))</x:f>
      </x:c>
      <x:c r="F269" s="52" t="str">
        <x:f>IF(CaseLedger!$A269="","",IFERROR(CaseLedger!$O269,""))</x:f>
      </x:c>
      <x:c r="G269" s="52" t="str">
        <x:f>IF(CaseLedger!$A269="","",IFERROR(CaseLedger!$E269,""))</x:f>
      </x:c>
      <x:c r="H269" s="52" t="str">
        <x:f>IF(CaseLedger!$A269="","",IFERROR(CaseLedger!$P269,""))</x:f>
      </x:c>
      <x:c r="I269" s="52" t="str">
        <x:f>IF(CaseLedger!$A269="","",IFERROR(CaseLedger!$Q269,""))</x:f>
      </x:c>
      <x:c r="J269" s="52" t="str">
        <x:f>IF(CaseLedger!$A269="","",IFERROR(CaseLedger!$R269,""))</x:f>
      </x:c>
      <x:c r="K269" s="52" t="str">
        <x:f>IF(CaseLedger!$A269="","",IFERROR(CaseLedger!$S269,""))</x:f>
      </x:c>
      <x:c r="L269" s="52" t="str">
        <x:f>IF(CaseLedger!$A269="","",IFERROR(CaseLedger!$T269,""))</x:f>
      </x:c>
      <x:c r="M269" s="52" t="str">
        <x:f>IF(CaseLedger!$A269="","",IFERROR(CaseLedger!$U269,""))</x:f>
      </x:c>
      <x:c r="N269" s="52" t="str">
        <x:f>IF(CaseLedger!$A269="","",IFERROR(CaseLedger!$V269,""))</x:f>
      </x:c>
      <x:c r="O269" s="52" t="str">
        <x:f>IF(CaseLedger!$A269="","",IFERROR(CaseLedger!$W269,""))</x:f>
      </x:c>
      <x:c r="P269" s="52" t="str">
        <x:f>IF(CaseLedger!$A269="","",IFERROR(CaseLedger!$C269,""))</x:f>
      </x:c>
      <x:c r="Q269" s="52" t="str">
        <x:f>IF(CaseLedger!$A269="","",IFERROR(CaseLedger!$D269,""))</x:f>
      </x:c>
      <x:c r="R269" s="52" t="str">
        <x:f>IF(CaseLedger!$A269="","",IFERROR(CaseLedger!$X269,""))</x:f>
      </x:c>
      <x:c r="S269" s="52" t="str">
        <x:f>IF(CaseLedger!$A269="","",IFERROR(CaseLedger!$Y269,""))</x:f>
      </x:c>
      <x:c r="T269" s="52" t="str">
        <x:f>IF(CaseLedger!$A269="","",IFERROR(CaseLedger!$Z269,""))</x:f>
      </x:c>
      <x:c r="U269" s="52" t="str">
        <x:f>IF(CaseLedger!$A269="","",IFERROR(CaseLedger!$AA269,""))</x:f>
      </x:c>
      <x:c r="V269" s="52" t="str">
        <x:f>IF(CaseLedger!$A269="","",IFERROR(CaseLedger!$AB269,""))</x:f>
      </x:c>
      <x:c r="W269" s="52" t="str">
        <x:f>IF(CaseLedger!$A269="","",IFERROR(CaseLedger!$AC269,""))</x:f>
      </x:c>
      <x:c r="X269" s="52" t="str">
        <x:f>IF(CaseLedger!$A269="","",IFERROR(CaseLedger!$AD269,""))</x:f>
      </x:c>
      <x:c r="Y269" s="52" t="str">
        <x:f>IF(CaseLedger!$A269="","",IFERROR(CaseLedger!$AE269,""))</x:f>
      </x:c>
      <x:c r="Z269" s="52" t="str">
        <x:f>IF(CaseLedger!$A269="","",IFERROR(CaseLedger!$AF269,""))</x:f>
      </x:c>
      <x:c r="AA269" s="52" t="str">
        <x:f>IF(CaseLedger!$A269="","",IFERROR(CaseLedger!$AG269,""))</x:f>
      </x:c>
      <x:c r="AB269" s="52" t="str">
        <x:f>IF(CaseLedger!$A269="","",IFERROR(CaseLedger!$AH269,""))</x:f>
      </x:c>
      <x:c r="AC269"/>
    </x:row>
    <x:row r="270">
      <x:c r="A270" s="52" t="str">
        <x:f>IF(CaseLedger!$A270="","",IFERROR(CaseLedger!$A270,""))</x:f>
      </x:c>
      <x:c r="B270" s="52" t="str">
        <x:f>IF(CaseLedger!$A270="","",IFERROR(CaseLedger!$H270,""))</x:f>
      </x:c>
      <x:c r="C270" s="52" t="str">
        <x:f>IF(CaseLedger!$A270="","",IFERROR(CaseLedger!$I270,""))</x:f>
      </x:c>
      <x:c r="D270" s="52" t="str">
        <x:f>IF(CaseLedger!$A270="","",IFERROR(CaseLedger!$J270,""))</x:f>
      </x:c>
      <x:c r="E270" s="52" t="str">
        <x:f>IF(CaseLedger!$A270="","",IFERROR(CaseLedger!$K270,""))</x:f>
      </x:c>
      <x:c r="F270" s="52" t="str">
        <x:f>IF(CaseLedger!$A270="","",IFERROR(CaseLedger!$O270,""))</x:f>
      </x:c>
      <x:c r="G270" s="52" t="str">
        <x:f>IF(CaseLedger!$A270="","",IFERROR(CaseLedger!$E270,""))</x:f>
      </x:c>
      <x:c r="H270" s="52" t="str">
        <x:f>IF(CaseLedger!$A270="","",IFERROR(CaseLedger!$P270,""))</x:f>
      </x:c>
      <x:c r="I270" s="52" t="str">
        <x:f>IF(CaseLedger!$A270="","",IFERROR(CaseLedger!$Q270,""))</x:f>
      </x:c>
      <x:c r="J270" s="52" t="str">
        <x:f>IF(CaseLedger!$A270="","",IFERROR(CaseLedger!$R270,""))</x:f>
      </x:c>
      <x:c r="K270" s="52" t="str">
        <x:f>IF(CaseLedger!$A270="","",IFERROR(CaseLedger!$S270,""))</x:f>
      </x:c>
      <x:c r="L270" s="52" t="str">
        <x:f>IF(CaseLedger!$A270="","",IFERROR(CaseLedger!$T270,""))</x:f>
      </x:c>
      <x:c r="M270" s="52" t="str">
        <x:f>IF(CaseLedger!$A270="","",IFERROR(CaseLedger!$U270,""))</x:f>
      </x:c>
      <x:c r="N270" s="52" t="str">
        <x:f>IF(CaseLedger!$A270="","",IFERROR(CaseLedger!$V270,""))</x:f>
      </x:c>
      <x:c r="O270" s="52" t="str">
        <x:f>IF(CaseLedger!$A270="","",IFERROR(CaseLedger!$W270,""))</x:f>
      </x:c>
      <x:c r="P270" s="52" t="str">
        <x:f>IF(CaseLedger!$A270="","",IFERROR(CaseLedger!$C270,""))</x:f>
      </x:c>
      <x:c r="Q270" s="52" t="str">
        <x:f>IF(CaseLedger!$A270="","",IFERROR(CaseLedger!$D270,""))</x:f>
      </x:c>
      <x:c r="R270" s="52" t="str">
        <x:f>IF(CaseLedger!$A270="","",IFERROR(CaseLedger!$X270,""))</x:f>
      </x:c>
      <x:c r="S270" s="52" t="str">
        <x:f>IF(CaseLedger!$A270="","",IFERROR(CaseLedger!$Y270,""))</x:f>
      </x:c>
      <x:c r="T270" s="52" t="str">
        <x:f>IF(CaseLedger!$A270="","",IFERROR(CaseLedger!$Z270,""))</x:f>
      </x:c>
      <x:c r="U270" s="52" t="str">
        <x:f>IF(CaseLedger!$A270="","",IFERROR(CaseLedger!$AA270,""))</x:f>
      </x:c>
      <x:c r="V270" s="52" t="str">
        <x:f>IF(CaseLedger!$A270="","",IFERROR(CaseLedger!$AB270,""))</x:f>
      </x:c>
      <x:c r="W270" s="52" t="str">
        <x:f>IF(CaseLedger!$A270="","",IFERROR(CaseLedger!$AC270,""))</x:f>
      </x:c>
      <x:c r="X270" s="52" t="str">
        <x:f>IF(CaseLedger!$A270="","",IFERROR(CaseLedger!$AD270,""))</x:f>
      </x:c>
      <x:c r="Y270" s="52" t="str">
        <x:f>IF(CaseLedger!$A270="","",IFERROR(CaseLedger!$AE270,""))</x:f>
      </x:c>
      <x:c r="Z270" s="52" t="str">
        <x:f>IF(CaseLedger!$A270="","",IFERROR(CaseLedger!$AF270,""))</x:f>
      </x:c>
      <x:c r="AA270" s="52" t="str">
        <x:f>IF(CaseLedger!$A270="","",IFERROR(CaseLedger!$AG270,""))</x:f>
      </x:c>
      <x:c r="AB270" s="52" t="str">
        <x:f>IF(CaseLedger!$A270="","",IFERROR(CaseLedger!$AH270,""))</x:f>
      </x:c>
      <x:c r="AC270"/>
    </x:row>
    <x:row r="271">
      <x:c r="A271" s="52" t="str">
        <x:f>IF(CaseLedger!$A271="","",IFERROR(CaseLedger!$A271,""))</x:f>
      </x:c>
      <x:c r="B271" s="52" t="str">
        <x:f>IF(CaseLedger!$A271="","",IFERROR(CaseLedger!$H271,""))</x:f>
      </x:c>
      <x:c r="C271" s="52" t="str">
        <x:f>IF(CaseLedger!$A271="","",IFERROR(CaseLedger!$I271,""))</x:f>
      </x:c>
      <x:c r="D271" s="52" t="str">
        <x:f>IF(CaseLedger!$A271="","",IFERROR(CaseLedger!$J271,""))</x:f>
      </x:c>
      <x:c r="E271" s="52" t="str">
        <x:f>IF(CaseLedger!$A271="","",IFERROR(CaseLedger!$K271,""))</x:f>
      </x:c>
      <x:c r="F271" s="52" t="str">
        <x:f>IF(CaseLedger!$A271="","",IFERROR(CaseLedger!$O271,""))</x:f>
      </x:c>
      <x:c r="G271" s="52" t="str">
        <x:f>IF(CaseLedger!$A271="","",IFERROR(CaseLedger!$E271,""))</x:f>
      </x:c>
      <x:c r="H271" s="52" t="str">
        <x:f>IF(CaseLedger!$A271="","",IFERROR(CaseLedger!$P271,""))</x:f>
      </x:c>
      <x:c r="I271" s="52" t="str">
        <x:f>IF(CaseLedger!$A271="","",IFERROR(CaseLedger!$Q271,""))</x:f>
      </x:c>
      <x:c r="J271" s="52" t="str">
        <x:f>IF(CaseLedger!$A271="","",IFERROR(CaseLedger!$R271,""))</x:f>
      </x:c>
      <x:c r="K271" s="52" t="str">
        <x:f>IF(CaseLedger!$A271="","",IFERROR(CaseLedger!$S271,""))</x:f>
      </x:c>
      <x:c r="L271" s="52" t="str">
        <x:f>IF(CaseLedger!$A271="","",IFERROR(CaseLedger!$T271,""))</x:f>
      </x:c>
      <x:c r="M271" s="52" t="str">
        <x:f>IF(CaseLedger!$A271="","",IFERROR(CaseLedger!$U271,""))</x:f>
      </x:c>
      <x:c r="N271" s="52" t="str">
        <x:f>IF(CaseLedger!$A271="","",IFERROR(CaseLedger!$V271,""))</x:f>
      </x:c>
      <x:c r="O271" s="52" t="str">
        <x:f>IF(CaseLedger!$A271="","",IFERROR(CaseLedger!$W271,""))</x:f>
      </x:c>
      <x:c r="P271" s="52" t="str">
        <x:f>IF(CaseLedger!$A271="","",IFERROR(CaseLedger!$C271,""))</x:f>
      </x:c>
      <x:c r="Q271" s="52" t="str">
        <x:f>IF(CaseLedger!$A271="","",IFERROR(CaseLedger!$D271,""))</x:f>
      </x:c>
      <x:c r="R271" s="52" t="str">
        <x:f>IF(CaseLedger!$A271="","",IFERROR(CaseLedger!$X271,""))</x:f>
      </x:c>
      <x:c r="S271" s="52" t="str">
        <x:f>IF(CaseLedger!$A271="","",IFERROR(CaseLedger!$Y271,""))</x:f>
      </x:c>
      <x:c r="T271" s="52" t="str">
        <x:f>IF(CaseLedger!$A271="","",IFERROR(CaseLedger!$Z271,""))</x:f>
      </x:c>
      <x:c r="U271" s="52" t="str">
        <x:f>IF(CaseLedger!$A271="","",IFERROR(CaseLedger!$AA271,""))</x:f>
      </x:c>
      <x:c r="V271" s="52" t="str">
        <x:f>IF(CaseLedger!$A271="","",IFERROR(CaseLedger!$AB271,""))</x:f>
      </x:c>
      <x:c r="W271" s="52" t="str">
        <x:f>IF(CaseLedger!$A271="","",IFERROR(CaseLedger!$AC271,""))</x:f>
      </x:c>
      <x:c r="X271" s="52" t="str">
        <x:f>IF(CaseLedger!$A271="","",IFERROR(CaseLedger!$AD271,""))</x:f>
      </x:c>
      <x:c r="Y271" s="52" t="str">
        <x:f>IF(CaseLedger!$A271="","",IFERROR(CaseLedger!$AE271,""))</x:f>
      </x:c>
      <x:c r="Z271" s="52" t="str">
        <x:f>IF(CaseLedger!$A271="","",IFERROR(CaseLedger!$AF271,""))</x:f>
      </x:c>
      <x:c r="AA271" s="52" t="str">
        <x:f>IF(CaseLedger!$A271="","",IFERROR(CaseLedger!$AG271,""))</x:f>
      </x:c>
      <x:c r="AB271" s="52" t="str">
        <x:f>IF(CaseLedger!$A271="","",IFERROR(CaseLedger!$AH271,""))</x:f>
      </x:c>
      <x:c r="AC271"/>
    </x:row>
    <x:row r="272">
      <x:c r="A272" s="52" t="str">
        <x:f>IF(CaseLedger!$A272="","",IFERROR(CaseLedger!$A272,""))</x:f>
      </x:c>
      <x:c r="B272" s="52" t="str">
        <x:f>IF(CaseLedger!$A272="","",IFERROR(CaseLedger!$H272,""))</x:f>
      </x:c>
      <x:c r="C272" s="52" t="str">
        <x:f>IF(CaseLedger!$A272="","",IFERROR(CaseLedger!$I272,""))</x:f>
      </x:c>
      <x:c r="D272" s="52" t="str">
        <x:f>IF(CaseLedger!$A272="","",IFERROR(CaseLedger!$J272,""))</x:f>
      </x:c>
      <x:c r="E272" s="52" t="str">
        <x:f>IF(CaseLedger!$A272="","",IFERROR(CaseLedger!$K272,""))</x:f>
      </x:c>
      <x:c r="F272" s="52" t="str">
        <x:f>IF(CaseLedger!$A272="","",IFERROR(CaseLedger!$O272,""))</x:f>
      </x:c>
      <x:c r="G272" s="52" t="str">
        <x:f>IF(CaseLedger!$A272="","",IFERROR(CaseLedger!$E272,""))</x:f>
      </x:c>
      <x:c r="H272" s="52" t="str">
        <x:f>IF(CaseLedger!$A272="","",IFERROR(CaseLedger!$P272,""))</x:f>
      </x:c>
      <x:c r="I272" s="52" t="str">
        <x:f>IF(CaseLedger!$A272="","",IFERROR(CaseLedger!$Q272,""))</x:f>
      </x:c>
      <x:c r="J272" s="52" t="str">
        <x:f>IF(CaseLedger!$A272="","",IFERROR(CaseLedger!$R272,""))</x:f>
      </x:c>
      <x:c r="K272" s="52" t="str">
        <x:f>IF(CaseLedger!$A272="","",IFERROR(CaseLedger!$S272,""))</x:f>
      </x:c>
      <x:c r="L272" s="52" t="str">
        <x:f>IF(CaseLedger!$A272="","",IFERROR(CaseLedger!$T272,""))</x:f>
      </x:c>
      <x:c r="M272" s="52" t="str">
        <x:f>IF(CaseLedger!$A272="","",IFERROR(CaseLedger!$U272,""))</x:f>
      </x:c>
      <x:c r="N272" s="52" t="str">
        <x:f>IF(CaseLedger!$A272="","",IFERROR(CaseLedger!$V272,""))</x:f>
      </x:c>
      <x:c r="O272" s="52" t="str">
        <x:f>IF(CaseLedger!$A272="","",IFERROR(CaseLedger!$W272,""))</x:f>
      </x:c>
      <x:c r="P272" s="52" t="str">
        <x:f>IF(CaseLedger!$A272="","",IFERROR(CaseLedger!$C272,""))</x:f>
      </x:c>
      <x:c r="Q272" s="52" t="str">
        <x:f>IF(CaseLedger!$A272="","",IFERROR(CaseLedger!$D272,""))</x:f>
      </x:c>
      <x:c r="R272" s="52" t="str">
        <x:f>IF(CaseLedger!$A272="","",IFERROR(CaseLedger!$X272,""))</x:f>
      </x:c>
      <x:c r="S272" s="52" t="str">
        <x:f>IF(CaseLedger!$A272="","",IFERROR(CaseLedger!$Y272,""))</x:f>
      </x:c>
      <x:c r="T272" s="52" t="str">
        <x:f>IF(CaseLedger!$A272="","",IFERROR(CaseLedger!$Z272,""))</x:f>
      </x:c>
      <x:c r="U272" s="52" t="str">
        <x:f>IF(CaseLedger!$A272="","",IFERROR(CaseLedger!$AA272,""))</x:f>
      </x:c>
      <x:c r="V272" s="52" t="str">
        <x:f>IF(CaseLedger!$A272="","",IFERROR(CaseLedger!$AB272,""))</x:f>
      </x:c>
      <x:c r="W272" s="52" t="str">
        <x:f>IF(CaseLedger!$A272="","",IFERROR(CaseLedger!$AC272,""))</x:f>
      </x:c>
      <x:c r="X272" s="52" t="str">
        <x:f>IF(CaseLedger!$A272="","",IFERROR(CaseLedger!$AD272,""))</x:f>
      </x:c>
      <x:c r="Y272" s="52" t="str">
        <x:f>IF(CaseLedger!$A272="","",IFERROR(CaseLedger!$AE272,""))</x:f>
      </x:c>
      <x:c r="Z272" s="52" t="str">
        <x:f>IF(CaseLedger!$A272="","",IFERROR(CaseLedger!$AF272,""))</x:f>
      </x:c>
      <x:c r="AA272" s="52" t="str">
        <x:f>IF(CaseLedger!$A272="","",IFERROR(CaseLedger!$AG272,""))</x:f>
      </x:c>
      <x:c r="AB272" s="52" t="str">
        <x:f>IF(CaseLedger!$A272="","",IFERROR(CaseLedger!$AH272,""))</x:f>
      </x:c>
      <x:c r="AC272"/>
    </x:row>
    <x:row r="273">
      <x:c r="A273" s="52" t="str">
        <x:f>IF(CaseLedger!$A273="","",IFERROR(CaseLedger!$A273,""))</x:f>
      </x:c>
      <x:c r="B273" s="52" t="str">
        <x:f>IF(CaseLedger!$A273="","",IFERROR(CaseLedger!$H273,""))</x:f>
      </x:c>
      <x:c r="C273" s="52" t="str">
        <x:f>IF(CaseLedger!$A273="","",IFERROR(CaseLedger!$I273,""))</x:f>
      </x:c>
      <x:c r="D273" s="52" t="str">
        <x:f>IF(CaseLedger!$A273="","",IFERROR(CaseLedger!$J273,""))</x:f>
      </x:c>
      <x:c r="E273" s="52" t="str">
        <x:f>IF(CaseLedger!$A273="","",IFERROR(CaseLedger!$K273,""))</x:f>
      </x:c>
      <x:c r="F273" s="52" t="str">
        <x:f>IF(CaseLedger!$A273="","",IFERROR(CaseLedger!$O273,""))</x:f>
      </x:c>
      <x:c r="G273" s="52" t="str">
        <x:f>IF(CaseLedger!$A273="","",IFERROR(CaseLedger!$E273,""))</x:f>
      </x:c>
      <x:c r="H273" s="52" t="str">
        <x:f>IF(CaseLedger!$A273="","",IFERROR(CaseLedger!$P273,""))</x:f>
      </x:c>
      <x:c r="I273" s="52" t="str">
        <x:f>IF(CaseLedger!$A273="","",IFERROR(CaseLedger!$Q273,""))</x:f>
      </x:c>
      <x:c r="J273" s="52" t="str">
        <x:f>IF(CaseLedger!$A273="","",IFERROR(CaseLedger!$R273,""))</x:f>
      </x:c>
      <x:c r="K273" s="52" t="str">
        <x:f>IF(CaseLedger!$A273="","",IFERROR(CaseLedger!$S273,""))</x:f>
      </x:c>
      <x:c r="L273" s="52" t="str">
        <x:f>IF(CaseLedger!$A273="","",IFERROR(CaseLedger!$T273,""))</x:f>
      </x:c>
      <x:c r="M273" s="52" t="str">
        <x:f>IF(CaseLedger!$A273="","",IFERROR(CaseLedger!$U273,""))</x:f>
      </x:c>
      <x:c r="N273" s="52" t="str">
        <x:f>IF(CaseLedger!$A273="","",IFERROR(CaseLedger!$V273,""))</x:f>
      </x:c>
      <x:c r="O273" s="52" t="str">
        <x:f>IF(CaseLedger!$A273="","",IFERROR(CaseLedger!$W273,""))</x:f>
      </x:c>
      <x:c r="P273" s="52" t="str">
        <x:f>IF(CaseLedger!$A273="","",IFERROR(CaseLedger!$C273,""))</x:f>
      </x:c>
      <x:c r="Q273" s="52" t="str">
        <x:f>IF(CaseLedger!$A273="","",IFERROR(CaseLedger!$D273,""))</x:f>
      </x:c>
      <x:c r="R273" s="52" t="str">
        <x:f>IF(CaseLedger!$A273="","",IFERROR(CaseLedger!$X273,""))</x:f>
      </x:c>
      <x:c r="S273" s="52" t="str">
        <x:f>IF(CaseLedger!$A273="","",IFERROR(CaseLedger!$Y273,""))</x:f>
      </x:c>
      <x:c r="T273" s="52" t="str">
        <x:f>IF(CaseLedger!$A273="","",IFERROR(CaseLedger!$Z273,""))</x:f>
      </x:c>
      <x:c r="U273" s="52" t="str">
        <x:f>IF(CaseLedger!$A273="","",IFERROR(CaseLedger!$AA273,""))</x:f>
      </x:c>
      <x:c r="V273" s="52" t="str">
        <x:f>IF(CaseLedger!$A273="","",IFERROR(CaseLedger!$AB273,""))</x:f>
      </x:c>
      <x:c r="W273" s="52" t="str">
        <x:f>IF(CaseLedger!$A273="","",IFERROR(CaseLedger!$AC273,""))</x:f>
      </x:c>
      <x:c r="X273" s="52" t="str">
        <x:f>IF(CaseLedger!$A273="","",IFERROR(CaseLedger!$AD273,""))</x:f>
      </x:c>
      <x:c r="Y273" s="52" t="str">
        <x:f>IF(CaseLedger!$A273="","",IFERROR(CaseLedger!$AE273,""))</x:f>
      </x:c>
      <x:c r="Z273" s="52" t="str">
        <x:f>IF(CaseLedger!$A273="","",IFERROR(CaseLedger!$AF273,""))</x:f>
      </x:c>
      <x:c r="AA273" s="52" t="str">
        <x:f>IF(CaseLedger!$A273="","",IFERROR(CaseLedger!$AG273,""))</x:f>
      </x:c>
      <x:c r="AB273" s="52" t="str">
        <x:f>IF(CaseLedger!$A273="","",IFERROR(CaseLedger!$AH273,""))</x:f>
      </x:c>
      <x:c r="AC273"/>
    </x:row>
    <x:row r="274">
      <x:c r="A274" s="52" t="str">
        <x:f>IF(CaseLedger!$A274="","",IFERROR(CaseLedger!$A274,""))</x:f>
      </x:c>
      <x:c r="B274" s="52" t="str">
        <x:f>IF(CaseLedger!$A274="","",IFERROR(CaseLedger!$H274,""))</x:f>
      </x:c>
      <x:c r="C274" s="52" t="str">
        <x:f>IF(CaseLedger!$A274="","",IFERROR(CaseLedger!$I274,""))</x:f>
      </x:c>
      <x:c r="D274" s="52" t="str">
        <x:f>IF(CaseLedger!$A274="","",IFERROR(CaseLedger!$J274,""))</x:f>
      </x:c>
      <x:c r="E274" s="52" t="str">
        <x:f>IF(CaseLedger!$A274="","",IFERROR(CaseLedger!$K274,""))</x:f>
      </x:c>
      <x:c r="F274" s="52" t="str">
        <x:f>IF(CaseLedger!$A274="","",IFERROR(CaseLedger!$O274,""))</x:f>
      </x:c>
      <x:c r="G274" s="52" t="str">
        <x:f>IF(CaseLedger!$A274="","",IFERROR(CaseLedger!$E274,""))</x:f>
      </x:c>
      <x:c r="H274" s="52" t="str">
        <x:f>IF(CaseLedger!$A274="","",IFERROR(CaseLedger!$P274,""))</x:f>
      </x:c>
      <x:c r="I274" s="52" t="str">
        <x:f>IF(CaseLedger!$A274="","",IFERROR(CaseLedger!$Q274,""))</x:f>
      </x:c>
      <x:c r="J274" s="52" t="str">
        <x:f>IF(CaseLedger!$A274="","",IFERROR(CaseLedger!$R274,""))</x:f>
      </x:c>
      <x:c r="K274" s="52" t="str">
        <x:f>IF(CaseLedger!$A274="","",IFERROR(CaseLedger!$S274,""))</x:f>
      </x:c>
      <x:c r="L274" s="52" t="str">
        <x:f>IF(CaseLedger!$A274="","",IFERROR(CaseLedger!$T274,""))</x:f>
      </x:c>
      <x:c r="M274" s="52" t="str">
        <x:f>IF(CaseLedger!$A274="","",IFERROR(CaseLedger!$U274,""))</x:f>
      </x:c>
      <x:c r="N274" s="52" t="str">
        <x:f>IF(CaseLedger!$A274="","",IFERROR(CaseLedger!$V274,""))</x:f>
      </x:c>
      <x:c r="O274" s="52" t="str">
        <x:f>IF(CaseLedger!$A274="","",IFERROR(CaseLedger!$W274,""))</x:f>
      </x:c>
      <x:c r="P274" s="52" t="str">
        <x:f>IF(CaseLedger!$A274="","",IFERROR(CaseLedger!$C274,""))</x:f>
      </x:c>
      <x:c r="Q274" s="52" t="str">
        <x:f>IF(CaseLedger!$A274="","",IFERROR(CaseLedger!$D274,""))</x:f>
      </x:c>
      <x:c r="R274" s="52" t="str">
        <x:f>IF(CaseLedger!$A274="","",IFERROR(CaseLedger!$X274,""))</x:f>
      </x:c>
      <x:c r="S274" s="52" t="str">
        <x:f>IF(CaseLedger!$A274="","",IFERROR(CaseLedger!$Y274,""))</x:f>
      </x:c>
      <x:c r="T274" s="52" t="str">
        <x:f>IF(CaseLedger!$A274="","",IFERROR(CaseLedger!$Z274,""))</x:f>
      </x:c>
      <x:c r="U274" s="52" t="str">
        <x:f>IF(CaseLedger!$A274="","",IFERROR(CaseLedger!$AA274,""))</x:f>
      </x:c>
      <x:c r="V274" s="52" t="str">
        <x:f>IF(CaseLedger!$A274="","",IFERROR(CaseLedger!$AB274,""))</x:f>
      </x:c>
      <x:c r="W274" s="52" t="str">
        <x:f>IF(CaseLedger!$A274="","",IFERROR(CaseLedger!$AC274,""))</x:f>
      </x:c>
      <x:c r="X274" s="52" t="str">
        <x:f>IF(CaseLedger!$A274="","",IFERROR(CaseLedger!$AD274,""))</x:f>
      </x:c>
      <x:c r="Y274" s="52" t="str">
        <x:f>IF(CaseLedger!$A274="","",IFERROR(CaseLedger!$AE274,""))</x:f>
      </x:c>
      <x:c r="Z274" s="52" t="str">
        <x:f>IF(CaseLedger!$A274="","",IFERROR(CaseLedger!$AF274,""))</x:f>
      </x:c>
      <x:c r="AA274" s="52" t="str">
        <x:f>IF(CaseLedger!$A274="","",IFERROR(CaseLedger!$AG274,""))</x:f>
      </x:c>
      <x:c r="AB274" s="52" t="str">
        <x:f>IF(CaseLedger!$A274="","",IFERROR(CaseLedger!$AH274,""))</x:f>
      </x:c>
      <x:c r="AC274"/>
    </x:row>
    <x:row r="275">
      <x:c r="A275" s="52" t="str">
        <x:f>IF(CaseLedger!$A275="","",IFERROR(CaseLedger!$A275,""))</x:f>
      </x:c>
      <x:c r="B275" s="52" t="str">
        <x:f>IF(CaseLedger!$A275="","",IFERROR(CaseLedger!$H275,""))</x:f>
      </x:c>
      <x:c r="C275" s="52" t="str">
        <x:f>IF(CaseLedger!$A275="","",IFERROR(CaseLedger!$I275,""))</x:f>
      </x:c>
      <x:c r="D275" s="52" t="str">
        <x:f>IF(CaseLedger!$A275="","",IFERROR(CaseLedger!$J275,""))</x:f>
      </x:c>
      <x:c r="E275" s="52" t="str">
        <x:f>IF(CaseLedger!$A275="","",IFERROR(CaseLedger!$K275,""))</x:f>
      </x:c>
      <x:c r="F275" s="52" t="str">
        <x:f>IF(CaseLedger!$A275="","",IFERROR(CaseLedger!$O275,""))</x:f>
      </x:c>
      <x:c r="G275" s="52" t="str">
        <x:f>IF(CaseLedger!$A275="","",IFERROR(CaseLedger!$E275,""))</x:f>
      </x:c>
      <x:c r="H275" s="52" t="str">
        <x:f>IF(CaseLedger!$A275="","",IFERROR(CaseLedger!$P275,""))</x:f>
      </x:c>
      <x:c r="I275" s="52" t="str">
        <x:f>IF(CaseLedger!$A275="","",IFERROR(CaseLedger!$Q275,""))</x:f>
      </x:c>
      <x:c r="J275" s="52" t="str">
        <x:f>IF(CaseLedger!$A275="","",IFERROR(CaseLedger!$R275,""))</x:f>
      </x:c>
      <x:c r="K275" s="52" t="str">
        <x:f>IF(CaseLedger!$A275="","",IFERROR(CaseLedger!$S275,""))</x:f>
      </x:c>
      <x:c r="L275" s="52" t="str">
        <x:f>IF(CaseLedger!$A275="","",IFERROR(CaseLedger!$T275,""))</x:f>
      </x:c>
      <x:c r="M275" s="52" t="str">
        <x:f>IF(CaseLedger!$A275="","",IFERROR(CaseLedger!$U275,""))</x:f>
      </x:c>
      <x:c r="N275" s="52" t="str">
        <x:f>IF(CaseLedger!$A275="","",IFERROR(CaseLedger!$V275,""))</x:f>
      </x:c>
      <x:c r="O275" s="52" t="str">
        <x:f>IF(CaseLedger!$A275="","",IFERROR(CaseLedger!$W275,""))</x:f>
      </x:c>
      <x:c r="P275" s="52" t="str">
        <x:f>IF(CaseLedger!$A275="","",IFERROR(CaseLedger!$C275,""))</x:f>
      </x:c>
      <x:c r="Q275" s="52" t="str">
        <x:f>IF(CaseLedger!$A275="","",IFERROR(CaseLedger!$D275,""))</x:f>
      </x:c>
      <x:c r="R275" s="52" t="str">
        <x:f>IF(CaseLedger!$A275="","",IFERROR(CaseLedger!$X275,""))</x:f>
      </x:c>
      <x:c r="S275" s="52" t="str">
        <x:f>IF(CaseLedger!$A275="","",IFERROR(CaseLedger!$Y275,""))</x:f>
      </x:c>
      <x:c r="T275" s="52" t="str">
        <x:f>IF(CaseLedger!$A275="","",IFERROR(CaseLedger!$Z275,""))</x:f>
      </x:c>
      <x:c r="U275" s="52" t="str">
        <x:f>IF(CaseLedger!$A275="","",IFERROR(CaseLedger!$AA275,""))</x:f>
      </x:c>
      <x:c r="V275" s="52" t="str">
        <x:f>IF(CaseLedger!$A275="","",IFERROR(CaseLedger!$AB275,""))</x:f>
      </x:c>
      <x:c r="W275" s="52" t="str">
        <x:f>IF(CaseLedger!$A275="","",IFERROR(CaseLedger!$AC275,""))</x:f>
      </x:c>
      <x:c r="X275" s="52" t="str">
        <x:f>IF(CaseLedger!$A275="","",IFERROR(CaseLedger!$AD275,""))</x:f>
      </x:c>
      <x:c r="Y275" s="52" t="str">
        <x:f>IF(CaseLedger!$A275="","",IFERROR(CaseLedger!$AE275,""))</x:f>
      </x:c>
      <x:c r="Z275" s="52" t="str">
        <x:f>IF(CaseLedger!$A275="","",IFERROR(CaseLedger!$AF275,""))</x:f>
      </x:c>
      <x:c r="AA275" s="52" t="str">
        <x:f>IF(CaseLedger!$A275="","",IFERROR(CaseLedger!$AG275,""))</x:f>
      </x:c>
      <x:c r="AB275" s="52" t="str">
        <x:f>IF(CaseLedger!$A275="","",IFERROR(CaseLedger!$AH275,""))</x:f>
      </x:c>
      <x:c r="AC275"/>
    </x:row>
    <x:row r="276">
      <x:c r="A276" s="52" t="str">
        <x:f>IF(CaseLedger!$A276="","",IFERROR(CaseLedger!$A276,""))</x:f>
      </x:c>
      <x:c r="B276" s="52" t="str">
        <x:f>IF(CaseLedger!$A276="","",IFERROR(CaseLedger!$H276,""))</x:f>
      </x:c>
      <x:c r="C276" s="52" t="str">
        <x:f>IF(CaseLedger!$A276="","",IFERROR(CaseLedger!$I276,""))</x:f>
      </x:c>
      <x:c r="D276" s="52" t="str">
        <x:f>IF(CaseLedger!$A276="","",IFERROR(CaseLedger!$J276,""))</x:f>
      </x:c>
      <x:c r="E276" s="52" t="str">
        <x:f>IF(CaseLedger!$A276="","",IFERROR(CaseLedger!$K276,""))</x:f>
      </x:c>
      <x:c r="F276" s="52" t="str">
        <x:f>IF(CaseLedger!$A276="","",IFERROR(CaseLedger!$O276,""))</x:f>
      </x:c>
      <x:c r="G276" s="52" t="str">
        <x:f>IF(CaseLedger!$A276="","",IFERROR(CaseLedger!$E276,""))</x:f>
      </x:c>
      <x:c r="H276" s="52" t="str">
        <x:f>IF(CaseLedger!$A276="","",IFERROR(CaseLedger!$P276,""))</x:f>
      </x:c>
      <x:c r="I276" s="52" t="str">
        <x:f>IF(CaseLedger!$A276="","",IFERROR(CaseLedger!$Q276,""))</x:f>
      </x:c>
      <x:c r="J276" s="52" t="str">
        <x:f>IF(CaseLedger!$A276="","",IFERROR(CaseLedger!$R276,""))</x:f>
      </x:c>
      <x:c r="K276" s="52" t="str">
        <x:f>IF(CaseLedger!$A276="","",IFERROR(CaseLedger!$S276,""))</x:f>
      </x:c>
      <x:c r="L276" s="52" t="str">
        <x:f>IF(CaseLedger!$A276="","",IFERROR(CaseLedger!$T276,""))</x:f>
      </x:c>
      <x:c r="M276" s="52" t="str">
        <x:f>IF(CaseLedger!$A276="","",IFERROR(CaseLedger!$U276,""))</x:f>
      </x:c>
      <x:c r="N276" s="52" t="str">
        <x:f>IF(CaseLedger!$A276="","",IFERROR(CaseLedger!$V276,""))</x:f>
      </x:c>
      <x:c r="O276" s="52" t="str">
        <x:f>IF(CaseLedger!$A276="","",IFERROR(CaseLedger!$W276,""))</x:f>
      </x:c>
      <x:c r="P276" s="52" t="str">
        <x:f>IF(CaseLedger!$A276="","",IFERROR(CaseLedger!$C276,""))</x:f>
      </x:c>
      <x:c r="Q276" s="52" t="str">
        <x:f>IF(CaseLedger!$A276="","",IFERROR(CaseLedger!$D276,""))</x:f>
      </x:c>
      <x:c r="R276" s="52" t="str">
        <x:f>IF(CaseLedger!$A276="","",IFERROR(CaseLedger!$X276,""))</x:f>
      </x:c>
      <x:c r="S276" s="52" t="str">
        <x:f>IF(CaseLedger!$A276="","",IFERROR(CaseLedger!$Y276,""))</x:f>
      </x:c>
      <x:c r="T276" s="52" t="str">
        <x:f>IF(CaseLedger!$A276="","",IFERROR(CaseLedger!$Z276,""))</x:f>
      </x:c>
      <x:c r="U276" s="52" t="str">
        <x:f>IF(CaseLedger!$A276="","",IFERROR(CaseLedger!$AA276,""))</x:f>
      </x:c>
      <x:c r="V276" s="52" t="str">
        <x:f>IF(CaseLedger!$A276="","",IFERROR(CaseLedger!$AB276,""))</x:f>
      </x:c>
      <x:c r="W276" s="52" t="str">
        <x:f>IF(CaseLedger!$A276="","",IFERROR(CaseLedger!$AC276,""))</x:f>
      </x:c>
      <x:c r="X276" s="52" t="str">
        <x:f>IF(CaseLedger!$A276="","",IFERROR(CaseLedger!$AD276,""))</x:f>
      </x:c>
      <x:c r="Y276" s="52" t="str">
        <x:f>IF(CaseLedger!$A276="","",IFERROR(CaseLedger!$AE276,""))</x:f>
      </x:c>
      <x:c r="Z276" s="52" t="str">
        <x:f>IF(CaseLedger!$A276="","",IFERROR(CaseLedger!$AF276,""))</x:f>
      </x:c>
      <x:c r="AA276" s="52" t="str">
        <x:f>IF(CaseLedger!$A276="","",IFERROR(CaseLedger!$AG276,""))</x:f>
      </x:c>
      <x:c r="AB276" s="52" t="str">
        <x:f>IF(CaseLedger!$A276="","",IFERROR(CaseLedger!$AH276,""))</x:f>
      </x:c>
      <x:c r="AC276"/>
    </x:row>
    <x:row r="277">
      <x:c r="A277" s="52" t="str">
        <x:f>IF(CaseLedger!$A277="","",IFERROR(CaseLedger!$A277,""))</x:f>
      </x:c>
      <x:c r="B277" s="52" t="str">
        <x:f>IF(CaseLedger!$A277="","",IFERROR(CaseLedger!$H277,""))</x:f>
      </x:c>
      <x:c r="C277" s="52" t="str">
        <x:f>IF(CaseLedger!$A277="","",IFERROR(CaseLedger!$I277,""))</x:f>
      </x:c>
      <x:c r="D277" s="52" t="str">
        <x:f>IF(CaseLedger!$A277="","",IFERROR(CaseLedger!$J277,""))</x:f>
      </x:c>
      <x:c r="E277" s="52" t="str">
        <x:f>IF(CaseLedger!$A277="","",IFERROR(CaseLedger!$K277,""))</x:f>
      </x:c>
      <x:c r="F277" s="52" t="str">
        <x:f>IF(CaseLedger!$A277="","",IFERROR(CaseLedger!$O277,""))</x:f>
      </x:c>
      <x:c r="G277" s="52" t="str">
        <x:f>IF(CaseLedger!$A277="","",IFERROR(CaseLedger!$E277,""))</x:f>
      </x:c>
      <x:c r="H277" s="52" t="str">
        <x:f>IF(CaseLedger!$A277="","",IFERROR(CaseLedger!$P277,""))</x:f>
      </x:c>
      <x:c r="I277" s="52" t="str">
        <x:f>IF(CaseLedger!$A277="","",IFERROR(CaseLedger!$Q277,""))</x:f>
      </x:c>
      <x:c r="J277" s="52" t="str">
        <x:f>IF(CaseLedger!$A277="","",IFERROR(CaseLedger!$R277,""))</x:f>
      </x:c>
      <x:c r="K277" s="52" t="str">
        <x:f>IF(CaseLedger!$A277="","",IFERROR(CaseLedger!$S277,""))</x:f>
      </x:c>
      <x:c r="L277" s="52" t="str">
        <x:f>IF(CaseLedger!$A277="","",IFERROR(CaseLedger!$T277,""))</x:f>
      </x:c>
      <x:c r="M277" s="52" t="str">
        <x:f>IF(CaseLedger!$A277="","",IFERROR(CaseLedger!$U277,""))</x:f>
      </x:c>
      <x:c r="N277" s="52" t="str">
        <x:f>IF(CaseLedger!$A277="","",IFERROR(CaseLedger!$V277,""))</x:f>
      </x:c>
      <x:c r="O277" s="52" t="str">
        <x:f>IF(CaseLedger!$A277="","",IFERROR(CaseLedger!$W277,""))</x:f>
      </x:c>
      <x:c r="P277" s="52" t="str">
        <x:f>IF(CaseLedger!$A277="","",IFERROR(CaseLedger!$C277,""))</x:f>
      </x:c>
      <x:c r="Q277" s="52" t="str">
        <x:f>IF(CaseLedger!$A277="","",IFERROR(CaseLedger!$D277,""))</x:f>
      </x:c>
      <x:c r="R277" s="52" t="str">
        <x:f>IF(CaseLedger!$A277="","",IFERROR(CaseLedger!$X277,""))</x:f>
      </x:c>
      <x:c r="S277" s="52" t="str">
        <x:f>IF(CaseLedger!$A277="","",IFERROR(CaseLedger!$Y277,""))</x:f>
      </x:c>
      <x:c r="T277" s="52" t="str">
        <x:f>IF(CaseLedger!$A277="","",IFERROR(CaseLedger!$Z277,""))</x:f>
      </x:c>
      <x:c r="U277" s="52" t="str">
        <x:f>IF(CaseLedger!$A277="","",IFERROR(CaseLedger!$AA277,""))</x:f>
      </x:c>
      <x:c r="V277" s="52" t="str">
        <x:f>IF(CaseLedger!$A277="","",IFERROR(CaseLedger!$AB277,""))</x:f>
      </x:c>
      <x:c r="W277" s="52" t="str">
        <x:f>IF(CaseLedger!$A277="","",IFERROR(CaseLedger!$AC277,""))</x:f>
      </x:c>
      <x:c r="X277" s="52" t="str">
        <x:f>IF(CaseLedger!$A277="","",IFERROR(CaseLedger!$AD277,""))</x:f>
      </x:c>
      <x:c r="Y277" s="52" t="str">
        <x:f>IF(CaseLedger!$A277="","",IFERROR(CaseLedger!$AE277,""))</x:f>
      </x:c>
      <x:c r="Z277" s="52" t="str">
        <x:f>IF(CaseLedger!$A277="","",IFERROR(CaseLedger!$AF277,""))</x:f>
      </x:c>
      <x:c r="AA277" s="52" t="str">
        <x:f>IF(CaseLedger!$A277="","",IFERROR(CaseLedger!$AG277,""))</x:f>
      </x:c>
      <x:c r="AB277" s="52" t="str">
        <x:f>IF(CaseLedger!$A277="","",IFERROR(CaseLedger!$AH277,""))</x:f>
      </x:c>
      <x:c r="AC277"/>
    </x:row>
    <x:row r="278">
      <x:c r="A278" s="52" t="str">
        <x:f>IF(CaseLedger!$A278="","",IFERROR(CaseLedger!$A278,""))</x:f>
      </x:c>
      <x:c r="B278" s="52" t="str">
        <x:f>IF(CaseLedger!$A278="","",IFERROR(CaseLedger!$H278,""))</x:f>
      </x:c>
      <x:c r="C278" s="52" t="str">
        <x:f>IF(CaseLedger!$A278="","",IFERROR(CaseLedger!$I278,""))</x:f>
      </x:c>
      <x:c r="D278" s="52" t="str">
        <x:f>IF(CaseLedger!$A278="","",IFERROR(CaseLedger!$J278,""))</x:f>
      </x:c>
      <x:c r="E278" s="52" t="str">
        <x:f>IF(CaseLedger!$A278="","",IFERROR(CaseLedger!$K278,""))</x:f>
      </x:c>
      <x:c r="F278" s="52" t="str">
        <x:f>IF(CaseLedger!$A278="","",IFERROR(CaseLedger!$O278,""))</x:f>
      </x:c>
      <x:c r="G278" s="52" t="str">
        <x:f>IF(CaseLedger!$A278="","",IFERROR(CaseLedger!$E278,""))</x:f>
      </x:c>
      <x:c r="H278" s="52" t="str">
        <x:f>IF(CaseLedger!$A278="","",IFERROR(CaseLedger!$P278,""))</x:f>
      </x:c>
      <x:c r="I278" s="52" t="str">
        <x:f>IF(CaseLedger!$A278="","",IFERROR(CaseLedger!$Q278,""))</x:f>
      </x:c>
      <x:c r="J278" s="52" t="str">
        <x:f>IF(CaseLedger!$A278="","",IFERROR(CaseLedger!$R278,""))</x:f>
      </x:c>
      <x:c r="K278" s="52" t="str">
        <x:f>IF(CaseLedger!$A278="","",IFERROR(CaseLedger!$S278,""))</x:f>
      </x:c>
      <x:c r="L278" s="52" t="str">
        <x:f>IF(CaseLedger!$A278="","",IFERROR(CaseLedger!$T278,""))</x:f>
      </x:c>
      <x:c r="M278" s="52" t="str">
        <x:f>IF(CaseLedger!$A278="","",IFERROR(CaseLedger!$U278,""))</x:f>
      </x:c>
      <x:c r="N278" s="52" t="str">
        <x:f>IF(CaseLedger!$A278="","",IFERROR(CaseLedger!$V278,""))</x:f>
      </x:c>
      <x:c r="O278" s="52" t="str">
        <x:f>IF(CaseLedger!$A278="","",IFERROR(CaseLedger!$W278,""))</x:f>
      </x:c>
      <x:c r="P278" s="52" t="str">
        <x:f>IF(CaseLedger!$A278="","",IFERROR(CaseLedger!$C278,""))</x:f>
      </x:c>
      <x:c r="Q278" s="52" t="str">
        <x:f>IF(CaseLedger!$A278="","",IFERROR(CaseLedger!$D278,""))</x:f>
      </x:c>
      <x:c r="R278" s="52" t="str">
        <x:f>IF(CaseLedger!$A278="","",IFERROR(CaseLedger!$X278,""))</x:f>
      </x:c>
      <x:c r="S278" s="52" t="str">
        <x:f>IF(CaseLedger!$A278="","",IFERROR(CaseLedger!$Y278,""))</x:f>
      </x:c>
      <x:c r="T278" s="52" t="str">
        <x:f>IF(CaseLedger!$A278="","",IFERROR(CaseLedger!$Z278,""))</x:f>
      </x:c>
      <x:c r="U278" s="52" t="str">
        <x:f>IF(CaseLedger!$A278="","",IFERROR(CaseLedger!$AA278,""))</x:f>
      </x:c>
      <x:c r="V278" s="52" t="str">
        <x:f>IF(CaseLedger!$A278="","",IFERROR(CaseLedger!$AB278,""))</x:f>
      </x:c>
      <x:c r="W278" s="52" t="str">
        <x:f>IF(CaseLedger!$A278="","",IFERROR(CaseLedger!$AC278,""))</x:f>
      </x:c>
      <x:c r="X278" s="52" t="str">
        <x:f>IF(CaseLedger!$A278="","",IFERROR(CaseLedger!$AD278,""))</x:f>
      </x:c>
      <x:c r="Y278" s="52" t="str">
        <x:f>IF(CaseLedger!$A278="","",IFERROR(CaseLedger!$AE278,""))</x:f>
      </x:c>
      <x:c r="Z278" s="52" t="str">
        <x:f>IF(CaseLedger!$A278="","",IFERROR(CaseLedger!$AF278,""))</x:f>
      </x:c>
      <x:c r="AA278" s="52" t="str">
        <x:f>IF(CaseLedger!$A278="","",IFERROR(CaseLedger!$AG278,""))</x:f>
      </x:c>
      <x:c r="AB278" s="52" t="str">
        <x:f>IF(CaseLedger!$A278="","",IFERROR(CaseLedger!$AH278,""))</x:f>
      </x:c>
      <x:c r="AC278"/>
    </x:row>
    <x:row r="279">
      <x:c r="A279" s="52" t="str">
        <x:f>IF(CaseLedger!$A279="","",IFERROR(CaseLedger!$A279,""))</x:f>
      </x:c>
      <x:c r="B279" s="52" t="str">
        <x:f>IF(CaseLedger!$A279="","",IFERROR(CaseLedger!$H279,""))</x:f>
      </x:c>
      <x:c r="C279" s="52" t="str">
        <x:f>IF(CaseLedger!$A279="","",IFERROR(CaseLedger!$I279,""))</x:f>
      </x:c>
      <x:c r="D279" s="52" t="str">
        <x:f>IF(CaseLedger!$A279="","",IFERROR(CaseLedger!$J279,""))</x:f>
      </x:c>
      <x:c r="E279" s="52" t="str">
        <x:f>IF(CaseLedger!$A279="","",IFERROR(CaseLedger!$K279,""))</x:f>
      </x:c>
      <x:c r="F279" s="52" t="str">
        <x:f>IF(CaseLedger!$A279="","",IFERROR(CaseLedger!$O279,""))</x:f>
      </x:c>
      <x:c r="G279" s="52" t="str">
        <x:f>IF(CaseLedger!$A279="","",IFERROR(CaseLedger!$E279,""))</x:f>
      </x:c>
      <x:c r="H279" s="52" t="str">
        <x:f>IF(CaseLedger!$A279="","",IFERROR(CaseLedger!$P279,""))</x:f>
      </x:c>
      <x:c r="I279" s="52" t="str">
        <x:f>IF(CaseLedger!$A279="","",IFERROR(CaseLedger!$Q279,""))</x:f>
      </x:c>
      <x:c r="J279" s="52" t="str">
        <x:f>IF(CaseLedger!$A279="","",IFERROR(CaseLedger!$R279,""))</x:f>
      </x:c>
      <x:c r="K279" s="52" t="str">
        <x:f>IF(CaseLedger!$A279="","",IFERROR(CaseLedger!$S279,""))</x:f>
      </x:c>
      <x:c r="L279" s="52" t="str">
        <x:f>IF(CaseLedger!$A279="","",IFERROR(CaseLedger!$T279,""))</x:f>
      </x:c>
      <x:c r="M279" s="52" t="str">
        <x:f>IF(CaseLedger!$A279="","",IFERROR(CaseLedger!$U279,""))</x:f>
      </x:c>
      <x:c r="N279" s="52" t="str">
        <x:f>IF(CaseLedger!$A279="","",IFERROR(CaseLedger!$V279,""))</x:f>
      </x:c>
      <x:c r="O279" s="52" t="str">
        <x:f>IF(CaseLedger!$A279="","",IFERROR(CaseLedger!$W279,""))</x:f>
      </x:c>
      <x:c r="P279" s="52" t="str">
        <x:f>IF(CaseLedger!$A279="","",IFERROR(CaseLedger!$C279,""))</x:f>
      </x:c>
      <x:c r="Q279" s="52" t="str">
        <x:f>IF(CaseLedger!$A279="","",IFERROR(CaseLedger!$D279,""))</x:f>
      </x:c>
      <x:c r="R279" s="52" t="str">
        <x:f>IF(CaseLedger!$A279="","",IFERROR(CaseLedger!$X279,""))</x:f>
      </x:c>
      <x:c r="S279" s="52" t="str">
        <x:f>IF(CaseLedger!$A279="","",IFERROR(CaseLedger!$Y279,""))</x:f>
      </x:c>
      <x:c r="T279" s="52" t="str">
        <x:f>IF(CaseLedger!$A279="","",IFERROR(CaseLedger!$Z279,""))</x:f>
      </x:c>
      <x:c r="U279" s="52" t="str">
        <x:f>IF(CaseLedger!$A279="","",IFERROR(CaseLedger!$AA279,""))</x:f>
      </x:c>
      <x:c r="V279" s="52" t="str">
        <x:f>IF(CaseLedger!$A279="","",IFERROR(CaseLedger!$AB279,""))</x:f>
      </x:c>
      <x:c r="W279" s="52" t="str">
        <x:f>IF(CaseLedger!$A279="","",IFERROR(CaseLedger!$AC279,""))</x:f>
      </x:c>
      <x:c r="X279" s="52" t="str">
        <x:f>IF(CaseLedger!$A279="","",IFERROR(CaseLedger!$AD279,""))</x:f>
      </x:c>
      <x:c r="Y279" s="52" t="str">
        <x:f>IF(CaseLedger!$A279="","",IFERROR(CaseLedger!$AE279,""))</x:f>
      </x:c>
      <x:c r="Z279" s="52" t="str">
        <x:f>IF(CaseLedger!$A279="","",IFERROR(CaseLedger!$AF279,""))</x:f>
      </x:c>
      <x:c r="AA279" s="52" t="str">
        <x:f>IF(CaseLedger!$A279="","",IFERROR(CaseLedger!$AG279,""))</x:f>
      </x:c>
      <x:c r="AB279" s="52" t="str">
        <x:f>IF(CaseLedger!$A279="","",IFERROR(CaseLedger!$AH279,""))</x:f>
      </x:c>
      <x:c r="AC279"/>
    </x:row>
    <x:row r="280">
      <x:c r="A280" s="52" t="str">
        <x:f>IF(CaseLedger!$A280="","",IFERROR(CaseLedger!$A280,""))</x:f>
      </x:c>
      <x:c r="B280" s="52" t="str">
        <x:f>IF(CaseLedger!$A280="","",IFERROR(CaseLedger!$H280,""))</x:f>
      </x:c>
      <x:c r="C280" s="52" t="str">
        <x:f>IF(CaseLedger!$A280="","",IFERROR(CaseLedger!$I280,""))</x:f>
      </x:c>
      <x:c r="D280" s="52" t="str">
        <x:f>IF(CaseLedger!$A280="","",IFERROR(CaseLedger!$J280,""))</x:f>
      </x:c>
      <x:c r="E280" s="52" t="str">
        <x:f>IF(CaseLedger!$A280="","",IFERROR(CaseLedger!$K280,""))</x:f>
      </x:c>
      <x:c r="F280" s="52" t="str">
        <x:f>IF(CaseLedger!$A280="","",IFERROR(CaseLedger!$O280,""))</x:f>
      </x:c>
      <x:c r="G280" s="52" t="str">
        <x:f>IF(CaseLedger!$A280="","",IFERROR(CaseLedger!$E280,""))</x:f>
      </x:c>
      <x:c r="H280" s="52" t="str">
        <x:f>IF(CaseLedger!$A280="","",IFERROR(CaseLedger!$P280,""))</x:f>
      </x:c>
      <x:c r="I280" s="52" t="str">
        <x:f>IF(CaseLedger!$A280="","",IFERROR(CaseLedger!$Q280,""))</x:f>
      </x:c>
      <x:c r="J280" s="52" t="str">
        <x:f>IF(CaseLedger!$A280="","",IFERROR(CaseLedger!$R280,""))</x:f>
      </x:c>
      <x:c r="K280" s="52" t="str">
        <x:f>IF(CaseLedger!$A280="","",IFERROR(CaseLedger!$S280,""))</x:f>
      </x:c>
      <x:c r="L280" s="52" t="str">
        <x:f>IF(CaseLedger!$A280="","",IFERROR(CaseLedger!$T280,""))</x:f>
      </x:c>
      <x:c r="M280" s="52" t="str">
        <x:f>IF(CaseLedger!$A280="","",IFERROR(CaseLedger!$U280,""))</x:f>
      </x:c>
      <x:c r="N280" s="52" t="str">
        <x:f>IF(CaseLedger!$A280="","",IFERROR(CaseLedger!$V280,""))</x:f>
      </x:c>
      <x:c r="O280" s="52" t="str">
        <x:f>IF(CaseLedger!$A280="","",IFERROR(CaseLedger!$W280,""))</x:f>
      </x:c>
      <x:c r="P280" s="52" t="str">
        <x:f>IF(CaseLedger!$A280="","",IFERROR(CaseLedger!$C280,""))</x:f>
      </x:c>
      <x:c r="Q280" s="52" t="str">
        <x:f>IF(CaseLedger!$A280="","",IFERROR(CaseLedger!$D280,""))</x:f>
      </x:c>
      <x:c r="R280" s="52" t="str">
        <x:f>IF(CaseLedger!$A280="","",IFERROR(CaseLedger!$X280,""))</x:f>
      </x:c>
      <x:c r="S280" s="52" t="str">
        <x:f>IF(CaseLedger!$A280="","",IFERROR(CaseLedger!$Y280,""))</x:f>
      </x:c>
      <x:c r="T280" s="52" t="str">
        <x:f>IF(CaseLedger!$A280="","",IFERROR(CaseLedger!$Z280,""))</x:f>
      </x:c>
      <x:c r="U280" s="52" t="str">
        <x:f>IF(CaseLedger!$A280="","",IFERROR(CaseLedger!$AA280,""))</x:f>
      </x:c>
      <x:c r="V280" s="52" t="str">
        <x:f>IF(CaseLedger!$A280="","",IFERROR(CaseLedger!$AB280,""))</x:f>
      </x:c>
      <x:c r="W280" s="52" t="str">
        <x:f>IF(CaseLedger!$A280="","",IFERROR(CaseLedger!$AC280,""))</x:f>
      </x:c>
      <x:c r="X280" s="52" t="str">
        <x:f>IF(CaseLedger!$A280="","",IFERROR(CaseLedger!$AD280,""))</x:f>
      </x:c>
      <x:c r="Y280" s="52" t="str">
        <x:f>IF(CaseLedger!$A280="","",IFERROR(CaseLedger!$AE280,""))</x:f>
      </x:c>
      <x:c r="Z280" s="52" t="str">
        <x:f>IF(CaseLedger!$A280="","",IFERROR(CaseLedger!$AF280,""))</x:f>
      </x:c>
      <x:c r="AA280" s="52" t="str">
        <x:f>IF(CaseLedger!$A280="","",IFERROR(CaseLedger!$AG280,""))</x:f>
      </x:c>
      <x:c r="AB280" s="52" t="str">
        <x:f>IF(CaseLedger!$A280="","",IFERROR(CaseLedger!$AH280,""))</x:f>
      </x:c>
      <x:c r="AC280"/>
    </x:row>
    <x:row r="281">
      <x:c r="A281" s="52" t="str">
        <x:f>IF(CaseLedger!$A281="","",IFERROR(CaseLedger!$A281,""))</x:f>
      </x:c>
      <x:c r="B281" s="52" t="str">
        <x:f>IF(CaseLedger!$A281="","",IFERROR(CaseLedger!$H281,""))</x:f>
      </x:c>
      <x:c r="C281" s="52" t="str">
        <x:f>IF(CaseLedger!$A281="","",IFERROR(CaseLedger!$I281,""))</x:f>
      </x:c>
      <x:c r="D281" s="52" t="str">
        <x:f>IF(CaseLedger!$A281="","",IFERROR(CaseLedger!$J281,""))</x:f>
      </x:c>
      <x:c r="E281" s="52" t="str">
        <x:f>IF(CaseLedger!$A281="","",IFERROR(CaseLedger!$K281,""))</x:f>
      </x:c>
      <x:c r="F281" s="52" t="str">
        <x:f>IF(CaseLedger!$A281="","",IFERROR(CaseLedger!$O281,""))</x:f>
      </x:c>
      <x:c r="G281" s="52" t="str">
        <x:f>IF(CaseLedger!$A281="","",IFERROR(CaseLedger!$E281,""))</x:f>
      </x:c>
      <x:c r="H281" s="52" t="str">
        <x:f>IF(CaseLedger!$A281="","",IFERROR(CaseLedger!$P281,""))</x:f>
      </x:c>
      <x:c r="I281" s="52" t="str">
        <x:f>IF(CaseLedger!$A281="","",IFERROR(CaseLedger!$Q281,""))</x:f>
      </x:c>
      <x:c r="J281" s="52" t="str">
        <x:f>IF(CaseLedger!$A281="","",IFERROR(CaseLedger!$R281,""))</x:f>
      </x:c>
      <x:c r="K281" s="52" t="str">
        <x:f>IF(CaseLedger!$A281="","",IFERROR(CaseLedger!$S281,""))</x:f>
      </x:c>
      <x:c r="L281" s="52" t="str">
        <x:f>IF(CaseLedger!$A281="","",IFERROR(CaseLedger!$T281,""))</x:f>
      </x:c>
      <x:c r="M281" s="52" t="str">
        <x:f>IF(CaseLedger!$A281="","",IFERROR(CaseLedger!$U281,""))</x:f>
      </x:c>
      <x:c r="N281" s="52" t="str">
        <x:f>IF(CaseLedger!$A281="","",IFERROR(CaseLedger!$V281,""))</x:f>
      </x:c>
      <x:c r="O281" s="52" t="str">
        <x:f>IF(CaseLedger!$A281="","",IFERROR(CaseLedger!$W281,""))</x:f>
      </x:c>
      <x:c r="P281" s="52" t="str">
        <x:f>IF(CaseLedger!$A281="","",IFERROR(CaseLedger!$C281,""))</x:f>
      </x:c>
      <x:c r="Q281" s="52" t="str">
        <x:f>IF(CaseLedger!$A281="","",IFERROR(CaseLedger!$D281,""))</x:f>
      </x:c>
      <x:c r="R281" s="52" t="str">
        <x:f>IF(CaseLedger!$A281="","",IFERROR(CaseLedger!$X281,""))</x:f>
      </x:c>
      <x:c r="S281" s="52" t="str">
        <x:f>IF(CaseLedger!$A281="","",IFERROR(CaseLedger!$Y281,""))</x:f>
      </x:c>
      <x:c r="T281" s="52" t="str">
        <x:f>IF(CaseLedger!$A281="","",IFERROR(CaseLedger!$Z281,""))</x:f>
      </x:c>
      <x:c r="U281" s="52" t="str">
        <x:f>IF(CaseLedger!$A281="","",IFERROR(CaseLedger!$AA281,""))</x:f>
      </x:c>
      <x:c r="V281" s="52" t="str">
        <x:f>IF(CaseLedger!$A281="","",IFERROR(CaseLedger!$AB281,""))</x:f>
      </x:c>
      <x:c r="W281" s="52" t="str">
        <x:f>IF(CaseLedger!$A281="","",IFERROR(CaseLedger!$AC281,""))</x:f>
      </x:c>
      <x:c r="X281" s="52" t="str">
        <x:f>IF(CaseLedger!$A281="","",IFERROR(CaseLedger!$AD281,""))</x:f>
      </x:c>
      <x:c r="Y281" s="52" t="str">
        <x:f>IF(CaseLedger!$A281="","",IFERROR(CaseLedger!$AE281,""))</x:f>
      </x:c>
      <x:c r="Z281" s="52" t="str">
        <x:f>IF(CaseLedger!$A281="","",IFERROR(CaseLedger!$AF281,""))</x:f>
      </x:c>
      <x:c r="AA281" s="52" t="str">
        <x:f>IF(CaseLedger!$A281="","",IFERROR(CaseLedger!$AG281,""))</x:f>
      </x:c>
      <x:c r="AB281" s="52" t="str">
        <x:f>IF(CaseLedger!$A281="","",IFERROR(CaseLedger!$AH281,""))</x:f>
      </x:c>
      <x:c r="AC281"/>
    </x:row>
    <x:row r="282">
      <x:c r="A282" s="52" t="str">
        <x:f>IF(CaseLedger!$A282="","",IFERROR(CaseLedger!$A282,""))</x:f>
      </x:c>
      <x:c r="B282" s="52" t="str">
        <x:f>IF(CaseLedger!$A282="","",IFERROR(CaseLedger!$H282,""))</x:f>
      </x:c>
      <x:c r="C282" s="52" t="str">
        <x:f>IF(CaseLedger!$A282="","",IFERROR(CaseLedger!$I282,""))</x:f>
      </x:c>
      <x:c r="D282" s="52" t="str">
        <x:f>IF(CaseLedger!$A282="","",IFERROR(CaseLedger!$J282,""))</x:f>
      </x:c>
      <x:c r="E282" s="52" t="str">
        <x:f>IF(CaseLedger!$A282="","",IFERROR(CaseLedger!$K282,""))</x:f>
      </x:c>
      <x:c r="F282" s="52" t="str">
        <x:f>IF(CaseLedger!$A282="","",IFERROR(CaseLedger!$O282,""))</x:f>
      </x:c>
      <x:c r="G282" s="52" t="str">
        <x:f>IF(CaseLedger!$A282="","",IFERROR(CaseLedger!$E282,""))</x:f>
      </x:c>
      <x:c r="H282" s="52" t="str">
        <x:f>IF(CaseLedger!$A282="","",IFERROR(CaseLedger!$P282,""))</x:f>
      </x:c>
      <x:c r="I282" s="52" t="str">
        <x:f>IF(CaseLedger!$A282="","",IFERROR(CaseLedger!$Q282,""))</x:f>
      </x:c>
      <x:c r="J282" s="52" t="str">
        <x:f>IF(CaseLedger!$A282="","",IFERROR(CaseLedger!$R282,""))</x:f>
      </x:c>
      <x:c r="K282" s="52" t="str">
        <x:f>IF(CaseLedger!$A282="","",IFERROR(CaseLedger!$S282,""))</x:f>
      </x:c>
      <x:c r="L282" s="52" t="str">
        <x:f>IF(CaseLedger!$A282="","",IFERROR(CaseLedger!$T282,""))</x:f>
      </x:c>
      <x:c r="M282" s="52" t="str">
        <x:f>IF(CaseLedger!$A282="","",IFERROR(CaseLedger!$U282,""))</x:f>
      </x:c>
      <x:c r="N282" s="52" t="str">
        <x:f>IF(CaseLedger!$A282="","",IFERROR(CaseLedger!$V282,""))</x:f>
      </x:c>
      <x:c r="O282" s="52" t="str">
        <x:f>IF(CaseLedger!$A282="","",IFERROR(CaseLedger!$W282,""))</x:f>
      </x:c>
      <x:c r="P282" s="52" t="str">
        <x:f>IF(CaseLedger!$A282="","",IFERROR(CaseLedger!$C282,""))</x:f>
      </x:c>
      <x:c r="Q282" s="52" t="str">
        <x:f>IF(CaseLedger!$A282="","",IFERROR(CaseLedger!$D282,""))</x:f>
      </x:c>
      <x:c r="R282" s="52" t="str">
        <x:f>IF(CaseLedger!$A282="","",IFERROR(CaseLedger!$X282,""))</x:f>
      </x:c>
      <x:c r="S282" s="52" t="str">
        <x:f>IF(CaseLedger!$A282="","",IFERROR(CaseLedger!$Y282,""))</x:f>
      </x:c>
      <x:c r="T282" s="52" t="str">
        <x:f>IF(CaseLedger!$A282="","",IFERROR(CaseLedger!$Z282,""))</x:f>
      </x:c>
      <x:c r="U282" s="52" t="str">
        <x:f>IF(CaseLedger!$A282="","",IFERROR(CaseLedger!$AA282,""))</x:f>
      </x:c>
      <x:c r="V282" s="52" t="str">
        <x:f>IF(CaseLedger!$A282="","",IFERROR(CaseLedger!$AB282,""))</x:f>
      </x:c>
      <x:c r="W282" s="52" t="str">
        <x:f>IF(CaseLedger!$A282="","",IFERROR(CaseLedger!$AC282,""))</x:f>
      </x:c>
      <x:c r="X282" s="52" t="str">
        <x:f>IF(CaseLedger!$A282="","",IFERROR(CaseLedger!$AD282,""))</x:f>
      </x:c>
      <x:c r="Y282" s="52" t="str">
        <x:f>IF(CaseLedger!$A282="","",IFERROR(CaseLedger!$AE282,""))</x:f>
      </x:c>
      <x:c r="Z282" s="52" t="str">
        <x:f>IF(CaseLedger!$A282="","",IFERROR(CaseLedger!$AF282,""))</x:f>
      </x:c>
      <x:c r="AA282" s="52" t="str">
        <x:f>IF(CaseLedger!$A282="","",IFERROR(CaseLedger!$AG282,""))</x:f>
      </x:c>
      <x:c r="AB282" s="52" t="str">
        <x:f>IF(CaseLedger!$A282="","",IFERROR(CaseLedger!$AH282,""))</x:f>
      </x:c>
      <x:c r="AC282"/>
    </x:row>
    <x:row r="283">
      <x:c r="A283" s="52" t="str">
        <x:f>IF(CaseLedger!$A283="","",IFERROR(CaseLedger!$A283,""))</x:f>
      </x:c>
      <x:c r="B283" s="52" t="str">
        <x:f>IF(CaseLedger!$A283="","",IFERROR(CaseLedger!$H283,""))</x:f>
      </x:c>
      <x:c r="C283" s="52" t="str">
        <x:f>IF(CaseLedger!$A283="","",IFERROR(CaseLedger!$I283,""))</x:f>
      </x:c>
      <x:c r="D283" s="52" t="str">
        <x:f>IF(CaseLedger!$A283="","",IFERROR(CaseLedger!$J283,""))</x:f>
      </x:c>
      <x:c r="E283" s="52" t="str">
        <x:f>IF(CaseLedger!$A283="","",IFERROR(CaseLedger!$K283,""))</x:f>
      </x:c>
      <x:c r="F283" s="52" t="str">
        <x:f>IF(CaseLedger!$A283="","",IFERROR(CaseLedger!$O283,""))</x:f>
      </x:c>
      <x:c r="G283" s="52" t="str">
        <x:f>IF(CaseLedger!$A283="","",IFERROR(CaseLedger!$E283,""))</x:f>
      </x:c>
      <x:c r="H283" s="52" t="str">
        <x:f>IF(CaseLedger!$A283="","",IFERROR(CaseLedger!$P283,""))</x:f>
      </x:c>
      <x:c r="I283" s="52" t="str">
        <x:f>IF(CaseLedger!$A283="","",IFERROR(CaseLedger!$Q283,""))</x:f>
      </x:c>
      <x:c r="J283" s="52" t="str">
        <x:f>IF(CaseLedger!$A283="","",IFERROR(CaseLedger!$R283,""))</x:f>
      </x:c>
      <x:c r="K283" s="52" t="str">
        <x:f>IF(CaseLedger!$A283="","",IFERROR(CaseLedger!$S283,""))</x:f>
      </x:c>
      <x:c r="L283" s="52" t="str">
        <x:f>IF(CaseLedger!$A283="","",IFERROR(CaseLedger!$T283,""))</x:f>
      </x:c>
      <x:c r="M283" s="52" t="str">
        <x:f>IF(CaseLedger!$A283="","",IFERROR(CaseLedger!$U283,""))</x:f>
      </x:c>
      <x:c r="N283" s="52" t="str">
        <x:f>IF(CaseLedger!$A283="","",IFERROR(CaseLedger!$V283,""))</x:f>
      </x:c>
      <x:c r="O283" s="52" t="str">
        <x:f>IF(CaseLedger!$A283="","",IFERROR(CaseLedger!$W283,""))</x:f>
      </x:c>
      <x:c r="P283" s="52" t="str">
        <x:f>IF(CaseLedger!$A283="","",IFERROR(CaseLedger!$C283,""))</x:f>
      </x:c>
      <x:c r="Q283" s="52" t="str">
        <x:f>IF(CaseLedger!$A283="","",IFERROR(CaseLedger!$D283,""))</x:f>
      </x:c>
      <x:c r="R283" s="52" t="str">
        <x:f>IF(CaseLedger!$A283="","",IFERROR(CaseLedger!$X283,""))</x:f>
      </x:c>
      <x:c r="S283" s="52" t="str">
        <x:f>IF(CaseLedger!$A283="","",IFERROR(CaseLedger!$Y283,""))</x:f>
      </x:c>
      <x:c r="T283" s="52" t="str">
        <x:f>IF(CaseLedger!$A283="","",IFERROR(CaseLedger!$Z283,""))</x:f>
      </x:c>
      <x:c r="U283" s="52" t="str">
        <x:f>IF(CaseLedger!$A283="","",IFERROR(CaseLedger!$AA283,""))</x:f>
      </x:c>
      <x:c r="V283" s="52" t="str">
        <x:f>IF(CaseLedger!$A283="","",IFERROR(CaseLedger!$AB283,""))</x:f>
      </x:c>
      <x:c r="W283" s="52" t="str">
        <x:f>IF(CaseLedger!$A283="","",IFERROR(CaseLedger!$AC283,""))</x:f>
      </x:c>
      <x:c r="X283" s="52" t="str">
        <x:f>IF(CaseLedger!$A283="","",IFERROR(CaseLedger!$AD283,""))</x:f>
      </x:c>
      <x:c r="Y283" s="52" t="str">
        <x:f>IF(CaseLedger!$A283="","",IFERROR(CaseLedger!$AE283,""))</x:f>
      </x:c>
      <x:c r="Z283" s="52" t="str">
        <x:f>IF(CaseLedger!$A283="","",IFERROR(CaseLedger!$AF283,""))</x:f>
      </x:c>
      <x:c r="AA283" s="52" t="str">
        <x:f>IF(CaseLedger!$A283="","",IFERROR(CaseLedger!$AG283,""))</x:f>
      </x:c>
      <x:c r="AB283" s="52" t="str">
        <x:f>IF(CaseLedger!$A283="","",IFERROR(CaseLedger!$AH283,""))</x:f>
      </x:c>
      <x:c r="AC283"/>
    </x:row>
    <x:row r="284">
      <x:c r="A284" s="52" t="str">
        <x:f>IF(CaseLedger!$A284="","",IFERROR(CaseLedger!$A284,""))</x:f>
      </x:c>
      <x:c r="B284" s="52" t="str">
        <x:f>IF(CaseLedger!$A284="","",IFERROR(CaseLedger!$H284,""))</x:f>
      </x:c>
      <x:c r="C284" s="52" t="str">
        <x:f>IF(CaseLedger!$A284="","",IFERROR(CaseLedger!$I284,""))</x:f>
      </x:c>
      <x:c r="D284" s="52" t="str">
        <x:f>IF(CaseLedger!$A284="","",IFERROR(CaseLedger!$J284,""))</x:f>
      </x:c>
      <x:c r="E284" s="52" t="str">
        <x:f>IF(CaseLedger!$A284="","",IFERROR(CaseLedger!$K284,""))</x:f>
      </x:c>
      <x:c r="F284" s="52" t="str">
        <x:f>IF(CaseLedger!$A284="","",IFERROR(CaseLedger!$O284,""))</x:f>
      </x:c>
      <x:c r="G284" s="52" t="str">
        <x:f>IF(CaseLedger!$A284="","",IFERROR(CaseLedger!$E284,""))</x:f>
      </x:c>
      <x:c r="H284" s="52" t="str">
        <x:f>IF(CaseLedger!$A284="","",IFERROR(CaseLedger!$P284,""))</x:f>
      </x:c>
      <x:c r="I284" s="52" t="str">
        <x:f>IF(CaseLedger!$A284="","",IFERROR(CaseLedger!$Q284,""))</x:f>
      </x:c>
      <x:c r="J284" s="52" t="str">
        <x:f>IF(CaseLedger!$A284="","",IFERROR(CaseLedger!$R284,""))</x:f>
      </x:c>
      <x:c r="K284" s="52" t="str">
        <x:f>IF(CaseLedger!$A284="","",IFERROR(CaseLedger!$S284,""))</x:f>
      </x:c>
      <x:c r="L284" s="52" t="str">
        <x:f>IF(CaseLedger!$A284="","",IFERROR(CaseLedger!$T284,""))</x:f>
      </x:c>
      <x:c r="M284" s="52" t="str">
        <x:f>IF(CaseLedger!$A284="","",IFERROR(CaseLedger!$U284,""))</x:f>
      </x:c>
      <x:c r="N284" s="52" t="str">
        <x:f>IF(CaseLedger!$A284="","",IFERROR(CaseLedger!$V284,""))</x:f>
      </x:c>
      <x:c r="O284" s="52" t="str">
        <x:f>IF(CaseLedger!$A284="","",IFERROR(CaseLedger!$W284,""))</x:f>
      </x:c>
      <x:c r="P284" s="52" t="str">
        <x:f>IF(CaseLedger!$A284="","",IFERROR(CaseLedger!$C284,""))</x:f>
      </x:c>
      <x:c r="Q284" s="52" t="str">
        <x:f>IF(CaseLedger!$A284="","",IFERROR(CaseLedger!$D284,""))</x:f>
      </x:c>
      <x:c r="R284" s="52" t="str">
        <x:f>IF(CaseLedger!$A284="","",IFERROR(CaseLedger!$X284,""))</x:f>
      </x:c>
      <x:c r="S284" s="52" t="str">
        <x:f>IF(CaseLedger!$A284="","",IFERROR(CaseLedger!$Y284,""))</x:f>
      </x:c>
      <x:c r="T284" s="52" t="str">
        <x:f>IF(CaseLedger!$A284="","",IFERROR(CaseLedger!$Z284,""))</x:f>
      </x:c>
      <x:c r="U284" s="52" t="str">
        <x:f>IF(CaseLedger!$A284="","",IFERROR(CaseLedger!$AA284,""))</x:f>
      </x:c>
      <x:c r="V284" s="52" t="str">
        <x:f>IF(CaseLedger!$A284="","",IFERROR(CaseLedger!$AB284,""))</x:f>
      </x:c>
      <x:c r="W284" s="52" t="str">
        <x:f>IF(CaseLedger!$A284="","",IFERROR(CaseLedger!$AC284,""))</x:f>
      </x:c>
      <x:c r="X284" s="52" t="str">
        <x:f>IF(CaseLedger!$A284="","",IFERROR(CaseLedger!$AD284,""))</x:f>
      </x:c>
      <x:c r="Y284" s="52" t="str">
        <x:f>IF(CaseLedger!$A284="","",IFERROR(CaseLedger!$AE284,""))</x:f>
      </x:c>
      <x:c r="Z284" s="52" t="str">
        <x:f>IF(CaseLedger!$A284="","",IFERROR(CaseLedger!$AF284,""))</x:f>
      </x:c>
      <x:c r="AA284" s="52" t="str">
        <x:f>IF(CaseLedger!$A284="","",IFERROR(CaseLedger!$AG284,""))</x:f>
      </x:c>
      <x:c r="AB284" s="52" t="str">
        <x:f>IF(CaseLedger!$A284="","",IFERROR(CaseLedger!$AH284,""))</x:f>
      </x:c>
      <x:c r="AC284"/>
    </x:row>
    <x:row r="285">
      <x:c r="A285" s="52" t="str">
        <x:f>IF(CaseLedger!$A285="","",IFERROR(CaseLedger!$A285,""))</x:f>
      </x:c>
      <x:c r="B285" s="52" t="str">
        <x:f>IF(CaseLedger!$A285="","",IFERROR(CaseLedger!$H285,""))</x:f>
      </x:c>
      <x:c r="C285" s="52" t="str">
        <x:f>IF(CaseLedger!$A285="","",IFERROR(CaseLedger!$I285,""))</x:f>
      </x:c>
      <x:c r="D285" s="52" t="str">
        <x:f>IF(CaseLedger!$A285="","",IFERROR(CaseLedger!$J285,""))</x:f>
      </x:c>
      <x:c r="E285" s="52" t="str">
        <x:f>IF(CaseLedger!$A285="","",IFERROR(CaseLedger!$K285,""))</x:f>
      </x:c>
      <x:c r="F285" s="52" t="str">
        <x:f>IF(CaseLedger!$A285="","",IFERROR(CaseLedger!$O285,""))</x:f>
      </x:c>
      <x:c r="G285" s="52" t="str">
        <x:f>IF(CaseLedger!$A285="","",IFERROR(CaseLedger!$E285,""))</x:f>
      </x:c>
      <x:c r="H285" s="52" t="str">
        <x:f>IF(CaseLedger!$A285="","",IFERROR(CaseLedger!$P285,""))</x:f>
      </x:c>
      <x:c r="I285" s="52" t="str">
        <x:f>IF(CaseLedger!$A285="","",IFERROR(CaseLedger!$Q285,""))</x:f>
      </x:c>
      <x:c r="J285" s="52" t="str">
        <x:f>IF(CaseLedger!$A285="","",IFERROR(CaseLedger!$R285,""))</x:f>
      </x:c>
      <x:c r="K285" s="52" t="str">
        <x:f>IF(CaseLedger!$A285="","",IFERROR(CaseLedger!$S285,""))</x:f>
      </x:c>
      <x:c r="L285" s="52" t="str">
        <x:f>IF(CaseLedger!$A285="","",IFERROR(CaseLedger!$T285,""))</x:f>
      </x:c>
      <x:c r="M285" s="52" t="str">
        <x:f>IF(CaseLedger!$A285="","",IFERROR(CaseLedger!$U285,""))</x:f>
      </x:c>
      <x:c r="N285" s="52" t="str">
        <x:f>IF(CaseLedger!$A285="","",IFERROR(CaseLedger!$V285,""))</x:f>
      </x:c>
      <x:c r="O285" s="52" t="str">
        <x:f>IF(CaseLedger!$A285="","",IFERROR(CaseLedger!$W285,""))</x:f>
      </x:c>
      <x:c r="P285" s="52" t="str">
        <x:f>IF(CaseLedger!$A285="","",IFERROR(CaseLedger!$C285,""))</x:f>
      </x:c>
      <x:c r="Q285" s="52" t="str">
        <x:f>IF(CaseLedger!$A285="","",IFERROR(CaseLedger!$D285,""))</x:f>
      </x:c>
      <x:c r="R285" s="52" t="str">
        <x:f>IF(CaseLedger!$A285="","",IFERROR(CaseLedger!$X285,""))</x:f>
      </x:c>
      <x:c r="S285" s="52" t="str">
        <x:f>IF(CaseLedger!$A285="","",IFERROR(CaseLedger!$Y285,""))</x:f>
      </x:c>
      <x:c r="T285" s="52" t="str">
        <x:f>IF(CaseLedger!$A285="","",IFERROR(CaseLedger!$Z285,""))</x:f>
      </x:c>
      <x:c r="U285" s="52" t="str">
        <x:f>IF(CaseLedger!$A285="","",IFERROR(CaseLedger!$AA285,""))</x:f>
      </x:c>
      <x:c r="V285" s="52" t="str">
        <x:f>IF(CaseLedger!$A285="","",IFERROR(CaseLedger!$AB285,""))</x:f>
      </x:c>
      <x:c r="W285" s="52" t="str">
        <x:f>IF(CaseLedger!$A285="","",IFERROR(CaseLedger!$AC285,""))</x:f>
      </x:c>
      <x:c r="X285" s="52" t="str">
        <x:f>IF(CaseLedger!$A285="","",IFERROR(CaseLedger!$AD285,""))</x:f>
      </x:c>
      <x:c r="Y285" s="52" t="str">
        <x:f>IF(CaseLedger!$A285="","",IFERROR(CaseLedger!$AE285,""))</x:f>
      </x:c>
      <x:c r="Z285" s="52" t="str">
        <x:f>IF(CaseLedger!$A285="","",IFERROR(CaseLedger!$AF285,""))</x:f>
      </x:c>
      <x:c r="AA285" s="52" t="str">
        <x:f>IF(CaseLedger!$A285="","",IFERROR(CaseLedger!$AG285,""))</x:f>
      </x:c>
      <x:c r="AB285" s="52" t="str">
        <x:f>IF(CaseLedger!$A285="","",IFERROR(CaseLedger!$AH285,""))</x:f>
      </x:c>
      <x:c r="AC285"/>
    </x:row>
    <x:row r="286">
      <x:c r="A286" s="52" t="str">
        <x:f>IF(CaseLedger!$A286="","",IFERROR(CaseLedger!$A286,""))</x:f>
      </x:c>
      <x:c r="B286" s="52" t="str">
        <x:f>IF(CaseLedger!$A286="","",IFERROR(CaseLedger!$H286,""))</x:f>
      </x:c>
      <x:c r="C286" s="52" t="str">
        <x:f>IF(CaseLedger!$A286="","",IFERROR(CaseLedger!$I286,""))</x:f>
      </x:c>
      <x:c r="D286" s="52" t="str">
        <x:f>IF(CaseLedger!$A286="","",IFERROR(CaseLedger!$J286,""))</x:f>
      </x:c>
      <x:c r="E286" s="52" t="str">
        <x:f>IF(CaseLedger!$A286="","",IFERROR(CaseLedger!$K286,""))</x:f>
      </x:c>
      <x:c r="F286" s="52" t="str">
        <x:f>IF(CaseLedger!$A286="","",IFERROR(CaseLedger!$O286,""))</x:f>
      </x:c>
      <x:c r="G286" s="52" t="str">
        <x:f>IF(CaseLedger!$A286="","",IFERROR(CaseLedger!$E286,""))</x:f>
      </x:c>
      <x:c r="H286" s="52" t="str">
        <x:f>IF(CaseLedger!$A286="","",IFERROR(CaseLedger!$P286,""))</x:f>
      </x:c>
      <x:c r="I286" s="52" t="str">
        <x:f>IF(CaseLedger!$A286="","",IFERROR(CaseLedger!$Q286,""))</x:f>
      </x:c>
      <x:c r="J286" s="52" t="str">
        <x:f>IF(CaseLedger!$A286="","",IFERROR(CaseLedger!$R286,""))</x:f>
      </x:c>
      <x:c r="K286" s="52" t="str">
        <x:f>IF(CaseLedger!$A286="","",IFERROR(CaseLedger!$S286,""))</x:f>
      </x:c>
      <x:c r="L286" s="52" t="str">
        <x:f>IF(CaseLedger!$A286="","",IFERROR(CaseLedger!$T286,""))</x:f>
      </x:c>
      <x:c r="M286" s="52" t="str">
        <x:f>IF(CaseLedger!$A286="","",IFERROR(CaseLedger!$U286,""))</x:f>
      </x:c>
      <x:c r="N286" s="52" t="str">
        <x:f>IF(CaseLedger!$A286="","",IFERROR(CaseLedger!$V286,""))</x:f>
      </x:c>
      <x:c r="O286" s="52" t="str">
        <x:f>IF(CaseLedger!$A286="","",IFERROR(CaseLedger!$W286,""))</x:f>
      </x:c>
      <x:c r="P286" s="52" t="str">
        <x:f>IF(CaseLedger!$A286="","",IFERROR(CaseLedger!$C286,""))</x:f>
      </x:c>
      <x:c r="Q286" s="52" t="str">
        <x:f>IF(CaseLedger!$A286="","",IFERROR(CaseLedger!$D286,""))</x:f>
      </x:c>
      <x:c r="R286" s="52" t="str">
        <x:f>IF(CaseLedger!$A286="","",IFERROR(CaseLedger!$X286,""))</x:f>
      </x:c>
      <x:c r="S286" s="52" t="str">
        <x:f>IF(CaseLedger!$A286="","",IFERROR(CaseLedger!$Y286,""))</x:f>
      </x:c>
      <x:c r="T286" s="52" t="str">
        <x:f>IF(CaseLedger!$A286="","",IFERROR(CaseLedger!$Z286,""))</x:f>
      </x:c>
      <x:c r="U286" s="52" t="str">
        <x:f>IF(CaseLedger!$A286="","",IFERROR(CaseLedger!$AA286,""))</x:f>
      </x:c>
      <x:c r="V286" s="52" t="str">
        <x:f>IF(CaseLedger!$A286="","",IFERROR(CaseLedger!$AB286,""))</x:f>
      </x:c>
      <x:c r="W286" s="52" t="str">
        <x:f>IF(CaseLedger!$A286="","",IFERROR(CaseLedger!$AC286,""))</x:f>
      </x:c>
      <x:c r="X286" s="52" t="str">
        <x:f>IF(CaseLedger!$A286="","",IFERROR(CaseLedger!$AD286,""))</x:f>
      </x:c>
      <x:c r="Y286" s="52" t="str">
        <x:f>IF(CaseLedger!$A286="","",IFERROR(CaseLedger!$AE286,""))</x:f>
      </x:c>
      <x:c r="Z286" s="52" t="str">
        <x:f>IF(CaseLedger!$A286="","",IFERROR(CaseLedger!$AF286,""))</x:f>
      </x:c>
      <x:c r="AA286" s="52" t="str">
        <x:f>IF(CaseLedger!$A286="","",IFERROR(CaseLedger!$AG286,""))</x:f>
      </x:c>
      <x:c r="AB286" s="52" t="str">
        <x:f>IF(CaseLedger!$A286="","",IFERROR(CaseLedger!$AH286,""))</x:f>
      </x:c>
      <x:c r="AC286"/>
    </x:row>
    <x:row r="287">
      <x:c r="A287" s="52" t="str">
        <x:f>IF(CaseLedger!$A287="","",IFERROR(CaseLedger!$A287,""))</x:f>
      </x:c>
      <x:c r="B287" s="52" t="str">
        <x:f>IF(CaseLedger!$A287="","",IFERROR(CaseLedger!$H287,""))</x:f>
      </x:c>
      <x:c r="C287" s="52" t="str">
        <x:f>IF(CaseLedger!$A287="","",IFERROR(CaseLedger!$I287,""))</x:f>
      </x:c>
      <x:c r="D287" s="52" t="str">
        <x:f>IF(CaseLedger!$A287="","",IFERROR(CaseLedger!$J287,""))</x:f>
      </x:c>
      <x:c r="E287" s="52" t="str">
        <x:f>IF(CaseLedger!$A287="","",IFERROR(CaseLedger!$K287,""))</x:f>
      </x:c>
      <x:c r="F287" s="52" t="str">
        <x:f>IF(CaseLedger!$A287="","",IFERROR(CaseLedger!$O287,""))</x:f>
      </x:c>
      <x:c r="G287" s="52" t="str">
        <x:f>IF(CaseLedger!$A287="","",IFERROR(CaseLedger!$E287,""))</x:f>
      </x:c>
      <x:c r="H287" s="52" t="str">
        <x:f>IF(CaseLedger!$A287="","",IFERROR(CaseLedger!$P287,""))</x:f>
      </x:c>
      <x:c r="I287" s="52" t="str">
        <x:f>IF(CaseLedger!$A287="","",IFERROR(CaseLedger!$Q287,""))</x:f>
      </x:c>
      <x:c r="J287" s="52" t="str">
        <x:f>IF(CaseLedger!$A287="","",IFERROR(CaseLedger!$R287,""))</x:f>
      </x:c>
      <x:c r="K287" s="52" t="str">
        <x:f>IF(CaseLedger!$A287="","",IFERROR(CaseLedger!$S287,""))</x:f>
      </x:c>
      <x:c r="L287" s="52" t="str">
        <x:f>IF(CaseLedger!$A287="","",IFERROR(CaseLedger!$T287,""))</x:f>
      </x:c>
      <x:c r="M287" s="52" t="str">
        <x:f>IF(CaseLedger!$A287="","",IFERROR(CaseLedger!$U287,""))</x:f>
      </x:c>
      <x:c r="N287" s="52" t="str">
        <x:f>IF(CaseLedger!$A287="","",IFERROR(CaseLedger!$V287,""))</x:f>
      </x:c>
      <x:c r="O287" s="52" t="str">
        <x:f>IF(CaseLedger!$A287="","",IFERROR(CaseLedger!$W287,""))</x:f>
      </x:c>
      <x:c r="P287" s="52" t="str">
        <x:f>IF(CaseLedger!$A287="","",IFERROR(CaseLedger!$C287,""))</x:f>
      </x:c>
      <x:c r="Q287" s="52" t="str">
        <x:f>IF(CaseLedger!$A287="","",IFERROR(CaseLedger!$D287,""))</x:f>
      </x:c>
      <x:c r="R287" s="52" t="str">
        <x:f>IF(CaseLedger!$A287="","",IFERROR(CaseLedger!$X287,""))</x:f>
      </x:c>
      <x:c r="S287" s="52" t="str">
        <x:f>IF(CaseLedger!$A287="","",IFERROR(CaseLedger!$Y287,""))</x:f>
      </x:c>
      <x:c r="T287" s="52" t="str">
        <x:f>IF(CaseLedger!$A287="","",IFERROR(CaseLedger!$Z287,""))</x:f>
      </x:c>
      <x:c r="U287" s="52" t="str">
        <x:f>IF(CaseLedger!$A287="","",IFERROR(CaseLedger!$AA287,""))</x:f>
      </x:c>
      <x:c r="V287" s="52" t="str">
        <x:f>IF(CaseLedger!$A287="","",IFERROR(CaseLedger!$AB287,""))</x:f>
      </x:c>
      <x:c r="W287" s="52" t="str">
        <x:f>IF(CaseLedger!$A287="","",IFERROR(CaseLedger!$AC287,""))</x:f>
      </x:c>
      <x:c r="X287" s="52" t="str">
        <x:f>IF(CaseLedger!$A287="","",IFERROR(CaseLedger!$AD287,""))</x:f>
      </x:c>
      <x:c r="Y287" s="52" t="str">
        <x:f>IF(CaseLedger!$A287="","",IFERROR(CaseLedger!$AE287,""))</x:f>
      </x:c>
      <x:c r="Z287" s="52" t="str">
        <x:f>IF(CaseLedger!$A287="","",IFERROR(CaseLedger!$AF287,""))</x:f>
      </x:c>
      <x:c r="AA287" s="52" t="str">
        <x:f>IF(CaseLedger!$A287="","",IFERROR(CaseLedger!$AG287,""))</x:f>
      </x:c>
      <x:c r="AB287" s="52" t="str">
        <x:f>IF(CaseLedger!$A287="","",IFERROR(CaseLedger!$AH287,""))</x:f>
      </x:c>
      <x:c r="AC287"/>
    </x:row>
    <x:row r="288">
      <x:c r="A288" s="52" t="str">
        <x:f>IF(CaseLedger!$A288="","",IFERROR(CaseLedger!$A288,""))</x:f>
      </x:c>
      <x:c r="B288" s="52" t="str">
        <x:f>IF(CaseLedger!$A288="","",IFERROR(CaseLedger!$H288,""))</x:f>
      </x:c>
      <x:c r="C288" s="52" t="str">
        <x:f>IF(CaseLedger!$A288="","",IFERROR(CaseLedger!$I288,""))</x:f>
      </x:c>
      <x:c r="D288" s="52" t="str">
        <x:f>IF(CaseLedger!$A288="","",IFERROR(CaseLedger!$J288,""))</x:f>
      </x:c>
      <x:c r="E288" s="52" t="str">
        <x:f>IF(CaseLedger!$A288="","",IFERROR(CaseLedger!$K288,""))</x:f>
      </x:c>
      <x:c r="F288" s="52" t="str">
        <x:f>IF(CaseLedger!$A288="","",IFERROR(CaseLedger!$O288,""))</x:f>
      </x:c>
      <x:c r="G288" s="52" t="str">
        <x:f>IF(CaseLedger!$A288="","",IFERROR(CaseLedger!$E288,""))</x:f>
      </x:c>
      <x:c r="H288" s="52" t="str">
        <x:f>IF(CaseLedger!$A288="","",IFERROR(CaseLedger!$P288,""))</x:f>
      </x:c>
      <x:c r="I288" s="52" t="str">
        <x:f>IF(CaseLedger!$A288="","",IFERROR(CaseLedger!$Q288,""))</x:f>
      </x:c>
      <x:c r="J288" s="52" t="str">
        <x:f>IF(CaseLedger!$A288="","",IFERROR(CaseLedger!$R288,""))</x:f>
      </x:c>
      <x:c r="K288" s="52" t="str">
        <x:f>IF(CaseLedger!$A288="","",IFERROR(CaseLedger!$S288,""))</x:f>
      </x:c>
      <x:c r="L288" s="52" t="str">
        <x:f>IF(CaseLedger!$A288="","",IFERROR(CaseLedger!$T288,""))</x:f>
      </x:c>
      <x:c r="M288" s="52" t="str">
        <x:f>IF(CaseLedger!$A288="","",IFERROR(CaseLedger!$U288,""))</x:f>
      </x:c>
      <x:c r="N288" s="52" t="str">
        <x:f>IF(CaseLedger!$A288="","",IFERROR(CaseLedger!$V288,""))</x:f>
      </x:c>
      <x:c r="O288" s="52" t="str">
        <x:f>IF(CaseLedger!$A288="","",IFERROR(CaseLedger!$W288,""))</x:f>
      </x:c>
      <x:c r="P288" s="52" t="str">
        <x:f>IF(CaseLedger!$A288="","",IFERROR(CaseLedger!$C288,""))</x:f>
      </x:c>
      <x:c r="Q288" s="52" t="str">
        <x:f>IF(CaseLedger!$A288="","",IFERROR(CaseLedger!$D288,""))</x:f>
      </x:c>
      <x:c r="R288" s="52" t="str">
        <x:f>IF(CaseLedger!$A288="","",IFERROR(CaseLedger!$X288,""))</x:f>
      </x:c>
      <x:c r="S288" s="52" t="str">
        <x:f>IF(CaseLedger!$A288="","",IFERROR(CaseLedger!$Y288,""))</x:f>
      </x:c>
      <x:c r="T288" s="52" t="str">
        <x:f>IF(CaseLedger!$A288="","",IFERROR(CaseLedger!$Z288,""))</x:f>
      </x:c>
      <x:c r="U288" s="52" t="str">
        <x:f>IF(CaseLedger!$A288="","",IFERROR(CaseLedger!$AA288,""))</x:f>
      </x:c>
      <x:c r="V288" s="52" t="str">
        <x:f>IF(CaseLedger!$A288="","",IFERROR(CaseLedger!$AB288,""))</x:f>
      </x:c>
      <x:c r="W288" s="52" t="str">
        <x:f>IF(CaseLedger!$A288="","",IFERROR(CaseLedger!$AC288,""))</x:f>
      </x:c>
      <x:c r="X288" s="52" t="str">
        <x:f>IF(CaseLedger!$A288="","",IFERROR(CaseLedger!$AD288,""))</x:f>
      </x:c>
      <x:c r="Y288" s="52" t="str">
        <x:f>IF(CaseLedger!$A288="","",IFERROR(CaseLedger!$AE288,""))</x:f>
      </x:c>
      <x:c r="Z288" s="52" t="str">
        <x:f>IF(CaseLedger!$A288="","",IFERROR(CaseLedger!$AF288,""))</x:f>
      </x:c>
      <x:c r="AA288" s="52" t="str">
        <x:f>IF(CaseLedger!$A288="","",IFERROR(CaseLedger!$AG288,""))</x:f>
      </x:c>
      <x:c r="AB288" s="52" t="str">
        <x:f>IF(CaseLedger!$A288="","",IFERROR(CaseLedger!$AH288,""))</x:f>
      </x:c>
      <x:c r="AC288"/>
    </x:row>
    <x:row r="289">
      <x:c r="A289" s="52" t="str">
        <x:f>IF(CaseLedger!$A289="","",IFERROR(CaseLedger!$A289,""))</x:f>
      </x:c>
      <x:c r="B289" s="52" t="str">
        <x:f>IF(CaseLedger!$A289="","",IFERROR(CaseLedger!$H289,""))</x:f>
      </x:c>
      <x:c r="C289" s="52" t="str">
        <x:f>IF(CaseLedger!$A289="","",IFERROR(CaseLedger!$I289,""))</x:f>
      </x:c>
      <x:c r="D289" s="52" t="str">
        <x:f>IF(CaseLedger!$A289="","",IFERROR(CaseLedger!$J289,""))</x:f>
      </x:c>
      <x:c r="E289" s="52" t="str">
        <x:f>IF(CaseLedger!$A289="","",IFERROR(CaseLedger!$K289,""))</x:f>
      </x:c>
      <x:c r="F289" s="52" t="str">
        <x:f>IF(CaseLedger!$A289="","",IFERROR(CaseLedger!$O289,""))</x:f>
      </x:c>
      <x:c r="G289" s="52" t="str">
        <x:f>IF(CaseLedger!$A289="","",IFERROR(CaseLedger!$E289,""))</x:f>
      </x:c>
      <x:c r="H289" s="52" t="str">
        <x:f>IF(CaseLedger!$A289="","",IFERROR(CaseLedger!$P289,""))</x:f>
      </x:c>
      <x:c r="I289" s="52" t="str">
        <x:f>IF(CaseLedger!$A289="","",IFERROR(CaseLedger!$Q289,""))</x:f>
      </x:c>
      <x:c r="J289" s="52" t="str">
        <x:f>IF(CaseLedger!$A289="","",IFERROR(CaseLedger!$R289,""))</x:f>
      </x:c>
      <x:c r="K289" s="52" t="str">
        <x:f>IF(CaseLedger!$A289="","",IFERROR(CaseLedger!$S289,""))</x:f>
      </x:c>
      <x:c r="L289" s="52" t="str">
        <x:f>IF(CaseLedger!$A289="","",IFERROR(CaseLedger!$T289,""))</x:f>
      </x:c>
      <x:c r="M289" s="52" t="str">
        <x:f>IF(CaseLedger!$A289="","",IFERROR(CaseLedger!$U289,""))</x:f>
      </x:c>
      <x:c r="N289" s="52" t="str">
        <x:f>IF(CaseLedger!$A289="","",IFERROR(CaseLedger!$V289,""))</x:f>
      </x:c>
      <x:c r="O289" s="52" t="str">
        <x:f>IF(CaseLedger!$A289="","",IFERROR(CaseLedger!$W289,""))</x:f>
      </x:c>
      <x:c r="P289" s="52" t="str">
        <x:f>IF(CaseLedger!$A289="","",IFERROR(CaseLedger!$C289,""))</x:f>
      </x:c>
      <x:c r="Q289" s="52" t="str">
        <x:f>IF(CaseLedger!$A289="","",IFERROR(CaseLedger!$D289,""))</x:f>
      </x:c>
      <x:c r="R289" s="52" t="str">
        <x:f>IF(CaseLedger!$A289="","",IFERROR(CaseLedger!$X289,""))</x:f>
      </x:c>
      <x:c r="S289" s="52" t="str">
        <x:f>IF(CaseLedger!$A289="","",IFERROR(CaseLedger!$Y289,""))</x:f>
      </x:c>
      <x:c r="T289" s="52" t="str">
        <x:f>IF(CaseLedger!$A289="","",IFERROR(CaseLedger!$Z289,""))</x:f>
      </x:c>
      <x:c r="U289" s="52" t="str">
        <x:f>IF(CaseLedger!$A289="","",IFERROR(CaseLedger!$AA289,""))</x:f>
      </x:c>
      <x:c r="V289" s="52" t="str">
        <x:f>IF(CaseLedger!$A289="","",IFERROR(CaseLedger!$AB289,""))</x:f>
      </x:c>
      <x:c r="W289" s="52" t="str">
        <x:f>IF(CaseLedger!$A289="","",IFERROR(CaseLedger!$AC289,""))</x:f>
      </x:c>
      <x:c r="X289" s="52" t="str">
        <x:f>IF(CaseLedger!$A289="","",IFERROR(CaseLedger!$AD289,""))</x:f>
      </x:c>
      <x:c r="Y289" s="52" t="str">
        <x:f>IF(CaseLedger!$A289="","",IFERROR(CaseLedger!$AE289,""))</x:f>
      </x:c>
      <x:c r="Z289" s="52" t="str">
        <x:f>IF(CaseLedger!$A289="","",IFERROR(CaseLedger!$AF289,""))</x:f>
      </x:c>
      <x:c r="AA289" s="52" t="str">
        <x:f>IF(CaseLedger!$A289="","",IFERROR(CaseLedger!$AG289,""))</x:f>
      </x:c>
      <x:c r="AB289" s="52" t="str">
        <x:f>IF(CaseLedger!$A289="","",IFERROR(CaseLedger!$AH289,""))</x:f>
      </x:c>
      <x:c r="AC289"/>
    </x:row>
    <x:row r="290">
      <x:c r="A290" s="52" t="str">
        <x:f>IF(CaseLedger!$A290="","",IFERROR(CaseLedger!$A290,""))</x:f>
      </x:c>
      <x:c r="B290" s="52" t="str">
        <x:f>IF(CaseLedger!$A290="","",IFERROR(CaseLedger!$H290,""))</x:f>
      </x:c>
      <x:c r="C290" s="52" t="str">
        <x:f>IF(CaseLedger!$A290="","",IFERROR(CaseLedger!$I290,""))</x:f>
      </x:c>
      <x:c r="D290" s="52" t="str">
        <x:f>IF(CaseLedger!$A290="","",IFERROR(CaseLedger!$J290,""))</x:f>
      </x:c>
      <x:c r="E290" s="52" t="str">
        <x:f>IF(CaseLedger!$A290="","",IFERROR(CaseLedger!$K290,""))</x:f>
      </x:c>
      <x:c r="F290" s="52" t="str">
        <x:f>IF(CaseLedger!$A290="","",IFERROR(CaseLedger!$O290,""))</x:f>
      </x:c>
      <x:c r="G290" s="52" t="str">
        <x:f>IF(CaseLedger!$A290="","",IFERROR(CaseLedger!$E290,""))</x:f>
      </x:c>
      <x:c r="H290" s="52" t="str">
        <x:f>IF(CaseLedger!$A290="","",IFERROR(CaseLedger!$P290,""))</x:f>
      </x:c>
      <x:c r="I290" s="52" t="str">
        <x:f>IF(CaseLedger!$A290="","",IFERROR(CaseLedger!$Q290,""))</x:f>
      </x:c>
      <x:c r="J290" s="52" t="str">
        <x:f>IF(CaseLedger!$A290="","",IFERROR(CaseLedger!$R290,""))</x:f>
      </x:c>
      <x:c r="K290" s="52" t="str">
        <x:f>IF(CaseLedger!$A290="","",IFERROR(CaseLedger!$S290,""))</x:f>
      </x:c>
      <x:c r="L290" s="52" t="str">
        <x:f>IF(CaseLedger!$A290="","",IFERROR(CaseLedger!$T290,""))</x:f>
      </x:c>
      <x:c r="M290" s="52" t="str">
        <x:f>IF(CaseLedger!$A290="","",IFERROR(CaseLedger!$U290,""))</x:f>
      </x:c>
      <x:c r="N290" s="52" t="str">
        <x:f>IF(CaseLedger!$A290="","",IFERROR(CaseLedger!$V290,""))</x:f>
      </x:c>
      <x:c r="O290" s="52" t="str">
        <x:f>IF(CaseLedger!$A290="","",IFERROR(CaseLedger!$W290,""))</x:f>
      </x:c>
      <x:c r="P290" s="52" t="str">
        <x:f>IF(CaseLedger!$A290="","",IFERROR(CaseLedger!$C290,""))</x:f>
      </x:c>
      <x:c r="Q290" s="52" t="str">
        <x:f>IF(CaseLedger!$A290="","",IFERROR(CaseLedger!$D290,""))</x:f>
      </x:c>
      <x:c r="R290" s="52" t="str">
        <x:f>IF(CaseLedger!$A290="","",IFERROR(CaseLedger!$X290,""))</x:f>
      </x:c>
      <x:c r="S290" s="52" t="str">
        <x:f>IF(CaseLedger!$A290="","",IFERROR(CaseLedger!$Y290,""))</x:f>
      </x:c>
      <x:c r="T290" s="52" t="str">
        <x:f>IF(CaseLedger!$A290="","",IFERROR(CaseLedger!$Z290,""))</x:f>
      </x:c>
      <x:c r="U290" s="52" t="str">
        <x:f>IF(CaseLedger!$A290="","",IFERROR(CaseLedger!$AA290,""))</x:f>
      </x:c>
      <x:c r="V290" s="52" t="str">
        <x:f>IF(CaseLedger!$A290="","",IFERROR(CaseLedger!$AB290,""))</x:f>
      </x:c>
      <x:c r="W290" s="52" t="str">
        <x:f>IF(CaseLedger!$A290="","",IFERROR(CaseLedger!$AC290,""))</x:f>
      </x:c>
      <x:c r="X290" s="52" t="str">
        <x:f>IF(CaseLedger!$A290="","",IFERROR(CaseLedger!$AD290,""))</x:f>
      </x:c>
      <x:c r="Y290" s="52" t="str">
        <x:f>IF(CaseLedger!$A290="","",IFERROR(CaseLedger!$AE290,""))</x:f>
      </x:c>
      <x:c r="Z290" s="52" t="str">
        <x:f>IF(CaseLedger!$A290="","",IFERROR(CaseLedger!$AF290,""))</x:f>
      </x:c>
      <x:c r="AA290" s="52" t="str">
        <x:f>IF(CaseLedger!$A290="","",IFERROR(CaseLedger!$AG290,""))</x:f>
      </x:c>
      <x:c r="AB290" s="52" t="str">
        <x:f>IF(CaseLedger!$A290="","",IFERROR(CaseLedger!$AH290,""))</x:f>
      </x:c>
      <x:c r="AC290"/>
    </x:row>
    <x:row r="291">
      <x:c r="A291" s="52" t="str">
        <x:f>IF(CaseLedger!$A291="","",IFERROR(CaseLedger!$A291,""))</x:f>
      </x:c>
      <x:c r="B291" s="52" t="str">
        <x:f>IF(CaseLedger!$A291="","",IFERROR(CaseLedger!$H291,""))</x:f>
      </x:c>
      <x:c r="C291" s="52" t="str">
        <x:f>IF(CaseLedger!$A291="","",IFERROR(CaseLedger!$I291,""))</x:f>
      </x:c>
      <x:c r="D291" s="52" t="str">
        <x:f>IF(CaseLedger!$A291="","",IFERROR(CaseLedger!$J291,""))</x:f>
      </x:c>
      <x:c r="E291" s="52" t="str">
        <x:f>IF(CaseLedger!$A291="","",IFERROR(CaseLedger!$K291,""))</x:f>
      </x:c>
      <x:c r="F291" s="52" t="str">
        <x:f>IF(CaseLedger!$A291="","",IFERROR(CaseLedger!$O291,""))</x:f>
      </x:c>
      <x:c r="G291" s="52" t="str">
        <x:f>IF(CaseLedger!$A291="","",IFERROR(CaseLedger!$E291,""))</x:f>
      </x:c>
      <x:c r="H291" s="52" t="str">
        <x:f>IF(CaseLedger!$A291="","",IFERROR(CaseLedger!$P291,""))</x:f>
      </x:c>
      <x:c r="I291" s="52" t="str">
        <x:f>IF(CaseLedger!$A291="","",IFERROR(CaseLedger!$Q291,""))</x:f>
      </x:c>
      <x:c r="J291" s="52" t="str">
        <x:f>IF(CaseLedger!$A291="","",IFERROR(CaseLedger!$R291,""))</x:f>
      </x:c>
      <x:c r="K291" s="52" t="str">
        <x:f>IF(CaseLedger!$A291="","",IFERROR(CaseLedger!$S291,""))</x:f>
      </x:c>
      <x:c r="L291" s="52" t="str">
        <x:f>IF(CaseLedger!$A291="","",IFERROR(CaseLedger!$T291,""))</x:f>
      </x:c>
      <x:c r="M291" s="52" t="str">
        <x:f>IF(CaseLedger!$A291="","",IFERROR(CaseLedger!$U291,""))</x:f>
      </x:c>
      <x:c r="N291" s="52" t="str">
        <x:f>IF(CaseLedger!$A291="","",IFERROR(CaseLedger!$V291,""))</x:f>
      </x:c>
      <x:c r="O291" s="52" t="str">
        <x:f>IF(CaseLedger!$A291="","",IFERROR(CaseLedger!$W291,""))</x:f>
      </x:c>
      <x:c r="P291" s="52" t="str">
        <x:f>IF(CaseLedger!$A291="","",IFERROR(CaseLedger!$C291,""))</x:f>
      </x:c>
      <x:c r="Q291" s="52" t="str">
        <x:f>IF(CaseLedger!$A291="","",IFERROR(CaseLedger!$D291,""))</x:f>
      </x:c>
      <x:c r="R291" s="52" t="str">
        <x:f>IF(CaseLedger!$A291="","",IFERROR(CaseLedger!$X291,""))</x:f>
      </x:c>
      <x:c r="S291" s="52" t="str">
        <x:f>IF(CaseLedger!$A291="","",IFERROR(CaseLedger!$Y291,""))</x:f>
      </x:c>
      <x:c r="T291" s="52" t="str">
        <x:f>IF(CaseLedger!$A291="","",IFERROR(CaseLedger!$Z291,""))</x:f>
      </x:c>
      <x:c r="U291" s="52" t="str">
        <x:f>IF(CaseLedger!$A291="","",IFERROR(CaseLedger!$AA291,""))</x:f>
      </x:c>
      <x:c r="V291" s="52" t="str">
        <x:f>IF(CaseLedger!$A291="","",IFERROR(CaseLedger!$AB291,""))</x:f>
      </x:c>
      <x:c r="W291" s="52" t="str">
        <x:f>IF(CaseLedger!$A291="","",IFERROR(CaseLedger!$AC291,""))</x:f>
      </x:c>
      <x:c r="X291" s="52" t="str">
        <x:f>IF(CaseLedger!$A291="","",IFERROR(CaseLedger!$AD291,""))</x:f>
      </x:c>
      <x:c r="Y291" s="52" t="str">
        <x:f>IF(CaseLedger!$A291="","",IFERROR(CaseLedger!$AE291,""))</x:f>
      </x:c>
      <x:c r="Z291" s="52" t="str">
        <x:f>IF(CaseLedger!$A291="","",IFERROR(CaseLedger!$AF291,""))</x:f>
      </x:c>
      <x:c r="AA291" s="52" t="str">
        <x:f>IF(CaseLedger!$A291="","",IFERROR(CaseLedger!$AG291,""))</x:f>
      </x:c>
      <x:c r="AB291" s="52" t="str">
        <x:f>IF(CaseLedger!$A291="","",IFERROR(CaseLedger!$AH291,""))</x:f>
      </x:c>
      <x:c r="AC291"/>
    </x:row>
    <x:row r="292">
      <x:c r="A292" s="52" t="str">
        <x:f>IF(CaseLedger!$A292="","",IFERROR(CaseLedger!$A292,""))</x:f>
      </x:c>
      <x:c r="B292" s="52" t="str">
        <x:f>IF(CaseLedger!$A292="","",IFERROR(CaseLedger!$H292,""))</x:f>
      </x:c>
      <x:c r="C292" s="52" t="str">
        <x:f>IF(CaseLedger!$A292="","",IFERROR(CaseLedger!$I292,""))</x:f>
      </x:c>
      <x:c r="D292" s="52" t="str">
        <x:f>IF(CaseLedger!$A292="","",IFERROR(CaseLedger!$J292,""))</x:f>
      </x:c>
      <x:c r="E292" s="52" t="str">
        <x:f>IF(CaseLedger!$A292="","",IFERROR(CaseLedger!$K292,""))</x:f>
      </x:c>
      <x:c r="F292" s="52" t="str">
        <x:f>IF(CaseLedger!$A292="","",IFERROR(CaseLedger!$O292,""))</x:f>
      </x:c>
      <x:c r="G292" s="52" t="str">
        <x:f>IF(CaseLedger!$A292="","",IFERROR(CaseLedger!$E292,""))</x:f>
      </x:c>
      <x:c r="H292" s="52" t="str">
        <x:f>IF(CaseLedger!$A292="","",IFERROR(CaseLedger!$P292,""))</x:f>
      </x:c>
      <x:c r="I292" s="52" t="str">
        <x:f>IF(CaseLedger!$A292="","",IFERROR(CaseLedger!$Q292,""))</x:f>
      </x:c>
      <x:c r="J292" s="52" t="str">
        <x:f>IF(CaseLedger!$A292="","",IFERROR(CaseLedger!$R292,""))</x:f>
      </x:c>
      <x:c r="K292" s="52" t="str">
        <x:f>IF(CaseLedger!$A292="","",IFERROR(CaseLedger!$S292,""))</x:f>
      </x:c>
      <x:c r="L292" s="52" t="str">
        <x:f>IF(CaseLedger!$A292="","",IFERROR(CaseLedger!$T292,""))</x:f>
      </x:c>
      <x:c r="M292" s="52" t="str">
        <x:f>IF(CaseLedger!$A292="","",IFERROR(CaseLedger!$U292,""))</x:f>
      </x:c>
      <x:c r="N292" s="52" t="str">
        <x:f>IF(CaseLedger!$A292="","",IFERROR(CaseLedger!$V292,""))</x:f>
      </x:c>
      <x:c r="O292" s="52" t="str">
        <x:f>IF(CaseLedger!$A292="","",IFERROR(CaseLedger!$W292,""))</x:f>
      </x:c>
      <x:c r="P292" s="52" t="str">
        <x:f>IF(CaseLedger!$A292="","",IFERROR(CaseLedger!$C292,""))</x:f>
      </x:c>
      <x:c r="Q292" s="52" t="str">
        <x:f>IF(CaseLedger!$A292="","",IFERROR(CaseLedger!$D292,""))</x:f>
      </x:c>
      <x:c r="R292" s="52" t="str">
        <x:f>IF(CaseLedger!$A292="","",IFERROR(CaseLedger!$X292,""))</x:f>
      </x:c>
      <x:c r="S292" s="52" t="str">
        <x:f>IF(CaseLedger!$A292="","",IFERROR(CaseLedger!$Y292,""))</x:f>
      </x:c>
      <x:c r="T292" s="52" t="str">
        <x:f>IF(CaseLedger!$A292="","",IFERROR(CaseLedger!$Z292,""))</x:f>
      </x:c>
      <x:c r="U292" s="52" t="str">
        <x:f>IF(CaseLedger!$A292="","",IFERROR(CaseLedger!$AA292,""))</x:f>
      </x:c>
      <x:c r="V292" s="52" t="str">
        <x:f>IF(CaseLedger!$A292="","",IFERROR(CaseLedger!$AB292,""))</x:f>
      </x:c>
      <x:c r="W292" s="52" t="str">
        <x:f>IF(CaseLedger!$A292="","",IFERROR(CaseLedger!$AC292,""))</x:f>
      </x:c>
      <x:c r="X292" s="52" t="str">
        <x:f>IF(CaseLedger!$A292="","",IFERROR(CaseLedger!$AD292,""))</x:f>
      </x:c>
      <x:c r="Y292" s="52" t="str">
        <x:f>IF(CaseLedger!$A292="","",IFERROR(CaseLedger!$AE292,""))</x:f>
      </x:c>
      <x:c r="Z292" s="52" t="str">
        <x:f>IF(CaseLedger!$A292="","",IFERROR(CaseLedger!$AF292,""))</x:f>
      </x:c>
      <x:c r="AA292" s="52" t="str">
        <x:f>IF(CaseLedger!$A292="","",IFERROR(CaseLedger!$AG292,""))</x:f>
      </x:c>
      <x:c r="AB292" s="52" t="str">
        <x:f>IF(CaseLedger!$A292="","",IFERROR(CaseLedger!$AH292,""))</x:f>
      </x:c>
      <x:c r="AC292"/>
    </x:row>
    <x:row r="293">
      <x:c r="A293" s="52" t="str">
        <x:f>IF(CaseLedger!$A293="","",IFERROR(CaseLedger!$A293,""))</x:f>
      </x:c>
      <x:c r="B293" s="52" t="str">
        <x:f>IF(CaseLedger!$A293="","",IFERROR(CaseLedger!$H293,""))</x:f>
      </x:c>
      <x:c r="C293" s="52" t="str">
        <x:f>IF(CaseLedger!$A293="","",IFERROR(CaseLedger!$I293,""))</x:f>
      </x:c>
      <x:c r="D293" s="52" t="str">
        <x:f>IF(CaseLedger!$A293="","",IFERROR(CaseLedger!$J293,""))</x:f>
      </x:c>
      <x:c r="E293" s="52" t="str">
        <x:f>IF(CaseLedger!$A293="","",IFERROR(CaseLedger!$K293,""))</x:f>
      </x:c>
      <x:c r="F293" s="52" t="str">
        <x:f>IF(CaseLedger!$A293="","",IFERROR(CaseLedger!$O293,""))</x:f>
      </x:c>
      <x:c r="G293" s="52" t="str">
        <x:f>IF(CaseLedger!$A293="","",IFERROR(CaseLedger!$E293,""))</x:f>
      </x:c>
      <x:c r="H293" s="52" t="str">
        <x:f>IF(CaseLedger!$A293="","",IFERROR(CaseLedger!$P293,""))</x:f>
      </x:c>
      <x:c r="I293" s="52" t="str">
        <x:f>IF(CaseLedger!$A293="","",IFERROR(CaseLedger!$Q293,""))</x:f>
      </x:c>
      <x:c r="J293" s="52" t="str">
        <x:f>IF(CaseLedger!$A293="","",IFERROR(CaseLedger!$R293,""))</x:f>
      </x:c>
      <x:c r="K293" s="52" t="str">
        <x:f>IF(CaseLedger!$A293="","",IFERROR(CaseLedger!$S293,""))</x:f>
      </x:c>
      <x:c r="L293" s="52" t="str">
        <x:f>IF(CaseLedger!$A293="","",IFERROR(CaseLedger!$T293,""))</x:f>
      </x:c>
      <x:c r="M293" s="52" t="str">
        <x:f>IF(CaseLedger!$A293="","",IFERROR(CaseLedger!$U293,""))</x:f>
      </x:c>
      <x:c r="N293" s="52" t="str">
        <x:f>IF(CaseLedger!$A293="","",IFERROR(CaseLedger!$V293,""))</x:f>
      </x:c>
      <x:c r="O293" s="52" t="str">
        <x:f>IF(CaseLedger!$A293="","",IFERROR(CaseLedger!$W293,""))</x:f>
      </x:c>
      <x:c r="P293" s="52" t="str">
        <x:f>IF(CaseLedger!$A293="","",IFERROR(CaseLedger!$C293,""))</x:f>
      </x:c>
      <x:c r="Q293" s="52" t="str">
        <x:f>IF(CaseLedger!$A293="","",IFERROR(CaseLedger!$D293,""))</x:f>
      </x:c>
      <x:c r="R293" s="52" t="str">
        <x:f>IF(CaseLedger!$A293="","",IFERROR(CaseLedger!$X293,""))</x:f>
      </x:c>
      <x:c r="S293" s="52" t="str">
        <x:f>IF(CaseLedger!$A293="","",IFERROR(CaseLedger!$Y293,""))</x:f>
      </x:c>
      <x:c r="T293" s="52" t="str">
        <x:f>IF(CaseLedger!$A293="","",IFERROR(CaseLedger!$Z293,""))</x:f>
      </x:c>
      <x:c r="U293" s="52" t="str">
        <x:f>IF(CaseLedger!$A293="","",IFERROR(CaseLedger!$AA293,""))</x:f>
      </x:c>
      <x:c r="V293" s="52" t="str">
        <x:f>IF(CaseLedger!$A293="","",IFERROR(CaseLedger!$AB293,""))</x:f>
      </x:c>
      <x:c r="W293" s="52" t="str">
        <x:f>IF(CaseLedger!$A293="","",IFERROR(CaseLedger!$AC293,""))</x:f>
      </x:c>
      <x:c r="X293" s="52" t="str">
        <x:f>IF(CaseLedger!$A293="","",IFERROR(CaseLedger!$AD293,""))</x:f>
      </x:c>
      <x:c r="Y293" s="52" t="str">
        <x:f>IF(CaseLedger!$A293="","",IFERROR(CaseLedger!$AE293,""))</x:f>
      </x:c>
      <x:c r="Z293" s="52" t="str">
        <x:f>IF(CaseLedger!$A293="","",IFERROR(CaseLedger!$AF293,""))</x:f>
      </x:c>
      <x:c r="AA293" s="52" t="str">
        <x:f>IF(CaseLedger!$A293="","",IFERROR(CaseLedger!$AG293,""))</x:f>
      </x:c>
      <x:c r="AB293" s="52" t="str">
        <x:f>IF(CaseLedger!$A293="","",IFERROR(CaseLedger!$AH293,""))</x:f>
      </x:c>
      <x:c r="AC293"/>
    </x:row>
    <x:row r="294">
      <x:c r="A294" s="52" t="str">
        <x:f>IF(CaseLedger!$A294="","",IFERROR(CaseLedger!$A294,""))</x:f>
      </x:c>
      <x:c r="B294" s="52" t="str">
        <x:f>IF(CaseLedger!$A294="","",IFERROR(CaseLedger!$H294,""))</x:f>
      </x:c>
      <x:c r="C294" s="52" t="str">
        <x:f>IF(CaseLedger!$A294="","",IFERROR(CaseLedger!$I294,""))</x:f>
      </x:c>
      <x:c r="D294" s="52" t="str">
        <x:f>IF(CaseLedger!$A294="","",IFERROR(CaseLedger!$J294,""))</x:f>
      </x:c>
      <x:c r="E294" s="52" t="str">
        <x:f>IF(CaseLedger!$A294="","",IFERROR(CaseLedger!$K294,""))</x:f>
      </x:c>
      <x:c r="F294" s="52" t="str">
        <x:f>IF(CaseLedger!$A294="","",IFERROR(CaseLedger!$O294,""))</x:f>
      </x:c>
      <x:c r="G294" s="52" t="str">
        <x:f>IF(CaseLedger!$A294="","",IFERROR(CaseLedger!$E294,""))</x:f>
      </x:c>
      <x:c r="H294" s="52" t="str">
        <x:f>IF(CaseLedger!$A294="","",IFERROR(CaseLedger!$P294,""))</x:f>
      </x:c>
      <x:c r="I294" s="52" t="str">
        <x:f>IF(CaseLedger!$A294="","",IFERROR(CaseLedger!$Q294,""))</x:f>
      </x:c>
      <x:c r="J294" s="52" t="str">
        <x:f>IF(CaseLedger!$A294="","",IFERROR(CaseLedger!$R294,""))</x:f>
      </x:c>
      <x:c r="K294" s="52" t="str">
        <x:f>IF(CaseLedger!$A294="","",IFERROR(CaseLedger!$S294,""))</x:f>
      </x:c>
      <x:c r="L294" s="52" t="str">
        <x:f>IF(CaseLedger!$A294="","",IFERROR(CaseLedger!$T294,""))</x:f>
      </x:c>
      <x:c r="M294" s="52" t="str">
        <x:f>IF(CaseLedger!$A294="","",IFERROR(CaseLedger!$U294,""))</x:f>
      </x:c>
      <x:c r="N294" s="52" t="str">
        <x:f>IF(CaseLedger!$A294="","",IFERROR(CaseLedger!$V294,""))</x:f>
      </x:c>
      <x:c r="O294" s="52" t="str">
        <x:f>IF(CaseLedger!$A294="","",IFERROR(CaseLedger!$W294,""))</x:f>
      </x:c>
      <x:c r="P294" s="52" t="str">
        <x:f>IF(CaseLedger!$A294="","",IFERROR(CaseLedger!$C294,""))</x:f>
      </x:c>
      <x:c r="Q294" s="52" t="str">
        <x:f>IF(CaseLedger!$A294="","",IFERROR(CaseLedger!$D294,""))</x:f>
      </x:c>
      <x:c r="R294" s="52" t="str">
        <x:f>IF(CaseLedger!$A294="","",IFERROR(CaseLedger!$X294,""))</x:f>
      </x:c>
      <x:c r="S294" s="52" t="str">
        <x:f>IF(CaseLedger!$A294="","",IFERROR(CaseLedger!$Y294,""))</x:f>
      </x:c>
      <x:c r="T294" s="52" t="str">
        <x:f>IF(CaseLedger!$A294="","",IFERROR(CaseLedger!$Z294,""))</x:f>
      </x:c>
      <x:c r="U294" s="52" t="str">
        <x:f>IF(CaseLedger!$A294="","",IFERROR(CaseLedger!$AA294,""))</x:f>
      </x:c>
      <x:c r="V294" s="52" t="str">
        <x:f>IF(CaseLedger!$A294="","",IFERROR(CaseLedger!$AB294,""))</x:f>
      </x:c>
      <x:c r="W294" s="52" t="str">
        <x:f>IF(CaseLedger!$A294="","",IFERROR(CaseLedger!$AC294,""))</x:f>
      </x:c>
      <x:c r="X294" s="52" t="str">
        <x:f>IF(CaseLedger!$A294="","",IFERROR(CaseLedger!$AD294,""))</x:f>
      </x:c>
      <x:c r="Y294" s="52" t="str">
        <x:f>IF(CaseLedger!$A294="","",IFERROR(CaseLedger!$AE294,""))</x:f>
      </x:c>
      <x:c r="Z294" s="52" t="str">
        <x:f>IF(CaseLedger!$A294="","",IFERROR(CaseLedger!$AF294,""))</x:f>
      </x:c>
      <x:c r="AA294" s="52" t="str">
        <x:f>IF(CaseLedger!$A294="","",IFERROR(CaseLedger!$AG294,""))</x:f>
      </x:c>
      <x:c r="AB294" s="52" t="str">
        <x:f>IF(CaseLedger!$A294="","",IFERROR(CaseLedger!$AH294,""))</x:f>
      </x:c>
      <x:c r="AC294"/>
    </x:row>
    <x:row r="295">
      <x:c r="A295" s="52" t="str">
        <x:f>IF(CaseLedger!$A295="","",IFERROR(CaseLedger!$A295,""))</x:f>
      </x:c>
      <x:c r="B295" s="52" t="str">
        <x:f>IF(CaseLedger!$A295="","",IFERROR(CaseLedger!$H295,""))</x:f>
      </x:c>
      <x:c r="C295" s="52" t="str">
        <x:f>IF(CaseLedger!$A295="","",IFERROR(CaseLedger!$I295,""))</x:f>
      </x:c>
      <x:c r="D295" s="52" t="str">
        <x:f>IF(CaseLedger!$A295="","",IFERROR(CaseLedger!$J295,""))</x:f>
      </x:c>
      <x:c r="E295" s="52" t="str">
        <x:f>IF(CaseLedger!$A295="","",IFERROR(CaseLedger!$K295,""))</x:f>
      </x:c>
      <x:c r="F295" s="52" t="str">
        <x:f>IF(CaseLedger!$A295="","",IFERROR(CaseLedger!$O295,""))</x:f>
      </x:c>
      <x:c r="G295" s="52" t="str">
        <x:f>IF(CaseLedger!$A295="","",IFERROR(CaseLedger!$E295,""))</x:f>
      </x:c>
      <x:c r="H295" s="52" t="str">
        <x:f>IF(CaseLedger!$A295="","",IFERROR(CaseLedger!$P295,""))</x:f>
      </x:c>
      <x:c r="I295" s="52" t="str">
        <x:f>IF(CaseLedger!$A295="","",IFERROR(CaseLedger!$Q295,""))</x:f>
      </x:c>
      <x:c r="J295" s="52" t="str">
        <x:f>IF(CaseLedger!$A295="","",IFERROR(CaseLedger!$R295,""))</x:f>
      </x:c>
      <x:c r="K295" s="52" t="str">
        <x:f>IF(CaseLedger!$A295="","",IFERROR(CaseLedger!$S295,""))</x:f>
      </x:c>
      <x:c r="L295" s="52" t="str">
        <x:f>IF(CaseLedger!$A295="","",IFERROR(CaseLedger!$T295,""))</x:f>
      </x:c>
      <x:c r="M295" s="52" t="str">
        <x:f>IF(CaseLedger!$A295="","",IFERROR(CaseLedger!$U295,""))</x:f>
      </x:c>
      <x:c r="N295" s="52" t="str">
        <x:f>IF(CaseLedger!$A295="","",IFERROR(CaseLedger!$V295,""))</x:f>
      </x:c>
      <x:c r="O295" s="52" t="str">
        <x:f>IF(CaseLedger!$A295="","",IFERROR(CaseLedger!$W295,""))</x:f>
      </x:c>
      <x:c r="P295" s="52" t="str">
        <x:f>IF(CaseLedger!$A295="","",IFERROR(CaseLedger!$C295,""))</x:f>
      </x:c>
      <x:c r="Q295" s="52" t="str">
        <x:f>IF(CaseLedger!$A295="","",IFERROR(CaseLedger!$D295,""))</x:f>
      </x:c>
      <x:c r="R295" s="52" t="str">
        <x:f>IF(CaseLedger!$A295="","",IFERROR(CaseLedger!$X295,""))</x:f>
      </x:c>
      <x:c r="S295" s="52" t="str">
        <x:f>IF(CaseLedger!$A295="","",IFERROR(CaseLedger!$Y295,""))</x:f>
      </x:c>
      <x:c r="T295" s="52" t="str">
        <x:f>IF(CaseLedger!$A295="","",IFERROR(CaseLedger!$Z295,""))</x:f>
      </x:c>
      <x:c r="U295" s="52" t="str">
        <x:f>IF(CaseLedger!$A295="","",IFERROR(CaseLedger!$AA295,""))</x:f>
      </x:c>
      <x:c r="V295" s="52" t="str">
        <x:f>IF(CaseLedger!$A295="","",IFERROR(CaseLedger!$AB295,""))</x:f>
      </x:c>
      <x:c r="W295" s="52" t="str">
        <x:f>IF(CaseLedger!$A295="","",IFERROR(CaseLedger!$AC295,""))</x:f>
      </x:c>
      <x:c r="X295" s="52" t="str">
        <x:f>IF(CaseLedger!$A295="","",IFERROR(CaseLedger!$AD295,""))</x:f>
      </x:c>
      <x:c r="Y295" s="52" t="str">
        <x:f>IF(CaseLedger!$A295="","",IFERROR(CaseLedger!$AE295,""))</x:f>
      </x:c>
      <x:c r="Z295" s="52" t="str">
        <x:f>IF(CaseLedger!$A295="","",IFERROR(CaseLedger!$AF295,""))</x:f>
      </x:c>
      <x:c r="AA295" s="52" t="str">
        <x:f>IF(CaseLedger!$A295="","",IFERROR(CaseLedger!$AG295,""))</x:f>
      </x:c>
      <x:c r="AB295" s="52" t="str">
        <x:f>IF(CaseLedger!$A295="","",IFERROR(CaseLedger!$AH295,""))</x:f>
      </x:c>
      <x:c r="AC295"/>
    </x:row>
    <x:row r="296">
      <x:c r="A296" s="52" t="str">
        <x:f>IF(CaseLedger!$A296="","",IFERROR(CaseLedger!$A296,""))</x:f>
      </x:c>
      <x:c r="B296" s="52" t="str">
        <x:f>IF(CaseLedger!$A296="","",IFERROR(CaseLedger!$H296,""))</x:f>
      </x:c>
      <x:c r="C296" s="52" t="str">
        <x:f>IF(CaseLedger!$A296="","",IFERROR(CaseLedger!$I296,""))</x:f>
      </x:c>
      <x:c r="D296" s="52" t="str">
        <x:f>IF(CaseLedger!$A296="","",IFERROR(CaseLedger!$J296,""))</x:f>
      </x:c>
      <x:c r="E296" s="52" t="str">
        <x:f>IF(CaseLedger!$A296="","",IFERROR(CaseLedger!$K296,""))</x:f>
      </x:c>
      <x:c r="F296" s="52" t="str">
        <x:f>IF(CaseLedger!$A296="","",IFERROR(CaseLedger!$O296,""))</x:f>
      </x:c>
      <x:c r="G296" s="52" t="str">
        <x:f>IF(CaseLedger!$A296="","",IFERROR(CaseLedger!$E296,""))</x:f>
      </x:c>
      <x:c r="H296" s="52" t="str">
        <x:f>IF(CaseLedger!$A296="","",IFERROR(CaseLedger!$P296,""))</x:f>
      </x:c>
      <x:c r="I296" s="52" t="str">
        <x:f>IF(CaseLedger!$A296="","",IFERROR(CaseLedger!$Q296,""))</x:f>
      </x:c>
      <x:c r="J296" s="52" t="str">
        <x:f>IF(CaseLedger!$A296="","",IFERROR(CaseLedger!$R296,""))</x:f>
      </x:c>
      <x:c r="K296" s="52" t="str">
        <x:f>IF(CaseLedger!$A296="","",IFERROR(CaseLedger!$S296,""))</x:f>
      </x:c>
      <x:c r="L296" s="52" t="str">
        <x:f>IF(CaseLedger!$A296="","",IFERROR(CaseLedger!$T296,""))</x:f>
      </x:c>
      <x:c r="M296" s="52" t="str">
        <x:f>IF(CaseLedger!$A296="","",IFERROR(CaseLedger!$U296,""))</x:f>
      </x:c>
      <x:c r="N296" s="52" t="str">
        <x:f>IF(CaseLedger!$A296="","",IFERROR(CaseLedger!$V296,""))</x:f>
      </x:c>
      <x:c r="O296" s="52" t="str">
        <x:f>IF(CaseLedger!$A296="","",IFERROR(CaseLedger!$W296,""))</x:f>
      </x:c>
      <x:c r="P296" s="52" t="str">
        <x:f>IF(CaseLedger!$A296="","",IFERROR(CaseLedger!$C296,""))</x:f>
      </x:c>
      <x:c r="Q296" s="52" t="str">
        <x:f>IF(CaseLedger!$A296="","",IFERROR(CaseLedger!$D296,""))</x:f>
      </x:c>
      <x:c r="R296" s="52" t="str">
        <x:f>IF(CaseLedger!$A296="","",IFERROR(CaseLedger!$X296,""))</x:f>
      </x:c>
      <x:c r="S296" s="52" t="str">
        <x:f>IF(CaseLedger!$A296="","",IFERROR(CaseLedger!$Y296,""))</x:f>
      </x:c>
      <x:c r="T296" s="52" t="str">
        <x:f>IF(CaseLedger!$A296="","",IFERROR(CaseLedger!$Z296,""))</x:f>
      </x:c>
      <x:c r="U296" s="52" t="str">
        <x:f>IF(CaseLedger!$A296="","",IFERROR(CaseLedger!$AA296,""))</x:f>
      </x:c>
      <x:c r="V296" s="52" t="str">
        <x:f>IF(CaseLedger!$A296="","",IFERROR(CaseLedger!$AB296,""))</x:f>
      </x:c>
      <x:c r="W296" s="52" t="str">
        <x:f>IF(CaseLedger!$A296="","",IFERROR(CaseLedger!$AC296,""))</x:f>
      </x:c>
      <x:c r="X296" s="52" t="str">
        <x:f>IF(CaseLedger!$A296="","",IFERROR(CaseLedger!$AD296,""))</x:f>
      </x:c>
      <x:c r="Y296" s="52" t="str">
        <x:f>IF(CaseLedger!$A296="","",IFERROR(CaseLedger!$AE296,""))</x:f>
      </x:c>
      <x:c r="Z296" s="52" t="str">
        <x:f>IF(CaseLedger!$A296="","",IFERROR(CaseLedger!$AF296,""))</x:f>
      </x:c>
      <x:c r="AA296" s="52" t="str">
        <x:f>IF(CaseLedger!$A296="","",IFERROR(CaseLedger!$AG296,""))</x:f>
      </x:c>
      <x:c r="AB296" s="52" t="str">
        <x:f>IF(CaseLedger!$A296="","",IFERROR(CaseLedger!$AH296,""))</x:f>
      </x:c>
      <x:c r="AC296"/>
    </x:row>
    <x:row r="297">
      <x:c r="A297" s="52" t="str">
        <x:f>IF(CaseLedger!$A297="","",IFERROR(CaseLedger!$A297,""))</x:f>
      </x:c>
      <x:c r="B297" s="52" t="str">
        <x:f>IF(CaseLedger!$A297="","",IFERROR(CaseLedger!$H297,""))</x:f>
      </x:c>
      <x:c r="C297" s="52" t="str">
        <x:f>IF(CaseLedger!$A297="","",IFERROR(CaseLedger!$I297,""))</x:f>
      </x:c>
      <x:c r="D297" s="52" t="str">
        <x:f>IF(CaseLedger!$A297="","",IFERROR(CaseLedger!$J297,""))</x:f>
      </x:c>
      <x:c r="E297" s="52" t="str">
        <x:f>IF(CaseLedger!$A297="","",IFERROR(CaseLedger!$K297,""))</x:f>
      </x:c>
      <x:c r="F297" s="52" t="str">
        <x:f>IF(CaseLedger!$A297="","",IFERROR(CaseLedger!$O297,""))</x:f>
      </x:c>
      <x:c r="G297" s="52" t="str">
        <x:f>IF(CaseLedger!$A297="","",IFERROR(CaseLedger!$E297,""))</x:f>
      </x:c>
      <x:c r="H297" s="52" t="str">
        <x:f>IF(CaseLedger!$A297="","",IFERROR(CaseLedger!$P297,""))</x:f>
      </x:c>
      <x:c r="I297" s="52" t="str">
        <x:f>IF(CaseLedger!$A297="","",IFERROR(CaseLedger!$Q297,""))</x:f>
      </x:c>
      <x:c r="J297" s="52" t="str">
        <x:f>IF(CaseLedger!$A297="","",IFERROR(CaseLedger!$R297,""))</x:f>
      </x:c>
      <x:c r="K297" s="52" t="str">
        <x:f>IF(CaseLedger!$A297="","",IFERROR(CaseLedger!$S297,""))</x:f>
      </x:c>
      <x:c r="L297" s="52" t="str">
        <x:f>IF(CaseLedger!$A297="","",IFERROR(CaseLedger!$T297,""))</x:f>
      </x:c>
      <x:c r="M297" s="52" t="str">
        <x:f>IF(CaseLedger!$A297="","",IFERROR(CaseLedger!$U297,""))</x:f>
      </x:c>
      <x:c r="N297" s="52" t="str">
        <x:f>IF(CaseLedger!$A297="","",IFERROR(CaseLedger!$V297,""))</x:f>
      </x:c>
      <x:c r="O297" s="52" t="str">
        <x:f>IF(CaseLedger!$A297="","",IFERROR(CaseLedger!$W297,""))</x:f>
      </x:c>
      <x:c r="P297" s="52" t="str">
        <x:f>IF(CaseLedger!$A297="","",IFERROR(CaseLedger!$C297,""))</x:f>
      </x:c>
      <x:c r="Q297" s="52" t="str">
        <x:f>IF(CaseLedger!$A297="","",IFERROR(CaseLedger!$D297,""))</x:f>
      </x:c>
      <x:c r="R297" s="52" t="str">
        <x:f>IF(CaseLedger!$A297="","",IFERROR(CaseLedger!$X297,""))</x:f>
      </x:c>
      <x:c r="S297" s="52" t="str">
        <x:f>IF(CaseLedger!$A297="","",IFERROR(CaseLedger!$Y297,""))</x:f>
      </x:c>
      <x:c r="T297" s="52" t="str">
        <x:f>IF(CaseLedger!$A297="","",IFERROR(CaseLedger!$Z297,""))</x:f>
      </x:c>
      <x:c r="U297" s="52" t="str">
        <x:f>IF(CaseLedger!$A297="","",IFERROR(CaseLedger!$AA297,""))</x:f>
      </x:c>
      <x:c r="V297" s="52" t="str">
        <x:f>IF(CaseLedger!$A297="","",IFERROR(CaseLedger!$AB297,""))</x:f>
      </x:c>
      <x:c r="W297" s="52" t="str">
        <x:f>IF(CaseLedger!$A297="","",IFERROR(CaseLedger!$AC297,""))</x:f>
      </x:c>
      <x:c r="X297" s="52" t="str">
        <x:f>IF(CaseLedger!$A297="","",IFERROR(CaseLedger!$AD297,""))</x:f>
      </x:c>
      <x:c r="Y297" s="52" t="str">
        <x:f>IF(CaseLedger!$A297="","",IFERROR(CaseLedger!$AE297,""))</x:f>
      </x:c>
      <x:c r="Z297" s="52" t="str">
        <x:f>IF(CaseLedger!$A297="","",IFERROR(CaseLedger!$AF297,""))</x:f>
      </x:c>
      <x:c r="AA297" s="52" t="str">
        <x:f>IF(CaseLedger!$A297="","",IFERROR(CaseLedger!$AG297,""))</x:f>
      </x:c>
      <x:c r="AB297" s="52" t="str">
        <x:f>IF(CaseLedger!$A297="","",IFERROR(CaseLedger!$AH297,""))</x:f>
      </x:c>
      <x:c r="AC297"/>
    </x:row>
    <x:row r="298">
      <x:c r="A298" s="52" t="str">
        <x:f>IF(CaseLedger!$A298="","",IFERROR(CaseLedger!$A298,""))</x:f>
      </x:c>
      <x:c r="B298" s="52" t="str">
        <x:f>IF(CaseLedger!$A298="","",IFERROR(CaseLedger!$H298,""))</x:f>
      </x:c>
      <x:c r="C298" s="52" t="str">
        <x:f>IF(CaseLedger!$A298="","",IFERROR(CaseLedger!$I298,""))</x:f>
      </x:c>
      <x:c r="D298" s="52" t="str">
        <x:f>IF(CaseLedger!$A298="","",IFERROR(CaseLedger!$J298,""))</x:f>
      </x:c>
      <x:c r="E298" s="52" t="str">
        <x:f>IF(CaseLedger!$A298="","",IFERROR(CaseLedger!$K298,""))</x:f>
      </x:c>
      <x:c r="F298" s="52" t="str">
        <x:f>IF(CaseLedger!$A298="","",IFERROR(CaseLedger!$O298,""))</x:f>
      </x:c>
      <x:c r="G298" s="52" t="str">
        <x:f>IF(CaseLedger!$A298="","",IFERROR(CaseLedger!$E298,""))</x:f>
      </x:c>
      <x:c r="H298" s="52" t="str">
        <x:f>IF(CaseLedger!$A298="","",IFERROR(CaseLedger!$P298,""))</x:f>
      </x:c>
      <x:c r="I298" s="52" t="str">
        <x:f>IF(CaseLedger!$A298="","",IFERROR(CaseLedger!$Q298,""))</x:f>
      </x:c>
      <x:c r="J298" s="52" t="str">
        <x:f>IF(CaseLedger!$A298="","",IFERROR(CaseLedger!$R298,""))</x:f>
      </x:c>
      <x:c r="K298" s="52" t="str">
        <x:f>IF(CaseLedger!$A298="","",IFERROR(CaseLedger!$S298,""))</x:f>
      </x:c>
      <x:c r="L298" s="52" t="str">
        <x:f>IF(CaseLedger!$A298="","",IFERROR(CaseLedger!$T298,""))</x:f>
      </x:c>
      <x:c r="M298" s="52" t="str">
        <x:f>IF(CaseLedger!$A298="","",IFERROR(CaseLedger!$U298,""))</x:f>
      </x:c>
      <x:c r="N298" s="52" t="str">
        <x:f>IF(CaseLedger!$A298="","",IFERROR(CaseLedger!$V298,""))</x:f>
      </x:c>
      <x:c r="O298" s="52" t="str">
        <x:f>IF(CaseLedger!$A298="","",IFERROR(CaseLedger!$W298,""))</x:f>
      </x:c>
      <x:c r="P298" s="52" t="str">
        <x:f>IF(CaseLedger!$A298="","",IFERROR(CaseLedger!$C298,""))</x:f>
      </x:c>
      <x:c r="Q298" s="52" t="str">
        <x:f>IF(CaseLedger!$A298="","",IFERROR(CaseLedger!$D298,""))</x:f>
      </x:c>
      <x:c r="R298" s="52" t="str">
        <x:f>IF(CaseLedger!$A298="","",IFERROR(CaseLedger!$X298,""))</x:f>
      </x:c>
      <x:c r="S298" s="52" t="str">
        <x:f>IF(CaseLedger!$A298="","",IFERROR(CaseLedger!$Y298,""))</x:f>
      </x:c>
      <x:c r="T298" s="52" t="str">
        <x:f>IF(CaseLedger!$A298="","",IFERROR(CaseLedger!$Z298,""))</x:f>
      </x:c>
      <x:c r="U298" s="52" t="str">
        <x:f>IF(CaseLedger!$A298="","",IFERROR(CaseLedger!$AA298,""))</x:f>
      </x:c>
      <x:c r="V298" s="52" t="str">
        <x:f>IF(CaseLedger!$A298="","",IFERROR(CaseLedger!$AB298,""))</x:f>
      </x:c>
      <x:c r="W298" s="52" t="str">
        <x:f>IF(CaseLedger!$A298="","",IFERROR(CaseLedger!$AC298,""))</x:f>
      </x:c>
      <x:c r="X298" s="52" t="str">
        <x:f>IF(CaseLedger!$A298="","",IFERROR(CaseLedger!$AD298,""))</x:f>
      </x:c>
      <x:c r="Y298" s="52" t="str">
        <x:f>IF(CaseLedger!$A298="","",IFERROR(CaseLedger!$AE298,""))</x:f>
      </x:c>
      <x:c r="Z298" s="52" t="str">
        <x:f>IF(CaseLedger!$A298="","",IFERROR(CaseLedger!$AF298,""))</x:f>
      </x:c>
      <x:c r="AA298" s="52" t="str">
        <x:f>IF(CaseLedger!$A298="","",IFERROR(CaseLedger!$AG298,""))</x:f>
      </x:c>
      <x:c r="AB298" s="52" t="str">
        <x:f>IF(CaseLedger!$A298="","",IFERROR(CaseLedger!$AH298,""))</x:f>
      </x:c>
      <x:c r="AC298"/>
    </x:row>
    <x:row r="299">
      <x:c r="A299" s="52" t="str">
        <x:f>IF(CaseLedger!$A299="","",IFERROR(CaseLedger!$A299,""))</x:f>
      </x:c>
      <x:c r="B299" s="52" t="str">
        <x:f>IF(CaseLedger!$A299="","",IFERROR(CaseLedger!$H299,""))</x:f>
      </x:c>
      <x:c r="C299" s="52" t="str">
        <x:f>IF(CaseLedger!$A299="","",IFERROR(CaseLedger!$I299,""))</x:f>
      </x:c>
      <x:c r="D299" s="52" t="str">
        <x:f>IF(CaseLedger!$A299="","",IFERROR(CaseLedger!$J299,""))</x:f>
      </x:c>
      <x:c r="E299" s="52" t="str">
        <x:f>IF(CaseLedger!$A299="","",IFERROR(CaseLedger!$K299,""))</x:f>
      </x:c>
      <x:c r="F299" s="52" t="str">
        <x:f>IF(CaseLedger!$A299="","",IFERROR(CaseLedger!$O299,""))</x:f>
      </x:c>
      <x:c r="G299" s="52" t="str">
        <x:f>IF(CaseLedger!$A299="","",IFERROR(CaseLedger!$E299,""))</x:f>
      </x:c>
      <x:c r="H299" s="52" t="str">
        <x:f>IF(CaseLedger!$A299="","",IFERROR(CaseLedger!$P299,""))</x:f>
      </x:c>
      <x:c r="I299" s="52" t="str">
        <x:f>IF(CaseLedger!$A299="","",IFERROR(CaseLedger!$Q299,""))</x:f>
      </x:c>
      <x:c r="J299" s="52" t="str">
        <x:f>IF(CaseLedger!$A299="","",IFERROR(CaseLedger!$R299,""))</x:f>
      </x:c>
      <x:c r="K299" s="52" t="str">
        <x:f>IF(CaseLedger!$A299="","",IFERROR(CaseLedger!$S299,""))</x:f>
      </x:c>
      <x:c r="L299" s="52" t="str">
        <x:f>IF(CaseLedger!$A299="","",IFERROR(CaseLedger!$T299,""))</x:f>
      </x:c>
      <x:c r="M299" s="52" t="str">
        <x:f>IF(CaseLedger!$A299="","",IFERROR(CaseLedger!$U299,""))</x:f>
      </x:c>
      <x:c r="N299" s="52" t="str">
        <x:f>IF(CaseLedger!$A299="","",IFERROR(CaseLedger!$V299,""))</x:f>
      </x:c>
      <x:c r="O299" s="52" t="str">
        <x:f>IF(CaseLedger!$A299="","",IFERROR(CaseLedger!$W299,""))</x:f>
      </x:c>
      <x:c r="P299" s="52" t="str">
        <x:f>IF(CaseLedger!$A299="","",IFERROR(CaseLedger!$C299,""))</x:f>
      </x:c>
      <x:c r="Q299" s="52" t="str">
        <x:f>IF(CaseLedger!$A299="","",IFERROR(CaseLedger!$D299,""))</x:f>
      </x:c>
      <x:c r="R299" s="52" t="str">
        <x:f>IF(CaseLedger!$A299="","",IFERROR(CaseLedger!$X299,""))</x:f>
      </x:c>
      <x:c r="S299" s="52" t="str">
        <x:f>IF(CaseLedger!$A299="","",IFERROR(CaseLedger!$Y299,""))</x:f>
      </x:c>
      <x:c r="T299" s="52" t="str">
        <x:f>IF(CaseLedger!$A299="","",IFERROR(CaseLedger!$Z299,""))</x:f>
      </x:c>
      <x:c r="U299" s="52" t="str">
        <x:f>IF(CaseLedger!$A299="","",IFERROR(CaseLedger!$AA299,""))</x:f>
      </x:c>
      <x:c r="V299" s="52" t="str">
        <x:f>IF(CaseLedger!$A299="","",IFERROR(CaseLedger!$AB299,""))</x:f>
      </x:c>
      <x:c r="W299" s="52" t="str">
        <x:f>IF(CaseLedger!$A299="","",IFERROR(CaseLedger!$AC299,""))</x:f>
      </x:c>
      <x:c r="X299" s="52" t="str">
        <x:f>IF(CaseLedger!$A299="","",IFERROR(CaseLedger!$AD299,""))</x:f>
      </x:c>
      <x:c r="Y299" s="52" t="str">
        <x:f>IF(CaseLedger!$A299="","",IFERROR(CaseLedger!$AE299,""))</x:f>
      </x:c>
      <x:c r="Z299" s="52" t="str">
        <x:f>IF(CaseLedger!$A299="","",IFERROR(CaseLedger!$AF299,""))</x:f>
      </x:c>
      <x:c r="AA299" s="52" t="str">
        <x:f>IF(CaseLedger!$A299="","",IFERROR(CaseLedger!$AG299,""))</x:f>
      </x:c>
      <x:c r="AB299" s="52" t="str">
        <x:f>IF(CaseLedger!$A299="","",IFERROR(CaseLedger!$AH299,""))</x:f>
      </x:c>
      <x:c r="AC299"/>
    </x:row>
    <x:row r="300">
      <x:c r="A300" s="52" t="str">
        <x:f>IF(CaseLedger!$A300="","",IFERROR(CaseLedger!$A300,""))</x:f>
      </x:c>
      <x:c r="B300" s="52" t="str">
        <x:f>IF(CaseLedger!$A300="","",IFERROR(CaseLedger!$H300,""))</x:f>
      </x:c>
      <x:c r="C300" s="52" t="str">
        <x:f>IF(CaseLedger!$A300="","",IFERROR(CaseLedger!$I300,""))</x:f>
      </x:c>
      <x:c r="D300" s="52" t="str">
        <x:f>IF(CaseLedger!$A300="","",IFERROR(CaseLedger!$J300,""))</x:f>
      </x:c>
      <x:c r="E300" s="52" t="str">
        <x:f>IF(CaseLedger!$A300="","",IFERROR(CaseLedger!$K300,""))</x:f>
      </x:c>
      <x:c r="F300" s="52" t="str">
        <x:f>IF(CaseLedger!$A300="","",IFERROR(CaseLedger!$O300,""))</x:f>
      </x:c>
      <x:c r="G300" s="52" t="str">
        <x:f>IF(CaseLedger!$A300="","",IFERROR(CaseLedger!$E300,""))</x:f>
      </x:c>
      <x:c r="H300" s="52" t="str">
        <x:f>IF(CaseLedger!$A300="","",IFERROR(CaseLedger!$P300,""))</x:f>
      </x:c>
      <x:c r="I300" s="52" t="str">
        <x:f>IF(CaseLedger!$A300="","",IFERROR(CaseLedger!$Q300,""))</x:f>
      </x:c>
      <x:c r="J300" s="52" t="str">
        <x:f>IF(CaseLedger!$A300="","",IFERROR(CaseLedger!$R300,""))</x:f>
      </x:c>
      <x:c r="K300" s="52" t="str">
        <x:f>IF(CaseLedger!$A300="","",IFERROR(CaseLedger!$S300,""))</x:f>
      </x:c>
      <x:c r="L300" s="52" t="str">
        <x:f>IF(CaseLedger!$A300="","",IFERROR(CaseLedger!$T300,""))</x:f>
      </x:c>
      <x:c r="M300" s="52" t="str">
        <x:f>IF(CaseLedger!$A300="","",IFERROR(CaseLedger!$U300,""))</x:f>
      </x:c>
      <x:c r="N300" s="52" t="str">
        <x:f>IF(CaseLedger!$A300="","",IFERROR(CaseLedger!$V300,""))</x:f>
      </x:c>
      <x:c r="O300" s="52" t="str">
        <x:f>IF(CaseLedger!$A300="","",IFERROR(CaseLedger!$W300,""))</x:f>
      </x:c>
      <x:c r="P300" s="52" t="str">
        <x:f>IF(CaseLedger!$A300="","",IFERROR(CaseLedger!$C300,""))</x:f>
      </x:c>
      <x:c r="Q300" s="52" t="str">
        <x:f>IF(CaseLedger!$A300="","",IFERROR(CaseLedger!$D300,""))</x:f>
      </x:c>
      <x:c r="R300" s="52" t="str">
        <x:f>IF(CaseLedger!$A300="","",IFERROR(CaseLedger!$X300,""))</x:f>
      </x:c>
      <x:c r="S300" s="52" t="str">
        <x:f>IF(CaseLedger!$A300="","",IFERROR(CaseLedger!$Y300,""))</x:f>
      </x:c>
      <x:c r="T300" s="52" t="str">
        <x:f>IF(CaseLedger!$A300="","",IFERROR(CaseLedger!$Z300,""))</x:f>
      </x:c>
      <x:c r="U300" s="52" t="str">
        <x:f>IF(CaseLedger!$A300="","",IFERROR(CaseLedger!$AA300,""))</x:f>
      </x:c>
      <x:c r="V300" s="52" t="str">
        <x:f>IF(CaseLedger!$A300="","",IFERROR(CaseLedger!$AB300,""))</x:f>
      </x:c>
      <x:c r="W300" s="52" t="str">
        <x:f>IF(CaseLedger!$A300="","",IFERROR(CaseLedger!$AC300,""))</x:f>
      </x:c>
      <x:c r="X300" s="52" t="str">
        <x:f>IF(CaseLedger!$A300="","",IFERROR(CaseLedger!$AD300,""))</x:f>
      </x:c>
      <x:c r="Y300" s="52" t="str">
        <x:f>IF(CaseLedger!$A300="","",IFERROR(CaseLedger!$AE300,""))</x:f>
      </x:c>
      <x:c r="Z300" s="52" t="str">
        <x:f>IF(CaseLedger!$A300="","",IFERROR(CaseLedger!$AF300,""))</x:f>
      </x:c>
      <x:c r="AA300" s="52" t="str">
        <x:f>IF(CaseLedger!$A300="","",IFERROR(CaseLedger!$AG300,""))</x:f>
      </x:c>
      <x:c r="AB300" s="52" t="str">
        <x:f>IF(CaseLedger!$A300="","",IFERROR(CaseLedger!$AH300,""))</x:f>
      </x:c>
      <x:c r="AC300"/>
    </x:row>
    <x:row r="301">
      <x:c r="A301" s="52" t="str">
        <x:f>IF(CaseLedger!$A301="","",IFERROR(CaseLedger!$A301,""))</x:f>
      </x:c>
      <x:c r="B301" s="52" t="str">
        <x:f>IF(CaseLedger!$A301="","",IFERROR(CaseLedger!$H301,""))</x:f>
      </x:c>
      <x:c r="C301" s="52" t="str">
        <x:f>IF(CaseLedger!$A301="","",IFERROR(CaseLedger!$I301,""))</x:f>
      </x:c>
      <x:c r="D301" s="52" t="str">
        <x:f>IF(CaseLedger!$A301="","",IFERROR(CaseLedger!$J301,""))</x:f>
      </x:c>
      <x:c r="E301" s="52" t="str">
        <x:f>IF(CaseLedger!$A301="","",IFERROR(CaseLedger!$K301,""))</x:f>
      </x:c>
      <x:c r="F301" s="52" t="str">
        <x:f>IF(CaseLedger!$A301="","",IFERROR(CaseLedger!$O301,""))</x:f>
      </x:c>
      <x:c r="G301" s="52" t="str">
        <x:f>IF(CaseLedger!$A301="","",IFERROR(CaseLedger!$E301,""))</x:f>
      </x:c>
      <x:c r="H301" s="52" t="str">
        <x:f>IF(CaseLedger!$A301="","",IFERROR(CaseLedger!$P301,""))</x:f>
      </x:c>
      <x:c r="I301" s="52" t="str">
        <x:f>IF(CaseLedger!$A301="","",IFERROR(CaseLedger!$Q301,""))</x:f>
      </x:c>
      <x:c r="J301" s="52" t="str">
        <x:f>IF(CaseLedger!$A301="","",IFERROR(CaseLedger!$R301,""))</x:f>
      </x:c>
      <x:c r="K301" s="52" t="str">
        <x:f>IF(CaseLedger!$A301="","",IFERROR(CaseLedger!$S301,""))</x:f>
      </x:c>
      <x:c r="L301" s="52" t="str">
        <x:f>IF(CaseLedger!$A301="","",IFERROR(CaseLedger!$T301,""))</x:f>
      </x:c>
      <x:c r="M301" s="52" t="str">
        <x:f>IF(CaseLedger!$A301="","",IFERROR(CaseLedger!$U301,""))</x:f>
      </x:c>
      <x:c r="N301" s="52" t="str">
        <x:f>IF(CaseLedger!$A301="","",IFERROR(CaseLedger!$V301,""))</x:f>
      </x:c>
      <x:c r="O301" s="52" t="str">
        <x:f>IF(CaseLedger!$A301="","",IFERROR(CaseLedger!$W301,""))</x:f>
      </x:c>
      <x:c r="P301" s="52" t="str">
        <x:f>IF(CaseLedger!$A301="","",IFERROR(CaseLedger!$C301,""))</x:f>
      </x:c>
      <x:c r="Q301" s="52" t="str">
        <x:f>IF(CaseLedger!$A301="","",IFERROR(CaseLedger!$D301,""))</x:f>
      </x:c>
      <x:c r="R301" s="52" t="str">
        <x:f>IF(CaseLedger!$A301="","",IFERROR(CaseLedger!$X301,""))</x:f>
      </x:c>
      <x:c r="S301" s="52" t="str">
        <x:f>IF(CaseLedger!$A301="","",IFERROR(CaseLedger!$Y301,""))</x:f>
      </x:c>
      <x:c r="T301" s="52" t="str">
        <x:f>IF(CaseLedger!$A301="","",IFERROR(CaseLedger!$Z301,""))</x:f>
      </x:c>
      <x:c r="U301" s="52" t="str">
        <x:f>IF(CaseLedger!$A301="","",IFERROR(CaseLedger!$AA301,""))</x:f>
      </x:c>
      <x:c r="V301" s="52" t="str">
        <x:f>IF(CaseLedger!$A301="","",IFERROR(CaseLedger!$AB301,""))</x:f>
      </x:c>
      <x:c r="W301" s="52" t="str">
        <x:f>IF(CaseLedger!$A301="","",IFERROR(CaseLedger!$AC301,""))</x:f>
      </x:c>
      <x:c r="X301" s="52" t="str">
        <x:f>IF(CaseLedger!$A301="","",IFERROR(CaseLedger!$AD301,""))</x:f>
      </x:c>
      <x:c r="Y301" s="52" t="str">
        <x:f>IF(CaseLedger!$A301="","",IFERROR(CaseLedger!$AE301,""))</x:f>
      </x:c>
      <x:c r="Z301" s="52" t="str">
        <x:f>IF(CaseLedger!$A301="","",IFERROR(CaseLedger!$AF301,""))</x:f>
      </x:c>
      <x:c r="AA301" s="52" t="str">
        <x:f>IF(CaseLedger!$A301="","",IFERROR(CaseLedger!$AG301,""))</x:f>
      </x:c>
      <x:c r="AB301" s="52" t="str">
        <x:f>IF(CaseLedger!$A301="","",IFERROR(CaseLedger!$AH301,""))</x:f>
      </x:c>
      <x:c r="AC301"/>
    </x:row>
    <x:row r="302">
      <x:c r="A302" s="52" t="str">
        <x:f>IF(CaseLedger!$A302="","",IFERROR(CaseLedger!$A302,""))</x:f>
      </x:c>
      <x:c r="B302" s="52" t="str">
        <x:f>IF(CaseLedger!$A302="","",IFERROR(CaseLedger!$H302,""))</x:f>
      </x:c>
      <x:c r="C302" s="52" t="str">
        <x:f>IF(CaseLedger!$A302="","",IFERROR(CaseLedger!$I302,""))</x:f>
      </x:c>
      <x:c r="D302" s="52" t="str">
        <x:f>IF(CaseLedger!$A302="","",IFERROR(CaseLedger!$J302,""))</x:f>
      </x:c>
      <x:c r="E302" s="52" t="str">
        <x:f>IF(CaseLedger!$A302="","",IFERROR(CaseLedger!$K302,""))</x:f>
      </x:c>
      <x:c r="F302" s="52" t="str">
        <x:f>IF(CaseLedger!$A302="","",IFERROR(CaseLedger!$O302,""))</x:f>
      </x:c>
      <x:c r="G302" s="52" t="str">
        <x:f>IF(CaseLedger!$A302="","",IFERROR(CaseLedger!$E302,""))</x:f>
      </x:c>
      <x:c r="H302" s="52" t="str">
        <x:f>IF(CaseLedger!$A302="","",IFERROR(CaseLedger!$P302,""))</x:f>
      </x:c>
      <x:c r="I302" s="52" t="str">
        <x:f>IF(CaseLedger!$A302="","",IFERROR(CaseLedger!$Q302,""))</x:f>
      </x:c>
      <x:c r="J302" s="52" t="str">
        <x:f>IF(CaseLedger!$A302="","",IFERROR(CaseLedger!$R302,""))</x:f>
      </x:c>
      <x:c r="K302" s="52" t="str">
        <x:f>IF(CaseLedger!$A302="","",IFERROR(CaseLedger!$S302,""))</x:f>
      </x:c>
      <x:c r="L302" s="52" t="str">
        <x:f>IF(CaseLedger!$A302="","",IFERROR(CaseLedger!$T302,""))</x:f>
      </x:c>
      <x:c r="M302" s="52" t="str">
        <x:f>IF(CaseLedger!$A302="","",IFERROR(CaseLedger!$U302,""))</x:f>
      </x:c>
      <x:c r="N302" s="52" t="str">
        <x:f>IF(CaseLedger!$A302="","",IFERROR(CaseLedger!$V302,""))</x:f>
      </x:c>
      <x:c r="O302" s="52" t="str">
        <x:f>IF(CaseLedger!$A302="","",IFERROR(CaseLedger!$W302,""))</x:f>
      </x:c>
      <x:c r="P302" s="52" t="str">
        <x:f>IF(CaseLedger!$A302="","",IFERROR(CaseLedger!$C302,""))</x:f>
      </x:c>
      <x:c r="Q302" s="52" t="str">
        <x:f>IF(CaseLedger!$A302="","",IFERROR(CaseLedger!$D302,""))</x:f>
      </x:c>
      <x:c r="R302" s="52" t="str">
        <x:f>IF(CaseLedger!$A302="","",IFERROR(CaseLedger!$X302,""))</x:f>
      </x:c>
      <x:c r="S302" s="52" t="str">
        <x:f>IF(CaseLedger!$A302="","",IFERROR(CaseLedger!$Y302,""))</x:f>
      </x:c>
      <x:c r="T302" s="52" t="str">
        <x:f>IF(CaseLedger!$A302="","",IFERROR(CaseLedger!$Z302,""))</x:f>
      </x:c>
      <x:c r="U302" s="52" t="str">
        <x:f>IF(CaseLedger!$A302="","",IFERROR(CaseLedger!$AA302,""))</x:f>
      </x:c>
      <x:c r="V302" s="52" t="str">
        <x:f>IF(CaseLedger!$A302="","",IFERROR(CaseLedger!$AB302,""))</x:f>
      </x:c>
      <x:c r="W302" s="52" t="str">
        <x:f>IF(CaseLedger!$A302="","",IFERROR(CaseLedger!$AC302,""))</x:f>
      </x:c>
      <x:c r="X302" s="52" t="str">
        <x:f>IF(CaseLedger!$A302="","",IFERROR(CaseLedger!$AD302,""))</x:f>
      </x:c>
      <x:c r="Y302" s="52" t="str">
        <x:f>IF(CaseLedger!$A302="","",IFERROR(CaseLedger!$AE302,""))</x:f>
      </x:c>
      <x:c r="Z302" s="52" t="str">
        <x:f>IF(CaseLedger!$A302="","",IFERROR(CaseLedger!$AF302,""))</x:f>
      </x:c>
      <x:c r="AA302" s="52" t="str">
        <x:f>IF(CaseLedger!$A302="","",IFERROR(CaseLedger!$AG302,""))</x:f>
      </x:c>
      <x:c r="AB302" s="52" t="str">
        <x:f>IF(CaseLedger!$A302="","",IFERROR(CaseLedger!$AH302,""))</x:f>
      </x:c>
      <x:c r="AC302"/>
    </x:row>
    <x:row r="303">
      <x:c r="A303" s="52" t="str">
        <x:f>IF(CaseLedger!$A303="","",IFERROR(CaseLedger!$A303,""))</x:f>
      </x:c>
      <x:c r="B303" s="52" t="str">
        <x:f>IF(CaseLedger!$A303="","",IFERROR(CaseLedger!$H303,""))</x:f>
      </x:c>
      <x:c r="C303" s="52" t="str">
        <x:f>IF(CaseLedger!$A303="","",IFERROR(CaseLedger!$I303,""))</x:f>
      </x:c>
      <x:c r="D303" s="52" t="str">
        <x:f>IF(CaseLedger!$A303="","",IFERROR(CaseLedger!$J303,""))</x:f>
      </x:c>
      <x:c r="E303" s="52" t="str">
        <x:f>IF(CaseLedger!$A303="","",IFERROR(CaseLedger!$K303,""))</x:f>
      </x:c>
      <x:c r="F303" s="52" t="str">
        <x:f>IF(CaseLedger!$A303="","",IFERROR(CaseLedger!$O303,""))</x:f>
      </x:c>
      <x:c r="G303" s="52" t="str">
        <x:f>IF(CaseLedger!$A303="","",IFERROR(CaseLedger!$E303,""))</x:f>
      </x:c>
      <x:c r="H303" s="52" t="str">
        <x:f>IF(CaseLedger!$A303="","",IFERROR(CaseLedger!$P303,""))</x:f>
      </x:c>
      <x:c r="I303" s="52" t="str">
        <x:f>IF(CaseLedger!$A303="","",IFERROR(CaseLedger!$Q303,""))</x:f>
      </x:c>
      <x:c r="J303" s="52" t="str">
        <x:f>IF(CaseLedger!$A303="","",IFERROR(CaseLedger!$R303,""))</x:f>
      </x:c>
      <x:c r="K303" s="52" t="str">
        <x:f>IF(CaseLedger!$A303="","",IFERROR(CaseLedger!$S303,""))</x:f>
      </x:c>
      <x:c r="L303" s="52" t="str">
        <x:f>IF(CaseLedger!$A303="","",IFERROR(CaseLedger!$T303,""))</x:f>
      </x:c>
      <x:c r="M303" s="52" t="str">
        <x:f>IF(CaseLedger!$A303="","",IFERROR(CaseLedger!$U303,""))</x:f>
      </x:c>
      <x:c r="N303" s="52" t="str">
        <x:f>IF(CaseLedger!$A303="","",IFERROR(CaseLedger!$V303,""))</x:f>
      </x:c>
      <x:c r="O303" s="52" t="str">
        <x:f>IF(CaseLedger!$A303="","",IFERROR(CaseLedger!$W303,""))</x:f>
      </x:c>
      <x:c r="P303" s="52" t="str">
        <x:f>IF(CaseLedger!$A303="","",IFERROR(CaseLedger!$C303,""))</x:f>
      </x:c>
      <x:c r="Q303" s="52" t="str">
        <x:f>IF(CaseLedger!$A303="","",IFERROR(CaseLedger!$D303,""))</x:f>
      </x:c>
      <x:c r="R303" s="52" t="str">
        <x:f>IF(CaseLedger!$A303="","",IFERROR(CaseLedger!$X303,""))</x:f>
      </x:c>
      <x:c r="S303" s="52" t="str">
        <x:f>IF(CaseLedger!$A303="","",IFERROR(CaseLedger!$Y303,""))</x:f>
      </x:c>
      <x:c r="T303" s="52" t="str">
        <x:f>IF(CaseLedger!$A303="","",IFERROR(CaseLedger!$Z303,""))</x:f>
      </x:c>
      <x:c r="U303" s="52" t="str">
        <x:f>IF(CaseLedger!$A303="","",IFERROR(CaseLedger!$AA303,""))</x:f>
      </x:c>
      <x:c r="V303" s="52" t="str">
        <x:f>IF(CaseLedger!$A303="","",IFERROR(CaseLedger!$AB303,""))</x:f>
      </x:c>
      <x:c r="W303" s="52" t="str">
        <x:f>IF(CaseLedger!$A303="","",IFERROR(CaseLedger!$AC303,""))</x:f>
      </x:c>
      <x:c r="X303" s="52" t="str">
        <x:f>IF(CaseLedger!$A303="","",IFERROR(CaseLedger!$AD303,""))</x:f>
      </x:c>
      <x:c r="Y303" s="52" t="str">
        <x:f>IF(CaseLedger!$A303="","",IFERROR(CaseLedger!$AE303,""))</x:f>
      </x:c>
      <x:c r="Z303" s="52" t="str">
        <x:f>IF(CaseLedger!$A303="","",IFERROR(CaseLedger!$AF303,""))</x:f>
      </x:c>
      <x:c r="AA303" s="52" t="str">
        <x:f>IF(CaseLedger!$A303="","",IFERROR(CaseLedger!$AG303,""))</x:f>
      </x:c>
      <x:c r="AB303" s="52" t="str">
        <x:f>IF(CaseLedger!$A303="","",IFERROR(CaseLedger!$AH303,""))</x:f>
      </x:c>
      <x:c r="AC303"/>
    </x:row>
    <x:row r="304">
      <x:c r="A304" s="52" t="str">
        <x:f>IF(CaseLedger!$A304="","",IFERROR(CaseLedger!$A304,""))</x:f>
      </x:c>
      <x:c r="B304" s="52" t="str">
        <x:f>IF(CaseLedger!$A304="","",IFERROR(CaseLedger!$H304,""))</x:f>
      </x:c>
      <x:c r="C304" s="52" t="str">
        <x:f>IF(CaseLedger!$A304="","",IFERROR(CaseLedger!$I304,""))</x:f>
      </x:c>
      <x:c r="D304" s="52" t="str">
        <x:f>IF(CaseLedger!$A304="","",IFERROR(CaseLedger!$J304,""))</x:f>
      </x:c>
      <x:c r="E304" s="52" t="str">
        <x:f>IF(CaseLedger!$A304="","",IFERROR(CaseLedger!$K304,""))</x:f>
      </x:c>
      <x:c r="F304" s="52" t="str">
        <x:f>IF(CaseLedger!$A304="","",IFERROR(CaseLedger!$O304,""))</x:f>
      </x:c>
      <x:c r="G304" s="52" t="str">
        <x:f>IF(CaseLedger!$A304="","",IFERROR(CaseLedger!$E304,""))</x:f>
      </x:c>
      <x:c r="H304" s="52" t="str">
        <x:f>IF(CaseLedger!$A304="","",IFERROR(CaseLedger!$P304,""))</x:f>
      </x:c>
      <x:c r="I304" s="52" t="str">
        <x:f>IF(CaseLedger!$A304="","",IFERROR(CaseLedger!$Q304,""))</x:f>
      </x:c>
      <x:c r="J304" s="52" t="str">
        <x:f>IF(CaseLedger!$A304="","",IFERROR(CaseLedger!$R304,""))</x:f>
      </x:c>
      <x:c r="K304" s="52" t="str">
        <x:f>IF(CaseLedger!$A304="","",IFERROR(CaseLedger!$S304,""))</x:f>
      </x:c>
      <x:c r="L304" s="52" t="str">
        <x:f>IF(CaseLedger!$A304="","",IFERROR(CaseLedger!$T304,""))</x:f>
      </x:c>
      <x:c r="M304" s="52" t="str">
        <x:f>IF(CaseLedger!$A304="","",IFERROR(CaseLedger!$U304,""))</x:f>
      </x:c>
      <x:c r="N304" s="52" t="str">
        <x:f>IF(CaseLedger!$A304="","",IFERROR(CaseLedger!$V304,""))</x:f>
      </x:c>
      <x:c r="O304" s="52" t="str">
        <x:f>IF(CaseLedger!$A304="","",IFERROR(CaseLedger!$W304,""))</x:f>
      </x:c>
      <x:c r="P304" s="52" t="str">
        <x:f>IF(CaseLedger!$A304="","",IFERROR(CaseLedger!$C304,""))</x:f>
      </x:c>
      <x:c r="Q304" s="52" t="str">
        <x:f>IF(CaseLedger!$A304="","",IFERROR(CaseLedger!$D304,""))</x:f>
      </x:c>
      <x:c r="R304" s="52" t="str">
        <x:f>IF(CaseLedger!$A304="","",IFERROR(CaseLedger!$X304,""))</x:f>
      </x:c>
      <x:c r="S304" s="52" t="str">
        <x:f>IF(CaseLedger!$A304="","",IFERROR(CaseLedger!$Y304,""))</x:f>
      </x:c>
      <x:c r="T304" s="52" t="str">
        <x:f>IF(CaseLedger!$A304="","",IFERROR(CaseLedger!$Z304,""))</x:f>
      </x:c>
      <x:c r="U304" s="52" t="str">
        <x:f>IF(CaseLedger!$A304="","",IFERROR(CaseLedger!$AA304,""))</x:f>
      </x:c>
      <x:c r="V304" s="52" t="str">
        <x:f>IF(CaseLedger!$A304="","",IFERROR(CaseLedger!$AB304,""))</x:f>
      </x:c>
      <x:c r="W304" s="52" t="str">
        <x:f>IF(CaseLedger!$A304="","",IFERROR(CaseLedger!$AC304,""))</x:f>
      </x:c>
      <x:c r="X304" s="52" t="str">
        <x:f>IF(CaseLedger!$A304="","",IFERROR(CaseLedger!$AD304,""))</x:f>
      </x:c>
      <x:c r="Y304" s="52" t="str">
        <x:f>IF(CaseLedger!$A304="","",IFERROR(CaseLedger!$AE304,""))</x:f>
      </x:c>
      <x:c r="Z304" s="52" t="str">
        <x:f>IF(CaseLedger!$A304="","",IFERROR(CaseLedger!$AF304,""))</x:f>
      </x:c>
      <x:c r="AA304" s="52" t="str">
        <x:f>IF(CaseLedger!$A304="","",IFERROR(CaseLedger!$AG304,""))</x:f>
      </x:c>
      <x:c r="AB304" s="52" t="str">
        <x:f>IF(CaseLedger!$A304="","",IFERROR(CaseLedger!$AH304,""))</x:f>
      </x:c>
      <x:c r="AC304"/>
    </x:row>
    <x:row r="305">
      <x:c r="A305" s="52" t="str">
        <x:f>IF(CaseLedger!$A305="","",IFERROR(CaseLedger!$A305,""))</x:f>
      </x:c>
      <x:c r="B305" s="52" t="str">
        <x:f>IF(CaseLedger!$A305="","",IFERROR(CaseLedger!$H305,""))</x:f>
      </x:c>
      <x:c r="C305" s="52" t="str">
        <x:f>IF(CaseLedger!$A305="","",IFERROR(CaseLedger!$I305,""))</x:f>
      </x:c>
      <x:c r="D305" s="52" t="str">
        <x:f>IF(CaseLedger!$A305="","",IFERROR(CaseLedger!$J305,""))</x:f>
      </x:c>
      <x:c r="E305" s="52" t="str">
        <x:f>IF(CaseLedger!$A305="","",IFERROR(CaseLedger!$K305,""))</x:f>
      </x:c>
      <x:c r="F305" s="52" t="str">
        <x:f>IF(CaseLedger!$A305="","",IFERROR(CaseLedger!$O305,""))</x:f>
      </x:c>
      <x:c r="G305" s="52" t="str">
        <x:f>IF(CaseLedger!$A305="","",IFERROR(CaseLedger!$E305,""))</x:f>
      </x:c>
      <x:c r="H305" s="52" t="str">
        <x:f>IF(CaseLedger!$A305="","",IFERROR(CaseLedger!$P305,""))</x:f>
      </x:c>
      <x:c r="I305" s="52" t="str">
        <x:f>IF(CaseLedger!$A305="","",IFERROR(CaseLedger!$Q305,""))</x:f>
      </x:c>
      <x:c r="J305" s="52" t="str">
        <x:f>IF(CaseLedger!$A305="","",IFERROR(CaseLedger!$R305,""))</x:f>
      </x:c>
      <x:c r="K305" s="52" t="str">
        <x:f>IF(CaseLedger!$A305="","",IFERROR(CaseLedger!$S305,""))</x:f>
      </x:c>
      <x:c r="L305" s="52" t="str">
        <x:f>IF(CaseLedger!$A305="","",IFERROR(CaseLedger!$T305,""))</x:f>
      </x:c>
      <x:c r="M305" s="52" t="str">
        <x:f>IF(CaseLedger!$A305="","",IFERROR(CaseLedger!$U305,""))</x:f>
      </x:c>
      <x:c r="N305" s="52" t="str">
        <x:f>IF(CaseLedger!$A305="","",IFERROR(CaseLedger!$V305,""))</x:f>
      </x:c>
      <x:c r="O305" s="52" t="str">
        <x:f>IF(CaseLedger!$A305="","",IFERROR(CaseLedger!$W305,""))</x:f>
      </x:c>
      <x:c r="P305" s="52" t="str">
        <x:f>IF(CaseLedger!$A305="","",IFERROR(CaseLedger!$C305,""))</x:f>
      </x:c>
      <x:c r="Q305" s="52" t="str">
        <x:f>IF(CaseLedger!$A305="","",IFERROR(CaseLedger!$D305,""))</x:f>
      </x:c>
      <x:c r="R305" s="52" t="str">
        <x:f>IF(CaseLedger!$A305="","",IFERROR(CaseLedger!$X305,""))</x:f>
      </x:c>
      <x:c r="S305" s="52" t="str">
        <x:f>IF(CaseLedger!$A305="","",IFERROR(CaseLedger!$Y305,""))</x:f>
      </x:c>
      <x:c r="T305" s="52" t="str">
        <x:f>IF(CaseLedger!$A305="","",IFERROR(CaseLedger!$Z305,""))</x:f>
      </x:c>
      <x:c r="U305" s="52" t="str">
        <x:f>IF(CaseLedger!$A305="","",IFERROR(CaseLedger!$AA305,""))</x:f>
      </x:c>
      <x:c r="V305" s="52" t="str">
        <x:f>IF(CaseLedger!$A305="","",IFERROR(CaseLedger!$AB305,""))</x:f>
      </x:c>
      <x:c r="W305" s="52" t="str">
        <x:f>IF(CaseLedger!$A305="","",IFERROR(CaseLedger!$AC305,""))</x:f>
      </x:c>
      <x:c r="X305" s="52" t="str">
        <x:f>IF(CaseLedger!$A305="","",IFERROR(CaseLedger!$AD305,""))</x:f>
      </x:c>
      <x:c r="Y305" s="52" t="str">
        <x:f>IF(CaseLedger!$A305="","",IFERROR(CaseLedger!$AE305,""))</x:f>
      </x:c>
      <x:c r="Z305" s="52" t="str">
        <x:f>IF(CaseLedger!$A305="","",IFERROR(CaseLedger!$AF305,""))</x:f>
      </x:c>
      <x:c r="AA305" s="52" t="str">
        <x:f>IF(CaseLedger!$A305="","",IFERROR(CaseLedger!$AG305,""))</x:f>
      </x:c>
      <x:c r="AB305" s="52" t="str">
        <x:f>IF(CaseLedger!$A305="","",IFERROR(CaseLedger!$AH305,""))</x:f>
      </x:c>
      <x:c r="AC305"/>
    </x:row>
    <x:row r="306">
      <x:c r="A306" s="52" t="str">
        <x:f>IF(CaseLedger!$A306="","",IFERROR(CaseLedger!$A306,""))</x:f>
      </x:c>
      <x:c r="B306" s="52" t="str">
        <x:f>IF(CaseLedger!$A306="","",IFERROR(CaseLedger!$H306,""))</x:f>
      </x:c>
      <x:c r="C306" s="52" t="str">
        <x:f>IF(CaseLedger!$A306="","",IFERROR(CaseLedger!$I306,""))</x:f>
      </x:c>
      <x:c r="D306" s="52" t="str">
        <x:f>IF(CaseLedger!$A306="","",IFERROR(CaseLedger!$J306,""))</x:f>
      </x:c>
      <x:c r="E306" s="52" t="str">
        <x:f>IF(CaseLedger!$A306="","",IFERROR(CaseLedger!$K306,""))</x:f>
      </x:c>
      <x:c r="F306" s="52" t="str">
        <x:f>IF(CaseLedger!$A306="","",IFERROR(CaseLedger!$O306,""))</x:f>
      </x:c>
      <x:c r="G306" s="52" t="str">
        <x:f>IF(CaseLedger!$A306="","",IFERROR(CaseLedger!$E306,""))</x:f>
      </x:c>
      <x:c r="H306" s="52" t="str">
        <x:f>IF(CaseLedger!$A306="","",IFERROR(CaseLedger!$P306,""))</x:f>
      </x:c>
      <x:c r="I306" s="52" t="str">
        <x:f>IF(CaseLedger!$A306="","",IFERROR(CaseLedger!$Q306,""))</x:f>
      </x:c>
      <x:c r="J306" s="52" t="str">
        <x:f>IF(CaseLedger!$A306="","",IFERROR(CaseLedger!$R306,""))</x:f>
      </x:c>
      <x:c r="K306" s="52" t="str">
        <x:f>IF(CaseLedger!$A306="","",IFERROR(CaseLedger!$S306,""))</x:f>
      </x:c>
      <x:c r="L306" s="52" t="str">
        <x:f>IF(CaseLedger!$A306="","",IFERROR(CaseLedger!$T306,""))</x:f>
      </x:c>
      <x:c r="M306" s="52" t="str">
        <x:f>IF(CaseLedger!$A306="","",IFERROR(CaseLedger!$U306,""))</x:f>
      </x:c>
      <x:c r="N306" s="52" t="str">
        <x:f>IF(CaseLedger!$A306="","",IFERROR(CaseLedger!$V306,""))</x:f>
      </x:c>
      <x:c r="O306" s="52" t="str">
        <x:f>IF(CaseLedger!$A306="","",IFERROR(CaseLedger!$W306,""))</x:f>
      </x:c>
      <x:c r="P306" s="52" t="str">
        <x:f>IF(CaseLedger!$A306="","",IFERROR(CaseLedger!$C306,""))</x:f>
      </x:c>
      <x:c r="Q306" s="52" t="str">
        <x:f>IF(CaseLedger!$A306="","",IFERROR(CaseLedger!$D306,""))</x:f>
      </x:c>
      <x:c r="R306" s="52" t="str">
        <x:f>IF(CaseLedger!$A306="","",IFERROR(CaseLedger!$X306,""))</x:f>
      </x:c>
      <x:c r="S306" s="52" t="str">
        <x:f>IF(CaseLedger!$A306="","",IFERROR(CaseLedger!$Y306,""))</x:f>
      </x:c>
      <x:c r="T306" s="52" t="str">
        <x:f>IF(CaseLedger!$A306="","",IFERROR(CaseLedger!$Z306,""))</x:f>
      </x:c>
      <x:c r="U306" s="52" t="str">
        <x:f>IF(CaseLedger!$A306="","",IFERROR(CaseLedger!$AA306,""))</x:f>
      </x:c>
      <x:c r="V306" s="52" t="str">
        <x:f>IF(CaseLedger!$A306="","",IFERROR(CaseLedger!$AB306,""))</x:f>
      </x:c>
      <x:c r="W306" s="52" t="str">
        <x:f>IF(CaseLedger!$A306="","",IFERROR(CaseLedger!$AC306,""))</x:f>
      </x:c>
      <x:c r="X306" s="52" t="str">
        <x:f>IF(CaseLedger!$A306="","",IFERROR(CaseLedger!$AD306,""))</x:f>
      </x:c>
      <x:c r="Y306" s="52" t="str">
        <x:f>IF(CaseLedger!$A306="","",IFERROR(CaseLedger!$AE306,""))</x:f>
      </x:c>
      <x:c r="Z306" s="52" t="str">
        <x:f>IF(CaseLedger!$A306="","",IFERROR(CaseLedger!$AF306,""))</x:f>
      </x:c>
      <x:c r="AA306" s="52" t="str">
        <x:f>IF(CaseLedger!$A306="","",IFERROR(CaseLedger!$AG306,""))</x:f>
      </x:c>
      <x:c r="AB306" s="52" t="str">
        <x:f>IF(CaseLedger!$A306="","",IFERROR(CaseLedger!$AH306,""))</x:f>
      </x:c>
      <x:c r="AC306"/>
    </x:row>
    <x:row r="307">
      <x:c r="A307" s="52" t="str">
        <x:f>IF(CaseLedger!$A307="","",IFERROR(CaseLedger!$A307,""))</x:f>
      </x:c>
      <x:c r="B307" s="52" t="str">
        <x:f>IF(CaseLedger!$A307="","",IFERROR(CaseLedger!$H307,""))</x:f>
      </x:c>
      <x:c r="C307" s="52" t="str">
        <x:f>IF(CaseLedger!$A307="","",IFERROR(CaseLedger!$I307,""))</x:f>
      </x:c>
      <x:c r="D307" s="52" t="str">
        <x:f>IF(CaseLedger!$A307="","",IFERROR(CaseLedger!$J307,""))</x:f>
      </x:c>
      <x:c r="E307" s="52" t="str">
        <x:f>IF(CaseLedger!$A307="","",IFERROR(CaseLedger!$K307,""))</x:f>
      </x:c>
      <x:c r="F307" s="52" t="str">
        <x:f>IF(CaseLedger!$A307="","",IFERROR(CaseLedger!$O307,""))</x:f>
      </x:c>
      <x:c r="G307" s="52" t="str">
        <x:f>IF(CaseLedger!$A307="","",IFERROR(CaseLedger!$E307,""))</x:f>
      </x:c>
      <x:c r="H307" s="52" t="str">
        <x:f>IF(CaseLedger!$A307="","",IFERROR(CaseLedger!$P307,""))</x:f>
      </x:c>
      <x:c r="I307" s="52" t="str">
        <x:f>IF(CaseLedger!$A307="","",IFERROR(CaseLedger!$Q307,""))</x:f>
      </x:c>
      <x:c r="J307" s="52" t="str">
        <x:f>IF(CaseLedger!$A307="","",IFERROR(CaseLedger!$R307,""))</x:f>
      </x:c>
      <x:c r="K307" s="52" t="str">
        <x:f>IF(CaseLedger!$A307="","",IFERROR(CaseLedger!$S307,""))</x:f>
      </x:c>
      <x:c r="L307" s="52" t="str">
        <x:f>IF(CaseLedger!$A307="","",IFERROR(CaseLedger!$T307,""))</x:f>
      </x:c>
      <x:c r="M307" s="52" t="str">
        <x:f>IF(CaseLedger!$A307="","",IFERROR(CaseLedger!$U307,""))</x:f>
      </x:c>
      <x:c r="N307" s="52" t="str">
        <x:f>IF(CaseLedger!$A307="","",IFERROR(CaseLedger!$V307,""))</x:f>
      </x:c>
      <x:c r="O307" s="52" t="str">
        <x:f>IF(CaseLedger!$A307="","",IFERROR(CaseLedger!$W307,""))</x:f>
      </x:c>
      <x:c r="P307" s="52" t="str">
        <x:f>IF(CaseLedger!$A307="","",IFERROR(CaseLedger!$C307,""))</x:f>
      </x:c>
      <x:c r="Q307" s="52" t="str">
        <x:f>IF(CaseLedger!$A307="","",IFERROR(CaseLedger!$D307,""))</x:f>
      </x:c>
      <x:c r="R307" s="52" t="str">
        <x:f>IF(CaseLedger!$A307="","",IFERROR(CaseLedger!$X307,""))</x:f>
      </x:c>
      <x:c r="S307" s="52" t="str">
        <x:f>IF(CaseLedger!$A307="","",IFERROR(CaseLedger!$Y307,""))</x:f>
      </x:c>
      <x:c r="T307" s="52" t="str">
        <x:f>IF(CaseLedger!$A307="","",IFERROR(CaseLedger!$Z307,""))</x:f>
      </x:c>
      <x:c r="U307" s="52" t="str">
        <x:f>IF(CaseLedger!$A307="","",IFERROR(CaseLedger!$AA307,""))</x:f>
      </x:c>
      <x:c r="V307" s="52" t="str">
        <x:f>IF(CaseLedger!$A307="","",IFERROR(CaseLedger!$AB307,""))</x:f>
      </x:c>
      <x:c r="W307" s="52" t="str">
        <x:f>IF(CaseLedger!$A307="","",IFERROR(CaseLedger!$AC307,""))</x:f>
      </x:c>
      <x:c r="X307" s="52" t="str">
        <x:f>IF(CaseLedger!$A307="","",IFERROR(CaseLedger!$AD307,""))</x:f>
      </x:c>
      <x:c r="Y307" s="52" t="str">
        <x:f>IF(CaseLedger!$A307="","",IFERROR(CaseLedger!$AE307,""))</x:f>
      </x:c>
      <x:c r="Z307" s="52" t="str">
        <x:f>IF(CaseLedger!$A307="","",IFERROR(CaseLedger!$AF307,""))</x:f>
      </x:c>
      <x:c r="AA307" s="52" t="str">
        <x:f>IF(CaseLedger!$A307="","",IFERROR(CaseLedger!$AG307,""))</x:f>
      </x:c>
      <x:c r="AB307" s="52" t="str">
        <x:f>IF(CaseLedger!$A307="","",IFERROR(CaseLedger!$AH307,""))</x:f>
      </x:c>
      <x:c r="AC307"/>
    </x:row>
    <x:row r="308">
      <x:c r="A308" s="52" t="str">
        <x:f>IF(CaseLedger!$A308="","",IFERROR(CaseLedger!$A308,""))</x:f>
      </x:c>
      <x:c r="B308" s="52" t="str">
        <x:f>IF(CaseLedger!$A308="","",IFERROR(CaseLedger!$H308,""))</x:f>
      </x:c>
      <x:c r="C308" s="52" t="str">
        <x:f>IF(CaseLedger!$A308="","",IFERROR(CaseLedger!$I308,""))</x:f>
      </x:c>
      <x:c r="D308" s="52" t="str">
        <x:f>IF(CaseLedger!$A308="","",IFERROR(CaseLedger!$J308,""))</x:f>
      </x:c>
      <x:c r="E308" s="52" t="str">
        <x:f>IF(CaseLedger!$A308="","",IFERROR(CaseLedger!$K308,""))</x:f>
      </x:c>
      <x:c r="F308" s="52" t="str">
        <x:f>IF(CaseLedger!$A308="","",IFERROR(CaseLedger!$O308,""))</x:f>
      </x:c>
      <x:c r="G308" s="52" t="str">
        <x:f>IF(CaseLedger!$A308="","",IFERROR(CaseLedger!$E308,""))</x:f>
      </x:c>
      <x:c r="H308" s="52" t="str">
        <x:f>IF(CaseLedger!$A308="","",IFERROR(CaseLedger!$P308,""))</x:f>
      </x:c>
      <x:c r="I308" s="52" t="str">
        <x:f>IF(CaseLedger!$A308="","",IFERROR(CaseLedger!$Q308,""))</x:f>
      </x:c>
      <x:c r="J308" s="52" t="str">
        <x:f>IF(CaseLedger!$A308="","",IFERROR(CaseLedger!$R308,""))</x:f>
      </x:c>
      <x:c r="K308" s="52" t="str">
        <x:f>IF(CaseLedger!$A308="","",IFERROR(CaseLedger!$S308,""))</x:f>
      </x:c>
      <x:c r="L308" s="52" t="str">
        <x:f>IF(CaseLedger!$A308="","",IFERROR(CaseLedger!$T308,""))</x:f>
      </x:c>
      <x:c r="M308" s="52" t="str">
        <x:f>IF(CaseLedger!$A308="","",IFERROR(CaseLedger!$U308,""))</x:f>
      </x:c>
      <x:c r="N308" s="52" t="str">
        <x:f>IF(CaseLedger!$A308="","",IFERROR(CaseLedger!$V308,""))</x:f>
      </x:c>
      <x:c r="O308" s="52" t="str">
        <x:f>IF(CaseLedger!$A308="","",IFERROR(CaseLedger!$W308,""))</x:f>
      </x:c>
      <x:c r="P308" s="52" t="str">
        <x:f>IF(CaseLedger!$A308="","",IFERROR(CaseLedger!$C308,""))</x:f>
      </x:c>
      <x:c r="Q308" s="52" t="str">
        <x:f>IF(CaseLedger!$A308="","",IFERROR(CaseLedger!$D308,""))</x:f>
      </x:c>
      <x:c r="R308" s="52" t="str">
        <x:f>IF(CaseLedger!$A308="","",IFERROR(CaseLedger!$X308,""))</x:f>
      </x:c>
      <x:c r="S308" s="52" t="str">
        <x:f>IF(CaseLedger!$A308="","",IFERROR(CaseLedger!$Y308,""))</x:f>
      </x:c>
      <x:c r="T308" s="52" t="str">
        <x:f>IF(CaseLedger!$A308="","",IFERROR(CaseLedger!$Z308,""))</x:f>
      </x:c>
      <x:c r="U308" s="52" t="str">
        <x:f>IF(CaseLedger!$A308="","",IFERROR(CaseLedger!$AA308,""))</x:f>
      </x:c>
      <x:c r="V308" s="52" t="str">
        <x:f>IF(CaseLedger!$A308="","",IFERROR(CaseLedger!$AB308,""))</x:f>
      </x:c>
      <x:c r="W308" s="52" t="str">
        <x:f>IF(CaseLedger!$A308="","",IFERROR(CaseLedger!$AC308,""))</x:f>
      </x:c>
      <x:c r="X308" s="52" t="str">
        <x:f>IF(CaseLedger!$A308="","",IFERROR(CaseLedger!$AD308,""))</x:f>
      </x:c>
      <x:c r="Y308" s="52" t="str">
        <x:f>IF(CaseLedger!$A308="","",IFERROR(CaseLedger!$AE308,""))</x:f>
      </x:c>
      <x:c r="Z308" s="52" t="str">
        <x:f>IF(CaseLedger!$A308="","",IFERROR(CaseLedger!$AF308,""))</x:f>
      </x:c>
      <x:c r="AA308" s="52" t="str">
        <x:f>IF(CaseLedger!$A308="","",IFERROR(CaseLedger!$AG308,""))</x:f>
      </x:c>
      <x:c r="AB308" s="52" t="str">
        <x:f>IF(CaseLedger!$A308="","",IFERROR(CaseLedger!$AH308,""))</x:f>
      </x:c>
      <x:c r="AC308"/>
    </x:row>
    <x:row r="309">
      <x:c r="A309" s="52" t="str">
        <x:f>IF(CaseLedger!$A309="","",IFERROR(CaseLedger!$A309,""))</x:f>
      </x:c>
      <x:c r="B309" s="52" t="str">
        <x:f>IF(CaseLedger!$A309="","",IFERROR(CaseLedger!$H309,""))</x:f>
      </x:c>
      <x:c r="C309" s="52" t="str">
        <x:f>IF(CaseLedger!$A309="","",IFERROR(CaseLedger!$I309,""))</x:f>
      </x:c>
      <x:c r="D309" s="52" t="str">
        <x:f>IF(CaseLedger!$A309="","",IFERROR(CaseLedger!$J309,""))</x:f>
      </x:c>
      <x:c r="E309" s="52" t="str">
        <x:f>IF(CaseLedger!$A309="","",IFERROR(CaseLedger!$K309,""))</x:f>
      </x:c>
      <x:c r="F309" s="52" t="str">
        <x:f>IF(CaseLedger!$A309="","",IFERROR(CaseLedger!$O309,""))</x:f>
      </x:c>
      <x:c r="G309" s="52" t="str">
        <x:f>IF(CaseLedger!$A309="","",IFERROR(CaseLedger!$E309,""))</x:f>
      </x:c>
      <x:c r="H309" s="52" t="str">
        <x:f>IF(CaseLedger!$A309="","",IFERROR(CaseLedger!$P309,""))</x:f>
      </x:c>
      <x:c r="I309" s="52" t="str">
        <x:f>IF(CaseLedger!$A309="","",IFERROR(CaseLedger!$Q309,""))</x:f>
      </x:c>
      <x:c r="J309" s="52" t="str">
        <x:f>IF(CaseLedger!$A309="","",IFERROR(CaseLedger!$R309,""))</x:f>
      </x:c>
      <x:c r="K309" s="52" t="str">
        <x:f>IF(CaseLedger!$A309="","",IFERROR(CaseLedger!$S309,""))</x:f>
      </x:c>
      <x:c r="L309" s="52" t="str">
        <x:f>IF(CaseLedger!$A309="","",IFERROR(CaseLedger!$T309,""))</x:f>
      </x:c>
      <x:c r="M309" s="52" t="str">
        <x:f>IF(CaseLedger!$A309="","",IFERROR(CaseLedger!$U309,""))</x:f>
      </x:c>
      <x:c r="N309" s="52" t="str">
        <x:f>IF(CaseLedger!$A309="","",IFERROR(CaseLedger!$V309,""))</x:f>
      </x:c>
      <x:c r="O309" s="52" t="str">
        <x:f>IF(CaseLedger!$A309="","",IFERROR(CaseLedger!$W309,""))</x:f>
      </x:c>
      <x:c r="P309" s="52" t="str">
        <x:f>IF(CaseLedger!$A309="","",IFERROR(CaseLedger!$C309,""))</x:f>
      </x:c>
      <x:c r="Q309" s="52" t="str">
        <x:f>IF(CaseLedger!$A309="","",IFERROR(CaseLedger!$D309,""))</x:f>
      </x:c>
      <x:c r="R309" s="52" t="str">
        <x:f>IF(CaseLedger!$A309="","",IFERROR(CaseLedger!$X309,""))</x:f>
      </x:c>
      <x:c r="S309" s="52" t="str">
        <x:f>IF(CaseLedger!$A309="","",IFERROR(CaseLedger!$Y309,""))</x:f>
      </x:c>
      <x:c r="T309" s="52" t="str">
        <x:f>IF(CaseLedger!$A309="","",IFERROR(CaseLedger!$Z309,""))</x:f>
      </x:c>
      <x:c r="U309" s="52" t="str">
        <x:f>IF(CaseLedger!$A309="","",IFERROR(CaseLedger!$AA309,""))</x:f>
      </x:c>
      <x:c r="V309" s="52" t="str">
        <x:f>IF(CaseLedger!$A309="","",IFERROR(CaseLedger!$AB309,""))</x:f>
      </x:c>
      <x:c r="W309" s="52" t="str">
        <x:f>IF(CaseLedger!$A309="","",IFERROR(CaseLedger!$AC309,""))</x:f>
      </x:c>
      <x:c r="X309" s="52" t="str">
        <x:f>IF(CaseLedger!$A309="","",IFERROR(CaseLedger!$AD309,""))</x:f>
      </x:c>
      <x:c r="Y309" s="52" t="str">
        <x:f>IF(CaseLedger!$A309="","",IFERROR(CaseLedger!$AE309,""))</x:f>
      </x:c>
      <x:c r="Z309" s="52" t="str">
        <x:f>IF(CaseLedger!$A309="","",IFERROR(CaseLedger!$AF309,""))</x:f>
      </x:c>
      <x:c r="AA309" s="52" t="str">
        <x:f>IF(CaseLedger!$A309="","",IFERROR(CaseLedger!$AG309,""))</x:f>
      </x:c>
      <x:c r="AB309" s="52" t="str">
        <x:f>IF(CaseLedger!$A309="","",IFERROR(CaseLedger!$AH309,""))</x:f>
      </x:c>
      <x:c r="AC309"/>
    </x:row>
    <x:row r="310">
      <x:c r="A310" s="52" t="str">
        <x:f>IF(CaseLedger!$A310="","",IFERROR(CaseLedger!$A310,""))</x:f>
      </x:c>
      <x:c r="B310" s="52" t="str">
        <x:f>IF(CaseLedger!$A310="","",IFERROR(CaseLedger!$H310,""))</x:f>
      </x:c>
      <x:c r="C310" s="52" t="str">
        <x:f>IF(CaseLedger!$A310="","",IFERROR(CaseLedger!$I310,""))</x:f>
      </x:c>
      <x:c r="D310" s="52" t="str">
        <x:f>IF(CaseLedger!$A310="","",IFERROR(CaseLedger!$J310,""))</x:f>
      </x:c>
      <x:c r="E310" s="52" t="str">
        <x:f>IF(CaseLedger!$A310="","",IFERROR(CaseLedger!$K310,""))</x:f>
      </x:c>
      <x:c r="F310" s="52" t="str">
        <x:f>IF(CaseLedger!$A310="","",IFERROR(CaseLedger!$O310,""))</x:f>
      </x:c>
      <x:c r="G310" s="52" t="str">
        <x:f>IF(CaseLedger!$A310="","",IFERROR(CaseLedger!$E310,""))</x:f>
      </x:c>
      <x:c r="H310" s="52" t="str">
        <x:f>IF(CaseLedger!$A310="","",IFERROR(CaseLedger!$P310,""))</x:f>
      </x:c>
      <x:c r="I310" s="52" t="str">
        <x:f>IF(CaseLedger!$A310="","",IFERROR(CaseLedger!$Q310,""))</x:f>
      </x:c>
      <x:c r="J310" s="52" t="str">
        <x:f>IF(CaseLedger!$A310="","",IFERROR(CaseLedger!$R310,""))</x:f>
      </x:c>
      <x:c r="K310" s="52" t="str">
        <x:f>IF(CaseLedger!$A310="","",IFERROR(CaseLedger!$S310,""))</x:f>
      </x:c>
      <x:c r="L310" s="52" t="str">
        <x:f>IF(CaseLedger!$A310="","",IFERROR(CaseLedger!$T310,""))</x:f>
      </x:c>
      <x:c r="M310" s="52" t="str">
        <x:f>IF(CaseLedger!$A310="","",IFERROR(CaseLedger!$U310,""))</x:f>
      </x:c>
      <x:c r="N310" s="52" t="str">
        <x:f>IF(CaseLedger!$A310="","",IFERROR(CaseLedger!$V310,""))</x:f>
      </x:c>
      <x:c r="O310" s="52" t="str">
        <x:f>IF(CaseLedger!$A310="","",IFERROR(CaseLedger!$W310,""))</x:f>
      </x:c>
      <x:c r="P310" s="52" t="str">
        <x:f>IF(CaseLedger!$A310="","",IFERROR(CaseLedger!$C310,""))</x:f>
      </x:c>
      <x:c r="Q310" s="52" t="str">
        <x:f>IF(CaseLedger!$A310="","",IFERROR(CaseLedger!$D310,""))</x:f>
      </x:c>
      <x:c r="R310" s="52" t="str">
        <x:f>IF(CaseLedger!$A310="","",IFERROR(CaseLedger!$X310,""))</x:f>
      </x:c>
      <x:c r="S310" s="52" t="str">
        <x:f>IF(CaseLedger!$A310="","",IFERROR(CaseLedger!$Y310,""))</x:f>
      </x:c>
      <x:c r="T310" s="52" t="str">
        <x:f>IF(CaseLedger!$A310="","",IFERROR(CaseLedger!$Z310,""))</x:f>
      </x:c>
      <x:c r="U310" s="52" t="str">
        <x:f>IF(CaseLedger!$A310="","",IFERROR(CaseLedger!$AA310,""))</x:f>
      </x:c>
      <x:c r="V310" s="52" t="str">
        <x:f>IF(CaseLedger!$A310="","",IFERROR(CaseLedger!$AB310,""))</x:f>
      </x:c>
      <x:c r="W310" s="52" t="str">
        <x:f>IF(CaseLedger!$A310="","",IFERROR(CaseLedger!$AC310,""))</x:f>
      </x:c>
      <x:c r="X310" s="52" t="str">
        <x:f>IF(CaseLedger!$A310="","",IFERROR(CaseLedger!$AD310,""))</x:f>
      </x:c>
      <x:c r="Y310" s="52" t="str">
        <x:f>IF(CaseLedger!$A310="","",IFERROR(CaseLedger!$AE310,""))</x:f>
      </x:c>
      <x:c r="Z310" s="52" t="str">
        <x:f>IF(CaseLedger!$A310="","",IFERROR(CaseLedger!$AF310,""))</x:f>
      </x:c>
      <x:c r="AA310" s="52" t="str">
        <x:f>IF(CaseLedger!$A310="","",IFERROR(CaseLedger!$AG310,""))</x:f>
      </x:c>
      <x:c r="AB310" s="52" t="str">
        <x:f>IF(CaseLedger!$A310="","",IFERROR(CaseLedger!$AH310,""))</x:f>
      </x:c>
      <x:c r="AC310"/>
    </x:row>
    <x:row r="311">
      <x:c r="A311" s="52" t="str">
        <x:f>IF(CaseLedger!$A311="","",IFERROR(CaseLedger!$A311,""))</x:f>
      </x:c>
      <x:c r="B311" s="52" t="str">
        <x:f>IF(CaseLedger!$A311="","",IFERROR(CaseLedger!$H311,""))</x:f>
      </x:c>
      <x:c r="C311" s="52" t="str">
        <x:f>IF(CaseLedger!$A311="","",IFERROR(CaseLedger!$I311,""))</x:f>
      </x:c>
      <x:c r="D311" s="52" t="str">
        <x:f>IF(CaseLedger!$A311="","",IFERROR(CaseLedger!$J311,""))</x:f>
      </x:c>
      <x:c r="E311" s="52" t="str">
        <x:f>IF(CaseLedger!$A311="","",IFERROR(CaseLedger!$K311,""))</x:f>
      </x:c>
      <x:c r="F311" s="52" t="str">
        <x:f>IF(CaseLedger!$A311="","",IFERROR(CaseLedger!$O311,""))</x:f>
      </x:c>
      <x:c r="G311" s="52" t="str">
        <x:f>IF(CaseLedger!$A311="","",IFERROR(CaseLedger!$E311,""))</x:f>
      </x:c>
      <x:c r="H311" s="52" t="str">
        <x:f>IF(CaseLedger!$A311="","",IFERROR(CaseLedger!$P311,""))</x:f>
      </x:c>
      <x:c r="I311" s="52" t="str">
        <x:f>IF(CaseLedger!$A311="","",IFERROR(CaseLedger!$Q311,""))</x:f>
      </x:c>
      <x:c r="J311" s="52" t="str">
        <x:f>IF(CaseLedger!$A311="","",IFERROR(CaseLedger!$R311,""))</x:f>
      </x:c>
      <x:c r="K311" s="52" t="str">
        <x:f>IF(CaseLedger!$A311="","",IFERROR(CaseLedger!$S311,""))</x:f>
      </x:c>
      <x:c r="L311" s="52" t="str">
        <x:f>IF(CaseLedger!$A311="","",IFERROR(CaseLedger!$T311,""))</x:f>
      </x:c>
      <x:c r="M311" s="52" t="str">
        <x:f>IF(CaseLedger!$A311="","",IFERROR(CaseLedger!$U311,""))</x:f>
      </x:c>
      <x:c r="N311" s="52" t="str">
        <x:f>IF(CaseLedger!$A311="","",IFERROR(CaseLedger!$V311,""))</x:f>
      </x:c>
      <x:c r="O311" s="52" t="str">
        <x:f>IF(CaseLedger!$A311="","",IFERROR(CaseLedger!$W311,""))</x:f>
      </x:c>
      <x:c r="P311" s="52" t="str">
        <x:f>IF(CaseLedger!$A311="","",IFERROR(CaseLedger!$C311,""))</x:f>
      </x:c>
      <x:c r="Q311" s="52" t="str">
        <x:f>IF(CaseLedger!$A311="","",IFERROR(CaseLedger!$D311,""))</x:f>
      </x:c>
      <x:c r="R311" s="52" t="str">
        <x:f>IF(CaseLedger!$A311="","",IFERROR(CaseLedger!$X311,""))</x:f>
      </x:c>
      <x:c r="S311" s="52" t="str">
        <x:f>IF(CaseLedger!$A311="","",IFERROR(CaseLedger!$Y311,""))</x:f>
      </x:c>
      <x:c r="T311" s="52" t="str">
        <x:f>IF(CaseLedger!$A311="","",IFERROR(CaseLedger!$Z311,""))</x:f>
      </x:c>
      <x:c r="U311" s="52" t="str">
        <x:f>IF(CaseLedger!$A311="","",IFERROR(CaseLedger!$AA311,""))</x:f>
      </x:c>
      <x:c r="V311" s="52" t="str">
        <x:f>IF(CaseLedger!$A311="","",IFERROR(CaseLedger!$AB311,""))</x:f>
      </x:c>
      <x:c r="W311" s="52" t="str">
        <x:f>IF(CaseLedger!$A311="","",IFERROR(CaseLedger!$AC311,""))</x:f>
      </x:c>
      <x:c r="X311" s="52" t="str">
        <x:f>IF(CaseLedger!$A311="","",IFERROR(CaseLedger!$AD311,""))</x:f>
      </x:c>
      <x:c r="Y311" s="52" t="str">
        <x:f>IF(CaseLedger!$A311="","",IFERROR(CaseLedger!$AE311,""))</x:f>
      </x:c>
      <x:c r="Z311" s="52" t="str">
        <x:f>IF(CaseLedger!$A311="","",IFERROR(CaseLedger!$AF311,""))</x:f>
      </x:c>
      <x:c r="AA311" s="52" t="str">
        <x:f>IF(CaseLedger!$A311="","",IFERROR(CaseLedger!$AG311,""))</x:f>
      </x:c>
      <x:c r="AB311" s="52" t="str">
        <x:f>IF(CaseLedger!$A311="","",IFERROR(CaseLedger!$AH311,""))</x:f>
      </x:c>
      <x:c r="AC311"/>
    </x:row>
    <x:row r="312">
      <x:c r="A312" s="52" t="str">
        <x:f>IF(CaseLedger!$A312="","",IFERROR(CaseLedger!$A312,""))</x:f>
      </x:c>
      <x:c r="B312" s="52" t="str">
        <x:f>IF(CaseLedger!$A312="","",IFERROR(CaseLedger!$H312,""))</x:f>
      </x:c>
      <x:c r="C312" s="52" t="str">
        <x:f>IF(CaseLedger!$A312="","",IFERROR(CaseLedger!$I312,""))</x:f>
      </x:c>
      <x:c r="D312" s="52" t="str">
        <x:f>IF(CaseLedger!$A312="","",IFERROR(CaseLedger!$J312,""))</x:f>
      </x:c>
      <x:c r="E312" s="52" t="str">
        <x:f>IF(CaseLedger!$A312="","",IFERROR(CaseLedger!$K312,""))</x:f>
      </x:c>
      <x:c r="F312" s="52" t="str">
        <x:f>IF(CaseLedger!$A312="","",IFERROR(CaseLedger!$O312,""))</x:f>
      </x:c>
      <x:c r="G312" s="52" t="str">
        <x:f>IF(CaseLedger!$A312="","",IFERROR(CaseLedger!$E312,""))</x:f>
      </x:c>
      <x:c r="H312" s="52" t="str">
        <x:f>IF(CaseLedger!$A312="","",IFERROR(CaseLedger!$P312,""))</x:f>
      </x:c>
      <x:c r="I312" s="52" t="str">
        <x:f>IF(CaseLedger!$A312="","",IFERROR(CaseLedger!$Q312,""))</x:f>
      </x:c>
      <x:c r="J312" s="52" t="str">
        <x:f>IF(CaseLedger!$A312="","",IFERROR(CaseLedger!$R312,""))</x:f>
      </x:c>
      <x:c r="K312" s="52" t="str">
        <x:f>IF(CaseLedger!$A312="","",IFERROR(CaseLedger!$S312,""))</x:f>
      </x:c>
      <x:c r="L312" s="52" t="str">
        <x:f>IF(CaseLedger!$A312="","",IFERROR(CaseLedger!$T312,""))</x:f>
      </x:c>
      <x:c r="M312" s="52" t="str">
        <x:f>IF(CaseLedger!$A312="","",IFERROR(CaseLedger!$U312,""))</x:f>
      </x:c>
      <x:c r="N312" s="52" t="str">
        <x:f>IF(CaseLedger!$A312="","",IFERROR(CaseLedger!$V312,""))</x:f>
      </x:c>
      <x:c r="O312" s="52" t="str">
        <x:f>IF(CaseLedger!$A312="","",IFERROR(CaseLedger!$W312,""))</x:f>
      </x:c>
      <x:c r="P312" s="52" t="str">
        <x:f>IF(CaseLedger!$A312="","",IFERROR(CaseLedger!$C312,""))</x:f>
      </x:c>
      <x:c r="Q312" s="52" t="str">
        <x:f>IF(CaseLedger!$A312="","",IFERROR(CaseLedger!$D312,""))</x:f>
      </x:c>
      <x:c r="R312" s="52" t="str">
        <x:f>IF(CaseLedger!$A312="","",IFERROR(CaseLedger!$X312,""))</x:f>
      </x:c>
      <x:c r="S312" s="52" t="str">
        <x:f>IF(CaseLedger!$A312="","",IFERROR(CaseLedger!$Y312,""))</x:f>
      </x:c>
      <x:c r="T312" s="52" t="str">
        <x:f>IF(CaseLedger!$A312="","",IFERROR(CaseLedger!$Z312,""))</x:f>
      </x:c>
      <x:c r="U312" s="52" t="str">
        <x:f>IF(CaseLedger!$A312="","",IFERROR(CaseLedger!$AA312,""))</x:f>
      </x:c>
      <x:c r="V312" s="52" t="str">
        <x:f>IF(CaseLedger!$A312="","",IFERROR(CaseLedger!$AB312,""))</x:f>
      </x:c>
      <x:c r="W312" s="52" t="str">
        <x:f>IF(CaseLedger!$A312="","",IFERROR(CaseLedger!$AC312,""))</x:f>
      </x:c>
      <x:c r="X312" s="52" t="str">
        <x:f>IF(CaseLedger!$A312="","",IFERROR(CaseLedger!$AD312,""))</x:f>
      </x:c>
      <x:c r="Y312" s="52" t="str">
        <x:f>IF(CaseLedger!$A312="","",IFERROR(CaseLedger!$AE312,""))</x:f>
      </x:c>
      <x:c r="Z312" s="52" t="str">
        <x:f>IF(CaseLedger!$A312="","",IFERROR(CaseLedger!$AF312,""))</x:f>
      </x:c>
      <x:c r="AA312" s="52" t="str">
        <x:f>IF(CaseLedger!$A312="","",IFERROR(CaseLedger!$AG312,""))</x:f>
      </x:c>
      <x:c r="AB312" s="52" t="str">
        <x:f>IF(CaseLedger!$A312="","",IFERROR(CaseLedger!$AH312,""))</x:f>
      </x:c>
      <x:c r="AC312"/>
    </x:row>
    <x:row r="313">
      <x:c r="A313" s="52" t="str">
        <x:f>IF(CaseLedger!$A313="","",IFERROR(CaseLedger!$A313,""))</x:f>
      </x:c>
      <x:c r="B313" s="52" t="str">
        <x:f>IF(CaseLedger!$A313="","",IFERROR(CaseLedger!$H313,""))</x:f>
      </x:c>
      <x:c r="C313" s="52" t="str">
        <x:f>IF(CaseLedger!$A313="","",IFERROR(CaseLedger!$I313,""))</x:f>
      </x:c>
      <x:c r="D313" s="52" t="str">
        <x:f>IF(CaseLedger!$A313="","",IFERROR(CaseLedger!$J313,""))</x:f>
      </x:c>
      <x:c r="E313" s="52" t="str">
        <x:f>IF(CaseLedger!$A313="","",IFERROR(CaseLedger!$K313,""))</x:f>
      </x:c>
      <x:c r="F313" s="52" t="str">
        <x:f>IF(CaseLedger!$A313="","",IFERROR(CaseLedger!$O313,""))</x:f>
      </x:c>
      <x:c r="G313" s="52" t="str">
        <x:f>IF(CaseLedger!$A313="","",IFERROR(CaseLedger!$E313,""))</x:f>
      </x:c>
      <x:c r="H313" s="52" t="str">
        <x:f>IF(CaseLedger!$A313="","",IFERROR(CaseLedger!$P313,""))</x:f>
      </x:c>
      <x:c r="I313" s="52" t="str">
        <x:f>IF(CaseLedger!$A313="","",IFERROR(CaseLedger!$Q313,""))</x:f>
      </x:c>
      <x:c r="J313" s="52" t="str">
        <x:f>IF(CaseLedger!$A313="","",IFERROR(CaseLedger!$R313,""))</x:f>
      </x:c>
      <x:c r="K313" s="52" t="str">
        <x:f>IF(CaseLedger!$A313="","",IFERROR(CaseLedger!$S313,""))</x:f>
      </x:c>
      <x:c r="L313" s="52" t="str">
        <x:f>IF(CaseLedger!$A313="","",IFERROR(CaseLedger!$T313,""))</x:f>
      </x:c>
      <x:c r="M313" s="52" t="str">
        <x:f>IF(CaseLedger!$A313="","",IFERROR(CaseLedger!$U313,""))</x:f>
      </x:c>
      <x:c r="N313" s="52" t="str">
        <x:f>IF(CaseLedger!$A313="","",IFERROR(CaseLedger!$V313,""))</x:f>
      </x:c>
      <x:c r="O313" s="52" t="str">
        <x:f>IF(CaseLedger!$A313="","",IFERROR(CaseLedger!$W313,""))</x:f>
      </x:c>
      <x:c r="P313" s="52" t="str">
        <x:f>IF(CaseLedger!$A313="","",IFERROR(CaseLedger!$C313,""))</x:f>
      </x:c>
      <x:c r="Q313" s="52" t="str">
        <x:f>IF(CaseLedger!$A313="","",IFERROR(CaseLedger!$D313,""))</x:f>
      </x:c>
      <x:c r="R313" s="52" t="str">
        <x:f>IF(CaseLedger!$A313="","",IFERROR(CaseLedger!$X313,""))</x:f>
      </x:c>
      <x:c r="S313" s="52" t="str">
        <x:f>IF(CaseLedger!$A313="","",IFERROR(CaseLedger!$Y313,""))</x:f>
      </x:c>
      <x:c r="T313" s="52" t="str">
        <x:f>IF(CaseLedger!$A313="","",IFERROR(CaseLedger!$Z313,""))</x:f>
      </x:c>
      <x:c r="U313" s="52" t="str">
        <x:f>IF(CaseLedger!$A313="","",IFERROR(CaseLedger!$AA313,""))</x:f>
      </x:c>
      <x:c r="V313" s="52" t="str">
        <x:f>IF(CaseLedger!$A313="","",IFERROR(CaseLedger!$AB313,""))</x:f>
      </x:c>
      <x:c r="W313" s="52" t="str">
        <x:f>IF(CaseLedger!$A313="","",IFERROR(CaseLedger!$AC313,""))</x:f>
      </x:c>
      <x:c r="X313" s="52" t="str">
        <x:f>IF(CaseLedger!$A313="","",IFERROR(CaseLedger!$AD313,""))</x:f>
      </x:c>
      <x:c r="Y313" s="52" t="str">
        <x:f>IF(CaseLedger!$A313="","",IFERROR(CaseLedger!$AE313,""))</x:f>
      </x:c>
      <x:c r="Z313" s="52" t="str">
        <x:f>IF(CaseLedger!$A313="","",IFERROR(CaseLedger!$AF313,""))</x:f>
      </x:c>
      <x:c r="AA313" s="52" t="str">
        <x:f>IF(CaseLedger!$A313="","",IFERROR(CaseLedger!$AG313,""))</x:f>
      </x:c>
      <x:c r="AB313" s="52" t="str">
        <x:f>IF(CaseLedger!$A313="","",IFERROR(CaseLedger!$AH313,""))</x:f>
      </x:c>
      <x:c r="AC313"/>
    </x:row>
    <x:row r="314">
      <x:c r="A314" s="52" t="str">
        <x:f>IF(CaseLedger!$A314="","",IFERROR(CaseLedger!$A314,""))</x:f>
      </x:c>
      <x:c r="B314" s="52" t="str">
        <x:f>IF(CaseLedger!$A314="","",IFERROR(CaseLedger!$H314,""))</x:f>
      </x:c>
      <x:c r="C314" s="52" t="str">
        <x:f>IF(CaseLedger!$A314="","",IFERROR(CaseLedger!$I314,""))</x:f>
      </x:c>
      <x:c r="D314" s="52" t="str">
        <x:f>IF(CaseLedger!$A314="","",IFERROR(CaseLedger!$J314,""))</x:f>
      </x:c>
      <x:c r="E314" s="52" t="str">
        <x:f>IF(CaseLedger!$A314="","",IFERROR(CaseLedger!$K314,""))</x:f>
      </x:c>
      <x:c r="F314" s="52" t="str">
        <x:f>IF(CaseLedger!$A314="","",IFERROR(CaseLedger!$O314,""))</x:f>
      </x:c>
      <x:c r="G314" s="52" t="str">
        <x:f>IF(CaseLedger!$A314="","",IFERROR(CaseLedger!$E314,""))</x:f>
      </x:c>
      <x:c r="H314" s="52" t="str">
        <x:f>IF(CaseLedger!$A314="","",IFERROR(CaseLedger!$P314,""))</x:f>
      </x:c>
      <x:c r="I314" s="52" t="str">
        <x:f>IF(CaseLedger!$A314="","",IFERROR(CaseLedger!$Q314,""))</x:f>
      </x:c>
      <x:c r="J314" s="52" t="str">
        <x:f>IF(CaseLedger!$A314="","",IFERROR(CaseLedger!$R314,""))</x:f>
      </x:c>
      <x:c r="K314" s="52" t="str">
        <x:f>IF(CaseLedger!$A314="","",IFERROR(CaseLedger!$S314,""))</x:f>
      </x:c>
      <x:c r="L314" s="52" t="str">
        <x:f>IF(CaseLedger!$A314="","",IFERROR(CaseLedger!$T314,""))</x:f>
      </x:c>
      <x:c r="M314" s="52" t="str">
        <x:f>IF(CaseLedger!$A314="","",IFERROR(CaseLedger!$U314,""))</x:f>
      </x:c>
      <x:c r="N314" s="52" t="str">
        <x:f>IF(CaseLedger!$A314="","",IFERROR(CaseLedger!$V314,""))</x:f>
      </x:c>
      <x:c r="O314" s="52" t="str">
        <x:f>IF(CaseLedger!$A314="","",IFERROR(CaseLedger!$W314,""))</x:f>
      </x:c>
      <x:c r="P314" s="52" t="str">
        <x:f>IF(CaseLedger!$A314="","",IFERROR(CaseLedger!$C314,""))</x:f>
      </x:c>
      <x:c r="Q314" s="52" t="str">
        <x:f>IF(CaseLedger!$A314="","",IFERROR(CaseLedger!$D314,""))</x:f>
      </x:c>
      <x:c r="R314" s="52" t="str">
        <x:f>IF(CaseLedger!$A314="","",IFERROR(CaseLedger!$X314,""))</x:f>
      </x:c>
      <x:c r="S314" s="52" t="str">
        <x:f>IF(CaseLedger!$A314="","",IFERROR(CaseLedger!$Y314,""))</x:f>
      </x:c>
      <x:c r="T314" s="52" t="str">
        <x:f>IF(CaseLedger!$A314="","",IFERROR(CaseLedger!$Z314,""))</x:f>
      </x:c>
      <x:c r="U314" s="52" t="str">
        <x:f>IF(CaseLedger!$A314="","",IFERROR(CaseLedger!$AA314,""))</x:f>
      </x:c>
      <x:c r="V314" s="52" t="str">
        <x:f>IF(CaseLedger!$A314="","",IFERROR(CaseLedger!$AB314,""))</x:f>
      </x:c>
      <x:c r="W314" s="52" t="str">
        <x:f>IF(CaseLedger!$A314="","",IFERROR(CaseLedger!$AC314,""))</x:f>
      </x:c>
      <x:c r="X314" s="52" t="str">
        <x:f>IF(CaseLedger!$A314="","",IFERROR(CaseLedger!$AD314,""))</x:f>
      </x:c>
      <x:c r="Y314" s="52" t="str">
        <x:f>IF(CaseLedger!$A314="","",IFERROR(CaseLedger!$AE314,""))</x:f>
      </x:c>
      <x:c r="Z314" s="52" t="str">
        <x:f>IF(CaseLedger!$A314="","",IFERROR(CaseLedger!$AF314,""))</x:f>
      </x:c>
      <x:c r="AA314" s="52" t="str">
        <x:f>IF(CaseLedger!$A314="","",IFERROR(CaseLedger!$AG314,""))</x:f>
      </x:c>
      <x:c r="AB314" s="52" t="str">
        <x:f>IF(CaseLedger!$A314="","",IFERROR(CaseLedger!$AH314,""))</x:f>
      </x:c>
      <x:c r="AC314"/>
    </x:row>
    <x:row r="315">
      <x:c r="A315" s="52" t="str">
        <x:f>IF(CaseLedger!$A315="","",IFERROR(CaseLedger!$A315,""))</x:f>
      </x:c>
      <x:c r="B315" s="52" t="str">
        <x:f>IF(CaseLedger!$A315="","",IFERROR(CaseLedger!$H315,""))</x:f>
      </x:c>
      <x:c r="C315" s="52" t="str">
        <x:f>IF(CaseLedger!$A315="","",IFERROR(CaseLedger!$I315,""))</x:f>
      </x:c>
      <x:c r="D315" s="52" t="str">
        <x:f>IF(CaseLedger!$A315="","",IFERROR(CaseLedger!$J315,""))</x:f>
      </x:c>
      <x:c r="E315" s="52" t="str">
        <x:f>IF(CaseLedger!$A315="","",IFERROR(CaseLedger!$K315,""))</x:f>
      </x:c>
      <x:c r="F315" s="52" t="str">
        <x:f>IF(CaseLedger!$A315="","",IFERROR(CaseLedger!$O315,""))</x:f>
      </x:c>
      <x:c r="G315" s="52" t="str">
        <x:f>IF(CaseLedger!$A315="","",IFERROR(CaseLedger!$E315,""))</x:f>
      </x:c>
      <x:c r="H315" s="52" t="str">
        <x:f>IF(CaseLedger!$A315="","",IFERROR(CaseLedger!$P315,""))</x:f>
      </x:c>
      <x:c r="I315" s="52" t="str">
        <x:f>IF(CaseLedger!$A315="","",IFERROR(CaseLedger!$Q315,""))</x:f>
      </x:c>
      <x:c r="J315" s="52" t="str">
        <x:f>IF(CaseLedger!$A315="","",IFERROR(CaseLedger!$R315,""))</x:f>
      </x:c>
      <x:c r="K315" s="52" t="str">
        <x:f>IF(CaseLedger!$A315="","",IFERROR(CaseLedger!$S315,""))</x:f>
      </x:c>
      <x:c r="L315" s="52" t="str">
        <x:f>IF(CaseLedger!$A315="","",IFERROR(CaseLedger!$T315,""))</x:f>
      </x:c>
      <x:c r="M315" s="52" t="str">
        <x:f>IF(CaseLedger!$A315="","",IFERROR(CaseLedger!$U315,""))</x:f>
      </x:c>
      <x:c r="N315" s="52" t="str">
        <x:f>IF(CaseLedger!$A315="","",IFERROR(CaseLedger!$V315,""))</x:f>
      </x:c>
      <x:c r="O315" s="52" t="str">
        <x:f>IF(CaseLedger!$A315="","",IFERROR(CaseLedger!$W315,""))</x:f>
      </x:c>
      <x:c r="P315" s="52" t="str">
        <x:f>IF(CaseLedger!$A315="","",IFERROR(CaseLedger!$C315,""))</x:f>
      </x:c>
      <x:c r="Q315" s="52" t="str">
        <x:f>IF(CaseLedger!$A315="","",IFERROR(CaseLedger!$D315,""))</x:f>
      </x:c>
      <x:c r="R315" s="52" t="str">
        <x:f>IF(CaseLedger!$A315="","",IFERROR(CaseLedger!$X315,""))</x:f>
      </x:c>
      <x:c r="S315" s="52" t="str">
        <x:f>IF(CaseLedger!$A315="","",IFERROR(CaseLedger!$Y315,""))</x:f>
      </x:c>
      <x:c r="T315" s="52" t="str">
        <x:f>IF(CaseLedger!$A315="","",IFERROR(CaseLedger!$Z315,""))</x:f>
      </x:c>
      <x:c r="U315" s="52" t="str">
        <x:f>IF(CaseLedger!$A315="","",IFERROR(CaseLedger!$AA315,""))</x:f>
      </x:c>
      <x:c r="V315" s="52" t="str">
        <x:f>IF(CaseLedger!$A315="","",IFERROR(CaseLedger!$AB315,""))</x:f>
      </x:c>
      <x:c r="W315" s="52" t="str">
        <x:f>IF(CaseLedger!$A315="","",IFERROR(CaseLedger!$AC315,""))</x:f>
      </x:c>
      <x:c r="X315" s="52" t="str">
        <x:f>IF(CaseLedger!$A315="","",IFERROR(CaseLedger!$AD315,""))</x:f>
      </x:c>
      <x:c r="Y315" s="52" t="str">
        <x:f>IF(CaseLedger!$A315="","",IFERROR(CaseLedger!$AE315,""))</x:f>
      </x:c>
      <x:c r="Z315" s="52" t="str">
        <x:f>IF(CaseLedger!$A315="","",IFERROR(CaseLedger!$AF315,""))</x:f>
      </x:c>
      <x:c r="AA315" s="52" t="str">
        <x:f>IF(CaseLedger!$A315="","",IFERROR(CaseLedger!$AG315,""))</x:f>
      </x:c>
      <x:c r="AB315" s="52" t="str">
        <x:f>IF(CaseLedger!$A315="","",IFERROR(CaseLedger!$AH315,""))</x:f>
      </x:c>
      <x:c r="AC315"/>
    </x:row>
    <x:row r="316">
      <x:c r="A316" s="52" t="str">
        <x:f>IF(CaseLedger!$A316="","",IFERROR(CaseLedger!$A316,""))</x:f>
      </x:c>
      <x:c r="B316" s="52" t="str">
        <x:f>IF(CaseLedger!$A316="","",IFERROR(CaseLedger!$H316,""))</x:f>
      </x:c>
      <x:c r="C316" s="52" t="str">
        <x:f>IF(CaseLedger!$A316="","",IFERROR(CaseLedger!$I316,""))</x:f>
      </x:c>
      <x:c r="D316" s="52" t="str">
        <x:f>IF(CaseLedger!$A316="","",IFERROR(CaseLedger!$J316,""))</x:f>
      </x:c>
      <x:c r="E316" s="52" t="str">
        <x:f>IF(CaseLedger!$A316="","",IFERROR(CaseLedger!$K316,""))</x:f>
      </x:c>
      <x:c r="F316" s="52" t="str">
        <x:f>IF(CaseLedger!$A316="","",IFERROR(CaseLedger!$O316,""))</x:f>
      </x:c>
      <x:c r="G316" s="52" t="str">
        <x:f>IF(CaseLedger!$A316="","",IFERROR(CaseLedger!$E316,""))</x:f>
      </x:c>
      <x:c r="H316" s="52" t="str">
        <x:f>IF(CaseLedger!$A316="","",IFERROR(CaseLedger!$P316,""))</x:f>
      </x:c>
      <x:c r="I316" s="52" t="str">
        <x:f>IF(CaseLedger!$A316="","",IFERROR(CaseLedger!$Q316,""))</x:f>
      </x:c>
      <x:c r="J316" s="52" t="str">
        <x:f>IF(CaseLedger!$A316="","",IFERROR(CaseLedger!$R316,""))</x:f>
      </x:c>
      <x:c r="K316" s="52" t="str">
        <x:f>IF(CaseLedger!$A316="","",IFERROR(CaseLedger!$S316,""))</x:f>
      </x:c>
      <x:c r="L316" s="52" t="str">
        <x:f>IF(CaseLedger!$A316="","",IFERROR(CaseLedger!$T316,""))</x:f>
      </x:c>
      <x:c r="M316" s="52" t="str">
        <x:f>IF(CaseLedger!$A316="","",IFERROR(CaseLedger!$U316,""))</x:f>
      </x:c>
      <x:c r="N316" s="52" t="str">
        <x:f>IF(CaseLedger!$A316="","",IFERROR(CaseLedger!$V316,""))</x:f>
      </x:c>
      <x:c r="O316" s="52" t="str">
        <x:f>IF(CaseLedger!$A316="","",IFERROR(CaseLedger!$W316,""))</x:f>
      </x:c>
      <x:c r="P316" s="52" t="str">
        <x:f>IF(CaseLedger!$A316="","",IFERROR(CaseLedger!$C316,""))</x:f>
      </x:c>
      <x:c r="Q316" s="52" t="str">
        <x:f>IF(CaseLedger!$A316="","",IFERROR(CaseLedger!$D316,""))</x:f>
      </x:c>
      <x:c r="R316" s="52" t="str">
        <x:f>IF(CaseLedger!$A316="","",IFERROR(CaseLedger!$X316,""))</x:f>
      </x:c>
      <x:c r="S316" s="52" t="str">
        <x:f>IF(CaseLedger!$A316="","",IFERROR(CaseLedger!$Y316,""))</x:f>
      </x:c>
      <x:c r="T316" s="52" t="str">
        <x:f>IF(CaseLedger!$A316="","",IFERROR(CaseLedger!$Z316,""))</x:f>
      </x:c>
      <x:c r="U316" s="52" t="str">
        <x:f>IF(CaseLedger!$A316="","",IFERROR(CaseLedger!$AA316,""))</x:f>
      </x:c>
      <x:c r="V316" s="52" t="str">
        <x:f>IF(CaseLedger!$A316="","",IFERROR(CaseLedger!$AB316,""))</x:f>
      </x:c>
      <x:c r="W316" s="52" t="str">
        <x:f>IF(CaseLedger!$A316="","",IFERROR(CaseLedger!$AC316,""))</x:f>
      </x:c>
      <x:c r="X316" s="52" t="str">
        <x:f>IF(CaseLedger!$A316="","",IFERROR(CaseLedger!$AD316,""))</x:f>
      </x:c>
      <x:c r="Y316" s="52" t="str">
        <x:f>IF(CaseLedger!$A316="","",IFERROR(CaseLedger!$AE316,""))</x:f>
      </x:c>
      <x:c r="Z316" s="52" t="str">
        <x:f>IF(CaseLedger!$A316="","",IFERROR(CaseLedger!$AF316,""))</x:f>
      </x:c>
      <x:c r="AA316" s="52" t="str">
        <x:f>IF(CaseLedger!$A316="","",IFERROR(CaseLedger!$AG316,""))</x:f>
      </x:c>
      <x:c r="AB316" s="52" t="str">
        <x:f>IF(CaseLedger!$A316="","",IFERROR(CaseLedger!$AH316,""))</x:f>
      </x:c>
      <x:c r="AC316"/>
    </x:row>
    <x:row r="317">
      <x:c r="A317" s="52" t="str">
        <x:f>IF(CaseLedger!$A317="","",IFERROR(CaseLedger!$A317,""))</x:f>
      </x:c>
      <x:c r="B317" s="52" t="str">
        <x:f>IF(CaseLedger!$A317="","",IFERROR(CaseLedger!$H317,""))</x:f>
      </x:c>
      <x:c r="C317" s="52" t="str">
        <x:f>IF(CaseLedger!$A317="","",IFERROR(CaseLedger!$I317,""))</x:f>
      </x:c>
      <x:c r="D317" s="52" t="str">
        <x:f>IF(CaseLedger!$A317="","",IFERROR(CaseLedger!$J317,""))</x:f>
      </x:c>
      <x:c r="E317" s="52" t="str">
        <x:f>IF(CaseLedger!$A317="","",IFERROR(CaseLedger!$K317,""))</x:f>
      </x:c>
      <x:c r="F317" s="52" t="str">
        <x:f>IF(CaseLedger!$A317="","",IFERROR(CaseLedger!$O317,""))</x:f>
      </x:c>
      <x:c r="G317" s="52" t="str">
        <x:f>IF(CaseLedger!$A317="","",IFERROR(CaseLedger!$E317,""))</x:f>
      </x:c>
      <x:c r="H317" s="52" t="str">
        <x:f>IF(CaseLedger!$A317="","",IFERROR(CaseLedger!$P317,""))</x:f>
      </x:c>
      <x:c r="I317" s="52" t="str">
        <x:f>IF(CaseLedger!$A317="","",IFERROR(CaseLedger!$Q317,""))</x:f>
      </x:c>
      <x:c r="J317" s="52" t="str">
        <x:f>IF(CaseLedger!$A317="","",IFERROR(CaseLedger!$R317,""))</x:f>
      </x:c>
      <x:c r="K317" s="52" t="str">
        <x:f>IF(CaseLedger!$A317="","",IFERROR(CaseLedger!$S317,""))</x:f>
      </x:c>
      <x:c r="L317" s="52" t="str">
        <x:f>IF(CaseLedger!$A317="","",IFERROR(CaseLedger!$T317,""))</x:f>
      </x:c>
      <x:c r="M317" s="52" t="str">
        <x:f>IF(CaseLedger!$A317="","",IFERROR(CaseLedger!$U317,""))</x:f>
      </x:c>
      <x:c r="N317" s="52" t="str">
        <x:f>IF(CaseLedger!$A317="","",IFERROR(CaseLedger!$V317,""))</x:f>
      </x:c>
      <x:c r="O317" s="52" t="str">
        <x:f>IF(CaseLedger!$A317="","",IFERROR(CaseLedger!$W317,""))</x:f>
      </x:c>
      <x:c r="P317" s="52" t="str">
        <x:f>IF(CaseLedger!$A317="","",IFERROR(CaseLedger!$C317,""))</x:f>
      </x:c>
      <x:c r="Q317" s="52" t="str">
        <x:f>IF(CaseLedger!$A317="","",IFERROR(CaseLedger!$D317,""))</x:f>
      </x:c>
      <x:c r="R317" s="52" t="str">
        <x:f>IF(CaseLedger!$A317="","",IFERROR(CaseLedger!$X317,""))</x:f>
      </x:c>
      <x:c r="S317" s="52" t="str">
        <x:f>IF(CaseLedger!$A317="","",IFERROR(CaseLedger!$Y317,""))</x:f>
      </x:c>
      <x:c r="T317" s="52" t="str">
        <x:f>IF(CaseLedger!$A317="","",IFERROR(CaseLedger!$Z317,""))</x:f>
      </x:c>
      <x:c r="U317" s="52" t="str">
        <x:f>IF(CaseLedger!$A317="","",IFERROR(CaseLedger!$AA317,""))</x:f>
      </x:c>
      <x:c r="V317" s="52" t="str">
        <x:f>IF(CaseLedger!$A317="","",IFERROR(CaseLedger!$AB317,""))</x:f>
      </x:c>
      <x:c r="W317" s="52" t="str">
        <x:f>IF(CaseLedger!$A317="","",IFERROR(CaseLedger!$AC317,""))</x:f>
      </x:c>
      <x:c r="X317" s="52" t="str">
        <x:f>IF(CaseLedger!$A317="","",IFERROR(CaseLedger!$AD317,""))</x:f>
      </x:c>
      <x:c r="Y317" s="52" t="str">
        <x:f>IF(CaseLedger!$A317="","",IFERROR(CaseLedger!$AE317,""))</x:f>
      </x:c>
      <x:c r="Z317" s="52" t="str">
        <x:f>IF(CaseLedger!$A317="","",IFERROR(CaseLedger!$AF317,""))</x:f>
      </x:c>
      <x:c r="AA317" s="52" t="str">
        <x:f>IF(CaseLedger!$A317="","",IFERROR(CaseLedger!$AG317,""))</x:f>
      </x:c>
      <x:c r="AB317" s="52" t="str">
        <x:f>IF(CaseLedger!$A317="","",IFERROR(CaseLedger!$AH317,""))</x:f>
      </x:c>
      <x:c r="AC317"/>
    </x:row>
    <x:row r="318">
      <x:c r="A318" s="52" t="str">
        <x:f>IF(CaseLedger!$A318="","",IFERROR(CaseLedger!$A318,""))</x:f>
      </x:c>
      <x:c r="B318" s="52" t="str">
        <x:f>IF(CaseLedger!$A318="","",IFERROR(CaseLedger!$H318,""))</x:f>
      </x:c>
      <x:c r="C318" s="52" t="str">
        <x:f>IF(CaseLedger!$A318="","",IFERROR(CaseLedger!$I318,""))</x:f>
      </x:c>
      <x:c r="D318" s="52" t="str">
        <x:f>IF(CaseLedger!$A318="","",IFERROR(CaseLedger!$J318,""))</x:f>
      </x:c>
      <x:c r="E318" s="52" t="str">
        <x:f>IF(CaseLedger!$A318="","",IFERROR(CaseLedger!$K318,""))</x:f>
      </x:c>
      <x:c r="F318" s="52" t="str">
        <x:f>IF(CaseLedger!$A318="","",IFERROR(CaseLedger!$O318,""))</x:f>
      </x:c>
      <x:c r="G318" s="52" t="str">
        <x:f>IF(CaseLedger!$A318="","",IFERROR(CaseLedger!$E318,""))</x:f>
      </x:c>
      <x:c r="H318" s="52" t="str">
        <x:f>IF(CaseLedger!$A318="","",IFERROR(CaseLedger!$P318,""))</x:f>
      </x:c>
      <x:c r="I318" s="52" t="str">
        <x:f>IF(CaseLedger!$A318="","",IFERROR(CaseLedger!$Q318,""))</x:f>
      </x:c>
      <x:c r="J318" s="52" t="str">
        <x:f>IF(CaseLedger!$A318="","",IFERROR(CaseLedger!$R318,""))</x:f>
      </x:c>
      <x:c r="K318" s="52" t="str">
        <x:f>IF(CaseLedger!$A318="","",IFERROR(CaseLedger!$S318,""))</x:f>
      </x:c>
      <x:c r="L318" s="52" t="str">
        <x:f>IF(CaseLedger!$A318="","",IFERROR(CaseLedger!$T318,""))</x:f>
      </x:c>
      <x:c r="M318" s="52" t="str">
        <x:f>IF(CaseLedger!$A318="","",IFERROR(CaseLedger!$U318,""))</x:f>
      </x:c>
      <x:c r="N318" s="52" t="str">
        <x:f>IF(CaseLedger!$A318="","",IFERROR(CaseLedger!$V318,""))</x:f>
      </x:c>
      <x:c r="O318" s="52" t="str">
        <x:f>IF(CaseLedger!$A318="","",IFERROR(CaseLedger!$W318,""))</x:f>
      </x:c>
      <x:c r="P318" s="52" t="str">
        <x:f>IF(CaseLedger!$A318="","",IFERROR(CaseLedger!$C318,""))</x:f>
      </x:c>
      <x:c r="Q318" s="52" t="str">
        <x:f>IF(CaseLedger!$A318="","",IFERROR(CaseLedger!$D318,""))</x:f>
      </x:c>
      <x:c r="R318" s="52" t="str">
        <x:f>IF(CaseLedger!$A318="","",IFERROR(CaseLedger!$X318,""))</x:f>
      </x:c>
      <x:c r="S318" s="52" t="str">
        <x:f>IF(CaseLedger!$A318="","",IFERROR(CaseLedger!$Y318,""))</x:f>
      </x:c>
      <x:c r="T318" s="52" t="str">
        <x:f>IF(CaseLedger!$A318="","",IFERROR(CaseLedger!$Z318,""))</x:f>
      </x:c>
      <x:c r="U318" s="52" t="str">
        <x:f>IF(CaseLedger!$A318="","",IFERROR(CaseLedger!$AA318,""))</x:f>
      </x:c>
      <x:c r="V318" s="52" t="str">
        <x:f>IF(CaseLedger!$A318="","",IFERROR(CaseLedger!$AB318,""))</x:f>
      </x:c>
      <x:c r="W318" s="52" t="str">
        <x:f>IF(CaseLedger!$A318="","",IFERROR(CaseLedger!$AC318,""))</x:f>
      </x:c>
      <x:c r="X318" s="52" t="str">
        <x:f>IF(CaseLedger!$A318="","",IFERROR(CaseLedger!$AD318,""))</x:f>
      </x:c>
      <x:c r="Y318" s="52" t="str">
        <x:f>IF(CaseLedger!$A318="","",IFERROR(CaseLedger!$AE318,""))</x:f>
      </x:c>
      <x:c r="Z318" s="52" t="str">
        <x:f>IF(CaseLedger!$A318="","",IFERROR(CaseLedger!$AF318,""))</x:f>
      </x:c>
      <x:c r="AA318" s="52" t="str">
        <x:f>IF(CaseLedger!$A318="","",IFERROR(CaseLedger!$AG318,""))</x:f>
      </x:c>
      <x:c r="AB318" s="52" t="str">
        <x:f>IF(CaseLedger!$A318="","",IFERROR(CaseLedger!$AH318,""))</x:f>
      </x:c>
      <x:c r="AC318"/>
    </x:row>
    <x:row r="319">
      <x:c r="A319" s="52" t="str">
        <x:f>IF(CaseLedger!$A319="","",IFERROR(CaseLedger!$A319,""))</x:f>
      </x:c>
      <x:c r="B319" s="52" t="str">
        <x:f>IF(CaseLedger!$A319="","",IFERROR(CaseLedger!$H319,""))</x:f>
      </x:c>
      <x:c r="C319" s="52" t="str">
        <x:f>IF(CaseLedger!$A319="","",IFERROR(CaseLedger!$I319,""))</x:f>
      </x:c>
      <x:c r="D319" s="52" t="str">
        <x:f>IF(CaseLedger!$A319="","",IFERROR(CaseLedger!$J319,""))</x:f>
      </x:c>
      <x:c r="E319" s="52" t="str">
        <x:f>IF(CaseLedger!$A319="","",IFERROR(CaseLedger!$K319,""))</x:f>
      </x:c>
      <x:c r="F319" s="52" t="str">
        <x:f>IF(CaseLedger!$A319="","",IFERROR(CaseLedger!$O319,""))</x:f>
      </x:c>
      <x:c r="G319" s="52" t="str">
        <x:f>IF(CaseLedger!$A319="","",IFERROR(CaseLedger!$E319,""))</x:f>
      </x:c>
      <x:c r="H319" s="52" t="str">
        <x:f>IF(CaseLedger!$A319="","",IFERROR(CaseLedger!$P319,""))</x:f>
      </x:c>
      <x:c r="I319" s="52" t="str">
        <x:f>IF(CaseLedger!$A319="","",IFERROR(CaseLedger!$Q319,""))</x:f>
      </x:c>
      <x:c r="J319" s="52" t="str">
        <x:f>IF(CaseLedger!$A319="","",IFERROR(CaseLedger!$R319,""))</x:f>
      </x:c>
      <x:c r="K319" s="52" t="str">
        <x:f>IF(CaseLedger!$A319="","",IFERROR(CaseLedger!$S319,""))</x:f>
      </x:c>
      <x:c r="L319" s="52" t="str">
        <x:f>IF(CaseLedger!$A319="","",IFERROR(CaseLedger!$T319,""))</x:f>
      </x:c>
      <x:c r="M319" s="52" t="str">
        <x:f>IF(CaseLedger!$A319="","",IFERROR(CaseLedger!$U319,""))</x:f>
      </x:c>
      <x:c r="N319" s="52" t="str">
        <x:f>IF(CaseLedger!$A319="","",IFERROR(CaseLedger!$V319,""))</x:f>
      </x:c>
      <x:c r="O319" s="52" t="str">
        <x:f>IF(CaseLedger!$A319="","",IFERROR(CaseLedger!$W319,""))</x:f>
      </x:c>
      <x:c r="P319" s="52" t="str">
        <x:f>IF(CaseLedger!$A319="","",IFERROR(CaseLedger!$C319,""))</x:f>
      </x:c>
      <x:c r="Q319" s="52" t="str">
        <x:f>IF(CaseLedger!$A319="","",IFERROR(CaseLedger!$D319,""))</x:f>
      </x:c>
      <x:c r="R319" s="52" t="str">
        <x:f>IF(CaseLedger!$A319="","",IFERROR(CaseLedger!$X319,""))</x:f>
      </x:c>
      <x:c r="S319" s="52" t="str">
        <x:f>IF(CaseLedger!$A319="","",IFERROR(CaseLedger!$Y319,""))</x:f>
      </x:c>
      <x:c r="T319" s="52" t="str">
        <x:f>IF(CaseLedger!$A319="","",IFERROR(CaseLedger!$Z319,""))</x:f>
      </x:c>
      <x:c r="U319" s="52" t="str">
        <x:f>IF(CaseLedger!$A319="","",IFERROR(CaseLedger!$AA319,""))</x:f>
      </x:c>
      <x:c r="V319" s="52" t="str">
        <x:f>IF(CaseLedger!$A319="","",IFERROR(CaseLedger!$AB319,""))</x:f>
      </x:c>
      <x:c r="W319" s="52" t="str">
        <x:f>IF(CaseLedger!$A319="","",IFERROR(CaseLedger!$AC319,""))</x:f>
      </x:c>
      <x:c r="X319" s="52" t="str">
        <x:f>IF(CaseLedger!$A319="","",IFERROR(CaseLedger!$AD319,""))</x:f>
      </x:c>
      <x:c r="Y319" s="52" t="str">
        <x:f>IF(CaseLedger!$A319="","",IFERROR(CaseLedger!$AE319,""))</x:f>
      </x:c>
      <x:c r="Z319" s="52" t="str">
        <x:f>IF(CaseLedger!$A319="","",IFERROR(CaseLedger!$AF319,""))</x:f>
      </x:c>
      <x:c r="AA319" s="52" t="str">
        <x:f>IF(CaseLedger!$A319="","",IFERROR(CaseLedger!$AG319,""))</x:f>
      </x:c>
      <x:c r="AB319" s="52" t="str">
        <x:f>IF(CaseLedger!$A319="","",IFERROR(CaseLedger!$AH319,""))</x:f>
      </x:c>
      <x:c r="AC319"/>
    </x:row>
    <x:row r="320">
      <x:c r="A320" s="52" t="str">
        <x:f>IF(CaseLedger!$A320="","",IFERROR(CaseLedger!$A320,""))</x:f>
      </x:c>
      <x:c r="B320" s="52" t="str">
        <x:f>IF(CaseLedger!$A320="","",IFERROR(CaseLedger!$H320,""))</x:f>
      </x:c>
      <x:c r="C320" s="52" t="str">
        <x:f>IF(CaseLedger!$A320="","",IFERROR(CaseLedger!$I320,""))</x:f>
      </x:c>
      <x:c r="D320" s="52" t="str">
        <x:f>IF(CaseLedger!$A320="","",IFERROR(CaseLedger!$J320,""))</x:f>
      </x:c>
      <x:c r="E320" s="52" t="str">
        <x:f>IF(CaseLedger!$A320="","",IFERROR(CaseLedger!$K320,""))</x:f>
      </x:c>
      <x:c r="F320" s="52" t="str">
        <x:f>IF(CaseLedger!$A320="","",IFERROR(CaseLedger!$O320,""))</x:f>
      </x:c>
      <x:c r="G320" s="52" t="str">
        <x:f>IF(CaseLedger!$A320="","",IFERROR(CaseLedger!$E320,""))</x:f>
      </x:c>
      <x:c r="H320" s="52" t="str">
        <x:f>IF(CaseLedger!$A320="","",IFERROR(CaseLedger!$P320,""))</x:f>
      </x:c>
      <x:c r="I320" s="52" t="str">
        <x:f>IF(CaseLedger!$A320="","",IFERROR(CaseLedger!$Q320,""))</x:f>
      </x:c>
      <x:c r="J320" s="52" t="str">
        <x:f>IF(CaseLedger!$A320="","",IFERROR(CaseLedger!$R320,""))</x:f>
      </x:c>
      <x:c r="K320" s="52" t="str">
        <x:f>IF(CaseLedger!$A320="","",IFERROR(CaseLedger!$S320,""))</x:f>
      </x:c>
      <x:c r="L320" s="52" t="str">
        <x:f>IF(CaseLedger!$A320="","",IFERROR(CaseLedger!$T320,""))</x:f>
      </x:c>
      <x:c r="M320" s="52" t="str">
        <x:f>IF(CaseLedger!$A320="","",IFERROR(CaseLedger!$U320,""))</x:f>
      </x:c>
      <x:c r="N320" s="52" t="str">
        <x:f>IF(CaseLedger!$A320="","",IFERROR(CaseLedger!$V320,""))</x:f>
      </x:c>
      <x:c r="O320" s="52" t="str">
        <x:f>IF(CaseLedger!$A320="","",IFERROR(CaseLedger!$W320,""))</x:f>
      </x:c>
      <x:c r="P320" s="52" t="str">
        <x:f>IF(CaseLedger!$A320="","",IFERROR(CaseLedger!$C320,""))</x:f>
      </x:c>
      <x:c r="Q320" s="52" t="str">
        <x:f>IF(CaseLedger!$A320="","",IFERROR(CaseLedger!$D320,""))</x:f>
      </x:c>
      <x:c r="R320" s="52" t="str">
        <x:f>IF(CaseLedger!$A320="","",IFERROR(CaseLedger!$X320,""))</x:f>
      </x:c>
      <x:c r="S320" s="52" t="str">
        <x:f>IF(CaseLedger!$A320="","",IFERROR(CaseLedger!$Y320,""))</x:f>
      </x:c>
      <x:c r="T320" s="52" t="str">
        <x:f>IF(CaseLedger!$A320="","",IFERROR(CaseLedger!$Z320,""))</x:f>
      </x:c>
      <x:c r="U320" s="52" t="str">
        <x:f>IF(CaseLedger!$A320="","",IFERROR(CaseLedger!$AA320,""))</x:f>
      </x:c>
      <x:c r="V320" s="52" t="str">
        <x:f>IF(CaseLedger!$A320="","",IFERROR(CaseLedger!$AB320,""))</x:f>
      </x:c>
      <x:c r="W320" s="52" t="str">
        <x:f>IF(CaseLedger!$A320="","",IFERROR(CaseLedger!$AC320,""))</x:f>
      </x:c>
      <x:c r="X320" s="52" t="str">
        <x:f>IF(CaseLedger!$A320="","",IFERROR(CaseLedger!$AD320,""))</x:f>
      </x:c>
      <x:c r="Y320" s="52" t="str">
        <x:f>IF(CaseLedger!$A320="","",IFERROR(CaseLedger!$AE320,""))</x:f>
      </x:c>
      <x:c r="Z320" s="52" t="str">
        <x:f>IF(CaseLedger!$A320="","",IFERROR(CaseLedger!$AF320,""))</x:f>
      </x:c>
      <x:c r="AA320" s="52" t="str">
        <x:f>IF(CaseLedger!$A320="","",IFERROR(CaseLedger!$AG320,""))</x:f>
      </x:c>
      <x:c r="AB320" s="52" t="str">
        <x:f>IF(CaseLedger!$A320="","",IFERROR(CaseLedger!$AH320,""))</x:f>
      </x:c>
      <x:c r="AC320"/>
    </x:row>
    <x:row r="321">
      <x:c r="A321" s="52" t="str">
        <x:f>IF(CaseLedger!$A321="","",IFERROR(CaseLedger!$A321,""))</x:f>
      </x:c>
      <x:c r="B321" s="52" t="str">
        <x:f>IF(CaseLedger!$A321="","",IFERROR(CaseLedger!$H321,""))</x:f>
      </x:c>
      <x:c r="C321" s="52" t="str">
        <x:f>IF(CaseLedger!$A321="","",IFERROR(CaseLedger!$I321,""))</x:f>
      </x:c>
      <x:c r="D321" s="52" t="str">
        <x:f>IF(CaseLedger!$A321="","",IFERROR(CaseLedger!$J321,""))</x:f>
      </x:c>
      <x:c r="E321" s="52" t="str">
        <x:f>IF(CaseLedger!$A321="","",IFERROR(CaseLedger!$K321,""))</x:f>
      </x:c>
      <x:c r="F321" s="52" t="str">
        <x:f>IF(CaseLedger!$A321="","",IFERROR(CaseLedger!$O321,""))</x:f>
      </x:c>
      <x:c r="G321" s="52" t="str">
        <x:f>IF(CaseLedger!$A321="","",IFERROR(CaseLedger!$E321,""))</x:f>
      </x:c>
      <x:c r="H321" s="52" t="str">
        <x:f>IF(CaseLedger!$A321="","",IFERROR(CaseLedger!$P321,""))</x:f>
      </x:c>
      <x:c r="I321" s="52" t="str">
        <x:f>IF(CaseLedger!$A321="","",IFERROR(CaseLedger!$Q321,""))</x:f>
      </x:c>
      <x:c r="J321" s="52" t="str">
        <x:f>IF(CaseLedger!$A321="","",IFERROR(CaseLedger!$R321,""))</x:f>
      </x:c>
      <x:c r="K321" s="52" t="str">
        <x:f>IF(CaseLedger!$A321="","",IFERROR(CaseLedger!$S321,""))</x:f>
      </x:c>
      <x:c r="L321" s="52" t="str">
        <x:f>IF(CaseLedger!$A321="","",IFERROR(CaseLedger!$T321,""))</x:f>
      </x:c>
      <x:c r="M321" s="52" t="str">
        <x:f>IF(CaseLedger!$A321="","",IFERROR(CaseLedger!$U321,""))</x:f>
      </x:c>
      <x:c r="N321" s="52" t="str">
        <x:f>IF(CaseLedger!$A321="","",IFERROR(CaseLedger!$V321,""))</x:f>
      </x:c>
      <x:c r="O321" s="52" t="str">
        <x:f>IF(CaseLedger!$A321="","",IFERROR(CaseLedger!$W321,""))</x:f>
      </x:c>
      <x:c r="P321" s="52" t="str">
        <x:f>IF(CaseLedger!$A321="","",IFERROR(CaseLedger!$C321,""))</x:f>
      </x:c>
      <x:c r="Q321" s="52" t="str">
        <x:f>IF(CaseLedger!$A321="","",IFERROR(CaseLedger!$D321,""))</x:f>
      </x:c>
      <x:c r="R321" s="52" t="str">
        <x:f>IF(CaseLedger!$A321="","",IFERROR(CaseLedger!$X321,""))</x:f>
      </x:c>
      <x:c r="S321" s="52" t="str">
        <x:f>IF(CaseLedger!$A321="","",IFERROR(CaseLedger!$Y321,""))</x:f>
      </x:c>
      <x:c r="T321" s="52" t="str">
        <x:f>IF(CaseLedger!$A321="","",IFERROR(CaseLedger!$Z321,""))</x:f>
      </x:c>
      <x:c r="U321" s="52" t="str">
        <x:f>IF(CaseLedger!$A321="","",IFERROR(CaseLedger!$AA321,""))</x:f>
      </x:c>
      <x:c r="V321" s="52" t="str">
        <x:f>IF(CaseLedger!$A321="","",IFERROR(CaseLedger!$AB321,""))</x:f>
      </x:c>
      <x:c r="W321" s="52" t="str">
        <x:f>IF(CaseLedger!$A321="","",IFERROR(CaseLedger!$AC321,""))</x:f>
      </x:c>
      <x:c r="X321" s="52" t="str">
        <x:f>IF(CaseLedger!$A321="","",IFERROR(CaseLedger!$AD321,""))</x:f>
      </x:c>
      <x:c r="Y321" s="52" t="str">
        <x:f>IF(CaseLedger!$A321="","",IFERROR(CaseLedger!$AE321,""))</x:f>
      </x:c>
      <x:c r="Z321" s="52" t="str">
        <x:f>IF(CaseLedger!$A321="","",IFERROR(CaseLedger!$AF321,""))</x:f>
      </x:c>
      <x:c r="AA321" s="52" t="str">
        <x:f>IF(CaseLedger!$A321="","",IFERROR(CaseLedger!$AG321,""))</x:f>
      </x:c>
      <x:c r="AB321" s="52" t="str">
        <x:f>IF(CaseLedger!$A321="","",IFERROR(CaseLedger!$AH321,""))</x:f>
      </x:c>
      <x:c r="AC321"/>
    </x:row>
    <x:row r="322">
      <x:c r="A322" s="52" t="str">
        <x:f>IF(CaseLedger!$A322="","",IFERROR(CaseLedger!$A322,""))</x:f>
      </x:c>
      <x:c r="B322" s="52" t="str">
        <x:f>IF(CaseLedger!$A322="","",IFERROR(CaseLedger!$H322,""))</x:f>
      </x:c>
      <x:c r="C322" s="52" t="str">
        <x:f>IF(CaseLedger!$A322="","",IFERROR(CaseLedger!$I322,""))</x:f>
      </x:c>
      <x:c r="D322" s="52" t="str">
        <x:f>IF(CaseLedger!$A322="","",IFERROR(CaseLedger!$J322,""))</x:f>
      </x:c>
      <x:c r="E322" s="52" t="str">
        <x:f>IF(CaseLedger!$A322="","",IFERROR(CaseLedger!$K322,""))</x:f>
      </x:c>
      <x:c r="F322" s="52" t="str">
        <x:f>IF(CaseLedger!$A322="","",IFERROR(CaseLedger!$O322,""))</x:f>
      </x:c>
      <x:c r="G322" s="52" t="str">
        <x:f>IF(CaseLedger!$A322="","",IFERROR(CaseLedger!$E322,""))</x:f>
      </x:c>
      <x:c r="H322" s="52" t="str">
        <x:f>IF(CaseLedger!$A322="","",IFERROR(CaseLedger!$P322,""))</x:f>
      </x:c>
      <x:c r="I322" s="52" t="str">
        <x:f>IF(CaseLedger!$A322="","",IFERROR(CaseLedger!$Q322,""))</x:f>
      </x:c>
      <x:c r="J322" s="52" t="str">
        <x:f>IF(CaseLedger!$A322="","",IFERROR(CaseLedger!$R322,""))</x:f>
      </x:c>
      <x:c r="K322" s="52" t="str">
        <x:f>IF(CaseLedger!$A322="","",IFERROR(CaseLedger!$S322,""))</x:f>
      </x:c>
      <x:c r="L322" s="52" t="str">
        <x:f>IF(CaseLedger!$A322="","",IFERROR(CaseLedger!$T322,""))</x:f>
      </x:c>
      <x:c r="M322" s="52" t="str">
        <x:f>IF(CaseLedger!$A322="","",IFERROR(CaseLedger!$U322,""))</x:f>
      </x:c>
      <x:c r="N322" s="52" t="str">
        <x:f>IF(CaseLedger!$A322="","",IFERROR(CaseLedger!$V322,""))</x:f>
      </x:c>
      <x:c r="O322" s="52" t="str">
        <x:f>IF(CaseLedger!$A322="","",IFERROR(CaseLedger!$W322,""))</x:f>
      </x:c>
      <x:c r="P322" s="52" t="str">
        <x:f>IF(CaseLedger!$A322="","",IFERROR(CaseLedger!$C322,""))</x:f>
      </x:c>
      <x:c r="Q322" s="52" t="str">
        <x:f>IF(CaseLedger!$A322="","",IFERROR(CaseLedger!$D322,""))</x:f>
      </x:c>
      <x:c r="R322" s="52" t="str">
        <x:f>IF(CaseLedger!$A322="","",IFERROR(CaseLedger!$X322,""))</x:f>
      </x:c>
      <x:c r="S322" s="52" t="str">
        <x:f>IF(CaseLedger!$A322="","",IFERROR(CaseLedger!$Y322,""))</x:f>
      </x:c>
      <x:c r="T322" s="52" t="str">
        <x:f>IF(CaseLedger!$A322="","",IFERROR(CaseLedger!$Z322,""))</x:f>
      </x:c>
      <x:c r="U322" s="52" t="str">
        <x:f>IF(CaseLedger!$A322="","",IFERROR(CaseLedger!$AA322,""))</x:f>
      </x:c>
      <x:c r="V322" s="52" t="str">
        <x:f>IF(CaseLedger!$A322="","",IFERROR(CaseLedger!$AB322,""))</x:f>
      </x:c>
      <x:c r="W322" s="52" t="str">
        <x:f>IF(CaseLedger!$A322="","",IFERROR(CaseLedger!$AC322,""))</x:f>
      </x:c>
      <x:c r="X322" s="52" t="str">
        <x:f>IF(CaseLedger!$A322="","",IFERROR(CaseLedger!$AD322,""))</x:f>
      </x:c>
      <x:c r="Y322" s="52" t="str">
        <x:f>IF(CaseLedger!$A322="","",IFERROR(CaseLedger!$AE322,""))</x:f>
      </x:c>
      <x:c r="Z322" s="52" t="str">
        <x:f>IF(CaseLedger!$A322="","",IFERROR(CaseLedger!$AF322,""))</x:f>
      </x:c>
      <x:c r="AA322" s="52" t="str">
        <x:f>IF(CaseLedger!$A322="","",IFERROR(CaseLedger!$AG322,""))</x:f>
      </x:c>
      <x:c r="AB322" s="52" t="str">
        <x:f>IF(CaseLedger!$A322="","",IFERROR(CaseLedger!$AH322,""))</x:f>
      </x:c>
      <x:c r="AC322"/>
    </x:row>
    <x:row r="323">
      <x:c r="A323" s="52" t="str">
        <x:f>IF(CaseLedger!$A323="","",IFERROR(CaseLedger!$A323,""))</x:f>
      </x:c>
      <x:c r="B323" s="52" t="str">
        <x:f>IF(CaseLedger!$A323="","",IFERROR(CaseLedger!$H323,""))</x:f>
      </x:c>
      <x:c r="C323" s="52" t="str">
        <x:f>IF(CaseLedger!$A323="","",IFERROR(CaseLedger!$I323,""))</x:f>
      </x:c>
      <x:c r="D323" s="52" t="str">
        <x:f>IF(CaseLedger!$A323="","",IFERROR(CaseLedger!$J323,""))</x:f>
      </x:c>
      <x:c r="E323" s="52" t="str">
        <x:f>IF(CaseLedger!$A323="","",IFERROR(CaseLedger!$K323,""))</x:f>
      </x:c>
      <x:c r="F323" s="52" t="str">
        <x:f>IF(CaseLedger!$A323="","",IFERROR(CaseLedger!$O323,""))</x:f>
      </x:c>
      <x:c r="G323" s="52" t="str">
        <x:f>IF(CaseLedger!$A323="","",IFERROR(CaseLedger!$E323,""))</x:f>
      </x:c>
      <x:c r="H323" s="52" t="str">
        <x:f>IF(CaseLedger!$A323="","",IFERROR(CaseLedger!$P323,""))</x:f>
      </x:c>
      <x:c r="I323" s="52" t="str">
        <x:f>IF(CaseLedger!$A323="","",IFERROR(CaseLedger!$Q323,""))</x:f>
      </x:c>
      <x:c r="J323" s="52" t="str">
        <x:f>IF(CaseLedger!$A323="","",IFERROR(CaseLedger!$R323,""))</x:f>
      </x:c>
      <x:c r="K323" s="52" t="str">
        <x:f>IF(CaseLedger!$A323="","",IFERROR(CaseLedger!$S323,""))</x:f>
      </x:c>
      <x:c r="L323" s="52" t="str">
        <x:f>IF(CaseLedger!$A323="","",IFERROR(CaseLedger!$T323,""))</x:f>
      </x:c>
      <x:c r="M323" s="52" t="str">
        <x:f>IF(CaseLedger!$A323="","",IFERROR(CaseLedger!$U323,""))</x:f>
      </x:c>
      <x:c r="N323" s="52" t="str">
        <x:f>IF(CaseLedger!$A323="","",IFERROR(CaseLedger!$V323,""))</x:f>
      </x:c>
      <x:c r="O323" s="52" t="str">
        <x:f>IF(CaseLedger!$A323="","",IFERROR(CaseLedger!$W323,""))</x:f>
      </x:c>
      <x:c r="P323" s="52" t="str">
        <x:f>IF(CaseLedger!$A323="","",IFERROR(CaseLedger!$C323,""))</x:f>
      </x:c>
      <x:c r="Q323" s="52" t="str">
        <x:f>IF(CaseLedger!$A323="","",IFERROR(CaseLedger!$D323,""))</x:f>
      </x:c>
      <x:c r="R323" s="52" t="str">
        <x:f>IF(CaseLedger!$A323="","",IFERROR(CaseLedger!$X323,""))</x:f>
      </x:c>
      <x:c r="S323" s="52" t="str">
        <x:f>IF(CaseLedger!$A323="","",IFERROR(CaseLedger!$Y323,""))</x:f>
      </x:c>
      <x:c r="T323" s="52" t="str">
        <x:f>IF(CaseLedger!$A323="","",IFERROR(CaseLedger!$Z323,""))</x:f>
      </x:c>
      <x:c r="U323" s="52" t="str">
        <x:f>IF(CaseLedger!$A323="","",IFERROR(CaseLedger!$AA323,""))</x:f>
      </x:c>
      <x:c r="V323" s="52" t="str">
        <x:f>IF(CaseLedger!$A323="","",IFERROR(CaseLedger!$AB323,""))</x:f>
      </x:c>
      <x:c r="W323" s="52" t="str">
        <x:f>IF(CaseLedger!$A323="","",IFERROR(CaseLedger!$AC323,""))</x:f>
      </x:c>
      <x:c r="X323" s="52" t="str">
        <x:f>IF(CaseLedger!$A323="","",IFERROR(CaseLedger!$AD323,""))</x:f>
      </x:c>
      <x:c r="Y323" s="52" t="str">
        <x:f>IF(CaseLedger!$A323="","",IFERROR(CaseLedger!$AE323,""))</x:f>
      </x:c>
      <x:c r="Z323" s="52" t="str">
        <x:f>IF(CaseLedger!$A323="","",IFERROR(CaseLedger!$AF323,""))</x:f>
      </x:c>
      <x:c r="AA323" s="52" t="str">
        <x:f>IF(CaseLedger!$A323="","",IFERROR(CaseLedger!$AG323,""))</x:f>
      </x:c>
      <x:c r="AB323" s="52" t="str">
        <x:f>IF(CaseLedger!$A323="","",IFERROR(CaseLedger!$AH323,""))</x:f>
      </x:c>
      <x:c r="AC323"/>
    </x:row>
    <x:row r="324">
      <x:c r="A324" s="52" t="str">
        <x:f>IF(CaseLedger!$A324="","",IFERROR(CaseLedger!$A324,""))</x:f>
      </x:c>
      <x:c r="B324" s="52" t="str">
        <x:f>IF(CaseLedger!$A324="","",IFERROR(CaseLedger!$H324,""))</x:f>
      </x:c>
      <x:c r="C324" s="52" t="str">
        <x:f>IF(CaseLedger!$A324="","",IFERROR(CaseLedger!$I324,""))</x:f>
      </x:c>
      <x:c r="D324" s="52" t="str">
        <x:f>IF(CaseLedger!$A324="","",IFERROR(CaseLedger!$J324,""))</x:f>
      </x:c>
      <x:c r="E324" s="52" t="str">
        <x:f>IF(CaseLedger!$A324="","",IFERROR(CaseLedger!$K324,""))</x:f>
      </x:c>
      <x:c r="F324" s="52" t="str">
        <x:f>IF(CaseLedger!$A324="","",IFERROR(CaseLedger!$O324,""))</x:f>
      </x:c>
      <x:c r="G324" s="52" t="str">
        <x:f>IF(CaseLedger!$A324="","",IFERROR(CaseLedger!$E324,""))</x:f>
      </x:c>
      <x:c r="H324" s="52" t="str">
        <x:f>IF(CaseLedger!$A324="","",IFERROR(CaseLedger!$P324,""))</x:f>
      </x:c>
      <x:c r="I324" s="52" t="str">
        <x:f>IF(CaseLedger!$A324="","",IFERROR(CaseLedger!$Q324,""))</x:f>
      </x:c>
      <x:c r="J324" s="52" t="str">
        <x:f>IF(CaseLedger!$A324="","",IFERROR(CaseLedger!$R324,""))</x:f>
      </x:c>
      <x:c r="K324" s="52" t="str">
        <x:f>IF(CaseLedger!$A324="","",IFERROR(CaseLedger!$S324,""))</x:f>
      </x:c>
      <x:c r="L324" s="52" t="str">
        <x:f>IF(CaseLedger!$A324="","",IFERROR(CaseLedger!$T324,""))</x:f>
      </x:c>
      <x:c r="M324" s="52" t="str">
        <x:f>IF(CaseLedger!$A324="","",IFERROR(CaseLedger!$U324,""))</x:f>
      </x:c>
      <x:c r="N324" s="52" t="str">
        <x:f>IF(CaseLedger!$A324="","",IFERROR(CaseLedger!$V324,""))</x:f>
      </x:c>
      <x:c r="O324" s="52" t="str">
        <x:f>IF(CaseLedger!$A324="","",IFERROR(CaseLedger!$W324,""))</x:f>
      </x:c>
      <x:c r="P324" s="52" t="str">
        <x:f>IF(CaseLedger!$A324="","",IFERROR(CaseLedger!$C324,""))</x:f>
      </x:c>
      <x:c r="Q324" s="52" t="str">
        <x:f>IF(CaseLedger!$A324="","",IFERROR(CaseLedger!$D324,""))</x:f>
      </x:c>
      <x:c r="R324" s="52" t="str">
        <x:f>IF(CaseLedger!$A324="","",IFERROR(CaseLedger!$X324,""))</x:f>
      </x:c>
      <x:c r="S324" s="52" t="str">
        <x:f>IF(CaseLedger!$A324="","",IFERROR(CaseLedger!$Y324,""))</x:f>
      </x:c>
      <x:c r="T324" s="52" t="str">
        <x:f>IF(CaseLedger!$A324="","",IFERROR(CaseLedger!$Z324,""))</x:f>
      </x:c>
      <x:c r="U324" s="52" t="str">
        <x:f>IF(CaseLedger!$A324="","",IFERROR(CaseLedger!$AA324,""))</x:f>
      </x:c>
      <x:c r="V324" s="52" t="str">
        <x:f>IF(CaseLedger!$A324="","",IFERROR(CaseLedger!$AB324,""))</x:f>
      </x:c>
      <x:c r="W324" s="52" t="str">
        <x:f>IF(CaseLedger!$A324="","",IFERROR(CaseLedger!$AC324,""))</x:f>
      </x:c>
      <x:c r="X324" s="52" t="str">
        <x:f>IF(CaseLedger!$A324="","",IFERROR(CaseLedger!$AD324,""))</x:f>
      </x:c>
      <x:c r="Y324" s="52" t="str">
        <x:f>IF(CaseLedger!$A324="","",IFERROR(CaseLedger!$AE324,""))</x:f>
      </x:c>
      <x:c r="Z324" s="52" t="str">
        <x:f>IF(CaseLedger!$A324="","",IFERROR(CaseLedger!$AF324,""))</x:f>
      </x:c>
      <x:c r="AA324" s="52" t="str">
        <x:f>IF(CaseLedger!$A324="","",IFERROR(CaseLedger!$AG324,""))</x:f>
      </x:c>
      <x:c r="AB324" s="52" t="str">
        <x:f>IF(CaseLedger!$A324="","",IFERROR(CaseLedger!$AH324,""))</x:f>
      </x:c>
      <x:c r="AC324"/>
    </x:row>
    <x:row r="325">
      <x:c r="A325" s="52" t="str">
        <x:f>IF(CaseLedger!$A325="","",IFERROR(CaseLedger!$A325,""))</x:f>
      </x:c>
      <x:c r="B325" s="52" t="str">
        <x:f>IF(CaseLedger!$A325="","",IFERROR(CaseLedger!$H325,""))</x:f>
      </x:c>
      <x:c r="C325" s="52" t="str">
        <x:f>IF(CaseLedger!$A325="","",IFERROR(CaseLedger!$I325,""))</x:f>
      </x:c>
      <x:c r="D325" s="52" t="str">
        <x:f>IF(CaseLedger!$A325="","",IFERROR(CaseLedger!$J325,""))</x:f>
      </x:c>
      <x:c r="E325" s="52" t="str">
        <x:f>IF(CaseLedger!$A325="","",IFERROR(CaseLedger!$K325,""))</x:f>
      </x:c>
      <x:c r="F325" s="52" t="str">
        <x:f>IF(CaseLedger!$A325="","",IFERROR(CaseLedger!$O325,""))</x:f>
      </x:c>
      <x:c r="G325" s="52" t="str">
        <x:f>IF(CaseLedger!$A325="","",IFERROR(CaseLedger!$E325,""))</x:f>
      </x:c>
      <x:c r="H325" s="52" t="str">
        <x:f>IF(CaseLedger!$A325="","",IFERROR(CaseLedger!$P325,""))</x:f>
      </x:c>
      <x:c r="I325" s="52" t="str">
        <x:f>IF(CaseLedger!$A325="","",IFERROR(CaseLedger!$Q325,""))</x:f>
      </x:c>
      <x:c r="J325" s="52" t="str">
        <x:f>IF(CaseLedger!$A325="","",IFERROR(CaseLedger!$R325,""))</x:f>
      </x:c>
      <x:c r="K325" s="52" t="str">
        <x:f>IF(CaseLedger!$A325="","",IFERROR(CaseLedger!$S325,""))</x:f>
      </x:c>
      <x:c r="L325" s="52" t="str">
        <x:f>IF(CaseLedger!$A325="","",IFERROR(CaseLedger!$T325,""))</x:f>
      </x:c>
      <x:c r="M325" s="52" t="str">
        <x:f>IF(CaseLedger!$A325="","",IFERROR(CaseLedger!$U325,""))</x:f>
      </x:c>
      <x:c r="N325" s="52" t="str">
        <x:f>IF(CaseLedger!$A325="","",IFERROR(CaseLedger!$V325,""))</x:f>
      </x:c>
      <x:c r="O325" s="52" t="str">
        <x:f>IF(CaseLedger!$A325="","",IFERROR(CaseLedger!$W325,""))</x:f>
      </x:c>
      <x:c r="P325" s="52" t="str">
        <x:f>IF(CaseLedger!$A325="","",IFERROR(CaseLedger!$C325,""))</x:f>
      </x:c>
      <x:c r="Q325" s="52" t="str">
        <x:f>IF(CaseLedger!$A325="","",IFERROR(CaseLedger!$D325,""))</x:f>
      </x:c>
      <x:c r="R325" s="52" t="str">
        <x:f>IF(CaseLedger!$A325="","",IFERROR(CaseLedger!$X325,""))</x:f>
      </x:c>
      <x:c r="S325" s="52" t="str">
        <x:f>IF(CaseLedger!$A325="","",IFERROR(CaseLedger!$Y325,""))</x:f>
      </x:c>
      <x:c r="T325" s="52" t="str">
        <x:f>IF(CaseLedger!$A325="","",IFERROR(CaseLedger!$Z325,""))</x:f>
      </x:c>
      <x:c r="U325" s="52" t="str">
        <x:f>IF(CaseLedger!$A325="","",IFERROR(CaseLedger!$AA325,""))</x:f>
      </x:c>
      <x:c r="V325" s="52" t="str">
        <x:f>IF(CaseLedger!$A325="","",IFERROR(CaseLedger!$AB325,""))</x:f>
      </x:c>
      <x:c r="W325" s="52" t="str">
        <x:f>IF(CaseLedger!$A325="","",IFERROR(CaseLedger!$AC325,""))</x:f>
      </x:c>
      <x:c r="X325" s="52" t="str">
        <x:f>IF(CaseLedger!$A325="","",IFERROR(CaseLedger!$AD325,""))</x:f>
      </x:c>
      <x:c r="Y325" s="52" t="str">
        <x:f>IF(CaseLedger!$A325="","",IFERROR(CaseLedger!$AE325,""))</x:f>
      </x:c>
      <x:c r="Z325" s="52" t="str">
        <x:f>IF(CaseLedger!$A325="","",IFERROR(CaseLedger!$AF325,""))</x:f>
      </x:c>
      <x:c r="AA325" s="52" t="str">
        <x:f>IF(CaseLedger!$A325="","",IFERROR(CaseLedger!$AG325,""))</x:f>
      </x:c>
      <x:c r="AB325" s="52" t="str">
        <x:f>IF(CaseLedger!$A325="","",IFERROR(CaseLedger!$AH325,""))</x:f>
      </x:c>
      <x:c r="AC325"/>
    </x:row>
    <x:row r="326">
      <x:c r="A326" s="52" t="str">
        <x:f>IF(CaseLedger!$A326="","",IFERROR(CaseLedger!$A326,""))</x:f>
      </x:c>
      <x:c r="B326" s="52" t="str">
        <x:f>IF(CaseLedger!$A326="","",IFERROR(CaseLedger!$H326,""))</x:f>
      </x:c>
      <x:c r="C326" s="52" t="str">
        <x:f>IF(CaseLedger!$A326="","",IFERROR(CaseLedger!$I326,""))</x:f>
      </x:c>
      <x:c r="D326" s="52" t="str">
        <x:f>IF(CaseLedger!$A326="","",IFERROR(CaseLedger!$J326,""))</x:f>
      </x:c>
      <x:c r="E326" s="52" t="str">
        <x:f>IF(CaseLedger!$A326="","",IFERROR(CaseLedger!$K326,""))</x:f>
      </x:c>
      <x:c r="F326" s="52" t="str">
        <x:f>IF(CaseLedger!$A326="","",IFERROR(CaseLedger!$O326,""))</x:f>
      </x:c>
      <x:c r="G326" s="52" t="str">
        <x:f>IF(CaseLedger!$A326="","",IFERROR(CaseLedger!$E326,""))</x:f>
      </x:c>
      <x:c r="H326" s="52" t="str">
        <x:f>IF(CaseLedger!$A326="","",IFERROR(CaseLedger!$P326,""))</x:f>
      </x:c>
      <x:c r="I326" s="52" t="str">
        <x:f>IF(CaseLedger!$A326="","",IFERROR(CaseLedger!$Q326,""))</x:f>
      </x:c>
      <x:c r="J326" s="52" t="str">
        <x:f>IF(CaseLedger!$A326="","",IFERROR(CaseLedger!$R326,""))</x:f>
      </x:c>
      <x:c r="K326" s="52" t="str">
        <x:f>IF(CaseLedger!$A326="","",IFERROR(CaseLedger!$S326,""))</x:f>
      </x:c>
      <x:c r="L326" s="52" t="str">
        <x:f>IF(CaseLedger!$A326="","",IFERROR(CaseLedger!$T326,""))</x:f>
      </x:c>
      <x:c r="M326" s="52" t="str">
        <x:f>IF(CaseLedger!$A326="","",IFERROR(CaseLedger!$U326,""))</x:f>
      </x:c>
      <x:c r="N326" s="52" t="str">
        <x:f>IF(CaseLedger!$A326="","",IFERROR(CaseLedger!$V326,""))</x:f>
      </x:c>
      <x:c r="O326" s="52" t="str">
        <x:f>IF(CaseLedger!$A326="","",IFERROR(CaseLedger!$W326,""))</x:f>
      </x:c>
      <x:c r="P326" s="52" t="str">
        <x:f>IF(CaseLedger!$A326="","",IFERROR(CaseLedger!$C326,""))</x:f>
      </x:c>
      <x:c r="Q326" s="52" t="str">
        <x:f>IF(CaseLedger!$A326="","",IFERROR(CaseLedger!$D326,""))</x:f>
      </x:c>
      <x:c r="R326" s="52" t="str">
        <x:f>IF(CaseLedger!$A326="","",IFERROR(CaseLedger!$X326,""))</x:f>
      </x:c>
      <x:c r="S326" s="52" t="str">
        <x:f>IF(CaseLedger!$A326="","",IFERROR(CaseLedger!$Y326,""))</x:f>
      </x:c>
      <x:c r="T326" s="52" t="str">
        <x:f>IF(CaseLedger!$A326="","",IFERROR(CaseLedger!$Z326,""))</x:f>
      </x:c>
      <x:c r="U326" s="52" t="str">
        <x:f>IF(CaseLedger!$A326="","",IFERROR(CaseLedger!$AA326,""))</x:f>
      </x:c>
      <x:c r="V326" s="52" t="str">
        <x:f>IF(CaseLedger!$A326="","",IFERROR(CaseLedger!$AB326,""))</x:f>
      </x:c>
      <x:c r="W326" s="52" t="str">
        <x:f>IF(CaseLedger!$A326="","",IFERROR(CaseLedger!$AC326,""))</x:f>
      </x:c>
      <x:c r="X326" s="52" t="str">
        <x:f>IF(CaseLedger!$A326="","",IFERROR(CaseLedger!$AD326,""))</x:f>
      </x:c>
      <x:c r="Y326" s="52" t="str">
        <x:f>IF(CaseLedger!$A326="","",IFERROR(CaseLedger!$AE326,""))</x:f>
      </x:c>
      <x:c r="Z326" s="52" t="str">
        <x:f>IF(CaseLedger!$A326="","",IFERROR(CaseLedger!$AF326,""))</x:f>
      </x:c>
      <x:c r="AA326" s="52" t="str">
        <x:f>IF(CaseLedger!$A326="","",IFERROR(CaseLedger!$AG326,""))</x:f>
      </x:c>
      <x:c r="AB326" s="52" t="str">
        <x:f>IF(CaseLedger!$A326="","",IFERROR(CaseLedger!$AH326,""))</x:f>
      </x:c>
      <x:c r="AC326"/>
    </x:row>
    <x:row r="327">
      <x:c r="A327" s="52" t="str">
        <x:f>IF(CaseLedger!$A327="","",IFERROR(CaseLedger!$A327,""))</x:f>
      </x:c>
      <x:c r="B327" s="52" t="str">
        <x:f>IF(CaseLedger!$A327="","",IFERROR(CaseLedger!$H327,""))</x:f>
      </x:c>
      <x:c r="C327" s="52" t="str">
        <x:f>IF(CaseLedger!$A327="","",IFERROR(CaseLedger!$I327,""))</x:f>
      </x:c>
      <x:c r="D327" s="52" t="str">
        <x:f>IF(CaseLedger!$A327="","",IFERROR(CaseLedger!$J327,""))</x:f>
      </x:c>
      <x:c r="E327" s="52" t="str">
        <x:f>IF(CaseLedger!$A327="","",IFERROR(CaseLedger!$K327,""))</x:f>
      </x:c>
      <x:c r="F327" s="52" t="str">
        <x:f>IF(CaseLedger!$A327="","",IFERROR(CaseLedger!$O327,""))</x:f>
      </x:c>
      <x:c r="G327" s="52" t="str">
        <x:f>IF(CaseLedger!$A327="","",IFERROR(CaseLedger!$E327,""))</x:f>
      </x:c>
      <x:c r="H327" s="52" t="str">
        <x:f>IF(CaseLedger!$A327="","",IFERROR(CaseLedger!$P327,""))</x:f>
      </x:c>
      <x:c r="I327" s="52" t="str">
        <x:f>IF(CaseLedger!$A327="","",IFERROR(CaseLedger!$Q327,""))</x:f>
      </x:c>
      <x:c r="J327" s="52" t="str">
        <x:f>IF(CaseLedger!$A327="","",IFERROR(CaseLedger!$R327,""))</x:f>
      </x:c>
      <x:c r="K327" s="52" t="str">
        <x:f>IF(CaseLedger!$A327="","",IFERROR(CaseLedger!$S327,""))</x:f>
      </x:c>
      <x:c r="L327" s="52" t="str">
        <x:f>IF(CaseLedger!$A327="","",IFERROR(CaseLedger!$T327,""))</x:f>
      </x:c>
      <x:c r="M327" s="52" t="str">
        <x:f>IF(CaseLedger!$A327="","",IFERROR(CaseLedger!$U327,""))</x:f>
      </x:c>
      <x:c r="N327" s="52" t="str">
        <x:f>IF(CaseLedger!$A327="","",IFERROR(CaseLedger!$V327,""))</x:f>
      </x:c>
      <x:c r="O327" s="52" t="str">
        <x:f>IF(CaseLedger!$A327="","",IFERROR(CaseLedger!$W327,""))</x:f>
      </x:c>
      <x:c r="P327" s="52" t="str">
        <x:f>IF(CaseLedger!$A327="","",IFERROR(CaseLedger!$C327,""))</x:f>
      </x:c>
      <x:c r="Q327" s="52" t="str">
        <x:f>IF(CaseLedger!$A327="","",IFERROR(CaseLedger!$D327,""))</x:f>
      </x:c>
      <x:c r="R327" s="52" t="str">
        <x:f>IF(CaseLedger!$A327="","",IFERROR(CaseLedger!$X327,""))</x:f>
      </x:c>
      <x:c r="S327" s="52" t="str">
        <x:f>IF(CaseLedger!$A327="","",IFERROR(CaseLedger!$Y327,""))</x:f>
      </x:c>
      <x:c r="T327" s="52" t="str">
        <x:f>IF(CaseLedger!$A327="","",IFERROR(CaseLedger!$Z327,""))</x:f>
      </x:c>
      <x:c r="U327" s="52" t="str">
        <x:f>IF(CaseLedger!$A327="","",IFERROR(CaseLedger!$AA327,""))</x:f>
      </x:c>
      <x:c r="V327" s="52" t="str">
        <x:f>IF(CaseLedger!$A327="","",IFERROR(CaseLedger!$AB327,""))</x:f>
      </x:c>
      <x:c r="W327" s="52" t="str">
        <x:f>IF(CaseLedger!$A327="","",IFERROR(CaseLedger!$AC327,""))</x:f>
      </x:c>
      <x:c r="X327" s="52" t="str">
        <x:f>IF(CaseLedger!$A327="","",IFERROR(CaseLedger!$AD327,""))</x:f>
      </x:c>
      <x:c r="Y327" s="52" t="str">
        <x:f>IF(CaseLedger!$A327="","",IFERROR(CaseLedger!$AE327,""))</x:f>
      </x:c>
      <x:c r="Z327" s="52" t="str">
        <x:f>IF(CaseLedger!$A327="","",IFERROR(CaseLedger!$AF327,""))</x:f>
      </x:c>
      <x:c r="AA327" s="52" t="str">
        <x:f>IF(CaseLedger!$A327="","",IFERROR(CaseLedger!$AG327,""))</x:f>
      </x:c>
      <x:c r="AB327" s="52" t="str">
        <x:f>IF(CaseLedger!$A327="","",IFERROR(CaseLedger!$AH327,""))</x:f>
      </x:c>
      <x:c r="AC327"/>
    </x:row>
    <x:row r="328">
      <x:c r="A328" s="52" t="str">
        <x:f>IF(CaseLedger!$A328="","",IFERROR(CaseLedger!$A328,""))</x:f>
      </x:c>
      <x:c r="B328" s="52" t="str">
        <x:f>IF(CaseLedger!$A328="","",IFERROR(CaseLedger!$H328,""))</x:f>
      </x:c>
      <x:c r="C328" s="52" t="str">
        <x:f>IF(CaseLedger!$A328="","",IFERROR(CaseLedger!$I328,""))</x:f>
      </x:c>
      <x:c r="D328" s="52" t="str">
        <x:f>IF(CaseLedger!$A328="","",IFERROR(CaseLedger!$J328,""))</x:f>
      </x:c>
      <x:c r="E328" s="52" t="str">
        <x:f>IF(CaseLedger!$A328="","",IFERROR(CaseLedger!$K328,""))</x:f>
      </x:c>
      <x:c r="F328" s="52" t="str">
        <x:f>IF(CaseLedger!$A328="","",IFERROR(CaseLedger!$O328,""))</x:f>
      </x:c>
      <x:c r="G328" s="52" t="str">
        <x:f>IF(CaseLedger!$A328="","",IFERROR(CaseLedger!$E328,""))</x:f>
      </x:c>
      <x:c r="H328" s="52" t="str">
        <x:f>IF(CaseLedger!$A328="","",IFERROR(CaseLedger!$P328,""))</x:f>
      </x:c>
      <x:c r="I328" s="52" t="str">
        <x:f>IF(CaseLedger!$A328="","",IFERROR(CaseLedger!$Q328,""))</x:f>
      </x:c>
      <x:c r="J328" s="52" t="str">
        <x:f>IF(CaseLedger!$A328="","",IFERROR(CaseLedger!$R328,""))</x:f>
      </x:c>
      <x:c r="K328" s="52" t="str">
        <x:f>IF(CaseLedger!$A328="","",IFERROR(CaseLedger!$S328,""))</x:f>
      </x:c>
      <x:c r="L328" s="52" t="str">
        <x:f>IF(CaseLedger!$A328="","",IFERROR(CaseLedger!$T328,""))</x:f>
      </x:c>
      <x:c r="M328" s="52" t="str">
        <x:f>IF(CaseLedger!$A328="","",IFERROR(CaseLedger!$U328,""))</x:f>
      </x:c>
      <x:c r="N328" s="52" t="str">
        <x:f>IF(CaseLedger!$A328="","",IFERROR(CaseLedger!$V328,""))</x:f>
      </x:c>
      <x:c r="O328" s="52" t="str">
        <x:f>IF(CaseLedger!$A328="","",IFERROR(CaseLedger!$W328,""))</x:f>
      </x:c>
      <x:c r="P328" s="52" t="str">
        <x:f>IF(CaseLedger!$A328="","",IFERROR(CaseLedger!$C328,""))</x:f>
      </x:c>
      <x:c r="Q328" s="52" t="str">
        <x:f>IF(CaseLedger!$A328="","",IFERROR(CaseLedger!$D328,""))</x:f>
      </x:c>
      <x:c r="R328" s="52" t="str">
        <x:f>IF(CaseLedger!$A328="","",IFERROR(CaseLedger!$X328,""))</x:f>
      </x:c>
      <x:c r="S328" s="52" t="str">
        <x:f>IF(CaseLedger!$A328="","",IFERROR(CaseLedger!$Y328,""))</x:f>
      </x:c>
      <x:c r="T328" s="52" t="str">
        <x:f>IF(CaseLedger!$A328="","",IFERROR(CaseLedger!$Z328,""))</x:f>
      </x:c>
      <x:c r="U328" s="52" t="str">
        <x:f>IF(CaseLedger!$A328="","",IFERROR(CaseLedger!$AA328,""))</x:f>
      </x:c>
      <x:c r="V328" s="52" t="str">
        <x:f>IF(CaseLedger!$A328="","",IFERROR(CaseLedger!$AB328,""))</x:f>
      </x:c>
      <x:c r="W328" s="52" t="str">
        <x:f>IF(CaseLedger!$A328="","",IFERROR(CaseLedger!$AC328,""))</x:f>
      </x:c>
      <x:c r="X328" s="52" t="str">
        <x:f>IF(CaseLedger!$A328="","",IFERROR(CaseLedger!$AD328,""))</x:f>
      </x:c>
      <x:c r="Y328" s="52" t="str">
        <x:f>IF(CaseLedger!$A328="","",IFERROR(CaseLedger!$AE328,""))</x:f>
      </x:c>
      <x:c r="Z328" s="52" t="str">
        <x:f>IF(CaseLedger!$A328="","",IFERROR(CaseLedger!$AF328,""))</x:f>
      </x:c>
      <x:c r="AA328" s="52" t="str">
        <x:f>IF(CaseLedger!$A328="","",IFERROR(CaseLedger!$AG328,""))</x:f>
      </x:c>
      <x:c r="AB328" s="52" t="str">
        <x:f>IF(CaseLedger!$A328="","",IFERROR(CaseLedger!$AH328,""))</x:f>
      </x:c>
      <x:c r="AC328"/>
    </x:row>
    <x:row r="329">
      <x:c r="A329" s="52" t="str">
        <x:f>IF(CaseLedger!$A329="","",IFERROR(CaseLedger!$A329,""))</x:f>
      </x:c>
      <x:c r="B329" s="52" t="str">
        <x:f>IF(CaseLedger!$A329="","",IFERROR(CaseLedger!$H329,""))</x:f>
      </x:c>
      <x:c r="C329" s="52" t="str">
        <x:f>IF(CaseLedger!$A329="","",IFERROR(CaseLedger!$I329,""))</x:f>
      </x:c>
      <x:c r="D329" s="52" t="str">
        <x:f>IF(CaseLedger!$A329="","",IFERROR(CaseLedger!$J329,""))</x:f>
      </x:c>
      <x:c r="E329" s="52" t="str">
        <x:f>IF(CaseLedger!$A329="","",IFERROR(CaseLedger!$K329,""))</x:f>
      </x:c>
      <x:c r="F329" s="52" t="str">
        <x:f>IF(CaseLedger!$A329="","",IFERROR(CaseLedger!$O329,""))</x:f>
      </x:c>
      <x:c r="G329" s="52" t="str">
        <x:f>IF(CaseLedger!$A329="","",IFERROR(CaseLedger!$E329,""))</x:f>
      </x:c>
      <x:c r="H329" s="52" t="str">
        <x:f>IF(CaseLedger!$A329="","",IFERROR(CaseLedger!$P329,""))</x:f>
      </x:c>
      <x:c r="I329" s="52" t="str">
        <x:f>IF(CaseLedger!$A329="","",IFERROR(CaseLedger!$Q329,""))</x:f>
      </x:c>
      <x:c r="J329" s="52" t="str">
        <x:f>IF(CaseLedger!$A329="","",IFERROR(CaseLedger!$R329,""))</x:f>
      </x:c>
      <x:c r="K329" s="52" t="str">
        <x:f>IF(CaseLedger!$A329="","",IFERROR(CaseLedger!$S329,""))</x:f>
      </x:c>
      <x:c r="L329" s="52" t="str">
        <x:f>IF(CaseLedger!$A329="","",IFERROR(CaseLedger!$T329,""))</x:f>
      </x:c>
      <x:c r="M329" s="52" t="str">
        <x:f>IF(CaseLedger!$A329="","",IFERROR(CaseLedger!$U329,""))</x:f>
      </x:c>
      <x:c r="N329" s="52" t="str">
        <x:f>IF(CaseLedger!$A329="","",IFERROR(CaseLedger!$V329,""))</x:f>
      </x:c>
      <x:c r="O329" s="52" t="str">
        <x:f>IF(CaseLedger!$A329="","",IFERROR(CaseLedger!$W329,""))</x:f>
      </x:c>
      <x:c r="P329" s="52" t="str">
        <x:f>IF(CaseLedger!$A329="","",IFERROR(CaseLedger!$C329,""))</x:f>
      </x:c>
      <x:c r="Q329" s="52" t="str">
        <x:f>IF(CaseLedger!$A329="","",IFERROR(CaseLedger!$D329,""))</x:f>
      </x:c>
      <x:c r="R329" s="52" t="str">
        <x:f>IF(CaseLedger!$A329="","",IFERROR(CaseLedger!$X329,""))</x:f>
      </x:c>
      <x:c r="S329" s="52" t="str">
        <x:f>IF(CaseLedger!$A329="","",IFERROR(CaseLedger!$Y329,""))</x:f>
      </x:c>
      <x:c r="T329" s="52" t="str">
        <x:f>IF(CaseLedger!$A329="","",IFERROR(CaseLedger!$Z329,""))</x:f>
      </x:c>
      <x:c r="U329" s="52" t="str">
        <x:f>IF(CaseLedger!$A329="","",IFERROR(CaseLedger!$AA329,""))</x:f>
      </x:c>
      <x:c r="V329" s="52" t="str">
        <x:f>IF(CaseLedger!$A329="","",IFERROR(CaseLedger!$AB329,""))</x:f>
      </x:c>
      <x:c r="W329" s="52" t="str">
        <x:f>IF(CaseLedger!$A329="","",IFERROR(CaseLedger!$AC329,""))</x:f>
      </x:c>
      <x:c r="X329" s="52" t="str">
        <x:f>IF(CaseLedger!$A329="","",IFERROR(CaseLedger!$AD329,""))</x:f>
      </x:c>
      <x:c r="Y329" s="52" t="str">
        <x:f>IF(CaseLedger!$A329="","",IFERROR(CaseLedger!$AE329,""))</x:f>
      </x:c>
      <x:c r="Z329" s="52" t="str">
        <x:f>IF(CaseLedger!$A329="","",IFERROR(CaseLedger!$AF329,""))</x:f>
      </x:c>
      <x:c r="AA329" s="52" t="str">
        <x:f>IF(CaseLedger!$A329="","",IFERROR(CaseLedger!$AG329,""))</x:f>
      </x:c>
      <x:c r="AB329" s="52" t="str">
        <x:f>IF(CaseLedger!$A329="","",IFERROR(CaseLedger!$AH329,""))</x:f>
      </x:c>
      <x:c r="AC329"/>
    </x:row>
    <x:row r="330">
      <x:c r="A330" s="52" t="str">
        <x:f>IF(CaseLedger!$A330="","",IFERROR(CaseLedger!$A330,""))</x:f>
      </x:c>
      <x:c r="B330" s="52" t="str">
        <x:f>IF(CaseLedger!$A330="","",IFERROR(CaseLedger!$H330,""))</x:f>
      </x:c>
      <x:c r="C330" s="52" t="str">
        <x:f>IF(CaseLedger!$A330="","",IFERROR(CaseLedger!$I330,""))</x:f>
      </x:c>
      <x:c r="D330" s="52" t="str">
        <x:f>IF(CaseLedger!$A330="","",IFERROR(CaseLedger!$J330,""))</x:f>
      </x:c>
      <x:c r="E330" s="52" t="str">
        <x:f>IF(CaseLedger!$A330="","",IFERROR(CaseLedger!$K330,""))</x:f>
      </x:c>
      <x:c r="F330" s="52" t="str">
        <x:f>IF(CaseLedger!$A330="","",IFERROR(CaseLedger!$O330,""))</x:f>
      </x:c>
      <x:c r="G330" s="52" t="str">
        <x:f>IF(CaseLedger!$A330="","",IFERROR(CaseLedger!$E330,""))</x:f>
      </x:c>
      <x:c r="H330" s="52" t="str">
        <x:f>IF(CaseLedger!$A330="","",IFERROR(CaseLedger!$P330,""))</x:f>
      </x:c>
      <x:c r="I330" s="52" t="str">
        <x:f>IF(CaseLedger!$A330="","",IFERROR(CaseLedger!$Q330,""))</x:f>
      </x:c>
      <x:c r="J330" s="52" t="str">
        <x:f>IF(CaseLedger!$A330="","",IFERROR(CaseLedger!$R330,""))</x:f>
      </x:c>
      <x:c r="K330" s="52" t="str">
        <x:f>IF(CaseLedger!$A330="","",IFERROR(CaseLedger!$S330,""))</x:f>
      </x:c>
      <x:c r="L330" s="52" t="str">
        <x:f>IF(CaseLedger!$A330="","",IFERROR(CaseLedger!$T330,""))</x:f>
      </x:c>
      <x:c r="M330" s="52" t="str">
        <x:f>IF(CaseLedger!$A330="","",IFERROR(CaseLedger!$U330,""))</x:f>
      </x:c>
      <x:c r="N330" s="52" t="str">
        <x:f>IF(CaseLedger!$A330="","",IFERROR(CaseLedger!$V330,""))</x:f>
      </x:c>
      <x:c r="O330" s="52" t="str">
        <x:f>IF(CaseLedger!$A330="","",IFERROR(CaseLedger!$W330,""))</x:f>
      </x:c>
      <x:c r="P330" s="52" t="str">
        <x:f>IF(CaseLedger!$A330="","",IFERROR(CaseLedger!$C330,""))</x:f>
      </x:c>
      <x:c r="Q330" s="52" t="str">
        <x:f>IF(CaseLedger!$A330="","",IFERROR(CaseLedger!$D330,""))</x:f>
      </x:c>
      <x:c r="R330" s="52" t="str">
        <x:f>IF(CaseLedger!$A330="","",IFERROR(CaseLedger!$X330,""))</x:f>
      </x:c>
      <x:c r="S330" s="52" t="str">
        <x:f>IF(CaseLedger!$A330="","",IFERROR(CaseLedger!$Y330,""))</x:f>
      </x:c>
      <x:c r="T330" s="52" t="str">
        <x:f>IF(CaseLedger!$A330="","",IFERROR(CaseLedger!$Z330,""))</x:f>
      </x:c>
      <x:c r="U330" s="52" t="str">
        <x:f>IF(CaseLedger!$A330="","",IFERROR(CaseLedger!$AA330,""))</x:f>
      </x:c>
      <x:c r="V330" s="52" t="str">
        <x:f>IF(CaseLedger!$A330="","",IFERROR(CaseLedger!$AB330,""))</x:f>
      </x:c>
      <x:c r="W330" s="52" t="str">
        <x:f>IF(CaseLedger!$A330="","",IFERROR(CaseLedger!$AC330,""))</x:f>
      </x:c>
      <x:c r="X330" s="52" t="str">
        <x:f>IF(CaseLedger!$A330="","",IFERROR(CaseLedger!$AD330,""))</x:f>
      </x:c>
      <x:c r="Y330" s="52" t="str">
        <x:f>IF(CaseLedger!$A330="","",IFERROR(CaseLedger!$AE330,""))</x:f>
      </x:c>
      <x:c r="Z330" s="52" t="str">
        <x:f>IF(CaseLedger!$A330="","",IFERROR(CaseLedger!$AF330,""))</x:f>
      </x:c>
      <x:c r="AA330" s="52" t="str">
        <x:f>IF(CaseLedger!$A330="","",IFERROR(CaseLedger!$AG330,""))</x:f>
      </x:c>
      <x:c r="AB330" s="52" t="str">
        <x:f>IF(CaseLedger!$A330="","",IFERROR(CaseLedger!$AH330,""))</x:f>
      </x:c>
      <x:c r="AC330"/>
    </x:row>
    <x:row r="331">
      <x:c r="A331" s="52" t="str">
        <x:f>IF(CaseLedger!$A331="","",IFERROR(CaseLedger!$A331,""))</x:f>
      </x:c>
      <x:c r="B331" s="52" t="str">
        <x:f>IF(CaseLedger!$A331="","",IFERROR(CaseLedger!$H331,""))</x:f>
      </x:c>
      <x:c r="C331" s="52" t="str">
        <x:f>IF(CaseLedger!$A331="","",IFERROR(CaseLedger!$I331,""))</x:f>
      </x:c>
      <x:c r="D331" s="52" t="str">
        <x:f>IF(CaseLedger!$A331="","",IFERROR(CaseLedger!$J331,""))</x:f>
      </x:c>
      <x:c r="E331" s="52" t="str">
        <x:f>IF(CaseLedger!$A331="","",IFERROR(CaseLedger!$K331,""))</x:f>
      </x:c>
      <x:c r="F331" s="52" t="str">
        <x:f>IF(CaseLedger!$A331="","",IFERROR(CaseLedger!$O331,""))</x:f>
      </x:c>
      <x:c r="G331" s="52" t="str">
        <x:f>IF(CaseLedger!$A331="","",IFERROR(CaseLedger!$E331,""))</x:f>
      </x:c>
      <x:c r="H331" s="52" t="str">
        <x:f>IF(CaseLedger!$A331="","",IFERROR(CaseLedger!$P331,""))</x:f>
      </x:c>
      <x:c r="I331" s="52" t="str">
        <x:f>IF(CaseLedger!$A331="","",IFERROR(CaseLedger!$Q331,""))</x:f>
      </x:c>
      <x:c r="J331" s="52" t="str">
        <x:f>IF(CaseLedger!$A331="","",IFERROR(CaseLedger!$R331,""))</x:f>
      </x:c>
      <x:c r="K331" s="52" t="str">
        <x:f>IF(CaseLedger!$A331="","",IFERROR(CaseLedger!$S331,""))</x:f>
      </x:c>
      <x:c r="L331" s="52" t="str">
        <x:f>IF(CaseLedger!$A331="","",IFERROR(CaseLedger!$T331,""))</x:f>
      </x:c>
      <x:c r="M331" s="52" t="str">
        <x:f>IF(CaseLedger!$A331="","",IFERROR(CaseLedger!$U331,""))</x:f>
      </x:c>
      <x:c r="N331" s="52" t="str">
        <x:f>IF(CaseLedger!$A331="","",IFERROR(CaseLedger!$V331,""))</x:f>
      </x:c>
      <x:c r="O331" s="52" t="str">
        <x:f>IF(CaseLedger!$A331="","",IFERROR(CaseLedger!$W331,""))</x:f>
      </x:c>
      <x:c r="P331" s="52" t="str">
        <x:f>IF(CaseLedger!$A331="","",IFERROR(CaseLedger!$C331,""))</x:f>
      </x:c>
      <x:c r="Q331" s="52" t="str">
        <x:f>IF(CaseLedger!$A331="","",IFERROR(CaseLedger!$D331,""))</x:f>
      </x:c>
      <x:c r="R331" s="52" t="str">
        <x:f>IF(CaseLedger!$A331="","",IFERROR(CaseLedger!$X331,""))</x:f>
      </x:c>
      <x:c r="S331" s="52" t="str">
        <x:f>IF(CaseLedger!$A331="","",IFERROR(CaseLedger!$Y331,""))</x:f>
      </x:c>
      <x:c r="T331" s="52" t="str">
        <x:f>IF(CaseLedger!$A331="","",IFERROR(CaseLedger!$Z331,""))</x:f>
      </x:c>
      <x:c r="U331" s="52" t="str">
        <x:f>IF(CaseLedger!$A331="","",IFERROR(CaseLedger!$AA331,""))</x:f>
      </x:c>
      <x:c r="V331" s="52" t="str">
        <x:f>IF(CaseLedger!$A331="","",IFERROR(CaseLedger!$AB331,""))</x:f>
      </x:c>
      <x:c r="W331" s="52" t="str">
        <x:f>IF(CaseLedger!$A331="","",IFERROR(CaseLedger!$AC331,""))</x:f>
      </x:c>
      <x:c r="X331" s="52" t="str">
        <x:f>IF(CaseLedger!$A331="","",IFERROR(CaseLedger!$AD331,""))</x:f>
      </x:c>
      <x:c r="Y331" s="52" t="str">
        <x:f>IF(CaseLedger!$A331="","",IFERROR(CaseLedger!$AE331,""))</x:f>
      </x:c>
      <x:c r="Z331" s="52" t="str">
        <x:f>IF(CaseLedger!$A331="","",IFERROR(CaseLedger!$AF331,""))</x:f>
      </x:c>
      <x:c r="AA331" s="52" t="str">
        <x:f>IF(CaseLedger!$A331="","",IFERROR(CaseLedger!$AG331,""))</x:f>
      </x:c>
      <x:c r="AB331" s="52" t="str">
        <x:f>IF(CaseLedger!$A331="","",IFERROR(CaseLedger!$AH331,""))</x:f>
      </x:c>
      <x:c r="AC331"/>
    </x:row>
    <x:row r="332">
      <x:c r="A332" s="52" t="str">
        <x:f>IF(CaseLedger!$A332="","",IFERROR(CaseLedger!$A332,""))</x:f>
      </x:c>
      <x:c r="B332" s="52" t="str">
        <x:f>IF(CaseLedger!$A332="","",IFERROR(CaseLedger!$H332,""))</x:f>
      </x:c>
      <x:c r="C332" s="52" t="str">
        <x:f>IF(CaseLedger!$A332="","",IFERROR(CaseLedger!$I332,""))</x:f>
      </x:c>
      <x:c r="D332" s="52" t="str">
        <x:f>IF(CaseLedger!$A332="","",IFERROR(CaseLedger!$J332,""))</x:f>
      </x:c>
      <x:c r="E332" s="52" t="str">
        <x:f>IF(CaseLedger!$A332="","",IFERROR(CaseLedger!$K332,""))</x:f>
      </x:c>
      <x:c r="F332" s="52" t="str">
        <x:f>IF(CaseLedger!$A332="","",IFERROR(CaseLedger!$O332,""))</x:f>
      </x:c>
      <x:c r="G332" s="52" t="str">
        <x:f>IF(CaseLedger!$A332="","",IFERROR(CaseLedger!$E332,""))</x:f>
      </x:c>
      <x:c r="H332" s="52" t="str">
        <x:f>IF(CaseLedger!$A332="","",IFERROR(CaseLedger!$P332,""))</x:f>
      </x:c>
      <x:c r="I332" s="52" t="str">
        <x:f>IF(CaseLedger!$A332="","",IFERROR(CaseLedger!$Q332,""))</x:f>
      </x:c>
      <x:c r="J332" s="52" t="str">
        <x:f>IF(CaseLedger!$A332="","",IFERROR(CaseLedger!$R332,""))</x:f>
      </x:c>
      <x:c r="K332" s="52" t="str">
        <x:f>IF(CaseLedger!$A332="","",IFERROR(CaseLedger!$S332,""))</x:f>
      </x:c>
      <x:c r="L332" s="52" t="str">
        <x:f>IF(CaseLedger!$A332="","",IFERROR(CaseLedger!$T332,""))</x:f>
      </x:c>
      <x:c r="M332" s="52" t="str">
        <x:f>IF(CaseLedger!$A332="","",IFERROR(CaseLedger!$U332,""))</x:f>
      </x:c>
      <x:c r="N332" s="52" t="str">
        <x:f>IF(CaseLedger!$A332="","",IFERROR(CaseLedger!$V332,""))</x:f>
      </x:c>
      <x:c r="O332" s="52" t="str">
        <x:f>IF(CaseLedger!$A332="","",IFERROR(CaseLedger!$W332,""))</x:f>
      </x:c>
      <x:c r="P332" s="52" t="str">
        <x:f>IF(CaseLedger!$A332="","",IFERROR(CaseLedger!$C332,""))</x:f>
      </x:c>
      <x:c r="Q332" s="52" t="str">
        <x:f>IF(CaseLedger!$A332="","",IFERROR(CaseLedger!$D332,""))</x:f>
      </x:c>
      <x:c r="R332" s="52" t="str">
        <x:f>IF(CaseLedger!$A332="","",IFERROR(CaseLedger!$X332,""))</x:f>
      </x:c>
      <x:c r="S332" s="52" t="str">
        <x:f>IF(CaseLedger!$A332="","",IFERROR(CaseLedger!$Y332,""))</x:f>
      </x:c>
      <x:c r="T332" s="52" t="str">
        <x:f>IF(CaseLedger!$A332="","",IFERROR(CaseLedger!$Z332,""))</x:f>
      </x:c>
      <x:c r="U332" s="52" t="str">
        <x:f>IF(CaseLedger!$A332="","",IFERROR(CaseLedger!$AA332,""))</x:f>
      </x:c>
      <x:c r="V332" s="52" t="str">
        <x:f>IF(CaseLedger!$A332="","",IFERROR(CaseLedger!$AB332,""))</x:f>
      </x:c>
      <x:c r="W332" s="52" t="str">
        <x:f>IF(CaseLedger!$A332="","",IFERROR(CaseLedger!$AC332,""))</x:f>
      </x:c>
      <x:c r="X332" s="52" t="str">
        <x:f>IF(CaseLedger!$A332="","",IFERROR(CaseLedger!$AD332,""))</x:f>
      </x:c>
      <x:c r="Y332" s="52" t="str">
        <x:f>IF(CaseLedger!$A332="","",IFERROR(CaseLedger!$AE332,""))</x:f>
      </x:c>
      <x:c r="Z332" s="52" t="str">
        <x:f>IF(CaseLedger!$A332="","",IFERROR(CaseLedger!$AF332,""))</x:f>
      </x:c>
      <x:c r="AA332" s="52" t="str">
        <x:f>IF(CaseLedger!$A332="","",IFERROR(CaseLedger!$AG332,""))</x:f>
      </x:c>
      <x:c r="AB332" s="52" t="str">
        <x:f>IF(CaseLedger!$A332="","",IFERROR(CaseLedger!$AH332,""))</x:f>
      </x:c>
      <x:c r="AC332"/>
    </x:row>
    <x:row r="333">
      <x:c r="A333" s="52" t="str">
        <x:f>IF(CaseLedger!$A333="","",IFERROR(CaseLedger!$A333,""))</x:f>
      </x:c>
      <x:c r="B333" s="52" t="str">
        <x:f>IF(CaseLedger!$A333="","",IFERROR(CaseLedger!$H333,""))</x:f>
      </x:c>
      <x:c r="C333" s="52" t="str">
        <x:f>IF(CaseLedger!$A333="","",IFERROR(CaseLedger!$I333,""))</x:f>
      </x:c>
      <x:c r="D333" s="52" t="str">
        <x:f>IF(CaseLedger!$A333="","",IFERROR(CaseLedger!$J333,""))</x:f>
      </x:c>
      <x:c r="E333" s="52" t="str">
        <x:f>IF(CaseLedger!$A333="","",IFERROR(CaseLedger!$K333,""))</x:f>
      </x:c>
      <x:c r="F333" s="52" t="str">
        <x:f>IF(CaseLedger!$A333="","",IFERROR(CaseLedger!$O333,""))</x:f>
      </x:c>
      <x:c r="G333" s="52" t="str">
        <x:f>IF(CaseLedger!$A333="","",IFERROR(CaseLedger!$E333,""))</x:f>
      </x:c>
      <x:c r="H333" s="52" t="str">
        <x:f>IF(CaseLedger!$A333="","",IFERROR(CaseLedger!$P333,""))</x:f>
      </x:c>
      <x:c r="I333" s="52" t="str">
        <x:f>IF(CaseLedger!$A333="","",IFERROR(CaseLedger!$Q333,""))</x:f>
      </x:c>
      <x:c r="J333" s="52" t="str">
        <x:f>IF(CaseLedger!$A333="","",IFERROR(CaseLedger!$R333,""))</x:f>
      </x:c>
      <x:c r="K333" s="52" t="str">
        <x:f>IF(CaseLedger!$A333="","",IFERROR(CaseLedger!$S333,""))</x:f>
      </x:c>
      <x:c r="L333" s="52" t="str">
        <x:f>IF(CaseLedger!$A333="","",IFERROR(CaseLedger!$T333,""))</x:f>
      </x:c>
      <x:c r="M333" s="52" t="str">
        <x:f>IF(CaseLedger!$A333="","",IFERROR(CaseLedger!$U333,""))</x:f>
      </x:c>
      <x:c r="N333" s="52" t="str">
        <x:f>IF(CaseLedger!$A333="","",IFERROR(CaseLedger!$V333,""))</x:f>
      </x:c>
      <x:c r="O333" s="52" t="str">
        <x:f>IF(CaseLedger!$A333="","",IFERROR(CaseLedger!$W333,""))</x:f>
      </x:c>
      <x:c r="P333" s="52" t="str">
        <x:f>IF(CaseLedger!$A333="","",IFERROR(CaseLedger!$C333,""))</x:f>
      </x:c>
      <x:c r="Q333" s="52" t="str">
        <x:f>IF(CaseLedger!$A333="","",IFERROR(CaseLedger!$D333,""))</x:f>
      </x:c>
      <x:c r="R333" s="52" t="str">
        <x:f>IF(CaseLedger!$A333="","",IFERROR(CaseLedger!$X333,""))</x:f>
      </x:c>
      <x:c r="S333" s="52" t="str">
        <x:f>IF(CaseLedger!$A333="","",IFERROR(CaseLedger!$Y333,""))</x:f>
      </x:c>
      <x:c r="T333" s="52" t="str">
        <x:f>IF(CaseLedger!$A333="","",IFERROR(CaseLedger!$Z333,""))</x:f>
      </x:c>
      <x:c r="U333" s="52" t="str">
        <x:f>IF(CaseLedger!$A333="","",IFERROR(CaseLedger!$AA333,""))</x:f>
      </x:c>
      <x:c r="V333" s="52" t="str">
        <x:f>IF(CaseLedger!$A333="","",IFERROR(CaseLedger!$AB333,""))</x:f>
      </x:c>
      <x:c r="W333" s="52" t="str">
        <x:f>IF(CaseLedger!$A333="","",IFERROR(CaseLedger!$AC333,""))</x:f>
      </x:c>
      <x:c r="X333" s="52" t="str">
        <x:f>IF(CaseLedger!$A333="","",IFERROR(CaseLedger!$AD333,""))</x:f>
      </x:c>
      <x:c r="Y333" s="52" t="str">
        <x:f>IF(CaseLedger!$A333="","",IFERROR(CaseLedger!$AE333,""))</x:f>
      </x:c>
      <x:c r="Z333" s="52" t="str">
        <x:f>IF(CaseLedger!$A333="","",IFERROR(CaseLedger!$AF333,""))</x:f>
      </x:c>
      <x:c r="AA333" s="52" t="str">
        <x:f>IF(CaseLedger!$A333="","",IFERROR(CaseLedger!$AG333,""))</x:f>
      </x:c>
      <x:c r="AB333" s="52" t="str">
        <x:f>IF(CaseLedger!$A333="","",IFERROR(CaseLedger!$AH333,""))</x:f>
      </x:c>
      <x:c r="AC333"/>
    </x:row>
    <x:row r="334">
      <x:c r="A334" s="52" t="str">
        <x:f>IF(CaseLedger!$A334="","",IFERROR(CaseLedger!$A334,""))</x:f>
      </x:c>
      <x:c r="B334" s="52" t="str">
        <x:f>IF(CaseLedger!$A334="","",IFERROR(CaseLedger!$H334,""))</x:f>
      </x:c>
      <x:c r="C334" s="52" t="str">
        <x:f>IF(CaseLedger!$A334="","",IFERROR(CaseLedger!$I334,""))</x:f>
      </x:c>
      <x:c r="D334" s="52" t="str">
        <x:f>IF(CaseLedger!$A334="","",IFERROR(CaseLedger!$J334,""))</x:f>
      </x:c>
      <x:c r="E334" s="52" t="str">
        <x:f>IF(CaseLedger!$A334="","",IFERROR(CaseLedger!$K334,""))</x:f>
      </x:c>
      <x:c r="F334" s="52" t="str">
        <x:f>IF(CaseLedger!$A334="","",IFERROR(CaseLedger!$O334,""))</x:f>
      </x:c>
      <x:c r="G334" s="52" t="str">
        <x:f>IF(CaseLedger!$A334="","",IFERROR(CaseLedger!$E334,""))</x:f>
      </x:c>
      <x:c r="H334" s="52" t="str">
        <x:f>IF(CaseLedger!$A334="","",IFERROR(CaseLedger!$P334,""))</x:f>
      </x:c>
      <x:c r="I334" s="52" t="str">
        <x:f>IF(CaseLedger!$A334="","",IFERROR(CaseLedger!$Q334,""))</x:f>
      </x:c>
      <x:c r="J334" s="52" t="str">
        <x:f>IF(CaseLedger!$A334="","",IFERROR(CaseLedger!$R334,""))</x:f>
      </x:c>
      <x:c r="K334" s="52" t="str">
        <x:f>IF(CaseLedger!$A334="","",IFERROR(CaseLedger!$S334,""))</x:f>
      </x:c>
      <x:c r="L334" s="52" t="str">
        <x:f>IF(CaseLedger!$A334="","",IFERROR(CaseLedger!$T334,""))</x:f>
      </x:c>
      <x:c r="M334" s="52" t="str">
        <x:f>IF(CaseLedger!$A334="","",IFERROR(CaseLedger!$U334,""))</x:f>
      </x:c>
      <x:c r="N334" s="52" t="str">
        <x:f>IF(CaseLedger!$A334="","",IFERROR(CaseLedger!$V334,""))</x:f>
      </x:c>
      <x:c r="O334" s="52" t="str">
        <x:f>IF(CaseLedger!$A334="","",IFERROR(CaseLedger!$W334,""))</x:f>
      </x:c>
      <x:c r="P334" s="52" t="str">
        <x:f>IF(CaseLedger!$A334="","",IFERROR(CaseLedger!$C334,""))</x:f>
      </x:c>
      <x:c r="Q334" s="52" t="str">
        <x:f>IF(CaseLedger!$A334="","",IFERROR(CaseLedger!$D334,""))</x:f>
      </x:c>
      <x:c r="R334" s="52" t="str">
        <x:f>IF(CaseLedger!$A334="","",IFERROR(CaseLedger!$X334,""))</x:f>
      </x:c>
      <x:c r="S334" s="52" t="str">
        <x:f>IF(CaseLedger!$A334="","",IFERROR(CaseLedger!$Y334,""))</x:f>
      </x:c>
      <x:c r="T334" s="52" t="str">
        <x:f>IF(CaseLedger!$A334="","",IFERROR(CaseLedger!$Z334,""))</x:f>
      </x:c>
      <x:c r="U334" s="52" t="str">
        <x:f>IF(CaseLedger!$A334="","",IFERROR(CaseLedger!$AA334,""))</x:f>
      </x:c>
      <x:c r="V334" s="52" t="str">
        <x:f>IF(CaseLedger!$A334="","",IFERROR(CaseLedger!$AB334,""))</x:f>
      </x:c>
      <x:c r="W334" s="52" t="str">
        <x:f>IF(CaseLedger!$A334="","",IFERROR(CaseLedger!$AC334,""))</x:f>
      </x:c>
      <x:c r="X334" s="52" t="str">
        <x:f>IF(CaseLedger!$A334="","",IFERROR(CaseLedger!$AD334,""))</x:f>
      </x:c>
      <x:c r="Y334" s="52" t="str">
        <x:f>IF(CaseLedger!$A334="","",IFERROR(CaseLedger!$AE334,""))</x:f>
      </x:c>
      <x:c r="Z334" s="52" t="str">
        <x:f>IF(CaseLedger!$A334="","",IFERROR(CaseLedger!$AF334,""))</x:f>
      </x:c>
      <x:c r="AA334" s="52" t="str">
        <x:f>IF(CaseLedger!$A334="","",IFERROR(CaseLedger!$AG334,""))</x:f>
      </x:c>
      <x:c r="AB334" s="52" t="str">
        <x:f>IF(CaseLedger!$A334="","",IFERROR(CaseLedger!$AH334,""))</x:f>
      </x:c>
      <x:c r="AC334"/>
    </x:row>
    <x:row r="335">
      <x:c r="A335" s="52" t="str">
        <x:f>IF(CaseLedger!$A335="","",IFERROR(CaseLedger!$A335,""))</x:f>
      </x:c>
      <x:c r="B335" s="52" t="str">
        <x:f>IF(CaseLedger!$A335="","",IFERROR(CaseLedger!$H335,""))</x:f>
      </x:c>
      <x:c r="C335" s="52" t="str">
        <x:f>IF(CaseLedger!$A335="","",IFERROR(CaseLedger!$I335,""))</x:f>
      </x:c>
      <x:c r="D335" s="52" t="str">
        <x:f>IF(CaseLedger!$A335="","",IFERROR(CaseLedger!$J335,""))</x:f>
      </x:c>
      <x:c r="E335" s="52" t="str">
        <x:f>IF(CaseLedger!$A335="","",IFERROR(CaseLedger!$K335,""))</x:f>
      </x:c>
      <x:c r="F335" s="52" t="str">
        <x:f>IF(CaseLedger!$A335="","",IFERROR(CaseLedger!$O335,""))</x:f>
      </x:c>
      <x:c r="G335" s="52" t="str">
        <x:f>IF(CaseLedger!$A335="","",IFERROR(CaseLedger!$E335,""))</x:f>
      </x:c>
      <x:c r="H335" s="52" t="str">
        <x:f>IF(CaseLedger!$A335="","",IFERROR(CaseLedger!$P335,""))</x:f>
      </x:c>
      <x:c r="I335" s="52" t="str">
        <x:f>IF(CaseLedger!$A335="","",IFERROR(CaseLedger!$Q335,""))</x:f>
      </x:c>
      <x:c r="J335" s="52" t="str">
        <x:f>IF(CaseLedger!$A335="","",IFERROR(CaseLedger!$R335,""))</x:f>
      </x:c>
      <x:c r="K335" s="52" t="str">
        <x:f>IF(CaseLedger!$A335="","",IFERROR(CaseLedger!$S335,""))</x:f>
      </x:c>
      <x:c r="L335" s="52" t="str">
        <x:f>IF(CaseLedger!$A335="","",IFERROR(CaseLedger!$T335,""))</x:f>
      </x:c>
      <x:c r="M335" s="52" t="str">
        <x:f>IF(CaseLedger!$A335="","",IFERROR(CaseLedger!$U335,""))</x:f>
      </x:c>
      <x:c r="N335" s="52" t="str">
        <x:f>IF(CaseLedger!$A335="","",IFERROR(CaseLedger!$V335,""))</x:f>
      </x:c>
      <x:c r="O335" s="52" t="str">
        <x:f>IF(CaseLedger!$A335="","",IFERROR(CaseLedger!$W335,""))</x:f>
      </x:c>
      <x:c r="P335" s="52" t="str">
        <x:f>IF(CaseLedger!$A335="","",IFERROR(CaseLedger!$C335,""))</x:f>
      </x:c>
      <x:c r="Q335" s="52" t="str">
        <x:f>IF(CaseLedger!$A335="","",IFERROR(CaseLedger!$D335,""))</x:f>
      </x:c>
      <x:c r="R335" s="52" t="str">
        <x:f>IF(CaseLedger!$A335="","",IFERROR(CaseLedger!$X335,""))</x:f>
      </x:c>
      <x:c r="S335" s="52" t="str">
        <x:f>IF(CaseLedger!$A335="","",IFERROR(CaseLedger!$Y335,""))</x:f>
      </x:c>
      <x:c r="T335" s="52" t="str">
        <x:f>IF(CaseLedger!$A335="","",IFERROR(CaseLedger!$Z335,""))</x:f>
      </x:c>
      <x:c r="U335" s="52" t="str">
        <x:f>IF(CaseLedger!$A335="","",IFERROR(CaseLedger!$AA335,""))</x:f>
      </x:c>
      <x:c r="V335" s="52" t="str">
        <x:f>IF(CaseLedger!$A335="","",IFERROR(CaseLedger!$AB335,""))</x:f>
      </x:c>
      <x:c r="W335" s="52" t="str">
        <x:f>IF(CaseLedger!$A335="","",IFERROR(CaseLedger!$AC335,""))</x:f>
      </x:c>
      <x:c r="X335" s="52" t="str">
        <x:f>IF(CaseLedger!$A335="","",IFERROR(CaseLedger!$AD335,""))</x:f>
      </x:c>
      <x:c r="Y335" s="52" t="str">
        <x:f>IF(CaseLedger!$A335="","",IFERROR(CaseLedger!$AE335,""))</x:f>
      </x:c>
      <x:c r="Z335" s="52" t="str">
        <x:f>IF(CaseLedger!$A335="","",IFERROR(CaseLedger!$AF335,""))</x:f>
      </x:c>
      <x:c r="AA335" s="52" t="str">
        <x:f>IF(CaseLedger!$A335="","",IFERROR(CaseLedger!$AG335,""))</x:f>
      </x:c>
      <x:c r="AB335" s="52" t="str">
        <x:f>IF(CaseLedger!$A335="","",IFERROR(CaseLedger!$AH335,""))</x:f>
      </x:c>
      <x:c r="AC335"/>
    </x:row>
    <x:row r="336">
      <x:c r="A336" s="52" t="str">
        <x:f>IF(CaseLedger!$A336="","",IFERROR(CaseLedger!$A336,""))</x:f>
      </x:c>
      <x:c r="B336" s="52" t="str">
        <x:f>IF(CaseLedger!$A336="","",IFERROR(CaseLedger!$H336,""))</x:f>
      </x:c>
      <x:c r="C336" s="52" t="str">
        <x:f>IF(CaseLedger!$A336="","",IFERROR(CaseLedger!$I336,""))</x:f>
      </x:c>
      <x:c r="D336" s="52" t="str">
        <x:f>IF(CaseLedger!$A336="","",IFERROR(CaseLedger!$J336,""))</x:f>
      </x:c>
      <x:c r="E336" s="52" t="str">
        <x:f>IF(CaseLedger!$A336="","",IFERROR(CaseLedger!$K336,""))</x:f>
      </x:c>
      <x:c r="F336" s="52" t="str">
        <x:f>IF(CaseLedger!$A336="","",IFERROR(CaseLedger!$O336,""))</x:f>
      </x:c>
      <x:c r="G336" s="52" t="str">
        <x:f>IF(CaseLedger!$A336="","",IFERROR(CaseLedger!$E336,""))</x:f>
      </x:c>
      <x:c r="H336" s="52" t="str">
        <x:f>IF(CaseLedger!$A336="","",IFERROR(CaseLedger!$P336,""))</x:f>
      </x:c>
      <x:c r="I336" s="52" t="str">
        <x:f>IF(CaseLedger!$A336="","",IFERROR(CaseLedger!$Q336,""))</x:f>
      </x:c>
      <x:c r="J336" s="52" t="str">
        <x:f>IF(CaseLedger!$A336="","",IFERROR(CaseLedger!$R336,""))</x:f>
      </x:c>
      <x:c r="K336" s="52" t="str">
        <x:f>IF(CaseLedger!$A336="","",IFERROR(CaseLedger!$S336,""))</x:f>
      </x:c>
      <x:c r="L336" s="52" t="str">
        <x:f>IF(CaseLedger!$A336="","",IFERROR(CaseLedger!$T336,""))</x:f>
      </x:c>
      <x:c r="M336" s="52" t="str">
        <x:f>IF(CaseLedger!$A336="","",IFERROR(CaseLedger!$U336,""))</x:f>
      </x:c>
      <x:c r="N336" s="52" t="str">
        <x:f>IF(CaseLedger!$A336="","",IFERROR(CaseLedger!$V336,""))</x:f>
      </x:c>
      <x:c r="O336" s="52" t="str">
        <x:f>IF(CaseLedger!$A336="","",IFERROR(CaseLedger!$W336,""))</x:f>
      </x:c>
      <x:c r="P336" s="52" t="str">
        <x:f>IF(CaseLedger!$A336="","",IFERROR(CaseLedger!$C336,""))</x:f>
      </x:c>
      <x:c r="Q336" s="52" t="str">
        <x:f>IF(CaseLedger!$A336="","",IFERROR(CaseLedger!$D336,""))</x:f>
      </x:c>
      <x:c r="R336" s="52" t="str">
        <x:f>IF(CaseLedger!$A336="","",IFERROR(CaseLedger!$X336,""))</x:f>
      </x:c>
      <x:c r="S336" s="52" t="str">
        <x:f>IF(CaseLedger!$A336="","",IFERROR(CaseLedger!$Y336,""))</x:f>
      </x:c>
      <x:c r="T336" s="52" t="str">
        <x:f>IF(CaseLedger!$A336="","",IFERROR(CaseLedger!$Z336,""))</x:f>
      </x:c>
      <x:c r="U336" s="52" t="str">
        <x:f>IF(CaseLedger!$A336="","",IFERROR(CaseLedger!$AA336,""))</x:f>
      </x:c>
      <x:c r="V336" s="52" t="str">
        <x:f>IF(CaseLedger!$A336="","",IFERROR(CaseLedger!$AB336,""))</x:f>
      </x:c>
      <x:c r="W336" s="52" t="str">
        <x:f>IF(CaseLedger!$A336="","",IFERROR(CaseLedger!$AC336,""))</x:f>
      </x:c>
      <x:c r="X336" s="52" t="str">
        <x:f>IF(CaseLedger!$A336="","",IFERROR(CaseLedger!$AD336,""))</x:f>
      </x:c>
      <x:c r="Y336" s="52" t="str">
        <x:f>IF(CaseLedger!$A336="","",IFERROR(CaseLedger!$AE336,""))</x:f>
      </x:c>
      <x:c r="Z336" s="52" t="str">
        <x:f>IF(CaseLedger!$A336="","",IFERROR(CaseLedger!$AF336,""))</x:f>
      </x:c>
      <x:c r="AA336" s="52" t="str">
        <x:f>IF(CaseLedger!$A336="","",IFERROR(CaseLedger!$AG336,""))</x:f>
      </x:c>
      <x:c r="AB336" s="52" t="str">
        <x:f>IF(CaseLedger!$A336="","",IFERROR(CaseLedger!$AH336,""))</x:f>
      </x:c>
      <x:c r="AC336"/>
    </x:row>
    <x:row r="337">
      <x:c r="A337" s="52" t="str">
        <x:f>IF(CaseLedger!$A337="","",IFERROR(CaseLedger!$A337,""))</x:f>
      </x:c>
      <x:c r="B337" s="52" t="str">
        <x:f>IF(CaseLedger!$A337="","",IFERROR(CaseLedger!$H337,""))</x:f>
      </x:c>
      <x:c r="C337" s="52" t="str">
        <x:f>IF(CaseLedger!$A337="","",IFERROR(CaseLedger!$I337,""))</x:f>
      </x:c>
      <x:c r="D337" s="52" t="str">
        <x:f>IF(CaseLedger!$A337="","",IFERROR(CaseLedger!$J337,""))</x:f>
      </x:c>
      <x:c r="E337" s="52" t="str">
        <x:f>IF(CaseLedger!$A337="","",IFERROR(CaseLedger!$K337,""))</x:f>
      </x:c>
      <x:c r="F337" s="52" t="str">
        <x:f>IF(CaseLedger!$A337="","",IFERROR(CaseLedger!$O337,""))</x:f>
      </x:c>
      <x:c r="G337" s="52" t="str">
        <x:f>IF(CaseLedger!$A337="","",IFERROR(CaseLedger!$E337,""))</x:f>
      </x:c>
      <x:c r="H337" s="52" t="str">
        <x:f>IF(CaseLedger!$A337="","",IFERROR(CaseLedger!$P337,""))</x:f>
      </x:c>
      <x:c r="I337" s="52" t="str">
        <x:f>IF(CaseLedger!$A337="","",IFERROR(CaseLedger!$Q337,""))</x:f>
      </x:c>
      <x:c r="J337" s="52" t="str">
        <x:f>IF(CaseLedger!$A337="","",IFERROR(CaseLedger!$R337,""))</x:f>
      </x:c>
      <x:c r="K337" s="52" t="str">
        <x:f>IF(CaseLedger!$A337="","",IFERROR(CaseLedger!$S337,""))</x:f>
      </x:c>
      <x:c r="L337" s="52" t="str">
        <x:f>IF(CaseLedger!$A337="","",IFERROR(CaseLedger!$T337,""))</x:f>
      </x:c>
      <x:c r="M337" s="52" t="str">
        <x:f>IF(CaseLedger!$A337="","",IFERROR(CaseLedger!$U337,""))</x:f>
      </x:c>
      <x:c r="N337" s="52" t="str">
        <x:f>IF(CaseLedger!$A337="","",IFERROR(CaseLedger!$V337,""))</x:f>
      </x:c>
      <x:c r="O337" s="52" t="str">
        <x:f>IF(CaseLedger!$A337="","",IFERROR(CaseLedger!$W337,""))</x:f>
      </x:c>
      <x:c r="P337" s="52" t="str">
        <x:f>IF(CaseLedger!$A337="","",IFERROR(CaseLedger!$C337,""))</x:f>
      </x:c>
      <x:c r="Q337" s="52" t="str">
        <x:f>IF(CaseLedger!$A337="","",IFERROR(CaseLedger!$D337,""))</x:f>
      </x:c>
      <x:c r="R337" s="52" t="str">
        <x:f>IF(CaseLedger!$A337="","",IFERROR(CaseLedger!$X337,""))</x:f>
      </x:c>
      <x:c r="S337" s="52" t="str">
        <x:f>IF(CaseLedger!$A337="","",IFERROR(CaseLedger!$Y337,""))</x:f>
      </x:c>
      <x:c r="T337" s="52" t="str">
        <x:f>IF(CaseLedger!$A337="","",IFERROR(CaseLedger!$Z337,""))</x:f>
      </x:c>
      <x:c r="U337" s="52" t="str">
        <x:f>IF(CaseLedger!$A337="","",IFERROR(CaseLedger!$AA337,""))</x:f>
      </x:c>
      <x:c r="V337" s="52" t="str">
        <x:f>IF(CaseLedger!$A337="","",IFERROR(CaseLedger!$AB337,""))</x:f>
      </x:c>
      <x:c r="W337" s="52" t="str">
        <x:f>IF(CaseLedger!$A337="","",IFERROR(CaseLedger!$AC337,""))</x:f>
      </x:c>
      <x:c r="X337" s="52" t="str">
        <x:f>IF(CaseLedger!$A337="","",IFERROR(CaseLedger!$AD337,""))</x:f>
      </x:c>
      <x:c r="Y337" s="52" t="str">
        <x:f>IF(CaseLedger!$A337="","",IFERROR(CaseLedger!$AE337,""))</x:f>
      </x:c>
      <x:c r="Z337" s="52" t="str">
        <x:f>IF(CaseLedger!$A337="","",IFERROR(CaseLedger!$AF337,""))</x:f>
      </x:c>
      <x:c r="AA337" s="52" t="str">
        <x:f>IF(CaseLedger!$A337="","",IFERROR(CaseLedger!$AG337,""))</x:f>
      </x:c>
      <x:c r="AB337" s="52" t="str">
        <x:f>IF(CaseLedger!$A337="","",IFERROR(CaseLedger!$AH337,""))</x:f>
      </x:c>
      <x:c r="AC337"/>
    </x:row>
    <x:row r="338">
      <x:c r="A338" s="52" t="str">
        <x:f>IF(CaseLedger!$A338="","",IFERROR(CaseLedger!$A338,""))</x:f>
      </x:c>
      <x:c r="B338" s="52" t="str">
        <x:f>IF(CaseLedger!$A338="","",IFERROR(CaseLedger!$H338,""))</x:f>
      </x:c>
      <x:c r="C338" s="52" t="str">
        <x:f>IF(CaseLedger!$A338="","",IFERROR(CaseLedger!$I338,""))</x:f>
      </x:c>
      <x:c r="D338" s="52" t="str">
        <x:f>IF(CaseLedger!$A338="","",IFERROR(CaseLedger!$J338,""))</x:f>
      </x:c>
      <x:c r="E338" s="52" t="str">
        <x:f>IF(CaseLedger!$A338="","",IFERROR(CaseLedger!$K338,""))</x:f>
      </x:c>
      <x:c r="F338" s="52" t="str">
        <x:f>IF(CaseLedger!$A338="","",IFERROR(CaseLedger!$O338,""))</x:f>
      </x:c>
      <x:c r="G338" s="52" t="str">
        <x:f>IF(CaseLedger!$A338="","",IFERROR(CaseLedger!$E338,""))</x:f>
      </x:c>
      <x:c r="H338" s="52" t="str">
        <x:f>IF(CaseLedger!$A338="","",IFERROR(CaseLedger!$P338,""))</x:f>
      </x:c>
      <x:c r="I338" s="52" t="str">
        <x:f>IF(CaseLedger!$A338="","",IFERROR(CaseLedger!$Q338,""))</x:f>
      </x:c>
      <x:c r="J338" s="52" t="str">
        <x:f>IF(CaseLedger!$A338="","",IFERROR(CaseLedger!$R338,""))</x:f>
      </x:c>
      <x:c r="K338" s="52" t="str">
        <x:f>IF(CaseLedger!$A338="","",IFERROR(CaseLedger!$S338,""))</x:f>
      </x:c>
      <x:c r="L338" s="52" t="str">
        <x:f>IF(CaseLedger!$A338="","",IFERROR(CaseLedger!$T338,""))</x:f>
      </x:c>
      <x:c r="M338" s="52" t="str">
        <x:f>IF(CaseLedger!$A338="","",IFERROR(CaseLedger!$U338,""))</x:f>
      </x:c>
      <x:c r="N338" s="52" t="str">
        <x:f>IF(CaseLedger!$A338="","",IFERROR(CaseLedger!$V338,""))</x:f>
      </x:c>
      <x:c r="O338" s="52" t="str">
        <x:f>IF(CaseLedger!$A338="","",IFERROR(CaseLedger!$W338,""))</x:f>
      </x:c>
      <x:c r="P338" s="52" t="str">
        <x:f>IF(CaseLedger!$A338="","",IFERROR(CaseLedger!$C338,""))</x:f>
      </x:c>
      <x:c r="Q338" s="52" t="str">
        <x:f>IF(CaseLedger!$A338="","",IFERROR(CaseLedger!$D338,""))</x:f>
      </x:c>
      <x:c r="R338" s="52" t="str">
        <x:f>IF(CaseLedger!$A338="","",IFERROR(CaseLedger!$X338,""))</x:f>
      </x:c>
      <x:c r="S338" s="52" t="str">
        <x:f>IF(CaseLedger!$A338="","",IFERROR(CaseLedger!$Y338,""))</x:f>
      </x:c>
      <x:c r="T338" s="52" t="str">
        <x:f>IF(CaseLedger!$A338="","",IFERROR(CaseLedger!$Z338,""))</x:f>
      </x:c>
      <x:c r="U338" s="52" t="str">
        <x:f>IF(CaseLedger!$A338="","",IFERROR(CaseLedger!$AA338,""))</x:f>
      </x:c>
      <x:c r="V338" s="52" t="str">
        <x:f>IF(CaseLedger!$A338="","",IFERROR(CaseLedger!$AB338,""))</x:f>
      </x:c>
      <x:c r="W338" s="52" t="str">
        <x:f>IF(CaseLedger!$A338="","",IFERROR(CaseLedger!$AC338,""))</x:f>
      </x:c>
      <x:c r="X338" s="52" t="str">
        <x:f>IF(CaseLedger!$A338="","",IFERROR(CaseLedger!$AD338,""))</x:f>
      </x:c>
      <x:c r="Y338" s="52" t="str">
        <x:f>IF(CaseLedger!$A338="","",IFERROR(CaseLedger!$AE338,""))</x:f>
      </x:c>
      <x:c r="Z338" s="52" t="str">
        <x:f>IF(CaseLedger!$A338="","",IFERROR(CaseLedger!$AF338,""))</x:f>
      </x:c>
      <x:c r="AA338" s="52" t="str">
        <x:f>IF(CaseLedger!$A338="","",IFERROR(CaseLedger!$AG338,""))</x:f>
      </x:c>
      <x:c r="AB338" s="52" t="str">
        <x:f>IF(CaseLedger!$A338="","",IFERROR(CaseLedger!$AH338,""))</x:f>
      </x:c>
      <x:c r="AC338"/>
    </x:row>
    <x:row r="339">
      <x:c r="A339" s="52" t="str">
        <x:f>IF(CaseLedger!$A339="","",IFERROR(CaseLedger!$A339,""))</x:f>
      </x:c>
      <x:c r="B339" s="52" t="str">
        <x:f>IF(CaseLedger!$A339="","",IFERROR(CaseLedger!$H339,""))</x:f>
      </x:c>
      <x:c r="C339" s="52" t="str">
        <x:f>IF(CaseLedger!$A339="","",IFERROR(CaseLedger!$I339,""))</x:f>
      </x:c>
      <x:c r="D339" s="52" t="str">
        <x:f>IF(CaseLedger!$A339="","",IFERROR(CaseLedger!$J339,""))</x:f>
      </x:c>
      <x:c r="E339" s="52" t="str">
        <x:f>IF(CaseLedger!$A339="","",IFERROR(CaseLedger!$K339,""))</x:f>
      </x:c>
      <x:c r="F339" s="52" t="str">
        <x:f>IF(CaseLedger!$A339="","",IFERROR(CaseLedger!$O339,""))</x:f>
      </x:c>
      <x:c r="G339" s="52" t="str">
        <x:f>IF(CaseLedger!$A339="","",IFERROR(CaseLedger!$E339,""))</x:f>
      </x:c>
      <x:c r="H339" s="52" t="str">
        <x:f>IF(CaseLedger!$A339="","",IFERROR(CaseLedger!$P339,""))</x:f>
      </x:c>
      <x:c r="I339" s="52" t="str">
        <x:f>IF(CaseLedger!$A339="","",IFERROR(CaseLedger!$Q339,""))</x:f>
      </x:c>
      <x:c r="J339" s="52" t="str">
        <x:f>IF(CaseLedger!$A339="","",IFERROR(CaseLedger!$R339,""))</x:f>
      </x:c>
      <x:c r="K339" s="52" t="str">
        <x:f>IF(CaseLedger!$A339="","",IFERROR(CaseLedger!$S339,""))</x:f>
      </x:c>
      <x:c r="L339" s="52" t="str">
        <x:f>IF(CaseLedger!$A339="","",IFERROR(CaseLedger!$T339,""))</x:f>
      </x:c>
      <x:c r="M339" s="52" t="str">
        <x:f>IF(CaseLedger!$A339="","",IFERROR(CaseLedger!$U339,""))</x:f>
      </x:c>
      <x:c r="N339" s="52" t="str">
        <x:f>IF(CaseLedger!$A339="","",IFERROR(CaseLedger!$V339,""))</x:f>
      </x:c>
      <x:c r="O339" s="52" t="str">
        <x:f>IF(CaseLedger!$A339="","",IFERROR(CaseLedger!$W339,""))</x:f>
      </x:c>
      <x:c r="P339" s="52" t="str">
        <x:f>IF(CaseLedger!$A339="","",IFERROR(CaseLedger!$C339,""))</x:f>
      </x:c>
      <x:c r="Q339" s="52" t="str">
        <x:f>IF(CaseLedger!$A339="","",IFERROR(CaseLedger!$D339,""))</x:f>
      </x:c>
      <x:c r="R339" s="52" t="str">
        <x:f>IF(CaseLedger!$A339="","",IFERROR(CaseLedger!$X339,""))</x:f>
      </x:c>
      <x:c r="S339" s="52" t="str">
        <x:f>IF(CaseLedger!$A339="","",IFERROR(CaseLedger!$Y339,""))</x:f>
      </x:c>
      <x:c r="T339" s="52" t="str">
        <x:f>IF(CaseLedger!$A339="","",IFERROR(CaseLedger!$Z339,""))</x:f>
      </x:c>
      <x:c r="U339" s="52" t="str">
        <x:f>IF(CaseLedger!$A339="","",IFERROR(CaseLedger!$AA339,""))</x:f>
      </x:c>
      <x:c r="V339" s="52" t="str">
        <x:f>IF(CaseLedger!$A339="","",IFERROR(CaseLedger!$AB339,""))</x:f>
      </x:c>
      <x:c r="W339" s="52" t="str">
        <x:f>IF(CaseLedger!$A339="","",IFERROR(CaseLedger!$AC339,""))</x:f>
      </x:c>
      <x:c r="X339" s="52" t="str">
        <x:f>IF(CaseLedger!$A339="","",IFERROR(CaseLedger!$AD339,""))</x:f>
      </x:c>
      <x:c r="Y339" s="52" t="str">
        <x:f>IF(CaseLedger!$A339="","",IFERROR(CaseLedger!$AE339,""))</x:f>
      </x:c>
      <x:c r="Z339" s="52" t="str">
        <x:f>IF(CaseLedger!$A339="","",IFERROR(CaseLedger!$AF339,""))</x:f>
      </x:c>
      <x:c r="AA339" s="52" t="str">
        <x:f>IF(CaseLedger!$A339="","",IFERROR(CaseLedger!$AG339,""))</x:f>
      </x:c>
      <x:c r="AB339" s="52" t="str">
        <x:f>IF(CaseLedger!$A339="","",IFERROR(CaseLedger!$AH339,""))</x:f>
      </x:c>
      <x:c r="AC339"/>
    </x:row>
    <x:row r="340">
      <x:c r="A340" s="52" t="str">
        <x:f>IF(CaseLedger!$A340="","",IFERROR(CaseLedger!$A340,""))</x:f>
      </x:c>
      <x:c r="B340" s="52" t="str">
        <x:f>IF(CaseLedger!$A340="","",IFERROR(CaseLedger!$H340,""))</x:f>
      </x:c>
      <x:c r="C340" s="52" t="str">
        <x:f>IF(CaseLedger!$A340="","",IFERROR(CaseLedger!$I340,""))</x:f>
      </x:c>
      <x:c r="D340" s="52" t="str">
        <x:f>IF(CaseLedger!$A340="","",IFERROR(CaseLedger!$J340,""))</x:f>
      </x:c>
      <x:c r="E340" s="52" t="str">
        <x:f>IF(CaseLedger!$A340="","",IFERROR(CaseLedger!$K340,""))</x:f>
      </x:c>
      <x:c r="F340" s="52" t="str">
        <x:f>IF(CaseLedger!$A340="","",IFERROR(CaseLedger!$O340,""))</x:f>
      </x:c>
      <x:c r="G340" s="52" t="str">
        <x:f>IF(CaseLedger!$A340="","",IFERROR(CaseLedger!$E340,""))</x:f>
      </x:c>
      <x:c r="H340" s="52" t="str">
        <x:f>IF(CaseLedger!$A340="","",IFERROR(CaseLedger!$P340,""))</x:f>
      </x:c>
      <x:c r="I340" s="52" t="str">
        <x:f>IF(CaseLedger!$A340="","",IFERROR(CaseLedger!$Q340,""))</x:f>
      </x:c>
      <x:c r="J340" s="52" t="str">
        <x:f>IF(CaseLedger!$A340="","",IFERROR(CaseLedger!$R340,""))</x:f>
      </x:c>
      <x:c r="K340" s="52" t="str">
        <x:f>IF(CaseLedger!$A340="","",IFERROR(CaseLedger!$S340,""))</x:f>
      </x:c>
      <x:c r="L340" s="52" t="str">
        <x:f>IF(CaseLedger!$A340="","",IFERROR(CaseLedger!$T340,""))</x:f>
      </x:c>
      <x:c r="M340" s="52" t="str">
        <x:f>IF(CaseLedger!$A340="","",IFERROR(CaseLedger!$U340,""))</x:f>
      </x:c>
      <x:c r="N340" s="52" t="str">
        <x:f>IF(CaseLedger!$A340="","",IFERROR(CaseLedger!$V340,""))</x:f>
      </x:c>
      <x:c r="O340" s="52" t="str">
        <x:f>IF(CaseLedger!$A340="","",IFERROR(CaseLedger!$W340,""))</x:f>
      </x:c>
      <x:c r="P340" s="52" t="str">
        <x:f>IF(CaseLedger!$A340="","",IFERROR(CaseLedger!$C340,""))</x:f>
      </x:c>
      <x:c r="Q340" s="52" t="str">
        <x:f>IF(CaseLedger!$A340="","",IFERROR(CaseLedger!$D340,""))</x:f>
      </x:c>
      <x:c r="R340" s="52" t="str">
        <x:f>IF(CaseLedger!$A340="","",IFERROR(CaseLedger!$X340,""))</x:f>
      </x:c>
      <x:c r="S340" s="52" t="str">
        <x:f>IF(CaseLedger!$A340="","",IFERROR(CaseLedger!$Y340,""))</x:f>
      </x:c>
      <x:c r="T340" s="52" t="str">
        <x:f>IF(CaseLedger!$A340="","",IFERROR(CaseLedger!$Z340,""))</x:f>
      </x:c>
      <x:c r="U340" s="52" t="str">
        <x:f>IF(CaseLedger!$A340="","",IFERROR(CaseLedger!$AA340,""))</x:f>
      </x:c>
      <x:c r="V340" s="52" t="str">
        <x:f>IF(CaseLedger!$A340="","",IFERROR(CaseLedger!$AB340,""))</x:f>
      </x:c>
      <x:c r="W340" s="52" t="str">
        <x:f>IF(CaseLedger!$A340="","",IFERROR(CaseLedger!$AC340,""))</x:f>
      </x:c>
      <x:c r="X340" s="52" t="str">
        <x:f>IF(CaseLedger!$A340="","",IFERROR(CaseLedger!$AD340,""))</x:f>
      </x:c>
      <x:c r="Y340" s="52" t="str">
        <x:f>IF(CaseLedger!$A340="","",IFERROR(CaseLedger!$AE340,""))</x:f>
      </x:c>
      <x:c r="Z340" s="52" t="str">
        <x:f>IF(CaseLedger!$A340="","",IFERROR(CaseLedger!$AF340,""))</x:f>
      </x:c>
      <x:c r="AA340" s="52" t="str">
        <x:f>IF(CaseLedger!$A340="","",IFERROR(CaseLedger!$AG340,""))</x:f>
      </x:c>
      <x:c r="AB340" s="52" t="str">
        <x:f>IF(CaseLedger!$A340="","",IFERROR(CaseLedger!$AH340,""))</x:f>
      </x:c>
      <x:c r="AC340"/>
    </x:row>
    <x:row r="341">
      <x:c r="A341" s="52" t="str">
        <x:f>IF(CaseLedger!$A341="","",IFERROR(CaseLedger!$A341,""))</x:f>
      </x:c>
      <x:c r="B341" s="52" t="str">
        <x:f>IF(CaseLedger!$A341="","",IFERROR(CaseLedger!$H341,""))</x:f>
      </x:c>
      <x:c r="C341" s="52" t="str">
        <x:f>IF(CaseLedger!$A341="","",IFERROR(CaseLedger!$I341,""))</x:f>
      </x:c>
      <x:c r="D341" s="52" t="str">
        <x:f>IF(CaseLedger!$A341="","",IFERROR(CaseLedger!$J341,""))</x:f>
      </x:c>
      <x:c r="E341" s="52" t="str">
        <x:f>IF(CaseLedger!$A341="","",IFERROR(CaseLedger!$K341,""))</x:f>
      </x:c>
      <x:c r="F341" s="52" t="str">
        <x:f>IF(CaseLedger!$A341="","",IFERROR(CaseLedger!$O341,""))</x:f>
      </x:c>
      <x:c r="G341" s="52" t="str">
        <x:f>IF(CaseLedger!$A341="","",IFERROR(CaseLedger!$E341,""))</x:f>
      </x:c>
      <x:c r="H341" s="52" t="str">
        <x:f>IF(CaseLedger!$A341="","",IFERROR(CaseLedger!$P341,""))</x:f>
      </x:c>
      <x:c r="I341" s="52" t="str">
        <x:f>IF(CaseLedger!$A341="","",IFERROR(CaseLedger!$Q341,""))</x:f>
      </x:c>
      <x:c r="J341" s="52" t="str">
        <x:f>IF(CaseLedger!$A341="","",IFERROR(CaseLedger!$R341,""))</x:f>
      </x:c>
      <x:c r="K341" s="52" t="str">
        <x:f>IF(CaseLedger!$A341="","",IFERROR(CaseLedger!$S341,""))</x:f>
      </x:c>
      <x:c r="L341" s="52" t="str">
        <x:f>IF(CaseLedger!$A341="","",IFERROR(CaseLedger!$T341,""))</x:f>
      </x:c>
      <x:c r="M341" s="52" t="str">
        <x:f>IF(CaseLedger!$A341="","",IFERROR(CaseLedger!$U341,""))</x:f>
      </x:c>
      <x:c r="N341" s="52" t="str">
        <x:f>IF(CaseLedger!$A341="","",IFERROR(CaseLedger!$V341,""))</x:f>
      </x:c>
      <x:c r="O341" s="52" t="str">
        <x:f>IF(CaseLedger!$A341="","",IFERROR(CaseLedger!$W341,""))</x:f>
      </x:c>
      <x:c r="P341" s="52" t="str">
        <x:f>IF(CaseLedger!$A341="","",IFERROR(CaseLedger!$C341,""))</x:f>
      </x:c>
      <x:c r="Q341" s="52" t="str">
        <x:f>IF(CaseLedger!$A341="","",IFERROR(CaseLedger!$D341,""))</x:f>
      </x:c>
      <x:c r="R341" s="52" t="str">
        <x:f>IF(CaseLedger!$A341="","",IFERROR(CaseLedger!$X341,""))</x:f>
      </x:c>
      <x:c r="S341" s="52" t="str">
        <x:f>IF(CaseLedger!$A341="","",IFERROR(CaseLedger!$Y341,""))</x:f>
      </x:c>
      <x:c r="T341" s="52" t="str">
        <x:f>IF(CaseLedger!$A341="","",IFERROR(CaseLedger!$Z341,""))</x:f>
      </x:c>
      <x:c r="U341" s="52" t="str">
        <x:f>IF(CaseLedger!$A341="","",IFERROR(CaseLedger!$AA341,""))</x:f>
      </x:c>
      <x:c r="V341" s="52" t="str">
        <x:f>IF(CaseLedger!$A341="","",IFERROR(CaseLedger!$AB341,""))</x:f>
      </x:c>
      <x:c r="W341" s="52" t="str">
        <x:f>IF(CaseLedger!$A341="","",IFERROR(CaseLedger!$AC341,""))</x:f>
      </x:c>
      <x:c r="X341" s="52" t="str">
        <x:f>IF(CaseLedger!$A341="","",IFERROR(CaseLedger!$AD341,""))</x:f>
      </x:c>
      <x:c r="Y341" s="52" t="str">
        <x:f>IF(CaseLedger!$A341="","",IFERROR(CaseLedger!$AE341,""))</x:f>
      </x:c>
      <x:c r="Z341" s="52" t="str">
        <x:f>IF(CaseLedger!$A341="","",IFERROR(CaseLedger!$AF341,""))</x:f>
      </x:c>
      <x:c r="AA341" s="52" t="str">
        <x:f>IF(CaseLedger!$A341="","",IFERROR(CaseLedger!$AG341,""))</x:f>
      </x:c>
      <x:c r="AB341" s="52" t="str">
        <x:f>IF(CaseLedger!$A341="","",IFERROR(CaseLedger!$AH341,""))</x:f>
      </x:c>
      <x:c r="AC341"/>
    </x:row>
    <x:row r="342">
      <x:c r="A342" s="52" t="str">
        <x:f>IF(CaseLedger!$A342="","",IFERROR(CaseLedger!$A342,""))</x:f>
      </x:c>
      <x:c r="B342" s="52" t="str">
        <x:f>IF(CaseLedger!$A342="","",IFERROR(CaseLedger!$H342,""))</x:f>
      </x:c>
      <x:c r="C342" s="52" t="str">
        <x:f>IF(CaseLedger!$A342="","",IFERROR(CaseLedger!$I342,""))</x:f>
      </x:c>
      <x:c r="D342" s="52" t="str">
        <x:f>IF(CaseLedger!$A342="","",IFERROR(CaseLedger!$J342,""))</x:f>
      </x:c>
      <x:c r="E342" s="52" t="str">
        <x:f>IF(CaseLedger!$A342="","",IFERROR(CaseLedger!$K342,""))</x:f>
      </x:c>
      <x:c r="F342" s="52" t="str">
        <x:f>IF(CaseLedger!$A342="","",IFERROR(CaseLedger!$O342,""))</x:f>
      </x:c>
      <x:c r="G342" s="52" t="str">
        <x:f>IF(CaseLedger!$A342="","",IFERROR(CaseLedger!$E342,""))</x:f>
      </x:c>
      <x:c r="H342" s="52" t="str">
        <x:f>IF(CaseLedger!$A342="","",IFERROR(CaseLedger!$P342,""))</x:f>
      </x:c>
      <x:c r="I342" s="52" t="str">
        <x:f>IF(CaseLedger!$A342="","",IFERROR(CaseLedger!$Q342,""))</x:f>
      </x:c>
      <x:c r="J342" s="52" t="str">
        <x:f>IF(CaseLedger!$A342="","",IFERROR(CaseLedger!$R342,""))</x:f>
      </x:c>
      <x:c r="K342" s="52" t="str">
        <x:f>IF(CaseLedger!$A342="","",IFERROR(CaseLedger!$S342,""))</x:f>
      </x:c>
      <x:c r="L342" s="52" t="str">
        <x:f>IF(CaseLedger!$A342="","",IFERROR(CaseLedger!$T342,""))</x:f>
      </x:c>
      <x:c r="M342" s="52" t="str">
        <x:f>IF(CaseLedger!$A342="","",IFERROR(CaseLedger!$U342,""))</x:f>
      </x:c>
      <x:c r="N342" s="52" t="str">
        <x:f>IF(CaseLedger!$A342="","",IFERROR(CaseLedger!$V342,""))</x:f>
      </x:c>
      <x:c r="O342" s="52" t="str">
        <x:f>IF(CaseLedger!$A342="","",IFERROR(CaseLedger!$W342,""))</x:f>
      </x:c>
      <x:c r="P342" s="52" t="str">
        <x:f>IF(CaseLedger!$A342="","",IFERROR(CaseLedger!$C342,""))</x:f>
      </x:c>
      <x:c r="Q342" s="52" t="str">
        <x:f>IF(CaseLedger!$A342="","",IFERROR(CaseLedger!$D342,""))</x:f>
      </x:c>
      <x:c r="R342" s="52" t="str">
        <x:f>IF(CaseLedger!$A342="","",IFERROR(CaseLedger!$X342,""))</x:f>
      </x:c>
      <x:c r="S342" s="52" t="str">
        <x:f>IF(CaseLedger!$A342="","",IFERROR(CaseLedger!$Y342,""))</x:f>
      </x:c>
      <x:c r="T342" s="52" t="str">
        <x:f>IF(CaseLedger!$A342="","",IFERROR(CaseLedger!$Z342,""))</x:f>
      </x:c>
      <x:c r="U342" s="52" t="str">
        <x:f>IF(CaseLedger!$A342="","",IFERROR(CaseLedger!$AA342,""))</x:f>
      </x:c>
      <x:c r="V342" s="52" t="str">
        <x:f>IF(CaseLedger!$A342="","",IFERROR(CaseLedger!$AB342,""))</x:f>
      </x:c>
      <x:c r="W342" s="52" t="str">
        <x:f>IF(CaseLedger!$A342="","",IFERROR(CaseLedger!$AC342,""))</x:f>
      </x:c>
      <x:c r="X342" s="52" t="str">
        <x:f>IF(CaseLedger!$A342="","",IFERROR(CaseLedger!$AD342,""))</x:f>
      </x:c>
      <x:c r="Y342" s="52" t="str">
        <x:f>IF(CaseLedger!$A342="","",IFERROR(CaseLedger!$AE342,""))</x:f>
      </x:c>
      <x:c r="Z342" s="52" t="str">
        <x:f>IF(CaseLedger!$A342="","",IFERROR(CaseLedger!$AF342,""))</x:f>
      </x:c>
      <x:c r="AA342" s="52" t="str">
        <x:f>IF(CaseLedger!$A342="","",IFERROR(CaseLedger!$AG342,""))</x:f>
      </x:c>
      <x:c r="AB342" s="52" t="str">
        <x:f>IF(CaseLedger!$A342="","",IFERROR(CaseLedger!$AH342,""))</x:f>
      </x:c>
      <x:c r="AC342"/>
    </x:row>
    <x:row r="343">
      <x:c r="A343" s="52" t="str">
        <x:f>IF(CaseLedger!$A343="","",IFERROR(CaseLedger!$A343,""))</x:f>
      </x:c>
      <x:c r="B343" s="52" t="str">
        <x:f>IF(CaseLedger!$A343="","",IFERROR(CaseLedger!$H343,""))</x:f>
      </x:c>
      <x:c r="C343" s="52" t="str">
        <x:f>IF(CaseLedger!$A343="","",IFERROR(CaseLedger!$I343,""))</x:f>
      </x:c>
      <x:c r="D343" s="52" t="str">
        <x:f>IF(CaseLedger!$A343="","",IFERROR(CaseLedger!$J343,""))</x:f>
      </x:c>
      <x:c r="E343" s="52" t="str">
        <x:f>IF(CaseLedger!$A343="","",IFERROR(CaseLedger!$K343,""))</x:f>
      </x:c>
      <x:c r="F343" s="52" t="str">
        <x:f>IF(CaseLedger!$A343="","",IFERROR(CaseLedger!$O343,""))</x:f>
      </x:c>
      <x:c r="G343" s="52" t="str">
        <x:f>IF(CaseLedger!$A343="","",IFERROR(CaseLedger!$E343,""))</x:f>
      </x:c>
      <x:c r="H343" s="52" t="str">
        <x:f>IF(CaseLedger!$A343="","",IFERROR(CaseLedger!$P343,""))</x:f>
      </x:c>
      <x:c r="I343" s="52" t="str">
        <x:f>IF(CaseLedger!$A343="","",IFERROR(CaseLedger!$Q343,""))</x:f>
      </x:c>
      <x:c r="J343" s="52" t="str">
        <x:f>IF(CaseLedger!$A343="","",IFERROR(CaseLedger!$R343,""))</x:f>
      </x:c>
      <x:c r="K343" s="52" t="str">
        <x:f>IF(CaseLedger!$A343="","",IFERROR(CaseLedger!$S343,""))</x:f>
      </x:c>
      <x:c r="L343" s="52" t="str">
        <x:f>IF(CaseLedger!$A343="","",IFERROR(CaseLedger!$T343,""))</x:f>
      </x:c>
      <x:c r="M343" s="52" t="str">
        <x:f>IF(CaseLedger!$A343="","",IFERROR(CaseLedger!$U343,""))</x:f>
      </x:c>
      <x:c r="N343" s="52" t="str">
        <x:f>IF(CaseLedger!$A343="","",IFERROR(CaseLedger!$V343,""))</x:f>
      </x:c>
      <x:c r="O343" s="52" t="str">
        <x:f>IF(CaseLedger!$A343="","",IFERROR(CaseLedger!$W343,""))</x:f>
      </x:c>
      <x:c r="P343" s="52" t="str">
        <x:f>IF(CaseLedger!$A343="","",IFERROR(CaseLedger!$C343,""))</x:f>
      </x:c>
      <x:c r="Q343" s="52" t="str">
        <x:f>IF(CaseLedger!$A343="","",IFERROR(CaseLedger!$D343,""))</x:f>
      </x:c>
      <x:c r="R343" s="52" t="str">
        <x:f>IF(CaseLedger!$A343="","",IFERROR(CaseLedger!$X343,""))</x:f>
      </x:c>
      <x:c r="S343" s="52" t="str">
        <x:f>IF(CaseLedger!$A343="","",IFERROR(CaseLedger!$Y343,""))</x:f>
      </x:c>
      <x:c r="T343" s="52" t="str">
        <x:f>IF(CaseLedger!$A343="","",IFERROR(CaseLedger!$Z343,""))</x:f>
      </x:c>
      <x:c r="U343" s="52" t="str">
        <x:f>IF(CaseLedger!$A343="","",IFERROR(CaseLedger!$AA343,""))</x:f>
      </x:c>
      <x:c r="V343" s="52" t="str">
        <x:f>IF(CaseLedger!$A343="","",IFERROR(CaseLedger!$AB343,""))</x:f>
      </x:c>
      <x:c r="W343" s="52" t="str">
        <x:f>IF(CaseLedger!$A343="","",IFERROR(CaseLedger!$AC343,""))</x:f>
      </x:c>
      <x:c r="X343" s="52" t="str">
        <x:f>IF(CaseLedger!$A343="","",IFERROR(CaseLedger!$AD343,""))</x:f>
      </x:c>
      <x:c r="Y343" s="52" t="str">
        <x:f>IF(CaseLedger!$A343="","",IFERROR(CaseLedger!$AE343,""))</x:f>
      </x:c>
      <x:c r="Z343" s="52" t="str">
        <x:f>IF(CaseLedger!$A343="","",IFERROR(CaseLedger!$AF343,""))</x:f>
      </x:c>
      <x:c r="AA343" s="52" t="str">
        <x:f>IF(CaseLedger!$A343="","",IFERROR(CaseLedger!$AG343,""))</x:f>
      </x:c>
      <x:c r="AB343" s="52" t="str">
        <x:f>IF(CaseLedger!$A343="","",IFERROR(CaseLedger!$AH343,""))</x:f>
      </x:c>
      <x:c r="AC343"/>
    </x:row>
    <x:row r="344">
      <x:c r="A344" s="52" t="str">
        <x:f>IF(CaseLedger!$A344="","",IFERROR(CaseLedger!$A344,""))</x:f>
      </x:c>
      <x:c r="B344" s="52" t="str">
        <x:f>IF(CaseLedger!$A344="","",IFERROR(CaseLedger!$H344,""))</x:f>
      </x:c>
      <x:c r="C344" s="52" t="str">
        <x:f>IF(CaseLedger!$A344="","",IFERROR(CaseLedger!$I344,""))</x:f>
      </x:c>
      <x:c r="D344" s="52" t="str">
        <x:f>IF(CaseLedger!$A344="","",IFERROR(CaseLedger!$J344,""))</x:f>
      </x:c>
      <x:c r="E344" s="52" t="str">
        <x:f>IF(CaseLedger!$A344="","",IFERROR(CaseLedger!$K344,""))</x:f>
      </x:c>
      <x:c r="F344" s="52" t="str">
        <x:f>IF(CaseLedger!$A344="","",IFERROR(CaseLedger!$O344,""))</x:f>
      </x:c>
      <x:c r="G344" s="52" t="str">
        <x:f>IF(CaseLedger!$A344="","",IFERROR(CaseLedger!$E344,""))</x:f>
      </x:c>
      <x:c r="H344" s="52" t="str">
        <x:f>IF(CaseLedger!$A344="","",IFERROR(CaseLedger!$P344,""))</x:f>
      </x:c>
      <x:c r="I344" s="52" t="str">
        <x:f>IF(CaseLedger!$A344="","",IFERROR(CaseLedger!$Q344,""))</x:f>
      </x:c>
      <x:c r="J344" s="52" t="str">
        <x:f>IF(CaseLedger!$A344="","",IFERROR(CaseLedger!$R344,""))</x:f>
      </x:c>
      <x:c r="K344" s="52" t="str">
        <x:f>IF(CaseLedger!$A344="","",IFERROR(CaseLedger!$S344,""))</x:f>
      </x:c>
      <x:c r="L344" s="52" t="str">
        <x:f>IF(CaseLedger!$A344="","",IFERROR(CaseLedger!$T344,""))</x:f>
      </x:c>
      <x:c r="M344" s="52" t="str">
        <x:f>IF(CaseLedger!$A344="","",IFERROR(CaseLedger!$U344,""))</x:f>
      </x:c>
      <x:c r="N344" s="52" t="str">
        <x:f>IF(CaseLedger!$A344="","",IFERROR(CaseLedger!$V344,""))</x:f>
      </x:c>
      <x:c r="O344" s="52" t="str">
        <x:f>IF(CaseLedger!$A344="","",IFERROR(CaseLedger!$W344,""))</x:f>
      </x:c>
      <x:c r="P344" s="52" t="str">
        <x:f>IF(CaseLedger!$A344="","",IFERROR(CaseLedger!$C344,""))</x:f>
      </x:c>
      <x:c r="Q344" s="52" t="str">
        <x:f>IF(CaseLedger!$A344="","",IFERROR(CaseLedger!$D344,""))</x:f>
      </x:c>
      <x:c r="R344" s="52" t="str">
        <x:f>IF(CaseLedger!$A344="","",IFERROR(CaseLedger!$X344,""))</x:f>
      </x:c>
      <x:c r="S344" s="52" t="str">
        <x:f>IF(CaseLedger!$A344="","",IFERROR(CaseLedger!$Y344,""))</x:f>
      </x:c>
      <x:c r="T344" s="52" t="str">
        <x:f>IF(CaseLedger!$A344="","",IFERROR(CaseLedger!$Z344,""))</x:f>
      </x:c>
      <x:c r="U344" s="52" t="str">
        <x:f>IF(CaseLedger!$A344="","",IFERROR(CaseLedger!$AA344,""))</x:f>
      </x:c>
      <x:c r="V344" s="52" t="str">
        <x:f>IF(CaseLedger!$A344="","",IFERROR(CaseLedger!$AB344,""))</x:f>
      </x:c>
      <x:c r="W344" s="52" t="str">
        <x:f>IF(CaseLedger!$A344="","",IFERROR(CaseLedger!$AC344,""))</x:f>
      </x:c>
      <x:c r="X344" s="52" t="str">
        <x:f>IF(CaseLedger!$A344="","",IFERROR(CaseLedger!$AD344,""))</x:f>
      </x:c>
      <x:c r="Y344" s="52" t="str">
        <x:f>IF(CaseLedger!$A344="","",IFERROR(CaseLedger!$AE344,""))</x:f>
      </x:c>
      <x:c r="Z344" s="52" t="str">
        <x:f>IF(CaseLedger!$A344="","",IFERROR(CaseLedger!$AF344,""))</x:f>
      </x:c>
      <x:c r="AA344" s="52" t="str">
        <x:f>IF(CaseLedger!$A344="","",IFERROR(CaseLedger!$AG344,""))</x:f>
      </x:c>
      <x:c r="AB344" s="52" t="str">
        <x:f>IF(CaseLedger!$A344="","",IFERROR(CaseLedger!$AH344,""))</x:f>
      </x:c>
      <x:c r="AC344"/>
    </x:row>
    <x:row r="345">
      <x:c r="A345" s="52" t="str">
        <x:f>IF(CaseLedger!$A345="","",IFERROR(CaseLedger!$A345,""))</x:f>
      </x:c>
      <x:c r="B345" s="52" t="str">
        <x:f>IF(CaseLedger!$A345="","",IFERROR(CaseLedger!$H345,""))</x:f>
      </x:c>
      <x:c r="C345" s="52" t="str">
        <x:f>IF(CaseLedger!$A345="","",IFERROR(CaseLedger!$I345,""))</x:f>
      </x:c>
      <x:c r="D345" s="52" t="str">
        <x:f>IF(CaseLedger!$A345="","",IFERROR(CaseLedger!$J345,""))</x:f>
      </x:c>
      <x:c r="E345" s="52" t="str">
        <x:f>IF(CaseLedger!$A345="","",IFERROR(CaseLedger!$K345,""))</x:f>
      </x:c>
      <x:c r="F345" s="52" t="str">
        <x:f>IF(CaseLedger!$A345="","",IFERROR(CaseLedger!$O345,""))</x:f>
      </x:c>
      <x:c r="G345" s="52" t="str">
        <x:f>IF(CaseLedger!$A345="","",IFERROR(CaseLedger!$E345,""))</x:f>
      </x:c>
      <x:c r="H345" s="52" t="str">
        <x:f>IF(CaseLedger!$A345="","",IFERROR(CaseLedger!$P345,""))</x:f>
      </x:c>
      <x:c r="I345" s="52" t="str">
        <x:f>IF(CaseLedger!$A345="","",IFERROR(CaseLedger!$Q345,""))</x:f>
      </x:c>
      <x:c r="J345" s="52" t="str">
        <x:f>IF(CaseLedger!$A345="","",IFERROR(CaseLedger!$R345,""))</x:f>
      </x:c>
      <x:c r="K345" s="52" t="str">
        <x:f>IF(CaseLedger!$A345="","",IFERROR(CaseLedger!$S345,""))</x:f>
      </x:c>
      <x:c r="L345" s="52" t="str">
        <x:f>IF(CaseLedger!$A345="","",IFERROR(CaseLedger!$T345,""))</x:f>
      </x:c>
      <x:c r="M345" s="52" t="str">
        <x:f>IF(CaseLedger!$A345="","",IFERROR(CaseLedger!$U345,""))</x:f>
      </x:c>
      <x:c r="N345" s="52" t="str">
        <x:f>IF(CaseLedger!$A345="","",IFERROR(CaseLedger!$V345,""))</x:f>
      </x:c>
      <x:c r="O345" s="52" t="str">
        <x:f>IF(CaseLedger!$A345="","",IFERROR(CaseLedger!$W345,""))</x:f>
      </x:c>
      <x:c r="P345" s="52" t="str">
        <x:f>IF(CaseLedger!$A345="","",IFERROR(CaseLedger!$C345,""))</x:f>
      </x:c>
      <x:c r="Q345" s="52" t="str">
        <x:f>IF(CaseLedger!$A345="","",IFERROR(CaseLedger!$D345,""))</x:f>
      </x:c>
      <x:c r="R345" s="52" t="str">
        <x:f>IF(CaseLedger!$A345="","",IFERROR(CaseLedger!$X345,""))</x:f>
      </x:c>
      <x:c r="S345" s="52" t="str">
        <x:f>IF(CaseLedger!$A345="","",IFERROR(CaseLedger!$Y345,""))</x:f>
      </x:c>
      <x:c r="T345" s="52" t="str">
        <x:f>IF(CaseLedger!$A345="","",IFERROR(CaseLedger!$Z345,""))</x:f>
      </x:c>
      <x:c r="U345" s="52" t="str">
        <x:f>IF(CaseLedger!$A345="","",IFERROR(CaseLedger!$AA345,""))</x:f>
      </x:c>
      <x:c r="V345" s="52" t="str">
        <x:f>IF(CaseLedger!$A345="","",IFERROR(CaseLedger!$AB345,""))</x:f>
      </x:c>
      <x:c r="W345" s="52" t="str">
        <x:f>IF(CaseLedger!$A345="","",IFERROR(CaseLedger!$AC345,""))</x:f>
      </x:c>
      <x:c r="X345" s="52" t="str">
        <x:f>IF(CaseLedger!$A345="","",IFERROR(CaseLedger!$AD345,""))</x:f>
      </x:c>
      <x:c r="Y345" s="52" t="str">
        <x:f>IF(CaseLedger!$A345="","",IFERROR(CaseLedger!$AE345,""))</x:f>
      </x:c>
      <x:c r="Z345" s="52" t="str">
        <x:f>IF(CaseLedger!$A345="","",IFERROR(CaseLedger!$AF345,""))</x:f>
      </x:c>
      <x:c r="AA345" s="52" t="str">
        <x:f>IF(CaseLedger!$A345="","",IFERROR(CaseLedger!$AG345,""))</x:f>
      </x:c>
      <x:c r="AB345" s="52" t="str">
        <x:f>IF(CaseLedger!$A345="","",IFERROR(CaseLedger!$AH345,""))</x:f>
      </x:c>
      <x:c r="AC345"/>
    </x:row>
    <x:row r="346">
      <x:c r="A346" s="52" t="str">
        <x:f>IF(CaseLedger!$A346="","",IFERROR(CaseLedger!$A346,""))</x:f>
      </x:c>
      <x:c r="B346" s="52" t="str">
        <x:f>IF(CaseLedger!$A346="","",IFERROR(CaseLedger!$H346,""))</x:f>
      </x:c>
      <x:c r="C346" s="52" t="str">
        <x:f>IF(CaseLedger!$A346="","",IFERROR(CaseLedger!$I346,""))</x:f>
      </x:c>
      <x:c r="D346" s="52" t="str">
        <x:f>IF(CaseLedger!$A346="","",IFERROR(CaseLedger!$J346,""))</x:f>
      </x:c>
      <x:c r="E346" s="52" t="str">
        <x:f>IF(CaseLedger!$A346="","",IFERROR(CaseLedger!$K346,""))</x:f>
      </x:c>
      <x:c r="F346" s="52" t="str">
        <x:f>IF(CaseLedger!$A346="","",IFERROR(CaseLedger!$O346,""))</x:f>
      </x:c>
      <x:c r="G346" s="52" t="str">
        <x:f>IF(CaseLedger!$A346="","",IFERROR(CaseLedger!$E346,""))</x:f>
      </x:c>
      <x:c r="H346" s="52" t="str">
        <x:f>IF(CaseLedger!$A346="","",IFERROR(CaseLedger!$P346,""))</x:f>
      </x:c>
      <x:c r="I346" s="52" t="str">
        <x:f>IF(CaseLedger!$A346="","",IFERROR(CaseLedger!$Q346,""))</x:f>
      </x:c>
      <x:c r="J346" s="52" t="str">
        <x:f>IF(CaseLedger!$A346="","",IFERROR(CaseLedger!$R346,""))</x:f>
      </x:c>
      <x:c r="K346" s="52" t="str">
        <x:f>IF(CaseLedger!$A346="","",IFERROR(CaseLedger!$S346,""))</x:f>
      </x:c>
      <x:c r="L346" s="52" t="str">
        <x:f>IF(CaseLedger!$A346="","",IFERROR(CaseLedger!$T346,""))</x:f>
      </x:c>
      <x:c r="M346" s="52" t="str">
        <x:f>IF(CaseLedger!$A346="","",IFERROR(CaseLedger!$U346,""))</x:f>
      </x:c>
      <x:c r="N346" s="52" t="str">
        <x:f>IF(CaseLedger!$A346="","",IFERROR(CaseLedger!$V346,""))</x:f>
      </x:c>
      <x:c r="O346" s="52" t="str">
        <x:f>IF(CaseLedger!$A346="","",IFERROR(CaseLedger!$W346,""))</x:f>
      </x:c>
      <x:c r="P346" s="52" t="str">
        <x:f>IF(CaseLedger!$A346="","",IFERROR(CaseLedger!$C346,""))</x:f>
      </x:c>
      <x:c r="Q346" s="52" t="str">
        <x:f>IF(CaseLedger!$A346="","",IFERROR(CaseLedger!$D346,""))</x:f>
      </x:c>
      <x:c r="R346" s="52" t="str">
        <x:f>IF(CaseLedger!$A346="","",IFERROR(CaseLedger!$X346,""))</x:f>
      </x:c>
      <x:c r="S346" s="52" t="str">
        <x:f>IF(CaseLedger!$A346="","",IFERROR(CaseLedger!$Y346,""))</x:f>
      </x:c>
      <x:c r="T346" s="52" t="str">
        <x:f>IF(CaseLedger!$A346="","",IFERROR(CaseLedger!$Z346,""))</x:f>
      </x:c>
      <x:c r="U346" s="52" t="str">
        <x:f>IF(CaseLedger!$A346="","",IFERROR(CaseLedger!$AA346,""))</x:f>
      </x:c>
      <x:c r="V346" s="52" t="str">
        <x:f>IF(CaseLedger!$A346="","",IFERROR(CaseLedger!$AB346,""))</x:f>
      </x:c>
      <x:c r="W346" s="52" t="str">
        <x:f>IF(CaseLedger!$A346="","",IFERROR(CaseLedger!$AC346,""))</x:f>
      </x:c>
      <x:c r="X346" s="52" t="str">
        <x:f>IF(CaseLedger!$A346="","",IFERROR(CaseLedger!$AD346,""))</x:f>
      </x:c>
      <x:c r="Y346" s="52" t="str">
        <x:f>IF(CaseLedger!$A346="","",IFERROR(CaseLedger!$AE346,""))</x:f>
      </x:c>
      <x:c r="Z346" s="52" t="str">
        <x:f>IF(CaseLedger!$A346="","",IFERROR(CaseLedger!$AF346,""))</x:f>
      </x:c>
      <x:c r="AA346" s="52" t="str">
        <x:f>IF(CaseLedger!$A346="","",IFERROR(CaseLedger!$AG346,""))</x:f>
      </x:c>
      <x:c r="AB346" s="52" t="str">
        <x:f>IF(CaseLedger!$A346="","",IFERROR(CaseLedger!$AH346,""))</x:f>
      </x:c>
      <x:c r="AC346"/>
    </x:row>
    <x:row r="347">
      <x:c r="A347" s="52" t="str">
        <x:f>IF(CaseLedger!$A347="","",IFERROR(CaseLedger!$A347,""))</x:f>
      </x:c>
      <x:c r="B347" s="52" t="str">
        <x:f>IF(CaseLedger!$A347="","",IFERROR(CaseLedger!$H347,""))</x:f>
      </x:c>
      <x:c r="C347" s="52" t="str">
        <x:f>IF(CaseLedger!$A347="","",IFERROR(CaseLedger!$I347,""))</x:f>
      </x:c>
      <x:c r="D347" s="52" t="str">
        <x:f>IF(CaseLedger!$A347="","",IFERROR(CaseLedger!$J347,""))</x:f>
      </x:c>
      <x:c r="E347" s="52" t="str">
        <x:f>IF(CaseLedger!$A347="","",IFERROR(CaseLedger!$K347,""))</x:f>
      </x:c>
      <x:c r="F347" s="52" t="str">
        <x:f>IF(CaseLedger!$A347="","",IFERROR(CaseLedger!$O347,""))</x:f>
      </x:c>
      <x:c r="G347" s="52" t="str">
        <x:f>IF(CaseLedger!$A347="","",IFERROR(CaseLedger!$E347,""))</x:f>
      </x:c>
      <x:c r="H347" s="52" t="str">
        <x:f>IF(CaseLedger!$A347="","",IFERROR(CaseLedger!$P347,""))</x:f>
      </x:c>
      <x:c r="I347" s="52" t="str">
        <x:f>IF(CaseLedger!$A347="","",IFERROR(CaseLedger!$Q347,""))</x:f>
      </x:c>
      <x:c r="J347" s="52" t="str">
        <x:f>IF(CaseLedger!$A347="","",IFERROR(CaseLedger!$R347,""))</x:f>
      </x:c>
      <x:c r="K347" s="52" t="str">
        <x:f>IF(CaseLedger!$A347="","",IFERROR(CaseLedger!$S347,""))</x:f>
      </x:c>
      <x:c r="L347" s="52" t="str">
        <x:f>IF(CaseLedger!$A347="","",IFERROR(CaseLedger!$T347,""))</x:f>
      </x:c>
      <x:c r="M347" s="52" t="str">
        <x:f>IF(CaseLedger!$A347="","",IFERROR(CaseLedger!$U347,""))</x:f>
      </x:c>
      <x:c r="N347" s="52" t="str">
        <x:f>IF(CaseLedger!$A347="","",IFERROR(CaseLedger!$V347,""))</x:f>
      </x:c>
      <x:c r="O347" s="52" t="str">
        <x:f>IF(CaseLedger!$A347="","",IFERROR(CaseLedger!$W347,""))</x:f>
      </x:c>
      <x:c r="P347" s="52" t="str">
        <x:f>IF(CaseLedger!$A347="","",IFERROR(CaseLedger!$C347,""))</x:f>
      </x:c>
      <x:c r="Q347" s="52" t="str">
        <x:f>IF(CaseLedger!$A347="","",IFERROR(CaseLedger!$D347,""))</x:f>
      </x:c>
      <x:c r="R347" s="52" t="str">
        <x:f>IF(CaseLedger!$A347="","",IFERROR(CaseLedger!$X347,""))</x:f>
      </x:c>
      <x:c r="S347" s="52" t="str">
        <x:f>IF(CaseLedger!$A347="","",IFERROR(CaseLedger!$Y347,""))</x:f>
      </x:c>
      <x:c r="T347" s="52" t="str">
        <x:f>IF(CaseLedger!$A347="","",IFERROR(CaseLedger!$Z347,""))</x:f>
      </x:c>
      <x:c r="U347" s="52" t="str">
        <x:f>IF(CaseLedger!$A347="","",IFERROR(CaseLedger!$AA347,""))</x:f>
      </x:c>
      <x:c r="V347" s="52" t="str">
        <x:f>IF(CaseLedger!$A347="","",IFERROR(CaseLedger!$AB347,""))</x:f>
      </x:c>
      <x:c r="W347" s="52" t="str">
        <x:f>IF(CaseLedger!$A347="","",IFERROR(CaseLedger!$AC347,""))</x:f>
      </x:c>
      <x:c r="X347" s="52" t="str">
        <x:f>IF(CaseLedger!$A347="","",IFERROR(CaseLedger!$AD347,""))</x:f>
      </x:c>
      <x:c r="Y347" s="52" t="str">
        <x:f>IF(CaseLedger!$A347="","",IFERROR(CaseLedger!$AE347,""))</x:f>
      </x:c>
      <x:c r="Z347" s="52" t="str">
        <x:f>IF(CaseLedger!$A347="","",IFERROR(CaseLedger!$AF347,""))</x:f>
      </x:c>
      <x:c r="AA347" s="52" t="str">
        <x:f>IF(CaseLedger!$A347="","",IFERROR(CaseLedger!$AG347,""))</x:f>
      </x:c>
      <x:c r="AB347" s="52" t="str">
        <x:f>IF(CaseLedger!$A347="","",IFERROR(CaseLedger!$AH347,""))</x:f>
      </x:c>
      <x:c r="AC347"/>
    </x:row>
    <x:row r="348">
      <x:c r="A348" s="52" t="str">
        <x:f>IF(CaseLedger!$A348="","",IFERROR(CaseLedger!$A348,""))</x:f>
      </x:c>
      <x:c r="B348" s="52" t="str">
        <x:f>IF(CaseLedger!$A348="","",IFERROR(CaseLedger!$H348,""))</x:f>
      </x:c>
      <x:c r="C348" s="52" t="str">
        <x:f>IF(CaseLedger!$A348="","",IFERROR(CaseLedger!$I348,""))</x:f>
      </x:c>
      <x:c r="D348" s="52" t="str">
        <x:f>IF(CaseLedger!$A348="","",IFERROR(CaseLedger!$J348,""))</x:f>
      </x:c>
      <x:c r="E348" s="52" t="str">
        <x:f>IF(CaseLedger!$A348="","",IFERROR(CaseLedger!$K348,""))</x:f>
      </x:c>
      <x:c r="F348" s="52" t="str">
        <x:f>IF(CaseLedger!$A348="","",IFERROR(CaseLedger!$O348,""))</x:f>
      </x:c>
      <x:c r="G348" s="52" t="str">
        <x:f>IF(CaseLedger!$A348="","",IFERROR(CaseLedger!$E348,""))</x:f>
      </x:c>
      <x:c r="H348" s="52" t="str">
        <x:f>IF(CaseLedger!$A348="","",IFERROR(CaseLedger!$P348,""))</x:f>
      </x:c>
      <x:c r="I348" s="52" t="str">
        <x:f>IF(CaseLedger!$A348="","",IFERROR(CaseLedger!$Q348,""))</x:f>
      </x:c>
      <x:c r="J348" s="52" t="str">
        <x:f>IF(CaseLedger!$A348="","",IFERROR(CaseLedger!$R348,""))</x:f>
      </x:c>
      <x:c r="K348" s="52" t="str">
        <x:f>IF(CaseLedger!$A348="","",IFERROR(CaseLedger!$S348,""))</x:f>
      </x:c>
      <x:c r="L348" s="52" t="str">
        <x:f>IF(CaseLedger!$A348="","",IFERROR(CaseLedger!$T348,""))</x:f>
      </x:c>
      <x:c r="M348" s="52" t="str">
        <x:f>IF(CaseLedger!$A348="","",IFERROR(CaseLedger!$U348,""))</x:f>
      </x:c>
      <x:c r="N348" s="52" t="str">
        <x:f>IF(CaseLedger!$A348="","",IFERROR(CaseLedger!$V348,""))</x:f>
      </x:c>
      <x:c r="O348" s="52" t="str">
        <x:f>IF(CaseLedger!$A348="","",IFERROR(CaseLedger!$W348,""))</x:f>
      </x:c>
      <x:c r="P348" s="52" t="str">
        <x:f>IF(CaseLedger!$A348="","",IFERROR(CaseLedger!$C348,""))</x:f>
      </x:c>
      <x:c r="Q348" s="52" t="str">
        <x:f>IF(CaseLedger!$A348="","",IFERROR(CaseLedger!$D348,""))</x:f>
      </x:c>
      <x:c r="R348" s="52" t="str">
        <x:f>IF(CaseLedger!$A348="","",IFERROR(CaseLedger!$X348,""))</x:f>
      </x:c>
      <x:c r="S348" s="52" t="str">
        <x:f>IF(CaseLedger!$A348="","",IFERROR(CaseLedger!$Y348,""))</x:f>
      </x:c>
      <x:c r="T348" s="52" t="str">
        <x:f>IF(CaseLedger!$A348="","",IFERROR(CaseLedger!$Z348,""))</x:f>
      </x:c>
      <x:c r="U348" s="52" t="str">
        <x:f>IF(CaseLedger!$A348="","",IFERROR(CaseLedger!$AA348,""))</x:f>
      </x:c>
      <x:c r="V348" s="52" t="str">
        <x:f>IF(CaseLedger!$A348="","",IFERROR(CaseLedger!$AB348,""))</x:f>
      </x:c>
      <x:c r="W348" s="52" t="str">
        <x:f>IF(CaseLedger!$A348="","",IFERROR(CaseLedger!$AC348,""))</x:f>
      </x:c>
      <x:c r="X348" s="52" t="str">
        <x:f>IF(CaseLedger!$A348="","",IFERROR(CaseLedger!$AD348,""))</x:f>
      </x:c>
      <x:c r="Y348" s="52" t="str">
        <x:f>IF(CaseLedger!$A348="","",IFERROR(CaseLedger!$AE348,""))</x:f>
      </x:c>
      <x:c r="Z348" s="52" t="str">
        <x:f>IF(CaseLedger!$A348="","",IFERROR(CaseLedger!$AF348,""))</x:f>
      </x:c>
      <x:c r="AA348" s="52" t="str">
        <x:f>IF(CaseLedger!$A348="","",IFERROR(CaseLedger!$AG348,""))</x:f>
      </x:c>
      <x:c r="AB348" s="52" t="str">
        <x:f>IF(CaseLedger!$A348="","",IFERROR(CaseLedger!$AH348,""))</x:f>
      </x:c>
      <x:c r="AC348"/>
    </x:row>
    <x:row r="349">
      <x:c r="A349" s="52" t="str">
        <x:f>IF(CaseLedger!$A349="","",IFERROR(CaseLedger!$A349,""))</x:f>
      </x:c>
      <x:c r="B349" s="52" t="str">
        <x:f>IF(CaseLedger!$A349="","",IFERROR(CaseLedger!$H349,""))</x:f>
      </x:c>
      <x:c r="C349" s="52" t="str">
        <x:f>IF(CaseLedger!$A349="","",IFERROR(CaseLedger!$I349,""))</x:f>
      </x:c>
      <x:c r="D349" s="52" t="str">
        <x:f>IF(CaseLedger!$A349="","",IFERROR(CaseLedger!$J349,""))</x:f>
      </x:c>
      <x:c r="E349" s="52" t="str">
        <x:f>IF(CaseLedger!$A349="","",IFERROR(CaseLedger!$K349,""))</x:f>
      </x:c>
      <x:c r="F349" s="52" t="str">
        <x:f>IF(CaseLedger!$A349="","",IFERROR(CaseLedger!$O349,""))</x:f>
      </x:c>
      <x:c r="G349" s="52" t="str">
        <x:f>IF(CaseLedger!$A349="","",IFERROR(CaseLedger!$E349,""))</x:f>
      </x:c>
      <x:c r="H349" s="52" t="str">
        <x:f>IF(CaseLedger!$A349="","",IFERROR(CaseLedger!$P349,""))</x:f>
      </x:c>
      <x:c r="I349" s="52" t="str">
        <x:f>IF(CaseLedger!$A349="","",IFERROR(CaseLedger!$Q349,""))</x:f>
      </x:c>
      <x:c r="J349" s="52" t="str">
        <x:f>IF(CaseLedger!$A349="","",IFERROR(CaseLedger!$R349,""))</x:f>
      </x:c>
      <x:c r="K349" s="52" t="str">
        <x:f>IF(CaseLedger!$A349="","",IFERROR(CaseLedger!$S349,""))</x:f>
      </x:c>
      <x:c r="L349" s="52" t="str">
        <x:f>IF(CaseLedger!$A349="","",IFERROR(CaseLedger!$T349,""))</x:f>
      </x:c>
      <x:c r="M349" s="52" t="str">
        <x:f>IF(CaseLedger!$A349="","",IFERROR(CaseLedger!$U349,""))</x:f>
      </x:c>
      <x:c r="N349" s="52" t="str">
        <x:f>IF(CaseLedger!$A349="","",IFERROR(CaseLedger!$V349,""))</x:f>
      </x:c>
      <x:c r="O349" s="52" t="str">
        <x:f>IF(CaseLedger!$A349="","",IFERROR(CaseLedger!$W349,""))</x:f>
      </x:c>
      <x:c r="P349" s="52" t="str">
        <x:f>IF(CaseLedger!$A349="","",IFERROR(CaseLedger!$C349,""))</x:f>
      </x:c>
      <x:c r="Q349" s="52" t="str">
        <x:f>IF(CaseLedger!$A349="","",IFERROR(CaseLedger!$D349,""))</x:f>
      </x:c>
      <x:c r="R349" s="52" t="str">
        <x:f>IF(CaseLedger!$A349="","",IFERROR(CaseLedger!$X349,""))</x:f>
      </x:c>
      <x:c r="S349" s="52" t="str">
        <x:f>IF(CaseLedger!$A349="","",IFERROR(CaseLedger!$Y349,""))</x:f>
      </x:c>
      <x:c r="T349" s="52" t="str">
        <x:f>IF(CaseLedger!$A349="","",IFERROR(CaseLedger!$Z349,""))</x:f>
      </x:c>
      <x:c r="U349" s="52" t="str">
        <x:f>IF(CaseLedger!$A349="","",IFERROR(CaseLedger!$AA349,""))</x:f>
      </x:c>
      <x:c r="V349" s="52" t="str">
        <x:f>IF(CaseLedger!$A349="","",IFERROR(CaseLedger!$AB349,""))</x:f>
      </x:c>
      <x:c r="W349" s="52" t="str">
        <x:f>IF(CaseLedger!$A349="","",IFERROR(CaseLedger!$AC349,""))</x:f>
      </x:c>
      <x:c r="X349" s="52" t="str">
        <x:f>IF(CaseLedger!$A349="","",IFERROR(CaseLedger!$AD349,""))</x:f>
      </x:c>
      <x:c r="Y349" s="52" t="str">
        <x:f>IF(CaseLedger!$A349="","",IFERROR(CaseLedger!$AE349,""))</x:f>
      </x:c>
      <x:c r="Z349" s="52" t="str">
        <x:f>IF(CaseLedger!$A349="","",IFERROR(CaseLedger!$AF349,""))</x:f>
      </x:c>
      <x:c r="AA349" s="52" t="str">
        <x:f>IF(CaseLedger!$A349="","",IFERROR(CaseLedger!$AG349,""))</x:f>
      </x:c>
      <x:c r="AB349" s="52" t="str">
        <x:f>IF(CaseLedger!$A349="","",IFERROR(CaseLedger!$AH349,""))</x:f>
      </x:c>
      <x:c r="AC349"/>
    </x:row>
    <x:row r="350">
      <x:c r="A350" s="52" t="str">
        <x:f>IF(CaseLedger!$A350="","",IFERROR(CaseLedger!$A350,""))</x:f>
      </x:c>
      <x:c r="B350" s="52" t="str">
        <x:f>IF(CaseLedger!$A350="","",IFERROR(CaseLedger!$H350,""))</x:f>
      </x:c>
      <x:c r="C350" s="52" t="str">
        <x:f>IF(CaseLedger!$A350="","",IFERROR(CaseLedger!$I350,""))</x:f>
      </x:c>
      <x:c r="D350" s="52" t="str">
        <x:f>IF(CaseLedger!$A350="","",IFERROR(CaseLedger!$J350,""))</x:f>
      </x:c>
      <x:c r="E350" s="52" t="str">
        <x:f>IF(CaseLedger!$A350="","",IFERROR(CaseLedger!$K350,""))</x:f>
      </x:c>
      <x:c r="F350" s="52" t="str">
        <x:f>IF(CaseLedger!$A350="","",IFERROR(CaseLedger!$O350,""))</x:f>
      </x:c>
      <x:c r="G350" s="52" t="str">
        <x:f>IF(CaseLedger!$A350="","",IFERROR(CaseLedger!$E350,""))</x:f>
      </x:c>
      <x:c r="H350" s="52" t="str">
        <x:f>IF(CaseLedger!$A350="","",IFERROR(CaseLedger!$P350,""))</x:f>
      </x:c>
      <x:c r="I350" s="52" t="str">
        <x:f>IF(CaseLedger!$A350="","",IFERROR(CaseLedger!$Q350,""))</x:f>
      </x:c>
      <x:c r="J350" s="52" t="str">
        <x:f>IF(CaseLedger!$A350="","",IFERROR(CaseLedger!$R350,""))</x:f>
      </x:c>
      <x:c r="K350" s="52" t="str">
        <x:f>IF(CaseLedger!$A350="","",IFERROR(CaseLedger!$S350,""))</x:f>
      </x:c>
      <x:c r="L350" s="52" t="str">
        <x:f>IF(CaseLedger!$A350="","",IFERROR(CaseLedger!$T350,""))</x:f>
      </x:c>
      <x:c r="M350" s="52" t="str">
        <x:f>IF(CaseLedger!$A350="","",IFERROR(CaseLedger!$U350,""))</x:f>
      </x:c>
      <x:c r="N350" s="52" t="str">
        <x:f>IF(CaseLedger!$A350="","",IFERROR(CaseLedger!$V350,""))</x:f>
      </x:c>
      <x:c r="O350" s="52" t="str">
        <x:f>IF(CaseLedger!$A350="","",IFERROR(CaseLedger!$W350,""))</x:f>
      </x:c>
      <x:c r="P350" s="52" t="str">
        <x:f>IF(CaseLedger!$A350="","",IFERROR(CaseLedger!$C350,""))</x:f>
      </x:c>
      <x:c r="Q350" s="52" t="str">
        <x:f>IF(CaseLedger!$A350="","",IFERROR(CaseLedger!$D350,""))</x:f>
      </x:c>
      <x:c r="R350" s="52" t="str">
        <x:f>IF(CaseLedger!$A350="","",IFERROR(CaseLedger!$X350,""))</x:f>
      </x:c>
      <x:c r="S350" s="52" t="str">
        <x:f>IF(CaseLedger!$A350="","",IFERROR(CaseLedger!$Y350,""))</x:f>
      </x:c>
      <x:c r="T350" s="52" t="str">
        <x:f>IF(CaseLedger!$A350="","",IFERROR(CaseLedger!$Z350,""))</x:f>
      </x:c>
      <x:c r="U350" s="52" t="str">
        <x:f>IF(CaseLedger!$A350="","",IFERROR(CaseLedger!$AA350,""))</x:f>
      </x:c>
      <x:c r="V350" s="52" t="str">
        <x:f>IF(CaseLedger!$A350="","",IFERROR(CaseLedger!$AB350,""))</x:f>
      </x:c>
      <x:c r="W350" s="52" t="str">
        <x:f>IF(CaseLedger!$A350="","",IFERROR(CaseLedger!$AC350,""))</x:f>
      </x:c>
      <x:c r="X350" s="52" t="str">
        <x:f>IF(CaseLedger!$A350="","",IFERROR(CaseLedger!$AD350,""))</x:f>
      </x:c>
      <x:c r="Y350" s="52" t="str">
        <x:f>IF(CaseLedger!$A350="","",IFERROR(CaseLedger!$AE350,""))</x:f>
      </x:c>
      <x:c r="Z350" s="52" t="str">
        <x:f>IF(CaseLedger!$A350="","",IFERROR(CaseLedger!$AF350,""))</x:f>
      </x:c>
      <x:c r="AA350" s="52" t="str">
        <x:f>IF(CaseLedger!$A350="","",IFERROR(CaseLedger!$AG350,""))</x:f>
      </x:c>
      <x:c r="AB350" s="52" t="str">
        <x:f>IF(CaseLedger!$A350="","",IFERROR(CaseLedger!$AH350,""))</x:f>
      </x:c>
      <x:c r="AC350"/>
    </x:row>
    <x:row r="351">
      <x:c r="A351" s="52" t="str">
        <x:f>IF(CaseLedger!$A351="","",IFERROR(CaseLedger!$A351,""))</x:f>
      </x:c>
      <x:c r="B351" s="52" t="str">
        <x:f>IF(CaseLedger!$A351="","",IFERROR(CaseLedger!$H351,""))</x:f>
      </x:c>
      <x:c r="C351" s="52" t="str">
        <x:f>IF(CaseLedger!$A351="","",IFERROR(CaseLedger!$I351,""))</x:f>
      </x:c>
      <x:c r="D351" s="52" t="str">
        <x:f>IF(CaseLedger!$A351="","",IFERROR(CaseLedger!$J351,""))</x:f>
      </x:c>
      <x:c r="E351" s="52" t="str">
        <x:f>IF(CaseLedger!$A351="","",IFERROR(CaseLedger!$K351,""))</x:f>
      </x:c>
      <x:c r="F351" s="52" t="str">
        <x:f>IF(CaseLedger!$A351="","",IFERROR(CaseLedger!$O351,""))</x:f>
      </x:c>
      <x:c r="G351" s="52" t="str">
        <x:f>IF(CaseLedger!$A351="","",IFERROR(CaseLedger!$E351,""))</x:f>
      </x:c>
      <x:c r="H351" s="52" t="str">
        <x:f>IF(CaseLedger!$A351="","",IFERROR(CaseLedger!$P351,""))</x:f>
      </x:c>
      <x:c r="I351" s="52" t="str">
        <x:f>IF(CaseLedger!$A351="","",IFERROR(CaseLedger!$Q351,""))</x:f>
      </x:c>
      <x:c r="J351" s="52" t="str">
        <x:f>IF(CaseLedger!$A351="","",IFERROR(CaseLedger!$R351,""))</x:f>
      </x:c>
      <x:c r="K351" s="52" t="str">
        <x:f>IF(CaseLedger!$A351="","",IFERROR(CaseLedger!$S351,""))</x:f>
      </x:c>
      <x:c r="L351" s="52" t="str">
        <x:f>IF(CaseLedger!$A351="","",IFERROR(CaseLedger!$T351,""))</x:f>
      </x:c>
      <x:c r="M351" s="52" t="str">
        <x:f>IF(CaseLedger!$A351="","",IFERROR(CaseLedger!$U351,""))</x:f>
      </x:c>
      <x:c r="N351" s="52" t="str">
        <x:f>IF(CaseLedger!$A351="","",IFERROR(CaseLedger!$V351,""))</x:f>
      </x:c>
      <x:c r="O351" s="52" t="str">
        <x:f>IF(CaseLedger!$A351="","",IFERROR(CaseLedger!$W351,""))</x:f>
      </x:c>
      <x:c r="P351" s="52" t="str">
        <x:f>IF(CaseLedger!$A351="","",IFERROR(CaseLedger!$C351,""))</x:f>
      </x:c>
      <x:c r="Q351" s="52" t="str">
        <x:f>IF(CaseLedger!$A351="","",IFERROR(CaseLedger!$D351,""))</x:f>
      </x:c>
      <x:c r="R351" s="52" t="str">
        <x:f>IF(CaseLedger!$A351="","",IFERROR(CaseLedger!$X351,""))</x:f>
      </x:c>
      <x:c r="S351" s="52" t="str">
        <x:f>IF(CaseLedger!$A351="","",IFERROR(CaseLedger!$Y351,""))</x:f>
      </x:c>
      <x:c r="T351" s="52" t="str">
        <x:f>IF(CaseLedger!$A351="","",IFERROR(CaseLedger!$Z351,""))</x:f>
      </x:c>
      <x:c r="U351" s="52" t="str">
        <x:f>IF(CaseLedger!$A351="","",IFERROR(CaseLedger!$AA351,""))</x:f>
      </x:c>
      <x:c r="V351" s="52" t="str">
        <x:f>IF(CaseLedger!$A351="","",IFERROR(CaseLedger!$AB351,""))</x:f>
      </x:c>
      <x:c r="W351" s="52" t="str">
        <x:f>IF(CaseLedger!$A351="","",IFERROR(CaseLedger!$AC351,""))</x:f>
      </x:c>
      <x:c r="X351" s="52" t="str">
        <x:f>IF(CaseLedger!$A351="","",IFERROR(CaseLedger!$AD351,""))</x:f>
      </x:c>
      <x:c r="Y351" s="52" t="str">
        <x:f>IF(CaseLedger!$A351="","",IFERROR(CaseLedger!$AE351,""))</x:f>
      </x:c>
      <x:c r="Z351" s="52" t="str">
        <x:f>IF(CaseLedger!$A351="","",IFERROR(CaseLedger!$AF351,""))</x:f>
      </x:c>
      <x:c r="AA351" s="52" t="str">
        <x:f>IF(CaseLedger!$A351="","",IFERROR(CaseLedger!$AG351,""))</x:f>
      </x:c>
      <x:c r="AB351" s="52" t="str">
        <x:f>IF(CaseLedger!$A351="","",IFERROR(CaseLedger!$AH351,""))</x:f>
      </x:c>
      <x:c r="AC351"/>
    </x:row>
    <x:row r="352">
      <x:c r="A352" s="52" t="str">
        <x:f>IF(CaseLedger!$A352="","",IFERROR(CaseLedger!$A352,""))</x:f>
      </x:c>
      <x:c r="B352" s="52" t="str">
        <x:f>IF(CaseLedger!$A352="","",IFERROR(CaseLedger!$H352,""))</x:f>
      </x:c>
      <x:c r="C352" s="52" t="str">
        <x:f>IF(CaseLedger!$A352="","",IFERROR(CaseLedger!$I352,""))</x:f>
      </x:c>
      <x:c r="D352" s="52" t="str">
        <x:f>IF(CaseLedger!$A352="","",IFERROR(CaseLedger!$J352,""))</x:f>
      </x:c>
      <x:c r="E352" s="52" t="str">
        <x:f>IF(CaseLedger!$A352="","",IFERROR(CaseLedger!$K352,""))</x:f>
      </x:c>
      <x:c r="F352" s="52" t="str">
        <x:f>IF(CaseLedger!$A352="","",IFERROR(CaseLedger!$O352,""))</x:f>
      </x:c>
      <x:c r="G352" s="52" t="str">
        <x:f>IF(CaseLedger!$A352="","",IFERROR(CaseLedger!$E352,""))</x:f>
      </x:c>
      <x:c r="H352" s="52" t="str">
        <x:f>IF(CaseLedger!$A352="","",IFERROR(CaseLedger!$P352,""))</x:f>
      </x:c>
      <x:c r="I352" s="52" t="str">
        <x:f>IF(CaseLedger!$A352="","",IFERROR(CaseLedger!$Q352,""))</x:f>
      </x:c>
      <x:c r="J352" s="52" t="str">
        <x:f>IF(CaseLedger!$A352="","",IFERROR(CaseLedger!$R352,""))</x:f>
      </x:c>
      <x:c r="K352" s="52" t="str">
        <x:f>IF(CaseLedger!$A352="","",IFERROR(CaseLedger!$S352,""))</x:f>
      </x:c>
      <x:c r="L352" s="52" t="str">
        <x:f>IF(CaseLedger!$A352="","",IFERROR(CaseLedger!$T352,""))</x:f>
      </x:c>
      <x:c r="M352" s="52" t="str">
        <x:f>IF(CaseLedger!$A352="","",IFERROR(CaseLedger!$U352,""))</x:f>
      </x:c>
      <x:c r="N352" s="52" t="str">
        <x:f>IF(CaseLedger!$A352="","",IFERROR(CaseLedger!$V352,""))</x:f>
      </x:c>
      <x:c r="O352" s="52" t="str">
        <x:f>IF(CaseLedger!$A352="","",IFERROR(CaseLedger!$W352,""))</x:f>
      </x:c>
      <x:c r="P352" s="52" t="str">
        <x:f>IF(CaseLedger!$A352="","",IFERROR(CaseLedger!$C352,""))</x:f>
      </x:c>
      <x:c r="Q352" s="52" t="str">
        <x:f>IF(CaseLedger!$A352="","",IFERROR(CaseLedger!$D352,""))</x:f>
      </x:c>
      <x:c r="R352" s="52" t="str">
        <x:f>IF(CaseLedger!$A352="","",IFERROR(CaseLedger!$X352,""))</x:f>
      </x:c>
      <x:c r="S352" s="52" t="str">
        <x:f>IF(CaseLedger!$A352="","",IFERROR(CaseLedger!$Y352,""))</x:f>
      </x:c>
      <x:c r="T352" s="52" t="str">
        <x:f>IF(CaseLedger!$A352="","",IFERROR(CaseLedger!$Z352,""))</x:f>
      </x:c>
      <x:c r="U352" s="52" t="str">
        <x:f>IF(CaseLedger!$A352="","",IFERROR(CaseLedger!$AA352,""))</x:f>
      </x:c>
      <x:c r="V352" s="52" t="str">
        <x:f>IF(CaseLedger!$A352="","",IFERROR(CaseLedger!$AB352,""))</x:f>
      </x:c>
      <x:c r="W352" s="52" t="str">
        <x:f>IF(CaseLedger!$A352="","",IFERROR(CaseLedger!$AC352,""))</x:f>
      </x:c>
      <x:c r="X352" s="52" t="str">
        <x:f>IF(CaseLedger!$A352="","",IFERROR(CaseLedger!$AD352,""))</x:f>
      </x:c>
      <x:c r="Y352" s="52" t="str">
        <x:f>IF(CaseLedger!$A352="","",IFERROR(CaseLedger!$AE352,""))</x:f>
      </x:c>
      <x:c r="Z352" s="52" t="str">
        <x:f>IF(CaseLedger!$A352="","",IFERROR(CaseLedger!$AF352,""))</x:f>
      </x:c>
      <x:c r="AA352" s="52" t="str">
        <x:f>IF(CaseLedger!$A352="","",IFERROR(CaseLedger!$AG352,""))</x:f>
      </x:c>
      <x:c r="AB352" s="52" t="str">
        <x:f>IF(CaseLedger!$A352="","",IFERROR(CaseLedger!$AH352,""))</x:f>
      </x:c>
      <x:c r="AC352"/>
    </x:row>
    <x:row r="353">
      <x:c r="A353" s="52" t="str">
        <x:f>IF(CaseLedger!$A353="","",IFERROR(CaseLedger!$A353,""))</x:f>
      </x:c>
      <x:c r="B353" s="52" t="str">
        <x:f>IF(CaseLedger!$A353="","",IFERROR(CaseLedger!$H353,""))</x:f>
      </x:c>
      <x:c r="C353" s="52" t="str">
        <x:f>IF(CaseLedger!$A353="","",IFERROR(CaseLedger!$I353,""))</x:f>
      </x:c>
      <x:c r="D353" s="52" t="str">
        <x:f>IF(CaseLedger!$A353="","",IFERROR(CaseLedger!$J353,""))</x:f>
      </x:c>
      <x:c r="E353" s="52" t="str">
        <x:f>IF(CaseLedger!$A353="","",IFERROR(CaseLedger!$K353,""))</x:f>
      </x:c>
      <x:c r="F353" s="52" t="str">
        <x:f>IF(CaseLedger!$A353="","",IFERROR(CaseLedger!$O353,""))</x:f>
      </x:c>
      <x:c r="G353" s="52" t="str">
        <x:f>IF(CaseLedger!$A353="","",IFERROR(CaseLedger!$E353,""))</x:f>
      </x:c>
      <x:c r="H353" s="52" t="str">
        <x:f>IF(CaseLedger!$A353="","",IFERROR(CaseLedger!$P353,""))</x:f>
      </x:c>
      <x:c r="I353" s="52" t="str">
        <x:f>IF(CaseLedger!$A353="","",IFERROR(CaseLedger!$Q353,""))</x:f>
      </x:c>
      <x:c r="J353" s="52" t="str">
        <x:f>IF(CaseLedger!$A353="","",IFERROR(CaseLedger!$R353,""))</x:f>
      </x:c>
      <x:c r="K353" s="52" t="str">
        <x:f>IF(CaseLedger!$A353="","",IFERROR(CaseLedger!$S353,""))</x:f>
      </x:c>
      <x:c r="L353" s="52" t="str">
        <x:f>IF(CaseLedger!$A353="","",IFERROR(CaseLedger!$T353,""))</x:f>
      </x:c>
      <x:c r="M353" s="52" t="str">
        <x:f>IF(CaseLedger!$A353="","",IFERROR(CaseLedger!$U353,""))</x:f>
      </x:c>
      <x:c r="N353" s="52" t="str">
        <x:f>IF(CaseLedger!$A353="","",IFERROR(CaseLedger!$V353,""))</x:f>
      </x:c>
      <x:c r="O353" s="52" t="str">
        <x:f>IF(CaseLedger!$A353="","",IFERROR(CaseLedger!$W353,""))</x:f>
      </x:c>
      <x:c r="P353" s="52" t="str">
        <x:f>IF(CaseLedger!$A353="","",IFERROR(CaseLedger!$C353,""))</x:f>
      </x:c>
      <x:c r="Q353" s="52" t="str">
        <x:f>IF(CaseLedger!$A353="","",IFERROR(CaseLedger!$D353,""))</x:f>
      </x:c>
      <x:c r="R353" s="52" t="str">
        <x:f>IF(CaseLedger!$A353="","",IFERROR(CaseLedger!$X353,""))</x:f>
      </x:c>
      <x:c r="S353" s="52" t="str">
        <x:f>IF(CaseLedger!$A353="","",IFERROR(CaseLedger!$Y353,""))</x:f>
      </x:c>
      <x:c r="T353" s="52" t="str">
        <x:f>IF(CaseLedger!$A353="","",IFERROR(CaseLedger!$Z353,""))</x:f>
      </x:c>
      <x:c r="U353" s="52" t="str">
        <x:f>IF(CaseLedger!$A353="","",IFERROR(CaseLedger!$AA353,""))</x:f>
      </x:c>
      <x:c r="V353" s="52" t="str">
        <x:f>IF(CaseLedger!$A353="","",IFERROR(CaseLedger!$AB353,""))</x:f>
      </x:c>
      <x:c r="W353" s="52" t="str">
        <x:f>IF(CaseLedger!$A353="","",IFERROR(CaseLedger!$AC353,""))</x:f>
      </x:c>
      <x:c r="X353" s="52" t="str">
        <x:f>IF(CaseLedger!$A353="","",IFERROR(CaseLedger!$AD353,""))</x:f>
      </x:c>
      <x:c r="Y353" s="52" t="str">
        <x:f>IF(CaseLedger!$A353="","",IFERROR(CaseLedger!$AE353,""))</x:f>
      </x:c>
      <x:c r="Z353" s="52" t="str">
        <x:f>IF(CaseLedger!$A353="","",IFERROR(CaseLedger!$AF353,""))</x:f>
      </x:c>
      <x:c r="AA353" s="52" t="str">
        <x:f>IF(CaseLedger!$A353="","",IFERROR(CaseLedger!$AG353,""))</x:f>
      </x:c>
      <x:c r="AB353" s="52" t="str">
        <x:f>IF(CaseLedger!$A353="","",IFERROR(CaseLedger!$AH353,""))</x:f>
      </x:c>
      <x:c r="AC353"/>
    </x:row>
    <x:row r="354">
      <x:c r="A354" s="52" t="str">
        <x:f>IF(CaseLedger!$A354="","",IFERROR(CaseLedger!$A354,""))</x:f>
      </x:c>
      <x:c r="B354" s="52" t="str">
        <x:f>IF(CaseLedger!$A354="","",IFERROR(CaseLedger!$H354,""))</x:f>
      </x:c>
      <x:c r="C354" s="52" t="str">
        <x:f>IF(CaseLedger!$A354="","",IFERROR(CaseLedger!$I354,""))</x:f>
      </x:c>
      <x:c r="D354" s="52" t="str">
        <x:f>IF(CaseLedger!$A354="","",IFERROR(CaseLedger!$J354,""))</x:f>
      </x:c>
      <x:c r="E354" s="52" t="str">
        <x:f>IF(CaseLedger!$A354="","",IFERROR(CaseLedger!$K354,""))</x:f>
      </x:c>
      <x:c r="F354" s="52" t="str">
        <x:f>IF(CaseLedger!$A354="","",IFERROR(CaseLedger!$O354,""))</x:f>
      </x:c>
      <x:c r="G354" s="52" t="str">
        <x:f>IF(CaseLedger!$A354="","",IFERROR(CaseLedger!$E354,""))</x:f>
      </x:c>
      <x:c r="H354" s="52" t="str">
        <x:f>IF(CaseLedger!$A354="","",IFERROR(CaseLedger!$P354,""))</x:f>
      </x:c>
      <x:c r="I354" s="52" t="str">
        <x:f>IF(CaseLedger!$A354="","",IFERROR(CaseLedger!$Q354,""))</x:f>
      </x:c>
      <x:c r="J354" s="52" t="str">
        <x:f>IF(CaseLedger!$A354="","",IFERROR(CaseLedger!$R354,""))</x:f>
      </x:c>
      <x:c r="K354" s="52" t="str">
        <x:f>IF(CaseLedger!$A354="","",IFERROR(CaseLedger!$S354,""))</x:f>
      </x:c>
      <x:c r="L354" s="52" t="str">
        <x:f>IF(CaseLedger!$A354="","",IFERROR(CaseLedger!$T354,""))</x:f>
      </x:c>
      <x:c r="M354" s="52" t="str">
        <x:f>IF(CaseLedger!$A354="","",IFERROR(CaseLedger!$U354,""))</x:f>
      </x:c>
      <x:c r="N354" s="52" t="str">
        <x:f>IF(CaseLedger!$A354="","",IFERROR(CaseLedger!$V354,""))</x:f>
      </x:c>
      <x:c r="O354" s="52" t="str">
        <x:f>IF(CaseLedger!$A354="","",IFERROR(CaseLedger!$W354,""))</x:f>
      </x:c>
      <x:c r="P354" s="52" t="str">
        <x:f>IF(CaseLedger!$A354="","",IFERROR(CaseLedger!$C354,""))</x:f>
      </x:c>
      <x:c r="Q354" s="52" t="str">
        <x:f>IF(CaseLedger!$A354="","",IFERROR(CaseLedger!$D354,""))</x:f>
      </x:c>
      <x:c r="R354" s="52" t="str">
        <x:f>IF(CaseLedger!$A354="","",IFERROR(CaseLedger!$X354,""))</x:f>
      </x:c>
      <x:c r="S354" s="52" t="str">
        <x:f>IF(CaseLedger!$A354="","",IFERROR(CaseLedger!$Y354,""))</x:f>
      </x:c>
      <x:c r="T354" s="52" t="str">
        <x:f>IF(CaseLedger!$A354="","",IFERROR(CaseLedger!$Z354,""))</x:f>
      </x:c>
      <x:c r="U354" s="52" t="str">
        <x:f>IF(CaseLedger!$A354="","",IFERROR(CaseLedger!$AA354,""))</x:f>
      </x:c>
      <x:c r="V354" s="52" t="str">
        <x:f>IF(CaseLedger!$A354="","",IFERROR(CaseLedger!$AB354,""))</x:f>
      </x:c>
      <x:c r="W354" s="52" t="str">
        <x:f>IF(CaseLedger!$A354="","",IFERROR(CaseLedger!$AC354,""))</x:f>
      </x:c>
      <x:c r="X354" s="52" t="str">
        <x:f>IF(CaseLedger!$A354="","",IFERROR(CaseLedger!$AD354,""))</x:f>
      </x:c>
      <x:c r="Y354" s="52" t="str">
        <x:f>IF(CaseLedger!$A354="","",IFERROR(CaseLedger!$AE354,""))</x:f>
      </x:c>
      <x:c r="Z354" s="52" t="str">
        <x:f>IF(CaseLedger!$A354="","",IFERROR(CaseLedger!$AF354,""))</x:f>
      </x:c>
      <x:c r="AA354" s="52" t="str">
        <x:f>IF(CaseLedger!$A354="","",IFERROR(CaseLedger!$AG354,""))</x:f>
      </x:c>
      <x:c r="AB354" s="52" t="str">
        <x:f>IF(CaseLedger!$A354="","",IFERROR(CaseLedger!$AH354,""))</x:f>
      </x:c>
      <x:c r="AC354"/>
    </x:row>
    <x:row r="355">
      <x:c r="A355" s="52" t="str">
        <x:f>IF(CaseLedger!$A355="","",IFERROR(CaseLedger!$A355,""))</x:f>
      </x:c>
      <x:c r="B355" s="52" t="str">
        <x:f>IF(CaseLedger!$A355="","",IFERROR(CaseLedger!$H355,""))</x:f>
      </x:c>
      <x:c r="C355" s="52" t="str">
        <x:f>IF(CaseLedger!$A355="","",IFERROR(CaseLedger!$I355,""))</x:f>
      </x:c>
      <x:c r="D355" s="52" t="str">
        <x:f>IF(CaseLedger!$A355="","",IFERROR(CaseLedger!$J355,""))</x:f>
      </x:c>
      <x:c r="E355" s="52" t="str">
        <x:f>IF(CaseLedger!$A355="","",IFERROR(CaseLedger!$K355,""))</x:f>
      </x:c>
      <x:c r="F355" s="52" t="str">
        <x:f>IF(CaseLedger!$A355="","",IFERROR(CaseLedger!$O355,""))</x:f>
      </x:c>
      <x:c r="G355" s="52" t="str">
        <x:f>IF(CaseLedger!$A355="","",IFERROR(CaseLedger!$E355,""))</x:f>
      </x:c>
      <x:c r="H355" s="52" t="str">
        <x:f>IF(CaseLedger!$A355="","",IFERROR(CaseLedger!$P355,""))</x:f>
      </x:c>
      <x:c r="I355" s="52" t="str">
        <x:f>IF(CaseLedger!$A355="","",IFERROR(CaseLedger!$Q355,""))</x:f>
      </x:c>
      <x:c r="J355" s="52" t="str">
        <x:f>IF(CaseLedger!$A355="","",IFERROR(CaseLedger!$R355,""))</x:f>
      </x:c>
      <x:c r="K355" s="52" t="str">
        <x:f>IF(CaseLedger!$A355="","",IFERROR(CaseLedger!$S355,""))</x:f>
      </x:c>
      <x:c r="L355" s="52" t="str">
        <x:f>IF(CaseLedger!$A355="","",IFERROR(CaseLedger!$T355,""))</x:f>
      </x:c>
      <x:c r="M355" s="52" t="str">
        <x:f>IF(CaseLedger!$A355="","",IFERROR(CaseLedger!$U355,""))</x:f>
      </x:c>
      <x:c r="N355" s="52" t="str">
        <x:f>IF(CaseLedger!$A355="","",IFERROR(CaseLedger!$V355,""))</x:f>
      </x:c>
      <x:c r="O355" s="52" t="str">
        <x:f>IF(CaseLedger!$A355="","",IFERROR(CaseLedger!$W355,""))</x:f>
      </x:c>
      <x:c r="P355" s="52" t="str">
        <x:f>IF(CaseLedger!$A355="","",IFERROR(CaseLedger!$C355,""))</x:f>
      </x:c>
      <x:c r="Q355" s="52" t="str">
        <x:f>IF(CaseLedger!$A355="","",IFERROR(CaseLedger!$D355,""))</x:f>
      </x:c>
      <x:c r="R355" s="52" t="str">
        <x:f>IF(CaseLedger!$A355="","",IFERROR(CaseLedger!$X355,""))</x:f>
      </x:c>
      <x:c r="S355" s="52" t="str">
        <x:f>IF(CaseLedger!$A355="","",IFERROR(CaseLedger!$Y355,""))</x:f>
      </x:c>
      <x:c r="T355" s="52" t="str">
        <x:f>IF(CaseLedger!$A355="","",IFERROR(CaseLedger!$Z355,""))</x:f>
      </x:c>
      <x:c r="U355" s="52" t="str">
        <x:f>IF(CaseLedger!$A355="","",IFERROR(CaseLedger!$AA355,""))</x:f>
      </x:c>
      <x:c r="V355" s="52" t="str">
        <x:f>IF(CaseLedger!$A355="","",IFERROR(CaseLedger!$AB355,""))</x:f>
      </x:c>
      <x:c r="W355" s="52" t="str">
        <x:f>IF(CaseLedger!$A355="","",IFERROR(CaseLedger!$AC355,""))</x:f>
      </x:c>
      <x:c r="X355" s="52" t="str">
        <x:f>IF(CaseLedger!$A355="","",IFERROR(CaseLedger!$AD355,""))</x:f>
      </x:c>
      <x:c r="Y355" s="52" t="str">
        <x:f>IF(CaseLedger!$A355="","",IFERROR(CaseLedger!$AE355,""))</x:f>
      </x:c>
      <x:c r="Z355" s="52" t="str">
        <x:f>IF(CaseLedger!$A355="","",IFERROR(CaseLedger!$AF355,""))</x:f>
      </x:c>
      <x:c r="AA355" s="52" t="str">
        <x:f>IF(CaseLedger!$A355="","",IFERROR(CaseLedger!$AG355,""))</x:f>
      </x:c>
      <x:c r="AB355" s="52" t="str">
        <x:f>IF(CaseLedger!$A355="","",IFERROR(CaseLedger!$AH355,""))</x:f>
      </x:c>
      <x:c r="AC355"/>
    </x:row>
    <x:row r="356">
      <x:c r="A356" s="52" t="str">
        <x:f>IF(CaseLedger!$A356="","",IFERROR(CaseLedger!$A356,""))</x:f>
      </x:c>
      <x:c r="B356" s="52" t="str">
        <x:f>IF(CaseLedger!$A356="","",IFERROR(CaseLedger!$H356,""))</x:f>
      </x:c>
      <x:c r="C356" s="52" t="str">
        <x:f>IF(CaseLedger!$A356="","",IFERROR(CaseLedger!$I356,""))</x:f>
      </x:c>
      <x:c r="D356" s="52" t="str">
        <x:f>IF(CaseLedger!$A356="","",IFERROR(CaseLedger!$J356,""))</x:f>
      </x:c>
      <x:c r="E356" s="52" t="str">
        <x:f>IF(CaseLedger!$A356="","",IFERROR(CaseLedger!$K356,""))</x:f>
      </x:c>
      <x:c r="F356" s="52" t="str">
        <x:f>IF(CaseLedger!$A356="","",IFERROR(CaseLedger!$O356,""))</x:f>
      </x:c>
      <x:c r="G356" s="52" t="str">
        <x:f>IF(CaseLedger!$A356="","",IFERROR(CaseLedger!$E356,""))</x:f>
      </x:c>
      <x:c r="H356" s="52" t="str">
        <x:f>IF(CaseLedger!$A356="","",IFERROR(CaseLedger!$P356,""))</x:f>
      </x:c>
      <x:c r="I356" s="52" t="str">
        <x:f>IF(CaseLedger!$A356="","",IFERROR(CaseLedger!$Q356,""))</x:f>
      </x:c>
      <x:c r="J356" s="52" t="str">
        <x:f>IF(CaseLedger!$A356="","",IFERROR(CaseLedger!$R356,""))</x:f>
      </x:c>
      <x:c r="K356" s="52" t="str">
        <x:f>IF(CaseLedger!$A356="","",IFERROR(CaseLedger!$S356,""))</x:f>
      </x:c>
      <x:c r="L356" s="52" t="str">
        <x:f>IF(CaseLedger!$A356="","",IFERROR(CaseLedger!$T356,""))</x:f>
      </x:c>
      <x:c r="M356" s="52" t="str">
        <x:f>IF(CaseLedger!$A356="","",IFERROR(CaseLedger!$U356,""))</x:f>
      </x:c>
      <x:c r="N356" s="52" t="str">
        <x:f>IF(CaseLedger!$A356="","",IFERROR(CaseLedger!$V356,""))</x:f>
      </x:c>
      <x:c r="O356" s="52" t="str">
        <x:f>IF(CaseLedger!$A356="","",IFERROR(CaseLedger!$W356,""))</x:f>
      </x:c>
      <x:c r="P356" s="52" t="str">
        <x:f>IF(CaseLedger!$A356="","",IFERROR(CaseLedger!$C356,""))</x:f>
      </x:c>
      <x:c r="Q356" s="52" t="str">
        <x:f>IF(CaseLedger!$A356="","",IFERROR(CaseLedger!$D356,""))</x:f>
      </x:c>
      <x:c r="R356" s="52" t="str">
        <x:f>IF(CaseLedger!$A356="","",IFERROR(CaseLedger!$X356,""))</x:f>
      </x:c>
      <x:c r="S356" s="52" t="str">
        <x:f>IF(CaseLedger!$A356="","",IFERROR(CaseLedger!$Y356,""))</x:f>
      </x:c>
      <x:c r="T356" s="52" t="str">
        <x:f>IF(CaseLedger!$A356="","",IFERROR(CaseLedger!$Z356,""))</x:f>
      </x:c>
      <x:c r="U356" s="52" t="str">
        <x:f>IF(CaseLedger!$A356="","",IFERROR(CaseLedger!$AA356,""))</x:f>
      </x:c>
      <x:c r="V356" s="52" t="str">
        <x:f>IF(CaseLedger!$A356="","",IFERROR(CaseLedger!$AB356,""))</x:f>
      </x:c>
      <x:c r="W356" s="52" t="str">
        <x:f>IF(CaseLedger!$A356="","",IFERROR(CaseLedger!$AC356,""))</x:f>
      </x:c>
      <x:c r="X356" s="52" t="str">
        <x:f>IF(CaseLedger!$A356="","",IFERROR(CaseLedger!$AD356,""))</x:f>
      </x:c>
      <x:c r="Y356" s="52" t="str">
        <x:f>IF(CaseLedger!$A356="","",IFERROR(CaseLedger!$AE356,""))</x:f>
      </x:c>
      <x:c r="Z356" s="52" t="str">
        <x:f>IF(CaseLedger!$A356="","",IFERROR(CaseLedger!$AF356,""))</x:f>
      </x:c>
      <x:c r="AA356" s="52" t="str">
        <x:f>IF(CaseLedger!$A356="","",IFERROR(CaseLedger!$AG356,""))</x:f>
      </x:c>
      <x:c r="AB356" s="52" t="str">
        <x:f>IF(CaseLedger!$A356="","",IFERROR(CaseLedger!$AH356,""))</x:f>
      </x:c>
      <x:c r="AC356"/>
    </x:row>
    <x:row r="357">
      <x:c r="A357" s="52" t="str">
        <x:f>IF(CaseLedger!$A357="","",IFERROR(CaseLedger!$A357,""))</x:f>
      </x:c>
      <x:c r="B357" s="52" t="str">
        <x:f>IF(CaseLedger!$A357="","",IFERROR(CaseLedger!$H357,""))</x:f>
      </x:c>
      <x:c r="C357" s="52" t="str">
        <x:f>IF(CaseLedger!$A357="","",IFERROR(CaseLedger!$I357,""))</x:f>
      </x:c>
      <x:c r="D357" s="52" t="str">
        <x:f>IF(CaseLedger!$A357="","",IFERROR(CaseLedger!$J357,""))</x:f>
      </x:c>
      <x:c r="E357" s="52" t="str">
        <x:f>IF(CaseLedger!$A357="","",IFERROR(CaseLedger!$K357,""))</x:f>
      </x:c>
      <x:c r="F357" s="52" t="str">
        <x:f>IF(CaseLedger!$A357="","",IFERROR(CaseLedger!$O357,""))</x:f>
      </x:c>
      <x:c r="G357" s="52" t="str">
        <x:f>IF(CaseLedger!$A357="","",IFERROR(CaseLedger!$E357,""))</x:f>
      </x:c>
      <x:c r="H357" s="52" t="str">
        <x:f>IF(CaseLedger!$A357="","",IFERROR(CaseLedger!$P357,""))</x:f>
      </x:c>
      <x:c r="I357" s="52" t="str">
        <x:f>IF(CaseLedger!$A357="","",IFERROR(CaseLedger!$Q357,""))</x:f>
      </x:c>
      <x:c r="J357" s="52" t="str">
        <x:f>IF(CaseLedger!$A357="","",IFERROR(CaseLedger!$R357,""))</x:f>
      </x:c>
      <x:c r="K357" s="52" t="str">
        <x:f>IF(CaseLedger!$A357="","",IFERROR(CaseLedger!$S357,""))</x:f>
      </x:c>
      <x:c r="L357" s="52" t="str">
        <x:f>IF(CaseLedger!$A357="","",IFERROR(CaseLedger!$T357,""))</x:f>
      </x:c>
      <x:c r="M357" s="52" t="str">
        <x:f>IF(CaseLedger!$A357="","",IFERROR(CaseLedger!$U357,""))</x:f>
      </x:c>
      <x:c r="N357" s="52" t="str">
        <x:f>IF(CaseLedger!$A357="","",IFERROR(CaseLedger!$V357,""))</x:f>
      </x:c>
      <x:c r="O357" s="52" t="str">
        <x:f>IF(CaseLedger!$A357="","",IFERROR(CaseLedger!$W357,""))</x:f>
      </x:c>
      <x:c r="P357" s="52" t="str">
        <x:f>IF(CaseLedger!$A357="","",IFERROR(CaseLedger!$C357,""))</x:f>
      </x:c>
      <x:c r="Q357" s="52" t="str">
        <x:f>IF(CaseLedger!$A357="","",IFERROR(CaseLedger!$D357,""))</x:f>
      </x:c>
      <x:c r="R357" s="52" t="str">
        <x:f>IF(CaseLedger!$A357="","",IFERROR(CaseLedger!$X357,""))</x:f>
      </x:c>
      <x:c r="S357" s="52" t="str">
        <x:f>IF(CaseLedger!$A357="","",IFERROR(CaseLedger!$Y357,""))</x:f>
      </x:c>
      <x:c r="T357" s="52" t="str">
        <x:f>IF(CaseLedger!$A357="","",IFERROR(CaseLedger!$Z357,""))</x:f>
      </x:c>
      <x:c r="U357" s="52" t="str">
        <x:f>IF(CaseLedger!$A357="","",IFERROR(CaseLedger!$AA357,""))</x:f>
      </x:c>
      <x:c r="V357" s="52" t="str">
        <x:f>IF(CaseLedger!$A357="","",IFERROR(CaseLedger!$AB357,""))</x:f>
      </x:c>
      <x:c r="W357" s="52" t="str">
        <x:f>IF(CaseLedger!$A357="","",IFERROR(CaseLedger!$AC357,""))</x:f>
      </x:c>
      <x:c r="X357" s="52" t="str">
        <x:f>IF(CaseLedger!$A357="","",IFERROR(CaseLedger!$AD357,""))</x:f>
      </x:c>
      <x:c r="Y357" s="52" t="str">
        <x:f>IF(CaseLedger!$A357="","",IFERROR(CaseLedger!$AE357,""))</x:f>
      </x:c>
      <x:c r="Z357" s="52" t="str">
        <x:f>IF(CaseLedger!$A357="","",IFERROR(CaseLedger!$AF357,""))</x:f>
      </x:c>
      <x:c r="AA357" s="52" t="str">
        <x:f>IF(CaseLedger!$A357="","",IFERROR(CaseLedger!$AG357,""))</x:f>
      </x:c>
      <x:c r="AB357" s="52" t="str">
        <x:f>IF(CaseLedger!$A357="","",IFERROR(CaseLedger!$AH357,""))</x:f>
      </x:c>
      <x:c r="AC357"/>
    </x:row>
    <x:row r="358">
      <x:c r="A358" s="52" t="str">
        <x:f>IF(CaseLedger!$A358="","",IFERROR(CaseLedger!$A358,""))</x:f>
      </x:c>
      <x:c r="B358" s="52" t="str">
        <x:f>IF(CaseLedger!$A358="","",IFERROR(CaseLedger!$H358,""))</x:f>
      </x:c>
      <x:c r="C358" s="52" t="str">
        <x:f>IF(CaseLedger!$A358="","",IFERROR(CaseLedger!$I358,""))</x:f>
      </x:c>
      <x:c r="D358" s="52" t="str">
        <x:f>IF(CaseLedger!$A358="","",IFERROR(CaseLedger!$J358,""))</x:f>
      </x:c>
      <x:c r="E358" s="52" t="str">
        <x:f>IF(CaseLedger!$A358="","",IFERROR(CaseLedger!$K358,""))</x:f>
      </x:c>
      <x:c r="F358" s="52" t="str">
        <x:f>IF(CaseLedger!$A358="","",IFERROR(CaseLedger!$O358,""))</x:f>
      </x:c>
      <x:c r="G358" s="52" t="str">
        <x:f>IF(CaseLedger!$A358="","",IFERROR(CaseLedger!$E358,""))</x:f>
      </x:c>
      <x:c r="H358" s="52" t="str">
        <x:f>IF(CaseLedger!$A358="","",IFERROR(CaseLedger!$P358,""))</x:f>
      </x:c>
      <x:c r="I358" s="52" t="str">
        <x:f>IF(CaseLedger!$A358="","",IFERROR(CaseLedger!$Q358,""))</x:f>
      </x:c>
      <x:c r="J358" s="52" t="str">
        <x:f>IF(CaseLedger!$A358="","",IFERROR(CaseLedger!$R358,""))</x:f>
      </x:c>
      <x:c r="K358" s="52" t="str">
        <x:f>IF(CaseLedger!$A358="","",IFERROR(CaseLedger!$S358,""))</x:f>
      </x:c>
      <x:c r="L358" s="52" t="str">
        <x:f>IF(CaseLedger!$A358="","",IFERROR(CaseLedger!$T358,""))</x:f>
      </x:c>
      <x:c r="M358" s="52" t="str">
        <x:f>IF(CaseLedger!$A358="","",IFERROR(CaseLedger!$U358,""))</x:f>
      </x:c>
      <x:c r="N358" s="52" t="str">
        <x:f>IF(CaseLedger!$A358="","",IFERROR(CaseLedger!$V358,""))</x:f>
      </x:c>
      <x:c r="O358" s="52" t="str">
        <x:f>IF(CaseLedger!$A358="","",IFERROR(CaseLedger!$W358,""))</x:f>
      </x:c>
      <x:c r="P358" s="52" t="str">
        <x:f>IF(CaseLedger!$A358="","",IFERROR(CaseLedger!$C358,""))</x:f>
      </x:c>
      <x:c r="Q358" s="52" t="str">
        <x:f>IF(CaseLedger!$A358="","",IFERROR(CaseLedger!$D358,""))</x:f>
      </x:c>
      <x:c r="R358" s="52" t="str">
        <x:f>IF(CaseLedger!$A358="","",IFERROR(CaseLedger!$X358,""))</x:f>
      </x:c>
      <x:c r="S358" s="52" t="str">
        <x:f>IF(CaseLedger!$A358="","",IFERROR(CaseLedger!$Y358,""))</x:f>
      </x:c>
      <x:c r="T358" s="52" t="str">
        <x:f>IF(CaseLedger!$A358="","",IFERROR(CaseLedger!$Z358,""))</x:f>
      </x:c>
      <x:c r="U358" s="52" t="str">
        <x:f>IF(CaseLedger!$A358="","",IFERROR(CaseLedger!$AA358,""))</x:f>
      </x:c>
      <x:c r="V358" s="52" t="str">
        <x:f>IF(CaseLedger!$A358="","",IFERROR(CaseLedger!$AB358,""))</x:f>
      </x:c>
      <x:c r="W358" s="52" t="str">
        <x:f>IF(CaseLedger!$A358="","",IFERROR(CaseLedger!$AC358,""))</x:f>
      </x:c>
      <x:c r="X358" s="52" t="str">
        <x:f>IF(CaseLedger!$A358="","",IFERROR(CaseLedger!$AD358,""))</x:f>
      </x:c>
      <x:c r="Y358" s="52" t="str">
        <x:f>IF(CaseLedger!$A358="","",IFERROR(CaseLedger!$AE358,""))</x:f>
      </x:c>
      <x:c r="Z358" s="52" t="str">
        <x:f>IF(CaseLedger!$A358="","",IFERROR(CaseLedger!$AF358,""))</x:f>
      </x:c>
      <x:c r="AA358" s="52" t="str">
        <x:f>IF(CaseLedger!$A358="","",IFERROR(CaseLedger!$AG358,""))</x:f>
      </x:c>
      <x:c r="AB358" s="52" t="str">
        <x:f>IF(CaseLedger!$A358="","",IFERROR(CaseLedger!$AH358,""))</x:f>
      </x:c>
      <x:c r="AC358"/>
    </x:row>
    <x:row r="359">
      <x:c r="A359" s="52" t="str">
        <x:f>IF(CaseLedger!$A359="","",IFERROR(CaseLedger!$A359,""))</x:f>
      </x:c>
      <x:c r="B359" s="52" t="str">
        <x:f>IF(CaseLedger!$A359="","",IFERROR(CaseLedger!$H359,""))</x:f>
      </x:c>
      <x:c r="C359" s="52" t="str">
        <x:f>IF(CaseLedger!$A359="","",IFERROR(CaseLedger!$I359,""))</x:f>
      </x:c>
      <x:c r="D359" s="52" t="str">
        <x:f>IF(CaseLedger!$A359="","",IFERROR(CaseLedger!$J359,""))</x:f>
      </x:c>
      <x:c r="E359" s="52" t="str">
        <x:f>IF(CaseLedger!$A359="","",IFERROR(CaseLedger!$K359,""))</x:f>
      </x:c>
      <x:c r="F359" s="52" t="str">
        <x:f>IF(CaseLedger!$A359="","",IFERROR(CaseLedger!$O359,""))</x:f>
      </x:c>
      <x:c r="G359" s="52" t="str">
        <x:f>IF(CaseLedger!$A359="","",IFERROR(CaseLedger!$E359,""))</x:f>
      </x:c>
      <x:c r="H359" s="52" t="str">
        <x:f>IF(CaseLedger!$A359="","",IFERROR(CaseLedger!$P359,""))</x:f>
      </x:c>
      <x:c r="I359" s="52" t="str">
        <x:f>IF(CaseLedger!$A359="","",IFERROR(CaseLedger!$Q359,""))</x:f>
      </x:c>
      <x:c r="J359" s="52" t="str">
        <x:f>IF(CaseLedger!$A359="","",IFERROR(CaseLedger!$R359,""))</x:f>
      </x:c>
      <x:c r="K359" s="52" t="str">
        <x:f>IF(CaseLedger!$A359="","",IFERROR(CaseLedger!$S359,""))</x:f>
      </x:c>
      <x:c r="L359" s="52" t="str">
        <x:f>IF(CaseLedger!$A359="","",IFERROR(CaseLedger!$T359,""))</x:f>
      </x:c>
      <x:c r="M359" s="52" t="str">
        <x:f>IF(CaseLedger!$A359="","",IFERROR(CaseLedger!$U359,""))</x:f>
      </x:c>
      <x:c r="N359" s="52" t="str">
        <x:f>IF(CaseLedger!$A359="","",IFERROR(CaseLedger!$V359,""))</x:f>
      </x:c>
      <x:c r="O359" s="52" t="str">
        <x:f>IF(CaseLedger!$A359="","",IFERROR(CaseLedger!$W359,""))</x:f>
      </x:c>
      <x:c r="P359" s="52" t="str">
        <x:f>IF(CaseLedger!$A359="","",IFERROR(CaseLedger!$C359,""))</x:f>
      </x:c>
      <x:c r="Q359" s="52" t="str">
        <x:f>IF(CaseLedger!$A359="","",IFERROR(CaseLedger!$D359,""))</x:f>
      </x:c>
      <x:c r="R359" s="52" t="str">
        <x:f>IF(CaseLedger!$A359="","",IFERROR(CaseLedger!$X359,""))</x:f>
      </x:c>
      <x:c r="S359" s="52" t="str">
        <x:f>IF(CaseLedger!$A359="","",IFERROR(CaseLedger!$Y359,""))</x:f>
      </x:c>
      <x:c r="T359" s="52" t="str">
        <x:f>IF(CaseLedger!$A359="","",IFERROR(CaseLedger!$Z359,""))</x:f>
      </x:c>
      <x:c r="U359" s="52" t="str">
        <x:f>IF(CaseLedger!$A359="","",IFERROR(CaseLedger!$AA359,""))</x:f>
      </x:c>
      <x:c r="V359" s="52" t="str">
        <x:f>IF(CaseLedger!$A359="","",IFERROR(CaseLedger!$AB359,""))</x:f>
      </x:c>
      <x:c r="W359" s="52" t="str">
        <x:f>IF(CaseLedger!$A359="","",IFERROR(CaseLedger!$AC359,""))</x:f>
      </x:c>
      <x:c r="X359" s="52" t="str">
        <x:f>IF(CaseLedger!$A359="","",IFERROR(CaseLedger!$AD359,""))</x:f>
      </x:c>
      <x:c r="Y359" s="52" t="str">
        <x:f>IF(CaseLedger!$A359="","",IFERROR(CaseLedger!$AE359,""))</x:f>
      </x:c>
      <x:c r="Z359" s="52" t="str">
        <x:f>IF(CaseLedger!$A359="","",IFERROR(CaseLedger!$AF359,""))</x:f>
      </x:c>
      <x:c r="AA359" s="52" t="str">
        <x:f>IF(CaseLedger!$A359="","",IFERROR(CaseLedger!$AG359,""))</x:f>
      </x:c>
      <x:c r="AB359" s="52" t="str">
        <x:f>IF(CaseLedger!$A359="","",IFERROR(CaseLedger!$AH359,""))</x:f>
      </x:c>
      <x:c r="AC359"/>
    </x:row>
    <x:row r="360">
      <x:c r="A360" s="52" t="str">
        <x:f>IF(CaseLedger!$A360="","",IFERROR(CaseLedger!$A360,""))</x:f>
      </x:c>
      <x:c r="B360" s="52" t="str">
        <x:f>IF(CaseLedger!$A360="","",IFERROR(CaseLedger!$H360,""))</x:f>
      </x:c>
      <x:c r="C360" s="52" t="str">
        <x:f>IF(CaseLedger!$A360="","",IFERROR(CaseLedger!$I360,""))</x:f>
      </x:c>
      <x:c r="D360" s="52" t="str">
        <x:f>IF(CaseLedger!$A360="","",IFERROR(CaseLedger!$J360,""))</x:f>
      </x:c>
      <x:c r="E360" s="52" t="str">
        <x:f>IF(CaseLedger!$A360="","",IFERROR(CaseLedger!$K360,""))</x:f>
      </x:c>
      <x:c r="F360" s="52" t="str">
        <x:f>IF(CaseLedger!$A360="","",IFERROR(CaseLedger!$O360,""))</x:f>
      </x:c>
      <x:c r="G360" s="52" t="str">
        <x:f>IF(CaseLedger!$A360="","",IFERROR(CaseLedger!$E360,""))</x:f>
      </x:c>
      <x:c r="H360" s="52" t="str">
        <x:f>IF(CaseLedger!$A360="","",IFERROR(CaseLedger!$P360,""))</x:f>
      </x:c>
      <x:c r="I360" s="52" t="str">
        <x:f>IF(CaseLedger!$A360="","",IFERROR(CaseLedger!$Q360,""))</x:f>
      </x:c>
      <x:c r="J360" s="52" t="str">
        <x:f>IF(CaseLedger!$A360="","",IFERROR(CaseLedger!$R360,""))</x:f>
      </x:c>
      <x:c r="K360" s="52" t="str">
        <x:f>IF(CaseLedger!$A360="","",IFERROR(CaseLedger!$S360,""))</x:f>
      </x:c>
      <x:c r="L360" s="52" t="str">
        <x:f>IF(CaseLedger!$A360="","",IFERROR(CaseLedger!$T360,""))</x:f>
      </x:c>
      <x:c r="M360" s="52" t="str">
        <x:f>IF(CaseLedger!$A360="","",IFERROR(CaseLedger!$U360,""))</x:f>
      </x:c>
      <x:c r="N360" s="52" t="str">
        <x:f>IF(CaseLedger!$A360="","",IFERROR(CaseLedger!$V360,""))</x:f>
      </x:c>
      <x:c r="O360" s="52" t="str">
        <x:f>IF(CaseLedger!$A360="","",IFERROR(CaseLedger!$W360,""))</x:f>
      </x:c>
      <x:c r="P360" s="52" t="str">
        <x:f>IF(CaseLedger!$A360="","",IFERROR(CaseLedger!$C360,""))</x:f>
      </x:c>
      <x:c r="Q360" s="52" t="str">
        <x:f>IF(CaseLedger!$A360="","",IFERROR(CaseLedger!$D360,""))</x:f>
      </x:c>
      <x:c r="R360" s="52" t="str">
        <x:f>IF(CaseLedger!$A360="","",IFERROR(CaseLedger!$X360,""))</x:f>
      </x:c>
      <x:c r="S360" s="52" t="str">
        <x:f>IF(CaseLedger!$A360="","",IFERROR(CaseLedger!$Y360,""))</x:f>
      </x:c>
      <x:c r="T360" s="52" t="str">
        <x:f>IF(CaseLedger!$A360="","",IFERROR(CaseLedger!$Z360,""))</x:f>
      </x:c>
      <x:c r="U360" s="52" t="str">
        <x:f>IF(CaseLedger!$A360="","",IFERROR(CaseLedger!$AA360,""))</x:f>
      </x:c>
      <x:c r="V360" s="52" t="str">
        <x:f>IF(CaseLedger!$A360="","",IFERROR(CaseLedger!$AB360,""))</x:f>
      </x:c>
      <x:c r="W360" s="52" t="str">
        <x:f>IF(CaseLedger!$A360="","",IFERROR(CaseLedger!$AC360,""))</x:f>
      </x:c>
      <x:c r="X360" s="52" t="str">
        <x:f>IF(CaseLedger!$A360="","",IFERROR(CaseLedger!$AD360,""))</x:f>
      </x:c>
      <x:c r="Y360" s="52" t="str">
        <x:f>IF(CaseLedger!$A360="","",IFERROR(CaseLedger!$AE360,""))</x:f>
      </x:c>
      <x:c r="Z360" s="52" t="str">
        <x:f>IF(CaseLedger!$A360="","",IFERROR(CaseLedger!$AF360,""))</x:f>
      </x:c>
      <x:c r="AA360" s="52" t="str">
        <x:f>IF(CaseLedger!$A360="","",IFERROR(CaseLedger!$AG360,""))</x:f>
      </x:c>
      <x:c r="AB360" s="52" t="str">
        <x:f>IF(CaseLedger!$A360="","",IFERROR(CaseLedger!$AH360,""))</x:f>
      </x:c>
      <x:c r="AC360"/>
    </x:row>
    <x:row r="361">
      <x:c r="A361" s="52" t="str">
        <x:f>IF(CaseLedger!$A361="","",IFERROR(CaseLedger!$A361,""))</x:f>
      </x:c>
      <x:c r="B361" s="52" t="str">
        <x:f>IF(CaseLedger!$A361="","",IFERROR(CaseLedger!$H361,""))</x:f>
      </x:c>
      <x:c r="C361" s="52" t="str">
        <x:f>IF(CaseLedger!$A361="","",IFERROR(CaseLedger!$I361,""))</x:f>
      </x:c>
      <x:c r="D361" s="52" t="str">
        <x:f>IF(CaseLedger!$A361="","",IFERROR(CaseLedger!$J361,""))</x:f>
      </x:c>
      <x:c r="E361" s="52" t="str">
        <x:f>IF(CaseLedger!$A361="","",IFERROR(CaseLedger!$K361,""))</x:f>
      </x:c>
      <x:c r="F361" s="52" t="str">
        <x:f>IF(CaseLedger!$A361="","",IFERROR(CaseLedger!$O361,""))</x:f>
      </x:c>
      <x:c r="G361" s="52" t="str">
        <x:f>IF(CaseLedger!$A361="","",IFERROR(CaseLedger!$E361,""))</x:f>
      </x:c>
      <x:c r="H361" s="52" t="str">
        <x:f>IF(CaseLedger!$A361="","",IFERROR(CaseLedger!$P361,""))</x:f>
      </x:c>
      <x:c r="I361" s="52" t="str">
        <x:f>IF(CaseLedger!$A361="","",IFERROR(CaseLedger!$Q361,""))</x:f>
      </x:c>
      <x:c r="J361" s="52" t="str">
        <x:f>IF(CaseLedger!$A361="","",IFERROR(CaseLedger!$R361,""))</x:f>
      </x:c>
      <x:c r="K361" s="52" t="str">
        <x:f>IF(CaseLedger!$A361="","",IFERROR(CaseLedger!$S361,""))</x:f>
      </x:c>
      <x:c r="L361" s="52" t="str">
        <x:f>IF(CaseLedger!$A361="","",IFERROR(CaseLedger!$T361,""))</x:f>
      </x:c>
      <x:c r="M361" s="52" t="str">
        <x:f>IF(CaseLedger!$A361="","",IFERROR(CaseLedger!$U361,""))</x:f>
      </x:c>
      <x:c r="N361" s="52" t="str">
        <x:f>IF(CaseLedger!$A361="","",IFERROR(CaseLedger!$V361,""))</x:f>
      </x:c>
      <x:c r="O361" s="52" t="str">
        <x:f>IF(CaseLedger!$A361="","",IFERROR(CaseLedger!$W361,""))</x:f>
      </x:c>
      <x:c r="P361" s="52" t="str">
        <x:f>IF(CaseLedger!$A361="","",IFERROR(CaseLedger!$C361,""))</x:f>
      </x:c>
      <x:c r="Q361" s="52" t="str">
        <x:f>IF(CaseLedger!$A361="","",IFERROR(CaseLedger!$D361,""))</x:f>
      </x:c>
      <x:c r="R361" s="52" t="str">
        <x:f>IF(CaseLedger!$A361="","",IFERROR(CaseLedger!$X361,""))</x:f>
      </x:c>
      <x:c r="S361" s="52" t="str">
        <x:f>IF(CaseLedger!$A361="","",IFERROR(CaseLedger!$Y361,""))</x:f>
      </x:c>
      <x:c r="T361" s="52" t="str">
        <x:f>IF(CaseLedger!$A361="","",IFERROR(CaseLedger!$Z361,""))</x:f>
      </x:c>
      <x:c r="U361" s="52" t="str">
        <x:f>IF(CaseLedger!$A361="","",IFERROR(CaseLedger!$AA361,""))</x:f>
      </x:c>
      <x:c r="V361" s="52" t="str">
        <x:f>IF(CaseLedger!$A361="","",IFERROR(CaseLedger!$AB361,""))</x:f>
      </x:c>
      <x:c r="W361" s="52" t="str">
        <x:f>IF(CaseLedger!$A361="","",IFERROR(CaseLedger!$AC361,""))</x:f>
      </x:c>
      <x:c r="X361" s="52" t="str">
        <x:f>IF(CaseLedger!$A361="","",IFERROR(CaseLedger!$AD361,""))</x:f>
      </x:c>
      <x:c r="Y361" s="52" t="str">
        <x:f>IF(CaseLedger!$A361="","",IFERROR(CaseLedger!$AE361,""))</x:f>
      </x:c>
      <x:c r="Z361" s="52" t="str">
        <x:f>IF(CaseLedger!$A361="","",IFERROR(CaseLedger!$AF361,""))</x:f>
      </x:c>
      <x:c r="AA361" s="52" t="str">
        <x:f>IF(CaseLedger!$A361="","",IFERROR(CaseLedger!$AG361,""))</x:f>
      </x:c>
      <x:c r="AB361" s="52" t="str">
        <x:f>IF(CaseLedger!$A361="","",IFERROR(CaseLedger!$AH361,""))</x:f>
      </x:c>
      <x:c r="AC361"/>
    </x:row>
    <x:row r="362">
      <x:c r="A362" s="52" t="str">
        <x:f>IF(CaseLedger!$A362="","",IFERROR(CaseLedger!$A362,""))</x:f>
      </x:c>
      <x:c r="B362" s="52" t="str">
        <x:f>IF(CaseLedger!$A362="","",IFERROR(CaseLedger!$H362,""))</x:f>
      </x:c>
      <x:c r="C362" s="52" t="str">
        <x:f>IF(CaseLedger!$A362="","",IFERROR(CaseLedger!$I362,""))</x:f>
      </x:c>
      <x:c r="D362" s="52" t="str">
        <x:f>IF(CaseLedger!$A362="","",IFERROR(CaseLedger!$J362,""))</x:f>
      </x:c>
      <x:c r="E362" s="52" t="str">
        <x:f>IF(CaseLedger!$A362="","",IFERROR(CaseLedger!$K362,""))</x:f>
      </x:c>
      <x:c r="F362" s="52" t="str">
        <x:f>IF(CaseLedger!$A362="","",IFERROR(CaseLedger!$O362,""))</x:f>
      </x:c>
      <x:c r="G362" s="52" t="str">
        <x:f>IF(CaseLedger!$A362="","",IFERROR(CaseLedger!$E362,""))</x:f>
      </x:c>
      <x:c r="H362" s="52" t="str">
        <x:f>IF(CaseLedger!$A362="","",IFERROR(CaseLedger!$P362,""))</x:f>
      </x:c>
      <x:c r="I362" s="52" t="str">
        <x:f>IF(CaseLedger!$A362="","",IFERROR(CaseLedger!$Q362,""))</x:f>
      </x:c>
      <x:c r="J362" s="52" t="str">
        <x:f>IF(CaseLedger!$A362="","",IFERROR(CaseLedger!$R362,""))</x:f>
      </x:c>
      <x:c r="K362" s="52" t="str">
        <x:f>IF(CaseLedger!$A362="","",IFERROR(CaseLedger!$S362,""))</x:f>
      </x:c>
      <x:c r="L362" s="52" t="str">
        <x:f>IF(CaseLedger!$A362="","",IFERROR(CaseLedger!$T362,""))</x:f>
      </x:c>
      <x:c r="M362" s="52" t="str">
        <x:f>IF(CaseLedger!$A362="","",IFERROR(CaseLedger!$U362,""))</x:f>
      </x:c>
      <x:c r="N362" s="52" t="str">
        <x:f>IF(CaseLedger!$A362="","",IFERROR(CaseLedger!$V362,""))</x:f>
      </x:c>
      <x:c r="O362" s="52" t="str">
        <x:f>IF(CaseLedger!$A362="","",IFERROR(CaseLedger!$W362,""))</x:f>
      </x:c>
      <x:c r="P362" s="52" t="str">
        <x:f>IF(CaseLedger!$A362="","",IFERROR(CaseLedger!$C362,""))</x:f>
      </x:c>
      <x:c r="Q362" s="52" t="str">
        <x:f>IF(CaseLedger!$A362="","",IFERROR(CaseLedger!$D362,""))</x:f>
      </x:c>
      <x:c r="R362" s="52" t="str">
        <x:f>IF(CaseLedger!$A362="","",IFERROR(CaseLedger!$X362,""))</x:f>
      </x:c>
      <x:c r="S362" s="52" t="str">
        <x:f>IF(CaseLedger!$A362="","",IFERROR(CaseLedger!$Y362,""))</x:f>
      </x:c>
      <x:c r="T362" s="52" t="str">
        <x:f>IF(CaseLedger!$A362="","",IFERROR(CaseLedger!$Z362,""))</x:f>
      </x:c>
      <x:c r="U362" s="52" t="str">
        <x:f>IF(CaseLedger!$A362="","",IFERROR(CaseLedger!$AA362,""))</x:f>
      </x:c>
      <x:c r="V362" s="52" t="str">
        <x:f>IF(CaseLedger!$A362="","",IFERROR(CaseLedger!$AB362,""))</x:f>
      </x:c>
      <x:c r="W362" s="52" t="str">
        <x:f>IF(CaseLedger!$A362="","",IFERROR(CaseLedger!$AC362,""))</x:f>
      </x:c>
      <x:c r="X362" s="52" t="str">
        <x:f>IF(CaseLedger!$A362="","",IFERROR(CaseLedger!$AD362,""))</x:f>
      </x:c>
      <x:c r="Y362" s="52" t="str">
        <x:f>IF(CaseLedger!$A362="","",IFERROR(CaseLedger!$AE362,""))</x:f>
      </x:c>
      <x:c r="Z362" s="52" t="str">
        <x:f>IF(CaseLedger!$A362="","",IFERROR(CaseLedger!$AF362,""))</x:f>
      </x:c>
      <x:c r="AA362" s="52" t="str">
        <x:f>IF(CaseLedger!$A362="","",IFERROR(CaseLedger!$AG362,""))</x:f>
      </x:c>
      <x:c r="AB362" s="52" t="str">
        <x:f>IF(CaseLedger!$A362="","",IFERROR(CaseLedger!$AH362,""))</x:f>
      </x:c>
      <x:c r="AC362"/>
    </x:row>
    <x:row r="363">
      <x:c r="A363" s="52" t="str">
        <x:f>IF(CaseLedger!$A363="","",IFERROR(CaseLedger!$A363,""))</x:f>
      </x:c>
      <x:c r="B363" s="52" t="str">
        <x:f>IF(CaseLedger!$A363="","",IFERROR(CaseLedger!$H363,""))</x:f>
      </x:c>
      <x:c r="C363" s="52" t="str">
        <x:f>IF(CaseLedger!$A363="","",IFERROR(CaseLedger!$I363,""))</x:f>
      </x:c>
      <x:c r="D363" s="52" t="str">
        <x:f>IF(CaseLedger!$A363="","",IFERROR(CaseLedger!$J363,""))</x:f>
      </x:c>
      <x:c r="E363" s="52" t="str">
        <x:f>IF(CaseLedger!$A363="","",IFERROR(CaseLedger!$K363,""))</x:f>
      </x:c>
      <x:c r="F363" s="52" t="str">
        <x:f>IF(CaseLedger!$A363="","",IFERROR(CaseLedger!$O363,""))</x:f>
      </x:c>
      <x:c r="G363" s="52" t="str">
        <x:f>IF(CaseLedger!$A363="","",IFERROR(CaseLedger!$E363,""))</x:f>
      </x:c>
      <x:c r="H363" s="52" t="str">
        <x:f>IF(CaseLedger!$A363="","",IFERROR(CaseLedger!$P363,""))</x:f>
      </x:c>
      <x:c r="I363" s="52" t="str">
        <x:f>IF(CaseLedger!$A363="","",IFERROR(CaseLedger!$Q363,""))</x:f>
      </x:c>
      <x:c r="J363" s="52" t="str">
        <x:f>IF(CaseLedger!$A363="","",IFERROR(CaseLedger!$R363,""))</x:f>
      </x:c>
      <x:c r="K363" s="52" t="str">
        <x:f>IF(CaseLedger!$A363="","",IFERROR(CaseLedger!$S363,""))</x:f>
      </x:c>
      <x:c r="L363" s="52" t="str">
        <x:f>IF(CaseLedger!$A363="","",IFERROR(CaseLedger!$T363,""))</x:f>
      </x:c>
      <x:c r="M363" s="52" t="str">
        <x:f>IF(CaseLedger!$A363="","",IFERROR(CaseLedger!$U363,""))</x:f>
      </x:c>
      <x:c r="N363" s="52" t="str">
        <x:f>IF(CaseLedger!$A363="","",IFERROR(CaseLedger!$V363,""))</x:f>
      </x:c>
      <x:c r="O363" s="52" t="str">
        <x:f>IF(CaseLedger!$A363="","",IFERROR(CaseLedger!$W363,""))</x:f>
      </x:c>
      <x:c r="P363" s="52" t="str">
        <x:f>IF(CaseLedger!$A363="","",IFERROR(CaseLedger!$C363,""))</x:f>
      </x:c>
      <x:c r="Q363" s="52" t="str">
        <x:f>IF(CaseLedger!$A363="","",IFERROR(CaseLedger!$D363,""))</x:f>
      </x:c>
      <x:c r="R363" s="52" t="str">
        <x:f>IF(CaseLedger!$A363="","",IFERROR(CaseLedger!$X363,""))</x:f>
      </x:c>
      <x:c r="S363" s="52" t="str">
        <x:f>IF(CaseLedger!$A363="","",IFERROR(CaseLedger!$Y363,""))</x:f>
      </x:c>
      <x:c r="T363" s="52" t="str">
        <x:f>IF(CaseLedger!$A363="","",IFERROR(CaseLedger!$Z363,""))</x:f>
      </x:c>
      <x:c r="U363" s="52" t="str">
        <x:f>IF(CaseLedger!$A363="","",IFERROR(CaseLedger!$AA363,""))</x:f>
      </x:c>
      <x:c r="V363" s="52" t="str">
        <x:f>IF(CaseLedger!$A363="","",IFERROR(CaseLedger!$AB363,""))</x:f>
      </x:c>
      <x:c r="W363" s="52" t="str">
        <x:f>IF(CaseLedger!$A363="","",IFERROR(CaseLedger!$AC363,""))</x:f>
      </x:c>
      <x:c r="X363" s="52" t="str">
        <x:f>IF(CaseLedger!$A363="","",IFERROR(CaseLedger!$AD363,""))</x:f>
      </x:c>
      <x:c r="Y363" s="52" t="str">
        <x:f>IF(CaseLedger!$A363="","",IFERROR(CaseLedger!$AE363,""))</x:f>
      </x:c>
      <x:c r="Z363" s="52" t="str">
        <x:f>IF(CaseLedger!$A363="","",IFERROR(CaseLedger!$AF363,""))</x:f>
      </x:c>
      <x:c r="AA363" s="52" t="str">
        <x:f>IF(CaseLedger!$A363="","",IFERROR(CaseLedger!$AG363,""))</x:f>
      </x:c>
      <x:c r="AB363" s="52" t="str">
        <x:f>IF(CaseLedger!$A363="","",IFERROR(CaseLedger!$AH363,""))</x:f>
      </x:c>
      <x:c r="AC363"/>
    </x:row>
    <x:row r="364">
      <x:c r="A364" s="52" t="str">
        <x:f>IF(CaseLedger!$A364="","",IFERROR(CaseLedger!$A364,""))</x:f>
      </x:c>
      <x:c r="B364" s="52" t="str">
        <x:f>IF(CaseLedger!$A364="","",IFERROR(CaseLedger!$H364,""))</x:f>
      </x:c>
      <x:c r="C364" s="52" t="str">
        <x:f>IF(CaseLedger!$A364="","",IFERROR(CaseLedger!$I364,""))</x:f>
      </x:c>
      <x:c r="D364" s="52" t="str">
        <x:f>IF(CaseLedger!$A364="","",IFERROR(CaseLedger!$J364,""))</x:f>
      </x:c>
      <x:c r="E364" s="52" t="str">
        <x:f>IF(CaseLedger!$A364="","",IFERROR(CaseLedger!$K364,""))</x:f>
      </x:c>
      <x:c r="F364" s="52" t="str">
        <x:f>IF(CaseLedger!$A364="","",IFERROR(CaseLedger!$O364,""))</x:f>
      </x:c>
      <x:c r="G364" s="52" t="str">
        <x:f>IF(CaseLedger!$A364="","",IFERROR(CaseLedger!$E364,""))</x:f>
      </x:c>
      <x:c r="H364" s="52" t="str">
        <x:f>IF(CaseLedger!$A364="","",IFERROR(CaseLedger!$P364,""))</x:f>
      </x:c>
      <x:c r="I364" s="52" t="str">
        <x:f>IF(CaseLedger!$A364="","",IFERROR(CaseLedger!$Q364,""))</x:f>
      </x:c>
      <x:c r="J364" s="52" t="str">
        <x:f>IF(CaseLedger!$A364="","",IFERROR(CaseLedger!$R364,""))</x:f>
      </x:c>
      <x:c r="K364" s="52" t="str">
        <x:f>IF(CaseLedger!$A364="","",IFERROR(CaseLedger!$S364,""))</x:f>
      </x:c>
      <x:c r="L364" s="52" t="str">
        <x:f>IF(CaseLedger!$A364="","",IFERROR(CaseLedger!$T364,""))</x:f>
      </x:c>
      <x:c r="M364" s="52" t="str">
        <x:f>IF(CaseLedger!$A364="","",IFERROR(CaseLedger!$U364,""))</x:f>
      </x:c>
      <x:c r="N364" s="52" t="str">
        <x:f>IF(CaseLedger!$A364="","",IFERROR(CaseLedger!$V364,""))</x:f>
      </x:c>
      <x:c r="O364" s="52" t="str">
        <x:f>IF(CaseLedger!$A364="","",IFERROR(CaseLedger!$W364,""))</x:f>
      </x:c>
      <x:c r="P364" s="52" t="str">
        <x:f>IF(CaseLedger!$A364="","",IFERROR(CaseLedger!$C364,""))</x:f>
      </x:c>
      <x:c r="Q364" s="52" t="str">
        <x:f>IF(CaseLedger!$A364="","",IFERROR(CaseLedger!$D364,""))</x:f>
      </x:c>
      <x:c r="R364" s="52" t="str">
        <x:f>IF(CaseLedger!$A364="","",IFERROR(CaseLedger!$X364,""))</x:f>
      </x:c>
      <x:c r="S364" s="52" t="str">
        <x:f>IF(CaseLedger!$A364="","",IFERROR(CaseLedger!$Y364,""))</x:f>
      </x:c>
      <x:c r="T364" s="52" t="str">
        <x:f>IF(CaseLedger!$A364="","",IFERROR(CaseLedger!$Z364,""))</x:f>
      </x:c>
      <x:c r="U364" s="52" t="str">
        <x:f>IF(CaseLedger!$A364="","",IFERROR(CaseLedger!$AA364,""))</x:f>
      </x:c>
      <x:c r="V364" s="52" t="str">
        <x:f>IF(CaseLedger!$A364="","",IFERROR(CaseLedger!$AB364,""))</x:f>
      </x:c>
      <x:c r="W364" s="52" t="str">
        <x:f>IF(CaseLedger!$A364="","",IFERROR(CaseLedger!$AC364,""))</x:f>
      </x:c>
      <x:c r="X364" s="52" t="str">
        <x:f>IF(CaseLedger!$A364="","",IFERROR(CaseLedger!$AD364,""))</x:f>
      </x:c>
      <x:c r="Y364" s="52" t="str">
        <x:f>IF(CaseLedger!$A364="","",IFERROR(CaseLedger!$AE364,""))</x:f>
      </x:c>
      <x:c r="Z364" s="52" t="str">
        <x:f>IF(CaseLedger!$A364="","",IFERROR(CaseLedger!$AF364,""))</x:f>
      </x:c>
      <x:c r="AA364" s="52" t="str">
        <x:f>IF(CaseLedger!$A364="","",IFERROR(CaseLedger!$AG364,""))</x:f>
      </x:c>
      <x:c r="AB364" s="52" t="str">
        <x:f>IF(CaseLedger!$A364="","",IFERROR(CaseLedger!$AH364,""))</x:f>
      </x:c>
      <x:c r="AC364"/>
    </x:row>
    <x:row r="365">
      <x:c r="A365" s="52" t="str">
        <x:f>IF(CaseLedger!$A365="","",IFERROR(CaseLedger!$A365,""))</x:f>
      </x:c>
      <x:c r="B365" s="52" t="str">
        <x:f>IF(CaseLedger!$A365="","",IFERROR(CaseLedger!$H365,""))</x:f>
      </x:c>
      <x:c r="C365" s="52" t="str">
        <x:f>IF(CaseLedger!$A365="","",IFERROR(CaseLedger!$I365,""))</x:f>
      </x:c>
      <x:c r="D365" s="52" t="str">
        <x:f>IF(CaseLedger!$A365="","",IFERROR(CaseLedger!$J365,""))</x:f>
      </x:c>
      <x:c r="E365" s="52" t="str">
        <x:f>IF(CaseLedger!$A365="","",IFERROR(CaseLedger!$K365,""))</x:f>
      </x:c>
      <x:c r="F365" s="52" t="str">
        <x:f>IF(CaseLedger!$A365="","",IFERROR(CaseLedger!$O365,""))</x:f>
      </x:c>
      <x:c r="G365" s="52" t="str">
        <x:f>IF(CaseLedger!$A365="","",IFERROR(CaseLedger!$E365,""))</x:f>
      </x:c>
      <x:c r="H365" s="52" t="str">
        <x:f>IF(CaseLedger!$A365="","",IFERROR(CaseLedger!$P365,""))</x:f>
      </x:c>
      <x:c r="I365" s="52" t="str">
        <x:f>IF(CaseLedger!$A365="","",IFERROR(CaseLedger!$Q365,""))</x:f>
      </x:c>
      <x:c r="J365" s="52" t="str">
        <x:f>IF(CaseLedger!$A365="","",IFERROR(CaseLedger!$R365,""))</x:f>
      </x:c>
      <x:c r="K365" s="52" t="str">
        <x:f>IF(CaseLedger!$A365="","",IFERROR(CaseLedger!$S365,""))</x:f>
      </x:c>
      <x:c r="L365" s="52" t="str">
        <x:f>IF(CaseLedger!$A365="","",IFERROR(CaseLedger!$T365,""))</x:f>
      </x:c>
      <x:c r="M365" s="52" t="str">
        <x:f>IF(CaseLedger!$A365="","",IFERROR(CaseLedger!$U365,""))</x:f>
      </x:c>
      <x:c r="N365" s="52" t="str">
        <x:f>IF(CaseLedger!$A365="","",IFERROR(CaseLedger!$V365,""))</x:f>
      </x:c>
      <x:c r="O365" s="52" t="str">
        <x:f>IF(CaseLedger!$A365="","",IFERROR(CaseLedger!$W365,""))</x:f>
      </x:c>
      <x:c r="P365" s="52" t="str">
        <x:f>IF(CaseLedger!$A365="","",IFERROR(CaseLedger!$C365,""))</x:f>
      </x:c>
      <x:c r="Q365" s="52" t="str">
        <x:f>IF(CaseLedger!$A365="","",IFERROR(CaseLedger!$D365,""))</x:f>
      </x:c>
      <x:c r="R365" s="52" t="str">
        <x:f>IF(CaseLedger!$A365="","",IFERROR(CaseLedger!$X365,""))</x:f>
      </x:c>
      <x:c r="S365" s="52" t="str">
        <x:f>IF(CaseLedger!$A365="","",IFERROR(CaseLedger!$Y365,""))</x:f>
      </x:c>
      <x:c r="T365" s="52" t="str">
        <x:f>IF(CaseLedger!$A365="","",IFERROR(CaseLedger!$Z365,""))</x:f>
      </x:c>
      <x:c r="U365" s="52" t="str">
        <x:f>IF(CaseLedger!$A365="","",IFERROR(CaseLedger!$AA365,""))</x:f>
      </x:c>
      <x:c r="V365" s="52" t="str">
        <x:f>IF(CaseLedger!$A365="","",IFERROR(CaseLedger!$AB365,""))</x:f>
      </x:c>
      <x:c r="W365" s="52" t="str">
        <x:f>IF(CaseLedger!$A365="","",IFERROR(CaseLedger!$AC365,""))</x:f>
      </x:c>
      <x:c r="X365" s="52" t="str">
        <x:f>IF(CaseLedger!$A365="","",IFERROR(CaseLedger!$AD365,""))</x:f>
      </x:c>
      <x:c r="Y365" s="52" t="str">
        <x:f>IF(CaseLedger!$A365="","",IFERROR(CaseLedger!$AE365,""))</x:f>
      </x:c>
      <x:c r="Z365" s="52" t="str">
        <x:f>IF(CaseLedger!$A365="","",IFERROR(CaseLedger!$AF365,""))</x:f>
      </x:c>
      <x:c r="AA365" s="52" t="str">
        <x:f>IF(CaseLedger!$A365="","",IFERROR(CaseLedger!$AG365,""))</x:f>
      </x:c>
      <x:c r="AB365" s="52" t="str">
        <x:f>IF(CaseLedger!$A365="","",IFERROR(CaseLedger!$AH365,""))</x:f>
      </x:c>
      <x:c r="AC365"/>
    </x:row>
    <x:row r="366">
      <x:c r="A366" s="52" t="str">
        <x:f>IF(CaseLedger!$A366="","",IFERROR(CaseLedger!$A366,""))</x:f>
      </x:c>
      <x:c r="B366" s="52" t="str">
        <x:f>IF(CaseLedger!$A366="","",IFERROR(CaseLedger!$H366,""))</x:f>
      </x:c>
      <x:c r="C366" s="52" t="str">
        <x:f>IF(CaseLedger!$A366="","",IFERROR(CaseLedger!$I366,""))</x:f>
      </x:c>
      <x:c r="D366" s="52" t="str">
        <x:f>IF(CaseLedger!$A366="","",IFERROR(CaseLedger!$J366,""))</x:f>
      </x:c>
      <x:c r="E366" s="52" t="str">
        <x:f>IF(CaseLedger!$A366="","",IFERROR(CaseLedger!$K366,""))</x:f>
      </x:c>
      <x:c r="F366" s="52" t="str">
        <x:f>IF(CaseLedger!$A366="","",IFERROR(CaseLedger!$O366,""))</x:f>
      </x:c>
      <x:c r="G366" s="52" t="str">
        <x:f>IF(CaseLedger!$A366="","",IFERROR(CaseLedger!$E366,""))</x:f>
      </x:c>
      <x:c r="H366" s="52" t="str">
        <x:f>IF(CaseLedger!$A366="","",IFERROR(CaseLedger!$P366,""))</x:f>
      </x:c>
      <x:c r="I366" s="52" t="str">
        <x:f>IF(CaseLedger!$A366="","",IFERROR(CaseLedger!$Q366,""))</x:f>
      </x:c>
      <x:c r="J366" s="52" t="str">
        <x:f>IF(CaseLedger!$A366="","",IFERROR(CaseLedger!$R366,""))</x:f>
      </x:c>
      <x:c r="K366" s="52" t="str">
        <x:f>IF(CaseLedger!$A366="","",IFERROR(CaseLedger!$S366,""))</x:f>
      </x:c>
      <x:c r="L366" s="52" t="str">
        <x:f>IF(CaseLedger!$A366="","",IFERROR(CaseLedger!$T366,""))</x:f>
      </x:c>
      <x:c r="M366" s="52" t="str">
        <x:f>IF(CaseLedger!$A366="","",IFERROR(CaseLedger!$U366,""))</x:f>
      </x:c>
      <x:c r="N366" s="52" t="str">
        <x:f>IF(CaseLedger!$A366="","",IFERROR(CaseLedger!$V366,""))</x:f>
      </x:c>
      <x:c r="O366" s="52" t="str">
        <x:f>IF(CaseLedger!$A366="","",IFERROR(CaseLedger!$W366,""))</x:f>
      </x:c>
      <x:c r="P366" s="52" t="str">
        <x:f>IF(CaseLedger!$A366="","",IFERROR(CaseLedger!$C366,""))</x:f>
      </x:c>
      <x:c r="Q366" s="52" t="str">
        <x:f>IF(CaseLedger!$A366="","",IFERROR(CaseLedger!$D366,""))</x:f>
      </x:c>
      <x:c r="R366" s="52" t="str">
        <x:f>IF(CaseLedger!$A366="","",IFERROR(CaseLedger!$X366,""))</x:f>
      </x:c>
      <x:c r="S366" s="52" t="str">
        <x:f>IF(CaseLedger!$A366="","",IFERROR(CaseLedger!$Y366,""))</x:f>
      </x:c>
      <x:c r="T366" s="52" t="str">
        <x:f>IF(CaseLedger!$A366="","",IFERROR(CaseLedger!$Z366,""))</x:f>
      </x:c>
      <x:c r="U366" s="52" t="str">
        <x:f>IF(CaseLedger!$A366="","",IFERROR(CaseLedger!$AA366,""))</x:f>
      </x:c>
      <x:c r="V366" s="52" t="str">
        <x:f>IF(CaseLedger!$A366="","",IFERROR(CaseLedger!$AB366,""))</x:f>
      </x:c>
      <x:c r="W366" s="52" t="str">
        <x:f>IF(CaseLedger!$A366="","",IFERROR(CaseLedger!$AC366,""))</x:f>
      </x:c>
      <x:c r="X366" s="52" t="str">
        <x:f>IF(CaseLedger!$A366="","",IFERROR(CaseLedger!$AD366,""))</x:f>
      </x:c>
      <x:c r="Y366" s="52" t="str">
        <x:f>IF(CaseLedger!$A366="","",IFERROR(CaseLedger!$AE366,""))</x:f>
      </x:c>
      <x:c r="Z366" s="52" t="str">
        <x:f>IF(CaseLedger!$A366="","",IFERROR(CaseLedger!$AF366,""))</x:f>
      </x:c>
      <x:c r="AA366" s="52" t="str">
        <x:f>IF(CaseLedger!$A366="","",IFERROR(CaseLedger!$AG366,""))</x:f>
      </x:c>
      <x:c r="AB366" s="52" t="str">
        <x:f>IF(CaseLedger!$A366="","",IFERROR(CaseLedger!$AH366,""))</x:f>
      </x:c>
      <x:c r="AC366"/>
    </x:row>
    <x:row r="367">
      <x:c r="A367" s="52" t="str">
        <x:f>IF(CaseLedger!$A367="","",IFERROR(CaseLedger!$A367,""))</x:f>
      </x:c>
      <x:c r="B367" s="52" t="str">
        <x:f>IF(CaseLedger!$A367="","",IFERROR(CaseLedger!$H367,""))</x:f>
      </x:c>
      <x:c r="C367" s="52" t="str">
        <x:f>IF(CaseLedger!$A367="","",IFERROR(CaseLedger!$I367,""))</x:f>
      </x:c>
      <x:c r="D367" s="52" t="str">
        <x:f>IF(CaseLedger!$A367="","",IFERROR(CaseLedger!$J367,""))</x:f>
      </x:c>
      <x:c r="E367" s="52" t="str">
        <x:f>IF(CaseLedger!$A367="","",IFERROR(CaseLedger!$K367,""))</x:f>
      </x:c>
      <x:c r="F367" s="52" t="str">
        <x:f>IF(CaseLedger!$A367="","",IFERROR(CaseLedger!$O367,""))</x:f>
      </x:c>
      <x:c r="G367" s="52" t="str">
        <x:f>IF(CaseLedger!$A367="","",IFERROR(CaseLedger!$E367,""))</x:f>
      </x:c>
      <x:c r="H367" s="52" t="str">
        <x:f>IF(CaseLedger!$A367="","",IFERROR(CaseLedger!$P367,""))</x:f>
      </x:c>
      <x:c r="I367" s="52" t="str">
        <x:f>IF(CaseLedger!$A367="","",IFERROR(CaseLedger!$Q367,""))</x:f>
      </x:c>
      <x:c r="J367" s="52" t="str">
        <x:f>IF(CaseLedger!$A367="","",IFERROR(CaseLedger!$R367,""))</x:f>
      </x:c>
      <x:c r="K367" s="52" t="str">
        <x:f>IF(CaseLedger!$A367="","",IFERROR(CaseLedger!$S367,""))</x:f>
      </x:c>
      <x:c r="L367" s="52" t="str">
        <x:f>IF(CaseLedger!$A367="","",IFERROR(CaseLedger!$T367,""))</x:f>
      </x:c>
      <x:c r="M367" s="52" t="str">
        <x:f>IF(CaseLedger!$A367="","",IFERROR(CaseLedger!$U367,""))</x:f>
      </x:c>
      <x:c r="N367" s="52" t="str">
        <x:f>IF(CaseLedger!$A367="","",IFERROR(CaseLedger!$V367,""))</x:f>
      </x:c>
      <x:c r="O367" s="52" t="str">
        <x:f>IF(CaseLedger!$A367="","",IFERROR(CaseLedger!$W367,""))</x:f>
      </x:c>
      <x:c r="P367" s="52" t="str">
        <x:f>IF(CaseLedger!$A367="","",IFERROR(CaseLedger!$C367,""))</x:f>
      </x:c>
      <x:c r="Q367" s="52" t="str">
        <x:f>IF(CaseLedger!$A367="","",IFERROR(CaseLedger!$D367,""))</x:f>
      </x:c>
      <x:c r="R367" s="52" t="str">
        <x:f>IF(CaseLedger!$A367="","",IFERROR(CaseLedger!$X367,""))</x:f>
      </x:c>
      <x:c r="S367" s="52" t="str">
        <x:f>IF(CaseLedger!$A367="","",IFERROR(CaseLedger!$Y367,""))</x:f>
      </x:c>
      <x:c r="T367" s="52" t="str">
        <x:f>IF(CaseLedger!$A367="","",IFERROR(CaseLedger!$Z367,""))</x:f>
      </x:c>
      <x:c r="U367" s="52" t="str">
        <x:f>IF(CaseLedger!$A367="","",IFERROR(CaseLedger!$AA367,""))</x:f>
      </x:c>
      <x:c r="V367" s="52" t="str">
        <x:f>IF(CaseLedger!$A367="","",IFERROR(CaseLedger!$AB367,""))</x:f>
      </x:c>
      <x:c r="W367" s="52" t="str">
        <x:f>IF(CaseLedger!$A367="","",IFERROR(CaseLedger!$AC367,""))</x:f>
      </x:c>
      <x:c r="X367" s="52" t="str">
        <x:f>IF(CaseLedger!$A367="","",IFERROR(CaseLedger!$AD367,""))</x:f>
      </x:c>
      <x:c r="Y367" s="52" t="str">
        <x:f>IF(CaseLedger!$A367="","",IFERROR(CaseLedger!$AE367,""))</x:f>
      </x:c>
      <x:c r="Z367" s="52" t="str">
        <x:f>IF(CaseLedger!$A367="","",IFERROR(CaseLedger!$AF367,""))</x:f>
      </x:c>
      <x:c r="AA367" s="52" t="str">
        <x:f>IF(CaseLedger!$A367="","",IFERROR(CaseLedger!$AG367,""))</x:f>
      </x:c>
      <x:c r="AB367" s="52" t="str">
        <x:f>IF(CaseLedger!$A367="","",IFERROR(CaseLedger!$AH367,""))</x:f>
      </x:c>
      <x:c r="AC367"/>
    </x:row>
    <x:row r="368">
      <x:c r="A368" s="52" t="str">
        <x:f>IF(CaseLedger!$A368="","",IFERROR(CaseLedger!$A368,""))</x:f>
      </x:c>
      <x:c r="B368" s="52" t="str">
        <x:f>IF(CaseLedger!$A368="","",IFERROR(CaseLedger!$H368,""))</x:f>
      </x:c>
      <x:c r="C368" s="52" t="str">
        <x:f>IF(CaseLedger!$A368="","",IFERROR(CaseLedger!$I368,""))</x:f>
      </x:c>
      <x:c r="D368" s="52" t="str">
        <x:f>IF(CaseLedger!$A368="","",IFERROR(CaseLedger!$J368,""))</x:f>
      </x:c>
      <x:c r="E368" s="52" t="str">
        <x:f>IF(CaseLedger!$A368="","",IFERROR(CaseLedger!$K368,""))</x:f>
      </x:c>
      <x:c r="F368" s="52" t="str">
        <x:f>IF(CaseLedger!$A368="","",IFERROR(CaseLedger!$O368,""))</x:f>
      </x:c>
      <x:c r="G368" s="52" t="str">
        <x:f>IF(CaseLedger!$A368="","",IFERROR(CaseLedger!$E368,""))</x:f>
      </x:c>
      <x:c r="H368" s="52" t="str">
        <x:f>IF(CaseLedger!$A368="","",IFERROR(CaseLedger!$P368,""))</x:f>
      </x:c>
      <x:c r="I368" s="52" t="str">
        <x:f>IF(CaseLedger!$A368="","",IFERROR(CaseLedger!$Q368,""))</x:f>
      </x:c>
      <x:c r="J368" s="52" t="str">
        <x:f>IF(CaseLedger!$A368="","",IFERROR(CaseLedger!$R368,""))</x:f>
      </x:c>
      <x:c r="K368" s="52" t="str">
        <x:f>IF(CaseLedger!$A368="","",IFERROR(CaseLedger!$S368,""))</x:f>
      </x:c>
      <x:c r="L368" s="52" t="str">
        <x:f>IF(CaseLedger!$A368="","",IFERROR(CaseLedger!$T368,""))</x:f>
      </x:c>
      <x:c r="M368" s="52" t="str">
        <x:f>IF(CaseLedger!$A368="","",IFERROR(CaseLedger!$U368,""))</x:f>
      </x:c>
      <x:c r="N368" s="52" t="str">
        <x:f>IF(CaseLedger!$A368="","",IFERROR(CaseLedger!$V368,""))</x:f>
      </x:c>
      <x:c r="O368" s="52" t="str">
        <x:f>IF(CaseLedger!$A368="","",IFERROR(CaseLedger!$W368,""))</x:f>
      </x:c>
      <x:c r="P368" s="52" t="str">
        <x:f>IF(CaseLedger!$A368="","",IFERROR(CaseLedger!$C368,""))</x:f>
      </x:c>
      <x:c r="Q368" s="52" t="str">
        <x:f>IF(CaseLedger!$A368="","",IFERROR(CaseLedger!$D368,""))</x:f>
      </x:c>
      <x:c r="R368" s="52" t="str">
        <x:f>IF(CaseLedger!$A368="","",IFERROR(CaseLedger!$X368,""))</x:f>
      </x:c>
      <x:c r="S368" s="52" t="str">
        <x:f>IF(CaseLedger!$A368="","",IFERROR(CaseLedger!$Y368,""))</x:f>
      </x:c>
      <x:c r="T368" s="52" t="str">
        <x:f>IF(CaseLedger!$A368="","",IFERROR(CaseLedger!$Z368,""))</x:f>
      </x:c>
      <x:c r="U368" s="52" t="str">
        <x:f>IF(CaseLedger!$A368="","",IFERROR(CaseLedger!$AA368,""))</x:f>
      </x:c>
      <x:c r="V368" s="52" t="str">
        <x:f>IF(CaseLedger!$A368="","",IFERROR(CaseLedger!$AB368,""))</x:f>
      </x:c>
      <x:c r="W368" s="52" t="str">
        <x:f>IF(CaseLedger!$A368="","",IFERROR(CaseLedger!$AC368,""))</x:f>
      </x:c>
      <x:c r="X368" s="52" t="str">
        <x:f>IF(CaseLedger!$A368="","",IFERROR(CaseLedger!$AD368,""))</x:f>
      </x:c>
      <x:c r="Y368" s="52" t="str">
        <x:f>IF(CaseLedger!$A368="","",IFERROR(CaseLedger!$AE368,""))</x:f>
      </x:c>
      <x:c r="Z368" s="52" t="str">
        <x:f>IF(CaseLedger!$A368="","",IFERROR(CaseLedger!$AF368,""))</x:f>
      </x:c>
      <x:c r="AA368" s="52" t="str">
        <x:f>IF(CaseLedger!$A368="","",IFERROR(CaseLedger!$AG368,""))</x:f>
      </x:c>
      <x:c r="AB368" s="52" t="str">
        <x:f>IF(CaseLedger!$A368="","",IFERROR(CaseLedger!$AH368,""))</x:f>
      </x:c>
      <x:c r="AC368"/>
    </x:row>
    <x:row r="369">
      <x:c r="A369" s="52" t="str">
        <x:f>IF(CaseLedger!$A369="","",IFERROR(CaseLedger!$A369,""))</x:f>
      </x:c>
      <x:c r="B369" s="52" t="str">
        <x:f>IF(CaseLedger!$A369="","",IFERROR(CaseLedger!$H369,""))</x:f>
      </x:c>
      <x:c r="C369" s="52" t="str">
        <x:f>IF(CaseLedger!$A369="","",IFERROR(CaseLedger!$I369,""))</x:f>
      </x:c>
      <x:c r="D369" s="52" t="str">
        <x:f>IF(CaseLedger!$A369="","",IFERROR(CaseLedger!$J369,""))</x:f>
      </x:c>
      <x:c r="E369" s="52" t="str">
        <x:f>IF(CaseLedger!$A369="","",IFERROR(CaseLedger!$K369,""))</x:f>
      </x:c>
      <x:c r="F369" s="52" t="str">
        <x:f>IF(CaseLedger!$A369="","",IFERROR(CaseLedger!$O369,""))</x:f>
      </x:c>
      <x:c r="G369" s="52" t="str">
        <x:f>IF(CaseLedger!$A369="","",IFERROR(CaseLedger!$E369,""))</x:f>
      </x:c>
      <x:c r="H369" s="52" t="str">
        <x:f>IF(CaseLedger!$A369="","",IFERROR(CaseLedger!$P369,""))</x:f>
      </x:c>
      <x:c r="I369" s="52" t="str">
        <x:f>IF(CaseLedger!$A369="","",IFERROR(CaseLedger!$Q369,""))</x:f>
      </x:c>
      <x:c r="J369" s="52" t="str">
        <x:f>IF(CaseLedger!$A369="","",IFERROR(CaseLedger!$R369,""))</x:f>
      </x:c>
      <x:c r="K369" s="52" t="str">
        <x:f>IF(CaseLedger!$A369="","",IFERROR(CaseLedger!$S369,""))</x:f>
      </x:c>
      <x:c r="L369" s="52" t="str">
        <x:f>IF(CaseLedger!$A369="","",IFERROR(CaseLedger!$T369,""))</x:f>
      </x:c>
      <x:c r="M369" s="52" t="str">
        <x:f>IF(CaseLedger!$A369="","",IFERROR(CaseLedger!$U369,""))</x:f>
      </x:c>
      <x:c r="N369" s="52" t="str">
        <x:f>IF(CaseLedger!$A369="","",IFERROR(CaseLedger!$V369,""))</x:f>
      </x:c>
      <x:c r="O369" s="52" t="str">
        <x:f>IF(CaseLedger!$A369="","",IFERROR(CaseLedger!$W369,""))</x:f>
      </x:c>
      <x:c r="P369" s="52" t="str">
        <x:f>IF(CaseLedger!$A369="","",IFERROR(CaseLedger!$C369,""))</x:f>
      </x:c>
      <x:c r="Q369" s="52" t="str">
        <x:f>IF(CaseLedger!$A369="","",IFERROR(CaseLedger!$D369,""))</x:f>
      </x:c>
      <x:c r="R369" s="52" t="str">
        <x:f>IF(CaseLedger!$A369="","",IFERROR(CaseLedger!$X369,""))</x:f>
      </x:c>
      <x:c r="S369" s="52" t="str">
        <x:f>IF(CaseLedger!$A369="","",IFERROR(CaseLedger!$Y369,""))</x:f>
      </x:c>
      <x:c r="T369" s="52" t="str">
        <x:f>IF(CaseLedger!$A369="","",IFERROR(CaseLedger!$Z369,""))</x:f>
      </x:c>
      <x:c r="U369" s="52" t="str">
        <x:f>IF(CaseLedger!$A369="","",IFERROR(CaseLedger!$AA369,""))</x:f>
      </x:c>
      <x:c r="V369" s="52" t="str">
        <x:f>IF(CaseLedger!$A369="","",IFERROR(CaseLedger!$AB369,""))</x:f>
      </x:c>
      <x:c r="W369" s="52" t="str">
        <x:f>IF(CaseLedger!$A369="","",IFERROR(CaseLedger!$AC369,""))</x:f>
      </x:c>
      <x:c r="X369" s="52" t="str">
        <x:f>IF(CaseLedger!$A369="","",IFERROR(CaseLedger!$AD369,""))</x:f>
      </x:c>
      <x:c r="Y369" s="52" t="str">
        <x:f>IF(CaseLedger!$A369="","",IFERROR(CaseLedger!$AE369,""))</x:f>
      </x:c>
      <x:c r="Z369" s="52" t="str">
        <x:f>IF(CaseLedger!$A369="","",IFERROR(CaseLedger!$AF369,""))</x:f>
      </x:c>
      <x:c r="AA369" s="52" t="str">
        <x:f>IF(CaseLedger!$A369="","",IFERROR(CaseLedger!$AG369,""))</x:f>
      </x:c>
      <x:c r="AB369" s="52" t="str">
        <x:f>IF(CaseLedger!$A369="","",IFERROR(CaseLedger!$AH369,""))</x:f>
      </x:c>
      <x:c r="AC369"/>
    </x:row>
    <x:row r="370">
      <x:c r="A370" s="52" t="str">
        <x:f>IF(CaseLedger!$A370="","",IFERROR(CaseLedger!$A370,""))</x:f>
      </x:c>
      <x:c r="B370" s="52" t="str">
        <x:f>IF(CaseLedger!$A370="","",IFERROR(CaseLedger!$H370,""))</x:f>
      </x:c>
      <x:c r="C370" s="52" t="str">
        <x:f>IF(CaseLedger!$A370="","",IFERROR(CaseLedger!$I370,""))</x:f>
      </x:c>
      <x:c r="D370" s="52" t="str">
        <x:f>IF(CaseLedger!$A370="","",IFERROR(CaseLedger!$J370,""))</x:f>
      </x:c>
      <x:c r="E370" s="52" t="str">
        <x:f>IF(CaseLedger!$A370="","",IFERROR(CaseLedger!$K370,""))</x:f>
      </x:c>
      <x:c r="F370" s="52" t="str">
        <x:f>IF(CaseLedger!$A370="","",IFERROR(CaseLedger!$O370,""))</x:f>
      </x:c>
      <x:c r="G370" s="52" t="str">
        <x:f>IF(CaseLedger!$A370="","",IFERROR(CaseLedger!$E370,""))</x:f>
      </x:c>
      <x:c r="H370" s="52" t="str">
        <x:f>IF(CaseLedger!$A370="","",IFERROR(CaseLedger!$P370,""))</x:f>
      </x:c>
      <x:c r="I370" s="52" t="str">
        <x:f>IF(CaseLedger!$A370="","",IFERROR(CaseLedger!$Q370,""))</x:f>
      </x:c>
      <x:c r="J370" s="52" t="str">
        <x:f>IF(CaseLedger!$A370="","",IFERROR(CaseLedger!$R370,""))</x:f>
      </x:c>
      <x:c r="K370" s="52" t="str">
        <x:f>IF(CaseLedger!$A370="","",IFERROR(CaseLedger!$S370,""))</x:f>
      </x:c>
      <x:c r="L370" s="52" t="str">
        <x:f>IF(CaseLedger!$A370="","",IFERROR(CaseLedger!$T370,""))</x:f>
      </x:c>
      <x:c r="M370" s="52" t="str">
        <x:f>IF(CaseLedger!$A370="","",IFERROR(CaseLedger!$U370,""))</x:f>
      </x:c>
      <x:c r="N370" s="52" t="str">
        <x:f>IF(CaseLedger!$A370="","",IFERROR(CaseLedger!$V370,""))</x:f>
      </x:c>
      <x:c r="O370" s="52" t="str">
        <x:f>IF(CaseLedger!$A370="","",IFERROR(CaseLedger!$W370,""))</x:f>
      </x:c>
      <x:c r="P370" s="52" t="str">
        <x:f>IF(CaseLedger!$A370="","",IFERROR(CaseLedger!$C370,""))</x:f>
      </x:c>
      <x:c r="Q370" s="52" t="str">
        <x:f>IF(CaseLedger!$A370="","",IFERROR(CaseLedger!$D370,""))</x:f>
      </x:c>
      <x:c r="R370" s="52" t="str">
        <x:f>IF(CaseLedger!$A370="","",IFERROR(CaseLedger!$X370,""))</x:f>
      </x:c>
      <x:c r="S370" s="52" t="str">
        <x:f>IF(CaseLedger!$A370="","",IFERROR(CaseLedger!$Y370,""))</x:f>
      </x:c>
      <x:c r="T370" s="52" t="str">
        <x:f>IF(CaseLedger!$A370="","",IFERROR(CaseLedger!$Z370,""))</x:f>
      </x:c>
      <x:c r="U370" s="52" t="str">
        <x:f>IF(CaseLedger!$A370="","",IFERROR(CaseLedger!$AA370,""))</x:f>
      </x:c>
      <x:c r="V370" s="52" t="str">
        <x:f>IF(CaseLedger!$A370="","",IFERROR(CaseLedger!$AB370,""))</x:f>
      </x:c>
      <x:c r="W370" s="52" t="str">
        <x:f>IF(CaseLedger!$A370="","",IFERROR(CaseLedger!$AC370,""))</x:f>
      </x:c>
      <x:c r="X370" s="52" t="str">
        <x:f>IF(CaseLedger!$A370="","",IFERROR(CaseLedger!$AD370,""))</x:f>
      </x:c>
      <x:c r="Y370" s="52" t="str">
        <x:f>IF(CaseLedger!$A370="","",IFERROR(CaseLedger!$AE370,""))</x:f>
      </x:c>
      <x:c r="Z370" s="52" t="str">
        <x:f>IF(CaseLedger!$A370="","",IFERROR(CaseLedger!$AF370,""))</x:f>
      </x:c>
      <x:c r="AA370" s="52" t="str">
        <x:f>IF(CaseLedger!$A370="","",IFERROR(CaseLedger!$AG370,""))</x:f>
      </x:c>
      <x:c r="AB370" s="52" t="str">
        <x:f>IF(CaseLedger!$A370="","",IFERROR(CaseLedger!$AH370,""))</x:f>
      </x:c>
      <x:c r="AC370"/>
    </x:row>
    <x:row r="371">
      <x:c r="A371" s="52" t="str">
        <x:f>IF(CaseLedger!$A371="","",IFERROR(CaseLedger!$A371,""))</x:f>
      </x:c>
      <x:c r="B371" s="52" t="str">
        <x:f>IF(CaseLedger!$A371="","",IFERROR(CaseLedger!$H371,""))</x:f>
      </x:c>
      <x:c r="C371" s="52" t="str">
        <x:f>IF(CaseLedger!$A371="","",IFERROR(CaseLedger!$I371,""))</x:f>
      </x:c>
      <x:c r="D371" s="52" t="str">
        <x:f>IF(CaseLedger!$A371="","",IFERROR(CaseLedger!$J371,""))</x:f>
      </x:c>
      <x:c r="E371" s="52" t="str">
        <x:f>IF(CaseLedger!$A371="","",IFERROR(CaseLedger!$K371,""))</x:f>
      </x:c>
      <x:c r="F371" s="52" t="str">
        <x:f>IF(CaseLedger!$A371="","",IFERROR(CaseLedger!$O371,""))</x:f>
      </x:c>
      <x:c r="G371" s="52" t="str">
        <x:f>IF(CaseLedger!$A371="","",IFERROR(CaseLedger!$E371,""))</x:f>
      </x:c>
      <x:c r="H371" s="52" t="str">
        <x:f>IF(CaseLedger!$A371="","",IFERROR(CaseLedger!$P371,""))</x:f>
      </x:c>
      <x:c r="I371" s="52" t="str">
        <x:f>IF(CaseLedger!$A371="","",IFERROR(CaseLedger!$Q371,""))</x:f>
      </x:c>
      <x:c r="J371" s="52" t="str">
        <x:f>IF(CaseLedger!$A371="","",IFERROR(CaseLedger!$R371,""))</x:f>
      </x:c>
      <x:c r="K371" s="52" t="str">
        <x:f>IF(CaseLedger!$A371="","",IFERROR(CaseLedger!$S371,""))</x:f>
      </x:c>
      <x:c r="L371" s="52" t="str">
        <x:f>IF(CaseLedger!$A371="","",IFERROR(CaseLedger!$T371,""))</x:f>
      </x:c>
      <x:c r="M371" s="52" t="str">
        <x:f>IF(CaseLedger!$A371="","",IFERROR(CaseLedger!$U371,""))</x:f>
      </x:c>
      <x:c r="N371" s="52" t="str">
        <x:f>IF(CaseLedger!$A371="","",IFERROR(CaseLedger!$V371,""))</x:f>
      </x:c>
      <x:c r="O371" s="52" t="str">
        <x:f>IF(CaseLedger!$A371="","",IFERROR(CaseLedger!$W371,""))</x:f>
      </x:c>
      <x:c r="P371" s="52" t="str">
        <x:f>IF(CaseLedger!$A371="","",IFERROR(CaseLedger!$C371,""))</x:f>
      </x:c>
      <x:c r="Q371" s="52" t="str">
        <x:f>IF(CaseLedger!$A371="","",IFERROR(CaseLedger!$D371,""))</x:f>
      </x:c>
      <x:c r="R371" s="52" t="str">
        <x:f>IF(CaseLedger!$A371="","",IFERROR(CaseLedger!$X371,""))</x:f>
      </x:c>
      <x:c r="S371" s="52" t="str">
        <x:f>IF(CaseLedger!$A371="","",IFERROR(CaseLedger!$Y371,""))</x:f>
      </x:c>
      <x:c r="T371" s="52" t="str">
        <x:f>IF(CaseLedger!$A371="","",IFERROR(CaseLedger!$Z371,""))</x:f>
      </x:c>
      <x:c r="U371" s="52" t="str">
        <x:f>IF(CaseLedger!$A371="","",IFERROR(CaseLedger!$AA371,""))</x:f>
      </x:c>
      <x:c r="V371" s="52" t="str">
        <x:f>IF(CaseLedger!$A371="","",IFERROR(CaseLedger!$AB371,""))</x:f>
      </x:c>
      <x:c r="W371" s="52" t="str">
        <x:f>IF(CaseLedger!$A371="","",IFERROR(CaseLedger!$AC371,""))</x:f>
      </x:c>
      <x:c r="X371" s="52" t="str">
        <x:f>IF(CaseLedger!$A371="","",IFERROR(CaseLedger!$AD371,""))</x:f>
      </x:c>
      <x:c r="Y371" s="52" t="str">
        <x:f>IF(CaseLedger!$A371="","",IFERROR(CaseLedger!$AE371,""))</x:f>
      </x:c>
      <x:c r="Z371" s="52" t="str">
        <x:f>IF(CaseLedger!$A371="","",IFERROR(CaseLedger!$AF371,""))</x:f>
      </x:c>
      <x:c r="AA371" s="52" t="str">
        <x:f>IF(CaseLedger!$A371="","",IFERROR(CaseLedger!$AG371,""))</x:f>
      </x:c>
      <x:c r="AB371" s="52" t="str">
        <x:f>IF(CaseLedger!$A371="","",IFERROR(CaseLedger!$AH371,""))</x:f>
      </x:c>
      <x:c r="AC371"/>
    </x:row>
    <x:row r="372">
      <x:c r="A372" s="52" t="str">
        <x:f>IF(CaseLedger!$A372="","",IFERROR(CaseLedger!$A372,""))</x:f>
      </x:c>
      <x:c r="B372" s="52" t="str">
        <x:f>IF(CaseLedger!$A372="","",IFERROR(CaseLedger!$H372,""))</x:f>
      </x:c>
      <x:c r="C372" s="52" t="str">
        <x:f>IF(CaseLedger!$A372="","",IFERROR(CaseLedger!$I372,""))</x:f>
      </x:c>
      <x:c r="D372" s="52" t="str">
        <x:f>IF(CaseLedger!$A372="","",IFERROR(CaseLedger!$J372,""))</x:f>
      </x:c>
      <x:c r="E372" s="52" t="str">
        <x:f>IF(CaseLedger!$A372="","",IFERROR(CaseLedger!$K372,""))</x:f>
      </x:c>
      <x:c r="F372" s="52" t="str">
        <x:f>IF(CaseLedger!$A372="","",IFERROR(CaseLedger!$O372,""))</x:f>
      </x:c>
      <x:c r="G372" s="52" t="str">
        <x:f>IF(CaseLedger!$A372="","",IFERROR(CaseLedger!$E372,""))</x:f>
      </x:c>
      <x:c r="H372" s="52" t="str">
        <x:f>IF(CaseLedger!$A372="","",IFERROR(CaseLedger!$P372,""))</x:f>
      </x:c>
      <x:c r="I372" s="52" t="str">
        <x:f>IF(CaseLedger!$A372="","",IFERROR(CaseLedger!$Q372,""))</x:f>
      </x:c>
      <x:c r="J372" s="52" t="str">
        <x:f>IF(CaseLedger!$A372="","",IFERROR(CaseLedger!$R372,""))</x:f>
      </x:c>
      <x:c r="K372" s="52" t="str">
        <x:f>IF(CaseLedger!$A372="","",IFERROR(CaseLedger!$S372,""))</x:f>
      </x:c>
      <x:c r="L372" s="52" t="str">
        <x:f>IF(CaseLedger!$A372="","",IFERROR(CaseLedger!$T372,""))</x:f>
      </x:c>
      <x:c r="M372" s="52" t="str">
        <x:f>IF(CaseLedger!$A372="","",IFERROR(CaseLedger!$U372,""))</x:f>
      </x:c>
      <x:c r="N372" s="52" t="str">
        <x:f>IF(CaseLedger!$A372="","",IFERROR(CaseLedger!$V372,""))</x:f>
      </x:c>
      <x:c r="O372" s="52" t="str">
        <x:f>IF(CaseLedger!$A372="","",IFERROR(CaseLedger!$W372,""))</x:f>
      </x:c>
      <x:c r="P372" s="52" t="str">
        <x:f>IF(CaseLedger!$A372="","",IFERROR(CaseLedger!$C372,""))</x:f>
      </x:c>
      <x:c r="Q372" s="52" t="str">
        <x:f>IF(CaseLedger!$A372="","",IFERROR(CaseLedger!$D372,""))</x:f>
      </x:c>
      <x:c r="R372" s="52" t="str">
        <x:f>IF(CaseLedger!$A372="","",IFERROR(CaseLedger!$X372,""))</x:f>
      </x:c>
      <x:c r="S372" s="52" t="str">
        <x:f>IF(CaseLedger!$A372="","",IFERROR(CaseLedger!$Y372,""))</x:f>
      </x:c>
      <x:c r="T372" s="52" t="str">
        <x:f>IF(CaseLedger!$A372="","",IFERROR(CaseLedger!$Z372,""))</x:f>
      </x:c>
      <x:c r="U372" s="52" t="str">
        <x:f>IF(CaseLedger!$A372="","",IFERROR(CaseLedger!$AA372,""))</x:f>
      </x:c>
      <x:c r="V372" s="52" t="str">
        <x:f>IF(CaseLedger!$A372="","",IFERROR(CaseLedger!$AB372,""))</x:f>
      </x:c>
      <x:c r="W372" s="52" t="str">
        <x:f>IF(CaseLedger!$A372="","",IFERROR(CaseLedger!$AC372,""))</x:f>
      </x:c>
      <x:c r="X372" s="52" t="str">
        <x:f>IF(CaseLedger!$A372="","",IFERROR(CaseLedger!$AD372,""))</x:f>
      </x:c>
      <x:c r="Y372" s="52" t="str">
        <x:f>IF(CaseLedger!$A372="","",IFERROR(CaseLedger!$AE372,""))</x:f>
      </x:c>
      <x:c r="Z372" s="52" t="str">
        <x:f>IF(CaseLedger!$A372="","",IFERROR(CaseLedger!$AF372,""))</x:f>
      </x:c>
      <x:c r="AA372" s="52" t="str">
        <x:f>IF(CaseLedger!$A372="","",IFERROR(CaseLedger!$AG372,""))</x:f>
      </x:c>
      <x:c r="AB372" s="52" t="str">
        <x:f>IF(CaseLedger!$A372="","",IFERROR(CaseLedger!$AH372,""))</x:f>
      </x:c>
      <x:c r="AC372"/>
    </x:row>
    <x:row r="373">
      <x:c r="A373" s="52" t="str">
        <x:f>IF(CaseLedger!$A373="","",IFERROR(CaseLedger!$A373,""))</x:f>
      </x:c>
      <x:c r="B373" s="52" t="str">
        <x:f>IF(CaseLedger!$A373="","",IFERROR(CaseLedger!$H373,""))</x:f>
      </x:c>
      <x:c r="C373" s="52" t="str">
        <x:f>IF(CaseLedger!$A373="","",IFERROR(CaseLedger!$I373,""))</x:f>
      </x:c>
      <x:c r="D373" s="52" t="str">
        <x:f>IF(CaseLedger!$A373="","",IFERROR(CaseLedger!$J373,""))</x:f>
      </x:c>
      <x:c r="E373" s="52" t="str">
        <x:f>IF(CaseLedger!$A373="","",IFERROR(CaseLedger!$K373,""))</x:f>
      </x:c>
      <x:c r="F373" s="52" t="str">
        <x:f>IF(CaseLedger!$A373="","",IFERROR(CaseLedger!$O373,""))</x:f>
      </x:c>
      <x:c r="G373" s="52" t="str">
        <x:f>IF(CaseLedger!$A373="","",IFERROR(CaseLedger!$E373,""))</x:f>
      </x:c>
      <x:c r="H373" s="52" t="str">
        <x:f>IF(CaseLedger!$A373="","",IFERROR(CaseLedger!$P373,""))</x:f>
      </x:c>
      <x:c r="I373" s="52" t="str">
        <x:f>IF(CaseLedger!$A373="","",IFERROR(CaseLedger!$Q373,""))</x:f>
      </x:c>
      <x:c r="J373" s="52" t="str">
        <x:f>IF(CaseLedger!$A373="","",IFERROR(CaseLedger!$R373,""))</x:f>
      </x:c>
      <x:c r="K373" s="52" t="str">
        <x:f>IF(CaseLedger!$A373="","",IFERROR(CaseLedger!$S373,""))</x:f>
      </x:c>
      <x:c r="L373" s="52" t="str">
        <x:f>IF(CaseLedger!$A373="","",IFERROR(CaseLedger!$T373,""))</x:f>
      </x:c>
      <x:c r="M373" s="52" t="str">
        <x:f>IF(CaseLedger!$A373="","",IFERROR(CaseLedger!$U373,""))</x:f>
      </x:c>
      <x:c r="N373" s="52" t="str">
        <x:f>IF(CaseLedger!$A373="","",IFERROR(CaseLedger!$V373,""))</x:f>
      </x:c>
      <x:c r="O373" s="52" t="str">
        <x:f>IF(CaseLedger!$A373="","",IFERROR(CaseLedger!$W373,""))</x:f>
      </x:c>
      <x:c r="P373" s="52" t="str">
        <x:f>IF(CaseLedger!$A373="","",IFERROR(CaseLedger!$C373,""))</x:f>
      </x:c>
      <x:c r="Q373" s="52" t="str">
        <x:f>IF(CaseLedger!$A373="","",IFERROR(CaseLedger!$D373,""))</x:f>
      </x:c>
      <x:c r="R373" s="52" t="str">
        <x:f>IF(CaseLedger!$A373="","",IFERROR(CaseLedger!$X373,""))</x:f>
      </x:c>
      <x:c r="S373" s="52" t="str">
        <x:f>IF(CaseLedger!$A373="","",IFERROR(CaseLedger!$Y373,""))</x:f>
      </x:c>
      <x:c r="T373" s="52" t="str">
        <x:f>IF(CaseLedger!$A373="","",IFERROR(CaseLedger!$Z373,""))</x:f>
      </x:c>
      <x:c r="U373" s="52" t="str">
        <x:f>IF(CaseLedger!$A373="","",IFERROR(CaseLedger!$AA373,""))</x:f>
      </x:c>
      <x:c r="V373" s="52" t="str">
        <x:f>IF(CaseLedger!$A373="","",IFERROR(CaseLedger!$AB373,""))</x:f>
      </x:c>
      <x:c r="W373" s="52" t="str">
        <x:f>IF(CaseLedger!$A373="","",IFERROR(CaseLedger!$AC373,""))</x:f>
      </x:c>
      <x:c r="X373" s="52" t="str">
        <x:f>IF(CaseLedger!$A373="","",IFERROR(CaseLedger!$AD373,""))</x:f>
      </x:c>
      <x:c r="Y373" s="52" t="str">
        <x:f>IF(CaseLedger!$A373="","",IFERROR(CaseLedger!$AE373,""))</x:f>
      </x:c>
      <x:c r="Z373" s="52" t="str">
        <x:f>IF(CaseLedger!$A373="","",IFERROR(CaseLedger!$AF373,""))</x:f>
      </x:c>
      <x:c r="AA373" s="52" t="str">
        <x:f>IF(CaseLedger!$A373="","",IFERROR(CaseLedger!$AG373,""))</x:f>
      </x:c>
      <x:c r="AB373" s="52" t="str">
        <x:f>IF(CaseLedger!$A373="","",IFERROR(CaseLedger!$AH373,""))</x:f>
      </x:c>
      <x:c r="AC373"/>
    </x:row>
    <x:row r="374">
      <x:c r="A374" s="52" t="str">
        <x:f>IF(CaseLedger!$A374="","",IFERROR(CaseLedger!$A374,""))</x:f>
      </x:c>
      <x:c r="B374" s="52" t="str">
        <x:f>IF(CaseLedger!$A374="","",IFERROR(CaseLedger!$H374,""))</x:f>
      </x:c>
      <x:c r="C374" s="52" t="str">
        <x:f>IF(CaseLedger!$A374="","",IFERROR(CaseLedger!$I374,""))</x:f>
      </x:c>
      <x:c r="D374" s="52" t="str">
        <x:f>IF(CaseLedger!$A374="","",IFERROR(CaseLedger!$J374,""))</x:f>
      </x:c>
      <x:c r="E374" s="52" t="str">
        <x:f>IF(CaseLedger!$A374="","",IFERROR(CaseLedger!$K374,""))</x:f>
      </x:c>
      <x:c r="F374" s="52" t="str">
        <x:f>IF(CaseLedger!$A374="","",IFERROR(CaseLedger!$O374,""))</x:f>
      </x:c>
      <x:c r="G374" s="52" t="str">
        <x:f>IF(CaseLedger!$A374="","",IFERROR(CaseLedger!$E374,""))</x:f>
      </x:c>
      <x:c r="H374" s="52" t="str">
        <x:f>IF(CaseLedger!$A374="","",IFERROR(CaseLedger!$P374,""))</x:f>
      </x:c>
      <x:c r="I374" s="52" t="str">
        <x:f>IF(CaseLedger!$A374="","",IFERROR(CaseLedger!$Q374,""))</x:f>
      </x:c>
      <x:c r="J374" s="52" t="str">
        <x:f>IF(CaseLedger!$A374="","",IFERROR(CaseLedger!$R374,""))</x:f>
      </x:c>
      <x:c r="K374" s="52" t="str">
        <x:f>IF(CaseLedger!$A374="","",IFERROR(CaseLedger!$S374,""))</x:f>
      </x:c>
      <x:c r="L374" s="52" t="str">
        <x:f>IF(CaseLedger!$A374="","",IFERROR(CaseLedger!$T374,""))</x:f>
      </x:c>
      <x:c r="M374" s="52" t="str">
        <x:f>IF(CaseLedger!$A374="","",IFERROR(CaseLedger!$U374,""))</x:f>
      </x:c>
      <x:c r="N374" s="52" t="str">
        <x:f>IF(CaseLedger!$A374="","",IFERROR(CaseLedger!$V374,""))</x:f>
      </x:c>
      <x:c r="O374" s="52" t="str">
        <x:f>IF(CaseLedger!$A374="","",IFERROR(CaseLedger!$W374,""))</x:f>
      </x:c>
      <x:c r="P374" s="52" t="str">
        <x:f>IF(CaseLedger!$A374="","",IFERROR(CaseLedger!$C374,""))</x:f>
      </x:c>
      <x:c r="Q374" s="52" t="str">
        <x:f>IF(CaseLedger!$A374="","",IFERROR(CaseLedger!$D374,""))</x:f>
      </x:c>
      <x:c r="R374" s="52" t="str">
        <x:f>IF(CaseLedger!$A374="","",IFERROR(CaseLedger!$X374,""))</x:f>
      </x:c>
      <x:c r="S374" s="52" t="str">
        <x:f>IF(CaseLedger!$A374="","",IFERROR(CaseLedger!$Y374,""))</x:f>
      </x:c>
      <x:c r="T374" s="52" t="str">
        <x:f>IF(CaseLedger!$A374="","",IFERROR(CaseLedger!$Z374,""))</x:f>
      </x:c>
      <x:c r="U374" s="52" t="str">
        <x:f>IF(CaseLedger!$A374="","",IFERROR(CaseLedger!$AA374,""))</x:f>
      </x:c>
      <x:c r="V374" s="52" t="str">
        <x:f>IF(CaseLedger!$A374="","",IFERROR(CaseLedger!$AB374,""))</x:f>
      </x:c>
      <x:c r="W374" s="52" t="str">
        <x:f>IF(CaseLedger!$A374="","",IFERROR(CaseLedger!$AC374,""))</x:f>
      </x:c>
      <x:c r="X374" s="52" t="str">
        <x:f>IF(CaseLedger!$A374="","",IFERROR(CaseLedger!$AD374,""))</x:f>
      </x:c>
      <x:c r="Y374" s="52" t="str">
        <x:f>IF(CaseLedger!$A374="","",IFERROR(CaseLedger!$AE374,""))</x:f>
      </x:c>
      <x:c r="Z374" s="52" t="str">
        <x:f>IF(CaseLedger!$A374="","",IFERROR(CaseLedger!$AF374,""))</x:f>
      </x:c>
      <x:c r="AA374" s="52" t="str">
        <x:f>IF(CaseLedger!$A374="","",IFERROR(CaseLedger!$AG374,""))</x:f>
      </x:c>
      <x:c r="AB374" s="52" t="str">
        <x:f>IF(CaseLedger!$A374="","",IFERROR(CaseLedger!$AH374,""))</x:f>
      </x:c>
      <x:c r="AC374"/>
    </x:row>
    <x:row r="375">
      <x:c r="A375" s="52" t="str">
        <x:f>IF(CaseLedger!$A375="","",IFERROR(CaseLedger!$A375,""))</x:f>
      </x:c>
      <x:c r="B375" s="52" t="str">
        <x:f>IF(CaseLedger!$A375="","",IFERROR(CaseLedger!$H375,""))</x:f>
      </x:c>
      <x:c r="C375" s="52" t="str">
        <x:f>IF(CaseLedger!$A375="","",IFERROR(CaseLedger!$I375,""))</x:f>
      </x:c>
      <x:c r="D375" s="52" t="str">
        <x:f>IF(CaseLedger!$A375="","",IFERROR(CaseLedger!$J375,""))</x:f>
      </x:c>
      <x:c r="E375" s="52" t="str">
        <x:f>IF(CaseLedger!$A375="","",IFERROR(CaseLedger!$K375,""))</x:f>
      </x:c>
      <x:c r="F375" s="52" t="str">
        <x:f>IF(CaseLedger!$A375="","",IFERROR(CaseLedger!$O375,""))</x:f>
      </x:c>
      <x:c r="G375" s="52" t="str">
        <x:f>IF(CaseLedger!$A375="","",IFERROR(CaseLedger!$E375,""))</x:f>
      </x:c>
      <x:c r="H375" s="52" t="str">
        <x:f>IF(CaseLedger!$A375="","",IFERROR(CaseLedger!$P375,""))</x:f>
      </x:c>
      <x:c r="I375" s="52" t="str">
        <x:f>IF(CaseLedger!$A375="","",IFERROR(CaseLedger!$Q375,""))</x:f>
      </x:c>
      <x:c r="J375" s="52" t="str">
        <x:f>IF(CaseLedger!$A375="","",IFERROR(CaseLedger!$R375,""))</x:f>
      </x:c>
      <x:c r="K375" s="52" t="str">
        <x:f>IF(CaseLedger!$A375="","",IFERROR(CaseLedger!$S375,""))</x:f>
      </x:c>
      <x:c r="L375" s="52" t="str">
        <x:f>IF(CaseLedger!$A375="","",IFERROR(CaseLedger!$T375,""))</x:f>
      </x:c>
      <x:c r="M375" s="52" t="str">
        <x:f>IF(CaseLedger!$A375="","",IFERROR(CaseLedger!$U375,""))</x:f>
      </x:c>
      <x:c r="N375" s="52" t="str">
        <x:f>IF(CaseLedger!$A375="","",IFERROR(CaseLedger!$V375,""))</x:f>
      </x:c>
      <x:c r="O375" s="52" t="str">
        <x:f>IF(CaseLedger!$A375="","",IFERROR(CaseLedger!$W375,""))</x:f>
      </x:c>
      <x:c r="P375" s="52" t="str">
        <x:f>IF(CaseLedger!$A375="","",IFERROR(CaseLedger!$C375,""))</x:f>
      </x:c>
      <x:c r="Q375" s="52" t="str">
        <x:f>IF(CaseLedger!$A375="","",IFERROR(CaseLedger!$D375,""))</x:f>
      </x:c>
      <x:c r="R375" s="52" t="str">
        <x:f>IF(CaseLedger!$A375="","",IFERROR(CaseLedger!$X375,""))</x:f>
      </x:c>
      <x:c r="S375" s="52" t="str">
        <x:f>IF(CaseLedger!$A375="","",IFERROR(CaseLedger!$Y375,""))</x:f>
      </x:c>
      <x:c r="T375" s="52" t="str">
        <x:f>IF(CaseLedger!$A375="","",IFERROR(CaseLedger!$Z375,""))</x:f>
      </x:c>
      <x:c r="U375" s="52" t="str">
        <x:f>IF(CaseLedger!$A375="","",IFERROR(CaseLedger!$AA375,""))</x:f>
      </x:c>
      <x:c r="V375" s="52" t="str">
        <x:f>IF(CaseLedger!$A375="","",IFERROR(CaseLedger!$AB375,""))</x:f>
      </x:c>
      <x:c r="W375" s="52" t="str">
        <x:f>IF(CaseLedger!$A375="","",IFERROR(CaseLedger!$AC375,""))</x:f>
      </x:c>
      <x:c r="X375" s="52" t="str">
        <x:f>IF(CaseLedger!$A375="","",IFERROR(CaseLedger!$AD375,""))</x:f>
      </x:c>
      <x:c r="Y375" s="52" t="str">
        <x:f>IF(CaseLedger!$A375="","",IFERROR(CaseLedger!$AE375,""))</x:f>
      </x:c>
      <x:c r="Z375" s="52" t="str">
        <x:f>IF(CaseLedger!$A375="","",IFERROR(CaseLedger!$AF375,""))</x:f>
      </x:c>
      <x:c r="AA375" s="52" t="str">
        <x:f>IF(CaseLedger!$A375="","",IFERROR(CaseLedger!$AG375,""))</x:f>
      </x:c>
      <x:c r="AB375" s="52" t="str">
        <x:f>IF(CaseLedger!$A375="","",IFERROR(CaseLedger!$AH375,""))</x:f>
      </x:c>
      <x:c r="AC375"/>
    </x:row>
    <x:row r="376">
      <x:c r="A376" s="52" t="str">
        <x:f>IF(CaseLedger!$A376="","",IFERROR(CaseLedger!$A376,""))</x:f>
      </x:c>
      <x:c r="B376" s="52" t="str">
        <x:f>IF(CaseLedger!$A376="","",IFERROR(CaseLedger!$H376,""))</x:f>
      </x:c>
      <x:c r="C376" s="52" t="str">
        <x:f>IF(CaseLedger!$A376="","",IFERROR(CaseLedger!$I376,""))</x:f>
      </x:c>
      <x:c r="D376" s="52" t="str">
        <x:f>IF(CaseLedger!$A376="","",IFERROR(CaseLedger!$J376,""))</x:f>
      </x:c>
      <x:c r="E376" s="52" t="str">
        <x:f>IF(CaseLedger!$A376="","",IFERROR(CaseLedger!$K376,""))</x:f>
      </x:c>
      <x:c r="F376" s="52" t="str">
        <x:f>IF(CaseLedger!$A376="","",IFERROR(CaseLedger!$O376,""))</x:f>
      </x:c>
      <x:c r="G376" s="52" t="str">
        <x:f>IF(CaseLedger!$A376="","",IFERROR(CaseLedger!$E376,""))</x:f>
      </x:c>
      <x:c r="H376" s="52" t="str">
        <x:f>IF(CaseLedger!$A376="","",IFERROR(CaseLedger!$P376,""))</x:f>
      </x:c>
      <x:c r="I376" s="52" t="str">
        <x:f>IF(CaseLedger!$A376="","",IFERROR(CaseLedger!$Q376,""))</x:f>
      </x:c>
      <x:c r="J376" s="52" t="str">
        <x:f>IF(CaseLedger!$A376="","",IFERROR(CaseLedger!$R376,""))</x:f>
      </x:c>
      <x:c r="K376" s="52" t="str">
        <x:f>IF(CaseLedger!$A376="","",IFERROR(CaseLedger!$S376,""))</x:f>
      </x:c>
      <x:c r="L376" s="52" t="str">
        <x:f>IF(CaseLedger!$A376="","",IFERROR(CaseLedger!$T376,""))</x:f>
      </x:c>
      <x:c r="M376" s="52" t="str">
        <x:f>IF(CaseLedger!$A376="","",IFERROR(CaseLedger!$U376,""))</x:f>
      </x:c>
      <x:c r="N376" s="52" t="str">
        <x:f>IF(CaseLedger!$A376="","",IFERROR(CaseLedger!$V376,""))</x:f>
      </x:c>
      <x:c r="O376" s="52" t="str">
        <x:f>IF(CaseLedger!$A376="","",IFERROR(CaseLedger!$W376,""))</x:f>
      </x:c>
      <x:c r="P376" s="52" t="str">
        <x:f>IF(CaseLedger!$A376="","",IFERROR(CaseLedger!$C376,""))</x:f>
      </x:c>
      <x:c r="Q376" s="52" t="str">
        <x:f>IF(CaseLedger!$A376="","",IFERROR(CaseLedger!$D376,""))</x:f>
      </x:c>
      <x:c r="R376" s="52" t="str">
        <x:f>IF(CaseLedger!$A376="","",IFERROR(CaseLedger!$X376,""))</x:f>
      </x:c>
      <x:c r="S376" s="52" t="str">
        <x:f>IF(CaseLedger!$A376="","",IFERROR(CaseLedger!$Y376,""))</x:f>
      </x:c>
      <x:c r="T376" s="52" t="str">
        <x:f>IF(CaseLedger!$A376="","",IFERROR(CaseLedger!$Z376,""))</x:f>
      </x:c>
      <x:c r="U376" s="52" t="str">
        <x:f>IF(CaseLedger!$A376="","",IFERROR(CaseLedger!$AA376,""))</x:f>
      </x:c>
      <x:c r="V376" s="52" t="str">
        <x:f>IF(CaseLedger!$A376="","",IFERROR(CaseLedger!$AB376,""))</x:f>
      </x:c>
      <x:c r="W376" s="52" t="str">
        <x:f>IF(CaseLedger!$A376="","",IFERROR(CaseLedger!$AC376,""))</x:f>
      </x:c>
      <x:c r="X376" s="52" t="str">
        <x:f>IF(CaseLedger!$A376="","",IFERROR(CaseLedger!$AD376,""))</x:f>
      </x:c>
      <x:c r="Y376" s="52" t="str">
        <x:f>IF(CaseLedger!$A376="","",IFERROR(CaseLedger!$AE376,""))</x:f>
      </x:c>
      <x:c r="Z376" s="52" t="str">
        <x:f>IF(CaseLedger!$A376="","",IFERROR(CaseLedger!$AF376,""))</x:f>
      </x:c>
      <x:c r="AA376" s="52" t="str">
        <x:f>IF(CaseLedger!$A376="","",IFERROR(CaseLedger!$AG376,""))</x:f>
      </x:c>
      <x:c r="AB376" s="52" t="str">
        <x:f>IF(CaseLedger!$A376="","",IFERROR(CaseLedger!$AH376,""))</x:f>
      </x:c>
      <x:c r="AC376"/>
    </x:row>
    <x:row r="377">
      <x:c r="A377" s="52" t="str">
        <x:f>IF(CaseLedger!$A377="","",IFERROR(CaseLedger!$A377,""))</x:f>
      </x:c>
      <x:c r="B377" s="52" t="str">
        <x:f>IF(CaseLedger!$A377="","",IFERROR(CaseLedger!$H377,""))</x:f>
      </x:c>
      <x:c r="C377" s="52" t="str">
        <x:f>IF(CaseLedger!$A377="","",IFERROR(CaseLedger!$I377,""))</x:f>
      </x:c>
      <x:c r="D377" s="52" t="str">
        <x:f>IF(CaseLedger!$A377="","",IFERROR(CaseLedger!$J377,""))</x:f>
      </x:c>
      <x:c r="E377" s="52" t="str">
        <x:f>IF(CaseLedger!$A377="","",IFERROR(CaseLedger!$K377,""))</x:f>
      </x:c>
      <x:c r="F377" s="52" t="str">
        <x:f>IF(CaseLedger!$A377="","",IFERROR(CaseLedger!$O377,""))</x:f>
      </x:c>
      <x:c r="G377" s="52" t="str">
        <x:f>IF(CaseLedger!$A377="","",IFERROR(CaseLedger!$E377,""))</x:f>
      </x:c>
      <x:c r="H377" s="52" t="str">
        <x:f>IF(CaseLedger!$A377="","",IFERROR(CaseLedger!$P377,""))</x:f>
      </x:c>
      <x:c r="I377" s="52" t="str">
        <x:f>IF(CaseLedger!$A377="","",IFERROR(CaseLedger!$Q377,""))</x:f>
      </x:c>
      <x:c r="J377" s="52" t="str">
        <x:f>IF(CaseLedger!$A377="","",IFERROR(CaseLedger!$R377,""))</x:f>
      </x:c>
      <x:c r="K377" s="52" t="str">
        <x:f>IF(CaseLedger!$A377="","",IFERROR(CaseLedger!$S377,""))</x:f>
      </x:c>
      <x:c r="L377" s="52" t="str">
        <x:f>IF(CaseLedger!$A377="","",IFERROR(CaseLedger!$T377,""))</x:f>
      </x:c>
      <x:c r="M377" s="52" t="str">
        <x:f>IF(CaseLedger!$A377="","",IFERROR(CaseLedger!$U377,""))</x:f>
      </x:c>
      <x:c r="N377" s="52" t="str">
        <x:f>IF(CaseLedger!$A377="","",IFERROR(CaseLedger!$V377,""))</x:f>
      </x:c>
      <x:c r="O377" s="52" t="str">
        <x:f>IF(CaseLedger!$A377="","",IFERROR(CaseLedger!$W377,""))</x:f>
      </x:c>
      <x:c r="P377" s="52" t="str">
        <x:f>IF(CaseLedger!$A377="","",IFERROR(CaseLedger!$C377,""))</x:f>
      </x:c>
      <x:c r="Q377" s="52" t="str">
        <x:f>IF(CaseLedger!$A377="","",IFERROR(CaseLedger!$D377,""))</x:f>
      </x:c>
      <x:c r="R377" s="52" t="str">
        <x:f>IF(CaseLedger!$A377="","",IFERROR(CaseLedger!$X377,""))</x:f>
      </x:c>
      <x:c r="S377" s="52" t="str">
        <x:f>IF(CaseLedger!$A377="","",IFERROR(CaseLedger!$Y377,""))</x:f>
      </x:c>
      <x:c r="T377" s="52" t="str">
        <x:f>IF(CaseLedger!$A377="","",IFERROR(CaseLedger!$Z377,""))</x:f>
      </x:c>
      <x:c r="U377" s="52" t="str">
        <x:f>IF(CaseLedger!$A377="","",IFERROR(CaseLedger!$AA377,""))</x:f>
      </x:c>
      <x:c r="V377" s="52" t="str">
        <x:f>IF(CaseLedger!$A377="","",IFERROR(CaseLedger!$AB377,""))</x:f>
      </x:c>
      <x:c r="W377" s="52" t="str">
        <x:f>IF(CaseLedger!$A377="","",IFERROR(CaseLedger!$AC377,""))</x:f>
      </x:c>
      <x:c r="X377" s="52" t="str">
        <x:f>IF(CaseLedger!$A377="","",IFERROR(CaseLedger!$AD377,""))</x:f>
      </x:c>
      <x:c r="Y377" s="52" t="str">
        <x:f>IF(CaseLedger!$A377="","",IFERROR(CaseLedger!$AE377,""))</x:f>
      </x:c>
      <x:c r="Z377" s="52" t="str">
        <x:f>IF(CaseLedger!$A377="","",IFERROR(CaseLedger!$AF377,""))</x:f>
      </x:c>
      <x:c r="AA377" s="52" t="str">
        <x:f>IF(CaseLedger!$A377="","",IFERROR(CaseLedger!$AG377,""))</x:f>
      </x:c>
      <x:c r="AB377" s="52" t="str">
        <x:f>IF(CaseLedger!$A377="","",IFERROR(CaseLedger!$AH377,""))</x:f>
      </x:c>
      <x:c r="AC377"/>
    </x:row>
    <x:row r="378">
      <x:c r="A378" s="52" t="str">
        <x:f>IF(CaseLedger!$A378="","",IFERROR(CaseLedger!$A378,""))</x:f>
      </x:c>
      <x:c r="B378" s="52" t="str">
        <x:f>IF(CaseLedger!$A378="","",IFERROR(CaseLedger!$H378,""))</x:f>
      </x:c>
      <x:c r="C378" s="52" t="str">
        <x:f>IF(CaseLedger!$A378="","",IFERROR(CaseLedger!$I378,""))</x:f>
      </x:c>
      <x:c r="D378" s="52" t="str">
        <x:f>IF(CaseLedger!$A378="","",IFERROR(CaseLedger!$J378,""))</x:f>
      </x:c>
      <x:c r="E378" s="52" t="str">
        <x:f>IF(CaseLedger!$A378="","",IFERROR(CaseLedger!$K378,""))</x:f>
      </x:c>
      <x:c r="F378" s="52" t="str">
        <x:f>IF(CaseLedger!$A378="","",IFERROR(CaseLedger!$O378,""))</x:f>
      </x:c>
      <x:c r="G378" s="52" t="str">
        <x:f>IF(CaseLedger!$A378="","",IFERROR(CaseLedger!$E378,""))</x:f>
      </x:c>
      <x:c r="H378" s="52" t="str">
        <x:f>IF(CaseLedger!$A378="","",IFERROR(CaseLedger!$P378,""))</x:f>
      </x:c>
      <x:c r="I378" s="52" t="str">
        <x:f>IF(CaseLedger!$A378="","",IFERROR(CaseLedger!$Q378,""))</x:f>
      </x:c>
      <x:c r="J378" s="52" t="str">
        <x:f>IF(CaseLedger!$A378="","",IFERROR(CaseLedger!$R378,""))</x:f>
      </x:c>
      <x:c r="K378" s="52" t="str">
        <x:f>IF(CaseLedger!$A378="","",IFERROR(CaseLedger!$S378,""))</x:f>
      </x:c>
      <x:c r="L378" s="52" t="str">
        <x:f>IF(CaseLedger!$A378="","",IFERROR(CaseLedger!$T378,""))</x:f>
      </x:c>
      <x:c r="M378" s="52" t="str">
        <x:f>IF(CaseLedger!$A378="","",IFERROR(CaseLedger!$U378,""))</x:f>
      </x:c>
      <x:c r="N378" s="52" t="str">
        <x:f>IF(CaseLedger!$A378="","",IFERROR(CaseLedger!$V378,""))</x:f>
      </x:c>
      <x:c r="O378" s="52" t="str">
        <x:f>IF(CaseLedger!$A378="","",IFERROR(CaseLedger!$W378,""))</x:f>
      </x:c>
      <x:c r="P378" s="52" t="str">
        <x:f>IF(CaseLedger!$A378="","",IFERROR(CaseLedger!$C378,""))</x:f>
      </x:c>
      <x:c r="Q378" s="52" t="str">
        <x:f>IF(CaseLedger!$A378="","",IFERROR(CaseLedger!$D378,""))</x:f>
      </x:c>
      <x:c r="R378" s="52" t="str">
        <x:f>IF(CaseLedger!$A378="","",IFERROR(CaseLedger!$X378,""))</x:f>
      </x:c>
      <x:c r="S378" s="52" t="str">
        <x:f>IF(CaseLedger!$A378="","",IFERROR(CaseLedger!$Y378,""))</x:f>
      </x:c>
      <x:c r="T378" s="52" t="str">
        <x:f>IF(CaseLedger!$A378="","",IFERROR(CaseLedger!$Z378,""))</x:f>
      </x:c>
      <x:c r="U378" s="52" t="str">
        <x:f>IF(CaseLedger!$A378="","",IFERROR(CaseLedger!$AA378,""))</x:f>
      </x:c>
      <x:c r="V378" s="52" t="str">
        <x:f>IF(CaseLedger!$A378="","",IFERROR(CaseLedger!$AB378,""))</x:f>
      </x:c>
      <x:c r="W378" s="52" t="str">
        <x:f>IF(CaseLedger!$A378="","",IFERROR(CaseLedger!$AC378,""))</x:f>
      </x:c>
      <x:c r="X378" s="52" t="str">
        <x:f>IF(CaseLedger!$A378="","",IFERROR(CaseLedger!$AD378,""))</x:f>
      </x:c>
      <x:c r="Y378" s="52" t="str">
        <x:f>IF(CaseLedger!$A378="","",IFERROR(CaseLedger!$AE378,""))</x:f>
      </x:c>
      <x:c r="Z378" s="52" t="str">
        <x:f>IF(CaseLedger!$A378="","",IFERROR(CaseLedger!$AF378,""))</x:f>
      </x:c>
      <x:c r="AA378" s="52" t="str">
        <x:f>IF(CaseLedger!$A378="","",IFERROR(CaseLedger!$AG378,""))</x:f>
      </x:c>
      <x:c r="AB378" s="52" t="str">
        <x:f>IF(CaseLedger!$A378="","",IFERROR(CaseLedger!$AH378,""))</x:f>
      </x:c>
      <x:c r="AC378"/>
    </x:row>
    <x:row r="379">
      <x:c r="A379" s="52" t="str">
        <x:f>IF(CaseLedger!$A379="","",IFERROR(CaseLedger!$A379,""))</x:f>
      </x:c>
      <x:c r="B379" s="52" t="str">
        <x:f>IF(CaseLedger!$A379="","",IFERROR(CaseLedger!$H379,""))</x:f>
      </x:c>
      <x:c r="C379" s="52" t="str">
        <x:f>IF(CaseLedger!$A379="","",IFERROR(CaseLedger!$I379,""))</x:f>
      </x:c>
      <x:c r="D379" s="52" t="str">
        <x:f>IF(CaseLedger!$A379="","",IFERROR(CaseLedger!$J379,""))</x:f>
      </x:c>
      <x:c r="E379" s="52" t="str">
        <x:f>IF(CaseLedger!$A379="","",IFERROR(CaseLedger!$K379,""))</x:f>
      </x:c>
      <x:c r="F379" s="52" t="str">
        <x:f>IF(CaseLedger!$A379="","",IFERROR(CaseLedger!$O379,""))</x:f>
      </x:c>
      <x:c r="G379" s="52" t="str">
        <x:f>IF(CaseLedger!$A379="","",IFERROR(CaseLedger!$E379,""))</x:f>
      </x:c>
      <x:c r="H379" s="52" t="str">
        <x:f>IF(CaseLedger!$A379="","",IFERROR(CaseLedger!$P379,""))</x:f>
      </x:c>
      <x:c r="I379" s="52" t="str">
        <x:f>IF(CaseLedger!$A379="","",IFERROR(CaseLedger!$Q379,""))</x:f>
      </x:c>
      <x:c r="J379" s="52" t="str">
        <x:f>IF(CaseLedger!$A379="","",IFERROR(CaseLedger!$R379,""))</x:f>
      </x:c>
      <x:c r="K379" s="52" t="str">
        <x:f>IF(CaseLedger!$A379="","",IFERROR(CaseLedger!$S379,""))</x:f>
      </x:c>
      <x:c r="L379" s="52" t="str">
        <x:f>IF(CaseLedger!$A379="","",IFERROR(CaseLedger!$T379,""))</x:f>
      </x:c>
      <x:c r="M379" s="52" t="str">
        <x:f>IF(CaseLedger!$A379="","",IFERROR(CaseLedger!$U379,""))</x:f>
      </x:c>
      <x:c r="N379" s="52" t="str">
        <x:f>IF(CaseLedger!$A379="","",IFERROR(CaseLedger!$V379,""))</x:f>
      </x:c>
      <x:c r="O379" s="52" t="str">
        <x:f>IF(CaseLedger!$A379="","",IFERROR(CaseLedger!$W379,""))</x:f>
      </x:c>
      <x:c r="P379" s="52" t="str">
        <x:f>IF(CaseLedger!$A379="","",IFERROR(CaseLedger!$C379,""))</x:f>
      </x:c>
      <x:c r="Q379" s="52" t="str">
        <x:f>IF(CaseLedger!$A379="","",IFERROR(CaseLedger!$D379,""))</x:f>
      </x:c>
      <x:c r="R379" s="52" t="str">
        <x:f>IF(CaseLedger!$A379="","",IFERROR(CaseLedger!$X379,""))</x:f>
      </x:c>
      <x:c r="S379" s="52" t="str">
        <x:f>IF(CaseLedger!$A379="","",IFERROR(CaseLedger!$Y379,""))</x:f>
      </x:c>
      <x:c r="T379" s="52" t="str">
        <x:f>IF(CaseLedger!$A379="","",IFERROR(CaseLedger!$Z379,""))</x:f>
      </x:c>
      <x:c r="U379" s="52" t="str">
        <x:f>IF(CaseLedger!$A379="","",IFERROR(CaseLedger!$AA379,""))</x:f>
      </x:c>
      <x:c r="V379" s="52" t="str">
        <x:f>IF(CaseLedger!$A379="","",IFERROR(CaseLedger!$AB379,""))</x:f>
      </x:c>
      <x:c r="W379" s="52" t="str">
        <x:f>IF(CaseLedger!$A379="","",IFERROR(CaseLedger!$AC379,""))</x:f>
      </x:c>
      <x:c r="X379" s="52" t="str">
        <x:f>IF(CaseLedger!$A379="","",IFERROR(CaseLedger!$AD379,""))</x:f>
      </x:c>
      <x:c r="Y379" s="52" t="str">
        <x:f>IF(CaseLedger!$A379="","",IFERROR(CaseLedger!$AE379,""))</x:f>
      </x:c>
      <x:c r="Z379" s="52" t="str">
        <x:f>IF(CaseLedger!$A379="","",IFERROR(CaseLedger!$AF379,""))</x:f>
      </x:c>
      <x:c r="AA379" s="52" t="str">
        <x:f>IF(CaseLedger!$A379="","",IFERROR(CaseLedger!$AG379,""))</x:f>
      </x:c>
      <x:c r="AB379" s="52" t="str">
        <x:f>IF(CaseLedger!$A379="","",IFERROR(CaseLedger!$AH379,""))</x:f>
      </x:c>
      <x:c r="AC379"/>
    </x:row>
    <x:row r="380">
      <x:c r="A380" s="52" t="str">
        <x:f>IF(CaseLedger!$A380="","",IFERROR(CaseLedger!$A380,""))</x:f>
      </x:c>
      <x:c r="B380" s="52" t="str">
        <x:f>IF(CaseLedger!$A380="","",IFERROR(CaseLedger!$H380,""))</x:f>
      </x:c>
      <x:c r="C380" s="52" t="str">
        <x:f>IF(CaseLedger!$A380="","",IFERROR(CaseLedger!$I380,""))</x:f>
      </x:c>
      <x:c r="D380" s="52" t="str">
        <x:f>IF(CaseLedger!$A380="","",IFERROR(CaseLedger!$J380,""))</x:f>
      </x:c>
      <x:c r="E380" s="52" t="str">
        <x:f>IF(CaseLedger!$A380="","",IFERROR(CaseLedger!$K380,""))</x:f>
      </x:c>
      <x:c r="F380" s="52" t="str">
        <x:f>IF(CaseLedger!$A380="","",IFERROR(CaseLedger!$O380,""))</x:f>
      </x:c>
      <x:c r="G380" s="52" t="str">
        <x:f>IF(CaseLedger!$A380="","",IFERROR(CaseLedger!$E380,""))</x:f>
      </x:c>
      <x:c r="H380" s="52" t="str">
        <x:f>IF(CaseLedger!$A380="","",IFERROR(CaseLedger!$P380,""))</x:f>
      </x:c>
      <x:c r="I380" s="52" t="str">
        <x:f>IF(CaseLedger!$A380="","",IFERROR(CaseLedger!$Q380,""))</x:f>
      </x:c>
      <x:c r="J380" s="52" t="str">
        <x:f>IF(CaseLedger!$A380="","",IFERROR(CaseLedger!$R380,""))</x:f>
      </x:c>
      <x:c r="K380" s="52" t="str">
        <x:f>IF(CaseLedger!$A380="","",IFERROR(CaseLedger!$S380,""))</x:f>
      </x:c>
      <x:c r="L380" s="52" t="str">
        <x:f>IF(CaseLedger!$A380="","",IFERROR(CaseLedger!$T380,""))</x:f>
      </x:c>
      <x:c r="M380" s="52" t="str">
        <x:f>IF(CaseLedger!$A380="","",IFERROR(CaseLedger!$U380,""))</x:f>
      </x:c>
      <x:c r="N380" s="52" t="str">
        <x:f>IF(CaseLedger!$A380="","",IFERROR(CaseLedger!$V380,""))</x:f>
      </x:c>
      <x:c r="O380" s="52" t="str">
        <x:f>IF(CaseLedger!$A380="","",IFERROR(CaseLedger!$W380,""))</x:f>
      </x:c>
      <x:c r="P380" s="52" t="str">
        <x:f>IF(CaseLedger!$A380="","",IFERROR(CaseLedger!$C380,""))</x:f>
      </x:c>
      <x:c r="Q380" s="52" t="str">
        <x:f>IF(CaseLedger!$A380="","",IFERROR(CaseLedger!$D380,""))</x:f>
      </x:c>
      <x:c r="R380" s="52" t="str">
        <x:f>IF(CaseLedger!$A380="","",IFERROR(CaseLedger!$X380,""))</x:f>
      </x:c>
      <x:c r="S380" s="52" t="str">
        <x:f>IF(CaseLedger!$A380="","",IFERROR(CaseLedger!$Y380,""))</x:f>
      </x:c>
      <x:c r="T380" s="52" t="str">
        <x:f>IF(CaseLedger!$A380="","",IFERROR(CaseLedger!$Z380,""))</x:f>
      </x:c>
      <x:c r="U380" s="52" t="str">
        <x:f>IF(CaseLedger!$A380="","",IFERROR(CaseLedger!$AA380,""))</x:f>
      </x:c>
      <x:c r="V380" s="52" t="str">
        <x:f>IF(CaseLedger!$A380="","",IFERROR(CaseLedger!$AB380,""))</x:f>
      </x:c>
      <x:c r="W380" s="52" t="str">
        <x:f>IF(CaseLedger!$A380="","",IFERROR(CaseLedger!$AC380,""))</x:f>
      </x:c>
      <x:c r="X380" s="52" t="str">
        <x:f>IF(CaseLedger!$A380="","",IFERROR(CaseLedger!$AD380,""))</x:f>
      </x:c>
      <x:c r="Y380" s="52" t="str">
        <x:f>IF(CaseLedger!$A380="","",IFERROR(CaseLedger!$AE380,""))</x:f>
      </x:c>
      <x:c r="Z380" s="52" t="str">
        <x:f>IF(CaseLedger!$A380="","",IFERROR(CaseLedger!$AF380,""))</x:f>
      </x:c>
      <x:c r="AA380" s="52" t="str">
        <x:f>IF(CaseLedger!$A380="","",IFERROR(CaseLedger!$AG380,""))</x:f>
      </x:c>
      <x:c r="AB380" s="52" t="str">
        <x:f>IF(CaseLedger!$A380="","",IFERROR(CaseLedger!$AH380,""))</x:f>
      </x:c>
      <x:c r="AC380"/>
    </x:row>
    <x:row r="381">
      <x:c r="A381" s="52" t="str">
        <x:f>IF(CaseLedger!$A381="","",IFERROR(CaseLedger!$A381,""))</x:f>
      </x:c>
      <x:c r="B381" s="52" t="str">
        <x:f>IF(CaseLedger!$A381="","",IFERROR(CaseLedger!$H381,""))</x:f>
      </x:c>
      <x:c r="C381" s="52" t="str">
        <x:f>IF(CaseLedger!$A381="","",IFERROR(CaseLedger!$I381,""))</x:f>
      </x:c>
      <x:c r="D381" s="52" t="str">
        <x:f>IF(CaseLedger!$A381="","",IFERROR(CaseLedger!$J381,""))</x:f>
      </x:c>
      <x:c r="E381" s="52" t="str">
        <x:f>IF(CaseLedger!$A381="","",IFERROR(CaseLedger!$K381,""))</x:f>
      </x:c>
      <x:c r="F381" s="52" t="str">
        <x:f>IF(CaseLedger!$A381="","",IFERROR(CaseLedger!$O381,""))</x:f>
      </x:c>
      <x:c r="G381" s="52" t="str">
        <x:f>IF(CaseLedger!$A381="","",IFERROR(CaseLedger!$E381,""))</x:f>
      </x:c>
      <x:c r="H381" s="52" t="str">
        <x:f>IF(CaseLedger!$A381="","",IFERROR(CaseLedger!$P381,""))</x:f>
      </x:c>
      <x:c r="I381" s="52" t="str">
        <x:f>IF(CaseLedger!$A381="","",IFERROR(CaseLedger!$Q381,""))</x:f>
      </x:c>
      <x:c r="J381" s="52" t="str">
        <x:f>IF(CaseLedger!$A381="","",IFERROR(CaseLedger!$R381,""))</x:f>
      </x:c>
      <x:c r="K381" s="52" t="str">
        <x:f>IF(CaseLedger!$A381="","",IFERROR(CaseLedger!$S381,""))</x:f>
      </x:c>
      <x:c r="L381" s="52" t="str">
        <x:f>IF(CaseLedger!$A381="","",IFERROR(CaseLedger!$T381,""))</x:f>
      </x:c>
      <x:c r="M381" s="52" t="str">
        <x:f>IF(CaseLedger!$A381="","",IFERROR(CaseLedger!$U381,""))</x:f>
      </x:c>
      <x:c r="N381" s="52" t="str">
        <x:f>IF(CaseLedger!$A381="","",IFERROR(CaseLedger!$V381,""))</x:f>
      </x:c>
      <x:c r="O381" s="52" t="str">
        <x:f>IF(CaseLedger!$A381="","",IFERROR(CaseLedger!$W381,""))</x:f>
      </x:c>
      <x:c r="P381" s="52" t="str">
        <x:f>IF(CaseLedger!$A381="","",IFERROR(CaseLedger!$C381,""))</x:f>
      </x:c>
      <x:c r="Q381" s="52" t="str">
        <x:f>IF(CaseLedger!$A381="","",IFERROR(CaseLedger!$D381,""))</x:f>
      </x:c>
      <x:c r="R381" s="52" t="str">
        <x:f>IF(CaseLedger!$A381="","",IFERROR(CaseLedger!$X381,""))</x:f>
      </x:c>
      <x:c r="S381" s="52" t="str">
        <x:f>IF(CaseLedger!$A381="","",IFERROR(CaseLedger!$Y381,""))</x:f>
      </x:c>
      <x:c r="T381" s="52" t="str">
        <x:f>IF(CaseLedger!$A381="","",IFERROR(CaseLedger!$Z381,""))</x:f>
      </x:c>
      <x:c r="U381" s="52" t="str">
        <x:f>IF(CaseLedger!$A381="","",IFERROR(CaseLedger!$AA381,""))</x:f>
      </x:c>
      <x:c r="V381" s="52" t="str">
        <x:f>IF(CaseLedger!$A381="","",IFERROR(CaseLedger!$AB381,""))</x:f>
      </x:c>
      <x:c r="W381" s="52" t="str">
        <x:f>IF(CaseLedger!$A381="","",IFERROR(CaseLedger!$AC381,""))</x:f>
      </x:c>
      <x:c r="X381" s="52" t="str">
        <x:f>IF(CaseLedger!$A381="","",IFERROR(CaseLedger!$AD381,""))</x:f>
      </x:c>
      <x:c r="Y381" s="52" t="str">
        <x:f>IF(CaseLedger!$A381="","",IFERROR(CaseLedger!$AE381,""))</x:f>
      </x:c>
      <x:c r="Z381" s="52" t="str">
        <x:f>IF(CaseLedger!$A381="","",IFERROR(CaseLedger!$AF381,""))</x:f>
      </x:c>
      <x:c r="AA381" s="52" t="str">
        <x:f>IF(CaseLedger!$A381="","",IFERROR(CaseLedger!$AG381,""))</x:f>
      </x:c>
      <x:c r="AB381" s="52" t="str">
        <x:f>IF(CaseLedger!$A381="","",IFERROR(CaseLedger!$AH381,""))</x:f>
      </x:c>
      <x:c r="AC381"/>
    </x:row>
    <x:row r="382">
      <x:c r="A382" s="52" t="str">
        <x:f>IF(CaseLedger!$A382="","",IFERROR(CaseLedger!$A382,""))</x:f>
      </x:c>
      <x:c r="B382" s="52" t="str">
        <x:f>IF(CaseLedger!$A382="","",IFERROR(CaseLedger!$H382,""))</x:f>
      </x:c>
      <x:c r="C382" s="52" t="str">
        <x:f>IF(CaseLedger!$A382="","",IFERROR(CaseLedger!$I382,""))</x:f>
      </x:c>
      <x:c r="D382" s="52" t="str">
        <x:f>IF(CaseLedger!$A382="","",IFERROR(CaseLedger!$J382,""))</x:f>
      </x:c>
      <x:c r="E382" s="52" t="str">
        <x:f>IF(CaseLedger!$A382="","",IFERROR(CaseLedger!$K382,""))</x:f>
      </x:c>
      <x:c r="F382" s="52" t="str">
        <x:f>IF(CaseLedger!$A382="","",IFERROR(CaseLedger!$O382,""))</x:f>
      </x:c>
      <x:c r="G382" s="52" t="str">
        <x:f>IF(CaseLedger!$A382="","",IFERROR(CaseLedger!$E382,""))</x:f>
      </x:c>
      <x:c r="H382" s="52" t="str">
        <x:f>IF(CaseLedger!$A382="","",IFERROR(CaseLedger!$P382,""))</x:f>
      </x:c>
      <x:c r="I382" s="52" t="str">
        <x:f>IF(CaseLedger!$A382="","",IFERROR(CaseLedger!$Q382,""))</x:f>
      </x:c>
      <x:c r="J382" s="52" t="str">
        <x:f>IF(CaseLedger!$A382="","",IFERROR(CaseLedger!$R382,""))</x:f>
      </x:c>
      <x:c r="K382" s="52" t="str">
        <x:f>IF(CaseLedger!$A382="","",IFERROR(CaseLedger!$S382,""))</x:f>
      </x:c>
      <x:c r="L382" s="52" t="str">
        <x:f>IF(CaseLedger!$A382="","",IFERROR(CaseLedger!$T382,""))</x:f>
      </x:c>
      <x:c r="M382" s="52" t="str">
        <x:f>IF(CaseLedger!$A382="","",IFERROR(CaseLedger!$U382,""))</x:f>
      </x:c>
      <x:c r="N382" s="52" t="str">
        <x:f>IF(CaseLedger!$A382="","",IFERROR(CaseLedger!$V382,""))</x:f>
      </x:c>
      <x:c r="O382" s="52" t="str">
        <x:f>IF(CaseLedger!$A382="","",IFERROR(CaseLedger!$W382,""))</x:f>
      </x:c>
      <x:c r="P382" s="52" t="str">
        <x:f>IF(CaseLedger!$A382="","",IFERROR(CaseLedger!$C382,""))</x:f>
      </x:c>
      <x:c r="Q382" s="52" t="str">
        <x:f>IF(CaseLedger!$A382="","",IFERROR(CaseLedger!$D382,""))</x:f>
      </x:c>
      <x:c r="R382" s="52" t="str">
        <x:f>IF(CaseLedger!$A382="","",IFERROR(CaseLedger!$X382,""))</x:f>
      </x:c>
      <x:c r="S382" s="52" t="str">
        <x:f>IF(CaseLedger!$A382="","",IFERROR(CaseLedger!$Y382,""))</x:f>
      </x:c>
      <x:c r="T382" s="52" t="str">
        <x:f>IF(CaseLedger!$A382="","",IFERROR(CaseLedger!$Z382,""))</x:f>
      </x:c>
      <x:c r="U382" s="52" t="str">
        <x:f>IF(CaseLedger!$A382="","",IFERROR(CaseLedger!$AA382,""))</x:f>
      </x:c>
      <x:c r="V382" s="52" t="str">
        <x:f>IF(CaseLedger!$A382="","",IFERROR(CaseLedger!$AB382,""))</x:f>
      </x:c>
      <x:c r="W382" s="52" t="str">
        <x:f>IF(CaseLedger!$A382="","",IFERROR(CaseLedger!$AC382,""))</x:f>
      </x:c>
      <x:c r="X382" s="52" t="str">
        <x:f>IF(CaseLedger!$A382="","",IFERROR(CaseLedger!$AD382,""))</x:f>
      </x:c>
      <x:c r="Y382" s="52" t="str">
        <x:f>IF(CaseLedger!$A382="","",IFERROR(CaseLedger!$AE382,""))</x:f>
      </x:c>
      <x:c r="Z382" s="52" t="str">
        <x:f>IF(CaseLedger!$A382="","",IFERROR(CaseLedger!$AF382,""))</x:f>
      </x:c>
      <x:c r="AA382" s="52" t="str">
        <x:f>IF(CaseLedger!$A382="","",IFERROR(CaseLedger!$AG382,""))</x:f>
      </x:c>
      <x:c r="AB382" s="52" t="str">
        <x:f>IF(CaseLedger!$A382="","",IFERROR(CaseLedger!$AH382,""))</x:f>
      </x:c>
      <x:c r="AC382"/>
    </x:row>
    <x:row r="383">
      <x:c r="A383" s="52" t="str">
        <x:f>IF(CaseLedger!$A383="","",IFERROR(CaseLedger!$A383,""))</x:f>
      </x:c>
      <x:c r="B383" s="52" t="str">
        <x:f>IF(CaseLedger!$A383="","",IFERROR(CaseLedger!$H383,""))</x:f>
      </x:c>
      <x:c r="C383" s="52" t="str">
        <x:f>IF(CaseLedger!$A383="","",IFERROR(CaseLedger!$I383,""))</x:f>
      </x:c>
      <x:c r="D383" s="52" t="str">
        <x:f>IF(CaseLedger!$A383="","",IFERROR(CaseLedger!$J383,""))</x:f>
      </x:c>
      <x:c r="E383" s="52" t="str">
        <x:f>IF(CaseLedger!$A383="","",IFERROR(CaseLedger!$K383,""))</x:f>
      </x:c>
      <x:c r="F383" s="52" t="str">
        <x:f>IF(CaseLedger!$A383="","",IFERROR(CaseLedger!$O383,""))</x:f>
      </x:c>
      <x:c r="G383" s="52" t="str">
        <x:f>IF(CaseLedger!$A383="","",IFERROR(CaseLedger!$E383,""))</x:f>
      </x:c>
      <x:c r="H383" s="52" t="str">
        <x:f>IF(CaseLedger!$A383="","",IFERROR(CaseLedger!$P383,""))</x:f>
      </x:c>
      <x:c r="I383" s="52" t="str">
        <x:f>IF(CaseLedger!$A383="","",IFERROR(CaseLedger!$Q383,""))</x:f>
      </x:c>
      <x:c r="J383" s="52" t="str">
        <x:f>IF(CaseLedger!$A383="","",IFERROR(CaseLedger!$R383,""))</x:f>
      </x:c>
      <x:c r="K383" s="52" t="str">
        <x:f>IF(CaseLedger!$A383="","",IFERROR(CaseLedger!$S383,""))</x:f>
      </x:c>
      <x:c r="L383" s="52" t="str">
        <x:f>IF(CaseLedger!$A383="","",IFERROR(CaseLedger!$T383,""))</x:f>
      </x:c>
      <x:c r="M383" s="52" t="str">
        <x:f>IF(CaseLedger!$A383="","",IFERROR(CaseLedger!$U383,""))</x:f>
      </x:c>
      <x:c r="N383" s="52" t="str">
        <x:f>IF(CaseLedger!$A383="","",IFERROR(CaseLedger!$V383,""))</x:f>
      </x:c>
      <x:c r="O383" s="52" t="str">
        <x:f>IF(CaseLedger!$A383="","",IFERROR(CaseLedger!$W383,""))</x:f>
      </x:c>
      <x:c r="P383" s="52" t="str">
        <x:f>IF(CaseLedger!$A383="","",IFERROR(CaseLedger!$C383,""))</x:f>
      </x:c>
      <x:c r="Q383" s="52" t="str">
        <x:f>IF(CaseLedger!$A383="","",IFERROR(CaseLedger!$D383,""))</x:f>
      </x:c>
      <x:c r="R383" s="52" t="str">
        <x:f>IF(CaseLedger!$A383="","",IFERROR(CaseLedger!$X383,""))</x:f>
      </x:c>
      <x:c r="S383" s="52" t="str">
        <x:f>IF(CaseLedger!$A383="","",IFERROR(CaseLedger!$Y383,""))</x:f>
      </x:c>
      <x:c r="T383" s="52" t="str">
        <x:f>IF(CaseLedger!$A383="","",IFERROR(CaseLedger!$Z383,""))</x:f>
      </x:c>
      <x:c r="U383" s="52" t="str">
        <x:f>IF(CaseLedger!$A383="","",IFERROR(CaseLedger!$AA383,""))</x:f>
      </x:c>
      <x:c r="V383" s="52" t="str">
        <x:f>IF(CaseLedger!$A383="","",IFERROR(CaseLedger!$AB383,""))</x:f>
      </x:c>
      <x:c r="W383" s="52" t="str">
        <x:f>IF(CaseLedger!$A383="","",IFERROR(CaseLedger!$AC383,""))</x:f>
      </x:c>
      <x:c r="X383" s="52" t="str">
        <x:f>IF(CaseLedger!$A383="","",IFERROR(CaseLedger!$AD383,""))</x:f>
      </x:c>
      <x:c r="Y383" s="52" t="str">
        <x:f>IF(CaseLedger!$A383="","",IFERROR(CaseLedger!$AE383,""))</x:f>
      </x:c>
      <x:c r="Z383" s="52" t="str">
        <x:f>IF(CaseLedger!$A383="","",IFERROR(CaseLedger!$AF383,""))</x:f>
      </x:c>
      <x:c r="AA383" s="52" t="str">
        <x:f>IF(CaseLedger!$A383="","",IFERROR(CaseLedger!$AG383,""))</x:f>
      </x:c>
      <x:c r="AB383" s="52" t="str">
        <x:f>IF(CaseLedger!$A383="","",IFERROR(CaseLedger!$AH383,""))</x:f>
      </x:c>
      <x:c r="AC383"/>
    </x:row>
    <x:row r="384">
      <x:c r="A384" s="52" t="str">
        <x:f>IF(CaseLedger!$A384="","",IFERROR(CaseLedger!$A384,""))</x:f>
      </x:c>
      <x:c r="B384" s="52" t="str">
        <x:f>IF(CaseLedger!$A384="","",IFERROR(CaseLedger!$H384,""))</x:f>
      </x:c>
      <x:c r="C384" s="52" t="str">
        <x:f>IF(CaseLedger!$A384="","",IFERROR(CaseLedger!$I384,""))</x:f>
      </x:c>
      <x:c r="D384" s="52" t="str">
        <x:f>IF(CaseLedger!$A384="","",IFERROR(CaseLedger!$J384,""))</x:f>
      </x:c>
      <x:c r="E384" s="52" t="str">
        <x:f>IF(CaseLedger!$A384="","",IFERROR(CaseLedger!$K384,""))</x:f>
      </x:c>
      <x:c r="F384" s="52" t="str">
        <x:f>IF(CaseLedger!$A384="","",IFERROR(CaseLedger!$O384,""))</x:f>
      </x:c>
      <x:c r="G384" s="52" t="str">
        <x:f>IF(CaseLedger!$A384="","",IFERROR(CaseLedger!$E384,""))</x:f>
      </x:c>
      <x:c r="H384" s="52" t="str">
        <x:f>IF(CaseLedger!$A384="","",IFERROR(CaseLedger!$P384,""))</x:f>
      </x:c>
      <x:c r="I384" s="52" t="str">
        <x:f>IF(CaseLedger!$A384="","",IFERROR(CaseLedger!$Q384,""))</x:f>
      </x:c>
      <x:c r="J384" s="52" t="str">
        <x:f>IF(CaseLedger!$A384="","",IFERROR(CaseLedger!$R384,""))</x:f>
      </x:c>
      <x:c r="K384" s="52" t="str">
        <x:f>IF(CaseLedger!$A384="","",IFERROR(CaseLedger!$S384,""))</x:f>
      </x:c>
      <x:c r="L384" s="52" t="str">
        <x:f>IF(CaseLedger!$A384="","",IFERROR(CaseLedger!$T384,""))</x:f>
      </x:c>
      <x:c r="M384" s="52" t="str">
        <x:f>IF(CaseLedger!$A384="","",IFERROR(CaseLedger!$U384,""))</x:f>
      </x:c>
      <x:c r="N384" s="52" t="str">
        <x:f>IF(CaseLedger!$A384="","",IFERROR(CaseLedger!$V384,""))</x:f>
      </x:c>
      <x:c r="O384" s="52" t="str">
        <x:f>IF(CaseLedger!$A384="","",IFERROR(CaseLedger!$W384,""))</x:f>
      </x:c>
      <x:c r="P384" s="52" t="str">
        <x:f>IF(CaseLedger!$A384="","",IFERROR(CaseLedger!$C384,""))</x:f>
      </x:c>
      <x:c r="Q384" s="52" t="str">
        <x:f>IF(CaseLedger!$A384="","",IFERROR(CaseLedger!$D384,""))</x:f>
      </x:c>
      <x:c r="R384" s="52" t="str">
        <x:f>IF(CaseLedger!$A384="","",IFERROR(CaseLedger!$X384,""))</x:f>
      </x:c>
      <x:c r="S384" s="52" t="str">
        <x:f>IF(CaseLedger!$A384="","",IFERROR(CaseLedger!$Y384,""))</x:f>
      </x:c>
      <x:c r="T384" s="52" t="str">
        <x:f>IF(CaseLedger!$A384="","",IFERROR(CaseLedger!$Z384,""))</x:f>
      </x:c>
      <x:c r="U384" s="52" t="str">
        <x:f>IF(CaseLedger!$A384="","",IFERROR(CaseLedger!$AA384,""))</x:f>
      </x:c>
      <x:c r="V384" s="52" t="str">
        <x:f>IF(CaseLedger!$A384="","",IFERROR(CaseLedger!$AB384,""))</x:f>
      </x:c>
      <x:c r="W384" s="52" t="str">
        <x:f>IF(CaseLedger!$A384="","",IFERROR(CaseLedger!$AC384,""))</x:f>
      </x:c>
      <x:c r="X384" s="52" t="str">
        <x:f>IF(CaseLedger!$A384="","",IFERROR(CaseLedger!$AD384,""))</x:f>
      </x:c>
      <x:c r="Y384" s="52" t="str">
        <x:f>IF(CaseLedger!$A384="","",IFERROR(CaseLedger!$AE384,""))</x:f>
      </x:c>
      <x:c r="Z384" s="52" t="str">
        <x:f>IF(CaseLedger!$A384="","",IFERROR(CaseLedger!$AF384,""))</x:f>
      </x:c>
      <x:c r="AA384" s="52" t="str">
        <x:f>IF(CaseLedger!$A384="","",IFERROR(CaseLedger!$AG384,""))</x:f>
      </x:c>
      <x:c r="AB384" s="52" t="str">
        <x:f>IF(CaseLedger!$A384="","",IFERROR(CaseLedger!$AH384,""))</x:f>
      </x:c>
      <x:c r="AC384"/>
    </x:row>
    <x:row r="385">
      <x:c r="A385" s="52" t="str">
        <x:f>IF(CaseLedger!$A385="","",IFERROR(CaseLedger!$A385,""))</x:f>
      </x:c>
      <x:c r="B385" s="52" t="str">
        <x:f>IF(CaseLedger!$A385="","",IFERROR(CaseLedger!$H385,""))</x:f>
      </x:c>
      <x:c r="C385" s="52" t="str">
        <x:f>IF(CaseLedger!$A385="","",IFERROR(CaseLedger!$I385,""))</x:f>
      </x:c>
      <x:c r="D385" s="52" t="str">
        <x:f>IF(CaseLedger!$A385="","",IFERROR(CaseLedger!$J385,""))</x:f>
      </x:c>
      <x:c r="E385" s="52" t="str">
        <x:f>IF(CaseLedger!$A385="","",IFERROR(CaseLedger!$K385,""))</x:f>
      </x:c>
      <x:c r="F385" s="52" t="str">
        <x:f>IF(CaseLedger!$A385="","",IFERROR(CaseLedger!$O385,""))</x:f>
      </x:c>
      <x:c r="G385" s="52" t="str">
        <x:f>IF(CaseLedger!$A385="","",IFERROR(CaseLedger!$E385,""))</x:f>
      </x:c>
      <x:c r="H385" s="52" t="str">
        <x:f>IF(CaseLedger!$A385="","",IFERROR(CaseLedger!$P385,""))</x:f>
      </x:c>
      <x:c r="I385" s="52" t="str">
        <x:f>IF(CaseLedger!$A385="","",IFERROR(CaseLedger!$Q385,""))</x:f>
      </x:c>
      <x:c r="J385" s="52" t="str">
        <x:f>IF(CaseLedger!$A385="","",IFERROR(CaseLedger!$R385,""))</x:f>
      </x:c>
      <x:c r="K385" s="52" t="str">
        <x:f>IF(CaseLedger!$A385="","",IFERROR(CaseLedger!$S385,""))</x:f>
      </x:c>
      <x:c r="L385" s="52" t="str">
        <x:f>IF(CaseLedger!$A385="","",IFERROR(CaseLedger!$T385,""))</x:f>
      </x:c>
      <x:c r="M385" s="52" t="str">
        <x:f>IF(CaseLedger!$A385="","",IFERROR(CaseLedger!$U385,""))</x:f>
      </x:c>
      <x:c r="N385" s="52" t="str">
        <x:f>IF(CaseLedger!$A385="","",IFERROR(CaseLedger!$V385,""))</x:f>
      </x:c>
      <x:c r="O385" s="52" t="str">
        <x:f>IF(CaseLedger!$A385="","",IFERROR(CaseLedger!$W385,""))</x:f>
      </x:c>
      <x:c r="P385" s="52" t="str">
        <x:f>IF(CaseLedger!$A385="","",IFERROR(CaseLedger!$C385,""))</x:f>
      </x:c>
      <x:c r="Q385" s="52" t="str">
        <x:f>IF(CaseLedger!$A385="","",IFERROR(CaseLedger!$D385,""))</x:f>
      </x:c>
      <x:c r="R385" s="52" t="str">
        <x:f>IF(CaseLedger!$A385="","",IFERROR(CaseLedger!$X385,""))</x:f>
      </x:c>
      <x:c r="S385" s="52" t="str">
        <x:f>IF(CaseLedger!$A385="","",IFERROR(CaseLedger!$Y385,""))</x:f>
      </x:c>
      <x:c r="T385" s="52" t="str">
        <x:f>IF(CaseLedger!$A385="","",IFERROR(CaseLedger!$Z385,""))</x:f>
      </x:c>
      <x:c r="U385" s="52" t="str">
        <x:f>IF(CaseLedger!$A385="","",IFERROR(CaseLedger!$AA385,""))</x:f>
      </x:c>
      <x:c r="V385" s="52" t="str">
        <x:f>IF(CaseLedger!$A385="","",IFERROR(CaseLedger!$AB385,""))</x:f>
      </x:c>
      <x:c r="W385" s="52" t="str">
        <x:f>IF(CaseLedger!$A385="","",IFERROR(CaseLedger!$AC385,""))</x:f>
      </x:c>
      <x:c r="X385" s="52" t="str">
        <x:f>IF(CaseLedger!$A385="","",IFERROR(CaseLedger!$AD385,""))</x:f>
      </x:c>
      <x:c r="Y385" s="52" t="str">
        <x:f>IF(CaseLedger!$A385="","",IFERROR(CaseLedger!$AE385,""))</x:f>
      </x:c>
      <x:c r="Z385" s="52" t="str">
        <x:f>IF(CaseLedger!$A385="","",IFERROR(CaseLedger!$AF385,""))</x:f>
      </x:c>
      <x:c r="AA385" s="52" t="str">
        <x:f>IF(CaseLedger!$A385="","",IFERROR(CaseLedger!$AG385,""))</x:f>
      </x:c>
      <x:c r="AB385" s="52" t="str">
        <x:f>IF(CaseLedger!$A385="","",IFERROR(CaseLedger!$AH385,""))</x:f>
      </x:c>
      <x:c r="AC385"/>
    </x:row>
    <x:row r="386">
      <x:c r="A386" s="52" t="str">
        <x:f>IF(CaseLedger!$A386="","",IFERROR(CaseLedger!$A386,""))</x:f>
      </x:c>
      <x:c r="B386" s="52" t="str">
        <x:f>IF(CaseLedger!$A386="","",IFERROR(CaseLedger!$H386,""))</x:f>
      </x:c>
      <x:c r="C386" s="52" t="str">
        <x:f>IF(CaseLedger!$A386="","",IFERROR(CaseLedger!$I386,""))</x:f>
      </x:c>
      <x:c r="D386" s="52" t="str">
        <x:f>IF(CaseLedger!$A386="","",IFERROR(CaseLedger!$J386,""))</x:f>
      </x:c>
      <x:c r="E386" s="52" t="str">
        <x:f>IF(CaseLedger!$A386="","",IFERROR(CaseLedger!$K386,""))</x:f>
      </x:c>
      <x:c r="F386" s="52" t="str">
        <x:f>IF(CaseLedger!$A386="","",IFERROR(CaseLedger!$O386,""))</x:f>
      </x:c>
      <x:c r="G386" s="52" t="str">
        <x:f>IF(CaseLedger!$A386="","",IFERROR(CaseLedger!$E386,""))</x:f>
      </x:c>
      <x:c r="H386" s="52" t="str">
        <x:f>IF(CaseLedger!$A386="","",IFERROR(CaseLedger!$P386,""))</x:f>
      </x:c>
      <x:c r="I386" s="52" t="str">
        <x:f>IF(CaseLedger!$A386="","",IFERROR(CaseLedger!$Q386,""))</x:f>
      </x:c>
      <x:c r="J386" s="52" t="str">
        <x:f>IF(CaseLedger!$A386="","",IFERROR(CaseLedger!$R386,""))</x:f>
      </x:c>
      <x:c r="K386" s="52" t="str">
        <x:f>IF(CaseLedger!$A386="","",IFERROR(CaseLedger!$S386,""))</x:f>
      </x:c>
      <x:c r="L386" s="52" t="str">
        <x:f>IF(CaseLedger!$A386="","",IFERROR(CaseLedger!$T386,""))</x:f>
      </x:c>
      <x:c r="M386" s="52" t="str">
        <x:f>IF(CaseLedger!$A386="","",IFERROR(CaseLedger!$U386,""))</x:f>
      </x:c>
      <x:c r="N386" s="52" t="str">
        <x:f>IF(CaseLedger!$A386="","",IFERROR(CaseLedger!$V386,""))</x:f>
      </x:c>
      <x:c r="O386" s="52" t="str">
        <x:f>IF(CaseLedger!$A386="","",IFERROR(CaseLedger!$W386,""))</x:f>
      </x:c>
      <x:c r="P386" s="52" t="str">
        <x:f>IF(CaseLedger!$A386="","",IFERROR(CaseLedger!$C386,""))</x:f>
      </x:c>
      <x:c r="Q386" s="52" t="str">
        <x:f>IF(CaseLedger!$A386="","",IFERROR(CaseLedger!$D386,""))</x:f>
      </x:c>
      <x:c r="R386" s="52" t="str">
        <x:f>IF(CaseLedger!$A386="","",IFERROR(CaseLedger!$X386,""))</x:f>
      </x:c>
      <x:c r="S386" s="52" t="str">
        <x:f>IF(CaseLedger!$A386="","",IFERROR(CaseLedger!$Y386,""))</x:f>
      </x:c>
      <x:c r="T386" s="52" t="str">
        <x:f>IF(CaseLedger!$A386="","",IFERROR(CaseLedger!$Z386,""))</x:f>
      </x:c>
      <x:c r="U386" s="52" t="str">
        <x:f>IF(CaseLedger!$A386="","",IFERROR(CaseLedger!$AA386,""))</x:f>
      </x:c>
      <x:c r="V386" s="52" t="str">
        <x:f>IF(CaseLedger!$A386="","",IFERROR(CaseLedger!$AB386,""))</x:f>
      </x:c>
      <x:c r="W386" s="52" t="str">
        <x:f>IF(CaseLedger!$A386="","",IFERROR(CaseLedger!$AC386,""))</x:f>
      </x:c>
      <x:c r="X386" s="52" t="str">
        <x:f>IF(CaseLedger!$A386="","",IFERROR(CaseLedger!$AD386,""))</x:f>
      </x:c>
      <x:c r="Y386" s="52" t="str">
        <x:f>IF(CaseLedger!$A386="","",IFERROR(CaseLedger!$AE386,""))</x:f>
      </x:c>
      <x:c r="Z386" s="52" t="str">
        <x:f>IF(CaseLedger!$A386="","",IFERROR(CaseLedger!$AF386,""))</x:f>
      </x:c>
      <x:c r="AA386" s="52" t="str">
        <x:f>IF(CaseLedger!$A386="","",IFERROR(CaseLedger!$AG386,""))</x:f>
      </x:c>
      <x:c r="AB386" s="52" t="str">
        <x:f>IF(CaseLedger!$A386="","",IFERROR(CaseLedger!$AH386,""))</x:f>
      </x:c>
      <x:c r="AC386"/>
    </x:row>
    <x:row r="387">
      <x:c r="A387" s="52" t="str">
        <x:f>IF(CaseLedger!$A387="","",IFERROR(CaseLedger!$A387,""))</x:f>
      </x:c>
      <x:c r="B387" s="52" t="str">
        <x:f>IF(CaseLedger!$A387="","",IFERROR(CaseLedger!$H387,""))</x:f>
      </x:c>
      <x:c r="C387" s="52" t="str">
        <x:f>IF(CaseLedger!$A387="","",IFERROR(CaseLedger!$I387,""))</x:f>
      </x:c>
      <x:c r="D387" s="52" t="str">
        <x:f>IF(CaseLedger!$A387="","",IFERROR(CaseLedger!$J387,""))</x:f>
      </x:c>
      <x:c r="E387" s="52" t="str">
        <x:f>IF(CaseLedger!$A387="","",IFERROR(CaseLedger!$K387,""))</x:f>
      </x:c>
      <x:c r="F387" s="52" t="str">
        <x:f>IF(CaseLedger!$A387="","",IFERROR(CaseLedger!$O387,""))</x:f>
      </x:c>
      <x:c r="G387" s="52" t="str">
        <x:f>IF(CaseLedger!$A387="","",IFERROR(CaseLedger!$E387,""))</x:f>
      </x:c>
      <x:c r="H387" s="52" t="str">
        <x:f>IF(CaseLedger!$A387="","",IFERROR(CaseLedger!$P387,""))</x:f>
      </x:c>
      <x:c r="I387" s="52" t="str">
        <x:f>IF(CaseLedger!$A387="","",IFERROR(CaseLedger!$Q387,""))</x:f>
      </x:c>
      <x:c r="J387" s="52" t="str">
        <x:f>IF(CaseLedger!$A387="","",IFERROR(CaseLedger!$R387,""))</x:f>
      </x:c>
      <x:c r="K387" s="52" t="str">
        <x:f>IF(CaseLedger!$A387="","",IFERROR(CaseLedger!$S387,""))</x:f>
      </x:c>
      <x:c r="L387" s="52" t="str">
        <x:f>IF(CaseLedger!$A387="","",IFERROR(CaseLedger!$T387,""))</x:f>
      </x:c>
      <x:c r="M387" s="52" t="str">
        <x:f>IF(CaseLedger!$A387="","",IFERROR(CaseLedger!$U387,""))</x:f>
      </x:c>
      <x:c r="N387" s="52" t="str">
        <x:f>IF(CaseLedger!$A387="","",IFERROR(CaseLedger!$V387,""))</x:f>
      </x:c>
      <x:c r="O387" s="52" t="str">
        <x:f>IF(CaseLedger!$A387="","",IFERROR(CaseLedger!$W387,""))</x:f>
      </x:c>
      <x:c r="P387" s="52" t="str">
        <x:f>IF(CaseLedger!$A387="","",IFERROR(CaseLedger!$C387,""))</x:f>
      </x:c>
      <x:c r="Q387" s="52" t="str">
        <x:f>IF(CaseLedger!$A387="","",IFERROR(CaseLedger!$D387,""))</x:f>
      </x:c>
      <x:c r="R387" s="52" t="str">
        <x:f>IF(CaseLedger!$A387="","",IFERROR(CaseLedger!$X387,""))</x:f>
      </x:c>
      <x:c r="S387" s="52" t="str">
        <x:f>IF(CaseLedger!$A387="","",IFERROR(CaseLedger!$Y387,""))</x:f>
      </x:c>
      <x:c r="T387" s="52" t="str">
        <x:f>IF(CaseLedger!$A387="","",IFERROR(CaseLedger!$Z387,""))</x:f>
      </x:c>
      <x:c r="U387" s="52" t="str">
        <x:f>IF(CaseLedger!$A387="","",IFERROR(CaseLedger!$AA387,""))</x:f>
      </x:c>
      <x:c r="V387" s="52" t="str">
        <x:f>IF(CaseLedger!$A387="","",IFERROR(CaseLedger!$AB387,""))</x:f>
      </x:c>
      <x:c r="W387" s="52" t="str">
        <x:f>IF(CaseLedger!$A387="","",IFERROR(CaseLedger!$AC387,""))</x:f>
      </x:c>
      <x:c r="X387" s="52" t="str">
        <x:f>IF(CaseLedger!$A387="","",IFERROR(CaseLedger!$AD387,""))</x:f>
      </x:c>
      <x:c r="Y387" s="52" t="str">
        <x:f>IF(CaseLedger!$A387="","",IFERROR(CaseLedger!$AE387,""))</x:f>
      </x:c>
      <x:c r="Z387" s="52" t="str">
        <x:f>IF(CaseLedger!$A387="","",IFERROR(CaseLedger!$AF387,""))</x:f>
      </x:c>
      <x:c r="AA387" s="52" t="str">
        <x:f>IF(CaseLedger!$A387="","",IFERROR(CaseLedger!$AG387,""))</x:f>
      </x:c>
      <x:c r="AB387" s="52" t="str">
        <x:f>IF(CaseLedger!$A387="","",IFERROR(CaseLedger!$AH387,""))</x:f>
      </x:c>
      <x:c r="AC387"/>
    </x:row>
    <x:row r="388">
      <x:c r="A388" s="52" t="str">
        <x:f>IF(CaseLedger!$A388="","",IFERROR(CaseLedger!$A388,""))</x:f>
      </x:c>
      <x:c r="B388" s="52" t="str">
        <x:f>IF(CaseLedger!$A388="","",IFERROR(CaseLedger!$H388,""))</x:f>
      </x:c>
      <x:c r="C388" s="52" t="str">
        <x:f>IF(CaseLedger!$A388="","",IFERROR(CaseLedger!$I388,""))</x:f>
      </x:c>
      <x:c r="D388" s="52" t="str">
        <x:f>IF(CaseLedger!$A388="","",IFERROR(CaseLedger!$J388,""))</x:f>
      </x:c>
      <x:c r="E388" s="52" t="str">
        <x:f>IF(CaseLedger!$A388="","",IFERROR(CaseLedger!$K388,""))</x:f>
      </x:c>
      <x:c r="F388" s="52" t="str">
        <x:f>IF(CaseLedger!$A388="","",IFERROR(CaseLedger!$O388,""))</x:f>
      </x:c>
      <x:c r="G388" s="52" t="str">
        <x:f>IF(CaseLedger!$A388="","",IFERROR(CaseLedger!$E388,""))</x:f>
      </x:c>
      <x:c r="H388" s="52" t="str">
        <x:f>IF(CaseLedger!$A388="","",IFERROR(CaseLedger!$P388,""))</x:f>
      </x:c>
      <x:c r="I388" s="52" t="str">
        <x:f>IF(CaseLedger!$A388="","",IFERROR(CaseLedger!$Q388,""))</x:f>
      </x:c>
      <x:c r="J388" s="52" t="str">
        <x:f>IF(CaseLedger!$A388="","",IFERROR(CaseLedger!$R388,""))</x:f>
      </x:c>
      <x:c r="K388" s="52" t="str">
        <x:f>IF(CaseLedger!$A388="","",IFERROR(CaseLedger!$S388,""))</x:f>
      </x:c>
      <x:c r="L388" s="52" t="str">
        <x:f>IF(CaseLedger!$A388="","",IFERROR(CaseLedger!$T388,""))</x:f>
      </x:c>
      <x:c r="M388" s="52" t="str">
        <x:f>IF(CaseLedger!$A388="","",IFERROR(CaseLedger!$U388,""))</x:f>
      </x:c>
      <x:c r="N388" s="52" t="str">
        <x:f>IF(CaseLedger!$A388="","",IFERROR(CaseLedger!$V388,""))</x:f>
      </x:c>
      <x:c r="O388" s="52" t="str">
        <x:f>IF(CaseLedger!$A388="","",IFERROR(CaseLedger!$W388,""))</x:f>
      </x:c>
      <x:c r="P388" s="52" t="str">
        <x:f>IF(CaseLedger!$A388="","",IFERROR(CaseLedger!$C388,""))</x:f>
      </x:c>
      <x:c r="Q388" s="52" t="str">
        <x:f>IF(CaseLedger!$A388="","",IFERROR(CaseLedger!$D388,""))</x:f>
      </x:c>
      <x:c r="R388" s="52" t="str">
        <x:f>IF(CaseLedger!$A388="","",IFERROR(CaseLedger!$X388,""))</x:f>
      </x:c>
      <x:c r="S388" s="52" t="str">
        <x:f>IF(CaseLedger!$A388="","",IFERROR(CaseLedger!$Y388,""))</x:f>
      </x:c>
      <x:c r="T388" s="52" t="str">
        <x:f>IF(CaseLedger!$A388="","",IFERROR(CaseLedger!$Z388,""))</x:f>
      </x:c>
      <x:c r="U388" s="52" t="str">
        <x:f>IF(CaseLedger!$A388="","",IFERROR(CaseLedger!$AA388,""))</x:f>
      </x:c>
      <x:c r="V388" s="52" t="str">
        <x:f>IF(CaseLedger!$A388="","",IFERROR(CaseLedger!$AB388,""))</x:f>
      </x:c>
      <x:c r="W388" s="52" t="str">
        <x:f>IF(CaseLedger!$A388="","",IFERROR(CaseLedger!$AC388,""))</x:f>
      </x:c>
      <x:c r="X388" s="52" t="str">
        <x:f>IF(CaseLedger!$A388="","",IFERROR(CaseLedger!$AD388,""))</x:f>
      </x:c>
      <x:c r="Y388" s="52" t="str">
        <x:f>IF(CaseLedger!$A388="","",IFERROR(CaseLedger!$AE388,""))</x:f>
      </x:c>
      <x:c r="Z388" s="52" t="str">
        <x:f>IF(CaseLedger!$A388="","",IFERROR(CaseLedger!$AF388,""))</x:f>
      </x:c>
      <x:c r="AA388" s="52" t="str">
        <x:f>IF(CaseLedger!$A388="","",IFERROR(CaseLedger!$AG388,""))</x:f>
      </x:c>
      <x:c r="AB388" s="52" t="str">
        <x:f>IF(CaseLedger!$A388="","",IFERROR(CaseLedger!$AH388,""))</x:f>
      </x:c>
      <x:c r="AC388"/>
    </x:row>
    <x:row r="389">
      <x:c r="A389" s="52" t="str">
        <x:f>IF(CaseLedger!$A389="","",IFERROR(CaseLedger!$A389,""))</x:f>
      </x:c>
      <x:c r="B389" s="52" t="str">
        <x:f>IF(CaseLedger!$A389="","",IFERROR(CaseLedger!$H389,""))</x:f>
      </x:c>
      <x:c r="C389" s="52" t="str">
        <x:f>IF(CaseLedger!$A389="","",IFERROR(CaseLedger!$I389,""))</x:f>
      </x:c>
      <x:c r="D389" s="52" t="str">
        <x:f>IF(CaseLedger!$A389="","",IFERROR(CaseLedger!$J389,""))</x:f>
      </x:c>
      <x:c r="E389" s="52" t="str">
        <x:f>IF(CaseLedger!$A389="","",IFERROR(CaseLedger!$K389,""))</x:f>
      </x:c>
      <x:c r="F389" s="52" t="str">
        <x:f>IF(CaseLedger!$A389="","",IFERROR(CaseLedger!$O389,""))</x:f>
      </x:c>
      <x:c r="G389" s="52" t="str">
        <x:f>IF(CaseLedger!$A389="","",IFERROR(CaseLedger!$E389,""))</x:f>
      </x:c>
      <x:c r="H389" s="52" t="str">
        <x:f>IF(CaseLedger!$A389="","",IFERROR(CaseLedger!$P389,""))</x:f>
      </x:c>
      <x:c r="I389" s="52" t="str">
        <x:f>IF(CaseLedger!$A389="","",IFERROR(CaseLedger!$Q389,""))</x:f>
      </x:c>
      <x:c r="J389" s="52" t="str">
        <x:f>IF(CaseLedger!$A389="","",IFERROR(CaseLedger!$R389,""))</x:f>
      </x:c>
      <x:c r="K389" s="52" t="str">
        <x:f>IF(CaseLedger!$A389="","",IFERROR(CaseLedger!$S389,""))</x:f>
      </x:c>
      <x:c r="L389" s="52" t="str">
        <x:f>IF(CaseLedger!$A389="","",IFERROR(CaseLedger!$T389,""))</x:f>
      </x:c>
      <x:c r="M389" s="52" t="str">
        <x:f>IF(CaseLedger!$A389="","",IFERROR(CaseLedger!$U389,""))</x:f>
      </x:c>
      <x:c r="N389" s="52" t="str">
        <x:f>IF(CaseLedger!$A389="","",IFERROR(CaseLedger!$V389,""))</x:f>
      </x:c>
      <x:c r="O389" s="52" t="str">
        <x:f>IF(CaseLedger!$A389="","",IFERROR(CaseLedger!$W389,""))</x:f>
      </x:c>
      <x:c r="P389" s="52" t="str">
        <x:f>IF(CaseLedger!$A389="","",IFERROR(CaseLedger!$C389,""))</x:f>
      </x:c>
      <x:c r="Q389" s="52" t="str">
        <x:f>IF(CaseLedger!$A389="","",IFERROR(CaseLedger!$D389,""))</x:f>
      </x:c>
      <x:c r="R389" s="52" t="str">
        <x:f>IF(CaseLedger!$A389="","",IFERROR(CaseLedger!$X389,""))</x:f>
      </x:c>
      <x:c r="S389" s="52" t="str">
        <x:f>IF(CaseLedger!$A389="","",IFERROR(CaseLedger!$Y389,""))</x:f>
      </x:c>
      <x:c r="T389" s="52" t="str">
        <x:f>IF(CaseLedger!$A389="","",IFERROR(CaseLedger!$Z389,""))</x:f>
      </x:c>
      <x:c r="U389" s="52" t="str">
        <x:f>IF(CaseLedger!$A389="","",IFERROR(CaseLedger!$AA389,""))</x:f>
      </x:c>
      <x:c r="V389" s="52" t="str">
        <x:f>IF(CaseLedger!$A389="","",IFERROR(CaseLedger!$AB389,""))</x:f>
      </x:c>
      <x:c r="W389" s="52" t="str">
        <x:f>IF(CaseLedger!$A389="","",IFERROR(CaseLedger!$AC389,""))</x:f>
      </x:c>
      <x:c r="X389" s="52" t="str">
        <x:f>IF(CaseLedger!$A389="","",IFERROR(CaseLedger!$AD389,""))</x:f>
      </x:c>
      <x:c r="Y389" s="52" t="str">
        <x:f>IF(CaseLedger!$A389="","",IFERROR(CaseLedger!$AE389,""))</x:f>
      </x:c>
      <x:c r="Z389" s="52" t="str">
        <x:f>IF(CaseLedger!$A389="","",IFERROR(CaseLedger!$AF389,""))</x:f>
      </x:c>
      <x:c r="AA389" s="52" t="str">
        <x:f>IF(CaseLedger!$A389="","",IFERROR(CaseLedger!$AG389,""))</x:f>
      </x:c>
      <x:c r="AB389" s="52" t="str">
        <x:f>IF(CaseLedger!$A389="","",IFERROR(CaseLedger!$AH389,""))</x:f>
      </x:c>
      <x:c r="AC389"/>
    </x:row>
    <x:row r="390">
      <x:c r="A390" s="52" t="str">
        <x:f>IF(CaseLedger!$A390="","",IFERROR(CaseLedger!$A390,""))</x:f>
      </x:c>
      <x:c r="B390" s="52" t="str">
        <x:f>IF(CaseLedger!$A390="","",IFERROR(CaseLedger!$H390,""))</x:f>
      </x:c>
      <x:c r="C390" s="52" t="str">
        <x:f>IF(CaseLedger!$A390="","",IFERROR(CaseLedger!$I390,""))</x:f>
      </x:c>
      <x:c r="D390" s="52" t="str">
        <x:f>IF(CaseLedger!$A390="","",IFERROR(CaseLedger!$J390,""))</x:f>
      </x:c>
      <x:c r="E390" s="52" t="str">
        <x:f>IF(CaseLedger!$A390="","",IFERROR(CaseLedger!$K390,""))</x:f>
      </x:c>
      <x:c r="F390" s="52" t="str">
        <x:f>IF(CaseLedger!$A390="","",IFERROR(CaseLedger!$O390,""))</x:f>
      </x:c>
      <x:c r="G390" s="52" t="str">
        <x:f>IF(CaseLedger!$A390="","",IFERROR(CaseLedger!$E390,""))</x:f>
      </x:c>
      <x:c r="H390" s="52" t="str">
        <x:f>IF(CaseLedger!$A390="","",IFERROR(CaseLedger!$P390,""))</x:f>
      </x:c>
      <x:c r="I390" s="52" t="str">
        <x:f>IF(CaseLedger!$A390="","",IFERROR(CaseLedger!$Q390,""))</x:f>
      </x:c>
      <x:c r="J390" s="52" t="str">
        <x:f>IF(CaseLedger!$A390="","",IFERROR(CaseLedger!$R390,""))</x:f>
      </x:c>
      <x:c r="K390" s="52" t="str">
        <x:f>IF(CaseLedger!$A390="","",IFERROR(CaseLedger!$S390,""))</x:f>
      </x:c>
      <x:c r="L390" s="52" t="str">
        <x:f>IF(CaseLedger!$A390="","",IFERROR(CaseLedger!$T390,""))</x:f>
      </x:c>
      <x:c r="M390" s="52" t="str">
        <x:f>IF(CaseLedger!$A390="","",IFERROR(CaseLedger!$U390,""))</x:f>
      </x:c>
      <x:c r="N390" s="52" t="str">
        <x:f>IF(CaseLedger!$A390="","",IFERROR(CaseLedger!$V390,""))</x:f>
      </x:c>
      <x:c r="O390" s="52" t="str">
        <x:f>IF(CaseLedger!$A390="","",IFERROR(CaseLedger!$W390,""))</x:f>
      </x:c>
      <x:c r="P390" s="52" t="str">
        <x:f>IF(CaseLedger!$A390="","",IFERROR(CaseLedger!$C390,""))</x:f>
      </x:c>
      <x:c r="Q390" s="52" t="str">
        <x:f>IF(CaseLedger!$A390="","",IFERROR(CaseLedger!$D390,""))</x:f>
      </x:c>
      <x:c r="R390" s="52" t="str">
        <x:f>IF(CaseLedger!$A390="","",IFERROR(CaseLedger!$X390,""))</x:f>
      </x:c>
      <x:c r="S390" s="52" t="str">
        <x:f>IF(CaseLedger!$A390="","",IFERROR(CaseLedger!$Y390,""))</x:f>
      </x:c>
      <x:c r="T390" s="52" t="str">
        <x:f>IF(CaseLedger!$A390="","",IFERROR(CaseLedger!$Z390,""))</x:f>
      </x:c>
      <x:c r="U390" s="52" t="str">
        <x:f>IF(CaseLedger!$A390="","",IFERROR(CaseLedger!$AA390,""))</x:f>
      </x:c>
      <x:c r="V390" s="52" t="str">
        <x:f>IF(CaseLedger!$A390="","",IFERROR(CaseLedger!$AB390,""))</x:f>
      </x:c>
      <x:c r="W390" s="52" t="str">
        <x:f>IF(CaseLedger!$A390="","",IFERROR(CaseLedger!$AC390,""))</x:f>
      </x:c>
      <x:c r="X390" s="52" t="str">
        <x:f>IF(CaseLedger!$A390="","",IFERROR(CaseLedger!$AD390,""))</x:f>
      </x:c>
      <x:c r="Y390" s="52" t="str">
        <x:f>IF(CaseLedger!$A390="","",IFERROR(CaseLedger!$AE390,""))</x:f>
      </x:c>
      <x:c r="Z390" s="52" t="str">
        <x:f>IF(CaseLedger!$A390="","",IFERROR(CaseLedger!$AF390,""))</x:f>
      </x:c>
      <x:c r="AA390" s="52" t="str">
        <x:f>IF(CaseLedger!$A390="","",IFERROR(CaseLedger!$AG390,""))</x:f>
      </x:c>
      <x:c r="AB390" s="52" t="str">
        <x:f>IF(CaseLedger!$A390="","",IFERROR(CaseLedger!$AH390,""))</x:f>
      </x:c>
      <x:c r="AC390"/>
    </x:row>
    <x:row r="391">
      <x:c r="A391" s="52" t="str">
        <x:f>IF(CaseLedger!$A391="","",IFERROR(CaseLedger!$A391,""))</x:f>
      </x:c>
      <x:c r="B391" s="52" t="str">
        <x:f>IF(CaseLedger!$A391="","",IFERROR(CaseLedger!$H391,""))</x:f>
      </x:c>
      <x:c r="C391" s="52" t="str">
        <x:f>IF(CaseLedger!$A391="","",IFERROR(CaseLedger!$I391,""))</x:f>
      </x:c>
      <x:c r="D391" s="52" t="str">
        <x:f>IF(CaseLedger!$A391="","",IFERROR(CaseLedger!$J391,""))</x:f>
      </x:c>
      <x:c r="E391" s="52" t="str">
        <x:f>IF(CaseLedger!$A391="","",IFERROR(CaseLedger!$K391,""))</x:f>
      </x:c>
      <x:c r="F391" s="52" t="str">
        <x:f>IF(CaseLedger!$A391="","",IFERROR(CaseLedger!$O391,""))</x:f>
      </x:c>
      <x:c r="G391" s="52" t="str">
        <x:f>IF(CaseLedger!$A391="","",IFERROR(CaseLedger!$E391,""))</x:f>
      </x:c>
      <x:c r="H391" s="52" t="str">
        <x:f>IF(CaseLedger!$A391="","",IFERROR(CaseLedger!$P391,""))</x:f>
      </x:c>
      <x:c r="I391" s="52" t="str">
        <x:f>IF(CaseLedger!$A391="","",IFERROR(CaseLedger!$Q391,""))</x:f>
      </x:c>
      <x:c r="J391" s="52" t="str">
        <x:f>IF(CaseLedger!$A391="","",IFERROR(CaseLedger!$R391,""))</x:f>
      </x:c>
      <x:c r="K391" s="52" t="str">
        <x:f>IF(CaseLedger!$A391="","",IFERROR(CaseLedger!$S391,""))</x:f>
      </x:c>
      <x:c r="L391" s="52" t="str">
        <x:f>IF(CaseLedger!$A391="","",IFERROR(CaseLedger!$T391,""))</x:f>
      </x:c>
      <x:c r="M391" s="52" t="str">
        <x:f>IF(CaseLedger!$A391="","",IFERROR(CaseLedger!$U391,""))</x:f>
      </x:c>
      <x:c r="N391" s="52" t="str">
        <x:f>IF(CaseLedger!$A391="","",IFERROR(CaseLedger!$V391,""))</x:f>
      </x:c>
      <x:c r="O391" s="52" t="str">
        <x:f>IF(CaseLedger!$A391="","",IFERROR(CaseLedger!$W391,""))</x:f>
      </x:c>
      <x:c r="P391" s="52" t="str">
        <x:f>IF(CaseLedger!$A391="","",IFERROR(CaseLedger!$C391,""))</x:f>
      </x:c>
      <x:c r="Q391" s="52" t="str">
        <x:f>IF(CaseLedger!$A391="","",IFERROR(CaseLedger!$D391,""))</x:f>
      </x:c>
      <x:c r="R391" s="52" t="str">
        <x:f>IF(CaseLedger!$A391="","",IFERROR(CaseLedger!$X391,""))</x:f>
      </x:c>
      <x:c r="S391" s="52" t="str">
        <x:f>IF(CaseLedger!$A391="","",IFERROR(CaseLedger!$Y391,""))</x:f>
      </x:c>
      <x:c r="T391" s="52" t="str">
        <x:f>IF(CaseLedger!$A391="","",IFERROR(CaseLedger!$Z391,""))</x:f>
      </x:c>
      <x:c r="U391" s="52" t="str">
        <x:f>IF(CaseLedger!$A391="","",IFERROR(CaseLedger!$AA391,""))</x:f>
      </x:c>
      <x:c r="V391" s="52" t="str">
        <x:f>IF(CaseLedger!$A391="","",IFERROR(CaseLedger!$AB391,""))</x:f>
      </x:c>
      <x:c r="W391" s="52" t="str">
        <x:f>IF(CaseLedger!$A391="","",IFERROR(CaseLedger!$AC391,""))</x:f>
      </x:c>
      <x:c r="X391" s="52" t="str">
        <x:f>IF(CaseLedger!$A391="","",IFERROR(CaseLedger!$AD391,""))</x:f>
      </x:c>
      <x:c r="Y391" s="52" t="str">
        <x:f>IF(CaseLedger!$A391="","",IFERROR(CaseLedger!$AE391,""))</x:f>
      </x:c>
      <x:c r="Z391" s="52" t="str">
        <x:f>IF(CaseLedger!$A391="","",IFERROR(CaseLedger!$AF391,""))</x:f>
      </x:c>
      <x:c r="AA391" s="52" t="str">
        <x:f>IF(CaseLedger!$A391="","",IFERROR(CaseLedger!$AG391,""))</x:f>
      </x:c>
      <x:c r="AB391" s="52" t="str">
        <x:f>IF(CaseLedger!$A391="","",IFERROR(CaseLedger!$AH391,""))</x:f>
      </x:c>
      <x:c r="AC391"/>
    </x:row>
    <x:row r="392">
      <x:c r="A392" s="52" t="str">
        <x:f>IF(CaseLedger!$A392="","",IFERROR(CaseLedger!$A392,""))</x:f>
      </x:c>
      <x:c r="B392" s="52" t="str">
        <x:f>IF(CaseLedger!$A392="","",IFERROR(CaseLedger!$H392,""))</x:f>
      </x:c>
      <x:c r="C392" s="52" t="str">
        <x:f>IF(CaseLedger!$A392="","",IFERROR(CaseLedger!$I392,""))</x:f>
      </x:c>
      <x:c r="D392" s="52" t="str">
        <x:f>IF(CaseLedger!$A392="","",IFERROR(CaseLedger!$J392,""))</x:f>
      </x:c>
      <x:c r="E392" s="52" t="str">
        <x:f>IF(CaseLedger!$A392="","",IFERROR(CaseLedger!$K392,""))</x:f>
      </x:c>
      <x:c r="F392" s="52" t="str">
        <x:f>IF(CaseLedger!$A392="","",IFERROR(CaseLedger!$O392,""))</x:f>
      </x:c>
      <x:c r="G392" s="52" t="str">
        <x:f>IF(CaseLedger!$A392="","",IFERROR(CaseLedger!$E392,""))</x:f>
      </x:c>
      <x:c r="H392" s="52" t="str">
        <x:f>IF(CaseLedger!$A392="","",IFERROR(CaseLedger!$P392,""))</x:f>
      </x:c>
      <x:c r="I392" s="52" t="str">
        <x:f>IF(CaseLedger!$A392="","",IFERROR(CaseLedger!$Q392,""))</x:f>
      </x:c>
      <x:c r="J392" s="52" t="str">
        <x:f>IF(CaseLedger!$A392="","",IFERROR(CaseLedger!$R392,""))</x:f>
      </x:c>
      <x:c r="K392" s="52" t="str">
        <x:f>IF(CaseLedger!$A392="","",IFERROR(CaseLedger!$S392,""))</x:f>
      </x:c>
      <x:c r="L392" s="52" t="str">
        <x:f>IF(CaseLedger!$A392="","",IFERROR(CaseLedger!$T392,""))</x:f>
      </x:c>
      <x:c r="M392" s="52" t="str">
        <x:f>IF(CaseLedger!$A392="","",IFERROR(CaseLedger!$U392,""))</x:f>
      </x:c>
      <x:c r="N392" s="52" t="str">
        <x:f>IF(CaseLedger!$A392="","",IFERROR(CaseLedger!$V392,""))</x:f>
      </x:c>
      <x:c r="O392" s="52" t="str">
        <x:f>IF(CaseLedger!$A392="","",IFERROR(CaseLedger!$W392,""))</x:f>
      </x:c>
      <x:c r="P392" s="52" t="str">
        <x:f>IF(CaseLedger!$A392="","",IFERROR(CaseLedger!$C392,""))</x:f>
      </x:c>
      <x:c r="Q392" s="52" t="str">
        <x:f>IF(CaseLedger!$A392="","",IFERROR(CaseLedger!$D392,""))</x:f>
      </x:c>
      <x:c r="R392" s="52" t="str">
        <x:f>IF(CaseLedger!$A392="","",IFERROR(CaseLedger!$X392,""))</x:f>
      </x:c>
      <x:c r="S392" s="52" t="str">
        <x:f>IF(CaseLedger!$A392="","",IFERROR(CaseLedger!$Y392,""))</x:f>
      </x:c>
      <x:c r="T392" s="52" t="str">
        <x:f>IF(CaseLedger!$A392="","",IFERROR(CaseLedger!$Z392,""))</x:f>
      </x:c>
      <x:c r="U392" s="52" t="str">
        <x:f>IF(CaseLedger!$A392="","",IFERROR(CaseLedger!$AA392,""))</x:f>
      </x:c>
      <x:c r="V392" s="52" t="str">
        <x:f>IF(CaseLedger!$A392="","",IFERROR(CaseLedger!$AB392,""))</x:f>
      </x:c>
      <x:c r="W392" s="52" t="str">
        <x:f>IF(CaseLedger!$A392="","",IFERROR(CaseLedger!$AC392,""))</x:f>
      </x:c>
      <x:c r="X392" s="52" t="str">
        <x:f>IF(CaseLedger!$A392="","",IFERROR(CaseLedger!$AD392,""))</x:f>
      </x:c>
      <x:c r="Y392" s="52" t="str">
        <x:f>IF(CaseLedger!$A392="","",IFERROR(CaseLedger!$AE392,""))</x:f>
      </x:c>
      <x:c r="Z392" s="52" t="str">
        <x:f>IF(CaseLedger!$A392="","",IFERROR(CaseLedger!$AF392,""))</x:f>
      </x:c>
      <x:c r="AA392" s="52" t="str">
        <x:f>IF(CaseLedger!$A392="","",IFERROR(CaseLedger!$AG392,""))</x:f>
      </x:c>
      <x:c r="AB392" s="52" t="str">
        <x:f>IF(CaseLedger!$A392="","",IFERROR(CaseLedger!$AH392,""))</x:f>
      </x:c>
      <x:c r="AC392"/>
    </x:row>
    <x:row r="393">
      <x:c r="A393" s="52" t="str">
        <x:f>IF(CaseLedger!$A393="","",IFERROR(CaseLedger!$A393,""))</x:f>
      </x:c>
      <x:c r="B393" s="52" t="str">
        <x:f>IF(CaseLedger!$A393="","",IFERROR(CaseLedger!$H393,""))</x:f>
      </x:c>
      <x:c r="C393" s="52" t="str">
        <x:f>IF(CaseLedger!$A393="","",IFERROR(CaseLedger!$I393,""))</x:f>
      </x:c>
      <x:c r="D393" s="52" t="str">
        <x:f>IF(CaseLedger!$A393="","",IFERROR(CaseLedger!$J393,""))</x:f>
      </x:c>
      <x:c r="E393" s="52" t="str">
        <x:f>IF(CaseLedger!$A393="","",IFERROR(CaseLedger!$K393,""))</x:f>
      </x:c>
      <x:c r="F393" s="52" t="str">
        <x:f>IF(CaseLedger!$A393="","",IFERROR(CaseLedger!$O393,""))</x:f>
      </x:c>
      <x:c r="G393" s="52" t="str">
        <x:f>IF(CaseLedger!$A393="","",IFERROR(CaseLedger!$E393,""))</x:f>
      </x:c>
      <x:c r="H393" s="52" t="str">
        <x:f>IF(CaseLedger!$A393="","",IFERROR(CaseLedger!$P393,""))</x:f>
      </x:c>
      <x:c r="I393" s="52" t="str">
        <x:f>IF(CaseLedger!$A393="","",IFERROR(CaseLedger!$Q393,""))</x:f>
      </x:c>
      <x:c r="J393" s="52" t="str">
        <x:f>IF(CaseLedger!$A393="","",IFERROR(CaseLedger!$R393,""))</x:f>
      </x:c>
      <x:c r="K393" s="52" t="str">
        <x:f>IF(CaseLedger!$A393="","",IFERROR(CaseLedger!$S393,""))</x:f>
      </x:c>
      <x:c r="L393" s="52" t="str">
        <x:f>IF(CaseLedger!$A393="","",IFERROR(CaseLedger!$T393,""))</x:f>
      </x:c>
      <x:c r="M393" s="52" t="str">
        <x:f>IF(CaseLedger!$A393="","",IFERROR(CaseLedger!$U393,""))</x:f>
      </x:c>
      <x:c r="N393" s="52" t="str">
        <x:f>IF(CaseLedger!$A393="","",IFERROR(CaseLedger!$V393,""))</x:f>
      </x:c>
      <x:c r="O393" s="52" t="str">
        <x:f>IF(CaseLedger!$A393="","",IFERROR(CaseLedger!$W393,""))</x:f>
      </x:c>
      <x:c r="P393" s="52" t="str">
        <x:f>IF(CaseLedger!$A393="","",IFERROR(CaseLedger!$C393,""))</x:f>
      </x:c>
      <x:c r="Q393" s="52" t="str">
        <x:f>IF(CaseLedger!$A393="","",IFERROR(CaseLedger!$D393,""))</x:f>
      </x:c>
      <x:c r="R393" s="52" t="str">
        <x:f>IF(CaseLedger!$A393="","",IFERROR(CaseLedger!$X393,""))</x:f>
      </x:c>
      <x:c r="S393" s="52" t="str">
        <x:f>IF(CaseLedger!$A393="","",IFERROR(CaseLedger!$Y393,""))</x:f>
      </x:c>
      <x:c r="T393" s="52" t="str">
        <x:f>IF(CaseLedger!$A393="","",IFERROR(CaseLedger!$Z393,""))</x:f>
      </x:c>
      <x:c r="U393" s="52" t="str">
        <x:f>IF(CaseLedger!$A393="","",IFERROR(CaseLedger!$AA393,""))</x:f>
      </x:c>
      <x:c r="V393" s="52" t="str">
        <x:f>IF(CaseLedger!$A393="","",IFERROR(CaseLedger!$AB393,""))</x:f>
      </x:c>
      <x:c r="W393" s="52" t="str">
        <x:f>IF(CaseLedger!$A393="","",IFERROR(CaseLedger!$AC393,""))</x:f>
      </x:c>
      <x:c r="X393" s="52" t="str">
        <x:f>IF(CaseLedger!$A393="","",IFERROR(CaseLedger!$AD393,""))</x:f>
      </x:c>
      <x:c r="Y393" s="52" t="str">
        <x:f>IF(CaseLedger!$A393="","",IFERROR(CaseLedger!$AE393,""))</x:f>
      </x:c>
      <x:c r="Z393" s="52" t="str">
        <x:f>IF(CaseLedger!$A393="","",IFERROR(CaseLedger!$AF393,""))</x:f>
      </x:c>
      <x:c r="AA393" s="52" t="str">
        <x:f>IF(CaseLedger!$A393="","",IFERROR(CaseLedger!$AG393,""))</x:f>
      </x:c>
      <x:c r="AB393" s="52" t="str">
        <x:f>IF(CaseLedger!$A393="","",IFERROR(CaseLedger!$AH393,""))</x:f>
      </x:c>
      <x:c r="AC393"/>
    </x:row>
    <x:row r="394">
      <x:c r="A394" s="52" t="str">
        <x:f>IF(CaseLedger!$A394="","",IFERROR(CaseLedger!$A394,""))</x:f>
      </x:c>
      <x:c r="B394" s="52" t="str">
        <x:f>IF(CaseLedger!$A394="","",IFERROR(CaseLedger!$H394,""))</x:f>
      </x:c>
      <x:c r="C394" s="52" t="str">
        <x:f>IF(CaseLedger!$A394="","",IFERROR(CaseLedger!$I394,""))</x:f>
      </x:c>
      <x:c r="D394" s="52" t="str">
        <x:f>IF(CaseLedger!$A394="","",IFERROR(CaseLedger!$J394,""))</x:f>
      </x:c>
      <x:c r="E394" s="52" t="str">
        <x:f>IF(CaseLedger!$A394="","",IFERROR(CaseLedger!$K394,""))</x:f>
      </x:c>
      <x:c r="F394" s="52" t="str">
        <x:f>IF(CaseLedger!$A394="","",IFERROR(CaseLedger!$O394,""))</x:f>
      </x:c>
      <x:c r="G394" s="52" t="str">
        <x:f>IF(CaseLedger!$A394="","",IFERROR(CaseLedger!$E394,""))</x:f>
      </x:c>
      <x:c r="H394" s="52" t="str">
        <x:f>IF(CaseLedger!$A394="","",IFERROR(CaseLedger!$P394,""))</x:f>
      </x:c>
      <x:c r="I394" s="52" t="str">
        <x:f>IF(CaseLedger!$A394="","",IFERROR(CaseLedger!$Q394,""))</x:f>
      </x:c>
      <x:c r="J394" s="52" t="str">
        <x:f>IF(CaseLedger!$A394="","",IFERROR(CaseLedger!$R394,""))</x:f>
      </x:c>
      <x:c r="K394" s="52" t="str">
        <x:f>IF(CaseLedger!$A394="","",IFERROR(CaseLedger!$S394,""))</x:f>
      </x:c>
      <x:c r="L394" s="52" t="str">
        <x:f>IF(CaseLedger!$A394="","",IFERROR(CaseLedger!$T394,""))</x:f>
      </x:c>
      <x:c r="M394" s="52" t="str">
        <x:f>IF(CaseLedger!$A394="","",IFERROR(CaseLedger!$U394,""))</x:f>
      </x:c>
      <x:c r="N394" s="52" t="str">
        <x:f>IF(CaseLedger!$A394="","",IFERROR(CaseLedger!$V394,""))</x:f>
      </x:c>
      <x:c r="O394" s="52" t="str">
        <x:f>IF(CaseLedger!$A394="","",IFERROR(CaseLedger!$W394,""))</x:f>
      </x:c>
      <x:c r="P394" s="52" t="str">
        <x:f>IF(CaseLedger!$A394="","",IFERROR(CaseLedger!$C394,""))</x:f>
      </x:c>
      <x:c r="Q394" s="52" t="str">
        <x:f>IF(CaseLedger!$A394="","",IFERROR(CaseLedger!$D394,""))</x:f>
      </x:c>
      <x:c r="R394" s="52" t="str">
        <x:f>IF(CaseLedger!$A394="","",IFERROR(CaseLedger!$X394,""))</x:f>
      </x:c>
      <x:c r="S394" s="52" t="str">
        <x:f>IF(CaseLedger!$A394="","",IFERROR(CaseLedger!$Y394,""))</x:f>
      </x:c>
      <x:c r="T394" s="52" t="str">
        <x:f>IF(CaseLedger!$A394="","",IFERROR(CaseLedger!$Z394,""))</x:f>
      </x:c>
      <x:c r="U394" s="52" t="str">
        <x:f>IF(CaseLedger!$A394="","",IFERROR(CaseLedger!$AA394,""))</x:f>
      </x:c>
      <x:c r="V394" s="52" t="str">
        <x:f>IF(CaseLedger!$A394="","",IFERROR(CaseLedger!$AB394,""))</x:f>
      </x:c>
      <x:c r="W394" s="52" t="str">
        <x:f>IF(CaseLedger!$A394="","",IFERROR(CaseLedger!$AC394,""))</x:f>
      </x:c>
      <x:c r="X394" s="52" t="str">
        <x:f>IF(CaseLedger!$A394="","",IFERROR(CaseLedger!$AD394,""))</x:f>
      </x:c>
      <x:c r="Y394" s="52" t="str">
        <x:f>IF(CaseLedger!$A394="","",IFERROR(CaseLedger!$AE394,""))</x:f>
      </x:c>
      <x:c r="Z394" s="52" t="str">
        <x:f>IF(CaseLedger!$A394="","",IFERROR(CaseLedger!$AF394,""))</x:f>
      </x:c>
      <x:c r="AA394" s="52" t="str">
        <x:f>IF(CaseLedger!$A394="","",IFERROR(CaseLedger!$AG394,""))</x:f>
      </x:c>
      <x:c r="AB394" s="52" t="str">
        <x:f>IF(CaseLedger!$A394="","",IFERROR(CaseLedger!$AH394,""))</x:f>
      </x:c>
      <x:c r="AC394"/>
    </x:row>
    <x:row r="395">
      <x:c r="A395" s="52" t="str">
        <x:f>IF(CaseLedger!$A395="","",IFERROR(CaseLedger!$A395,""))</x:f>
      </x:c>
      <x:c r="B395" s="52" t="str">
        <x:f>IF(CaseLedger!$A395="","",IFERROR(CaseLedger!$H395,""))</x:f>
      </x:c>
      <x:c r="C395" s="52" t="str">
        <x:f>IF(CaseLedger!$A395="","",IFERROR(CaseLedger!$I395,""))</x:f>
      </x:c>
      <x:c r="D395" s="52" t="str">
        <x:f>IF(CaseLedger!$A395="","",IFERROR(CaseLedger!$J395,""))</x:f>
      </x:c>
      <x:c r="E395" s="52" t="str">
        <x:f>IF(CaseLedger!$A395="","",IFERROR(CaseLedger!$K395,""))</x:f>
      </x:c>
      <x:c r="F395" s="52" t="str">
        <x:f>IF(CaseLedger!$A395="","",IFERROR(CaseLedger!$O395,""))</x:f>
      </x:c>
      <x:c r="G395" s="52" t="str">
        <x:f>IF(CaseLedger!$A395="","",IFERROR(CaseLedger!$E395,""))</x:f>
      </x:c>
      <x:c r="H395" s="52" t="str">
        <x:f>IF(CaseLedger!$A395="","",IFERROR(CaseLedger!$P395,""))</x:f>
      </x:c>
      <x:c r="I395" s="52" t="str">
        <x:f>IF(CaseLedger!$A395="","",IFERROR(CaseLedger!$Q395,""))</x:f>
      </x:c>
      <x:c r="J395" s="52" t="str">
        <x:f>IF(CaseLedger!$A395="","",IFERROR(CaseLedger!$R395,""))</x:f>
      </x:c>
      <x:c r="K395" s="52" t="str">
        <x:f>IF(CaseLedger!$A395="","",IFERROR(CaseLedger!$S395,""))</x:f>
      </x:c>
      <x:c r="L395" s="52" t="str">
        <x:f>IF(CaseLedger!$A395="","",IFERROR(CaseLedger!$T395,""))</x:f>
      </x:c>
      <x:c r="M395" s="52" t="str">
        <x:f>IF(CaseLedger!$A395="","",IFERROR(CaseLedger!$U395,""))</x:f>
      </x:c>
      <x:c r="N395" s="52" t="str">
        <x:f>IF(CaseLedger!$A395="","",IFERROR(CaseLedger!$V395,""))</x:f>
      </x:c>
      <x:c r="O395" s="52" t="str">
        <x:f>IF(CaseLedger!$A395="","",IFERROR(CaseLedger!$W395,""))</x:f>
      </x:c>
      <x:c r="P395" s="52" t="str">
        <x:f>IF(CaseLedger!$A395="","",IFERROR(CaseLedger!$C395,""))</x:f>
      </x:c>
      <x:c r="Q395" s="52" t="str">
        <x:f>IF(CaseLedger!$A395="","",IFERROR(CaseLedger!$D395,""))</x:f>
      </x:c>
      <x:c r="R395" s="52" t="str">
        <x:f>IF(CaseLedger!$A395="","",IFERROR(CaseLedger!$X395,""))</x:f>
      </x:c>
      <x:c r="S395" s="52" t="str">
        <x:f>IF(CaseLedger!$A395="","",IFERROR(CaseLedger!$Y395,""))</x:f>
      </x:c>
      <x:c r="T395" s="52" t="str">
        <x:f>IF(CaseLedger!$A395="","",IFERROR(CaseLedger!$Z395,""))</x:f>
      </x:c>
      <x:c r="U395" s="52" t="str">
        <x:f>IF(CaseLedger!$A395="","",IFERROR(CaseLedger!$AA395,""))</x:f>
      </x:c>
      <x:c r="V395" s="52" t="str">
        <x:f>IF(CaseLedger!$A395="","",IFERROR(CaseLedger!$AB395,""))</x:f>
      </x:c>
      <x:c r="W395" s="52" t="str">
        <x:f>IF(CaseLedger!$A395="","",IFERROR(CaseLedger!$AC395,""))</x:f>
      </x:c>
      <x:c r="X395" s="52" t="str">
        <x:f>IF(CaseLedger!$A395="","",IFERROR(CaseLedger!$AD395,""))</x:f>
      </x:c>
      <x:c r="Y395" s="52" t="str">
        <x:f>IF(CaseLedger!$A395="","",IFERROR(CaseLedger!$AE395,""))</x:f>
      </x:c>
      <x:c r="Z395" s="52" t="str">
        <x:f>IF(CaseLedger!$A395="","",IFERROR(CaseLedger!$AF395,""))</x:f>
      </x:c>
      <x:c r="AA395" s="52" t="str">
        <x:f>IF(CaseLedger!$A395="","",IFERROR(CaseLedger!$AG395,""))</x:f>
      </x:c>
      <x:c r="AB395" s="52" t="str">
        <x:f>IF(CaseLedger!$A395="","",IFERROR(CaseLedger!$AH395,""))</x:f>
      </x:c>
      <x:c r="AC395"/>
    </x:row>
    <x:row r="396">
      <x:c r="A396" s="52" t="str">
        <x:f>IF(CaseLedger!$A396="","",IFERROR(CaseLedger!$A396,""))</x:f>
      </x:c>
      <x:c r="B396" s="52" t="str">
        <x:f>IF(CaseLedger!$A396="","",IFERROR(CaseLedger!$H396,""))</x:f>
      </x:c>
      <x:c r="C396" s="52" t="str">
        <x:f>IF(CaseLedger!$A396="","",IFERROR(CaseLedger!$I396,""))</x:f>
      </x:c>
      <x:c r="D396" s="52" t="str">
        <x:f>IF(CaseLedger!$A396="","",IFERROR(CaseLedger!$J396,""))</x:f>
      </x:c>
      <x:c r="E396" s="52" t="str">
        <x:f>IF(CaseLedger!$A396="","",IFERROR(CaseLedger!$K396,""))</x:f>
      </x:c>
      <x:c r="F396" s="52" t="str">
        <x:f>IF(CaseLedger!$A396="","",IFERROR(CaseLedger!$O396,""))</x:f>
      </x:c>
      <x:c r="G396" s="52" t="str">
        <x:f>IF(CaseLedger!$A396="","",IFERROR(CaseLedger!$E396,""))</x:f>
      </x:c>
      <x:c r="H396" s="52" t="str">
        <x:f>IF(CaseLedger!$A396="","",IFERROR(CaseLedger!$P396,""))</x:f>
      </x:c>
      <x:c r="I396" s="52" t="str">
        <x:f>IF(CaseLedger!$A396="","",IFERROR(CaseLedger!$Q396,""))</x:f>
      </x:c>
      <x:c r="J396" s="52" t="str">
        <x:f>IF(CaseLedger!$A396="","",IFERROR(CaseLedger!$R396,""))</x:f>
      </x:c>
      <x:c r="K396" s="52" t="str">
        <x:f>IF(CaseLedger!$A396="","",IFERROR(CaseLedger!$S396,""))</x:f>
      </x:c>
      <x:c r="L396" s="52" t="str">
        <x:f>IF(CaseLedger!$A396="","",IFERROR(CaseLedger!$T396,""))</x:f>
      </x:c>
      <x:c r="M396" s="52" t="str">
        <x:f>IF(CaseLedger!$A396="","",IFERROR(CaseLedger!$U396,""))</x:f>
      </x:c>
      <x:c r="N396" s="52" t="str">
        <x:f>IF(CaseLedger!$A396="","",IFERROR(CaseLedger!$V396,""))</x:f>
      </x:c>
      <x:c r="O396" s="52" t="str">
        <x:f>IF(CaseLedger!$A396="","",IFERROR(CaseLedger!$W396,""))</x:f>
      </x:c>
      <x:c r="P396" s="52" t="str">
        <x:f>IF(CaseLedger!$A396="","",IFERROR(CaseLedger!$C396,""))</x:f>
      </x:c>
      <x:c r="Q396" s="52" t="str">
        <x:f>IF(CaseLedger!$A396="","",IFERROR(CaseLedger!$D396,""))</x:f>
      </x:c>
      <x:c r="R396" s="52" t="str">
        <x:f>IF(CaseLedger!$A396="","",IFERROR(CaseLedger!$X396,""))</x:f>
      </x:c>
      <x:c r="S396" s="52" t="str">
        <x:f>IF(CaseLedger!$A396="","",IFERROR(CaseLedger!$Y396,""))</x:f>
      </x:c>
      <x:c r="T396" s="52" t="str">
        <x:f>IF(CaseLedger!$A396="","",IFERROR(CaseLedger!$Z396,""))</x:f>
      </x:c>
      <x:c r="U396" s="52" t="str">
        <x:f>IF(CaseLedger!$A396="","",IFERROR(CaseLedger!$AA396,""))</x:f>
      </x:c>
      <x:c r="V396" s="52" t="str">
        <x:f>IF(CaseLedger!$A396="","",IFERROR(CaseLedger!$AB396,""))</x:f>
      </x:c>
      <x:c r="W396" s="52" t="str">
        <x:f>IF(CaseLedger!$A396="","",IFERROR(CaseLedger!$AC396,""))</x:f>
      </x:c>
      <x:c r="X396" s="52" t="str">
        <x:f>IF(CaseLedger!$A396="","",IFERROR(CaseLedger!$AD396,""))</x:f>
      </x:c>
      <x:c r="Y396" s="52" t="str">
        <x:f>IF(CaseLedger!$A396="","",IFERROR(CaseLedger!$AE396,""))</x:f>
      </x:c>
      <x:c r="Z396" s="52" t="str">
        <x:f>IF(CaseLedger!$A396="","",IFERROR(CaseLedger!$AF396,""))</x:f>
      </x:c>
      <x:c r="AA396" s="52" t="str">
        <x:f>IF(CaseLedger!$A396="","",IFERROR(CaseLedger!$AG396,""))</x:f>
      </x:c>
      <x:c r="AB396" s="52" t="str">
        <x:f>IF(CaseLedger!$A396="","",IFERROR(CaseLedger!$AH396,""))</x:f>
      </x:c>
      <x:c r="AC396"/>
    </x:row>
    <x:row r="397">
      <x:c r="A397" s="52" t="str">
        <x:f>IF(CaseLedger!$A397="","",IFERROR(CaseLedger!$A397,""))</x:f>
      </x:c>
      <x:c r="B397" s="52" t="str">
        <x:f>IF(CaseLedger!$A397="","",IFERROR(CaseLedger!$H397,""))</x:f>
      </x:c>
      <x:c r="C397" s="52" t="str">
        <x:f>IF(CaseLedger!$A397="","",IFERROR(CaseLedger!$I397,""))</x:f>
      </x:c>
      <x:c r="D397" s="52" t="str">
        <x:f>IF(CaseLedger!$A397="","",IFERROR(CaseLedger!$J397,""))</x:f>
      </x:c>
      <x:c r="E397" s="52" t="str">
        <x:f>IF(CaseLedger!$A397="","",IFERROR(CaseLedger!$K397,""))</x:f>
      </x:c>
      <x:c r="F397" s="52" t="str">
        <x:f>IF(CaseLedger!$A397="","",IFERROR(CaseLedger!$O397,""))</x:f>
      </x:c>
      <x:c r="G397" s="52" t="str">
        <x:f>IF(CaseLedger!$A397="","",IFERROR(CaseLedger!$E397,""))</x:f>
      </x:c>
      <x:c r="H397" s="52" t="str">
        <x:f>IF(CaseLedger!$A397="","",IFERROR(CaseLedger!$P397,""))</x:f>
      </x:c>
      <x:c r="I397" s="52" t="str">
        <x:f>IF(CaseLedger!$A397="","",IFERROR(CaseLedger!$Q397,""))</x:f>
      </x:c>
      <x:c r="J397" s="52" t="str">
        <x:f>IF(CaseLedger!$A397="","",IFERROR(CaseLedger!$R397,""))</x:f>
      </x:c>
      <x:c r="K397" s="52" t="str">
        <x:f>IF(CaseLedger!$A397="","",IFERROR(CaseLedger!$S397,""))</x:f>
      </x:c>
      <x:c r="L397" s="52" t="str">
        <x:f>IF(CaseLedger!$A397="","",IFERROR(CaseLedger!$T397,""))</x:f>
      </x:c>
      <x:c r="M397" s="52" t="str">
        <x:f>IF(CaseLedger!$A397="","",IFERROR(CaseLedger!$U397,""))</x:f>
      </x:c>
      <x:c r="N397" s="52" t="str">
        <x:f>IF(CaseLedger!$A397="","",IFERROR(CaseLedger!$V397,""))</x:f>
      </x:c>
      <x:c r="O397" s="52" t="str">
        <x:f>IF(CaseLedger!$A397="","",IFERROR(CaseLedger!$W397,""))</x:f>
      </x:c>
      <x:c r="P397" s="52" t="str">
        <x:f>IF(CaseLedger!$A397="","",IFERROR(CaseLedger!$C397,""))</x:f>
      </x:c>
      <x:c r="Q397" s="52" t="str">
        <x:f>IF(CaseLedger!$A397="","",IFERROR(CaseLedger!$D397,""))</x:f>
      </x:c>
      <x:c r="R397" s="52" t="str">
        <x:f>IF(CaseLedger!$A397="","",IFERROR(CaseLedger!$X397,""))</x:f>
      </x:c>
      <x:c r="S397" s="52" t="str">
        <x:f>IF(CaseLedger!$A397="","",IFERROR(CaseLedger!$Y397,""))</x:f>
      </x:c>
      <x:c r="T397" s="52" t="str">
        <x:f>IF(CaseLedger!$A397="","",IFERROR(CaseLedger!$Z397,""))</x:f>
      </x:c>
      <x:c r="U397" s="52" t="str">
        <x:f>IF(CaseLedger!$A397="","",IFERROR(CaseLedger!$AA397,""))</x:f>
      </x:c>
      <x:c r="V397" s="52" t="str">
        <x:f>IF(CaseLedger!$A397="","",IFERROR(CaseLedger!$AB397,""))</x:f>
      </x:c>
      <x:c r="W397" s="52" t="str">
        <x:f>IF(CaseLedger!$A397="","",IFERROR(CaseLedger!$AC397,""))</x:f>
      </x:c>
      <x:c r="X397" s="52" t="str">
        <x:f>IF(CaseLedger!$A397="","",IFERROR(CaseLedger!$AD397,""))</x:f>
      </x:c>
      <x:c r="Y397" s="52" t="str">
        <x:f>IF(CaseLedger!$A397="","",IFERROR(CaseLedger!$AE397,""))</x:f>
      </x:c>
      <x:c r="Z397" s="52" t="str">
        <x:f>IF(CaseLedger!$A397="","",IFERROR(CaseLedger!$AF397,""))</x:f>
      </x:c>
      <x:c r="AA397" s="52" t="str">
        <x:f>IF(CaseLedger!$A397="","",IFERROR(CaseLedger!$AG397,""))</x:f>
      </x:c>
      <x:c r="AB397" s="52" t="str">
        <x:f>IF(CaseLedger!$A397="","",IFERROR(CaseLedger!$AH397,""))</x:f>
      </x:c>
      <x:c r="AC397"/>
    </x:row>
    <x:row r="398">
      <x:c r="A398" s="52" t="str">
        <x:f>IF(CaseLedger!$A398="","",IFERROR(CaseLedger!$A398,""))</x:f>
      </x:c>
      <x:c r="B398" s="52" t="str">
        <x:f>IF(CaseLedger!$A398="","",IFERROR(CaseLedger!$H398,""))</x:f>
      </x:c>
      <x:c r="C398" s="52" t="str">
        <x:f>IF(CaseLedger!$A398="","",IFERROR(CaseLedger!$I398,""))</x:f>
      </x:c>
      <x:c r="D398" s="52" t="str">
        <x:f>IF(CaseLedger!$A398="","",IFERROR(CaseLedger!$J398,""))</x:f>
      </x:c>
      <x:c r="E398" s="52" t="str">
        <x:f>IF(CaseLedger!$A398="","",IFERROR(CaseLedger!$K398,""))</x:f>
      </x:c>
      <x:c r="F398" s="52" t="str">
        <x:f>IF(CaseLedger!$A398="","",IFERROR(CaseLedger!$O398,""))</x:f>
      </x:c>
      <x:c r="G398" s="52" t="str">
        <x:f>IF(CaseLedger!$A398="","",IFERROR(CaseLedger!$E398,""))</x:f>
      </x:c>
      <x:c r="H398" s="52" t="str">
        <x:f>IF(CaseLedger!$A398="","",IFERROR(CaseLedger!$P398,""))</x:f>
      </x:c>
      <x:c r="I398" s="52" t="str">
        <x:f>IF(CaseLedger!$A398="","",IFERROR(CaseLedger!$Q398,""))</x:f>
      </x:c>
      <x:c r="J398" s="52" t="str">
        <x:f>IF(CaseLedger!$A398="","",IFERROR(CaseLedger!$R398,""))</x:f>
      </x:c>
      <x:c r="K398" s="52" t="str">
        <x:f>IF(CaseLedger!$A398="","",IFERROR(CaseLedger!$S398,""))</x:f>
      </x:c>
      <x:c r="L398" s="52" t="str">
        <x:f>IF(CaseLedger!$A398="","",IFERROR(CaseLedger!$T398,""))</x:f>
      </x:c>
      <x:c r="M398" s="52" t="str">
        <x:f>IF(CaseLedger!$A398="","",IFERROR(CaseLedger!$U398,""))</x:f>
      </x:c>
      <x:c r="N398" s="52" t="str">
        <x:f>IF(CaseLedger!$A398="","",IFERROR(CaseLedger!$V398,""))</x:f>
      </x:c>
      <x:c r="O398" s="52" t="str">
        <x:f>IF(CaseLedger!$A398="","",IFERROR(CaseLedger!$W398,""))</x:f>
      </x:c>
      <x:c r="P398" s="52" t="str">
        <x:f>IF(CaseLedger!$A398="","",IFERROR(CaseLedger!$C398,""))</x:f>
      </x:c>
      <x:c r="Q398" s="52" t="str">
        <x:f>IF(CaseLedger!$A398="","",IFERROR(CaseLedger!$D398,""))</x:f>
      </x:c>
      <x:c r="R398" s="52" t="str">
        <x:f>IF(CaseLedger!$A398="","",IFERROR(CaseLedger!$X398,""))</x:f>
      </x:c>
      <x:c r="S398" s="52" t="str">
        <x:f>IF(CaseLedger!$A398="","",IFERROR(CaseLedger!$Y398,""))</x:f>
      </x:c>
      <x:c r="T398" s="52" t="str">
        <x:f>IF(CaseLedger!$A398="","",IFERROR(CaseLedger!$Z398,""))</x:f>
      </x:c>
      <x:c r="U398" s="52" t="str">
        <x:f>IF(CaseLedger!$A398="","",IFERROR(CaseLedger!$AA398,""))</x:f>
      </x:c>
      <x:c r="V398" s="52" t="str">
        <x:f>IF(CaseLedger!$A398="","",IFERROR(CaseLedger!$AB398,""))</x:f>
      </x:c>
      <x:c r="W398" s="52" t="str">
        <x:f>IF(CaseLedger!$A398="","",IFERROR(CaseLedger!$AC398,""))</x:f>
      </x:c>
      <x:c r="X398" s="52" t="str">
        <x:f>IF(CaseLedger!$A398="","",IFERROR(CaseLedger!$AD398,""))</x:f>
      </x:c>
      <x:c r="Y398" s="52" t="str">
        <x:f>IF(CaseLedger!$A398="","",IFERROR(CaseLedger!$AE398,""))</x:f>
      </x:c>
      <x:c r="Z398" s="52" t="str">
        <x:f>IF(CaseLedger!$A398="","",IFERROR(CaseLedger!$AF398,""))</x:f>
      </x:c>
      <x:c r="AA398" s="52" t="str">
        <x:f>IF(CaseLedger!$A398="","",IFERROR(CaseLedger!$AG398,""))</x:f>
      </x:c>
      <x:c r="AB398" s="52" t="str">
        <x:f>IF(CaseLedger!$A398="","",IFERROR(CaseLedger!$AH398,""))</x:f>
      </x:c>
      <x:c r="AC398"/>
    </x:row>
    <x:row r="399">
      <x:c r="A399" s="52" t="str">
        <x:f>IF(CaseLedger!$A399="","",IFERROR(CaseLedger!$A399,""))</x:f>
      </x:c>
      <x:c r="B399" s="52" t="str">
        <x:f>IF(CaseLedger!$A399="","",IFERROR(CaseLedger!$H399,""))</x:f>
      </x:c>
      <x:c r="C399" s="52" t="str">
        <x:f>IF(CaseLedger!$A399="","",IFERROR(CaseLedger!$I399,""))</x:f>
      </x:c>
      <x:c r="D399" s="52" t="str">
        <x:f>IF(CaseLedger!$A399="","",IFERROR(CaseLedger!$J399,""))</x:f>
      </x:c>
      <x:c r="E399" s="52" t="str">
        <x:f>IF(CaseLedger!$A399="","",IFERROR(CaseLedger!$K399,""))</x:f>
      </x:c>
      <x:c r="F399" s="52" t="str">
        <x:f>IF(CaseLedger!$A399="","",IFERROR(CaseLedger!$O399,""))</x:f>
      </x:c>
      <x:c r="G399" s="52" t="str">
        <x:f>IF(CaseLedger!$A399="","",IFERROR(CaseLedger!$E399,""))</x:f>
      </x:c>
      <x:c r="H399" s="52" t="str">
        <x:f>IF(CaseLedger!$A399="","",IFERROR(CaseLedger!$P399,""))</x:f>
      </x:c>
      <x:c r="I399" s="52" t="str">
        <x:f>IF(CaseLedger!$A399="","",IFERROR(CaseLedger!$Q399,""))</x:f>
      </x:c>
      <x:c r="J399" s="52" t="str">
        <x:f>IF(CaseLedger!$A399="","",IFERROR(CaseLedger!$R399,""))</x:f>
      </x:c>
      <x:c r="K399" s="52" t="str">
        <x:f>IF(CaseLedger!$A399="","",IFERROR(CaseLedger!$S399,""))</x:f>
      </x:c>
      <x:c r="L399" s="52" t="str">
        <x:f>IF(CaseLedger!$A399="","",IFERROR(CaseLedger!$T399,""))</x:f>
      </x:c>
      <x:c r="M399" s="52" t="str">
        <x:f>IF(CaseLedger!$A399="","",IFERROR(CaseLedger!$U399,""))</x:f>
      </x:c>
      <x:c r="N399" s="52" t="str">
        <x:f>IF(CaseLedger!$A399="","",IFERROR(CaseLedger!$V399,""))</x:f>
      </x:c>
      <x:c r="O399" s="52" t="str">
        <x:f>IF(CaseLedger!$A399="","",IFERROR(CaseLedger!$W399,""))</x:f>
      </x:c>
      <x:c r="P399" s="52" t="str">
        <x:f>IF(CaseLedger!$A399="","",IFERROR(CaseLedger!$C399,""))</x:f>
      </x:c>
      <x:c r="Q399" s="52" t="str">
        <x:f>IF(CaseLedger!$A399="","",IFERROR(CaseLedger!$D399,""))</x:f>
      </x:c>
      <x:c r="R399" s="52" t="str">
        <x:f>IF(CaseLedger!$A399="","",IFERROR(CaseLedger!$X399,""))</x:f>
      </x:c>
      <x:c r="S399" s="52" t="str">
        <x:f>IF(CaseLedger!$A399="","",IFERROR(CaseLedger!$Y399,""))</x:f>
      </x:c>
      <x:c r="T399" s="52" t="str">
        <x:f>IF(CaseLedger!$A399="","",IFERROR(CaseLedger!$Z399,""))</x:f>
      </x:c>
      <x:c r="U399" s="52" t="str">
        <x:f>IF(CaseLedger!$A399="","",IFERROR(CaseLedger!$AA399,""))</x:f>
      </x:c>
      <x:c r="V399" s="52" t="str">
        <x:f>IF(CaseLedger!$A399="","",IFERROR(CaseLedger!$AB399,""))</x:f>
      </x:c>
      <x:c r="W399" s="52" t="str">
        <x:f>IF(CaseLedger!$A399="","",IFERROR(CaseLedger!$AC399,""))</x:f>
      </x:c>
      <x:c r="X399" s="52" t="str">
        <x:f>IF(CaseLedger!$A399="","",IFERROR(CaseLedger!$AD399,""))</x:f>
      </x:c>
      <x:c r="Y399" s="52" t="str">
        <x:f>IF(CaseLedger!$A399="","",IFERROR(CaseLedger!$AE399,""))</x:f>
      </x:c>
      <x:c r="Z399" s="52" t="str">
        <x:f>IF(CaseLedger!$A399="","",IFERROR(CaseLedger!$AF399,""))</x:f>
      </x:c>
      <x:c r="AA399" s="52" t="str">
        <x:f>IF(CaseLedger!$A399="","",IFERROR(CaseLedger!$AG399,""))</x:f>
      </x:c>
      <x:c r="AB399" s="52" t="str">
        <x:f>IF(CaseLedger!$A399="","",IFERROR(CaseLedger!$AH399,""))</x:f>
      </x:c>
      <x:c r="AC399"/>
    </x:row>
    <x:row r="400">
      <x:c r="A400" s="52" t="str">
        <x:f>IF(CaseLedger!$A400="","",IFERROR(CaseLedger!$A400,""))</x:f>
      </x:c>
      <x:c r="B400" s="52" t="str">
        <x:f>IF(CaseLedger!$A400="","",IFERROR(CaseLedger!$H400,""))</x:f>
      </x:c>
      <x:c r="C400" s="52" t="str">
        <x:f>IF(CaseLedger!$A400="","",IFERROR(CaseLedger!$I400,""))</x:f>
      </x:c>
      <x:c r="D400" s="52" t="str">
        <x:f>IF(CaseLedger!$A400="","",IFERROR(CaseLedger!$J400,""))</x:f>
      </x:c>
      <x:c r="E400" s="52" t="str">
        <x:f>IF(CaseLedger!$A400="","",IFERROR(CaseLedger!$K400,""))</x:f>
      </x:c>
      <x:c r="F400" s="52" t="str">
        <x:f>IF(CaseLedger!$A400="","",IFERROR(CaseLedger!$O400,""))</x:f>
      </x:c>
      <x:c r="G400" s="52" t="str">
        <x:f>IF(CaseLedger!$A400="","",IFERROR(CaseLedger!$E400,""))</x:f>
      </x:c>
      <x:c r="H400" s="52" t="str">
        <x:f>IF(CaseLedger!$A400="","",IFERROR(CaseLedger!$P400,""))</x:f>
      </x:c>
      <x:c r="I400" s="52" t="str">
        <x:f>IF(CaseLedger!$A400="","",IFERROR(CaseLedger!$Q400,""))</x:f>
      </x:c>
      <x:c r="J400" s="52" t="str">
        <x:f>IF(CaseLedger!$A400="","",IFERROR(CaseLedger!$R400,""))</x:f>
      </x:c>
      <x:c r="K400" s="52" t="str">
        <x:f>IF(CaseLedger!$A400="","",IFERROR(CaseLedger!$S400,""))</x:f>
      </x:c>
      <x:c r="L400" s="52" t="str">
        <x:f>IF(CaseLedger!$A400="","",IFERROR(CaseLedger!$T400,""))</x:f>
      </x:c>
      <x:c r="M400" s="52" t="str">
        <x:f>IF(CaseLedger!$A400="","",IFERROR(CaseLedger!$U400,""))</x:f>
      </x:c>
      <x:c r="N400" s="52" t="str">
        <x:f>IF(CaseLedger!$A400="","",IFERROR(CaseLedger!$V400,""))</x:f>
      </x:c>
      <x:c r="O400" s="52" t="str">
        <x:f>IF(CaseLedger!$A400="","",IFERROR(CaseLedger!$W400,""))</x:f>
      </x:c>
      <x:c r="P400" s="52" t="str">
        <x:f>IF(CaseLedger!$A400="","",IFERROR(CaseLedger!$C400,""))</x:f>
      </x:c>
      <x:c r="Q400" s="52" t="str">
        <x:f>IF(CaseLedger!$A400="","",IFERROR(CaseLedger!$D400,""))</x:f>
      </x:c>
      <x:c r="R400" s="52" t="str">
        <x:f>IF(CaseLedger!$A400="","",IFERROR(CaseLedger!$X400,""))</x:f>
      </x:c>
      <x:c r="S400" s="52" t="str">
        <x:f>IF(CaseLedger!$A400="","",IFERROR(CaseLedger!$Y400,""))</x:f>
      </x:c>
      <x:c r="T400" s="52" t="str">
        <x:f>IF(CaseLedger!$A400="","",IFERROR(CaseLedger!$Z400,""))</x:f>
      </x:c>
      <x:c r="U400" s="52" t="str">
        <x:f>IF(CaseLedger!$A400="","",IFERROR(CaseLedger!$AA400,""))</x:f>
      </x:c>
      <x:c r="V400" s="52" t="str">
        <x:f>IF(CaseLedger!$A400="","",IFERROR(CaseLedger!$AB400,""))</x:f>
      </x:c>
      <x:c r="W400" s="52" t="str">
        <x:f>IF(CaseLedger!$A400="","",IFERROR(CaseLedger!$AC400,""))</x:f>
      </x:c>
      <x:c r="X400" s="52" t="str">
        <x:f>IF(CaseLedger!$A400="","",IFERROR(CaseLedger!$AD400,""))</x:f>
      </x:c>
      <x:c r="Y400" s="52" t="str">
        <x:f>IF(CaseLedger!$A400="","",IFERROR(CaseLedger!$AE400,""))</x:f>
      </x:c>
      <x:c r="Z400" s="52" t="str">
        <x:f>IF(CaseLedger!$A400="","",IFERROR(CaseLedger!$AF400,""))</x:f>
      </x:c>
      <x:c r="AA400" s="52" t="str">
        <x:f>IF(CaseLedger!$A400="","",IFERROR(CaseLedger!$AG400,""))</x:f>
      </x:c>
      <x:c r="AB400" s="52" t="str">
        <x:f>IF(CaseLedger!$A400="","",IFERROR(CaseLedger!$AH400,""))</x:f>
      </x:c>
      <x:c r="AC400"/>
    </x:row>
    <x:row r="401">
      <x:c r="A401" s="52" t="str">
        <x:f>IF(CaseLedger!$A401="","",IFERROR(CaseLedger!$A401,""))</x:f>
      </x:c>
      <x:c r="B401" s="52" t="str">
        <x:f>IF(CaseLedger!$A401="","",IFERROR(CaseLedger!$H401,""))</x:f>
      </x:c>
      <x:c r="C401" s="52" t="str">
        <x:f>IF(CaseLedger!$A401="","",IFERROR(CaseLedger!$I401,""))</x:f>
      </x:c>
      <x:c r="D401" s="52" t="str">
        <x:f>IF(CaseLedger!$A401="","",IFERROR(CaseLedger!$J401,""))</x:f>
      </x:c>
      <x:c r="E401" s="52" t="str">
        <x:f>IF(CaseLedger!$A401="","",IFERROR(CaseLedger!$K401,""))</x:f>
      </x:c>
      <x:c r="F401" s="52" t="str">
        <x:f>IF(CaseLedger!$A401="","",IFERROR(CaseLedger!$O401,""))</x:f>
      </x:c>
      <x:c r="G401" s="52" t="str">
        <x:f>IF(CaseLedger!$A401="","",IFERROR(CaseLedger!$E401,""))</x:f>
      </x:c>
      <x:c r="H401" s="52" t="str">
        <x:f>IF(CaseLedger!$A401="","",IFERROR(CaseLedger!$P401,""))</x:f>
      </x:c>
      <x:c r="I401" s="52" t="str">
        <x:f>IF(CaseLedger!$A401="","",IFERROR(CaseLedger!$Q401,""))</x:f>
      </x:c>
      <x:c r="J401" s="52" t="str">
        <x:f>IF(CaseLedger!$A401="","",IFERROR(CaseLedger!$R401,""))</x:f>
      </x:c>
      <x:c r="K401" s="52" t="str">
        <x:f>IF(CaseLedger!$A401="","",IFERROR(CaseLedger!$S401,""))</x:f>
      </x:c>
      <x:c r="L401" s="52" t="str">
        <x:f>IF(CaseLedger!$A401="","",IFERROR(CaseLedger!$T401,""))</x:f>
      </x:c>
      <x:c r="M401" s="52" t="str">
        <x:f>IF(CaseLedger!$A401="","",IFERROR(CaseLedger!$U401,""))</x:f>
      </x:c>
      <x:c r="N401" s="52" t="str">
        <x:f>IF(CaseLedger!$A401="","",IFERROR(CaseLedger!$V401,""))</x:f>
      </x:c>
      <x:c r="O401" s="52" t="str">
        <x:f>IF(CaseLedger!$A401="","",IFERROR(CaseLedger!$W401,""))</x:f>
      </x:c>
      <x:c r="P401" s="52" t="str">
        <x:f>IF(CaseLedger!$A401="","",IFERROR(CaseLedger!$C401,""))</x:f>
      </x:c>
      <x:c r="Q401" s="52" t="str">
        <x:f>IF(CaseLedger!$A401="","",IFERROR(CaseLedger!$D401,""))</x:f>
      </x:c>
      <x:c r="R401" s="52" t="str">
        <x:f>IF(CaseLedger!$A401="","",IFERROR(CaseLedger!$X401,""))</x:f>
      </x:c>
      <x:c r="S401" s="52" t="str">
        <x:f>IF(CaseLedger!$A401="","",IFERROR(CaseLedger!$Y401,""))</x:f>
      </x:c>
      <x:c r="T401" s="52" t="str">
        <x:f>IF(CaseLedger!$A401="","",IFERROR(CaseLedger!$Z401,""))</x:f>
      </x:c>
      <x:c r="U401" s="52" t="str">
        <x:f>IF(CaseLedger!$A401="","",IFERROR(CaseLedger!$AA401,""))</x:f>
      </x:c>
      <x:c r="V401" s="52" t="str">
        <x:f>IF(CaseLedger!$A401="","",IFERROR(CaseLedger!$AB401,""))</x:f>
      </x:c>
      <x:c r="W401" s="52" t="str">
        <x:f>IF(CaseLedger!$A401="","",IFERROR(CaseLedger!$AC401,""))</x:f>
      </x:c>
      <x:c r="X401" s="52" t="str">
        <x:f>IF(CaseLedger!$A401="","",IFERROR(CaseLedger!$AD401,""))</x:f>
      </x:c>
      <x:c r="Y401" s="52" t="str">
        <x:f>IF(CaseLedger!$A401="","",IFERROR(CaseLedger!$AE401,""))</x:f>
      </x:c>
      <x:c r="Z401" s="52" t="str">
        <x:f>IF(CaseLedger!$A401="","",IFERROR(CaseLedger!$AF401,""))</x:f>
      </x:c>
      <x:c r="AA401" s="52" t="str">
        <x:f>IF(CaseLedger!$A401="","",IFERROR(CaseLedger!$AG401,""))</x:f>
      </x:c>
      <x:c r="AB401" s="52" t="str">
        <x:f>IF(CaseLedger!$A401="","",IFERROR(CaseLedger!$AH401,""))</x:f>
      </x:c>
      <x:c r="AC401"/>
    </x:row>
    <x:row r="402">
      <x:c r="A402" s="52" t="str">
        <x:f>IF(CaseLedger!$A402="","",IFERROR(CaseLedger!$A402,""))</x:f>
      </x:c>
      <x:c r="B402" s="52" t="str">
        <x:f>IF(CaseLedger!$A402="","",IFERROR(CaseLedger!$H402,""))</x:f>
      </x:c>
      <x:c r="C402" s="52" t="str">
        <x:f>IF(CaseLedger!$A402="","",IFERROR(CaseLedger!$I402,""))</x:f>
      </x:c>
      <x:c r="D402" s="52" t="str">
        <x:f>IF(CaseLedger!$A402="","",IFERROR(CaseLedger!$J402,""))</x:f>
      </x:c>
      <x:c r="E402" s="52" t="str">
        <x:f>IF(CaseLedger!$A402="","",IFERROR(CaseLedger!$K402,""))</x:f>
      </x:c>
      <x:c r="F402" s="52" t="str">
        <x:f>IF(CaseLedger!$A402="","",IFERROR(CaseLedger!$O402,""))</x:f>
      </x:c>
      <x:c r="G402" s="52" t="str">
        <x:f>IF(CaseLedger!$A402="","",IFERROR(CaseLedger!$E402,""))</x:f>
      </x:c>
      <x:c r="H402" s="52" t="str">
        <x:f>IF(CaseLedger!$A402="","",IFERROR(CaseLedger!$P402,""))</x:f>
      </x:c>
      <x:c r="I402" s="52" t="str">
        <x:f>IF(CaseLedger!$A402="","",IFERROR(CaseLedger!$Q402,""))</x:f>
      </x:c>
      <x:c r="J402" s="52" t="str">
        <x:f>IF(CaseLedger!$A402="","",IFERROR(CaseLedger!$R402,""))</x:f>
      </x:c>
      <x:c r="K402" s="52" t="str">
        <x:f>IF(CaseLedger!$A402="","",IFERROR(CaseLedger!$S402,""))</x:f>
      </x:c>
      <x:c r="L402" s="52" t="str">
        <x:f>IF(CaseLedger!$A402="","",IFERROR(CaseLedger!$T402,""))</x:f>
      </x:c>
      <x:c r="M402" s="52" t="str">
        <x:f>IF(CaseLedger!$A402="","",IFERROR(CaseLedger!$U402,""))</x:f>
      </x:c>
      <x:c r="N402" s="52" t="str">
        <x:f>IF(CaseLedger!$A402="","",IFERROR(CaseLedger!$V402,""))</x:f>
      </x:c>
      <x:c r="O402" s="52" t="str">
        <x:f>IF(CaseLedger!$A402="","",IFERROR(CaseLedger!$W402,""))</x:f>
      </x:c>
      <x:c r="P402" s="52" t="str">
        <x:f>IF(CaseLedger!$A402="","",IFERROR(CaseLedger!$C402,""))</x:f>
      </x:c>
      <x:c r="Q402" s="52" t="str">
        <x:f>IF(CaseLedger!$A402="","",IFERROR(CaseLedger!$D402,""))</x:f>
      </x:c>
      <x:c r="R402" s="52" t="str">
        <x:f>IF(CaseLedger!$A402="","",IFERROR(CaseLedger!$X402,""))</x:f>
      </x:c>
      <x:c r="S402" s="52" t="str">
        <x:f>IF(CaseLedger!$A402="","",IFERROR(CaseLedger!$Y402,""))</x:f>
      </x:c>
      <x:c r="T402" s="52" t="str">
        <x:f>IF(CaseLedger!$A402="","",IFERROR(CaseLedger!$Z402,""))</x:f>
      </x:c>
      <x:c r="U402" s="52" t="str">
        <x:f>IF(CaseLedger!$A402="","",IFERROR(CaseLedger!$AA402,""))</x:f>
      </x:c>
      <x:c r="V402" s="52" t="str">
        <x:f>IF(CaseLedger!$A402="","",IFERROR(CaseLedger!$AB402,""))</x:f>
      </x:c>
      <x:c r="W402" s="52" t="str">
        <x:f>IF(CaseLedger!$A402="","",IFERROR(CaseLedger!$AC402,""))</x:f>
      </x:c>
      <x:c r="X402" s="52" t="str">
        <x:f>IF(CaseLedger!$A402="","",IFERROR(CaseLedger!$AD402,""))</x:f>
      </x:c>
      <x:c r="Y402" s="52" t="str">
        <x:f>IF(CaseLedger!$A402="","",IFERROR(CaseLedger!$AE402,""))</x:f>
      </x:c>
      <x:c r="Z402" s="52" t="str">
        <x:f>IF(CaseLedger!$A402="","",IFERROR(CaseLedger!$AF402,""))</x:f>
      </x:c>
      <x:c r="AA402" s="52" t="str">
        <x:f>IF(CaseLedger!$A402="","",IFERROR(CaseLedger!$AG402,""))</x:f>
      </x:c>
      <x:c r="AB402" s="52" t="str">
        <x:f>IF(CaseLedger!$A402="","",IFERROR(CaseLedger!$AH402,""))</x:f>
      </x:c>
      <x:c r="AC402"/>
    </x:row>
    <x:row r="403">
      <x:c r="A403" s="52" t="str">
        <x:f>IF(CaseLedger!$A403="","",IFERROR(CaseLedger!$A403,""))</x:f>
      </x:c>
      <x:c r="B403" s="52" t="str">
        <x:f>IF(CaseLedger!$A403="","",IFERROR(CaseLedger!$H403,""))</x:f>
      </x:c>
      <x:c r="C403" s="52" t="str">
        <x:f>IF(CaseLedger!$A403="","",IFERROR(CaseLedger!$I403,""))</x:f>
      </x:c>
      <x:c r="D403" s="52" t="str">
        <x:f>IF(CaseLedger!$A403="","",IFERROR(CaseLedger!$J403,""))</x:f>
      </x:c>
      <x:c r="E403" s="52" t="str">
        <x:f>IF(CaseLedger!$A403="","",IFERROR(CaseLedger!$K403,""))</x:f>
      </x:c>
      <x:c r="F403" s="52" t="str">
        <x:f>IF(CaseLedger!$A403="","",IFERROR(CaseLedger!$O403,""))</x:f>
      </x:c>
      <x:c r="G403" s="52" t="str">
        <x:f>IF(CaseLedger!$A403="","",IFERROR(CaseLedger!$E403,""))</x:f>
      </x:c>
      <x:c r="H403" s="52" t="str">
        <x:f>IF(CaseLedger!$A403="","",IFERROR(CaseLedger!$P403,""))</x:f>
      </x:c>
      <x:c r="I403" s="52" t="str">
        <x:f>IF(CaseLedger!$A403="","",IFERROR(CaseLedger!$Q403,""))</x:f>
      </x:c>
      <x:c r="J403" s="52" t="str">
        <x:f>IF(CaseLedger!$A403="","",IFERROR(CaseLedger!$R403,""))</x:f>
      </x:c>
      <x:c r="K403" s="52" t="str">
        <x:f>IF(CaseLedger!$A403="","",IFERROR(CaseLedger!$S403,""))</x:f>
      </x:c>
      <x:c r="L403" s="52" t="str">
        <x:f>IF(CaseLedger!$A403="","",IFERROR(CaseLedger!$T403,""))</x:f>
      </x:c>
      <x:c r="M403" s="52" t="str">
        <x:f>IF(CaseLedger!$A403="","",IFERROR(CaseLedger!$U403,""))</x:f>
      </x:c>
      <x:c r="N403" s="52" t="str">
        <x:f>IF(CaseLedger!$A403="","",IFERROR(CaseLedger!$V403,""))</x:f>
      </x:c>
      <x:c r="O403" s="52" t="str">
        <x:f>IF(CaseLedger!$A403="","",IFERROR(CaseLedger!$W403,""))</x:f>
      </x:c>
      <x:c r="P403" s="52" t="str">
        <x:f>IF(CaseLedger!$A403="","",IFERROR(CaseLedger!$C403,""))</x:f>
      </x:c>
      <x:c r="Q403" s="52" t="str">
        <x:f>IF(CaseLedger!$A403="","",IFERROR(CaseLedger!$D403,""))</x:f>
      </x:c>
      <x:c r="R403" s="52" t="str">
        <x:f>IF(CaseLedger!$A403="","",IFERROR(CaseLedger!$X403,""))</x:f>
      </x:c>
      <x:c r="S403" s="52" t="str">
        <x:f>IF(CaseLedger!$A403="","",IFERROR(CaseLedger!$Y403,""))</x:f>
      </x:c>
      <x:c r="T403" s="52" t="str">
        <x:f>IF(CaseLedger!$A403="","",IFERROR(CaseLedger!$Z403,""))</x:f>
      </x:c>
      <x:c r="U403" s="52" t="str">
        <x:f>IF(CaseLedger!$A403="","",IFERROR(CaseLedger!$AA403,""))</x:f>
      </x:c>
      <x:c r="V403" s="52" t="str">
        <x:f>IF(CaseLedger!$A403="","",IFERROR(CaseLedger!$AB403,""))</x:f>
      </x:c>
      <x:c r="W403" s="52" t="str">
        <x:f>IF(CaseLedger!$A403="","",IFERROR(CaseLedger!$AC403,""))</x:f>
      </x:c>
      <x:c r="X403" s="52" t="str">
        <x:f>IF(CaseLedger!$A403="","",IFERROR(CaseLedger!$AD403,""))</x:f>
      </x:c>
      <x:c r="Y403" s="52" t="str">
        <x:f>IF(CaseLedger!$A403="","",IFERROR(CaseLedger!$AE403,""))</x:f>
      </x:c>
      <x:c r="Z403" s="52" t="str">
        <x:f>IF(CaseLedger!$A403="","",IFERROR(CaseLedger!$AF403,""))</x:f>
      </x:c>
      <x:c r="AA403" s="52" t="str">
        <x:f>IF(CaseLedger!$A403="","",IFERROR(CaseLedger!$AG403,""))</x:f>
      </x:c>
      <x:c r="AB403" s="52" t="str">
        <x:f>IF(CaseLedger!$A403="","",IFERROR(CaseLedger!$AH403,""))</x:f>
      </x:c>
      <x:c r="AC403"/>
    </x:row>
    <x:row r="404">
      <x:c r="A404" s="52" t="str">
        <x:f>IF(CaseLedger!$A404="","",IFERROR(CaseLedger!$A404,""))</x:f>
      </x:c>
      <x:c r="B404" s="52" t="str">
        <x:f>IF(CaseLedger!$A404="","",IFERROR(CaseLedger!$H404,""))</x:f>
      </x:c>
      <x:c r="C404" s="52" t="str">
        <x:f>IF(CaseLedger!$A404="","",IFERROR(CaseLedger!$I404,""))</x:f>
      </x:c>
      <x:c r="D404" s="52" t="str">
        <x:f>IF(CaseLedger!$A404="","",IFERROR(CaseLedger!$J404,""))</x:f>
      </x:c>
      <x:c r="E404" s="52" t="str">
        <x:f>IF(CaseLedger!$A404="","",IFERROR(CaseLedger!$K404,""))</x:f>
      </x:c>
      <x:c r="F404" s="52" t="str">
        <x:f>IF(CaseLedger!$A404="","",IFERROR(CaseLedger!$O404,""))</x:f>
      </x:c>
      <x:c r="G404" s="52" t="str">
        <x:f>IF(CaseLedger!$A404="","",IFERROR(CaseLedger!$E404,""))</x:f>
      </x:c>
      <x:c r="H404" s="52" t="str">
        <x:f>IF(CaseLedger!$A404="","",IFERROR(CaseLedger!$P404,""))</x:f>
      </x:c>
      <x:c r="I404" s="52" t="str">
        <x:f>IF(CaseLedger!$A404="","",IFERROR(CaseLedger!$Q404,""))</x:f>
      </x:c>
      <x:c r="J404" s="52" t="str">
        <x:f>IF(CaseLedger!$A404="","",IFERROR(CaseLedger!$R404,""))</x:f>
      </x:c>
      <x:c r="K404" s="52" t="str">
        <x:f>IF(CaseLedger!$A404="","",IFERROR(CaseLedger!$S404,""))</x:f>
      </x:c>
      <x:c r="L404" s="52" t="str">
        <x:f>IF(CaseLedger!$A404="","",IFERROR(CaseLedger!$T404,""))</x:f>
      </x:c>
      <x:c r="M404" s="52" t="str">
        <x:f>IF(CaseLedger!$A404="","",IFERROR(CaseLedger!$U404,""))</x:f>
      </x:c>
      <x:c r="N404" s="52" t="str">
        <x:f>IF(CaseLedger!$A404="","",IFERROR(CaseLedger!$V404,""))</x:f>
      </x:c>
      <x:c r="O404" s="52" t="str">
        <x:f>IF(CaseLedger!$A404="","",IFERROR(CaseLedger!$W404,""))</x:f>
      </x:c>
      <x:c r="P404" s="52" t="str">
        <x:f>IF(CaseLedger!$A404="","",IFERROR(CaseLedger!$C404,""))</x:f>
      </x:c>
      <x:c r="Q404" s="52" t="str">
        <x:f>IF(CaseLedger!$A404="","",IFERROR(CaseLedger!$D404,""))</x:f>
      </x:c>
      <x:c r="R404" s="52" t="str">
        <x:f>IF(CaseLedger!$A404="","",IFERROR(CaseLedger!$X404,""))</x:f>
      </x:c>
      <x:c r="S404" s="52" t="str">
        <x:f>IF(CaseLedger!$A404="","",IFERROR(CaseLedger!$Y404,""))</x:f>
      </x:c>
      <x:c r="T404" s="52" t="str">
        <x:f>IF(CaseLedger!$A404="","",IFERROR(CaseLedger!$Z404,""))</x:f>
      </x:c>
      <x:c r="U404" s="52" t="str">
        <x:f>IF(CaseLedger!$A404="","",IFERROR(CaseLedger!$AA404,""))</x:f>
      </x:c>
      <x:c r="V404" s="52" t="str">
        <x:f>IF(CaseLedger!$A404="","",IFERROR(CaseLedger!$AB404,""))</x:f>
      </x:c>
      <x:c r="W404" s="52" t="str">
        <x:f>IF(CaseLedger!$A404="","",IFERROR(CaseLedger!$AC404,""))</x:f>
      </x:c>
      <x:c r="X404" s="52" t="str">
        <x:f>IF(CaseLedger!$A404="","",IFERROR(CaseLedger!$AD404,""))</x:f>
      </x:c>
      <x:c r="Y404" s="52" t="str">
        <x:f>IF(CaseLedger!$A404="","",IFERROR(CaseLedger!$AE404,""))</x:f>
      </x:c>
      <x:c r="Z404" s="52" t="str">
        <x:f>IF(CaseLedger!$A404="","",IFERROR(CaseLedger!$AF404,""))</x:f>
      </x:c>
      <x:c r="AA404" s="52" t="str">
        <x:f>IF(CaseLedger!$A404="","",IFERROR(CaseLedger!$AG404,""))</x:f>
      </x:c>
      <x:c r="AB404" s="52" t="str">
        <x:f>IF(CaseLedger!$A404="","",IFERROR(CaseLedger!$AH404,""))</x:f>
      </x:c>
      <x:c r="AC404"/>
    </x:row>
    <x:row r="405">
      <x:c r="A405" s="52" t="str">
        <x:f>IF(CaseLedger!$A405="","",IFERROR(CaseLedger!$A405,""))</x:f>
      </x:c>
      <x:c r="B405" s="52" t="str">
        <x:f>IF(CaseLedger!$A405="","",IFERROR(CaseLedger!$H405,""))</x:f>
      </x:c>
      <x:c r="C405" s="52" t="str">
        <x:f>IF(CaseLedger!$A405="","",IFERROR(CaseLedger!$I405,""))</x:f>
      </x:c>
      <x:c r="D405" s="52" t="str">
        <x:f>IF(CaseLedger!$A405="","",IFERROR(CaseLedger!$J405,""))</x:f>
      </x:c>
      <x:c r="E405" s="52" t="str">
        <x:f>IF(CaseLedger!$A405="","",IFERROR(CaseLedger!$K405,""))</x:f>
      </x:c>
      <x:c r="F405" s="52" t="str">
        <x:f>IF(CaseLedger!$A405="","",IFERROR(CaseLedger!$O405,""))</x:f>
      </x:c>
      <x:c r="G405" s="52" t="str">
        <x:f>IF(CaseLedger!$A405="","",IFERROR(CaseLedger!$E405,""))</x:f>
      </x:c>
      <x:c r="H405" s="52" t="str">
        <x:f>IF(CaseLedger!$A405="","",IFERROR(CaseLedger!$P405,""))</x:f>
      </x:c>
      <x:c r="I405" s="52" t="str">
        <x:f>IF(CaseLedger!$A405="","",IFERROR(CaseLedger!$Q405,""))</x:f>
      </x:c>
      <x:c r="J405" s="52" t="str">
        <x:f>IF(CaseLedger!$A405="","",IFERROR(CaseLedger!$R405,""))</x:f>
      </x:c>
      <x:c r="K405" s="52" t="str">
        <x:f>IF(CaseLedger!$A405="","",IFERROR(CaseLedger!$S405,""))</x:f>
      </x:c>
      <x:c r="L405" s="52" t="str">
        <x:f>IF(CaseLedger!$A405="","",IFERROR(CaseLedger!$T405,""))</x:f>
      </x:c>
      <x:c r="M405" s="52" t="str">
        <x:f>IF(CaseLedger!$A405="","",IFERROR(CaseLedger!$U405,""))</x:f>
      </x:c>
      <x:c r="N405" s="52" t="str">
        <x:f>IF(CaseLedger!$A405="","",IFERROR(CaseLedger!$V405,""))</x:f>
      </x:c>
      <x:c r="O405" s="52" t="str">
        <x:f>IF(CaseLedger!$A405="","",IFERROR(CaseLedger!$W405,""))</x:f>
      </x:c>
      <x:c r="P405" s="52" t="str">
        <x:f>IF(CaseLedger!$A405="","",IFERROR(CaseLedger!$C405,""))</x:f>
      </x:c>
      <x:c r="Q405" s="52" t="str">
        <x:f>IF(CaseLedger!$A405="","",IFERROR(CaseLedger!$D405,""))</x:f>
      </x:c>
      <x:c r="R405" s="52" t="str">
        <x:f>IF(CaseLedger!$A405="","",IFERROR(CaseLedger!$X405,""))</x:f>
      </x:c>
      <x:c r="S405" s="52" t="str">
        <x:f>IF(CaseLedger!$A405="","",IFERROR(CaseLedger!$Y405,""))</x:f>
      </x:c>
      <x:c r="T405" s="52" t="str">
        <x:f>IF(CaseLedger!$A405="","",IFERROR(CaseLedger!$Z405,""))</x:f>
      </x:c>
      <x:c r="U405" s="52" t="str">
        <x:f>IF(CaseLedger!$A405="","",IFERROR(CaseLedger!$AA405,""))</x:f>
      </x:c>
      <x:c r="V405" s="52" t="str">
        <x:f>IF(CaseLedger!$A405="","",IFERROR(CaseLedger!$AB405,""))</x:f>
      </x:c>
      <x:c r="W405" s="52" t="str">
        <x:f>IF(CaseLedger!$A405="","",IFERROR(CaseLedger!$AC405,""))</x:f>
      </x:c>
      <x:c r="X405" s="52" t="str">
        <x:f>IF(CaseLedger!$A405="","",IFERROR(CaseLedger!$AD405,""))</x:f>
      </x:c>
      <x:c r="Y405" s="52" t="str">
        <x:f>IF(CaseLedger!$A405="","",IFERROR(CaseLedger!$AE405,""))</x:f>
      </x:c>
      <x:c r="Z405" s="52" t="str">
        <x:f>IF(CaseLedger!$A405="","",IFERROR(CaseLedger!$AF405,""))</x:f>
      </x:c>
      <x:c r="AA405" s="52" t="str">
        <x:f>IF(CaseLedger!$A405="","",IFERROR(CaseLedger!$AG405,""))</x:f>
      </x:c>
      <x:c r="AB405" s="52" t="str">
        <x:f>IF(CaseLedger!$A405="","",IFERROR(CaseLedger!$AH405,""))</x:f>
      </x:c>
      <x:c r="AC405"/>
    </x:row>
    <x:row r="406">
      <x:c r="A406" s="52" t="str">
        <x:f>IF(CaseLedger!$A406="","",IFERROR(CaseLedger!$A406,""))</x:f>
      </x:c>
      <x:c r="B406" s="52" t="str">
        <x:f>IF(CaseLedger!$A406="","",IFERROR(CaseLedger!$H406,""))</x:f>
      </x:c>
      <x:c r="C406" s="52" t="str">
        <x:f>IF(CaseLedger!$A406="","",IFERROR(CaseLedger!$I406,""))</x:f>
      </x:c>
      <x:c r="D406" s="52" t="str">
        <x:f>IF(CaseLedger!$A406="","",IFERROR(CaseLedger!$J406,""))</x:f>
      </x:c>
      <x:c r="E406" s="52" t="str">
        <x:f>IF(CaseLedger!$A406="","",IFERROR(CaseLedger!$K406,""))</x:f>
      </x:c>
      <x:c r="F406" s="52" t="str">
        <x:f>IF(CaseLedger!$A406="","",IFERROR(CaseLedger!$O406,""))</x:f>
      </x:c>
      <x:c r="G406" s="52" t="str">
        <x:f>IF(CaseLedger!$A406="","",IFERROR(CaseLedger!$E406,""))</x:f>
      </x:c>
      <x:c r="H406" s="52" t="str">
        <x:f>IF(CaseLedger!$A406="","",IFERROR(CaseLedger!$P406,""))</x:f>
      </x:c>
      <x:c r="I406" s="52" t="str">
        <x:f>IF(CaseLedger!$A406="","",IFERROR(CaseLedger!$Q406,""))</x:f>
      </x:c>
      <x:c r="J406" s="52" t="str">
        <x:f>IF(CaseLedger!$A406="","",IFERROR(CaseLedger!$R406,""))</x:f>
      </x:c>
      <x:c r="K406" s="52" t="str">
        <x:f>IF(CaseLedger!$A406="","",IFERROR(CaseLedger!$S406,""))</x:f>
      </x:c>
      <x:c r="L406" s="52" t="str">
        <x:f>IF(CaseLedger!$A406="","",IFERROR(CaseLedger!$T406,""))</x:f>
      </x:c>
      <x:c r="M406" s="52" t="str">
        <x:f>IF(CaseLedger!$A406="","",IFERROR(CaseLedger!$U406,""))</x:f>
      </x:c>
      <x:c r="N406" s="52" t="str">
        <x:f>IF(CaseLedger!$A406="","",IFERROR(CaseLedger!$V406,""))</x:f>
      </x:c>
      <x:c r="O406" s="52" t="str">
        <x:f>IF(CaseLedger!$A406="","",IFERROR(CaseLedger!$W406,""))</x:f>
      </x:c>
      <x:c r="P406" s="52" t="str">
        <x:f>IF(CaseLedger!$A406="","",IFERROR(CaseLedger!$C406,""))</x:f>
      </x:c>
      <x:c r="Q406" s="52" t="str">
        <x:f>IF(CaseLedger!$A406="","",IFERROR(CaseLedger!$D406,""))</x:f>
      </x:c>
      <x:c r="R406" s="52" t="str">
        <x:f>IF(CaseLedger!$A406="","",IFERROR(CaseLedger!$X406,""))</x:f>
      </x:c>
      <x:c r="S406" s="52" t="str">
        <x:f>IF(CaseLedger!$A406="","",IFERROR(CaseLedger!$Y406,""))</x:f>
      </x:c>
      <x:c r="T406" s="52" t="str">
        <x:f>IF(CaseLedger!$A406="","",IFERROR(CaseLedger!$Z406,""))</x:f>
      </x:c>
      <x:c r="U406" s="52" t="str">
        <x:f>IF(CaseLedger!$A406="","",IFERROR(CaseLedger!$AA406,""))</x:f>
      </x:c>
      <x:c r="V406" s="52" t="str">
        <x:f>IF(CaseLedger!$A406="","",IFERROR(CaseLedger!$AB406,""))</x:f>
      </x:c>
      <x:c r="W406" s="52" t="str">
        <x:f>IF(CaseLedger!$A406="","",IFERROR(CaseLedger!$AC406,""))</x:f>
      </x:c>
      <x:c r="X406" s="52" t="str">
        <x:f>IF(CaseLedger!$A406="","",IFERROR(CaseLedger!$AD406,""))</x:f>
      </x:c>
      <x:c r="Y406" s="52" t="str">
        <x:f>IF(CaseLedger!$A406="","",IFERROR(CaseLedger!$AE406,""))</x:f>
      </x:c>
      <x:c r="Z406" s="52" t="str">
        <x:f>IF(CaseLedger!$A406="","",IFERROR(CaseLedger!$AF406,""))</x:f>
      </x:c>
      <x:c r="AA406" s="52" t="str">
        <x:f>IF(CaseLedger!$A406="","",IFERROR(CaseLedger!$AG406,""))</x:f>
      </x:c>
      <x:c r="AB406" s="52" t="str">
        <x:f>IF(CaseLedger!$A406="","",IFERROR(CaseLedger!$AH406,""))</x:f>
      </x:c>
      <x:c r="AC406"/>
    </x:row>
    <x:row r="407">
      <x:c r="A407" s="52" t="str">
        <x:f>IF(CaseLedger!$A407="","",IFERROR(CaseLedger!$A407,""))</x:f>
      </x:c>
      <x:c r="B407" s="52" t="str">
        <x:f>IF(CaseLedger!$A407="","",IFERROR(CaseLedger!$H407,""))</x:f>
      </x:c>
      <x:c r="C407" s="52" t="str">
        <x:f>IF(CaseLedger!$A407="","",IFERROR(CaseLedger!$I407,""))</x:f>
      </x:c>
      <x:c r="D407" s="52" t="str">
        <x:f>IF(CaseLedger!$A407="","",IFERROR(CaseLedger!$J407,""))</x:f>
      </x:c>
      <x:c r="E407" s="52" t="str">
        <x:f>IF(CaseLedger!$A407="","",IFERROR(CaseLedger!$K407,""))</x:f>
      </x:c>
      <x:c r="F407" s="52" t="str">
        <x:f>IF(CaseLedger!$A407="","",IFERROR(CaseLedger!$O407,""))</x:f>
      </x:c>
      <x:c r="G407" s="52" t="str">
        <x:f>IF(CaseLedger!$A407="","",IFERROR(CaseLedger!$E407,""))</x:f>
      </x:c>
      <x:c r="H407" s="52" t="str">
        <x:f>IF(CaseLedger!$A407="","",IFERROR(CaseLedger!$P407,""))</x:f>
      </x:c>
      <x:c r="I407" s="52" t="str">
        <x:f>IF(CaseLedger!$A407="","",IFERROR(CaseLedger!$Q407,""))</x:f>
      </x:c>
      <x:c r="J407" s="52" t="str">
        <x:f>IF(CaseLedger!$A407="","",IFERROR(CaseLedger!$R407,""))</x:f>
      </x:c>
      <x:c r="K407" s="52" t="str">
        <x:f>IF(CaseLedger!$A407="","",IFERROR(CaseLedger!$S407,""))</x:f>
      </x:c>
      <x:c r="L407" s="52" t="str">
        <x:f>IF(CaseLedger!$A407="","",IFERROR(CaseLedger!$T407,""))</x:f>
      </x:c>
      <x:c r="M407" s="52" t="str">
        <x:f>IF(CaseLedger!$A407="","",IFERROR(CaseLedger!$U407,""))</x:f>
      </x:c>
      <x:c r="N407" s="52" t="str">
        <x:f>IF(CaseLedger!$A407="","",IFERROR(CaseLedger!$V407,""))</x:f>
      </x:c>
      <x:c r="O407" s="52" t="str">
        <x:f>IF(CaseLedger!$A407="","",IFERROR(CaseLedger!$W407,""))</x:f>
      </x:c>
      <x:c r="P407" s="52" t="str">
        <x:f>IF(CaseLedger!$A407="","",IFERROR(CaseLedger!$C407,""))</x:f>
      </x:c>
      <x:c r="Q407" s="52" t="str">
        <x:f>IF(CaseLedger!$A407="","",IFERROR(CaseLedger!$D407,""))</x:f>
      </x:c>
      <x:c r="R407" s="52" t="str">
        <x:f>IF(CaseLedger!$A407="","",IFERROR(CaseLedger!$X407,""))</x:f>
      </x:c>
      <x:c r="S407" s="52" t="str">
        <x:f>IF(CaseLedger!$A407="","",IFERROR(CaseLedger!$Y407,""))</x:f>
      </x:c>
      <x:c r="T407" s="52" t="str">
        <x:f>IF(CaseLedger!$A407="","",IFERROR(CaseLedger!$Z407,""))</x:f>
      </x:c>
      <x:c r="U407" s="52" t="str">
        <x:f>IF(CaseLedger!$A407="","",IFERROR(CaseLedger!$AA407,""))</x:f>
      </x:c>
      <x:c r="V407" s="52" t="str">
        <x:f>IF(CaseLedger!$A407="","",IFERROR(CaseLedger!$AB407,""))</x:f>
      </x:c>
      <x:c r="W407" s="52" t="str">
        <x:f>IF(CaseLedger!$A407="","",IFERROR(CaseLedger!$AC407,""))</x:f>
      </x:c>
      <x:c r="X407" s="52" t="str">
        <x:f>IF(CaseLedger!$A407="","",IFERROR(CaseLedger!$AD407,""))</x:f>
      </x:c>
      <x:c r="Y407" s="52" t="str">
        <x:f>IF(CaseLedger!$A407="","",IFERROR(CaseLedger!$AE407,""))</x:f>
      </x:c>
      <x:c r="Z407" s="52" t="str">
        <x:f>IF(CaseLedger!$A407="","",IFERROR(CaseLedger!$AF407,""))</x:f>
      </x:c>
      <x:c r="AA407" s="52" t="str">
        <x:f>IF(CaseLedger!$A407="","",IFERROR(CaseLedger!$AG407,""))</x:f>
      </x:c>
      <x:c r="AB407" s="52" t="str">
        <x:f>IF(CaseLedger!$A407="","",IFERROR(CaseLedger!$AH407,""))</x:f>
      </x:c>
      <x:c r="AC407"/>
    </x:row>
    <x:row r="408">
      <x:c r="A408" s="52" t="str">
        <x:f>IF(CaseLedger!$A408="","",IFERROR(CaseLedger!$A408,""))</x:f>
      </x:c>
      <x:c r="B408" s="52" t="str">
        <x:f>IF(CaseLedger!$A408="","",IFERROR(CaseLedger!$H408,""))</x:f>
      </x:c>
      <x:c r="C408" s="52" t="str">
        <x:f>IF(CaseLedger!$A408="","",IFERROR(CaseLedger!$I408,""))</x:f>
      </x:c>
      <x:c r="D408" s="52" t="str">
        <x:f>IF(CaseLedger!$A408="","",IFERROR(CaseLedger!$J408,""))</x:f>
      </x:c>
      <x:c r="E408" s="52" t="str">
        <x:f>IF(CaseLedger!$A408="","",IFERROR(CaseLedger!$K408,""))</x:f>
      </x:c>
      <x:c r="F408" s="52" t="str">
        <x:f>IF(CaseLedger!$A408="","",IFERROR(CaseLedger!$O408,""))</x:f>
      </x:c>
      <x:c r="G408" s="52" t="str">
        <x:f>IF(CaseLedger!$A408="","",IFERROR(CaseLedger!$E408,""))</x:f>
      </x:c>
      <x:c r="H408" s="52" t="str">
        <x:f>IF(CaseLedger!$A408="","",IFERROR(CaseLedger!$P408,""))</x:f>
      </x:c>
      <x:c r="I408" s="52" t="str">
        <x:f>IF(CaseLedger!$A408="","",IFERROR(CaseLedger!$Q408,""))</x:f>
      </x:c>
      <x:c r="J408" s="52" t="str">
        <x:f>IF(CaseLedger!$A408="","",IFERROR(CaseLedger!$R408,""))</x:f>
      </x:c>
      <x:c r="K408" s="52" t="str">
        <x:f>IF(CaseLedger!$A408="","",IFERROR(CaseLedger!$S408,""))</x:f>
      </x:c>
      <x:c r="L408" s="52" t="str">
        <x:f>IF(CaseLedger!$A408="","",IFERROR(CaseLedger!$T408,""))</x:f>
      </x:c>
      <x:c r="M408" s="52" t="str">
        <x:f>IF(CaseLedger!$A408="","",IFERROR(CaseLedger!$U408,""))</x:f>
      </x:c>
      <x:c r="N408" s="52" t="str">
        <x:f>IF(CaseLedger!$A408="","",IFERROR(CaseLedger!$V408,""))</x:f>
      </x:c>
      <x:c r="O408" s="52" t="str">
        <x:f>IF(CaseLedger!$A408="","",IFERROR(CaseLedger!$W408,""))</x:f>
      </x:c>
      <x:c r="P408" s="52" t="str">
        <x:f>IF(CaseLedger!$A408="","",IFERROR(CaseLedger!$C408,""))</x:f>
      </x:c>
      <x:c r="Q408" s="52" t="str">
        <x:f>IF(CaseLedger!$A408="","",IFERROR(CaseLedger!$D408,""))</x:f>
      </x:c>
      <x:c r="R408" s="52" t="str">
        <x:f>IF(CaseLedger!$A408="","",IFERROR(CaseLedger!$X408,""))</x:f>
      </x:c>
      <x:c r="S408" s="52" t="str">
        <x:f>IF(CaseLedger!$A408="","",IFERROR(CaseLedger!$Y408,""))</x:f>
      </x:c>
      <x:c r="T408" s="52" t="str">
        <x:f>IF(CaseLedger!$A408="","",IFERROR(CaseLedger!$Z408,""))</x:f>
      </x:c>
      <x:c r="U408" s="52" t="str">
        <x:f>IF(CaseLedger!$A408="","",IFERROR(CaseLedger!$AA408,""))</x:f>
      </x:c>
      <x:c r="V408" s="52" t="str">
        <x:f>IF(CaseLedger!$A408="","",IFERROR(CaseLedger!$AB408,""))</x:f>
      </x:c>
      <x:c r="W408" s="52" t="str">
        <x:f>IF(CaseLedger!$A408="","",IFERROR(CaseLedger!$AC408,""))</x:f>
      </x:c>
      <x:c r="X408" s="52" t="str">
        <x:f>IF(CaseLedger!$A408="","",IFERROR(CaseLedger!$AD408,""))</x:f>
      </x:c>
      <x:c r="Y408" s="52" t="str">
        <x:f>IF(CaseLedger!$A408="","",IFERROR(CaseLedger!$AE408,""))</x:f>
      </x:c>
      <x:c r="Z408" s="52" t="str">
        <x:f>IF(CaseLedger!$A408="","",IFERROR(CaseLedger!$AF408,""))</x:f>
      </x:c>
      <x:c r="AA408" s="52" t="str">
        <x:f>IF(CaseLedger!$A408="","",IFERROR(CaseLedger!$AG408,""))</x:f>
      </x:c>
      <x:c r="AB408" s="52" t="str">
        <x:f>IF(CaseLedger!$A408="","",IFERROR(CaseLedger!$AH408,""))</x:f>
      </x:c>
      <x:c r="AC408"/>
    </x:row>
    <x:row r="409">
      <x:c r="A409" s="52" t="str">
        <x:f>IF(CaseLedger!$A409="","",IFERROR(CaseLedger!$A409,""))</x:f>
      </x:c>
      <x:c r="B409" s="52" t="str">
        <x:f>IF(CaseLedger!$A409="","",IFERROR(CaseLedger!$H409,""))</x:f>
      </x:c>
      <x:c r="C409" s="52" t="str">
        <x:f>IF(CaseLedger!$A409="","",IFERROR(CaseLedger!$I409,""))</x:f>
      </x:c>
      <x:c r="D409" s="52" t="str">
        <x:f>IF(CaseLedger!$A409="","",IFERROR(CaseLedger!$J409,""))</x:f>
      </x:c>
      <x:c r="E409" s="52" t="str">
        <x:f>IF(CaseLedger!$A409="","",IFERROR(CaseLedger!$K409,""))</x:f>
      </x:c>
      <x:c r="F409" s="52" t="str">
        <x:f>IF(CaseLedger!$A409="","",IFERROR(CaseLedger!$O409,""))</x:f>
      </x:c>
      <x:c r="G409" s="52" t="str">
        <x:f>IF(CaseLedger!$A409="","",IFERROR(CaseLedger!$E409,""))</x:f>
      </x:c>
      <x:c r="H409" s="52" t="str">
        <x:f>IF(CaseLedger!$A409="","",IFERROR(CaseLedger!$P409,""))</x:f>
      </x:c>
      <x:c r="I409" s="52" t="str">
        <x:f>IF(CaseLedger!$A409="","",IFERROR(CaseLedger!$Q409,""))</x:f>
      </x:c>
      <x:c r="J409" s="52" t="str">
        <x:f>IF(CaseLedger!$A409="","",IFERROR(CaseLedger!$R409,""))</x:f>
      </x:c>
      <x:c r="K409" s="52" t="str">
        <x:f>IF(CaseLedger!$A409="","",IFERROR(CaseLedger!$S409,""))</x:f>
      </x:c>
      <x:c r="L409" s="52" t="str">
        <x:f>IF(CaseLedger!$A409="","",IFERROR(CaseLedger!$T409,""))</x:f>
      </x:c>
      <x:c r="M409" s="52" t="str">
        <x:f>IF(CaseLedger!$A409="","",IFERROR(CaseLedger!$U409,""))</x:f>
      </x:c>
      <x:c r="N409" s="52" t="str">
        <x:f>IF(CaseLedger!$A409="","",IFERROR(CaseLedger!$V409,""))</x:f>
      </x:c>
      <x:c r="O409" s="52" t="str">
        <x:f>IF(CaseLedger!$A409="","",IFERROR(CaseLedger!$W409,""))</x:f>
      </x:c>
      <x:c r="P409" s="52" t="str">
        <x:f>IF(CaseLedger!$A409="","",IFERROR(CaseLedger!$C409,""))</x:f>
      </x:c>
      <x:c r="Q409" s="52" t="str">
        <x:f>IF(CaseLedger!$A409="","",IFERROR(CaseLedger!$D409,""))</x:f>
      </x:c>
      <x:c r="R409" s="52" t="str">
        <x:f>IF(CaseLedger!$A409="","",IFERROR(CaseLedger!$X409,""))</x:f>
      </x:c>
      <x:c r="S409" s="52" t="str">
        <x:f>IF(CaseLedger!$A409="","",IFERROR(CaseLedger!$Y409,""))</x:f>
      </x:c>
      <x:c r="T409" s="52" t="str">
        <x:f>IF(CaseLedger!$A409="","",IFERROR(CaseLedger!$Z409,""))</x:f>
      </x:c>
      <x:c r="U409" s="52" t="str">
        <x:f>IF(CaseLedger!$A409="","",IFERROR(CaseLedger!$AA409,""))</x:f>
      </x:c>
      <x:c r="V409" s="52" t="str">
        <x:f>IF(CaseLedger!$A409="","",IFERROR(CaseLedger!$AB409,""))</x:f>
      </x:c>
      <x:c r="W409" s="52" t="str">
        <x:f>IF(CaseLedger!$A409="","",IFERROR(CaseLedger!$AC409,""))</x:f>
      </x:c>
      <x:c r="X409" s="52" t="str">
        <x:f>IF(CaseLedger!$A409="","",IFERROR(CaseLedger!$AD409,""))</x:f>
      </x:c>
      <x:c r="Y409" s="52" t="str">
        <x:f>IF(CaseLedger!$A409="","",IFERROR(CaseLedger!$AE409,""))</x:f>
      </x:c>
      <x:c r="Z409" s="52" t="str">
        <x:f>IF(CaseLedger!$A409="","",IFERROR(CaseLedger!$AF409,""))</x:f>
      </x:c>
      <x:c r="AA409" s="52" t="str">
        <x:f>IF(CaseLedger!$A409="","",IFERROR(CaseLedger!$AG409,""))</x:f>
      </x:c>
      <x:c r="AB409" s="52" t="str">
        <x:f>IF(CaseLedger!$A409="","",IFERROR(CaseLedger!$AH409,""))</x:f>
      </x:c>
      <x:c r="AC409"/>
    </x:row>
    <x:row r="410">
      <x:c r="A410" s="52" t="str">
        <x:f>IF(CaseLedger!$A410="","",IFERROR(CaseLedger!$A410,""))</x:f>
      </x:c>
      <x:c r="B410" s="52" t="str">
        <x:f>IF(CaseLedger!$A410="","",IFERROR(CaseLedger!$H410,""))</x:f>
      </x:c>
      <x:c r="C410" s="52" t="str">
        <x:f>IF(CaseLedger!$A410="","",IFERROR(CaseLedger!$I410,""))</x:f>
      </x:c>
      <x:c r="D410" s="52" t="str">
        <x:f>IF(CaseLedger!$A410="","",IFERROR(CaseLedger!$J410,""))</x:f>
      </x:c>
      <x:c r="E410" s="52" t="str">
        <x:f>IF(CaseLedger!$A410="","",IFERROR(CaseLedger!$K410,""))</x:f>
      </x:c>
      <x:c r="F410" s="52" t="str">
        <x:f>IF(CaseLedger!$A410="","",IFERROR(CaseLedger!$O410,""))</x:f>
      </x:c>
      <x:c r="G410" s="52" t="str">
        <x:f>IF(CaseLedger!$A410="","",IFERROR(CaseLedger!$E410,""))</x:f>
      </x:c>
      <x:c r="H410" s="52" t="str">
        <x:f>IF(CaseLedger!$A410="","",IFERROR(CaseLedger!$P410,""))</x:f>
      </x:c>
      <x:c r="I410" s="52" t="str">
        <x:f>IF(CaseLedger!$A410="","",IFERROR(CaseLedger!$Q410,""))</x:f>
      </x:c>
      <x:c r="J410" s="52" t="str">
        <x:f>IF(CaseLedger!$A410="","",IFERROR(CaseLedger!$R410,""))</x:f>
      </x:c>
      <x:c r="K410" s="52" t="str">
        <x:f>IF(CaseLedger!$A410="","",IFERROR(CaseLedger!$S410,""))</x:f>
      </x:c>
      <x:c r="L410" s="52" t="str">
        <x:f>IF(CaseLedger!$A410="","",IFERROR(CaseLedger!$T410,""))</x:f>
      </x:c>
      <x:c r="M410" s="52" t="str">
        <x:f>IF(CaseLedger!$A410="","",IFERROR(CaseLedger!$U410,""))</x:f>
      </x:c>
      <x:c r="N410" s="52" t="str">
        <x:f>IF(CaseLedger!$A410="","",IFERROR(CaseLedger!$V410,""))</x:f>
      </x:c>
      <x:c r="O410" s="52" t="str">
        <x:f>IF(CaseLedger!$A410="","",IFERROR(CaseLedger!$W410,""))</x:f>
      </x:c>
      <x:c r="P410" s="52" t="str">
        <x:f>IF(CaseLedger!$A410="","",IFERROR(CaseLedger!$C410,""))</x:f>
      </x:c>
      <x:c r="Q410" s="52" t="str">
        <x:f>IF(CaseLedger!$A410="","",IFERROR(CaseLedger!$D410,""))</x:f>
      </x:c>
      <x:c r="R410" s="52" t="str">
        <x:f>IF(CaseLedger!$A410="","",IFERROR(CaseLedger!$X410,""))</x:f>
      </x:c>
      <x:c r="S410" s="52" t="str">
        <x:f>IF(CaseLedger!$A410="","",IFERROR(CaseLedger!$Y410,""))</x:f>
      </x:c>
      <x:c r="T410" s="52" t="str">
        <x:f>IF(CaseLedger!$A410="","",IFERROR(CaseLedger!$Z410,""))</x:f>
      </x:c>
      <x:c r="U410" s="52" t="str">
        <x:f>IF(CaseLedger!$A410="","",IFERROR(CaseLedger!$AA410,""))</x:f>
      </x:c>
      <x:c r="V410" s="52" t="str">
        <x:f>IF(CaseLedger!$A410="","",IFERROR(CaseLedger!$AB410,""))</x:f>
      </x:c>
      <x:c r="W410" s="52" t="str">
        <x:f>IF(CaseLedger!$A410="","",IFERROR(CaseLedger!$AC410,""))</x:f>
      </x:c>
      <x:c r="X410" s="52" t="str">
        <x:f>IF(CaseLedger!$A410="","",IFERROR(CaseLedger!$AD410,""))</x:f>
      </x:c>
      <x:c r="Y410" s="52" t="str">
        <x:f>IF(CaseLedger!$A410="","",IFERROR(CaseLedger!$AE410,""))</x:f>
      </x:c>
      <x:c r="Z410" s="52" t="str">
        <x:f>IF(CaseLedger!$A410="","",IFERROR(CaseLedger!$AF410,""))</x:f>
      </x:c>
      <x:c r="AA410" s="52" t="str">
        <x:f>IF(CaseLedger!$A410="","",IFERROR(CaseLedger!$AG410,""))</x:f>
      </x:c>
      <x:c r="AB410" s="52" t="str">
        <x:f>IF(CaseLedger!$A410="","",IFERROR(CaseLedger!$AH410,""))</x:f>
      </x:c>
      <x:c r="AC410"/>
    </x:row>
    <x:row r="411">
      <x:c r="A411" s="52" t="str">
        <x:f>IF(CaseLedger!$A411="","",IFERROR(CaseLedger!$A411,""))</x:f>
      </x:c>
      <x:c r="B411" s="52" t="str">
        <x:f>IF(CaseLedger!$A411="","",IFERROR(CaseLedger!$H411,""))</x:f>
      </x:c>
      <x:c r="C411" s="52" t="str">
        <x:f>IF(CaseLedger!$A411="","",IFERROR(CaseLedger!$I411,""))</x:f>
      </x:c>
      <x:c r="D411" s="52" t="str">
        <x:f>IF(CaseLedger!$A411="","",IFERROR(CaseLedger!$J411,""))</x:f>
      </x:c>
      <x:c r="E411" s="52" t="str">
        <x:f>IF(CaseLedger!$A411="","",IFERROR(CaseLedger!$K411,""))</x:f>
      </x:c>
      <x:c r="F411" s="52" t="str">
        <x:f>IF(CaseLedger!$A411="","",IFERROR(CaseLedger!$O411,""))</x:f>
      </x:c>
      <x:c r="G411" s="52" t="str">
        <x:f>IF(CaseLedger!$A411="","",IFERROR(CaseLedger!$E411,""))</x:f>
      </x:c>
      <x:c r="H411" s="52" t="str">
        <x:f>IF(CaseLedger!$A411="","",IFERROR(CaseLedger!$P411,""))</x:f>
      </x:c>
      <x:c r="I411" s="52" t="str">
        <x:f>IF(CaseLedger!$A411="","",IFERROR(CaseLedger!$Q411,""))</x:f>
      </x:c>
      <x:c r="J411" s="52" t="str">
        <x:f>IF(CaseLedger!$A411="","",IFERROR(CaseLedger!$R411,""))</x:f>
      </x:c>
      <x:c r="K411" s="52" t="str">
        <x:f>IF(CaseLedger!$A411="","",IFERROR(CaseLedger!$S411,""))</x:f>
      </x:c>
      <x:c r="L411" s="52" t="str">
        <x:f>IF(CaseLedger!$A411="","",IFERROR(CaseLedger!$T411,""))</x:f>
      </x:c>
      <x:c r="M411" s="52" t="str">
        <x:f>IF(CaseLedger!$A411="","",IFERROR(CaseLedger!$U411,""))</x:f>
      </x:c>
      <x:c r="N411" s="52" t="str">
        <x:f>IF(CaseLedger!$A411="","",IFERROR(CaseLedger!$V411,""))</x:f>
      </x:c>
      <x:c r="O411" s="52" t="str">
        <x:f>IF(CaseLedger!$A411="","",IFERROR(CaseLedger!$W411,""))</x:f>
      </x:c>
      <x:c r="P411" s="52" t="str">
        <x:f>IF(CaseLedger!$A411="","",IFERROR(CaseLedger!$C411,""))</x:f>
      </x:c>
      <x:c r="Q411" s="52" t="str">
        <x:f>IF(CaseLedger!$A411="","",IFERROR(CaseLedger!$D411,""))</x:f>
      </x:c>
      <x:c r="R411" s="52" t="str">
        <x:f>IF(CaseLedger!$A411="","",IFERROR(CaseLedger!$X411,""))</x:f>
      </x:c>
      <x:c r="S411" s="52" t="str">
        <x:f>IF(CaseLedger!$A411="","",IFERROR(CaseLedger!$Y411,""))</x:f>
      </x:c>
      <x:c r="T411" s="52" t="str">
        <x:f>IF(CaseLedger!$A411="","",IFERROR(CaseLedger!$Z411,""))</x:f>
      </x:c>
      <x:c r="U411" s="52" t="str">
        <x:f>IF(CaseLedger!$A411="","",IFERROR(CaseLedger!$AA411,""))</x:f>
      </x:c>
      <x:c r="V411" s="52" t="str">
        <x:f>IF(CaseLedger!$A411="","",IFERROR(CaseLedger!$AB411,""))</x:f>
      </x:c>
      <x:c r="W411" s="52" t="str">
        <x:f>IF(CaseLedger!$A411="","",IFERROR(CaseLedger!$AC411,""))</x:f>
      </x:c>
      <x:c r="X411" s="52" t="str">
        <x:f>IF(CaseLedger!$A411="","",IFERROR(CaseLedger!$AD411,""))</x:f>
      </x:c>
      <x:c r="Y411" s="52" t="str">
        <x:f>IF(CaseLedger!$A411="","",IFERROR(CaseLedger!$AE411,""))</x:f>
      </x:c>
      <x:c r="Z411" s="52" t="str">
        <x:f>IF(CaseLedger!$A411="","",IFERROR(CaseLedger!$AF411,""))</x:f>
      </x:c>
      <x:c r="AA411" s="52" t="str">
        <x:f>IF(CaseLedger!$A411="","",IFERROR(CaseLedger!$AG411,""))</x:f>
      </x:c>
      <x:c r="AB411" s="52" t="str">
        <x:f>IF(CaseLedger!$A411="","",IFERROR(CaseLedger!$AH411,""))</x:f>
      </x:c>
      <x:c r="AC411"/>
    </x:row>
    <x:row r="412">
      <x:c r="A412" s="52" t="str">
        <x:f>IF(CaseLedger!$A412="","",IFERROR(CaseLedger!$A412,""))</x:f>
      </x:c>
      <x:c r="B412" s="52" t="str">
        <x:f>IF(CaseLedger!$A412="","",IFERROR(CaseLedger!$H412,""))</x:f>
      </x:c>
      <x:c r="C412" s="52" t="str">
        <x:f>IF(CaseLedger!$A412="","",IFERROR(CaseLedger!$I412,""))</x:f>
      </x:c>
      <x:c r="D412" s="52" t="str">
        <x:f>IF(CaseLedger!$A412="","",IFERROR(CaseLedger!$J412,""))</x:f>
      </x:c>
      <x:c r="E412" s="52" t="str">
        <x:f>IF(CaseLedger!$A412="","",IFERROR(CaseLedger!$K412,""))</x:f>
      </x:c>
      <x:c r="F412" s="52" t="str">
        <x:f>IF(CaseLedger!$A412="","",IFERROR(CaseLedger!$O412,""))</x:f>
      </x:c>
      <x:c r="G412" s="52" t="str">
        <x:f>IF(CaseLedger!$A412="","",IFERROR(CaseLedger!$E412,""))</x:f>
      </x:c>
      <x:c r="H412" s="52" t="str">
        <x:f>IF(CaseLedger!$A412="","",IFERROR(CaseLedger!$P412,""))</x:f>
      </x:c>
      <x:c r="I412" s="52" t="str">
        <x:f>IF(CaseLedger!$A412="","",IFERROR(CaseLedger!$Q412,""))</x:f>
      </x:c>
      <x:c r="J412" s="52" t="str">
        <x:f>IF(CaseLedger!$A412="","",IFERROR(CaseLedger!$R412,""))</x:f>
      </x:c>
      <x:c r="K412" s="52" t="str">
        <x:f>IF(CaseLedger!$A412="","",IFERROR(CaseLedger!$S412,""))</x:f>
      </x:c>
      <x:c r="L412" s="52" t="str">
        <x:f>IF(CaseLedger!$A412="","",IFERROR(CaseLedger!$T412,""))</x:f>
      </x:c>
      <x:c r="M412" s="52" t="str">
        <x:f>IF(CaseLedger!$A412="","",IFERROR(CaseLedger!$U412,""))</x:f>
      </x:c>
      <x:c r="N412" s="52" t="str">
        <x:f>IF(CaseLedger!$A412="","",IFERROR(CaseLedger!$V412,""))</x:f>
      </x:c>
      <x:c r="O412" s="52" t="str">
        <x:f>IF(CaseLedger!$A412="","",IFERROR(CaseLedger!$W412,""))</x:f>
      </x:c>
      <x:c r="P412" s="52" t="str">
        <x:f>IF(CaseLedger!$A412="","",IFERROR(CaseLedger!$C412,""))</x:f>
      </x:c>
      <x:c r="Q412" s="52" t="str">
        <x:f>IF(CaseLedger!$A412="","",IFERROR(CaseLedger!$D412,""))</x:f>
      </x:c>
      <x:c r="R412" s="52" t="str">
        <x:f>IF(CaseLedger!$A412="","",IFERROR(CaseLedger!$X412,""))</x:f>
      </x:c>
      <x:c r="S412" s="52" t="str">
        <x:f>IF(CaseLedger!$A412="","",IFERROR(CaseLedger!$Y412,""))</x:f>
      </x:c>
      <x:c r="T412" s="52" t="str">
        <x:f>IF(CaseLedger!$A412="","",IFERROR(CaseLedger!$Z412,""))</x:f>
      </x:c>
      <x:c r="U412" s="52" t="str">
        <x:f>IF(CaseLedger!$A412="","",IFERROR(CaseLedger!$AA412,""))</x:f>
      </x:c>
      <x:c r="V412" s="52" t="str">
        <x:f>IF(CaseLedger!$A412="","",IFERROR(CaseLedger!$AB412,""))</x:f>
      </x:c>
      <x:c r="W412" s="52" t="str">
        <x:f>IF(CaseLedger!$A412="","",IFERROR(CaseLedger!$AC412,""))</x:f>
      </x:c>
      <x:c r="X412" s="52" t="str">
        <x:f>IF(CaseLedger!$A412="","",IFERROR(CaseLedger!$AD412,""))</x:f>
      </x:c>
      <x:c r="Y412" s="52" t="str">
        <x:f>IF(CaseLedger!$A412="","",IFERROR(CaseLedger!$AE412,""))</x:f>
      </x:c>
      <x:c r="Z412" s="52" t="str">
        <x:f>IF(CaseLedger!$A412="","",IFERROR(CaseLedger!$AF412,""))</x:f>
      </x:c>
      <x:c r="AA412" s="52" t="str">
        <x:f>IF(CaseLedger!$A412="","",IFERROR(CaseLedger!$AG412,""))</x:f>
      </x:c>
      <x:c r="AB412" s="52" t="str">
        <x:f>IF(CaseLedger!$A412="","",IFERROR(CaseLedger!$AH412,""))</x:f>
      </x:c>
      <x:c r="AC412"/>
    </x:row>
    <x:row r="413">
      <x:c r="A413" s="52" t="str">
        <x:f>IF(CaseLedger!$A413="","",IFERROR(CaseLedger!$A413,""))</x:f>
      </x:c>
      <x:c r="B413" s="52" t="str">
        <x:f>IF(CaseLedger!$A413="","",IFERROR(CaseLedger!$H413,""))</x:f>
      </x:c>
      <x:c r="C413" s="52" t="str">
        <x:f>IF(CaseLedger!$A413="","",IFERROR(CaseLedger!$I413,""))</x:f>
      </x:c>
      <x:c r="D413" s="52" t="str">
        <x:f>IF(CaseLedger!$A413="","",IFERROR(CaseLedger!$J413,""))</x:f>
      </x:c>
      <x:c r="E413" s="52" t="str">
        <x:f>IF(CaseLedger!$A413="","",IFERROR(CaseLedger!$K413,""))</x:f>
      </x:c>
      <x:c r="F413" s="52" t="str">
        <x:f>IF(CaseLedger!$A413="","",IFERROR(CaseLedger!$O413,""))</x:f>
      </x:c>
      <x:c r="G413" s="52" t="str">
        <x:f>IF(CaseLedger!$A413="","",IFERROR(CaseLedger!$E413,""))</x:f>
      </x:c>
      <x:c r="H413" s="52" t="str">
        <x:f>IF(CaseLedger!$A413="","",IFERROR(CaseLedger!$P413,""))</x:f>
      </x:c>
      <x:c r="I413" s="52" t="str">
        <x:f>IF(CaseLedger!$A413="","",IFERROR(CaseLedger!$Q413,""))</x:f>
      </x:c>
      <x:c r="J413" s="52" t="str">
        <x:f>IF(CaseLedger!$A413="","",IFERROR(CaseLedger!$R413,""))</x:f>
      </x:c>
      <x:c r="K413" s="52" t="str">
        <x:f>IF(CaseLedger!$A413="","",IFERROR(CaseLedger!$S413,""))</x:f>
      </x:c>
      <x:c r="L413" s="52" t="str">
        <x:f>IF(CaseLedger!$A413="","",IFERROR(CaseLedger!$T413,""))</x:f>
      </x:c>
      <x:c r="M413" s="52" t="str">
        <x:f>IF(CaseLedger!$A413="","",IFERROR(CaseLedger!$U413,""))</x:f>
      </x:c>
      <x:c r="N413" s="52" t="str">
        <x:f>IF(CaseLedger!$A413="","",IFERROR(CaseLedger!$V413,""))</x:f>
      </x:c>
      <x:c r="O413" s="52" t="str">
        <x:f>IF(CaseLedger!$A413="","",IFERROR(CaseLedger!$W413,""))</x:f>
      </x:c>
      <x:c r="P413" s="52" t="str">
        <x:f>IF(CaseLedger!$A413="","",IFERROR(CaseLedger!$C413,""))</x:f>
      </x:c>
      <x:c r="Q413" s="52" t="str">
        <x:f>IF(CaseLedger!$A413="","",IFERROR(CaseLedger!$D413,""))</x:f>
      </x:c>
      <x:c r="R413" s="52" t="str">
        <x:f>IF(CaseLedger!$A413="","",IFERROR(CaseLedger!$X413,""))</x:f>
      </x:c>
      <x:c r="S413" s="52" t="str">
        <x:f>IF(CaseLedger!$A413="","",IFERROR(CaseLedger!$Y413,""))</x:f>
      </x:c>
      <x:c r="T413" s="52" t="str">
        <x:f>IF(CaseLedger!$A413="","",IFERROR(CaseLedger!$Z413,""))</x:f>
      </x:c>
      <x:c r="U413" s="52" t="str">
        <x:f>IF(CaseLedger!$A413="","",IFERROR(CaseLedger!$AA413,""))</x:f>
      </x:c>
      <x:c r="V413" s="52" t="str">
        <x:f>IF(CaseLedger!$A413="","",IFERROR(CaseLedger!$AB413,""))</x:f>
      </x:c>
      <x:c r="W413" s="52" t="str">
        <x:f>IF(CaseLedger!$A413="","",IFERROR(CaseLedger!$AC413,""))</x:f>
      </x:c>
      <x:c r="X413" s="52" t="str">
        <x:f>IF(CaseLedger!$A413="","",IFERROR(CaseLedger!$AD413,""))</x:f>
      </x:c>
      <x:c r="Y413" s="52" t="str">
        <x:f>IF(CaseLedger!$A413="","",IFERROR(CaseLedger!$AE413,""))</x:f>
      </x:c>
      <x:c r="Z413" s="52" t="str">
        <x:f>IF(CaseLedger!$A413="","",IFERROR(CaseLedger!$AF413,""))</x:f>
      </x:c>
      <x:c r="AA413" s="52" t="str">
        <x:f>IF(CaseLedger!$A413="","",IFERROR(CaseLedger!$AG413,""))</x:f>
      </x:c>
      <x:c r="AB413" s="52" t="str">
        <x:f>IF(CaseLedger!$A413="","",IFERROR(CaseLedger!$AH413,""))</x:f>
      </x:c>
      <x:c r="AC413"/>
    </x:row>
    <x:row r="414">
      <x:c r="A414" s="52" t="str">
        <x:f>IF(CaseLedger!$A414="","",IFERROR(CaseLedger!$A414,""))</x:f>
      </x:c>
      <x:c r="B414" s="52" t="str">
        <x:f>IF(CaseLedger!$A414="","",IFERROR(CaseLedger!$H414,""))</x:f>
      </x:c>
      <x:c r="C414" s="52" t="str">
        <x:f>IF(CaseLedger!$A414="","",IFERROR(CaseLedger!$I414,""))</x:f>
      </x:c>
      <x:c r="D414" s="52" t="str">
        <x:f>IF(CaseLedger!$A414="","",IFERROR(CaseLedger!$J414,""))</x:f>
      </x:c>
      <x:c r="E414" s="52" t="str">
        <x:f>IF(CaseLedger!$A414="","",IFERROR(CaseLedger!$K414,""))</x:f>
      </x:c>
      <x:c r="F414" s="52" t="str">
        <x:f>IF(CaseLedger!$A414="","",IFERROR(CaseLedger!$O414,""))</x:f>
      </x:c>
      <x:c r="G414" s="52" t="str">
        <x:f>IF(CaseLedger!$A414="","",IFERROR(CaseLedger!$E414,""))</x:f>
      </x:c>
      <x:c r="H414" s="52" t="str">
        <x:f>IF(CaseLedger!$A414="","",IFERROR(CaseLedger!$P414,""))</x:f>
      </x:c>
      <x:c r="I414" s="52" t="str">
        <x:f>IF(CaseLedger!$A414="","",IFERROR(CaseLedger!$Q414,""))</x:f>
      </x:c>
      <x:c r="J414" s="52" t="str">
        <x:f>IF(CaseLedger!$A414="","",IFERROR(CaseLedger!$R414,""))</x:f>
      </x:c>
      <x:c r="K414" s="52" t="str">
        <x:f>IF(CaseLedger!$A414="","",IFERROR(CaseLedger!$S414,""))</x:f>
      </x:c>
      <x:c r="L414" s="52" t="str">
        <x:f>IF(CaseLedger!$A414="","",IFERROR(CaseLedger!$T414,""))</x:f>
      </x:c>
      <x:c r="M414" s="52" t="str">
        <x:f>IF(CaseLedger!$A414="","",IFERROR(CaseLedger!$U414,""))</x:f>
      </x:c>
      <x:c r="N414" s="52" t="str">
        <x:f>IF(CaseLedger!$A414="","",IFERROR(CaseLedger!$V414,""))</x:f>
      </x:c>
      <x:c r="O414" s="52" t="str">
        <x:f>IF(CaseLedger!$A414="","",IFERROR(CaseLedger!$W414,""))</x:f>
      </x:c>
      <x:c r="P414" s="52" t="str">
        <x:f>IF(CaseLedger!$A414="","",IFERROR(CaseLedger!$C414,""))</x:f>
      </x:c>
      <x:c r="Q414" s="52" t="str">
        <x:f>IF(CaseLedger!$A414="","",IFERROR(CaseLedger!$D414,""))</x:f>
      </x:c>
      <x:c r="R414" s="52" t="str">
        <x:f>IF(CaseLedger!$A414="","",IFERROR(CaseLedger!$X414,""))</x:f>
      </x:c>
      <x:c r="S414" s="52" t="str">
        <x:f>IF(CaseLedger!$A414="","",IFERROR(CaseLedger!$Y414,""))</x:f>
      </x:c>
      <x:c r="T414" s="52" t="str">
        <x:f>IF(CaseLedger!$A414="","",IFERROR(CaseLedger!$Z414,""))</x:f>
      </x:c>
      <x:c r="U414" s="52" t="str">
        <x:f>IF(CaseLedger!$A414="","",IFERROR(CaseLedger!$AA414,""))</x:f>
      </x:c>
      <x:c r="V414" s="52" t="str">
        <x:f>IF(CaseLedger!$A414="","",IFERROR(CaseLedger!$AB414,""))</x:f>
      </x:c>
      <x:c r="W414" s="52" t="str">
        <x:f>IF(CaseLedger!$A414="","",IFERROR(CaseLedger!$AC414,""))</x:f>
      </x:c>
      <x:c r="X414" s="52" t="str">
        <x:f>IF(CaseLedger!$A414="","",IFERROR(CaseLedger!$AD414,""))</x:f>
      </x:c>
      <x:c r="Y414" s="52" t="str">
        <x:f>IF(CaseLedger!$A414="","",IFERROR(CaseLedger!$AE414,""))</x:f>
      </x:c>
      <x:c r="Z414" s="52" t="str">
        <x:f>IF(CaseLedger!$A414="","",IFERROR(CaseLedger!$AF414,""))</x:f>
      </x:c>
      <x:c r="AA414" s="52" t="str">
        <x:f>IF(CaseLedger!$A414="","",IFERROR(CaseLedger!$AG414,""))</x:f>
      </x:c>
      <x:c r="AB414" s="52" t="str">
        <x:f>IF(CaseLedger!$A414="","",IFERROR(CaseLedger!$AH414,""))</x:f>
      </x:c>
      <x:c r="AC414"/>
    </x:row>
    <x:row r="415">
      <x:c r="A415" s="52" t="str">
        <x:f>IF(CaseLedger!$A415="","",IFERROR(CaseLedger!$A415,""))</x:f>
      </x:c>
      <x:c r="B415" s="52" t="str">
        <x:f>IF(CaseLedger!$A415="","",IFERROR(CaseLedger!$H415,""))</x:f>
      </x:c>
      <x:c r="C415" s="52" t="str">
        <x:f>IF(CaseLedger!$A415="","",IFERROR(CaseLedger!$I415,""))</x:f>
      </x:c>
      <x:c r="D415" s="52" t="str">
        <x:f>IF(CaseLedger!$A415="","",IFERROR(CaseLedger!$J415,""))</x:f>
      </x:c>
      <x:c r="E415" s="52" t="str">
        <x:f>IF(CaseLedger!$A415="","",IFERROR(CaseLedger!$K415,""))</x:f>
      </x:c>
      <x:c r="F415" s="52" t="str">
        <x:f>IF(CaseLedger!$A415="","",IFERROR(CaseLedger!$O415,""))</x:f>
      </x:c>
      <x:c r="G415" s="52" t="str">
        <x:f>IF(CaseLedger!$A415="","",IFERROR(CaseLedger!$E415,""))</x:f>
      </x:c>
      <x:c r="H415" s="52" t="str">
        <x:f>IF(CaseLedger!$A415="","",IFERROR(CaseLedger!$P415,""))</x:f>
      </x:c>
      <x:c r="I415" s="52" t="str">
        <x:f>IF(CaseLedger!$A415="","",IFERROR(CaseLedger!$Q415,""))</x:f>
      </x:c>
      <x:c r="J415" s="52" t="str">
        <x:f>IF(CaseLedger!$A415="","",IFERROR(CaseLedger!$R415,""))</x:f>
      </x:c>
      <x:c r="K415" s="52" t="str">
        <x:f>IF(CaseLedger!$A415="","",IFERROR(CaseLedger!$S415,""))</x:f>
      </x:c>
      <x:c r="L415" s="52" t="str">
        <x:f>IF(CaseLedger!$A415="","",IFERROR(CaseLedger!$T415,""))</x:f>
      </x:c>
      <x:c r="M415" s="52" t="str">
        <x:f>IF(CaseLedger!$A415="","",IFERROR(CaseLedger!$U415,""))</x:f>
      </x:c>
      <x:c r="N415" s="52" t="str">
        <x:f>IF(CaseLedger!$A415="","",IFERROR(CaseLedger!$V415,""))</x:f>
      </x:c>
      <x:c r="O415" s="52" t="str">
        <x:f>IF(CaseLedger!$A415="","",IFERROR(CaseLedger!$W415,""))</x:f>
      </x:c>
      <x:c r="P415" s="52" t="str">
        <x:f>IF(CaseLedger!$A415="","",IFERROR(CaseLedger!$C415,""))</x:f>
      </x:c>
      <x:c r="Q415" s="52" t="str">
        <x:f>IF(CaseLedger!$A415="","",IFERROR(CaseLedger!$D415,""))</x:f>
      </x:c>
      <x:c r="R415" s="52" t="str">
        <x:f>IF(CaseLedger!$A415="","",IFERROR(CaseLedger!$X415,""))</x:f>
      </x:c>
      <x:c r="S415" s="52" t="str">
        <x:f>IF(CaseLedger!$A415="","",IFERROR(CaseLedger!$Y415,""))</x:f>
      </x:c>
      <x:c r="T415" s="52" t="str">
        <x:f>IF(CaseLedger!$A415="","",IFERROR(CaseLedger!$Z415,""))</x:f>
      </x:c>
      <x:c r="U415" s="52" t="str">
        <x:f>IF(CaseLedger!$A415="","",IFERROR(CaseLedger!$AA415,""))</x:f>
      </x:c>
      <x:c r="V415" s="52" t="str">
        <x:f>IF(CaseLedger!$A415="","",IFERROR(CaseLedger!$AB415,""))</x:f>
      </x:c>
      <x:c r="W415" s="52" t="str">
        <x:f>IF(CaseLedger!$A415="","",IFERROR(CaseLedger!$AC415,""))</x:f>
      </x:c>
      <x:c r="X415" s="52" t="str">
        <x:f>IF(CaseLedger!$A415="","",IFERROR(CaseLedger!$AD415,""))</x:f>
      </x:c>
      <x:c r="Y415" s="52" t="str">
        <x:f>IF(CaseLedger!$A415="","",IFERROR(CaseLedger!$AE415,""))</x:f>
      </x:c>
      <x:c r="Z415" s="52" t="str">
        <x:f>IF(CaseLedger!$A415="","",IFERROR(CaseLedger!$AF415,""))</x:f>
      </x:c>
      <x:c r="AA415" s="52" t="str">
        <x:f>IF(CaseLedger!$A415="","",IFERROR(CaseLedger!$AG415,""))</x:f>
      </x:c>
      <x:c r="AB415" s="52" t="str">
        <x:f>IF(CaseLedger!$A415="","",IFERROR(CaseLedger!$AH415,""))</x:f>
      </x:c>
      <x:c r="AC415"/>
    </x:row>
    <x:row r="416">
      <x:c r="A416" s="52" t="str">
        <x:f>IF(CaseLedger!$A416="","",IFERROR(CaseLedger!$A416,""))</x:f>
      </x:c>
      <x:c r="B416" s="52" t="str">
        <x:f>IF(CaseLedger!$A416="","",IFERROR(CaseLedger!$H416,""))</x:f>
      </x:c>
      <x:c r="C416" s="52" t="str">
        <x:f>IF(CaseLedger!$A416="","",IFERROR(CaseLedger!$I416,""))</x:f>
      </x:c>
      <x:c r="D416" s="52" t="str">
        <x:f>IF(CaseLedger!$A416="","",IFERROR(CaseLedger!$J416,""))</x:f>
      </x:c>
      <x:c r="E416" s="52" t="str">
        <x:f>IF(CaseLedger!$A416="","",IFERROR(CaseLedger!$K416,""))</x:f>
      </x:c>
      <x:c r="F416" s="52" t="str">
        <x:f>IF(CaseLedger!$A416="","",IFERROR(CaseLedger!$O416,""))</x:f>
      </x:c>
      <x:c r="G416" s="52" t="str">
        <x:f>IF(CaseLedger!$A416="","",IFERROR(CaseLedger!$E416,""))</x:f>
      </x:c>
      <x:c r="H416" s="52" t="str">
        <x:f>IF(CaseLedger!$A416="","",IFERROR(CaseLedger!$P416,""))</x:f>
      </x:c>
      <x:c r="I416" s="52" t="str">
        <x:f>IF(CaseLedger!$A416="","",IFERROR(CaseLedger!$Q416,""))</x:f>
      </x:c>
      <x:c r="J416" s="52" t="str">
        <x:f>IF(CaseLedger!$A416="","",IFERROR(CaseLedger!$R416,""))</x:f>
      </x:c>
      <x:c r="K416" s="52" t="str">
        <x:f>IF(CaseLedger!$A416="","",IFERROR(CaseLedger!$S416,""))</x:f>
      </x:c>
      <x:c r="L416" s="52" t="str">
        <x:f>IF(CaseLedger!$A416="","",IFERROR(CaseLedger!$T416,""))</x:f>
      </x:c>
      <x:c r="M416" s="52" t="str">
        <x:f>IF(CaseLedger!$A416="","",IFERROR(CaseLedger!$U416,""))</x:f>
      </x:c>
      <x:c r="N416" s="52" t="str">
        <x:f>IF(CaseLedger!$A416="","",IFERROR(CaseLedger!$V416,""))</x:f>
      </x:c>
      <x:c r="O416" s="52" t="str">
        <x:f>IF(CaseLedger!$A416="","",IFERROR(CaseLedger!$W416,""))</x:f>
      </x:c>
      <x:c r="P416" s="52" t="str">
        <x:f>IF(CaseLedger!$A416="","",IFERROR(CaseLedger!$C416,""))</x:f>
      </x:c>
      <x:c r="Q416" s="52" t="str">
        <x:f>IF(CaseLedger!$A416="","",IFERROR(CaseLedger!$D416,""))</x:f>
      </x:c>
      <x:c r="R416" s="52" t="str">
        <x:f>IF(CaseLedger!$A416="","",IFERROR(CaseLedger!$X416,""))</x:f>
      </x:c>
      <x:c r="S416" s="52" t="str">
        <x:f>IF(CaseLedger!$A416="","",IFERROR(CaseLedger!$Y416,""))</x:f>
      </x:c>
      <x:c r="T416" s="52" t="str">
        <x:f>IF(CaseLedger!$A416="","",IFERROR(CaseLedger!$Z416,""))</x:f>
      </x:c>
      <x:c r="U416" s="52" t="str">
        <x:f>IF(CaseLedger!$A416="","",IFERROR(CaseLedger!$AA416,""))</x:f>
      </x:c>
      <x:c r="V416" s="52" t="str">
        <x:f>IF(CaseLedger!$A416="","",IFERROR(CaseLedger!$AB416,""))</x:f>
      </x:c>
      <x:c r="W416" s="52" t="str">
        <x:f>IF(CaseLedger!$A416="","",IFERROR(CaseLedger!$AC416,""))</x:f>
      </x:c>
      <x:c r="X416" s="52" t="str">
        <x:f>IF(CaseLedger!$A416="","",IFERROR(CaseLedger!$AD416,""))</x:f>
      </x:c>
      <x:c r="Y416" s="52" t="str">
        <x:f>IF(CaseLedger!$A416="","",IFERROR(CaseLedger!$AE416,""))</x:f>
      </x:c>
      <x:c r="Z416" s="52" t="str">
        <x:f>IF(CaseLedger!$A416="","",IFERROR(CaseLedger!$AF416,""))</x:f>
      </x:c>
      <x:c r="AA416" s="52" t="str">
        <x:f>IF(CaseLedger!$A416="","",IFERROR(CaseLedger!$AG416,""))</x:f>
      </x:c>
      <x:c r="AB416" s="52" t="str">
        <x:f>IF(CaseLedger!$A416="","",IFERROR(CaseLedger!$AH416,""))</x:f>
      </x:c>
      <x:c r="AC416"/>
    </x:row>
    <x:row r="417">
      <x:c r="A417" s="52" t="str">
        <x:f>IF(CaseLedger!$A417="","",IFERROR(CaseLedger!$A417,""))</x:f>
      </x:c>
      <x:c r="B417" s="52" t="str">
        <x:f>IF(CaseLedger!$A417="","",IFERROR(CaseLedger!$H417,""))</x:f>
      </x:c>
      <x:c r="C417" s="52" t="str">
        <x:f>IF(CaseLedger!$A417="","",IFERROR(CaseLedger!$I417,""))</x:f>
      </x:c>
      <x:c r="D417" s="52" t="str">
        <x:f>IF(CaseLedger!$A417="","",IFERROR(CaseLedger!$J417,""))</x:f>
      </x:c>
      <x:c r="E417" s="52" t="str">
        <x:f>IF(CaseLedger!$A417="","",IFERROR(CaseLedger!$K417,""))</x:f>
      </x:c>
      <x:c r="F417" s="52" t="str">
        <x:f>IF(CaseLedger!$A417="","",IFERROR(CaseLedger!$O417,""))</x:f>
      </x:c>
      <x:c r="G417" s="52" t="str">
        <x:f>IF(CaseLedger!$A417="","",IFERROR(CaseLedger!$E417,""))</x:f>
      </x:c>
      <x:c r="H417" s="52" t="str">
        <x:f>IF(CaseLedger!$A417="","",IFERROR(CaseLedger!$P417,""))</x:f>
      </x:c>
      <x:c r="I417" s="52" t="str">
        <x:f>IF(CaseLedger!$A417="","",IFERROR(CaseLedger!$Q417,""))</x:f>
      </x:c>
      <x:c r="J417" s="52" t="str">
        <x:f>IF(CaseLedger!$A417="","",IFERROR(CaseLedger!$R417,""))</x:f>
      </x:c>
      <x:c r="K417" s="52" t="str">
        <x:f>IF(CaseLedger!$A417="","",IFERROR(CaseLedger!$S417,""))</x:f>
      </x:c>
      <x:c r="L417" s="52" t="str">
        <x:f>IF(CaseLedger!$A417="","",IFERROR(CaseLedger!$T417,""))</x:f>
      </x:c>
      <x:c r="M417" s="52" t="str">
        <x:f>IF(CaseLedger!$A417="","",IFERROR(CaseLedger!$U417,""))</x:f>
      </x:c>
      <x:c r="N417" s="52" t="str">
        <x:f>IF(CaseLedger!$A417="","",IFERROR(CaseLedger!$V417,""))</x:f>
      </x:c>
      <x:c r="O417" s="52" t="str">
        <x:f>IF(CaseLedger!$A417="","",IFERROR(CaseLedger!$W417,""))</x:f>
      </x:c>
      <x:c r="P417" s="52" t="str">
        <x:f>IF(CaseLedger!$A417="","",IFERROR(CaseLedger!$C417,""))</x:f>
      </x:c>
      <x:c r="Q417" s="52" t="str">
        <x:f>IF(CaseLedger!$A417="","",IFERROR(CaseLedger!$D417,""))</x:f>
      </x:c>
      <x:c r="R417" s="52" t="str">
        <x:f>IF(CaseLedger!$A417="","",IFERROR(CaseLedger!$X417,""))</x:f>
      </x:c>
      <x:c r="S417" s="52" t="str">
        <x:f>IF(CaseLedger!$A417="","",IFERROR(CaseLedger!$Y417,""))</x:f>
      </x:c>
      <x:c r="T417" s="52" t="str">
        <x:f>IF(CaseLedger!$A417="","",IFERROR(CaseLedger!$Z417,""))</x:f>
      </x:c>
      <x:c r="U417" s="52" t="str">
        <x:f>IF(CaseLedger!$A417="","",IFERROR(CaseLedger!$AA417,""))</x:f>
      </x:c>
      <x:c r="V417" s="52" t="str">
        <x:f>IF(CaseLedger!$A417="","",IFERROR(CaseLedger!$AB417,""))</x:f>
      </x:c>
      <x:c r="W417" s="52" t="str">
        <x:f>IF(CaseLedger!$A417="","",IFERROR(CaseLedger!$AC417,""))</x:f>
      </x:c>
      <x:c r="X417" s="52" t="str">
        <x:f>IF(CaseLedger!$A417="","",IFERROR(CaseLedger!$AD417,""))</x:f>
      </x:c>
      <x:c r="Y417" s="52" t="str">
        <x:f>IF(CaseLedger!$A417="","",IFERROR(CaseLedger!$AE417,""))</x:f>
      </x:c>
      <x:c r="Z417" s="52" t="str">
        <x:f>IF(CaseLedger!$A417="","",IFERROR(CaseLedger!$AF417,""))</x:f>
      </x:c>
      <x:c r="AA417" s="52" t="str">
        <x:f>IF(CaseLedger!$A417="","",IFERROR(CaseLedger!$AG417,""))</x:f>
      </x:c>
      <x:c r="AB417" s="52" t="str">
        <x:f>IF(CaseLedger!$A417="","",IFERROR(CaseLedger!$AH417,""))</x:f>
      </x:c>
      <x:c r="AC417"/>
    </x:row>
    <x:row r="418">
      <x:c r="A418" s="52" t="str">
        <x:f>IF(CaseLedger!$A418="","",IFERROR(CaseLedger!$A418,""))</x:f>
      </x:c>
      <x:c r="B418" s="52" t="str">
        <x:f>IF(CaseLedger!$A418="","",IFERROR(CaseLedger!$H418,""))</x:f>
      </x:c>
      <x:c r="C418" s="52" t="str">
        <x:f>IF(CaseLedger!$A418="","",IFERROR(CaseLedger!$I418,""))</x:f>
      </x:c>
      <x:c r="D418" s="52" t="str">
        <x:f>IF(CaseLedger!$A418="","",IFERROR(CaseLedger!$J418,""))</x:f>
      </x:c>
      <x:c r="E418" s="52" t="str">
        <x:f>IF(CaseLedger!$A418="","",IFERROR(CaseLedger!$K418,""))</x:f>
      </x:c>
      <x:c r="F418" s="52" t="str">
        <x:f>IF(CaseLedger!$A418="","",IFERROR(CaseLedger!$O418,""))</x:f>
      </x:c>
      <x:c r="G418" s="52" t="str">
        <x:f>IF(CaseLedger!$A418="","",IFERROR(CaseLedger!$E418,""))</x:f>
      </x:c>
      <x:c r="H418" s="52" t="str">
        <x:f>IF(CaseLedger!$A418="","",IFERROR(CaseLedger!$P418,""))</x:f>
      </x:c>
      <x:c r="I418" s="52" t="str">
        <x:f>IF(CaseLedger!$A418="","",IFERROR(CaseLedger!$Q418,""))</x:f>
      </x:c>
      <x:c r="J418" s="52" t="str">
        <x:f>IF(CaseLedger!$A418="","",IFERROR(CaseLedger!$R418,""))</x:f>
      </x:c>
      <x:c r="K418" s="52" t="str">
        <x:f>IF(CaseLedger!$A418="","",IFERROR(CaseLedger!$S418,""))</x:f>
      </x:c>
      <x:c r="L418" s="52" t="str">
        <x:f>IF(CaseLedger!$A418="","",IFERROR(CaseLedger!$T418,""))</x:f>
      </x:c>
      <x:c r="M418" s="52" t="str">
        <x:f>IF(CaseLedger!$A418="","",IFERROR(CaseLedger!$U418,""))</x:f>
      </x:c>
      <x:c r="N418" s="52" t="str">
        <x:f>IF(CaseLedger!$A418="","",IFERROR(CaseLedger!$V418,""))</x:f>
      </x:c>
      <x:c r="O418" s="52" t="str">
        <x:f>IF(CaseLedger!$A418="","",IFERROR(CaseLedger!$W418,""))</x:f>
      </x:c>
      <x:c r="P418" s="52" t="str">
        <x:f>IF(CaseLedger!$A418="","",IFERROR(CaseLedger!$C418,""))</x:f>
      </x:c>
      <x:c r="Q418" s="52" t="str">
        <x:f>IF(CaseLedger!$A418="","",IFERROR(CaseLedger!$D418,""))</x:f>
      </x:c>
      <x:c r="R418" s="52" t="str">
        <x:f>IF(CaseLedger!$A418="","",IFERROR(CaseLedger!$X418,""))</x:f>
      </x:c>
      <x:c r="S418" s="52" t="str">
        <x:f>IF(CaseLedger!$A418="","",IFERROR(CaseLedger!$Y418,""))</x:f>
      </x:c>
      <x:c r="T418" s="52" t="str">
        <x:f>IF(CaseLedger!$A418="","",IFERROR(CaseLedger!$Z418,""))</x:f>
      </x:c>
      <x:c r="U418" s="52" t="str">
        <x:f>IF(CaseLedger!$A418="","",IFERROR(CaseLedger!$AA418,""))</x:f>
      </x:c>
      <x:c r="V418" s="52" t="str">
        <x:f>IF(CaseLedger!$A418="","",IFERROR(CaseLedger!$AB418,""))</x:f>
      </x:c>
      <x:c r="W418" s="52" t="str">
        <x:f>IF(CaseLedger!$A418="","",IFERROR(CaseLedger!$AC418,""))</x:f>
      </x:c>
      <x:c r="X418" s="52" t="str">
        <x:f>IF(CaseLedger!$A418="","",IFERROR(CaseLedger!$AD418,""))</x:f>
      </x:c>
      <x:c r="Y418" s="52" t="str">
        <x:f>IF(CaseLedger!$A418="","",IFERROR(CaseLedger!$AE418,""))</x:f>
      </x:c>
      <x:c r="Z418" s="52" t="str">
        <x:f>IF(CaseLedger!$A418="","",IFERROR(CaseLedger!$AF418,""))</x:f>
      </x:c>
      <x:c r="AA418" s="52" t="str">
        <x:f>IF(CaseLedger!$A418="","",IFERROR(CaseLedger!$AG418,""))</x:f>
      </x:c>
      <x:c r="AB418" s="52" t="str">
        <x:f>IF(CaseLedger!$A418="","",IFERROR(CaseLedger!$AH418,""))</x:f>
      </x:c>
      <x:c r="AC418"/>
    </x:row>
    <x:row r="419">
      <x:c r="A419" s="52" t="str">
        <x:f>IF(CaseLedger!$A419="","",IFERROR(CaseLedger!$A419,""))</x:f>
      </x:c>
      <x:c r="B419" s="52" t="str">
        <x:f>IF(CaseLedger!$A419="","",IFERROR(CaseLedger!$H419,""))</x:f>
      </x:c>
      <x:c r="C419" s="52" t="str">
        <x:f>IF(CaseLedger!$A419="","",IFERROR(CaseLedger!$I419,""))</x:f>
      </x:c>
      <x:c r="D419" s="52" t="str">
        <x:f>IF(CaseLedger!$A419="","",IFERROR(CaseLedger!$J419,""))</x:f>
      </x:c>
      <x:c r="E419" s="52" t="str">
        <x:f>IF(CaseLedger!$A419="","",IFERROR(CaseLedger!$K419,""))</x:f>
      </x:c>
      <x:c r="F419" s="52" t="str">
        <x:f>IF(CaseLedger!$A419="","",IFERROR(CaseLedger!$O419,""))</x:f>
      </x:c>
      <x:c r="G419" s="52" t="str">
        <x:f>IF(CaseLedger!$A419="","",IFERROR(CaseLedger!$E419,""))</x:f>
      </x:c>
      <x:c r="H419" s="52" t="str">
        <x:f>IF(CaseLedger!$A419="","",IFERROR(CaseLedger!$P419,""))</x:f>
      </x:c>
      <x:c r="I419" s="52" t="str">
        <x:f>IF(CaseLedger!$A419="","",IFERROR(CaseLedger!$Q419,""))</x:f>
      </x:c>
      <x:c r="J419" s="52" t="str">
        <x:f>IF(CaseLedger!$A419="","",IFERROR(CaseLedger!$R419,""))</x:f>
      </x:c>
      <x:c r="K419" s="52" t="str">
        <x:f>IF(CaseLedger!$A419="","",IFERROR(CaseLedger!$S419,""))</x:f>
      </x:c>
      <x:c r="L419" s="52" t="str">
        <x:f>IF(CaseLedger!$A419="","",IFERROR(CaseLedger!$T419,""))</x:f>
      </x:c>
      <x:c r="M419" s="52" t="str">
        <x:f>IF(CaseLedger!$A419="","",IFERROR(CaseLedger!$U419,""))</x:f>
      </x:c>
      <x:c r="N419" s="52" t="str">
        <x:f>IF(CaseLedger!$A419="","",IFERROR(CaseLedger!$V419,""))</x:f>
      </x:c>
      <x:c r="O419" s="52" t="str">
        <x:f>IF(CaseLedger!$A419="","",IFERROR(CaseLedger!$W419,""))</x:f>
      </x:c>
      <x:c r="P419" s="52" t="str">
        <x:f>IF(CaseLedger!$A419="","",IFERROR(CaseLedger!$C419,""))</x:f>
      </x:c>
      <x:c r="Q419" s="52" t="str">
        <x:f>IF(CaseLedger!$A419="","",IFERROR(CaseLedger!$D419,""))</x:f>
      </x:c>
      <x:c r="R419" s="52" t="str">
        <x:f>IF(CaseLedger!$A419="","",IFERROR(CaseLedger!$X419,""))</x:f>
      </x:c>
      <x:c r="S419" s="52" t="str">
        <x:f>IF(CaseLedger!$A419="","",IFERROR(CaseLedger!$Y419,""))</x:f>
      </x:c>
      <x:c r="T419" s="52" t="str">
        <x:f>IF(CaseLedger!$A419="","",IFERROR(CaseLedger!$Z419,""))</x:f>
      </x:c>
      <x:c r="U419" s="52" t="str">
        <x:f>IF(CaseLedger!$A419="","",IFERROR(CaseLedger!$AA419,""))</x:f>
      </x:c>
      <x:c r="V419" s="52" t="str">
        <x:f>IF(CaseLedger!$A419="","",IFERROR(CaseLedger!$AB419,""))</x:f>
      </x:c>
      <x:c r="W419" s="52" t="str">
        <x:f>IF(CaseLedger!$A419="","",IFERROR(CaseLedger!$AC419,""))</x:f>
      </x:c>
      <x:c r="X419" s="52" t="str">
        <x:f>IF(CaseLedger!$A419="","",IFERROR(CaseLedger!$AD419,""))</x:f>
      </x:c>
      <x:c r="Y419" s="52" t="str">
        <x:f>IF(CaseLedger!$A419="","",IFERROR(CaseLedger!$AE419,""))</x:f>
      </x:c>
      <x:c r="Z419" s="52" t="str">
        <x:f>IF(CaseLedger!$A419="","",IFERROR(CaseLedger!$AF419,""))</x:f>
      </x:c>
      <x:c r="AA419" s="52" t="str">
        <x:f>IF(CaseLedger!$A419="","",IFERROR(CaseLedger!$AG419,""))</x:f>
      </x:c>
      <x:c r="AB419" s="52" t="str">
        <x:f>IF(CaseLedger!$A419="","",IFERROR(CaseLedger!$AH419,""))</x:f>
      </x:c>
      <x:c r="AC419"/>
    </x:row>
    <x:row r="420">
      <x:c r="A420" s="52" t="str">
        <x:f>IF(CaseLedger!$A420="","",IFERROR(CaseLedger!$A420,""))</x:f>
      </x:c>
      <x:c r="B420" s="52" t="str">
        <x:f>IF(CaseLedger!$A420="","",IFERROR(CaseLedger!$H420,""))</x:f>
      </x:c>
      <x:c r="C420" s="52" t="str">
        <x:f>IF(CaseLedger!$A420="","",IFERROR(CaseLedger!$I420,""))</x:f>
      </x:c>
      <x:c r="D420" s="52" t="str">
        <x:f>IF(CaseLedger!$A420="","",IFERROR(CaseLedger!$J420,""))</x:f>
      </x:c>
      <x:c r="E420" s="52" t="str">
        <x:f>IF(CaseLedger!$A420="","",IFERROR(CaseLedger!$K420,""))</x:f>
      </x:c>
      <x:c r="F420" s="52" t="str">
        <x:f>IF(CaseLedger!$A420="","",IFERROR(CaseLedger!$O420,""))</x:f>
      </x:c>
      <x:c r="G420" s="52" t="str">
        <x:f>IF(CaseLedger!$A420="","",IFERROR(CaseLedger!$E420,""))</x:f>
      </x:c>
      <x:c r="H420" s="52" t="str">
        <x:f>IF(CaseLedger!$A420="","",IFERROR(CaseLedger!$P420,""))</x:f>
      </x:c>
      <x:c r="I420" s="52" t="str">
        <x:f>IF(CaseLedger!$A420="","",IFERROR(CaseLedger!$Q420,""))</x:f>
      </x:c>
      <x:c r="J420" s="52" t="str">
        <x:f>IF(CaseLedger!$A420="","",IFERROR(CaseLedger!$R420,""))</x:f>
      </x:c>
      <x:c r="K420" s="52" t="str">
        <x:f>IF(CaseLedger!$A420="","",IFERROR(CaseLedger!$S420,""))</x:f>
      </x:c>
      <x:c r="L420" s="52" t="str">
        <x:f>IF(CaseLedger!$A420="","",IFERROR(CaseLedger!$T420,""))</x:f>
      </x:c>
      <x:c r="M420" s="52" t="str">
        <x:f>IF(CaseLedger!$A420="","",IFERROR(CaseLedger!$U420,""))</x:f>
      </x:c>
      <x:c r="N420" s="52" t="str">
        <x:f>IF(CaseLedger!$A420="","",IFERROR(CaseLedger!$V420,""))</x:f>
      </x:c>
      <x:c r="O420" s="52" t="str">
        <x:f>IF(CaseLedger!$A420="","",IFERROR(CaseLedger!$W420,""))</x:f>
      </x:c>
      <x:c r="P420" s="52" t="str">
        <x:f>IF(CaseLedger!$A420="","",IFERROR(CaseLedger!$C420,""))</x:f>
      </x:c>
      <x:c r="Q420" s="52" t="str">
        <x:f>IF(CaseLedger!$A420="","",IFERROR(CaseLedger!$D420,""))</x:f>
      </x:c>
      <x:c r="R420" s="52" t="str">
        <x:f>IF(CaseLedger!$A420="","",IFERROR(CaseLedger!$X420,""))</x:f>
      </x:c>
      <x:c r="S420" s="52" t="str">
        <x:f>IF(CaseLedger!$A420="","",IFERROR(CaseLedger!$Y420,""))</x:f>
      </x:c>
      <x:c r="T420" s="52" t="str">
        <x:f>IF(CaseLedger!$A420="","",IFERROR(CaseLedger!$Z420,""))</x:f>
      </x:c>
      <x:c r="U420" s="52" t="str">
        <x:f>IF(CaseLedger!$A420="","",IFERROR(CaseLedger!$AA420,""))</x:f>
      </x:c>
      <x:c r="V420" s="52" t="str">
        <x:f>IF(CaseLedger!$A420="","",IFERROR(CaseLedger!$AB420,""))</x:f>
      </x:c>
      <x:c r="W420" s="52" t="str">
        <x:f>IF(CaseLedger!$A420="","",IFERROR(CaseLedger!$AC420,""))</x:f>
      </x:c>
      <x:c r="X420" s="52" t="str">
        <x:f>IF(CaseLedger!$A420="","",IFERROR(CaseLedger!$AD420,""))</x:f>
      </x:c>
      <x:c r="Y420" s="52" t="str">
        <x:f>IF(CaseLedger!$A420="","",IFERROR(CaseLedger!$AE420,""))</x:f>
      </x:c>
      <x:c r="Z420" s="52" t="str">
        <x:f>IF(CaseLedger!$A420="","",IFERROR(CaseLedger!$AF420,""))</x:f>
      </x:c>
      <x:c r="AA420" s="52" t="str">
        <x:f>IF(CaseLedger!$A420="","",IFERROR(CaseLedger!$AG420,""))</x:f>
      </x:c>
      <x:c r="AB420" s="52" t="str">
        <x:f>IF(CaseLedger!$A420="","",IFERROR(CaseLedger!$AH420,""))</x:f>
      </x:c>
      <x:c r="AC420"/>
    </x:row>
    <x:row r="421">
      <x:c r="A421" s="52" t="str">
        <x:f>IF(CaseLedger!$A421="","",IFERROR(CaseLedger!$A421,""))</x:f>
      </x:c>
      <x:c r="B421" s="52" t="str">
        <x:f>IF(CaseLedger!$A421="","",IFERROR(CaseLedger!$H421,""))</x:f>
      </x:c>
      <x:c r="C421" s="52" t="str">
        <x:f>IF(CaseLedger!$A421="","",IFERROR(CaseLedger!$I421,""))</x:f>
      </x:c>
      <x:c r="D421" s="52" t="str">
        <x:f>IF(CaseLedger!$A421="","",IFERROR(CaseLedger!$J421,""))</x:f>
      </x:c>
      <x:c r="E421" s="52" t="str">
        <x:f>IF(CaseLedger!$A421="","",IFERROR(CaseLedger!$K421,""))</x:f>
      </x:c>
      <x:c r="F421" s="52" t="str">
        <x:f>IF(CaseLedger!$A421="","",IFERROR(CaseLedger!$O421,""))</x:f>
      </x:c>
      <x:c r="G421" s="52" t="str">
        <x:f>IF(CaseLedger!$A421="","",IFERROR(CaseLedger!$E421,""))</x:f>
      </x:c>
      <x:c r="H421" s="52" t="str">
        <x:f>IF(CaseLedger!$A421="","",IFERROR(CaseLedger!$P421,""))</x:f>
      </x:c>
      <x:c r="I421" s="52" t="str">
        <x:f>IF(CaseLedger!$A421="","",IFERROR(CaseLedger!$Q421,""))</x:f>
      </x:c>
      <x:c r="J421" s="52" t="str">
        <x:f>IF(CaseLedger!$A421="","",IFERROR(CaseLedger!$R421,""))</x:f>
      </x:c>
      <x:c r="K421" s="52" t="str">
        <x:f>IF(CaseLedger!$A421="","",IFERROR(CaseLedger!$S421,""))</x:f>
      </x:c>
      <x:c r="L421" s="52" t="str">
        <x:f>IF(CaseLedger!$A421="","",IFERROR(CaseLedger!$T421,""))</x:f>
      </x:c>
      <x:c r="M421" s="52" t="str">
        <x:f>IF(CaseLedger!$A421="","",IFERROR(CaseLedger!$U421,""))</x:f>
      </x:c>
      <x:c r="N421" s="52" t="str">
        <x:f>IF(CaseLedger!$A421="","",IFERROR(CaseLedger!$V421,""))</x:f>
      </x:c>
      <x:c r="O421" s="52" t="str">
        <x:f>IF(CaseLedger!$A421="","",IFERROR(CaseLedger!$W421,""))</x:f>
      </x:c>
      <x:c r="P421" s="52" t="str">
        <x:f>IF(CaseLedger!$A421="","",IFERROR(CaseLedger!$C421,""))</x:f>
      </x:c>
      <x:c r="Q421" s="52" t="str">
        <x:f>IF(CaseLedger!$A421="","",IFERROR(CaseLedger!$D421,""))</x:f>
      </x:c>
      <x:c r="R421" s="52" t="str">
        <x:f>IF(CaseLedger!$A421="","",IFERROR(CaseLedger!$X421,""))</x:f>
      </x:c>
      <x:c r="S421" s="52" t="str">
        <x:f>IF(CaseLedger!$A421="","",IFERROR(CaseLedger!$Y421,""))</x:f>
      </x:c>
      <x:c r="T421" s="52" t="str">
        <x:f>IF(CaseLedger!$A421="","",IFERROR(CaseLedger!$Z421,""))</x:f>
      </x:c>
      <x:c r="U421" s="52" t="str">
        <x:f>IF(CaseLedger!$A421="","",IFERROR(CaseLedger!$AA421,""))</x:f>
      </x:c>
      <x:c r="V421" s="52" t="str">
        <x:f>IF(CaseLedger!$A421="","",IFERROR(CaseLedger!$AB421,""))</x:f>
      </x:c>
      <x:c r="W421" s="52" t="str">
        <x:f>IF(CaseLedger!$A421="","",IFERROR(CaseLedger!$AC421,""))</x:f>
      </x:c>
      <x:c r="X421" s="52" t="str">
        <x:f>IF(CaseLedger!$A421="","",IFERROR(CaseLedger!$AD421,""))</x:f>
      </x:c>
      <x:c r="Y421" s="52" t="str">
        <x:f>IF(CaseLedger!$A421="","",IFERROR(CaseLedger!$AE421,""))</x:f>
      </x:c>
      <x:c r="Z421" s="52" t="str">
        <x:f>IF(CaseLedger!$A421="","",IFERROR(CaseLedger!$AF421,""))</x:f>
      </x:c>
      <x:c r="AA421" s="52" t="str">
        <x:f>IF(CaseLedger!$A421="","",IFERROR(CaseLedger!$AG421,""))</x:f>
      </x:c>
      <x:c r="AB421" s="52" t="str">
        <x:f>IF(CaseLedger!$A421="","",IFERROR(CaseLedger!$AH421,""))</x:f>
      </x:c>
      <x:c r="AC421"/>
    </x:row>
    <x:row r="422">
      <x:c r="A422" s="52" t="str">
        <x:f>IF(CaseLedger!$A422="","",IFERROR(CaseLedger!$A422,""))</x:f>
      </x:c>
      <x:c r="B422" s="52" t="str">
        <x:f>IF(CaseLedger!$A422="","",IFERROR(CaseLedger!$H422,""))</x:f>
      </x:c>
      <x:c r="C422" s="52" t="str">
        <x:f>IF(CaseLedger!$A422="","",IFERROR(CaseLedger!$I422,""))</x:f>
      </x:c>
      <x:c r="D422" s="52" t="str">
        <x:f>IF(CaseLedger!$A422="","",IFERROR(CaseLedger!$J422,""))</x:f>
      </x:c>
      <x:c r="E422" s="52" t="str">
        <x:f>IF(CaseLedger!$A422="","",IFERROR(CaseLedger!$K422,""))</x:f>
      </x:c>
      <x:c r="F422" s="52" t="str">
        <x:f>IF(CaseLedger!$A422="","",IFERROR(CaseLedger!$O422,""))</x:f>
      </x:c>
      <x:c r="G422" s="52" t="str">
        <x:f>IF(CaseLedger!$A422="","",IFERROR(CaseLedger!$E422,""))</x:f>
      </x:c>
      <x:c r="H422" s="52" t="str">
        <x:f>IF(CaseLedger!$A422="","",IFERROR(CaseLedger!$P422,""))</x:f>
      </x:c>
      <x:c r="I422" s="52" t="str">
        <x:f>IF(CaseLedger!$A422="","",IFERROR(CaseLedger!$Q422,""))</x:f>
      </x:c>
      <x:c r="J422" s="52" t="str">
        <x:f>IF(CaseLedger!$A422="","",IFERROR(CaseLedger!$R422,""))</x:f>
      </x:c>
      <x:c r="K422" s="52" t="str">
        <x:f>IF(CaseLedger!$A422="","",IFERROR(CaseLedger!$S422,""))</x:f>
      </x:c>
      <x:c r="L422" s="52" t="str">
        <x:f>IF(CaseLedger!$A422="","",IFERROR(CaseLedger!$T422,""))</x:f>
      </x:c>
      <x:c r="M422" s="52" t="str">
        <x:f>IF(CaseLedger!$A422="","",IFERROR(CaseLedger!$U422,""))</x:f>
      </x:c>
      <x:c r="N422" s="52" t="str">
        <x:f>IF(CaseLedger!$A422="","",IFERROR(CaseLedger!$V422,""))</x:f>
      </x:c>
      <x:c r="O422" s="52" t="str">
        <x:f>IF(CaseLedger!$A422="","",IFERROR(CaseLedger!$W422,""))</x:f>
      </x:c>
      <x:c r="P422" s="52" t="str">
        <x:f>IF(CaseLedger!$A422="","",IFERROR(CaseLedger!$C422,""))</x:f>
      </x:c>
      <x:c r="Q422" s="52" t="str">
        <x:f>IF(CaseLedger!$A422="","",IFERROR(CaseLedger!$D422,""))</x:f>
      </x:c>
      <x:c r="R422" s="52" t="str">
        <x:f>IF(CaseLedger!$A422="","",IFERROR(CaseLedger!$X422,""))</x:f>
      </x:c>
      <x:c r="S422" s="52" t="str">
        <x:f>IF(CaseLedger!$A422="","",IFERROR(CaseLedger!$Y422,""))</x:f>
      </x:c>
      <x:c r="T422" s="52" t="str">
        <x:f>IF(CaseLedger!$A422="","",IFERROR(CaseLedger!$Z422,""))</x:f>
      </x:c>
      <x:c r="U422" s="52" t="str">
        <x:f>IF(CaseLedger!$A422="","",IFERROR(CaseLedger!$AA422,""))</x:f>
      </x:c>
      <x:c r="V422" s="52" t="str">
        <x:f>IF(CaseLedger!$A422="","",IFERROR(CaseLedger!$AB422,""))</x:f>
      </x:c>
      <x:c r="W422" s="52" t="str">
        <x:f>IF(CaseLedger!$A422="","",IFERROR(CaseLedger!$AC422,""))</x:f>
      </x:c>
      <x:c r="X422" s="52" t="str">
        <x:f>IF(CaseLedger!$A422="","",IFERROR(CaseLedger!$AD422,""))</x:f>
      </x:c>
      <x:c r="Y422" s="52" t="str">
        <x:f>IF(CaseLedger!$A422="","",IFERROR(CaseLedger!$AE422,""))</x:f>
      </x:c>
      <x:c r="Z422" s="52" t="str">
        <x:f>IF(CaseLedger!$A422="","",IFERROR(CaseLedger!$AF422,""))</x:f>
      </x:c>
      <x:c r="AA422" s="52" t="str">
        <x:f>IF(CaseLedger!$A422="","",IFERROR(CaseLedger!$AG422,""))</x:f>
      </x:c>
      <x:c r="AB422" s="52" t="str">
        <x:f>IF(CaseLedger!$A422="","",IFERROR(CaseLedger!$AH422,""))</x:f>
      </x:c>
      <x:c r="AC422"/>
    </x:row>
    <x:row r="423">
      <x:c r="A423" s="52" t="str">
        <x:f>IF(CaseLedger!$A423="","",IFERROR(CaseLedger!$A423,""))</x:f>
      </x:c>
      <x:c r="B423" s="52" t="str">
        <x:f>IF(CaseLedger!$A423="","",IFERROR(CaseLedger!$H423,""))</x:f>
      </x:c>
      <x:c r="C423" s="52" t="str">
        <x:f>IF(CaseLedger!$A423="","",IFERROR(CaseLedger!$I423,""))</x:f>
      </x:c>
      <x:c r="D423" s="52" t="str">
        <x:f>IF(CaseLedger!$A423="","",IFERROR(CaseLedger!$J423,""))</x:f>
      </x:c>
      <x:c r="E423" s="52" t="str">
        <x:f>IF(CaseLedger!$A423="","",IFERROR(CaseLedger!$K423,""))</x:f>
      </x:c>
      <x:c r="F423" s="52" t="str">
        <x:f>IF(CaseLedger!$A423="","",IFERROR(CaseLedger!$O423,""))</x:f>
      </x:c>
      <x:c r="G423" s="52" t="str">
        <x:f>IF(CaseLedger!$A423="","",IFERROR(CaseLedger!$E423,""))</x:f>
      </x:c>
      <x:c r="H423" s="52" t="str">
        <x:f>IF(CaseLedger!$A423="","",IFERROR(CaseLedger!$P423,""))</x:f>
      </x:c>
      <x:c r="I423" s="52" t="str">
        <x:f>IF(CaseLedger!$A423="","",IFERROR(CaseLedger!$Q423,""))</x:f>
      </x:c>
      <x:c r="J423" s="52" t="str">
        <x:f>IF(CaseLedger!$A423="","",IFERROR(CaseLedger!$R423,""))</x:f>
      </x:c>
      <x:c r="K423" s="52" t="str">
        <x:f>IF(CaseLedger!$A423="","",IFERROR(CaseLedger!$S423,""))</x:f>
      </x:c>
      <x:c r="L423" s="52" t="str">
        <x:f>IF(CaseLedger!$A423="","",IFERROR(CaseLedger!$T423,""))</x:f>
      </x:c>
      <x:c r="M423" s="52" t="str">
        <x:f>IF(CaseLedger!$A423="","",IFERROR(CaseLedger!$U423,""))</x:f>
      </x:c>
      <x:c r="N423" s="52" t="str">
        <x:f>IF(CaseLedger!$A423="","",IFERROR(CaseLedger!$V423,""))</x:f>
      </x:c>
      <x:c r="O423" s="52" t="str">
        <x:f>IF(CaseLedger!$A423="","",IFERROR(CaseLedger!$W423,""))</x:f>
      </x:c>
      <x:c r="P423" s="52" t="str">
        <x:f>IF(CaseLedger!$A423="","",IFERROR(CaseLedger!$C423,""))</x:f>
      </x:c>
      <x:c r="Q423" s="52" t="str">
        <x:f>IF(CaseLedger!$A423="","",IFERROR(CaseLedger!$D423,""))</x:f>
      </x:c>
      <x:c r="R423" s="52" t="str">
        <x:f>IF(CaseLedger!$A423="","",IFERROR(CaseLedger!$X423,""))</x:f>
      </x:c>
      <x:c r="S423" s="52" t="str">
        <x:f>IF(CaseLedger!$A423="","",IFERROR(CaseLedger!$Y423,""))</x:f>
      </x:c>
      <x:c r="T423" s="52" t="str">
        <x:f>IF(CaseLedger!$A423="","",IFERROR(CaseLedger!$Z423,""))</x:f>
      </x:c>
      <x:c r="U423" s="52" t="str">
        <x:f>IF(CaseLedger!$A423="","",IFERROR(CaseLedger!$AA423,""))</x:f>
      </x:c>
      <x:c r="V423" s="52" t="str">
        <x:f>IF(CaseLedger!$A423="","",IFERROR(CaseLedger!$AB423,""))</x:f>
      </x:c>
      <x:c r="W423" s="52" t="str">
        <x:f>IF(CaseLedger!$A423="","",IFERROR(CaseLedger!$AC423,""))</x:f>
      </x:c>
      <x:c r="X423" s="52" t="str">
        <x:f>IF(CaseLedger!$A423="","",IFERROR(CaseLedger!$AD423,""))</x:f>
      </x:c>
      <x:c r="Y423" s="52" t="str">
        <x:f>IF(CaseLedger!$A423="","",IFERROR(CaseLedger!$AE423,""))</x:f>
      </x:c>
      <x:c r="Z423" s="52" t="str">
        <x:f>IF(CaseLedger!$A423="","",IFERROR(CaseLedger!$AF423,""))</x:f>
      </x:c>
      <x:c r="AA423" s="52" t="str">
        <x:f>IF(CaseLedger!$A423="","",IFERROR(CaseLedger!$AG423,""))</x:f>
      </x:c>
      <x:c r="AB423" s="52" t="str">
        <x:f>IF(CaseLedger!$A423="","",IFERROR(CaseLedger!$AH423,""))</x:f>
      </x:c>
      <x:c r="AC423"/>
    </x:row>
    <x:row r="424">
      <x:c r="A424" s="52" t="str">
        <x:f>IF(CaseLedger!$A424="","",IFERROR(CaseLedger!$A424,""))</x:f>
      </x:c>
      <x:c r="B424" s="52" t="str">
        <x:f>IF(CaseLedger!$A424="","",IFERROR(CaseLedger!$H424,""))</x:f>
      </x:c>
      <x:c r="C424" s="52" t="str">
        <x:f>IF(CaseLedger!$A424="","",IFERROR(CaseLedger!$I424,""))</x:f>
      </x:c>
      <x:c r="D424" s="52" t="str">
        <x:f>IF(CaseLedger!$A424="","",IFERROR(CaseLedger!$J424,""))</x:f>
      </x:c>
      <x:c r="E424" s="52" t="str">
        <x:f>IF(CaseLedger!$A424="","",IFERROR(CaseLedger!$K424,""))</x:f>
      </x:c>
      <x:c r="F424" s="52" t="str">
        <x:f>IF(CaseLedger!$A424="","",IFERROR(CaseLedger!$O424,""))</x:f>
      </x:c>
      <x:c r="G424" s="52" t="str">
        <x:f>IF(CaseLedger!$A424="","",IFERROR(CaseLedger!$E424,""))</x:f>
      </x:c>
      <x:c r="H424" s="52" t="str">
        <x:f>IF(CaseLedger!$A424="","",IFERROR(CaseLedger!$P424,""))</x:f>
      </x:c>
      <x:c r="I424" s="52" t="str">
        <x:f>IF(CaseLedger!$A424="","",IFERROR(CaseLedger!$Q424,""))</x:f>
      </x:c>
      <x:c r="J424" s="52" t="str">
        <x:f>IF(CaseLedger!$A424="","",IFERROR(CaseLedger!$R424,""))</x:f>
      </x:c>
      <x:c r="K424" s="52" t="str">
        <x:f>IF(CaseLedger!$A424="","",IFERROR(CaseLedger!$S424,""))</x:f>
      </x:c>
      <x:c r="L424" s="52" t="str">
        <x:f>IF(CaseLedger!$A424="","",IFERROR(CaseLedger!$T424,""))</x:f>
      </x:c>
      <x:c r="M424" s="52" t="str">
        <x:f>IF(CaseLedger!$A424="","",IFERROR(CaseLedger!$U424,""))</x:f>
      </x:c>
      <x:c r="N424" s="52" t="str">
        <x:f>IF(CaseLedger!$A424="","",IFERROR(CaseLedger!$V424,""))</x:f>
      </x:c>
      <x:c r="O424" s="52" t="str">
        <x:f>IF(CaseLedger!$A424="","",IFERROR(CaseLedger!$W424,""))</x:f>
      </x:c>
      <x:c r="P424" s="52" t="str">
        <x:f>IF(CaseLedger!$A424="","",IFERROR(CaseLedger!$C424,""))</x:f>
      </x:c>
      <x:c r="Q424" s="52" t="str">
        <x:f>IF(CaseLedger!$A424="","",IFERROR(CaseLedger!$D424,""))</x:f>
      </x:c>
      <x:c r="R424" s="52" t="str">
        <x:f>IF(CaseLedger!$A424="","",IFERROR(CaseLedger!$X424,""))</x:f>
      </x:c>
      <x:c r="S424" s="52" t="str">
        <x:f>IF(CaseLedger!$A424="","",IFERROR(CaseLedger!$Y424,""))</x:f>
      </x:c>
      <x:c r="T424" s="52" t="str">
        <x:f>IF(CaseLedger!$A424="","",IFERROR(CaseLedger!$Z424,""))</x:f>
      </x:c>
      <x:c r="U424" s="52" t="str">
        <x:f>IF(CaseLedger!$A424="","",IFERROR(CaseLedger!$AA424,""))</x:f>
      </x:c>
      <x:c r="V424" s="52" t="str">
        <x:f>IF(CaseLedger!$A424="","",IFERROR(CaseLedger!$AB424,""))</x:f>
      </x:c>
      <x:c r="W424" s="52" t="str">
        <x:f>IF(CaseLedger!$A424="","",IFERROR(CaseLedger!$AC424,""))</x:f>
      </x:c>
      <x:c r="X424" s="52" t="str">
        <x:f>IF(CaseLedger!$A424="","",IFERROR(CaseLedger!$AD424,""))</x:f>
      </x:c>
      <x:c r="Y424" s="52" t="str">
        <x:f>IF(CaseLedger!$A424="","",IFERROR(CaseLedger!$AE424,""))</x:f>
      </x:c>
      <x:c r="Z424" s="52" t="str">
        <x:f>IF(CaseLedger!$A424="","",IFERROR(CaseLedger!$AF424,""))</x:f>
      </x:c>
      <x:c r="AA424" s="52" t="str">
        <x:f>IF(CaseLedger!$A424="","",IFERROR(CaseLedger!$AG424,""))</x:f>
      </x:c>
      <x:c r="AB424" s="52" t="str">
        <x:f>IF(CaseLedger!$A424="","",IFERROR(CaseLedger!$AH424,""))</x:f>
      </x:c>
      <x:c r="AC424"/>
    </x:row>
    <x:row r="425">
      <x:c r="A425" s="52" t="str">
        <x:f>IF(CaseLedger!$A425="","",IFERROR(CaseLedger!$A425,""))</x:f>
      </x:c>
      <x:c r="B425" s="52" t="str">
        <x:f>IF(CaseLedger!$A425="","",IFERROR(CaseLedger!$H425,""))</x:f>
      </x:c>
      <x:c r="C425" s="52" t="str">
        <x:f>IF(CaseLedger!$A425="","",IFERROR(CaseLedger!$I425,""))</x:f>
      </x:c>
      <x:c r="D425" s="52" t="str">
        <x:f>IF(CaseLedger!$A425="","",IFERROR(CaseLedger!$J425,""))</x:f>
      </x:c>
      <x:c r="E425" s="52" t="str">
        <x:f>IF(CaseLedger!$A425="","",IFERROR(CaseLedger!$K425,""))</x:f>
      </x:c>
      <x:c r="F425" s="52" t="str">
        <x:f>IF(CaseLedger!$A425="","",IFERROR(CaseLedger!$O425,""))</x:f>
      </x:c>
      <x:c r="G425" s="52" t="str">
        <x:f>IF(CaseLedger!$A425="","",IFERROR(CaseLedger!$E425,""))</x:f>
      </x:c>
      <x:c r="H425" s="52" t="str">
        <x:f>IF(CaseLedger!$A425="","",IFERROR(CaseLedger!$P425,""))</x:f>
      </x:c>
      <x:c r="I425" s="52" t="str">
        <x:f>IF(CaseLedger!$A425="","",IFERROR(CaseLedger!$Q425,""))</x:f>
      </x:c>
      <x:c r="J425" s="52" t="str">
        <x:f>IF(CaseLedger!$A425="","",IFERROR(CaseLedger!$R425,""))</x:f>
      </x:c>
      <x:c r="K425" s="52" t="str">
        <x:f>IF(CaseLedger!$A425="","",IFERROR(CaseLedger!$S425,""))</x:f>
      </x:c>
      <x:c r="L425" s="52" t="str">
        <x:f>IF(CaseLedger!$A425="","",IFERROR(CaseLedger!$T425,""))</x:f>
      </x:c>
      <x:c r="M425" s="52" t="str">
        <x:f>IF(CaseLedger!$A425="","",IFERROR(CaseLedger!$U425,""))</x:f>
      </x:c>
      <x:c r="N425" s="52" t="str">
        <x:f>IF(CaseLedger!$A425="","",IFERROR(CaseLedger!$V425,""))</x:f>
      </x:c>
      <x:c r="O425" s="52" t="str">
        <x:f>IF(CaseLedger!$A425="","",IFERROR(CaseLedger!$W425,""))</x:f>
      </x:c>
      <x:c r="P425" s="52" t="str">
        <x:f>IF(CaseLedger!$A425="","",IFERROR(CaseLedger!$C425,""))</x:f>
      </x:c>
      <x:c r="Q425" s="52" t="str">
        <x:f>IF(CaseLedger!$A425="","",IFERROR(CaseLedger!$D425,""))</x:f>
      </x:c>
      <x:c r="R425" s="52" t="str">
        <x:f>IF(CaseLedger!$A425="","",IFERROR(CaseLedger!$X425,""))</x:f>
      </x:c>
      <x:c r="S425" s="52" t="str">
        <x:f>IF(CaseLedger!$A425="","",IFERROR(CaseLedger!$Y425,""))</x:f>
      </x:c>
      <x:c r="T425" s="52" t="str">
        <x:f>IF(CaseLedger!$A425="","",IFERROR(CaseLedger!$Z425,""))</x:f>
      </x:c>
      <x:c r="U425" s="52" t="str">
        <x:f>IF(CaseLedger!$A425="","",IFERROR(CaseLedger!$AA425,""))</x:f>
      </x:c>
      <x:c r="V425" s="52" t="str">
        <x:f>IF(CaseLedger!$A425="","",IFERROR(CaseLedger!$AB425,""))</x:f>
      </x:c>
      <x:c r="W425" s="52" t="str">
        <x:f>IF(CaseLedger!$A425="","",IFERROR(CaseLedger!$AC425,""))</x:f>
      </x:c>
      <x:c r="X425" s="52" t="str">
        <x:f>IF(CaseLedger!$A425="","",IFERROR(CaseLedger!$AD425,""))</x:f>
      </x:c>
      <x:c r="Y425" s="52" t="str">
        <x:f>IF(CaseLedger!$A425="","",IFERROR(CaseLedger!$AE425,""))</x:f>
      </x:c>
      <x:c r="Z425" s="52" t="str">
        <x:f>IF(CaseLedger!$A425="","",IFERROR(CaseLedger!$AF425,""))</x:f>
      </x:c>
      <x:c r="AA425" s="52" t="str">
        <x:f>IF(CaseLedger!$A425="","",IFERROR(CaseLedger!$AG425,""))</x:f>
      </x:c>
      <x:c r="AB425" s="52" t="str">
        <x:f>IF(CaseLedger!$A425="","",IFERROR(CaseLedger!$AH425,""))</x:f>
      </x:c>
      <x:c r="AC425"/>
    </x:row>
    <x:row r="426">
      <x:c r="A426" s="52" t="str">
        <x:f>IF(CaseLedger!$A426="","",IFERROR(CaseLedger!$A426,""))</x:f>
      </x:c>
      <x:c r="B426" s="52" t="str">
        <x:f>IF(CaseLedger!$A426="","",IFERROR(CaseLedger!$H426,""))</x:f>
      </x:c>
      <x:c r="C426" s="52" t="str">
        <x:f>IF(CaseLedger!$A426="","",IFERROR(CaseLedger!$I426,""))</x:f>
      </x:c>
      <x:c r="D426" s="52" t="str">
        <x:f>IF(CaseLedger!$A426="","",IFERROR(CaseLedger!$J426,""))</x:f>
      </x:c>
      <x:c r="E426" s="52" t="str">
        <x:f>IF(CaseLedger!$A426="","",IFERROR(CaseLedger!$K426,""))</x:f>
      </x:c>
      <x:c r="F426" s="52" t="str">
        <x:f>IF(CaseLedger!$A426="","",IFERROR(CaseLedger!$O426,""))</x:f>
      </x:c>
      <x:c r="G426" s="52" t="str">
        <x:f>IF(CaseLedger!$A426="","",IFERROR(CaseLedger!$E426,""))</x:f>
      </x:c>
      <x:c r="H426" s="52" t="str">
        <x:f>IF(CaseLedger!$A426="","",IFERROR(CaseLedger!$P426,""))</x:f>
      </x:c>
      <x:c r="I426" s="52" t="str">
        <x:f>IF(CaseLedger!$A426="","",IFERROR(CaseLedger!$Q426,""))</x:f>
      </x:c>
      <x:c r="J426" s="52" t="str">
        <x:f>IF(CaseLedger!$A426="","",IFERROR(CaseLedger!$R426,""))</x:f>
      </x:c>
      <x:c r="K426" s="52" t="str">
        <x:f>IF(CaseLedger!$A426="","",IFERROR(CaseLedger!$S426,""))</x:f>
      </x:c>
      <x:c r="L426" s="52" t="str">
        <x:f>IF(CaseLedger!$A426="","",IFERROR(CaseLedger!$T426,""))</x:f>
      </x:c>
      <x:c r="M426" s="52" t="str">
        <x:f>IF(CaseLedger!$A426="","",IFERROR(CaseLedger!$U426,""))</x:f>
      </x:c>
      <x:c r="N426" s="52" t="str">
        <x:f>IF(CaseLedger!$A426="","",IFERROR(CaseLedger!$V426,""))</x:f>
      </x:c>
      <x:c r="O426" s="52" t="str">
        <x:f>IF(CaseLedger!$A426="","",IFERROR(CaseLedger!$W426,""))</x:f>
      </x:c>
      <x:c r="P426" s="52" t="str">
        <x:f>IF(CaseLedger!$A426="","",IFERROR(CaseLedger!$C426,""))</x:f>
      </x:c>
      <x:c r="Q426" s="52" t="str">
        <x:f>IF(CaseLedger!$A426="","",IFERROR(CaseLedger!$D426,""))</x:f>
      </x:c>
      <x:c r="R426" s="52" t="str">
        <x:f>IF(CaseLedger!$A426="","",IFERROR(CaseLedger!$X426,""))</x:f>
      </x:c>
      <x:c r="S426" s="52" t="str">
        <x:f>IF(CaseLedger!$A426="","",IFERROR(CaseLedger!$Y426,""))</x:f>
      </x:c>
      <x:c r="T426" s="52" t="str">
        <x:f>IF(CaseLedger!$A426="","",IFERROR(CaseLedger!$Z426,""))</x:f>
      </x:c>
      <x:c r="U426" s="52" t="str">
        <x:f>IF(CaseLedger!$A426="","",IFERROR(CaseLedger!$AA426,""))</x:f>
      </x:c>
      <x:c r="V426" s="52" t="str">
        <x:f>IF(CaseLedger!$A426="","",IFERROR(CaseLedger!$AB426,""))</x:f>
      </x:c>
      <x:c r="W426" s="52" t="str">
        <x:f>IF(CaseLedger!$A426="","",IFERROR(CaseLedger!$AC426,""))</x:f>
      </x:c>
      <x:c r="X426" s="52" t="str">
        <x:f>IF(CaseLedger!$A426="","",IFERROR(CaseLedger!$AD426,""))</x:f>
      </x:c>
      <x:c r="Y426" s="52" t="str">
        <x:f>IF(CaseLedger!$A426="","",IFERROR(CaseLedger!$AE426,""))</x:f>
      </x:c>
      <x:c r="Z426" s="52" t="str">
        <x:f>IF(CaseLedger!$A426="","",IFERROR(CaseLedger!$AF426,""))</x:f>
      </x:c>
      <x:c r="AA426" s="52" t="str">
        <x:f>IF(CaseLedger!$A426="","",IFERROR(CaseLedger!$AG426,""))</x:f>
      </x:c>
      <x:c r="AB426" s="52" t="str">
        <x:f>IF(CaseLedger!$A426="","",IFERROR(CaseLedger!$AH426,""))</x:f>
      </x:c>
      <x:c r="AC426"/>
    </x:row>
    <x:row r="427">
      <x:c r="A427" s="52" t="str">
        <x:f>IF(CaseLedger!$A427="","",IFERROR(CaseLedger!$A427,""))</x:f>
      </x:c>
      <x:c r="B427" s="52" t="str">
        <x:f>IF(CaseLedger!$A427="","",IFERROR(CaseLedger!$H427,""))</x:f>
      </x:c>
      <x:c r="C427" s="52" t="str">
        <x:f>IF(CaseLedger!$A427="","",IFERROR(CaseLedger!$I427,""))</x:f>
      </x:c>
      <x:c r="D427" s="52" t="str">
        <x:f>IF(CaseLedger!$A427="","",IFERROR(CaseLedger!$J427,""))</x:f>
      </x:c>
      <x:c r="E427" s="52" t="str">
        <x:f>IF(CaseLedger!$A427="","",IFERROR(CaseLedger!$K427,""))</x:f>
      </x:c>
      <x:c r="F427" s="52" t="str">
        <x:f>IF(CaseLedger!$A427="","",IFERROR(CaseLedger!$O427,""))</x:f>
      </x:c>
      <x:c r="G427" s="52" t="str">
        <x:f>IF(CaseLedger!$A427="","",IFERROR(CaseLedger!$E427,""))</x:f>
      </x:c>
      <x:c r="H427" s="52" t="str">
        <x:f>IF(CaseLedger!$A427="","",IFERROR(CaseLedger!$P427,""))</x:f>
      </x:c>
      <x:c r="I427" s="52" t="str">
        <x:f>IF(CaseLedger!$A427="","",IFERROR(CaseLedger!$Q427,""))</x:f>
      </x:c>
      <x:c r="J427" s="52" t="str">
        <x:f>IF(CaseLedger!$A427="","",IFERROR(CaseLedger!$R427,""))</x:f>
      </x:c>
      <x:c r="K427" s="52" t="str">
        <x:f>IF(CaseLedger!$A427="","",IFERROR(CaseLedger!$S427,""))</x:f>
      </x:c>
      <x:c r="L427" s="52" t="str">
        <x:f>IF(CaseLedger!$A427="","",IFERROR(CaseLedger!$T427,""))</x:f>
      </x:c>
      <x:c r="M427" s="52" t="str">
        <x:f>IF(CaseLedger!$A427="","",IFERROR(CaseLedger!$U427,""))</x:f>
      </x:c>
      <x:c r="N427" s="52" t="str">
        <x:f>IF(CaseLedger!$A427="","",IFERROR(CaseLedger!$V427,""))</x:f>
      </x:c>
      <x:c r="O427" s="52" t="str">
        <x:f>IF(CaseLedger!$A427="","",IFERROR(CaseLedger!$W427,""))</x:f>
      </x:c>
      <x:c r="P427" s="52" t="str">
        <x:f>IF(CaseLedger!$A427="","",IFERROR(CaseLedger!$C427,""))</x:f>
      </x:c>
      <x:c r="Q427" s="52" t="str">
        <x:f>IF(CaseLedger!$A427="","",IFERROR(CaseLedger!$D427,""))</x:f>
      </x:c>
      <x:c r="R427" s="52" t="str">
        <x:f>IF(CaseLedger!$A427="","",IFERROR(CaseLedger!$X427,""))</x:f>
      </x:c>
      <x:c r="S427" s="52" t="str">
        <x:f>IF(CaseLedger!$A427="","",IFERROR(CaseLedger!$Y427,""))</x:f>
      </x:c>
      <x:c r="T427" s="52" t="str">
        <x:f>IF(CaseLedger!$A427="","",IFERROR(CaseLedger!$Z427,""))</x:f>
      </x:c>
      <x:c r="U427" s="52" t="str">
        <x:f>IF(CaseLedger!$A427="","",IFERROR(CaseLedger!$AA427,""))</x:f>
      </x:c>
      <x:c r="V427" s="52" t="str">
        <x:f>IF(CaseLedger!$A427="","",IFERROR(CaseLedger!$AB427,""))</x:f>
      </x:c>
      <x:c r="W427" s="52" t="str">
        <x:f>IF(CaseLedger!$A427="","",IFERROR(CaseLedger!$AC427,""))</x:f>
      </x:c>
      <x:c r="X427" s="52" t="str">
        <x:f>IF(CaseLedger!$A427="","",IFERROR(CaseLedger!$AD427,""))</x:f>
      </x:c>
      <x:c r="Y427" s="52" t="str">
        <x:f>IF(CaseLedger!$A427="","",IFERROR(CaseLedger!$AE427,""))</x:f>
      </x:c>
      <x:c r="Z427" s="52" t="str">
        <x:f>IF(CaseLedger!$A427="","",IFERROR(CaseLedger!$AF427,""))</x:f>
      </x:c>
      <x:c r="AA427" s="52" t="str">
        <x:f>IF(CaseLedger!$A427="","",IFERROR(CaseLedger!$AG427,""))</x:f>
      </x:c>
      <x:c r="AB427" s="52" t="str">
        <x:f>IF(CaseLedger!$A427="","",IFERROR(CaseLedger!$AH427,""))</x:f>
      </x:c>
      <x:c r="AC427"/>
    </x:row>
    <x:row r="428">
      <x:c r="A428" s="52" t="str">
        <x:f>IF(CaseLedger!$A428="","",IFERROR(CaseLedger!$A428,""))</x:f>
      </x:c>
      <x:c r="B428" s="52" t="str">
        <x:f>IF(CaseLedger!$A428="","",IFERROR(CaseLedger!$H428,""))</x:f>
      </x:c>
      <x:c r="C428" s="52" t="str">
        <x:f>IF(CaseLedger!$A428="","",IFERROR(CaseLedger!$I428,""))</x:f>
      </x:c>
      <x:c r="D428" s="52" t="str">
        <x:f>IF(CaseLedger!$A428="","",IFERROR(CaseLedger!$J428,""))</x:f>
      </x:c>
      <x:c r="E428" s="52" t="str">
        <x:f>IF(CaseLedger!$A428="","",IFERROR(CaseLedger!$K428,""))</x:f>
      </x:c>
      <x:c r="F428" s="52" t="str">
        <x:f>IF(CaseLedger!$A428="","",IFERROR(CaseLedger!$O428,""))</x:f>
      </x:c>
      <x:c r="G428" s="52" t="str">
        <x:f>IF(CaseLedger!$A428="","",IFERROR(CaseLedger!$E428,""))</x:f>
      </x:c>
      <x:c r="H428" s="52" t="str">
        <x:f>IF(CaseLedger!$A428="","",IFERROR(CaseLedger!$P428,""))</x:f>
      </x:c>
      <x:c r="I428" s="52" t="str">
        <x:f>IF(CaseLedger!$A428="","",IFERROR(CaseLedger!$Q428,""))</x:f>
      </x:c>
      <x:c r="J428" s="52" t="str">
        <x:f>IF(CaseLedger!$A428="","",IFERROR(CaseLedger!$R428,""))</x:f>
      </x:c>
      <x:c r="K428" s="52" t="str">
        <x:f>IF(CaseLedger!$A428="","",IFERROR(CaseLedger!$S428,""))</x:f>
      </x:c>
      <x:c r="L428" s="52" t="str">
        <x:f>IF(CaseLedger!$A428="","",IFERROR(CaseLedger!$T428,""))</x:f>
      </x:c>
      <x:c r="M428" s="52" t="str">
        <x:f>IF(CaseLedger!$A428="","",IFERROR(CaseLedger!$U428,""))</x:f>
      </x:c>
      <x:c r="N428" s="52" t="str">
        <x:f>IF(CaseLedger!$A428="","",IFERROR(CaseLedger!$V428,""))</x:f>
      </x:c>
      <x:c r="O428" s="52" t="str">
        <x:f>IF(CaseLedger!$A428="","",IFERROR(CaseLedger!$W428,""))</x:f>
      </x:c>
      <x:c r="P428" s="52" t="str">
        <x:f>IF(CaseLedger!$A428="","",IFERROR(CaseLedger!$C428,""))</x:f>
      </x:c>
      <x:c r="Q428" s="52" t="str">
        <x:f>IF(CaseLedger!$A428="","",IFERROR(CaseLedger!$D428,""))</x:f>
      </x:c>
      <x:c r="R428" s="52" t="str">
        <x:f>IF(CaseLedger!$A428="","",IFERROR(CaseLedger!$X428,""))</x:f>
      </x:c>
      <x:c r="S428" s="52" t="str">
        <x:f>IF(CaseLedger!$A428="","",IFERROR(CaseLedger!$Y428,""))</x:f>
      </x:c>
      <x:c r="T428" s="52" t="str">
        <x:f>IF(CaseLedger!$A428="","",IFERROR(CaseLedger!$Z428,""))</x:f>
      </x:c>
      <x:c r="U428" s="52" t="str">
        <x:f>IF(CaseLedger!$A428="","",IFERROR(CaseLedger!$AA428,""))</x:f>
      </x:c>
      <x:c r="V428" s="52" t="str">
        <x:f>IF(CaseLedger!$A428="","",IFERROR(CaseLedger!$AB428,""))</x:f>
      </x:c>
      <x:c r="W428" s="52" t="str">
        <x:f>IF(CaseLedger!$A428="","",IFERROR(CaseLedger!$AC428,""))</x:f>
      </x:c>
      <x:c r="X428" s="52" t="str">
        <x:f>IF(CaseLedger!$A428="","",IFERROR(CaseLedger!$AD428,""))</x:f>
      </x:c>
      <x:c r="Y428" s="52" t="str">
        <x:f>IF(CaseLedger!$A428="","",IFERROR(CaseLedger!$AE428,""))</x:f>
      </x:c>
      <x:c r="Z428" s="52" t="str">
        <x:f>IF(CaseLedger!$A428="","",IFERROR(CaseLedger!$AF428,""))</x:f>
      </x:c>
      <x:c r="AA428" s="52" t="str">
        <x:f>IF(CaseLedger!$A428="","",IFERROR(CaseLedger!$AG428,""))</x:f>
      </x:c>
      <x:c r="AB428" s="52" t="str">
        <x:f>IF(CaseLedger!$A428="","",IFERROR(CaseLedger!$AH428,""))</x:f>
      </x:c>
      <x:c r="AC428"/>
    </x:row>
    <x:row r="429">
      <x:c r="A429" s="52" t="str">
        <x:f>IF(CaseLedger!$A429="","",IFERROR(CaseLedger!$A429,""))</x:f>
      </x:c>
      <x:c r="B429" s="52" t="str">
        <x:f>IF(CaseLedger!$A429="","",IFERROR(CaseLedger!$H429,""))</x:f>
      </x:c>
      <x:c r="C429" s="52" t="str">
        <x:f>IF(CaseLedger!$A429="","",IFERROR(CaseLedger!$I429,""))</x:f>
      </x:c>
      <x:c r="D429" s="52" t="str">
        <x:f>IF(CaseLedger!$A429="","",IFERROR(CaseLedger!$J429,""))</x:f>
      </x:c>
      <x:c r="E429" s="52" t="str">
        <x:f>IF(CaseLedger!$A429="","",IFERROR(CaseLedger!$K429,""))</x:f>
      </x:c>
      <x:c r="F429" s="52" t="str">
        <x:f>IF(CaseLedger!$A429="","",IFERROR(CaseLedger!$O429,""))</x:f>
      </x:c>
      <x:c r="G429" s="52" t="str">
        <x:f>IF(CaseLedger!$A429="","",IFERROR(CaseLedger!$E429,""))</x:f>
      </x:c>
      <x:c r="H429" s="52" t="str">
        <x:f>IF(CaseLedger!$A429="","",IFERROR(CaseLedger!$P429,""))</x:f>
      </x:c>
      <x:c r="I429" s="52" t="str">
        <x:f>IF(CaseLedger!$A429="","",IFERROR(CaseLedger!$Q429,""))</x:f>
      </x:c>
      <x:c r="J429" s="52" t="str">
        <x:f>IF(CaseLedger!$A429="","",IFERROR(CaseLedger!$R429,""))</x:f>
      </x:c>
      <x:c r="K429" s="52" t="str">
        <x:f>IF(CaseLedger!$A429="","",IFERROR(CaseLedger!$S429,""))</x:f>
      </x:c>
      <x:c r="L429" s="52" t="str">
        <x:f>IF(CaseLedger!$A429="","",IFERROR(CaseLedger!$T429,""))</x:f>
      </x:c>
      <x:c r="M429" s="52" t="str">
        <x:f>IF(CaseLedger!$A429="","",IFERROR(CaseLedger!$U429,""))</x:f>
      </x:c>
      <x:c r="N429" s="52" t="str">
        <x:f>IF(CaseLedger!$A429="","",IFERROR(CaseLedger!$V429,""))</x:f>
      </x:c>
      <x:c r="O429" s="52" t="str">
        <x:f>IF(CaseLedger!$A429="","",IFERROR(CaseLedger!$W429,""))</x:f>
      </x:c>
      <x:c r="P429" s="52" t="str">
        <x:f>IF(CaseLedger!$A429="","",IFERROR(CaseLedger!$C429,""))</x:f>
      </x:c>
      <x:c r="Q429" s="52" t="str">
        <x:f>IF(CaseLedger!$A429="","",IFERROR(CaseLedger!$D429,""))</x:f>
      </x:c>
      <x:c r="R429" s="52" t="str">
        <x:f>IF(CaseLedger!$A429="","",IFERROR(CaseLedger!$X429,""))</x:f>
      </x:c>
      <x:c r="S429" s="52" t="str">
        <x:f>IF(CaseLedger!$A429="","",IFERROR(CaseLedger!$Y429,""))</x:f>
      </x:c>
      <x:c r="T429" s="52" t="str">
        <x:f>IF(CaseLedger!$A429="","",IFERROR(CaseLedger!$Z429,""))</x:f>
      </x:c>
      <x:c r="U429" s="52" t="str">
        <x:f>IF(CaseLedger!$A429="","",IFERROR(CaseLedger!$AA429,""))</x:f>
      </x:c>
      <x:c r="V429" s="52" t="str">
        <x:f>IF(CaseLedger!$A429="","",IFERROR(CaseLedger!$AB429,""))</x:f>
      </x:c>
      <x:c r="W429" s="52" t="str">
        <x:f>IF(CaseLedger!$A429="","",IFERROR(CaseLedger!$AC429,""))</x:f>
      </x:c>
      <x:c r="X429" s="52" t="str">
        <x:f>IF(CaseLedger!$A429="","",IFERROR(CaseLedger!$AD429,""))</x:f>
      </x:c>
      <x:c r="Y429" s="52" t="str">
        <x:f>IF(CaseLedger!$A429="","",IFERROR(CaseLedger!$AE429,""))</x:f>
      </x:c>
      <x:c r="Z429" s="52" t="str">
        <x:f>IF(CaseLedger!$A429="","",IFERROR(CaseLedger!$AF429,""))</x:f>
      </x:c>
      <x:c r="AA429" s="52" t="str">
        <x:f>IF(CaseLedger!$A429="","",IFERROR(CaseLedger!$AG429,""))</x:f>
      </x:c>
      <x:c r="AB429" s="52" t="str">
        <x:f>IF(CaseLedger!$A429="","",IFERROR(CaseLedger!$AH429,""))</x:f>
      </x:c>
      <x:c r="AC429"/>
    </x:row>
    <x:row r="430">
      <x:c r="A430" s="52" t="str">
        <x:f>IF(CaseLedger!$A430="","",IFERROR(CaseLedger!$A430,""))</x:f>
      </x:c>
      <x:c r="B430" s="52" t="str">
        <x:f>IF(CaseLedger!$A430="","",IFERROR(CaseLedger!$H430,""))</x:f>
      </x:c>
      <x:c r="C430" s="52" t="str">
        <x:f>IF(CaseLedger!$A430="","",IFERROR(CaseLedger!$I430,""))</x:f>
      </x:c>
      <x:c r="D430" s="52" t="str">
        <x:f>IF(CaseLedger!$A430="","",IFERROR(CaseLedger!$J430,""))</x:f>
      </x:c>
      <x:c r="E430" s="52" t="str">
        <x:f>IF(CaseLedger!$A430="","",IFERROR(CaseLedger!$K430,""))</x:f>
      </x:c>
      <x:c r="F430" s="52" t="str">
        <x:f>IF(CaseLedger!$A430="","",IFERROR(CaseLedger!$O430,""))</x:f>
      </x:c>
      <x:c r="G430" s="52" t="str">
        <x:f>IF(CaseLedger!$A430="","",IFERROR(CaseLedger!$E430,""))</x:f>
      </x:c>
      <x:c r="H430" s="52" t="str">
        <x:f>IF(CaseLedger!$A430="","",IFERROR(CaseLedger!$P430,""))</x:f>
      </x:c>
      <x:c r="I430" s="52" t="str">
        <x:f>IF(CaseLedger!$A430="","",IFERROR(CaseLedger!$Q430,""))</x:f>
      </x:c>
      <x:c r="J430" s="52" t="str">
        <x:f>IF(CaseLedger!$A430="","",IFERROR(CaseLedger!$R430,""))</x:f>
      </x:c>
      <x:c r="K430" s="52" t="str">
        <x:f>IF(CaseLedger!$A430="","",IFERROR(CaseLedger!$S430,""))</x:f>
      </x:c>
      <x:c r="L430" s="52" t="str">
        <x:f>IF(CaseLedger!$A430="","",IFERROR(CaseLedger!$T430,""))</x:f>
      </x:c>
      <x:c r="M430" s="52" t="str">
        <x:f>IF(CaseLedger!$A430="","",IFERROR(CaseLedger!$U430,""))</x:f>
      </x:c>
      <x:c r="N430" s="52" t="str">
        <x:f>IF(CaseLedger!$A430="","",IFERROR(CaseLedger!$V430,""))</x:f>
      </x:c>
      <x:c r="O430" s="52" t="str">
        <x:f>IF(CaseLedger!$A430="","",IFERROR(CaseLedger!$W430,""))</x:f>
      </x:c>
      <x:c r="P430" s="52" t="str">
        <x:f>IF(CaseLedger!$A430="","",IFERROR(CaseLedger!$C430,""))</x:f>
      </x:c>
      <x:c r="Q430" s="52" t="str">
        <x:f>IF(CaseLedger!$A430="","",IFERROR(CaseLedger!$D430,""))</x:f>
      </x:c>
      <x:c r="R430" s="52" t="str">
        <x:f>IF(CaseLedger!$A430="","",IFERROR(CaseLedger!$X430,""))</x:f>
      </x:c>
      <x:c r="S430" s="52" t="str">
        <x:f>IF(CaseLedger!$A430="","",IFERROR(CaseLedger!$Y430,""))</x:f>
      </x:c>
      <x:c r="T430" s="52" t="str">
        <x:f>IF(CaseLedger!$A430="","",IFERROR(CaseLedger!$Z430,""))</x:f>
      </x:c>
      <x:c r="U430" s="52" t="str">
        <x:f>IF(CaseLedger!$A430="","",IFERROR(CaseLedger!$AA430,""))</x:f>
      </x:c>
      <x:c r="V430" s="52" t="str">
        <x:f>IF(CaseLedger!$A430="","",IFERROR(CaseLedger!$AB430,""))</x:f>
      </x:c>
      <x:c r="W430" s="52" t="str">
        <x:f>IF(CaseLedger!$A430="","",IFERROR(CaseLedger!$AC430,""))</x:f>
      </x:c>
      <x:c r="X430" s="52" t="str">
        <x:f>IF(CaseLedger!$A430="","",IFERROR(CaseLedger!$AD430,""))</x:f>
      </x:c>
      <x:c r="Y430" s="52" t="str">
        <x:f>IF(CaseLedger!$A430="","",IFERROR(CaseLedger!$AE430,""))</x:f>
      </x:c>
      <x:c r="Z430" s="52" t="str">
        <x:f>IF(CaseLedger!$A430="","",IFERROR(CaseLedger!$AF430,""))</x:f>
      </x:c>
      <x:c r="AA430" s="52" t="str">
        <x:f>IF(CaseLedger!$A430="","",IFERROR(CaseLedger!$AG430,""))</x:f>
      </x:c>
      <x:c r="AB430" s="52" t="str">
        <x:f>IF(CaseLedger!$A430="","",IFERROR(CaseLedger!$AH430,""))</x:f>
      </x:c>
      <x:c r="AC430"/>
    </x:row>
    <x:row r="431">
      <x:c r="A431" s="52" t="str">
        <x:f>IF(CaseLedger!$A431="","",IFERROR(CaseLedger!$A431,""))</x:f>
      </x:c>
      <x:c r="B431" s="52" t="str">
        <x:f>IF(CaseLedger!$A431="","",IFERROR(CaseLedger!$H431,""))</x:f>
      </x:c>
      <x:c r="C431" s="52" t="str">
        <x:f>IF(CaseLedger!$A431="","",IFERROR(CaseLedger!$I431,""))</x:f>
      </x:c>
      <x:c r="D431" s="52" t="str">
        <x:f>IF(CaseLedger!$A431="","",IFERROR(CaseLedger!$J431,""))</x:f>
      </x:c>
      <x:c r="E431" s="52" t="str">
        <x:f>IF(CaseLedger!$A431="","",IFERROR(CaseLedger!$K431,""))</x:f>
      </x:c>
      <x:c r="F431" s="52" t="str">
        <x:f>IF(CaseLedger!$A431="","",IFERROR(CaseLedger!$O431,""))</x:f>
      </x:c>
      <x:c r="G431" s="52" t="str">
        <x:f>IF(CaseLedger!$A431="","",IFERROR(CaseLedger!$E431,""))</x:f>
      </x:c>
      <x:c r="H431" s="52" t="str">
        <x:f>IF(CaseLedger!$A431="","",IFERROR(CaseLedger!$P431,""))</x:f>
      </x:c>
      <x:c r="I431" s="52" t="str">
        <x:f>IF(CaseLedger!$A431="","",IFERROR(CaseLedger!$Q431,""))</x:f>
      </x:c>
      <x:c r="J431" s="52" t="str">
        <x:f>IF(CaseLedger!$A431="","",IFERROR(CaseLedger!$R431,""))</x:f>
      </x:c>
      <x:c r="K431" s="52" t="str">
        <x:f>IF(CaseLedger!$A431="","",IFERROR(CaseLedger!$S431,""))</x:f>
      </x:c>
      <x:c r="L431" s="52" t="str">
        <x:f>IF(CaseLedger!$A431="","",IFERROR(CaseLedger!$T431,""))</x:f>
      </x:c>
      <x:c r="M431" s="52" t="str">
        <x:f>IF(CaseLedger!$A431="","",IFERROR(CaseLedger!$U431,""))</x:f>
      </x:c>
      <x:c r="N431" s="52" t="str">
        <x:f>IF(CaseLedger!$A431="","",IFERROR(CaseLedger!$V431,""))</x:f>
      </x:c>
      <x:c r="O431" s="52" t="str">
        <x:f>IF(CaseLedger!$A431="","",IFERROR(CaseLedger!$W431,""))</x:f>
      </x:c>
      <x:c r="P431" s="52" t="str">
        <x:f>IF(CaseLedger!$A431="","",IFERROR(CaseLedger!$C431,""))</x:f>
      </x:c>
      <x:c r="Q431" s="52" t="str">
        <x:f>IF(CaseLedger!$A431="","",IFERROR(CaseLedger!$D431,""))</x:f>
      </x:c>
      <x:c r="R431" s="52" t="str">
        <x:f>IF(CaseLedger!$A431="","",IFERROR(CaseLedger!$X431,""))</x:f>
      </x:c>
      <x:c r="S431" s="52" t="str">
        <x:f>IF(CaseLedger!$A431="","",IFERROR(CaseLedger!$Y431,""))</x:f>
      </x:c>
      <x:c r="T431" s="52" t="str">
        <x:f>IF(CaseLedger!$A431="","",IFERROR(CaseLedger!$Z431,""))</x:f>
      </x:c>
      <x:c r="U431" s="52" t="str">
        <x:f>IF(CaseLedger!$A431="","",IFERROR(CaseLedger!$AA431,""))</x:f>
      </x:c>
      <x:c r="V431" s="52" t="str">
        <x:f>IF(CaseLedger!$A431="","",IFERROR(CaseLedger!$AB431,""))</x:f>
      </x:c>
      <x:c r="W431" s="52" t="str">
        <x:f>IF(CaseLedger!$A431="","",IFERROR(CaseLedger!$AC431,""))</x:f>
      </x:c>
      <x:c r="X431" s="52" t="str">
        <x:f>IF(CaseLedger!$A431="","",IFERROR(CaseLedger!$AD431,""))</x:f>
      </x:c>
      <x:c r="Y431" s="52" t="str">
        <x:f>IF(CaseLedger!$A431="","",IFERROR(CaseLedger!$AE431,""))</x:f>
      </x:c>
      <x:c r="Z431" s="52" t="str">
        <x:f>IF(CaseLedger!$A431="","",IFERROR(CaseLedger!$AF431,""))</x:f>
      </x:c>
      <x:c r="AA431" s="52" t="str">
        <x:f>IF(CaseLedger!$A431="","",IFERROR(CaseLedger!$AG431,""))</x:f>
      </x:c>
      <x:c r="AB431" s="52" t="str">
        <x:f>IF(CaseLedger!$A431="","",IFERROR(CaseLedger!$AH431,""))</x:f>
      </x:c>
      <x:c r="AC431"/>
    </x:row>
    <x:row r="432">
      <x:c r="A432" s="52" t="str">
        <x:f>IF(CaseLedger!$A432="","",IFERROR(CaseLedger!$A432,""))</x:f>
      </x:c>
      <x:c r="B432" s="52" t="str">
        <x:f>IF(CaseLedger!$A432="","",IFERROR(CaseLedger!$H432,""))</x:f>
      </x:c>
      <x:c r="C432" s="52" t="str">
        <x:f>IF(CaseLedger!$A432="","",IFERROR(CaseLedger!$I432,""))</x:f>
      </x:c>
      <x:c r="D432" s="52" t="str">
        <x:f>IF(CaseLedger!$A432="","",IFERROR(CaseLedger!$J432,""))</x:f>
      </x:c>
      <x:c r="E432" s="52" t="str">
        <x:f>IF(CaseLedger!$A432="","",IFERROR(CaseLedger!$K432,""))</x:f>
      </x:c>
      <x:c r="F432" s="52" t="str">
        <x:f>IF(CaseLedger!$A432="","",IFERROR(CaseLedger!$O432,""))</x:f>
      </x:c>
      <x:c r="G432" s="52" t="str">
        <x:f>IF(CaseLedger!$A432="","",IFERROR(CaseLedger!$E432,""))</x:f>
      </x:c>
      <x:c r="H432" s="52" t="str">
        <x:f>IF(CaseLedger!$A432="","",IFERROR(CaseLedger!$P432,""))</x:f>
      </x:c>
      <x:c r="I432" s="52" t="str">
        <x:f>IF(CaseLedger!$A432="","",IFERROR(CaseLedger!$Q432,""))</x:f>
      </x:c>
      <x:c r="J432" s="52" t="str">
        <x:f>IF(CaseLedger!$A432="","",IFERROR(CaseLedger!$R432,""))</x:f>
      </x:c>
      <x:c r="K432" s="52" t="str">
        <x:f>IF(CaseLedger!$A432="","",IFERROR(CaseLedger!$S432,""))</x:f>
      </x:c>
      <x:c r="L432" s="52" t="str">
        <x:f>IF(CaseLedger!$A432="","",IFERROR(CaseLedger!$T432,""))</x:f>
      </x:c>
      <x:c r="M432" s="52" t="str">
        <x:f>IF(CaseLedger!$A432="","",IFERROR(CaseLedger!$U432,""))</x:f>
      </x:c>
      <x:c r="N432" s="52" t="str">
        <x:f>IF(CaseLedger!$A432="","",IFERROR(CaseLedger!$V432,""))</x:f>
      </x:c>
      <x:c r="O432" s="52" t="str">
        <x:f>IF(CaseLedger!$A432="","",IFERROR(CaseLedger!$W432,""))</x:f>
      </x:c>
      <x:c r="P432" s="52" t="str">
        <x:f>IF(CaseLedger!$A432="","",IFERROR(CaseLedger!$C432,""))</x:f>
      </x:c>
      <x:c r="Q432" s="52" t="str">
        <x:f>IF(CaseLedger!$A432="","",IFERROR(CaseLedger!$D432,""))</x:f>
      </x:c>
      <x:c r="R432" s="52" t="str">
        <x:f>IF(CaseLedger!$A432="","",IFERROR(CaseLedger!$X432,""))</x:f>
      </x:c>
      <x:c r="S432" s="52" t="str">
        <x:f>IF(CaseLedger!$A432="","",IFERROR(CaseLedger!$Y432,""))</x:f>
      </x:c>
      <x:c r="T432" s="52" t="str">
        <x:f>IF(CaseLedger!$A432="","",IFERROR(CaseLedger!$Z432,""))</x:f>
      </x:c>
      <x:c r="U432" s="52" t="str">
        <x:f>IF(CaseLedger!$A432="","",IFERROR(CaseLedger!$AA432,""))</x:f>
      </x:c>
      <x:c r="V432" s="52" t="str">
        <x:f>IF(CaseLedger!$A432="","",IFERROR(CaseLedger!$AB432,""))</x:f>
      </x:c>
      <x:c r="W432" s="52" t="str">
        <x:f>IF(CaseLedger!$A432="","",IFERROR(CaseLedger!$AC432,""))</x:f>
      </x:c>
      <x:c r="X432" s="52" t="str">
        <x:f>IF(CaseLedger!$A432="","",IFERROR(CaseLedger!$AD432,""))</x:f>
      </x:c>
      <x:c r="Y432" s="52" t="str">
        <x:f>IF(CaseLedger!$A432="","",IFERROR(CaseLedger!$AE432,""))</x:f>
      </x:c>
      <x:c r="Z432" s="52" t="str">
        <x:f>IF(CaseLedger!$A432="","",IFERROR(CaseLedger!$AF432,""))</x:f>
      </x:c>
      <x:c r="AA432" s="52" t="str">
        <x:f>IF(CaseLedger!$A432="","",IFERROR(CaseLedger!$AG432,""))</x:f>
      </x:c>
      <x:c r="AB432" s="52" t="str">
        <x:f>IF(CaseLedger!$A432="","",IFERROR(CaseLedger!$AH432,""))</x:f>
      </x:c>
      <x:c r="AC432"/>
    </x:row>
    <x:row r="433">
      <x:c r="A433" s="52" t="str">
        <x:f>IF(CaseLedger!$A433="","",IFERROR(CaseLedger!$A433,""))</x:f>
      </x:c>
      <x:c r="B433" s="52" t="str">
        <x:f>IF(CaseLedger!$A433="","",IFERROR(CaseLedger!$H433,""))</x:f>
      </x:c>
      <x:c r="C433" s="52" t="str">
        <x:f>IF(CaseLedger!$A433="","",IFERROR(CaseLedger!$I433,""))</x:f>
      </x:c>
      <x:c r="D433" s="52" t="str">
        <x:f>IF(CaseLedger!$A433="","",IFERROR(CaseLedger!$J433,""))</x:f>
      </x:c>
      <x:c r="E433" s="52" t="str">
        <x:f>IF(CaseLedger!$A433="","",IFERROR(CaseLedger!$K433,""))</x:f>
      </x:c>
      <x:c r="F433" s="52" t="str">
        <x:f>IF(CaseLedger!$A433="","",IFERROR(CaseLedger!$O433,""))</x:f>
      </x:c>
      <x:c r="G433" s="52" t="str">
        <x:f>IF(CaseLedger!$A433="","",IFERROR(CaseLedger!$E433,""))</x:f>
      </x:c>
      <x:c r="H433" s="52" t="str">
        <x:f>IF(CaseLedger!$A433="","",IFERROR(CaseLedger!$P433,""))</x:f>
      </x:c>
      <x:c r="I433" s="52" t="str">
        <x:f>IF(CaseLedger!$A433="","",IFERROR(CaseLedger!$Q433,""))</x:f>
      </x:c>
      <x:c r="J433" s="52" t="str">
        <x:f>IF(CaseLedger!$A433="","",IFERROR(CaseLedger!$R433,""))</x:f>
      </x:c>
      <x:c r="K433" s="52" t="str">
        <x:f>IF(CaseLedger!$A433="","",IFERROR(CaseLedger!$S433,""))</x:f>
      </x:c>
      <x:c r="L433" s="52" t="str">
        <x:f>IF(CaseLedger!$A433="","",IFERROR(CaseLedger!$T433,""))</x:f>
      </x:c>
      <x:c r="M433" s="52" t="str">
        <x:f>IF(CaseLedger!$A433="","",IFERROR(CaseLedger!$U433,""))</x:f>
      </x:c>
      <x:c r="N433" s="52" t="str">
        <x:f>IF(CaseLedger!$A433="","",IFERROR(CaseLedger!$V433,""))</x:f>
      </x:c>
      <x:c r="O433" s="52" t="str">
        <x:f>IF(CaseLedger!$A433="","",IFERROR(CaseLedger!$W433,""))</x:f>
      </x:c>
      <x:c r="P433" s="52" t="str">
        <x:f>IF(CaseLedger!$A433="","",IFERROR(CaseLedger!$C433,""))</x:f>
      </x:c>
      <x:c r="Q433" s="52" t="str">
        <x:f>IF(CaseLedger!$A433="","",IFERROR(CaseLedger!$D433,""))</x:f>
      </x:c>
      <x:c r="R433" s="52" t="str">
        <x:f>IF(CaseLedger!$A433="","",IFERROR(CaseLedger!$X433,""))</x:f>
      </x:c>
      <x:c r="S433" s="52" t="str">
        <x:f>IF(CaseLedger!$A433="","",IFERROR(CaseLedger!$Y433,""))</x:f>
      </x:c>
      <x:c r="T433" s="52" t="str">
        <x:f>IF(CaseLedger!$A433="","",IFERROR(CaseLedger!$Z433,""))</x:f>
      </x:c>
      <x:c r="U433" s="52" t="str">
        <x:f>IF(CaseLedger!$A433="","",IFERROR(CaseLedger!$AA433,""))</x:f>
      </x:c>
      <x:c r="V433" s="52" t="str">
        <x:f>IF(CaseLedger!$A433="","",IFERROR(CaseLedger!$AB433,""))</x:f>
      </x:c>
      <x:c r="W433" s="52" t="str">
        <x:f>IF(CaseLedger!$A433="","",IFERROR(CaseLedger!$AC433,""))</x:f>
      </x:c>
      <x:c r="X433" s="52" t="str">
        <x:f>IF(CaseLedger!$A433="","",IFERROR(CaseLedger!$AD433,""))</x:f>
      </x:c>
      <x:c r="Y433" s="52" t="str">
        <x:f>IF(CaseLedger!$A433="","",IFERROR(CaseLedger!$AE433,""))</x:f>
      </x:c>
      <x:c r="Z433" s="52" t="str">
        <x:f>IF(CaseLedger!$A433="","",IFERROR(CaseLedger!$AF433,""))</x:f>
      </x:c>
      <x:c r="AA433" s="52" t="str">
        <x:f>IF(CaseLedger!$A433="","",IFERROR(CaseLedger!$AG433,""))</x:f>
      </x:c>
      <x:c r="AB433" s="52" t="str">
        <x:f>IF(CaseLedger!$A433="","",IFERROR(CaseLedger!$AH433,""))</x:f>
      </x:c>
      <x:c r="AC433"/>
    </x:row>
    <x:row r="434">
      <x:c r="A434" s="52" t="str">
        <x:f>IF(CaseLedger!$A434="","",IFERROR(CaseLedger!$A434,""))</x:f>
      </x:c>
      <x:c r="B434" s="52" t="str">
        <x:f>IF(CaseLedger!$A434="","",IFERROR(CaseLedger!$H434,""))</x:f>
      </x:c>
      <x:c r="C434" s="52" t="str">
        <x:f>IF(CaseLedger!$A434="","",IFERROR(CaseLedger!$I434,""))</x:f>
      </x:c>
      <x:c r="D434" s="52" t="str">
        <x:f>IF(CaseLedger!$A434="","",IFERROR(CaseLedger!$J434,""))</x:f>
      </x:c>
      <x:c r="E434" s="52" t="str">
        <x:f>IF(CaseLedger!$A434="","",IFERROR(CaseLedger!$K434,""))</x:f>
      </x:c>
      <x:c r="F434" s="52" t="str">
        <x:f>IF(CaseLedger!$A434="","",IFERROR(CaseLedger!$O434,""))</x:f>
      </x:c>
      <x:c r="G434" s="52" t="str">
        <x:f>IF(CaseLedger!$A434="","",IFERROR(CaseLedger!$E434,""))</x:f>
      </x:c>
      <x:c r="H434" s="52" t="str">
        <x:f>IF(CaseLedger!$A434="","",IFERROR(CaseLedger!$P434,""))</x:f>
      </x:c>
      <x:c r="I434" s="52" t="str">
        <x:f>IF(CaseLedger!$A434="","",IFERROR(CaseLedger!$Q434,""))</x:f>
      </x:c>
      <x:c r="J434" s="52" t="str">
        <x:f>IF(CaseLedger!$A434="","",IFERROR(CaseLedger!$R434,""))</x:f>
      </x:c>
      <x:c r="K434" s="52" t="str">
        <x:f>IF(CaseLedger!$A434="","",IFERROR(CaseLedger!$S434,""))</x:f>
      </x:c>
      <x:c r="L434" s="52" t="str">
        <x:f>IF(CaseLedger!$A434="","",IFERROR(CaseLedger!$T434,""))</x:f>
      </x:c>
      <x:c r="M434" s="52" t="str">
        <x:f>IF(CaseLedger!$A434="","",IFERROR(CaseLedger!$U434,""))</x:f>
      </x:c>
      <x:c r="N434" s="52" t="str">
        <x:f>IF(CaseLedger!$A434="","",IFERROR(CaseLedger!$V434,""))</x:f>
      </x:c>
      <x:c r="O434" s="52" t="str">
        <x:f>IF(CaseLedger!$A434="","",IFERROR(CaseLedger!$W434,""))</x:f>
      </x:c>
      <x:c r="P434" s="52" t="str">
        <x:f>IF(CaseLedger!$A434="","",IFERROR(CaseLedger!$C434,""))</x:f>
      </x:c>
      <x:c r="Q434" s="52" t="str">
        <x:f>IF(CaseLedger!$A434="","",IFERROR(CaseLedger!$D434,""))</x:f>
      </x:c>
      <x:c r="R434" s="52" t="str">
        <x:f>IF(CaseLedger!$A434="","",IFERROR(CaseLedger!$X434,""))</x:f>
      </x:c>
      <x:c r="S434" s="52" t="str">
        <x:f>IF(CaseLedger!$A434="","",IFERROR(CaseLedger!$Y434,""))</x:f>
      </x:c>
      <x:c r="T434" s="52" t="str">
        <x:f>IF(CaseLedger!$A434="","",IFERROR(CaseLedger!$Z434,""))</x:f>
      </x:c>
      <x:c r="U434" s="52" t="str">
        <x:f>IF(CaseLedger!$A434="","",IFERROR(CaseLedger!$AA434,""))</x:f>
      </x:c>
      <x:c r="V434" s="52" t="str">
        <x:f>IF(CaseLedger!$A434="","",IFERROR(CaseLedger!$AB434,""))</x:f>
      </x:c>
      <x:c r="W434" s="52" t="str">
        <x:f>IF(CaseLedger!$A434="","",IFERROR(CaseLedger!$AC434,""))</x:f>
      </x:c>
      <x:c r="X434" s="52" t="str">
        <x:f>IF(CaseLedger!$A434="","",IFERROR(CaseLedger!$AD434,""))</x:f>
      </x:c>
      <x:c r="Y434" s="52" t="str">
        <x:f>IF(CaseLedger!$A434="","",IFERROR(CaseLedger!$AE434,""))</x:f>
      </x:c>
      <x:c r="Z434" s="52" t="str">
        <x:f>IF(CaseLedger!$A434="","",IFERROR(CaseLedger!$AF434,""))</x:f>
      </x:c>
      <x:c r="AA434" s="52" t="str">
        <x:f>IF(CaseLedger!$A434="","",IFERROR(CaseLedger!$AG434,""))</x:f>
      </x:c>
      <x:c r="AB434" s="52" t="str">
        <x:f>IF(CaseLedger!$A434="","",IFERROR(CaseLedger!$AH434,""))</x:f>
      </x:c>
      <x:c r="AC434"/>
    </x:row>
    <x:row r="435">
      <x:c r="A435" s="52" t="str">
        <x:f>IF(CaseLedger!$A435="","",IFERROR(CaseLedger!$A435,""))</x:f>
      </x:c>
      <x:c r="B435" s="52" t="str">
        <x:f>IF(CaseLedger!$A435="","",IFERROR(CaseLedger!$H435,""))</x:f>
      </x:c>
      <x:c r="C435" s="52" t="str">
        <x:f>IF(CaseLedger!$A435="","",IFERROR(CaseLedger!$I435,""))</x:f>
      </x:c>
      <x:c r="D435" s="52" t="str">
        <x:f>IF(CaseLedger!$A435="","",IFERROR(CaseLedger!$J435,""))</x:f>
      </x:c>
      <x:c r="E435" s="52" t="str">
        <x:f>IF(CaseLedger!$A435="","",IFERROR(CaseLedger!$K435,""))</x:f>
      </x:c>
      <x:c r="F435" s="52" t="str">
        <x:f>IF(CaseLedger!$A435="","",IFERROR(CaseLedger!$O435,""))</x:f>
      </x:c>
      <x:c r="G435" s="52" t="str">
        <x:f>IF(CaseLedger!$A435="","",IFERROR(CaseLedger!$E435,""))</x:f>
      </x:c>
      <x:c r="H435" s="52" t="str">
        <x:f>IF(CaseLedger!$A435="","",IFERROR(CaseLedger!$P435,""))</x:f>
      </x:c>
      <x:c r="I435" s="52" t="str">
        <x:f>IF(CaseLedger!$A435="","",IFERROR(CaseLedger!$Q435,""))</x:f>
      </x:c>
      <x:c r="J435" s="52" t="str">
        <x:f>IF(CaseLedger!$A435="","",IFERROR(CaseLedger!$R435,""))</x:f>
      </x:c>
      <x:c r="K435" s="52" t="str">
        <x:f>IF(CaseLedger!$A435="","",IFERROR(CaseLedger!$S435,""))</x:f>
      </x:c>
      <x:c r="L435" s="52" t="str">
        <x:f>IF(CaseLedger!$A435="","",IFERROR(CaseLedger!$T435,""))</x:f>
      </x:c>
      <x:c r="M435" s="52" t="str">
        <x:f>IF(CaseLedger!$A435="","",IFERROR(CaseLedger!$U435,""))</x:f>
      </x:c>
      <x:c r="N435" s="52" t="str">
        <x:f>IF(CaseLedger!$A435="","",IFERROR(CaseLedger!$V435,""))</x:f>
      </x:c>
      <x:c r="O435" s="52" t="str">
        <x:f>IF(CaseLedger!$A435="","",IFERROR(CaseLedger!$W435,""))</x:f>
      </x:c>
      <x:c r="P435" s="52" t="str">
        <x:f>IF(CaseLedger!$A435="","",IFERROR(CaseLedger!$C435,""))</x:f>
      </x:c>
      <x:c r="Q435" s="52" t="str">
        <x:f>IF(CaseLedger!$A435="","",IFERROR(CaseLedger!$D435,""))</x:f>
      </x:c>
      <x:c r="R435" s="52" t="str">
        <x:f>IF(CaseLedger!$A435="","",IFERROR(CaseLedger!$X435,""))</x:f>
      </x:c>
      <x:c r="S435" s="52" t="str">
        <x:f>IF(CaseLedger!$A435="","",IFERROR(CaseLedger!$Y435,""))</x:f>
      </x:c>
      <x:c r="T435" s="52" t="str">
        <x:f>IF(CaseLedger!$A435="","",IFERROR(CaseLedger!$Z435,""))</x:f>
      </x:c>
      <x:c r="U435" s="52" t="str">
        <x:f>IF(CaseLedger!$A435="","",IFERROR(CaseLedger!$AA435,""))</x:f>
      </x:c>
      <x:c r="V435" s="52" t="str">
        <x:f>IF(CaseLedger!$A435="","",IFERROR(CaseLedger!$AB435,""))</x:f>
      </x:c>
      <x:c r="W435" s="52" t="str">
        <x:f>IF(CaseLedger!$A435="","",IFERROR(CaseLedger!$AC435,""))</x:f>
      </x:c>
      <x:c r="X435" s="52" t="str">
        <x:f>IF(CaseLedger!$A435="","",IFERROR(CaseLedger!$AD435,""))</x:f>
      </x:c>
      <x:c r="Y435" s="52" t="str">
        <x:f>IF(CaseLedger!$A435="","",IFERROR(CaseLedger!$AE435,""))</x:f>
      </x:c>
      <x:c r="Z435" s="52" t="str">
        <x:f>IF(CaseLedger!$A435="","",IFERROR(CaseLedger!$AF435,""))</x:f>
      </x:c>
      <x:c r="AA435" s="52" t="str">
        <x:f>IF(CaseLedger!$A435="","",IFERROR(CaseLedger!$AG435,""))</x:f>
      </x:c>
      <x:c r="AB435" s="52" t="str">
        <x:f>IF(CaseLedger!$A435="","",IFERROR(CaseLedger!$AH435,""))</x:f>
      </x:c>
      <x:c r="AC435"/>
    </x:row>
    <x:row r="436">
      <x:c r="A436" s="52" t="str">
        <x:f>IF(CaseLedger!$A436="","",IFERROR(CaseLedger!$A436,""))</x:f>
      </x:c>
      <x:c r="B436" s="52" t="str">
        <x:f>IF(CaseLedger!$A436="","",IFERROR(CaseLedger!$H436,""))</x:f>
      </x:c>
      <x:c r="C436" s="52" t="str">
        <x:f>IF(CaseLedger!$A436="","",IFERROR(CaseLedger!$I436,""))</x:f>
      </x:c>
      <x:c r="D436" s="52" t="str">
        <x:f>IF(CaseLedger!$A436="","",IFERROR(CaseLedger!$J436,""))</x:f>
      </x:c>
      <x:c r="E436" s="52" t="str">
        <x:f>IF(CaseLedger!$A436="","",IFERROR(CaseLedger!$K436,""))</x:f>
      </x:c>
      <x:c r="F436" s="52" t="str">
        <x:f>IF(CaseLedger!$A436="","",IFERROR(CaseLedger!$O436,""))</x:f>
      </x:c>
      <x:c r="G436" s="52" t="str">
        <x:f>IF(CaseLedger!$A436="","",IFERROR(CaseLedger!$E436,""))</x:f>
      </x:c>
      <x:c r="H436" s="52" t="str">
        <x:f>IF(CaseLedger!$A436="","",IFERROR(CaseLedger!$P436,""))</x:f>
      </x:c>
      <x:c r="I436" s="52" t="str">
        <x:f>IF(CaseLedger!$A436="","",IFERROR(CaseLedger!$Q436,""))</x:f>
      </x:c>
      <x:c r="J436" s="52" t="str">
        <x:f>IF(CaseLedger!$A436="","",IFERROR(CaseLedger!$R436,""))</x:f>
      </x:c>
      <x:c r="K436" s="52" t="str">
        <x:f>IF(CaseLedger!$A436="","",IFERROR(CaseLedger!$S436,""))</x:f>
      </x:c>
      <x:c r="L436" s="52" t="str">
        <x:f>IF(CaseLedger!$A436="","",IFERROR(CaseLedger!$T436,""))</x:f>
      </x:c>
      <x:c r="M436" s="52" t="str">
        <x:f>IF(CaseLedger!$A436="","",IFERROR(CaseLedger!$U436,""))</x:f>
      </x:c>
      <x:c r="N436" s="52" t="str">
        <x:f>IF(CaseLedger!$A436="","",IFERROR(CaseLedger!$V436,""))</x:f>
      </x:c>
      <x:c r="O436" s="52" t="str">
        <x:f>IF(CaseLedger!$A436="","",IFERROR(CaseLedger!$W436,""))</x:f>
      </x:c>
      <x:c r="P436" s="52" t="str">
        <x:f>IF(CaseLedger!$A436="","",IFERROR(CaseLedger!$C436,""))</x:f>
      </x:c>
      <x:c r="Q436" s="52" t="str">
        <x:f>IF(CaseLedger!$A436="","",IFERROR(CaseLedger!$D436,""))</x:f>
      </x:c>
      <x:c r="R436" s="52" t="str">
        <x:f>IF(CaseLedger!$A436="","",IFERROR(CaseLedger!$X436,""))</x:f>
      </x:c>
      <x:c r="S436" s="52" t="str">
        <x:f>IF(CaseLedger!$A436="","",IFERROR(CaseLedger!$Y436,""))</x:f>
      </x:c>
      <x:c r="T436" s="52" t="str">
        <x:f>IF(CaseLedger!$A436="","",IFERROR(CaseLedger!$Z436,""))</x:f>
      </x:c>
      <x:c r="U436" s="52" t="str">
        <x:f>IF(CaseLedger!$A436="","",IFERROR(CaseLedger!$AA436,""))</x:f>
      </x:c>
      <x:c r="V436" s="52" t="str">
        <x:f>IF(CaseLedger!$A436="","",IFERROR(CaseLedger!$AB436,""))</x:f>
      </x:c>
      <x:c r="W436" s="52" t="str">
        <x:f>IF(CaseLedger!$A436="","",IFERROR(CaseLedger!$AC436,""))</x:f>
      </x:c>
      <x:c r="X436" s="52" t="str">
        <x:f>IF(CaseLedger!$A436="","",IFERROR(CaseLedger!$AD436,""))</x:f>
      </x:c>
      <x:c r="Y436" s="52" t="str">
        <x:f>IF(CaseLedger!$A436="","",IFERROR(CaseLedger!$AE436,""))</x:f>
      </x:c>
      <x:c r="Z436" s="52" t="str">
        <x:f>IF(CaseLedger!$A436="","",IFERROR(CaseLedger!$AF436,""))</x:f>
      </x:c>
      <x:c r="AA436" s="52" t="str">
        <x:f>IF(CaseLedger!$A436="","",IFERROR(CaseLedger!$AG436,""))</x:f>
      </x:c>
      <x:c r="AB436" s="52" t="str">
        <x:f>IF(CaseLedger!$A436="","",IFERROR(CaseLedger!$AH436,""))</x:f>
      </x:c>
      <x:c r="AC436"/>
    </x:row>
    <x:row r="437">
      <x:c r="A437" s="52" t="str">
        <x:f>IF(CaseLedger!$A437="","",IFERROR(CaseLedger!$A437,""))</x:f>
      </x:c>
      <x:c r="B437" s="52" t="str">
        <x:f>IF(CaseLedger!$A437="","",IFERROR(CaseLedger!$H437,""))</x:f>
      </x:c>
      <x:c r="C437" s="52" t="str">
        <x:f>IF(CaseLedger!$A437="","",IFERROR(CaseLedger!$I437,""))</x:f>
      </x:c>
      <x:c r="D437" s="52" t="str">
        <x:f>IF(CaseLedger!$A437="","",IFERROR(CaseLedger!$J437,""))</x:f>
      </x:c>
      <x:c r="E437" s="52" t="str">
        <x:f>IF(CaseLedger!$A437="","",IFERROR(CaseLedger!$K437,""))</x:f>
      </x:c>
      <x:c r="F437" s="52" t="str">
        <x:f>IF(CaseLedger!$A437="","",IFERROR(CaseLedger!$O437,""))</x:f>
      </x:c>
      <x:c r="G437" s="52" t="str">
        <x:f>IF(CaseLedger!$A437="","",IFERROR(CaseLedger!$E437,""))</x:f>
      </x:c>
      <x:c r="H437" s="52" t="str">
        <x:f>IF(CaseLedger!$A437="","",IFERROR(CaseLedger!$P437,""))</x:f>
      </x:c>
      <x:c r="I437" s="52" t="str">
        <x:f>IF(CaseLedger!$A437="","",IFERROR(CaseLedger!$Q437,""))</x:f>
      </x:c>
      <x:c r="J437" s="52" t="str">
        <x:f>IF(CaseLedger!$A437="","",IFERROR(CaseLedger!$R437,""))</x:f>
      </x:c>
      <x:c r="K437" s="52" t="str">
        <x:f>IF(CaseLedger!$A437="","",IFERROR(CaseLedger!$S437,""))</x:f>
      </x:c>
      <x:c r="L437" s="52" t="str">
        <x:f>IF(CaseLedger!$A437="","",IFERROR(CaseLedger!$T437,""))</x:f>
      </x:c>
      <x:c r="M437" s="52" t="str">
        <x:f>IF(CaseLedger!$A437="","",IFERROR(CaseLedger!$U437,""))</x:f>
      </x:c>
      <x:c r="N437" s="52" t="str">
        <x:f>IF(CaseLedger!$A437="","",IFERROR(CaseLedger!$V437,""))</x:f>
      </x:c>
      <x:c r="O437" s="52" t="str">
        <x:f>IF(CaseLedger!$A437="","",IFERROR(CaseLedger!$W437,""))</x:f>
      </x:c>
      <x:c r="P437" s="52" t="str">
        <x:f>IF(CaseLedger!$A437="","",IFERROR(CaseLedger!$C437,""))</x:f>
      </x:c>
      <x:c r="Q437" s="52" t="str">
        <x:f>IF(CaseLedger!$A437="","",IFERROR(CaseLedger!$D437,""))</x:f>
      </x:c>
      <x:c r="R437" s="52" t="str">
        <x:f>IF(CaseLedger!$A437="","",IFERROR(CaseLedger!$X437,""))</x:f>
      </x:c>
      <x:c r="S437" s="52" t="str">
        <x:f>IF(CaseLedger!$A437="","",IFERROR(CaseLedger!$Y437,""))</x:f>
      </x:c>
      <x:c r="T437" s="52" t="str">
        <x:f>IF(CaseLedger!$A437="","",IFERROR(CaseLedger!$Z437,""))</x:f>
      </x:c>
      <x:c r="U437" s="52" t="str">
        <x:f>IF(CaseLedger!$A437="","",IFERROR(CaseLedger!$AA437,""))</x:f>
      </x:c>
      <x:c r="V437" s="52" t="str">
        <x:f>IF(CaseLedger!$A437="","",IFERROR(CaseLedger!$AB437,""))</x:f>
      </x:c>
      <x:c r="W437" s="52" t="str">
        <x:f>IF(CaseLedger!$A437="","",IFERROR(CaseLedger!$AC437,""))</x:f>
      </x:c>
      <x:c r="X437" s="52" t="str">
        <x:f>IF(CaseLedger!$A437="","",IFERROR(CaseLedger!$AD437,""))</x:f>
      </x:c>
      <x:c r="Y437" s="52" t="str">
        <x:f>IF(CaseLedger!$A437="","",IFERROR(CaseLedger!$AE437,""))</x:f>
      </x:c>
      <x:c r="Z437" s="52" t="str">
        <x:f>IF(CaseLedger!$A437="","",IFERROR(CaseLedger!$AF437,""))</x:f>
      </x:c>
      <x:c r="AA437" s="52" t="str">
        <x:f>IF(CaseLedger!$A437="","",IFERROR(CaseLedger!$AG437,""))</x:f>
      </x:c>
      <x:c r="AB437" s="52" t="str">
        <x:f>IF(CaseLedger!$A437="","",IFERROR(CaseLedger!$AH437,""))</x:f>
      </x:c>
      <x:c r="AC437"/>
    </x:row>
    <x:row r="438">
      <x:c r="A438" s="52" t="str">
        <x:f>IF(CaseLedger!$A438="","",IFERROR(CaseLedger!$A438,""))</x:f>
      </x:c>
      <x:c r="B438" s="52" t="str">
        <x:f>IF(CaseLedger!$A438="","",IFERROR(CaseLedger!$H438,""))</x:f>
      </x:c>
      <x:c r="C438" s="52" t="str">
        <x:f>IF(CaseLedger!$A438="","",IFERROR(CaseLedger!$I438,""))</x:f>
      </x:c>
      <x:c r="D438" s="52" t="str">
        <x:f>IF(CaseLedger!$A438="","",IFERROR(CaseLedger!$J438,""))</x:f>
      </x:c>
      <x:c r="E438" s="52" t="str">
        <x:f>IF(CaseLedger!$A438="","",IFERROR(CaseLedger!$K438,""))</x:f>
      </x:c>
      <x:c r="F438" s="52" t="str">
        <x:f>IF(CaseLedger!$A438="","",IFERROR(CaseLedger!$O438,""))</x:f>
      </x:c>
      <x:c r="G438" s="52" t="str">
        <x:f>IF(CaseLedger!$A438="","",IFERROR(CaseLedger!$E438,""))</x:f>
      </x:c>
      <x:c r="H438" s="52" t="str">
        <x:f>IF(CaseLedger!$A438="","",IFERROR(CaseLedger!$P438,""))</x:f>
      </x:c>
      <x:c r="I438" s="52" t="str">
        <x:f>IF(CaseLedger!$A438="","",IFERROR(CaseLedger!$Q438,""))</x:f>
      </x:c>
      <x:c r="J438" s="52" t="str">
        <x:f>IF(CaseLedger!$A438="","",IFERROR(CaseLedger!$R438,""))</x:f>
      </x:c>
      <x:c r="K438" s="52" t="str">
        <x:f>IF(CaseLedger!$A438="","",IFERROR(CaseLedger!$S438,""))</x:f>
      </x:c>
      <x:c r="L438" s="52" t="str">
        <x:f>IF(CaseLedger!$A438="","",IFERROR(CaseLedger!$T438,""))</x:f>
      </x:c>
      <x:c r="M438" s="52" t="str">
        <x:f>IF(CaseLedger!$A438="","",IFERROR(CaseLedger!$U438,""))</x:f>
      </x:c>
      <x:c r="N438" s="52" t="str">
        <x:f>IF(CaseLedger!$A438="","",IFERROR(CaseLedger!$V438,""))</x:f>
      </x:c>
      <x:c r="O438" s="52" t="str">
        <x:f>IF(CaseLedger!$A438="","",IFERROR(CaseLedger!$W438,""))</x:f>
      </x:c>
      <x:c r="P438" s="52" t="str">
        <x:f>IF(CaseLedger!$A438="","",IFERROR(CaseLedger!$C438,""))</x:f>
      </x:c>
      <x:c r="Q438" s="52" t="str">
        <x:f>IF(CaseLedger!$A438="","",IFERROR(CaseLedger!$D438,""))</x:f>
      </x:c>
      <x:c r="R438" s="52" t="str">
        <x:f>IF(CaseLedger!$A438="","",IFERROR(CaseLedger!$X438,""))</x:f>
      </x:c>
      <x:c r="S438" s="52" t="str">
        <x:f>IF(CaseLedger!$A438="","",IFERROR(CaseLedger!$Y438,""))</x:f>
      </x:c>
      <x:c r="T438" s="52" t="str">
        <x:f>IF(CaseLedger!$A438="","",IFERROR(CaseLedger!$Z438,""))</x:f>
      </x:c>
      <x:c r="U438" s="52" t="str">
        <x:f>IF(CaseLedger!$A438="","",IFERROR(CaseLedger!$AA438,""))</x:f>
      </x:c>
      <x:c r="V438" s="52" t="str">
        <x:f>IF(CaseLedger!$A438="","",IFERROR(CaseLedger!$AB438,""))</x:f>
      </x:c>
      <x:c r="W438" s="52" t="str">
        <x:f>IF(CaseLedger!$A438="","",IFERROR(CaseLedger!$AC438,""))</x:f>
      </x:c>
      <x:c r="X438" s="52" t="str">
        <x:f>IF(CaseLedger!$A438="","",IFERROR(CaseLedger!$AD438,""))</x:f>
      </x:c>
      <x:c r="Y438" s="52" t="str">
        <x:f>IF(CaseLedger!$A438="","",IFERROR(CaseLedger!$AE438,""))</x:f>
      </x:c>
      <x:c r="Z438" s="52" t="str">
        <x:f>IF(CaseLedger!$A438="","",IFERROR(CaseLedger!$AF438,""))</x:f>
      </x:c>
      <x:c r="AA438" s="52" t="str">
        <x:f>IF(CaseLedger!$A438="","",IFERROR(CaseLedger!$AG438,""))</x:f>
      </x:c>
      <x:c r="AB438" s="52" t="str">
        <x:f>IF(CaseLedger!$A438="","",IFERROR(CaseLedger!$AH438,""))</x:f>
      </x:c>
      <x:c r="AC438"/>
    </x:row>
    <x:row r="439">
      <x:c r="A439" s="52" t="str">
        <x:f>IF(CaseLedger!$A439="","",IFERROR(CaseLedger!$A439,""))</x:f>
      </x:c>
      <x:c r="B439" s="52" t="str">
        <x:f>IF(CaseLedger!$A439="","",IFERROR(CaseLedger!$H439,""))</x:f>
      </x:c>
      <x:c r="C439" s="52" t="str">
        <x:f>IF(CaseLedger!$A439="","",IFERROR(CaseLedger!$I439,""))</x:f>
      </x:c>
      <x:c r="D439" s="52" t="str">
        <x:f>IF(CaseLedger!$A439="","",IFERROR(CaseLedger!$J439,""))</x:f>
      </x:c>
      <x:c r="E439" s="52" t="str">
        <x:f>IF(CaseLedger!$A439="","",IFERROR(CaseLedger!$K439,""))</x:f>
      </x:c>
      <x:c r="F439" s="52" t="str">
        <x:f>IF(CaseLedger!$A439="","",IFERROR(CaseLedger!$O439,""))</x:f>
      </x:c>
      <x:c r="G439" s="52" t="str">
        <x:f>IF(CaseLedger!$A439="","",IFERROR(CaseLedger!$E439,""))</x:f>
      </x:c>
      <x:c r="H439" s="52" t="str">
        <x:f>IF(CaseLedger!$A439="","",IFERROR(CaseLedger!$P439,""))</x:f>
      </x:c>
      <x:c r="I439" s="52" t="str">
        <x:f>IF(CaseLedger!$A439="","",IFERROR(CaseLedger!$Q439,""))</x:f>
      </x:c>
      <x:c r="J439" s="52" t="str">
        <x:f>IF(CaseLedger!$A439="","",IFERROR(CaseLedger!$R439,""))</x:f>
      </x:c>
      <x:c r="K439" s="52" t="str">
        <x:f>IF(CaseLedger!$A439="","",IFERROR(CaseLedger!$S439,""))</x:f>
      </x:c>
      <x:c r="L439" s="52" t="str">
        <x:f>IF(CaseLedger!$A439="","",IFERROR(CaseLedger!$T439,""))</x:f>
      </x:c>
      <x:c r="M439" s="52" t="str">
        <x:f>IF(CaseLedger!$A439="","",IFERROR(CaseLedger!$U439,""))</x:f>
      </x:c>
      <x:c r="N439" s="52" t="str">
        <x:f>IF(CaseLedger!$A439="","",IFERROR(CaseLedger!$V439,""))</x:f>
      </x:c>
      <x:c r="O439" s="52" t="str">
        <x:f>IF(CaseLedger!$A439="","",IFERROR(CaseLedger!$W439,""))</x:f>
      </x:c>
      <x:c r="P439" s="52" t="str">
        <x:f>IF(CaseLedger!$A439="","",IFERROR(CaseLedger!$C439,""))</x:f>
      </x:c>
      <x:c r="Q439" s="52" t="str">
        <x:f>IF(CaseLedger!$A439="","",IFERROR(CaseLedger!$D439,""))</x:f>
      </x:c>
      <x:c r="R439" s="52" t="str">
        <x:f>IF(CaseLedger!$A439="","",IFERROR(CaseLedger!$X439,""))</x:f>
      </x:c>
      <x:c r="S439" s="52" t="str">
        <x:f>IF(CaseLedger!$A439="","",IFERROR(CaseLedger!$Y439,""))</x:f>
      </x:c>
      <x:c r="T439" s="52" t="str">
        <x:f>IF(CaseLedger!$A439="","",IFERROR(CaseLedger!$Z439,""))</x:f>
      </x:c>
      <x:c r="U439" s="52" t="str">
        <x:f>IF(CaseLedger!$A439="","",IFERROR(CaseLedger!$AA439,""))</x:f>
      </x:c>
      <x:c r="V439" s="52" t="str">
        <x:f>IF(CaseLedger!$A439="","",IFERROR(CaseLedger!$AB439,""))</x:f>
      </x:c>
      <x:c r="W439" s="52" t="str">
        <x:f>IF(CaseLedger!$A439="","",IFERROR(CaseLedger!$AC439,""))</x:f>
      </x:c>
      <x:c r="X439" s="52" t="str">
        <x:f>IF(CaseLedger!$A439="","",IFERROR(CaseLedger!$AD439,""))</x:f>
      </x:c>
      <x:c r="Y439" s="52" t="str">
        <x:f>IF(CaseLedger!$A439="","",IFERROR(CaseLedger!$AE439,""))</x:f>
      </x:c>
      <x:c r="Z439" s="52" t="str">
        <x:f>IF(CaseLedger!$A439="","",IFERROR(CaseLedger!$AF439,""))</x:f>
      </x:c>
      <x:c r="AA439" s="52" t="str">
        <x:f>IF(CaseLedger!$A439="","",IFERROR(CaseLedger!$AG439,""))</x:f>
      </x:c>
      <x:c r="AB439" s="52" t="str">
        <x:f>IF(CaseLedger!$A439="","",IFERROR(CaseLedger!$AH439,""))</x:f>
      </x:c>
      <x:c r="AC439"/>
    </x:row>
    <x:row r="440">
      <x:c r="A440" s="52" t="str">
        <x:f>IF(CaseLedger!$A440="","",IFERROR(CaseLedger!$A440,""))</x:f>
      </x:c>
      <x:c r="B440" s="52" t="str">
        <x:f>IF(CaseLedger!$A440="","",IFERROR(CaseLedger!$H440,""))</x:f>
      </x:c>
      <x:c r="C440" s="52" t="str">
        <x:f>IF(CaseLedger!$A440="","",IFERROR(CaseLedger!$I440,""))</x:f>
      </x:c>
      <x:c r="D440" s="52" t="str">
        <x:f>IF(CaseLedger!$A440="","",IFERROR(CaseLedger!$J440,""))</x:f>
      </x:c>
      <x:c r="E440" s="52" t="str">
        <x:f>IF(CaseLedger!$A440="","",IFERROR(CaseLedger!$K440,""))</x:f>
      </x:c>
      <x:c r="F440" s="52" t="str">
        <x:f>IF(CaseLedger!$A440="","",IFERROR(CaseLedger!$O440,""))</x:f>
      </x:c>
      <x:c r="G440" s="52" t="str">
        <x:f>IF(CaseLedger!$A440="","",IFERROR(CaseLedger!$E440,""))</x:f>
      </x:c>
      <x:c r="H440" s="52" t="str">
        <x:f>IF(CaseLedger!$A440="","",IFERROR(CaseLedger!$P440,""))</x:f>
      </x:c>
      <x:c r="I440" s="52" t="str">
        <x:f>IF(CaseLedger!$A440="","",IFERROR(CaseLedger!$Q440,""))</x:f>
      </x:c>
      <x:c r="J440" s="52" t="str">
        <x:f>IF(CaseLedger!$A440="","",IFERROR(CaseLedger!$R440,""))</x:f>
      </x:c>
      <x:c r="K440" s="52" t="str">
        <x:f>IF(CaseLedger!$A440="","",IFERROR(CaseLedger!$S440,""))</x:f>
      </x:c>
      <x:c r="L440" s="52" t="str">
        <x:f>IF(CaseLedger!$A440="","",IFERROR(CaseLedger!$T440,""))</x:f>
      </x:c>
      <x:c r="M440" s="52" t="str">
        <x:f>IF(CaseLedger!$A440="","",IFERROR(CaseLedger!$U440,""))</x:f>
      </x:c>
      <x:c r="N440" s="52" t="str">
        <x:f>IF(CaseLedger!$A440="","",IFERROR(CaseLedger!$V440,""))</x:f>
      </x:c>
      <x:c r="O440" s="52" t="str">
        <x:f>IF(CaseLedger!$A440="","",IFERROR(CaseLedger!$W440,""))</x:f>
      </x:c>
      <x:c r="P440" s="52" t="str">
        <x:f>IF(CaseLedger!$A440="","",IFERROR(CaseLedger!$C440,""))</x:f>
      </x:c>
      <x:c r="Q440" s="52" t="str">
        <x:f>IF(CaseLedger!$A440="","",IFERROR(CaseLedger!$D440,""))</x:f>
      </x:c>
      <x:c r="R440" s="52" t="str">
        <x:f>IF(CaseLedger!$A440="","",IFERROR(CaseLedger!$X440,""))</x:f>
      </x:c>
      <x:c r="S440" s="52" t="str">
        <x:f>IF(CaseLedger!$A440="","",IFERROR(CaseLedger!$Y440,""))</x:f>
      </x:c>
      <x:c r="T440" s="52" t="str">
        <x:f>IF(CaseLedger!$A440="","",IFERROR(CaseLedger!$Z440,""))</x:f>
      </x:c>
      <x:c r="U440" s="52" t="str">
        <x:f>IF(CaseLedger!$A440="","",IFERROR(CaseLedger!$AA440,""))</x:f>
      </x:c>
      <x:c r="V440" s="52" t="str">
        <x:f>IF(CaseLedger!$A440="","",IFERROR(CaseLedger!$AB440,""))</x:f>
      </x:c>
      <x:c r="W440" s="52" t="str">
        <x:f>IF(CaseLedger!$A440="","",IFERROR(CaseLedger!$AC440,""))</x:f>
      </x:c>
      <x:c r="X440" s="52" t="str">
        <x:f>IF(CaseLedger!$A440="","",IFERROR(CaseLedger!$AD440,""))</x:f>
      </x:c>
      <x:c r="Y440" s="52" t="str">
        <x:f>IF(CaseLedger!$A440="","",IFERROR(CaseLedger!$AE440,""))</x:f>
      </x:c>
      <x:c r="Z440" s="52" t="str">
        <x:f>IF(CaseLedger!$A440="","",IFERROR(CaseLedger!$AF440,""))</x:f>
      </x:c>
      <x:c r="AA440" s="52" t="str">
        <x:f>IF(CaseLedger!$A440="","",IFERROR(CaseLedger!$AG440,""))</x:f>
      </x:c>
      <x:c r="AB440" s="52" t="str">
        <x:f>IF(CaseLedger!$A440="","",IFERROR(CaseLedger!$AH440,""))</x:f>
      </x:c>
      <x:c r="AC440"/>
    </x:row>
    <x:row r="441">
      <x:c r="A441" s="52" t="str">
        <x:f>IF(CaseLedger!$A441="","",IFERROR(CaseLedger!$A441,""))</x:f>
      </x:c>
      <x:c r="B441" s="52" t="str">
        <x:f>IF(CaseLedger!$A441="","",IFERROR(CaseLedger!$H441,""))</x:f>
      </x:c>
      <x:c r="C441" s="52" t="str">
        <x:f>IF(CaseLedger!$A441="","",IFERROR(CaseLedger!$I441,""))</x:f>
      </x:c>
      <x:c r="D441" s="52" t="str">
        <x:f>IF(CaseLedger!$A441="","",IFERROR(CaseLedger!$J441,""))</x:f>
      </x:c>
      <x:c r="E441" s="52" t="str">
        <x:f>IF(CaseLedger!$A441="","",IFERROR(CaseLedger!$K441,""))</x:f>
      </x:c>
      <x:c r="F441" s="52" t="str">
        <x:f>IF(CaseLedger!$A441="","",IFERROR(CaseLedger!$O441,""))</x:f>
      </x:c>
      <x:c r="G441" s="52" t="str">
        <x:f>IF(CaseLedger!$A441="","",IFERROR(CaseLedger!$E441,""))</x:f>
      </x:c>
      <x:c r="H441" s="52" t="str">
        <x:f>IF(CaseLedger!$A441="","",IFERROR(CaseLedger!$P441,""))</x:f>
      </x:c>
      <x:c r="I441" s="52" t="str">
        <x:f>IF(CaseLedger!$A441="","",IFERROR(CaseLedger!$Q441,""))</x:f>
      </x:c>
      <x:c r="J441" s="52" t="str">
        <x:f>IF(CaseLedger!$A441="","",IFERROR(CaseLedger!$R441,""))</x:f>
      </x:c>
      <x:c r="K441" s="52" t="str">
        <x:f>IF(CaseLedger!$A441="","",IFERROR(CaseLedger!$S441,""))</x:f>
      </x:c>
      <x:c r="L441" s="52" t="str">
        <x:f>IF(CaseLedger!$A441="","",IFERROR(CaseLedger!$T441,""))</x:f>
      </x:c>
      <x:c r="M441" s="52" t="str">
        <x:f>IF(CaseLedger!$A441="","",IFERROR(CaseLedger!$U441,""))</x:f>
      </x:c>
      <x:c r="N441" s="52" t="str">
        <x:f>IF(CaseLedger!$A441="","",IFERROR(CaseLedger!$V441,""))</x:f>
      </x:c>
      <x:c r="O441" s="52" t="str">
        <x:f>IF(CaseLedger!$A441="","",IFERROR(CaseLedger!$W441,""))</x:f>
      </x:c>
      <x:c r="P441" s="52" t="str">
        <x:f>IF(CaseLedger!$A441="","",IFERROR(CaseLedger!$C441,""))</x:f>
      </x:c>
      <x:c r="Q441" s="52" t="str">
        <x:f>IF(CaseLedger!$A441="","",IFERROR(CaseLedger!$D441,""))</x:f>
      </x:c>
      <x:c r="R441" s="52" t="str">
        <x:f>IF(CaseLedger!$A441="","",IFERROR(CaseLedger!$X441,""))</x:f>
      </x:c>
      <x:c r="S441" s="52" t="str">
        <x:f>IF(CaseLedger!$A441="","",IFERROR(CaseLedger!$Y441,""))</x:f>
      </x:c>
      <x:c r="T441" s="52" t="str">
        <x:f>IF(CaseLedger!$A441="","",IFERROR(CaseLedger!$Z441,""))</x:f>
      </x:c>
      <x:c r="U441" s="52" t="str">
        <x:f>IF(CaseLedger!$A441="","",IFERROR(CaseLedger!$AA441,""))</x:f>
      </x:c>
      <x:c r="V441" s="52" t="str">
        <x:f>IF(CaseLedger!$A441="","",IFERROR(CaseLedger!$AB441,""))</x:f>
      </x:c>
      <x:c r="W441" s="52" t="str">
        <x:f>IF(CaseLedger!$A441="","",IFERROR(CaseLedger!$AC441,""))</x:f>
      </x:c>
      <x:c r="X441" s="52" t="str">
        <x:f>IF(CaseLedger!$A441="","",IFERROR(CaseLedger!$AD441,""))</x:f>
      </x:c>
      <x:c r="Y441" s="52" t="str">
        <x:f>IF(CaseLedger!$A441="","",IFERROR(CaseLedger!$AE441,""))</x:f>
      </x:c>
      <x:c r="Z441" s="52" t="str">
        <x:f>IF(CaseLedger!$A441="","",IFERROR(CaseLedger!$AF441,""))</x:f>
      </x:c>
      <x:c r="AA441" s="52" t="str">
        <x:f>IF(CaseLedger!$A441="","",IFERROR(CaseLedger!$AG441,""))</x:f>
      </x:c>
      <x:c r="AB441" s="52" t="str">
        <x:f>IF(CaseLedger!$A441="","",IFERROR(CaseLedger!$AH441,""))</x:f>
      </x:c>
      <x:c r="AC441"/>
    </x:row>
    <x:row r="442">
      <x:c r="A442" s="52" t="str">
        <x:f>IF(CaseLedger!$A442="","",IFERROR(CaseLedger!$A442,""))</x:f>
      </x:c>
      <x:c r="B442" s="52" t="str">
        <x:f>IF(CaseLedger!$A442="","",IFERROR(CaseLedger!$H442,""))</x:f>
      </x:c>
      <x:c r="C442" s="52" t="str">
        <x:f>IF(CaseLedger!$A442="","",IFERROR(CaseLedger!$I442,""))</x:f>
      </x:c>
      <x:c r="D442" s="52" t="str">
        <x:f>IF(CaseLedger!$A442="","",IFERROR(CaseLedger!$J442,""))</x:f>
      </x:c>
      <x:c r="E442" s="52" t="str">
        <x:f>IF(CaseLedger!$A442="","",IFERROR(CaseLedger!$K442,""))</x:f>
      </x:c>
      <x:c r="F442" s="52" t="str">
        <x:f>IF(CaseLedger!$A442="","",IFERROR(CaseLedger!$O442,""))</x:f>
      </x:c>
      <x:c r="G442" s="52" t="str">
        <x:f>IF(CaseLedger!$A442="","",IFERROR(CaseLedger!$E442,""))</x:f>
      </x:c>
      <x:c r="H442" s="52" t="str">
        <x:f>IF(CaseLedger!$A442="","",IFERROR(CaseLedger!$P442,""))</x:f>
      </x:c>
      <x:c r="I442" s="52" t="str">
        <x:f>IF(CaseLedger!$A442="","",IFERROR(CaseLedger!$Q442,""))</x:f>
      </x:c>
      <x:c r="J442" s="52" t="str">
        <x:f>IF(CaseLedger!$A442="","",IFERROR(CaseLedger!$R442,""))</x:f>
      </x:c>
      <x:c r="K442" s="52" t="str">
        <x:f>IF(CaseLedger!$A442="","",IFERROR(CaseLedger!$S442,""))</x:f>
      </x:c>
      <x:c r="L442" s="52" t="str">
        <x:f>IF(CaseLedger!$A442="","",IFERROR(CaseLedger!$T442,""))</x:f>
      </x:c>
      <x:c r="M442" s="52" t="str">
        <x:f>IF(CaseLedger!$A442="","",IFERROR(CaseLedger!$U442,""))</x:f>
      </x:c>
      <x:c r="N442" s="52" t="str">
        <x:f>IF(CaseLedger!$A442="","",IFERROR(CaseLedger!$V442,""))</x:f>
      </x:c>
      <x:c r="O442" s="52" t="str">
        <x:f>IF(CaseLedger!$A442="","",IFERROR(CaseLedger!$W442,""))</x:f>
      </x:c>
      <x:c r="P442" s="52" t="str">
        <x:f>IF(CaseLedger!$A442="","",IFERROR(CaseLedger!$C442,""))</x:f>
      </x:c>
      <x:c r="Q442" s="52" t="str">
        <x:f>IF(CaseLedger!$A442="","",IFERROR(CaseLedger!$D442,""))</x:f>
      </x:c>
      <x:c r="R442" s="52" t="str">
        <x:f>IF(CaseLedger!$A442="","",IFERROR(CaseLedger!$X442,""))</x:f>
      </x:c>
      <x:c r="S442" s="52" t="str">
        <x:f>IF(CaseLedger!$A442="","",IFERROR(CaseLedger!$Y442,""))</x:f>
      </x:c>
      <x:c r="T442" s="52" t="str">
        <x:f>IF(CaseLedger!$A442="","",IFERROR(CaseLedger!$Z442,""))</x:f>
      </x:c>
      <x:c r="U442" s="52" t="str">
        <x:f>IF(CaseLedger!$A442="","",IFERROR(CaseLedger!$AA442,""))</x:f>
      </x:c>
      <x:c r="V442" s="52" t="str">
        <x:f>IF(CaseLedger!$A442="","",IFERROR(CaseLedger!$AB442,""))</x:f>
      </x:c>
      <x:c r="W442" s="52" t="str">
        <x:f>IF(CaseLedger!$A442="","",IFERROR(CaseLedger!$AC442,""))</x:f>
      </x:c>
      <x:c r="X442" s="52" t="str">
        <x:f>IF(CaseLedger!$A442="","",IFERROR(CaseLedger!$AD442,""))</x:f>
      </x:c>
      <x:c r="Y442" s="52" t="str">
        <x:f>IF(CaseLedger!$A442="","",IFERROR(CaseLedger!$AE442,""))</x:f>
      </x:c>
      <x:c r="Z442" s="52" t="str">
        <x:f>IF(CaseLedger!$A442="","",IFERROR(CaseLedger!$AF442,""))</x:f>
      </x:c>
      <x:c r="AA442" s="52" t="str">
        <x:f>IF(CaseLedger!$A442="","",IFERROR(CaseLedger!$AG442,""))</x:f>
      </x:c>
      <x:c r="AB442" s="52" t="str">
        <x:f>IF(CaseLedger!$A442="","",IFERROR(CaseLedger!$AH442,""))</x:f>
      </x:c>
      <x:c r="AC442"/>
    </x:row>
    <x:row r="443">
      <x:c r="A443" s="52" t="str">
        <x:f>IF(CaseLedger!$A443="","",IFERROR(CaseLedger!$A443,""))</x:f>
      </x:c>
      <x:c r="B443" s="52" t="str">
        <x:f>IF(CaseLedger!$A443="","",IFERROR(CaseLedger!$H443,""))</x:f>
      </x:c>
      <x:c r="C443" s="52" t="str">
        <x:f>IF(CaseLedger!$A443="","",IFERROR(CaseLedger!$I443,""))</x:f>
      </x:c>
      <x:c r="D443" s="52" t="str">
        <x:f>IF(CaseLedger!$A443="","",IFERROR(CaseLedger!$J443,""))</x:f>
      </x:c>
      <x:c r="E443" s="52" t="str">
        <x:f>IF(CaseLedger!$A443="","",IFERROR(CaseLedger!$K443,""))</x:f>
      </x:c>
      <x:c r="F443" s="52" t="str">
        <x:f>IF(CaseLedger!$A443="","",IFERROR(CaseLedger!$O443,""))</x:f>
      </x:c>
      <x:c r="G443" s="52" t="str">
        <x:f>IF(CaseLedger!$A443="","",IFERROR(CaseLedger!$E443,""))</x:f>
      </x:c>
      <x:c r="H443" s="52" t="str">
        <x:f>IF(CaseLedger!$A443="","",IFERROR(CaseLedger!$P443,""))</x:f>
      </x:c>
      <x:c r="I443" s="52" t="str">
        <x:f>IF(CaseLedger!$A443="","",IFERROR(CaseLedger!$Q443,""))</x:f>
      </x:c>
      <x:c r="J443" s="52" t="str">
        <x:f>IF(CaseLedger!$A443="","",IFERROR(CaseLedger!$R443,""))</x:f>
      </x:c>
      <x:c r="K443" s="52" t="str">
        <x:f>IF(CaseLedger!$A443="","",IFERROR(CaseLedger!$S443,""))</x:f>
      </x:c>
      <x:c r="L443" s="52" t="str">
        <x:f>IF(CaseLedger!$A443="","",IFERROR(CaseLedger!$T443,""))</x:f>
      </x:c>
      <x:c r="M443" s="52" t="str">
        <x:f>IF(CaseLedger!$A443="","",IFERROR(CaseLedger!$U443,""))</x:f>
      </x:c>
      <x:c r="N443" s="52" t="str">
        <x:f>IF(CaseLedger!$A443="","",IFERROR(CaseLedger!$V443,""))</x:f>
      </x:c>
      <x:c r="O443" s="52" t="str">
        <x:f>IF(CaseLedger!$A443="","",IFERROR(CaseLedger!$W443,""))</x:f>
      </x:c>
      <x:c r="P443" s="52" t="str">
        <x:f>IF(CaseLedger!$A443="","",IFERROR(CaseLedger!$C443,""))</x:f>
      </x:c>
      <x:c r="Q443" s="52" t="str">
        <x:f>IF(CaseLedger!$A443="","",IFERROR(CaseLedger!$D443,""))</x:f>
      </x:c>
      <x:c r="R443" s="52" t="str">
        <x:f>IF(CaseLedger!$A443="","",IFERROR(CaseLedger!$X443,""))</x:f>
      </x:c>
      <x:c r="S443" s="52" t="str">
        <x:f>IF(CaseLedger!$A443="","",IFERROR(CaseLedger!$Y443,""))</x:f>
      </x:c>
      <x:c r="T443" s="52" t="str">
        <x:f>IF(CaseLedger!$A443="","",IFERROR(CaseLedger!$Z443,""))</x:f>
      </x:c>
      <x:c r="U443" s="52" t="str">
        <x:f>IF(CaseLedger!$A443="","",IFERROR(CaseLedger!$AA443,""))</x:f>
      </x:c>
      <x:c r="V443" s="52" t="str">
        <x:f>IF(CaseLedger!$A443="","",IFERROR(CaseLedger!$AB443,""))</x:f>
      </x:c>
      <x:c r="W443" s="52" t="str">
        <x:f>IF(CaseLedger!$A443="","",IFERROR(CaseLedger!$AC443,""))</x:f>
      </x:c>
      <x:c r="X443" s="52" t="str">
        <x:f>IF(CaseLedger!$A443="","",IFERROR(CaseLedger!$AD443,""))</x:f>
      </x:c>
      <x:c r="Y443" s="52" t="str">
        <x:f>IF(CaseLedger!$A443="","",IFERROR(CaseLedger!$AE443,""))</x:f>
      </x:c>
      <x:c r="Z443" s="52" t="str">
        <x:f>IF(CaseLedger!$A443="","",IFERROR(CaseLedger!$AF443,""))</x:f>
      </x:c>
      <x:c r="AA443" s="52" t="str">
        <x:f>IF(CaseLedger!$A443="","",IFERROR(CaseLedger!$AG443,""))</x:f>
      </x:c>
      <x:c r="AB443" s="52" t="str">
        <x:f>IF(CaseLedger!$A443="","",IFERROR(CaseLedger!$AH443,""))</x:f>
      </x:c>
      <x:c r="AC443"/>
    </x:row>
    <x:row r="444">
      <x:c r="A444" s="52" t="str">
        <x:f>IF(CaseLedger!$A444="","",IFERROR(CaseLedger!$A444,""))</x:f>
      </x:c>
      <x:c r="B444" s="52" t="str">
        <x:f>IF(CaseLedger!$A444="","",IFERROR(CaseLedger!$H444,""))</x:f>
      </x:c>
      <x:c r="C444" s="52" t="str">
        <x:f>IF(CaseLedger!$A444="","",IFERROR(CaseLedger!$I444,""))</x:f>
      </x:c>
      <x:c r="D444" s="52" t="str">
        <x:f>IF(CaseLedger!$A444="","",IFERROR(CaseLedger!$J444,""))</x:f>
      </x:c>
      <x:c r="E444" s="52" t="str">
        <x:f>IF(CaseLedger!$A444="","",IFERROR(CaseLedger!$K444,""))</x:f>
      </x:c>
      <x:c r="F444" s="52" t="str">
        <x:f>IF(CaseLedger!$A444="","",IFERROR(CaseLedger!$O444,""))</x:f>
      </x:c>
      <x:c r="G444" s="52" t="str">
        <x:f>IF(CaseLedger!$A444="","",IFERROR(CaseLedger!$E444,""))</x:f>
      </x:c>
      <x:c r="H444" s="52" t="str">
        <x:f>IF(CaseLedger!$A444="","",IFERROR(CaseLedger!$P444,""))</x:f>
      </x:c>
      <x:c r="I444" s="52" t="str">
        <x:f>IF(CaseLedger!$A444="","",IFERROR(CaseLedger!$Q444,""))</x:f>
      </x:c>
      <x:c r="J444" s="52" t="str">
        <x:f>IF(CaseLedger!$A444="","",IFERROR(CaseLedger!$R444,""))</x:f>
      </x:c>
      <x:c r="K444" s="52" t="str">
        <x:f>IF(CaseLedger!$A444="","",IFERROR(CaseLedger!$S444,""))</x:f>
      </x:c>
      <x:c r="L444" s="52" t="str">
        <x:f>IF(CaseLedger!$A444="","",IFERROR(CaseLedger!$T444,""))</x:f>
      </x:c>
      <x:c r="M444" s="52" t="str">
        <x:f>IF(CaseLedger!$A444="","",IFERROR(CaseLedger!$U444,""))</x:f>
      </x:c>
      <x:c r="N444" s="52" t="str">
        <x:f>IF(CaseLedger!$A444="","",IFERROR(CaseLedger!$V444,""))</x:f>
      </x:c>
      <x:c r="O444" s="52" t="str">
        <x:f>IF(CaseLedger!$A444="","",IFERROR(CaseLedger!$W444,""))</x:f>
      </x:c>
      <x:c r="P444" s="52" t="str">
        <x:f>IF(CaseLedger!$A444="","",IFERROR(CaseLedger!$C444,""))</x:f>
      </x:c>
      <x:c r="Q444" s="52" t="str">
        <x:f>IF(CaseLedger!$A444="","",IFERROR(CaseLedger!$D444,""))</x:f>
      </x:c>
      <x:c r="R444" s="52" t="str">
        <x:f>IF(CaseLedger!$A444="","",IFERROR(CaseLedger!$X444,""))</x:f>
      </x:c>
      <x:c r="S444" s="52" t="str">
        <x:f>IF(CaseLedger!$A444="","",IFERROR(CaseLedger!$Y444,""))</x:f>
      </x:c>
      <x:c r="T444" s="52" t="str">
        <x:f>IF(CaseLedger!$A444="","",IFERROR(CaseLedger!$Z444,""))</x:f>
      </x:c>
      <x:c r="U444" s="52" t="str">
        <x:f>IF(CaseLedger!$A444="","",IFERROR(CaseLedger!$AA444,""))</x:f>
      </x:c>
      <x:c r="V444" s="52" t="str">
        <x:f>IF(CaseLedger!$A444="","",IFERROR(CaseLedger!$AB444,""))</x:f>
      </x:c>
      <x:c r="W444" s="52" t="str">
        <x:f>IF(CaseLedger!$A444="","",IFERROR(CaseLedger!$AC444,""))</x:f>
      </x:c>
      <x:c r="X444" s="52" t="str">
        <x:f>IF(CaseLedger!$A444="","",IFERROR(CaseLedger!$AD444,""))</x:f>
      </x:c>
      <x:c r="Y444" s="52" t="str">
        <x:f>IF(CaseLedger!$A444="","",IFERROR(CaseLedger!$AE444,""))</x:f>
      </x:c>
      <x:c r="Z444" s="52" t="str">
        <x:f>IF(CaseLedger!$A444="","",IFERROR(CaseLedger!$AF444,""))</x:f>
      </x:c>
      <x:c r="AA444" s="52" t="str">
        <x:f>IF(CaseLedger!$A444="","",IFERROR(CaseLedger!$AG444,""))</x:f>
      </x:c>
      <x:c r="AB444" s="52" t="str">
        <x:f>IF(CaseLedger!$A444="","",IFERROR(CaseLedger!$AH444,""))</x:f>
      </x:c>
      <x:c r="AC444"/>
    </x:row>
    <x:row r="445">
      <x:c r="A445" s="52" t="str">
        <x:f>IF(CaseLedger!$A445="","",IFERROR(CaseLedger!$A445,""))</x:f>
      </x:c>
      <x:c r="B445" s="52" t="str">
        <x:f>IF(CaseLedger!$A445="","",IFERROR(CaseLedger!$H445,""))</x:f>
      </x:c>
      <x:c r="C445" s="52" t="str">
        <x:f>IF(CaseLedger!$A445="","",IFERROR(CaseLedger!$I445,""))</x:f>
      </x:c>
      <x:c r="D445" s="52" t="str">
        <x:f>IF(CaseLedger!$A445="","",IFERROR(CaseLedger!$J445,""))</x:f>
      </x:c>
      <x:c r="E445" s="52" t="str">
        <x:f>IF(CaseLedger!$A445="","",IFERROR(CaseLedger!$K445,""))</x:f>
      </x:c>
      <x:c r="F445" s="52" t="str">
        <x:f>IF(CaseLedger!$A445="","",IFERROR(CaseLedger!$O445,""))</x:f>
      </x:c>
      <x:c r="G445" s="52" t="str">
        <x:f>IF(CaseLedger!$A445="","",IFERROR(CaseLedger!$E445,""))</x:f>
      </x:c>
      <x:c r="H445" s="52" t="str">
        <x:f>IF(CaseLedger!$A445="","",IFERROR(CaseLedger!$P445,""))</x:f>
      </x:c>
      <x:c r="I445" s="52" t="str">
        <x:f>IF(CaseLedger!$A445="","",IFERROR(CaseLedger!$Q445,""))</x:f>
      </x:c>
      <x:c r="J445" s="52" t="str">
        <x:f>IF(CaseLedger!$A445="","",IFERROR(CaseLedger!$R445,""))</x:f>
      </x:c>
      <x:c r="K445" s="52" t="str">
        <x:f>IF(CaseLedger!$A445="","",IFERROR(CaseLedger!$S445,""))</x:f>
      </x:c>
      <x:c r="L445" s="52" t="str">
        <x:f>IF(CaseLedger!$A445="","",IFERROR(CaseLedger!$T445,""))</x:f>
      </x:c>
      <x:c r="M445" s="52" t="str">
        <x:f>IF(CaseLedger!$A445="","",IFERROR(CaseLedger!$U445,""))</x:f>
      </x:c>
      <x:c r="N445" s="52" t="str">
        <x:f>IF(CaseLedger!$A445="","",IFERROR(CaseLedger!$V445,""))</x:f>
      </x:c>
      <x:c r="O445" s="52" t="str">
        <x:f>IF(CaseLedger!$A445="","",IFERROR(CaseLedger!$W445,""))</x:f>
      </x:c>
      <x:c r="P445" s="52" t="str">
        <x:f>IF(CaseLedger!$A445="","",IFERROR(CaseLedger!$C445,""))</x:f>
      </x:c>
      <x:c r="Q445" s="52" t="str">
        <x:f>IF(CaseLedger!$A445="","",IFERROR(CaseLedger!$D445,""))</x:f>
      </x:c>
      <x:c r="R445" s="52" t="str">
        <x:f>IF(CaseLedger!$A445="","",IFERROR(CaseLedger!$X445,""))</x:f>
      </x:c>
      <x:c r="S445" s="52" t="str">
        <x:f>IF(CaseLedger!$A445="","",IFERROR(CaseLedger!$Y445,""))</x:f>
      </x:c>
      <x:c r="T445" s="52" t="str">
        <x:f>IF(CaseLedger!$A445="","",IFERROR(CaseLedger!$Z445,""))</x:f>
      </x:c>
      <x:c r="U445" s="52" t="str">
        <x:f>IF(CaseLedger!$A445="","",IFERROR(CaseLedger!$AA445,""))</x:f>
      </x:c>
      <x:c r="V445" s="52" t="str">
        <x:f>IF(CaseLedger!$A445="","",IFERROR(CaseLedger!$AB445,""))</x:f>
      </x:c>
      <x:c r="W445" s="52" t="str">
        <x:f>IF(CaseLedger!$A445="","",IFERROR(CaseLedger!$AC445,""))</x:f>
      </x:c>
      <x:c r="X445" s="52" t="str">
        <x:f>IF(CaseLedger!$A445="","",IFERROR(CaseLedger!$AD445,""))</x:f>
      </x:c>
      <x:c r="Y445" s="52" t="str">
        <x:f>IF(CaseLedger!$A445="","",IFERROR(CaseLedger!$AE445,""))</x:f>
      </x:c>
      <x:c r="Z445" s="52" t="str">
        <x:f>IF(CaseLedger!$A445="","",IFERROR(CaseLedger!$AF445,""))</x:f>
      </x:c>
      <x:c r="AA445" s="52" t="str">
        <x:f>IF(CaseLedger!$A445="","",IFERROR(CaseLedger!$AG445,""))</x:f>
      </x:c>
      <x:c r="AB445" s="52" t="str">
        <x:f>IF(CaseLedger!$A445="","",IFERROR(CaseLedger!$AH445,""))</x:f>
      </x:c>
      <x:c r="AC445"/>
    </x:row>
    <x:row r="446">
      <x:c r="A446" s="52" t="str">
        <x:f>IF(CaseLedger!$A446="","",IFERROR(CaseLedger!$A446,""))</x:f>
      </x:c>
      <x:c r="B446" s="52" t="str">
        <x:f>IF(CaseLedger!$A446="","",IFERROR(CaseLedger!$H446,""))</x:f>
      </x:c>
      <x:c r="C446" s="52" t="str">
        <x:f>IF(CaseLedger!$A446="","",IFERROR(CaseLedger!$I446,""))</x:f>
      </x:c>
      <x:c r="D446" s="52" t="str">
        <x:f>IF(CaseLedger!$A446="","",IFERROR(CaseLedger!$J446,""))</x:f>
      </x:c>
      <x:c r="E446" s="52" t="str">
        <x:f>IF(CaseLedger!$A446="","",IFERROR(CaseLedger!$K446,""))</x:f>
      </x:c>
      <x:c r="F446" s="52" t="str">
        <x:f>IF(CaseLedger!$A446="","",IFERROR(CaseLedger!$O446,""))</x:f>
      </x:c>
      <x:c r="G446" s="52" t="str">
        <x:f>IF(CaseLedger!$A446="","",IFERROR(CaseLedger!$E446,""))</x:f>
      </x:c>
      <x:c r="H446" s="52" t="str">
        <x:f>IF(CaseLedger!$A446="","",IFERROR(CaseLedger!$P446,""))</x:f>
      </x:c>
      <x:c r="I446" s="52" t="str">
        <x:f>IF(CaseLedger!$A446="","",IFERROR(CaseLedger!$Q446,""))</x:f>
      </x:c>
      <x:c r="J446" s="52" t="str">
        <x:f>IF(CaseLedger!$A446="","",IFERROR(CaseLedger!$R446,""))</x:f>
      </x:c>
      <x:c r="K446" s="52" t="str">
        <x:f>IF(CaseLedger!$A446="","",IFERROR(CaseLedger!$S446,""))</x:f>
      </x:c>
      <x:c r="L446" s="52" t="str">
        <x:f>IF(CaseLedger!$A446="","",IFERROR(CaseLedger!$T446,""))</x:f>
      </x:c>
      <x:c r="M446" s="52" t="str">
        <x:f>IF(CaseLedger!$A446="","",IFERROR(CaseLedger!$U446,""))</x:f>
      </x:c>
      <x:c r="N446" s="52" t="str">
        <x:f>IF(CaseLedger!$A446="","",IFERROR(CaseLedger!$V446,""))</x:f>
      </x:c>
      <x:c r="O446" s="52" t="str">
        <x:f>IF(CaseLedger!$A446="","",IFERROR(CaseLedger!$W446,""))</x:f>
      </x:c>
      <x:c r="P446" s="52" t="str">
        <x:f>IF(CaseLedger!$A446="","",IFERROR(CaseLedger!$C446,""))</x:f>
      </x:c>
      <x:c r="Q446" s="52" t="str">
        <x:f>IF(CaseLedger!$A446="","",IFERROR(CaseLedger!$D446,""))</x:f>
      </x:c>
      <x:c r="R446" s="52" t="str">
        <x:f>IF(CaseLedger!$A446="","",IFERROR(CaseLedger!$X446,""))</x:f>
      </x:c>
      <x:c r="S446" s="52" t="str">
        <x:f>IF(CaseLedger!$A446="","",IFERROR(CaseLedger!$Y446,""))</x:f>
      </x:c>
      <x:c r="T446" s="52" t="str">
        <x:f>IF(CaseLedger!$A446="","",IFERROR(CaseLedger!$Z446,""))</x:f>
      </x:c>
      <x:c r="U446" s="52" t="str">
        <x:f>IF(CaseLedger!$A446="","",IFERROR(CaseLedger!$AA446,""))</x:f>
      </x:c>
      <x:c r="V446" s="52" t="str">
        <x:f>IF(CaseLedger!$A446="","",IFERROR(CaseLedger!$AB446,""))</x:f>
      </x:c>
      <x:c r="W446" s="52" t="str">
        <x:f>IF(CaseLedger!$A446="","",IFERROR(CaseLedger!$AC446,""))</x:f>
      </x:c>
      <x:c r="X446" s="52" t="str">
        <x:f>IF(CaseLedger!$A446="","",IFERROR(CaseLedger!$AD446,""))</x:f>
      </x:c>
      <x:c r="Y446" s="52" t="str">
        <x:f>IF(CaseLedger!$A446="","",IFERROR(CaseLedger!$AE446,""))</x:f>
      </x:c>
      <x:c r="Z446" s="52" t="str">
        <x:f>IF(CaseLedger!$A446="","",IFERROR(CaseLedger!$AF446,""))</x:f>
      </x:c>
      <x:c r="AA446" s="52" t="str">
        <x:f>IF(CaseLedger!$A446="","",IFERROR(CaseLedger!$AG446,""))</x:f>
      </x:c>
      <x:c r="AB446" s="52" t="str">
        <x:f>IF(CaseLedger!$A446="","",IFERROR(CaseLedger!$AH446,""))</x:f>
      </x:c>
      <x:c r="AC446"/>
    </x:row>
    <x:row r="447">
      <x:c r="A447" s="52" t="str">
        <x:f>IF(CaseLedger!$A447="","",IFERROR(CaseLedger!$A447,""))</x:f>
      </x:c>
      <x:c r="B447" s="52" t="str">
        <x:f>IF(CaseLedger!$A447="","",IFERROR(CaseLedger!$H447,""))</x:f>
      </x:c>
      <x:c r="C447" s="52" t="str">
        <x:f>IF(CaseLedger!$A447="","",IFERROR(CaseLedger!$I447,""))</x:f>
      </x:c>
      <x:c r="D447" s="52" t="str">
        <x:f>IF(CaseLedger!$A447="","",IFERROR(CaseLedger!$J447,""))</x:f>
      </x:c>
      <x:c r="E447" s="52" t="str">
        <x:f>IF(CaseLedger!$A447="","",IFERROR(CaseLedger!$K447,""))</x:f>
      </x:c>
      <x:c r="F447" s="52" t="str">
        <x:f>IF(CaseLedger!$A447="","",IFERROR(CaseLedger!$O447,""))</x:f>
      </x:c>
      <x:c r="G447" s="52" t="str">
        <x:f>IF(CaseLedger!$A447="","",IFERROR(CaseLedger!$E447,""))</x:f>
      </x:c>
      <x:c r="H447" s="52" t="str">
        <x:f>IF(CaseLedger!$A447="","",IFERROR(CaseLedger!$P447,""))</x:f>
      </x:c>
      <x:c r="I447" s="52" t="str">
        <x:f>IF(CaseLedger!$A447="","",IFERROR(CaseLedger!$Q447,""))</x:f>
      </x:c>
      <x:c r="J447" s="52" t="str">
        <x:f>IF(CaseLedger!$A447="","",IFERROR(CaseLedger!$R447,""))</x:f>
      </x:c>
      <x:c r="K447" s="52" t="str">
        <x:f>IF(CaseLedger!$A447="","",IFERROR(CaseLedger!$S447,""))</x:f>
      </x:c>
      <x:c r="L447" s="52" t="str">
        <x:f>IF(CaseLedger!$A447="","",IFERROR(CaseLedger!$T447,""))</x:f>
      </x:c>
      <x:c r="M447" s="52" t="str">
        <x:f>IF(CaseLedger!$A447="","",IFERROR(CaseLedger!$U447,""))</x:f>
      </x:c>
      <x:c r="N447" s="52" t="str">
        <x:f>IF(CaseLedger!$A447="","",IFERROR(CaseLedger!$V447,""))</x:f>
      </x:c>
      <x:c r="O447" s="52" t="str">
        <x:f>IF(CaseLedger!$A447="","",IFERROR(CaseLedger!$W447,""))</x:f>
      </x:c>
      <x:c r="P447" s="52" t="str">
        <x:f>IF(CaseLedger!$A447="","",IFERROR(CaseLedger!$C447,""))</x:f>
      </x:c>
      <x:c r="Q447" s="52" t="str">
        <x:f>IF(CaseLedger!$A447="","",IFERROR(CaseLedger!$D447,""))</x:f>
      </x:c>
      <x:c r="R447" s="52" t="str">
        <x:f>IF(CaseLedger!$A447="","",IFERROR(CaseLedger!$X447,""))</x:f>
      </x:c>
      <x:c r="S447" s="52" t="str">
        <x:f>IF(CaseLedger!$A447="","",IFERROR(CaseLedger!$Y447,""))</x:f>
      </x:c>
      <x:c r="T447" s="52" t="str">
        <x:f>IF(CaseLedger!$A447="","",IFERROR(CaseLedger!$Z447,""))</x:f>
      </x:c>
      <x:c r="U447" s="52" t="str">
        <x:f>IF(CaseLedger!$A447="","",IFERROR(CaseLedger!$AA447,""))</x:f>
      </x:c>
      <x:c r="V447" s="52" t="str">
        <x:f>IF(CaseLedger!$A447="","",IFERROR(CaseLedger!$AB447,""))</x:f>
      </x:c>
      <x:c r="W447" s="52" t="str">
        <x:f>IF(CaseLedger!$A447="","",IFERROR(CaseLedger!$AC447,""))</x:f>
      </x:c>
      <x:c r="X447" s="52" t="str">
        <x:f>IF(CaseLedger!$A447="","",IFERROR(CaseLedger!$AD447,""))</x:f>
      </x:c>
      <x:c r="Y447" s="52" t="str">
        <x:f>IF(CaseLedger!$A447="","",IFERROR(CaseLedger!$AE447,""))</x:f>
      </x:c>
      <x:c r="Z447" s="52" t="str">
        <x:f>IF(CaseLedger!$A447="","",IFERROR(CaseLedger!$AF447,""))</x:f>
      </x:c>
      <x:c r="AA447" s="52" t="str">
        <x:f>IF(CaseLedger!$A447="","",IFERROR(CaseLedger!$AG447,""))</x:f>
      </x:c>
      <x:c r="AB447" s="52" t="str">
        <x:f>IF(CaseLedger!$A447="","",IFERROR(CaseLedger!$AH447,""))</x:f>
      </x:c>
      <x:c r="AC447"/>
    </x:row>
    <x:row r="448">
      <x:c r="A448" s="52" t="str">
        <x:f>IF(CaseLedger!$A448="","",IFERROR(CaseLedger!$A448,""))</x:f>
      </x:c>
      <x:c r="B448" s="52" t="str">
        <x:f>IF(CaseLedger!$A448="","",IFERROR(CaseLedger!$H448,""))</x:f>
      </x:c>
      <x:c r="C448" s="52" t="str">
        <x:f>IF(CaseLedger!$A448="","",IFERROR(CaseLedger!$I448,""))</x:f>
      </x:c>
      <x:c r="D448" s="52" t="str">
        <x:f>IF(CaseLedger!$A448="","",IFERROR(CaseLedger!$J448,""))</x:f>
      </x:c>
      <x:c r="E448" s="52" t="str">
        <x:f>IF(CaseLedger!$A448="","",IFERROR(CaseLedger!$K448,""))</x:f>
      </x:c>
      <x:c r="F448" s="52" t="str">
        <x:f>IF(CaseLedger!$A448="","",IFERROR(CaseLedger!$O448,""))</x:f>
      </x:c>
      <x:c r="G448" s="52" t="str">
        <x:f>IF(CaseLedger!$A448="","",IFERROR(CaseLedger!$E448,""))</x:f>
      </x:c>
      <x:c r="H448" s="52" t="str">
        <x:f>IF(CaseLedger!$A448="","",IFERROR(CaseLedger!$P448,""))</x:f>
      </x:c>
      <x:c r="I448" s="52" t="str">
        <x:f>IF(CaseLedger!$A448="","",IFERROR(CaseLedger!$Q448,""))</x:f>
      </x:c>
      <x:c r="J448" s="52" t="str">
        <x:f>IF(CaseLedger!$A448="","",IFERROR(CaseLedger!$R448,""))</x:f>
      </x:c>
      <x:c r="K448" s="52" t="str">
        <x:f>IF(CaseLedger!$A448="","",IFERROR(CaseLedger!$S448,""))</x:f>
      </x:c>
      <x:c r="L448" s="52" t="str">
        <x:f>IF(CaseLedger!$A448="","",IFERROR(CaseLedger!$T448,""))</x:f>
      </x:c>
      <x:c r="M448" s="52" t="str">
        <x:f>IF(CaseLedger!$A448="","",IFERROR(CaseLedger!$U448,""))</x:f>
      </x:c>
      <x:c r="N448" s="52" t="str">
        <x:f>IF(CaseLedger!$A448="","",IFERROR(CaseLedger!$V448,""))</x:f>
      </x:c>
      <x:c r="O448" s="52" t="str">
        <x:f>IF(CaseLedger!$A448="","",IFERROR(CaseLedger!$W448,""))</x:f>
      </x:c>
      <x:c r="P448" s="52" t="str">
        <x:f>IF(CaseLedger!$A448="","",IFERROR(CaseLedger!$C448,""))</x:f>
      </x:c>
      <x:c r="Q448" s="52" t="str">
        <x:f>IF(CaseLedger!$A448="","",IFERROR(CaseLedger!$D448,""))</x:f>
      </x:c>
      <x:c r="R448" s="52" t="str">
        <x:f>IF(CaseLedger!$A448="","",IFERROR(CaseLedger!$X448,""))</x:f>
      </x:c>
      <x:c r="S448" s="52" t="str">
        <x:f>IF(CaseLedger!$A448="","",IFERROR(CaseLedger!$Y448,""))</x:f>
      </x:c>
      <x:c r="T448" s="52" t="str">
        <x:f>IF(CaseLedger!$A448="","",IFERROR(CaseLedger!$Z448,""))</x:f>
      </x:c>
      <x:c r="U448" s="52" t="str">
        <x:f>IF(CaseLedger!$A448="","",IFERROR(CaseLedger!$AA448,""))</x:f>
      </x:c>
      <x:c r="V448" s="52" t="str">
        <x:f>IF(CaseLedger!$A448="","",IFERROR(CaseLedger!$AB448,""))</x:f>
      </x:c>
      <x:c r="W448" s="52" t="str">
        <x:f>IF(CaseLedger!$A448="","",IFERROR(CaseLedger!$AC448,""))</x:f>
      </x:c>
      <x:c r="X448" s="52" t="str">
        <x:f>IF(CaseLedger!$A448="","",IFERROR(CaseLedger!$AD448,""))</x:f>
      </x:c>
      <x:c r="Y448" s="52" t="str">
        <x:f>IF(CaseLedger!$A448="","",IFERROR(CaseLedger!$AE448,""))</x:f>
      </x:c>
      <x:c r="Z448" s="52" t="str">
        <x:f>IF(CaseLedger!$A448="","",IFERROR(CaseLedger!$AF448,""))</x:f>
      </x:c>
      <x:c r="AA448" s="52" t="str">
        <x:f>IF(CaseLedger!$A448="","",IFERROR(CaseLedger!$AG448,""))</x:f>
      </x:c>
      <x:c r="AB448" s="52" t="str">
        <x:f>IF(CaseLedger!$A448="","",IFERROR(CaseLedger!$AH448,""))</x:f>
      </x:c>
      <x:c r="AC448"/>
    </x:row>
    <x:row r="449">
      <x:c r="A449" s="52" t="str">
        <x:f>IF(CaseLedger!$A449="","",IFERROR(CaseLedger!$A449,""))</x:f>
      </x:c>
      <x:c r="B449" s="52" t="str">
        <x:f>IF(CaseLedger!$A449="","",IFERROR(CaseLedger!$H449,""))</x:f>
      </x:c>
      <x:c r="C449" s="52" t="str">
        <x:f>IF(CaseLedger!$A449="","",IFERROR(CaseLedger!$I449,""))</x:f>
      </x:c>
      <x:c r="D449" s="52" t="str">
        <x:f>IF(CaseLedger!$A449="","",IFERROR(CaseLedger!$J449,""))</x:f>
      </x:c>
      <x:c r="E449" s="52" t="str">
        <x:f>IF(CaseLedger!$A449="","",IFERROR(CaseLedger!$K449,""))</x:f>
      </x:c>
      <x:c r="F449" s="52" t="str">
        <x:f>IF(CaseLedger!$A449="","",IFERROR(CaseLedger!$O449,""))</x:f>
      </x:c>
      <x:c r="G449" s="52" t="str">
        <x:f>IF(CaseLedger!$A449="","",IFERROR(CaseLedger!$E449,""))</x:f>
      </x:c>
      <x:c r="H449" s="52" t="str">
        <x:f>IF(CaseLedger!$A449="","",IFERROR(CaseLedger!$P449,""))</x:f>
      </x:c>
      <x:c r="I449" s="52" t="str">
        <x:f>IF(CaseLedger!$A449="","",IFERROR(CaseLedger!$Q449,""))</x:f>
      </x:c>
      <x:c r="J449" s="52" t="str">
        <x:f>IF(CaseLedger!$A449="","",IFERROR(CaseLedger!$R449,""))</x:f>
      </x:c>
      <x:c r="K449" s="52" t="str">
        <x:f>IF(CaseLedger!$A449="","",IFERROR(CaseLedger!$S449,""))</x:f>
      </x:c>
      <x:c r="L449" s="52" t="str">
        <x:f>IF(CaseLedger!$A449="","",IFERROR(CaseLedger!$T449,""))</x:f>
      </x:c>
      <x:c r="M449" s="52" t="str">
        <x:f>IF(CaseLedger!$A449="","",IFERROR(CaseLedger!$U449,""))</x:f>
      </x:c>
      <x:c r="N449" s="52" t="str">
        <x:f>IF(CaseLedger!$A449="","",IFERROR(CaseLedger!$V449,""))</x:f>
      </x:c>
      <x:c r="O449" s="52" t="str">
        <x:f>IF(CaseLedger!$A449="","",IFERROR(CaseLedger!$W449,""))</x:f>
      </x:c>
      <x:c r="P449" s="52" t="str">
        <x:f>IF(CaseLedger!$A449="","",IFERROR(CaseLedger!$C449,""))</x:f>
      </x:c>
      <x:c r="Q449" s="52" t="str">
        <x:f>IF(CaseLedger!$A449="","",IFERROR(CaseLedger!$D449,""))</x:f>
      </x:c>
      <x:c r="R449" s="52" t="str">
        <x:f>IF(CaseLedger!$A449="","",IFERROR(CaseLedger!$X449,""))</x:f>
      </x:c>
      <x:c r="S449" s="52" t="str">
        <x:f>IF(CaseLedger!$A449="","",IFERROR(CaseLedger!$Y449,""))</x:f>
      </x:c>
      <x:c r="T449" s="52" t="str">
        <x:f>IF(CaseLedger!$A449="","",IFERROR(CaseLedger!$Z449,""))</x:f>
      </x:c>
      <x:c r="U449" s="52" t="str">
        <x:f>IF(CaseLedger!$A449="","",IFERROR(CaseLedger!$AA449,""))</x:f>
      </x:c>
      <x:c r="V449" s="52" t="str">
        <x:f>IF(CaseLedger!$A449="","",IFERROR(CaseLedger!$AB449,""))</x:f>
      </x:c>
      <x:c r="W449" s="52" t="str">
        <x:f>IF(CaseLedger!$A449="","",IFERROR(CaseLedger!$AC449,""))</x:f>
      </x:c>
      <x:c r="X449" s="52" t="str">
        <x:f>IF(CaseLedger!$A449="","",IFERROR(CaseLedger!$AD449,""))</x:f>
      </x:c>
      <x:c r="Y449" s="52" t="str">
        <x:f>IF(CaseLedger!$A449="","",IFERROR(CaseLedger!$AE449,""))</x:f>
      </x:c>
      <x:c r="Z449" s="52" t="str">
        <x:f>IF(CaseLedger!$A449="","",IFERROR(CaseLedger!$AF449,""))</x:f>
      </x:c>
      <x:c r="AA449" s="52" t="str">
        <x:f>IF(CaseLedger!$A449="","",IFERROR(CaseLedger!$AG449,""))</x:f>
      </x:c>
      <x:c r="AB449" s="52" t="str">
        <x:f>IF(CaseLedger!$A449="","",IFERROR(CaseLedger!$AH449,""))</x:f>
      </x:c>
      <x:c r="AC449"/>
    </x:row>
    <x:row r="450">
      <x:c r="A450" s="52" t="str">
        <x:f>IF(CaseLedger!$A450="","",IFERROR(CaseLedger!$A450,""))</x:f>
      </x:c>
      <x:c r="B450" s="52" t="str">
        <x:f>IF(CaseLedger!$A450="","",IFERROR(CaseLedger!$H450,""))</x:f>
      </x:c>
      <x:c r="C450" s="52" t="str">
        <x:f>IF(CaseLedger!$A450="","",IFERROR(CaseLedger!$I450,""))</x:f>
      </x:c>
      <x:c r="D450" s="52" t="str">
        <x:f>IF(CaseLedger!$A450="","",IFERROR(CaseLedger!$J450,""))</x:f>
      </x:c>
      <x:c r="E450" s="52" t="str">
        <x:f>IF(CaseLedger!$A450="","",IFERROR(CaseLedger!$K450,""))</x:f>
      </x:c>
      <x:c r="F450" s="52" t="str">
        <x:f>IF(CaseLedger!$A450="","",IFERROR(CaseLedger!$O450,""))</x:f>
      </x:c>
      <x:c r="G450" s="52" t="str">
        <x:f>IF(CaseLedger!$A450="","",IFERROR(CaseLedger!$E450,""))</x:f>
      </x:c>
      <x:c r="H450" s="52" t="str">
        <x:f>IF(CaseLedger!$A450="","",IFERROR(CaseLedger!$P450,""))</x:f>
      </x:c>
      <x:c r="I450" s="52" t="str">
        <x:f>IF(CaseLedger!$A450="","",IFERROR(CaseLedger!$Q450,""))</x:f>
      </x:c>
      <x:c r="J450" s="52" t="str">
        <x:f>IF(CaseLedger!$A450="","",IFERROR(CaseLedger!$R450,""))</x:f>
      </x:c>
      <x:c r="K450" s="52" t="str">
        <x:f>IF(CaseLedger!$A450="","",IFERROR(CaseLedger!$S450,""))</x:f>
      </x:c>
      <x:c r="L450" s="52" t="str">
        <x:f>IF(CaseLedger!$A450="","",IFERROR(CaseLedger!$T450,""))</x:f>
      </x:c>
      <x:c r="M450" s="52" t="str">
        <x:f>IF(CaseLedger!$A450="","",IFERROR(CaseLedger!$U450,""))</x:f>
      </x:c>
      <x:c r="N450" s="52" t="str">
        <x:f>IF(CaseLedger!$A450="","",IFERROR(CaseLedger!$V450,""))</x:f>
      </x:c>
      <x:c r="O450" s="52" t="str">
        <x:f>IF(CaseLedger!$A450="","",IFERROR(CaseLedger!$W450,""))</x:f>
      </x:c>
      <x:c r="P450" s="52" t="str">
        <x:f>IF(CaseLedger!$A450="","",IFERROR(CaseLedger!$C450,""))</x:f>
      </x:c>
      <x:c r="Q450" s="52" t="str">
        <x:f>IF(CaseLedger!$A450="","",IFERROR(CaseLedger!$D450,""))</x:f>
      </x:c>
      <x:c r="R450" s="52" t="str">
        <x:f>IF(CaseLedger!$A450="","",IFERROR(CaseLedger!$X450,""))</x:f>
      </x:c>
      <x:c r="S450" s="52" t="str">
        <x:f>IF(CaseLedger!$A450="","",IFERROR(CaseLedger!$Y450,""))</x:f>
      </x:c>
      <x:c r="T450" s="52" t="str">
        <x:f>IF(CaseLedger!$A450="","",IFERROR(CaseLedger!$Z450,""))</x:f>
      </x:c>
      <x:c r="U450" s="52" t="str">
        <x:f>IF(CaseLedger!$A450="","",IFERROR(CaseLedger!$AA450,""))</x:f>
      </x:c>
      <x:c r="V450" s="52" t="str">
        <x:f>IF(CaseLedger!$A450="","",IFERROR(CaseLedger!$AB450,""))</x:f>
      </x:c>
      <x:c r="W450" s="52" t="str">
        <x:f>IF(CaseLedger!$A450="","",IFERROR(CaseLedger!$AC450,""))</x:f>
      </x:c>
      <x:c r="X450" s="52" t="str">
        <x:f>IF(CaseLedger!$A450="","",IFERROR(CaseLedger!$AD450,""))</x:f>
      </x:c>
      <x:c r="Y450" s="52" t="str">
        <x:f>IF(CaseLedger!$A450="","",IFERROR(CaseLedger!$AE450,""))</x:f>
      </x:c>
      <x:c r="Z450" s="52" t="str">
        <x:f>IF(CaseLedger!$A450="","",IFERROR(CaseLedger!$AF450,""))</x:f>
      </x:c>
      <x:c r="AA450" s="52" t="str">
        <x:f>IF(CaseLedger!$A450="","",IFERROR(CaseLedger!$AG450,""))</x:f>
      </x:c>
      <x:c r="AB450" s="52" t="str">
        <x:f>IF(CaseLedger!$A450="","",IFERROR(CaseLedger!$AH450,""))</x:f>
      </x:c>
      <x:c r="AC450"/>
    </x:row>
    <x:row r="451">
      <x:c r="A451" s="52" t="str">
        <x:f>IF(CaseLedger!$A451="","",IFERROR(CaseLedger!$A451,""))</x:f>
      </x:c>
      <x:c r="B451" s="52" t="str">
        <x:f>IF(CaseLedger!$A451="","",IFERROR(CaseLedger!$H451,""))</x:f>
      </x:c>
      <x:c r="C451" s="52" t="str">
        <x:f>IF(CaseLedger!$A451="","",IFERROR(CaseLedger!$I451,""))</x:f>
      </x:c>
      <x:c r="D451" s="52" t="str">
        <x:f>IF(CaseLedger!$A451="","",IFERROR(CaseLedger!$J451,""))</x:f>
      </x:c>
      <x:c r="E451" s="52" t="str">
        <x:f>IF(CaseLedger!$A451="","",IFERROR(CaseLedger!$K451,""))</x:f>
      </x:c>
      <x:c r="F451" s="52" t="str">
        <x:f>IF(CaseLedger!$A451="","",IFERROR(CaseLedger!$O451,""))</x:f>
      </x:c>
      <x:c r="G451" s="52" t="str">
        <x:f>IF(CaseLedger!$A451="","",IFERROR(CaseLedger!$E451,""))</x:f>
      </x:c>
      <x:c r="H451" s="52" t="str">
        <x:f>IF(CaseLedger!$A451="","",IFERROR(CaseLedger!$P451,""))</x:f>
      </x:c>
      <x:c r="I451" s="52" t="str">
        <x:f>IF(CaseLedger!$A451="","",IFERROR(CaseLedger!$Q451,""))</x:f>
      </x:c>
      <x:c r="J451" s="52" t="str">
        <x:f>IF(CaseLedger!$A451="","",IFERROR(CaseLedger!$R451,""))</x:f>
      </x:c>
      <x:c r="K451" s="52" t="str">
        <x:f>IF(CaseLedger!$A451="","",IFERROR(CaseLedger!$S451,""))</x:f>
      </x:c>
      <x:c r="L451" s="52" t="str">
        <x:f>IF(CaseLedger!$A451="","",IFERROR(CaseLedger!$T451,""))</x:f>
      </x:c>
      <x:c r="M451" s="52" t="str">
        <x:f>IF(CaseLedger!$A451="","",IFERROR(CaseLedger!$U451,""))</x:f>
      </x:c>
      <x:c r="N451" s="52" t="str">
        <x:f>IF(CaseLedger!$A451="","",IFERROR(CaseLedger!$V451,""))</x:f>
      </x:c>
      <x:c r="O451" s="52" t="str">
        <x:f>IF(CaseLedger!$A451="","",IFERROR(CaseLedger!$W451,""))</x:f>
      </x:c>
      <x:c r="P451" s="52" t="str">
        <x:f>IF(CaseLedger!$A451="","",IFERROR(CaseLedger!$C451,""))</x:f>
      </x:c>
      <x:c r="Q451" s="52" t="str">
        <x:f>IF(CaseLedger!$A451="","",IFERROR(CaseLedger!$D451,""))</x:f>
      </x:c>
      <x:c r="R451" s="52" t="str">
        <x:f>IF(CaseLedger!$A451="","",IFERROR(CaseLedger!$X451,""))</x:f>
      </x:c>
      <x:c r="S451" s="52" t="str">
        <x:f>IF(CaseLedger!$A451="","",IFERROR(CaseLedger!$Y451,""))</x:f>
      </x:c>
      <x:c r="T451" s="52" t="str">
        <x:f>IF(CaseLedger!$A451="","",IFERROR(CaseLedger!$Z451,""))</x:f>
      </x:c>
      <x:c r="U451" s="52" t="str">
        <x:f>IF(CaseLedger!$A451="","",IFERROR(CaseLedger!$AA451,""))</x:f>
      </x:c>
      <x:c r="V451" s="52" t="str">
        <x:f>IF(CaseLedger!$A451="","",IFERROR(CaseLedger!$AB451,""))</x:f>
      </x:c>
      <x:c r="W451" s="52" t="str">
        <x:f>IF(CaseLedger!$A451="","",IFERROR(CaseLedger!$AC451,""))</x:f>
      </x:c>
      <x:c r="X451" s="52" t="str">
        <x:f>IF(CaseLedger!$A451="","",IFERROR(CaseLedger!$AD451,""))</x:f>
      </x:c>
      <x:c r="Y451" s="52" t="str">
        <x:f>IF(CaseLedger!$A451="","",IFERROR(CaseLedger!$AE451,""))</x:f>
      </x:c>
      <x:c r="Z451" s="52" t="str">
        <x:f>IF(CaseLedger!$A451="","",IFERROR(CaseLedger!$AF451,""))</x:f>
      </x:c>
      <x:c r="AA451" s="52" t="str">
        <x:f>IF(CaseLedger!$A451="","",IFERROR(CaseLedger!$AG451,""))</x:f>
      </x:c>
      <x:c r="AB451" s="52" t="str">
        <x:f>IF(CaseLedger!$A451="","",IFERROR(CaseLedger!$AH451,""))</x:f>
      </x:c>
      <x:c r="AC451"/>
    </x:row>
    <x:row r="452">
      <x:c r="A452" s="52" t="str">
        <x:f>IF(CaseLedger!$A452="","",IFERROR(CaseLedger!$A452,""))</x:f>
      </x:c>
      <x:c r="B452" s="52" t="str">
        <x:f>IF(CaseLedger!$A452="","",IFERROR(CaseLedger!$H452,""))</x:f>
      </x:c>
      <x:c r="C452" s="52" t="str">
        <x:f>IF(CaseLedger!$A452="","",IFERROR(CaseLedger!$I452,""))</x:f>
      </x:c>
      <x:c r="D452" s="52" t="str">
        <x:f>IF(CaseLedger!$A452="","",IFERROR(CaseLedger!$J452,""))</x:f>
      </x:c>
      <x:c r="E452" s="52" t="str">
        <x:f>IF(CaseLedger!$A452="","",IFERROR(CaseLedger!$K452,""))</x:f>
      </x:c>
      <x:c r="F452" s="52" t="str">
        <x:f>IF(CaseLedger!$A452="","",IFERROR(CaseLedger!$O452,""))</x:f>
      </x:c>
      <x:c r="G452" s="52" t="str">
        <x:f>IF(CaseLedger!$A452="","",IFERROR(CaseLedger!$E452,""))</x:f>
      </x:c>
      <x:c r="H452" s="52" t="str">
        <x:f>IF(CaseLedger!$A452="","",IFERROR(CaseLedger!$P452,""))</x:f>
      </x:c>
      <x:c r="I452" s="52" t="str">
        <x:f>IF(CaseLedger!$A452="","",IFERROR(CaseLedger!$Q452,""))</x:f>
      </x:c>
      <x:c r="J452" s="52" t="str">
        <x:f>IF(CaseLedger!$A452="","",IFERROR(CaseLedger!$R452,""))</x:f>
      </x:c>
      <x:c r="K452" s="52" t="str">
        <x:f>IF(CaseLedger!$A452="","",IFERROR(CaseLedger!$S452,""))</x:f>
      </x:c>
      <x:c r="L452" s="52" t="str">
        <x:f>IF(CaseLedger!$A452="","",IFERROR(CaseLedger!$T452,""))</x:f>
      </x:c>
      <x:c r="M452" s="52" t="str">
        <x:f>IF(CaseLedger!$A452="","",IFERROR(CaseLedger!$U452,""))</x:f>
      </x:c>
      <x:c r="N452" s="52" t="str">
        <x:f>IF(CaseLedger!$A452="","",IFERROR(CaseLedger!$V452,""))</x:f>
      </x:c>
      <x:c r="O452" s="52" t="str">
        <x:f>IF(CaseLedger!$A452="","",IFERROR(CaseLedger!$W452,""))</x:f>
      </x:c>
      <x:c r="P452" s="52" t="str">
        <x:f>IF(CaseLedger!$A452="","",IFERROR(CaseLedger!$C452,""))</x:f>
      </x:c>
      <x:c r="Q452" s="52" t="str">
        <x:f>IF(CaseLedger!$A452="","",IFERROR(CaseLedger!$D452,""))</x:f>
      </x:c>
      <x:c r="R452" s="52" t="str">
        <x:f>IF(CaseLedger!$A452="","",IFERROR(CaseLedger!$X452,""))</x:f>
      </x:c>
      <x:c r="S452" s="52" t="str">
        <x:f>IF(CaseLedger!$A452="","",IFERROR(CaseLedger!$Y452,""))</x:f>
      </x:c>
      <x:c r="T452" s="52" t="str">
        <x:f>IF(CaseLedger!$A452="","",IFERROR(CaseLedger!$Z452,""))</x:f>
      </x:c>
      <x:c r="U452" s="52" t="str">
        <x:f>IF(CaseLedger!$A452="","",IFERROR(CaseLedger!$AA452,""))</x:f>
      </x:c>
      <x:c r="V452" s="52" t="str">
        <x:f>IF(CaseLedger!$A452="","",IFERROR(CaseLedger!$AB452,""))</x:f>
      </x:c>
      <x:c r="W452" s="52" t="str">
        <x:f>IF(CaseLedger!$A452="","",IFERROR(CaseLedger!$AC452,""))</x:f>
      </x:c>
      <x:c r="X452" s="52" t="str">
        <x:f>IF(CaseLedger!$A452="","",IFERROR(CaseLedger!$AD452,""))</x:f>
      </x:c>
      <x:c r="Y452" s="52" t="str">
        <x:f>IF(CaseLedger!$A452="","",IFERROR(CaseLedger!$AE452,""))</x:f>
      </x:c>
      <x:c r="Z452" s="52" t="str">
        <x:f>IF(CaseLedger!$A452="","",IFERROR(CaseLedger!$AF452,""))</x:f>
      </x:c>
      <x:c r="AA452" s="52" t="str">
        <x:f>IF(CaseLedger!$A452="","",IFERROR(CaseLedger!$AG452,""))</x:f>
      </x:c>
      <x:c r="AB452" s="52" t="str">
        <x:f>IF(CaseLedger!$A452="","",IFERROR(CaseLedger!$AH452,""))</x:f>
      </x:c>
      <x:c r="AC452"/>
    </x:row>
    <x:row r="453">
      <x:c r="A453" s="52" t="str">
        <x:f>IF(CaseLedger!$A453="","",IFERROR(CaseLedger!$A453,""))</x:f>
      </x:c>
      <x:c r="B453" s="52" t="str">
        <x:f>IF(CaseLedger!$A453="","",IFERROR(CaseLedger!$H453,""))</x:f>
      </x:c>
      <x:c r="C453" s="52" t="str">
        <x:f>IF(CaseLedger!$A453="","",IFERROR(CaseLedger!$I453,""))</x:f>
      </x:c>
      <x:c r="D453" s="52" t="str">
        <x:f>IF(CaseLedger!$A453="","",IFERROR(CaseLedger!$J453,""))</x:f>
      </x:c>
      <x:c r="E453" s="52" t="str">
        <x:f>IF(CaseLedger!$A453="","",IFERROR(CaseLedger!$K453,""))</x:f>
      </x:c>
      <x:c r="F453" s="52" t="str">
        <x:f>IF(CaseLedger!$A453="","",IFERROR(CaseLedger!$O453,""))</x:f>
      </x:c>
      <x:c r="G453" s="52" t="str">
        <x:f>IF(CaseLedger!$A453="","",IFERROR(CaseLedger!$E453,""))</x:f>
      </x:c>
      <x:c r="H453" s="52" t="str">
        <x:f>IF(CaseLedger!$A453="","",IFERROR(CaseLedger!$P453,""))</x:f>
      </x:c>
      <x:c r="I453" s="52" t="str">
        <x:f>IF(CaseLedger!$A453="","",IFERROR(CaseLedger!$Q453,""))</x:f>
      </x:c>
      <x:c r="J453" s="52" t="str">
        <x:f>IF(CaseLedger!$A453="","",IFERROR(CaseLedger!$R453,""))</x:f>
      </x:c>
      <x:c r="K453" s="52" t="str">
        <x:f>IF(CaseLedger!$A453="","",IFERROR(CaseLedger!$S453,""))</x:f>
      </x:c>
      <x:c r="L453" s="52" t="str">
        <x:f>IF(CaseLedger!$A453="","",IFERROR(CaseLedger!$T453,""))</x:f>
      </x:c>
      <x:c r="M453" s="52" t="str">
        <x:f>IF(CaseLedger!$A453="","",IFERROR(CaseLedger!$U453,""))</x:f>
      </x:c>
      <x:c r="N453" s="52" t="str">
        <x:f>IF(CaseLedger!$A453="","",IFERROR(CaseLedger!$V453,""))</x:f>
      </x:c>
      <x:c r="O453" s="52" t="str">
        <x:f>IF(CaseLedger!$A453="","",IFERROR(CaseLedger!$W453,""))</x:f>
      </x:c>
      <x:c r="P453" s="52" t="str">
        <x:f>IF(CaseLedger!$A453="","",IFERROR(CaseLedger!$C453,""))</x:f>
      </x:c>
      <x:c r="Q453" s="52" t="str">
        <x:f>IF(CaseLedger!$A453="","",IFERROR(CaseLedger!$D453,""))</x:f>
      </x:c>
      <x:c r="R453" s="52" t="str">
        <x:f>IF(CaseLedger!$A453="","",IFERROR(CaseLedger!$X453,""))</x:f>
      </x:c>
      <x:c r="S453" s="52" t="str">
        <x:f>IF(CaseLedger!$A453="","",IFERROR(CaseLedger!$Y453,""))</x:f>
      </x:c>
      <x:c r="T453" s="52" t="str">
        <x:f>IF(CaseLedger!$A453="","",IFERROR(CaseLedger!$Z453,""))</x:f>
      </x:c>
      <x:c r="U453" s="52" t="str">
        <x:f>IF(CaseLedger!$A453="","",IFERROR(CaseLedger!$AA453,""))</x:f>
      </x:c>
      <x:c r="V453" s="52" t="str">
        <x:f>IF(CaseLedger!$A453="","",IFERROR(CaseLedger!$AB453,""))</x:f>
      </x:c>
      <x:c r="W453" s="52" t="str">
        <x:f>IF(CaseLedger!$A453="","",IFERROR(CaseLedger!$AC453,""))</x:f>
      </x:c>
      <x:c r="X453" s="52" t="str">
        <x:f>IF(CaseLedger!$A453="","",IFERROR(CaseLedger!$AD453,""))</x:f>
      </x:c>
      <x:c r="Y453" s="52" t="str">
        <x:f>IF(CaseLedger!$A453="","",IFERROR(CaseLedger!$AE453,""))</x:f>
      </x:c>
      <x:c r="Z453" s="52" t="str">
        <x:f>IF(CaseLedger!$A453="","",IFERROR(CaseLedger!$AF453,""))</x:f>
      </x:c>
      <x:c r="AA453" s="52" t="str">
        <x:f>IF(CaseLedger!$A453="","",IFERROR(CaseLedger!$AG453,""))</x:f>
      </x:c>
      <x:c r="AB453" s="52" t="str">
        <x:f>IF(CaseLedger!$A453="","",IFERROR(CaseLedger!$AH453,""))</x:f>
      </x:c>
      <x:c r="AC453"/>
    </x:row>
    <x:row r="454">
      <x:c r="A454" s="52" t="str">
        <x:f>IF(CaseLedger!$A454="","",IFERROR(CaseLedger!$A454,""))</x:f>
      </x:c>
      <x:c r="B454" s="52" t="str">
        <x:f>IF(CaseLedger!$A454="","",IFERROR(CaseLedger!$H454,""))</x:f>
      </x:c>
      <x:c r="C454" s="52" t="str">
        <x:f>IF(CaseLedger!$A454="","",IFERROR(CaseLedger!$I454,""))</x:f>
      </x:c>
      <x:c r="D454" s="52" t="str">
        <x:f>IF(CaseLedger!$A454="","",IFERROR(CaseLedger!$J454,""))</x:f>
      </x:c>
      <x:c r="E454" s="52" t="str">
        <x:f>IF(CaseLedger!$A454="","",IFERROR(CaseLedger!$K454,""))</x:f>
      </x:c>
      <x:c r="F454" s="52" t="str">
        <x:f>IF(CaseLedger!$A454="","",IFERROR(CaseLedger!$O454,""))</x:f>
      </x:c>
      <x:c r="G454" s="52" t="str">
        <x:f>IF(CaseLedger!$A454="","",IFERROR(CaseLedger!$E454,""))</x:f>
      </x:c>
      <x:c r="H454" s="52" t="str">
        <x:f>IF(CaseLedger!$A454="","",IFERROR(CaseLedger!$P454,""))</x:f>
      </x:c>
      <x:c r="I454" s="52" t="str">
        <x:f>IF(CaseLedger!$A454="","",IFERROR(CaseLedger!$Q454,""))</x:f>
      </x:c>
      <x:c r="J454" s="52" t="str">
        <x:f>IF(CaseLedger!$A454="","",IFERROR(CaseLedger!$R454,""))</x:f>
      </x:c>
      <x:c r="K454" s="52" t="str">
        <x:f>IF(CaseLedger!$A454="","",IFERROR(CaseLedger!$S454,""))</x:f>
      </x:c>
      <x:c r="L454" s="52" t="str">
        <x:f>IF(CaseLedger!$A454="","",IFERROR(CaseLedger!$T454,""))</x:f>
      </x:c>
      <x:c r="M454" s="52" t="str">
        <x:f>IF(CaseLedger!$A454="","",IFERROR(CaseLedger!$U454,""))</x:f>
      </x:c>
      <x:c r="N454" s="52" t="str">
        <x:f>IF(CaseLedger!$A454="","",IFERROR(CaseLedger!$V454,""))</x:f>
      </x:c>
      <x:c r="O454" s="52" t="str">
        <x:f>IF(CaseLedger!$A454="","",IFERROR(CaseLedger!$W454,""))</x:f>
      </x:c>
      <x:c r="P454" s="52" t="str">
        <x:f>IF(CaseLedger!$A454="","",IFERROR(CaseLedger!$C454,""))</x:f>
      </x:c>
      <x:c r="Q454" s="52" t="str">
        <x:f>IF(CaseLedger!$A454="","",IFERROR(CaseLedger!$D454,""))</x:f>
      </x:c>
      <x:c r="R454" s="52" t="str">
        <x:f>IF(CaseLedger!$A454="","",IFERROR(CaseLedger!$X454,""))</x:f>
      </x:c>
      <x:c r="S454" s="52" t="str">
        <x:f>IF(CaseLedger!$A454="","",IFERROR(CaseLedger!$Y454,""))</x:f>
      </x:c>
      <x:c r="T454" s="52" t="str">
        <x:f>IF(CaseLedger!$A454="","",IFERROR(CaseLedger!$Z454,""))</x:f>
      </x:c>
      <x:c r="U454" s="52" t="str">
        <x:f>IF(CaseLedger!$A454="","",IFERROR(CaseLedger!$AA454,""))</x:f>
      </x:c>
      <x:c r="V454" s="52" t="str">
        <x:f>IF(CaseLedger!$A454="","",IFERROR(CaseLedger!$AB454,""))</x:f>
      </x:c>
      <x:c r="W454" s="52" t="str">
        <x:f>IF(CaseLedger!$A454="","",IFERROR(CaseLedger!$AC454,""))</x:f>
      </x:c>
      <x:c r="X454" s="52" t="str">
        <x:f>IF(CaseLedger!$A454="","",IFERROR(CaseLedger!$AD454,""))</x:f>
      </x:c>
      <x:c r="Y454" s="52" t="str">
        <x:f>IF(CaseLedger!$A454="","",IFERROR(CaseLedger!$AE454,""))</x:f>
      </x:c>
      <x:c r="Z454" s="52" t="str">
        <x:f>IF(CaseLedger!$A454="","",IFERROR(CaseLedger!$AF454,""))</x:f>
      </x:c>
      <x:c r="AA454" s="52" t="str">
        <x:f>IF(CaseLedger!$A454="","",IFERROR(CaseLedger!$AG454,""))</x:f>
      </x:c>
      <x:c r="AB454" s="52" t="str">
        <x:f>IF(CaseLedger!$A454="","",IFERROR(CaseLedger!$AH454,""))</x:f>
      </x:c>
      <x:c r="AC454"/>
    </x:row>
    <x:row r="455">
      <x:c r="A455" s="52" t="str">
        <x:f>IF(CaseLedger!$A455="","",IFERROR(CaseLedger!$A455,""))</x:f>
      </x:c>
      <x:c r="B455" s="52" t="str">
        <x:f>IF(CaseLedger!$A455="","",IFERROR(CaseLedger!$H455,""))</x:f>
      </x:c>
      <x:c r="C455" s="52" t="str">
        <x:f>IF(CaseLedger!$A455="","",IFERROR(CaseLedger!$I455,""))</x:f>
      </x:c>
      <x:c r="D455" s="52" t="str">
        <x:f>IF(CaseLedger!$A455="","",IFERROR(CaseLedger!$J455,""))</x:f>
      </x:c>
      <x:c r="E455" s="52" t="str">
        <x:f>IF(CaseLedger!$A455="","",IFERROR(CaseLedger!$K455,""))</x:f>
      </x:c>
      <x:c r="F455" s="52" t="str">
        <x:f>IF(CaseLedger!$A455="","",IFERROR(CaseLedger!$O455,""))</x:f>
      </x:c>
      <x:c r="G455" s="52" t="str">
        <x:f>IF(CaseLedger!$A455="","",IFERROR(CaseLedger!$E455,""))</x:f>
      </x:c>
      <x:c r="H455" s="52" t="str">
        <x:f>IF(CaseLedger!$A455="","",IFERROR(CaseLedger!$P455,""))</x:f>
      </x:c>
      <x:c r="I455" s="52" t="str">
        <x:f>IF(CaseLedger!$A455="","",IFERROR(CaseLedger!$Q455,""))</x:f>
      </x:c>
      <x:c r="J455" s="52" t="str">
        <x:f>IF(CaseLedger!$A455="","",IFERROR(CaseLedger!$R455,""))</x:f>
      </x:c>
      <x:c r="K455" s="52" t="str">
        <x:f>IF(CaseLedger!$A455="","",IFERROR(CaseLedger!$S455,""))</x:f>
      </x:c>
      <x:c r="L455" s="52" t="str">
        <x:f>IF(CaseLedger!$A455="","",IFERROR(CaseLedger!$T455,""))</x:f>
      </x:c>
      <x:c r="M455" s="52" t="str">
        <x:f>IF(CaseLedger!$A455="","",IFERROR(CaseLedger!$U455,""))</x:f>
      </x:c>
      <x:c r="N455" s="52" t="str">
        <x:f>IF(CaseLedger!$A455="","",IFERROR(CaseLedger!$V455,""))</x:f>
      </x:c>
      <x:c r="O455" s="52" t="str">
        <x:f>IF(CaseLedger!$A455="","",IFERROR(CaseLedger!$W455,""))</x:f>
      </x:c>
      <x:c r="P455" s="52" t="str">
        <x:f>IF(CaseLedger!$A455="","",IFERROR(CaseLedger!$C455,""))</x:f>
      </x:c>
      <x:c r="Q455" s="52" t="str">
        <x:f>IF(CaseLedger!$A455="","",IFERROR(CaseLedger!$D455,""))</x:f>
      </x:c>
      <x:c r="R455" s="52" t="str">
        <x:f>IF(CaseLedger!$A455="","",IFERROR(CaseLedger!$X455,""))</x:f>
      </x:c>
      <x:c r="S455" s="52" t="str">
        <x:f>IF(CaseLedger!$A455="","",IFERROR(CaseLedger!$Y455,""))</x:f>
      </x:c>
      <x:c r="T455" s="52" t="str">
        <x:f>IF(CaseLedger!$A455="","",IFERROR(CaseLedger!$Z455,""))</x:f>
      </x:c>
      <x:c r="U455" s="52" t="str">
        <x:f>IF(CaseLedger!$A455="","",IFERROR(CaseLedger!$AA455,""))</x:f>
      </x:c>
      <x:c r="V455" s="52" t="str">
        <x:f>IF(CaseLedger!$A455="","",IFERROR(CaseLedger!$AB455,""))</x:f>
      </x:c>
      <x:c r="W455" s="52" t="str">
        <x:f>IF(CaseLedger!$A455="","",IFERROR(CaseLedger!$AC455,""))</x:f>
      </x:c>
      <x:c r="X455" s="52" t="str">
        <x:f>IF(CaseLedger!$A455="","",IFERROR(CaseLedger!$AD455,""))</x:f>
      </x:c>
      <x:c r="Y455" s="52" t="str">
        <x:f>IF(CaseLedger!$A455="","",IFERROR(CaseLedger!$AE455,""))</x:f>
      </x:c>
      <x:c r="Z455" s="52" t="str">
        <x:f>IF(CaseLedger!$A455="","",IFERROR(CaseLedger!$AF455,""))</x:f>
      </x:c>
      <x:c r="AA455" s="52" t="str">
        <x:f>IF(CaseLedger!$A455="","",IFERROR(CaseLedger!$AG455,""))</x:f>
      </x:c>
      <x:c r="AB455" s="52" t="str">
        <x:f>IF(CaseLedger!$A455="","",IFERROR(CaseLedger!$AH455,""))</x:f>
      </x:c>
      <x:c r="AC455"/>
    </x:row>
    <x:row r="456">
      <x:c r="A456" s="52" t="str">
        <x:f>IF(CaseLedger!$A456="","",IFERROR(CaseLedger!$A456,""))</x:f>
      </x:c>
      <x:c r="B456" s="52" t="str">
        <x:f>IF(CaseLedger!$A456="","",IFERROR(CaseLedger!$H456,""))</x:f>
      </x:c>
      <x:c r="C456" s="52" t="str">
        <x:f>IF(CaseLedger!$A456="","",IFERROR(CaseLedger!$I456,""))</x:f>
      </x:c>
      <x:c r="D456" s="52" t="str">
        <x:f>IF(CaseLedger!$A456="","",IFERROR(CaseLedger!$J456,""))</x:f>
      </x:c>
      <x:c r="E456" s="52" t="str">
        <x:f>IF(CaseLedger!$A456="","",IFERROR(CaseLedger!$K456,""))</x:f>
      </x:c>
      <x:c r="F456" s="52" t="str">
        <x:f>IF(CaseLedger!$A456="","",IFERROR(CaseLedger!$O456,""))</x:f>
      </x:c>
      <x:c r="G456" s="52" t="str">
        <x:f>IF(CaseLedger!$A456="","",IFERROR(CaseLedger!$E456,""))</x:f>
      </x:c>
      <x:c r="H456" s="52" t="str">
        <x:f>IF(CaseLedger!$A456="","",IFERROR(CaseLedger!$P456,""))</x:f>
      </x:c>
      <x:c r="I456" s="52" t="str">
        <x:f>IF(CaseLedger!$A456="","",IFERROR(CaseLedger!$Q456,""))</x:f>
      </x:c>
      <x:c r="J456" s="52" t="str">
        <x:f>IF(CaseLedger!$A456="","",IFERROR(CaseLedger!$R456,""))</x:f>
      </x:c>
      <x:c r="K456" s="52" t="str">
        <x:f>IF(CaseLedger!$A456="","",IFERROR(CaseLedger!$S456,""))</x:f>
      </x:c>
      <x:c r="L456" s="52" t="str">
        <x:f>IF(CaseLedger!$A456="","",IFERROR(CaseLedger!$T456,""))</x:f>
      </x:c>
      <x:c r="M456" s="52" t="str">
        <x:f>IF(CaseLedger!$A456="","",IFERROR(CaseLedger!$U456,""))</x:f>
      </x:c>
      <x:c r="N456" s="52" t="str">
        <x:f>IF(CaseLedger!$A456="","",IFERROR(CaseLedger!$V456,""))</x:f>
      </x:c>
      <x:c r="O456" s="52" t="str">
        <x:f>IF(CaseLedger!$A456="","",IFERROR(CaseLedger!$W456,""))</x:f>
      </x:c>
      <x:c r="P456" s="52" t="str">
        <x:f>IF(CaseLedger!$A456="","",IFERROR(CaseLedger!$C456,""))</x:f>
      </x:c>
      <x:c r="Q456" s="52" t="str">
        <x:f>IF(CaseLedger!$A456="","",IFERROR(CaseLedger!$D456,""))</x:f>
      </x:c>
      <x:c r="R456" s="52" t="str">
        <x:f>IF(CaseLedger!$A456="","",IFERROR(CaseLedger!$X456,""))</x:f>
      </x:c>
      <x:c r="S456" s="52" t="str">
        <x:f>IF(CaseLedger!$A456="","",IFERROR(CaseLedger!$Y456,""))</x:f>
      </x:c>
      <x:c r="T456" s="52" t="str">
        <x:f>IF(CaseLedger!$A456="","",IFERROR(CaseLedger!$Z456,""))</x:f>
      </x:c>
      <x:c r="U456" s="52" t="str">
        <x:f>IF(CaseLedger!$A456="","",IFERROR(CaseLedger!$AA456,""))</x:f>
      </x:c>
      <x:c r="V456" s="52" t="str">
        <x:f>IF(CaseLedger!$A456="","",IFERROR(CaseLedger!$AB456,""))</x:f>
      </x:c>
      <x:c r="W456" s="52" t="str">
        <x:f>IF(CaseLedger!$A456="","",IFERROR(CaseLedger!$AC456,""))</x:f>
      </x:c>
      <x:c r="X456" s="52" t="str">
        <x:f>IF(CaseLedger!$A456="","",IFERROR(CaseLedger!$AD456,""))</x:f>
      </x:c>
      <x:c r="Y456" s="52" t="str">
        <x:f>IF(CaseLedger!$A456="","",IFERROR(CaseLedger!$AE456,""))</x:f>
      </x:c>
      <x:c r="Z456" s="52" t="str">
        <x:f>IF(CaseLedger!$A456="","",IFERROR(CaseLedger!$AF456,""))</x:f>
      </x:c>
      <x:c r="AA456" s="52" t="str">
        <x:f>IF(CaseLedger!$A456="","",IFERROR(CaseLedger!$AG456,""))</x:f>
      </x:c>
      <x:c r="AB456" s="52" t="str">
        <x:f>IF(CaseLedger!$A456="","",IFERROR(CaseLedger!$AH456,""))</x:f>
      </x:c>
      <x:c r="AC456"/>
    </x:row>
    <x:row r="457">
      <x:c r="A457" s="52" t="str">
        <x:f>IF(CaseLedger!$A457="","",IFERROR(CaseLedger!$A457,""))</x:f>
      </x:c>
      <x:c r="B457" s="52" t="str">
        <x:f>IF(CaseLedger!$A457="","",IFERROR(CaseLedger!$H457,""))</x:f>
      </x:c>
      <x:c r="C457" s="52" t="str">
        <x:f>IF(CaseLedger!$A457="","",IFERROR(CaseLedger!$I457,""))</x:f>
      </x:c>
      <x:c r="D457" s="52" t="str">
        <x:f>IF(CaseLedger!$A457="","",IFERROR(CaseLedger!$J457,""))</x:f>
      </x:c>
      <x:c r="E457" s="52" t="str">
        <x:f>IF(CaseLedger!$A457="","",IFERROR(CaseLedger!$K457,""))</x:f>
      </x:c>
      <x:c r="F457" s="52" t="str">
        <x:f>IF(CaseLedger!$A457="","",IFERROR(CaseLedger!$O457,""))</x:f>
      </x:c>
      <x:c r="G457" s="52" t="str">
        <x:f>IF(CaseLedger!$A457="","",IFERROR(CaseLedger!$E457,""))</x:f>
      </x:c>
      <x:c r="H457" s="52" t="str">
        <x:f>IF(CaseLedger!$A457="","",IFERROR(CaseLedger!$P457,""))</x:f>
      </x:c>
      <x:c r="I457" s="52" t="str">
        <x:f>IF(CaseLedger!$A457="","",IFERROR(CaseLedger!$Q457,""))</x:f>
      </x:c>
      <x:c r="J457" s="52" t="str">
        <x:f>IF(CaseLedger!$A457="","",IFERROR(CaseLedger!$R457,""))</x:f>
      </x:c>
      <x:c r="K457" s="52" t="str">
        <x:f>IF(CaseLedger!$A457="","",IFERROR(CaseLedger!$S457,""))</x:f>
      </x:c>
      <x:c r="L457" s="52" t="str">
        <x:f>IF(CaseLedger!$A457="","",IFERROR(CaseLedger!$T457,""))</x:f>
      </x:c>
      <x:c r="M457" s="52" t="str">
        <x:f>IF(CaseLedger!$A457="","",IFERROR(CaseLedger!$U457,""))</x:f>
      </x:c>
      <x:c r="N457" s="52" t="str">
        <x:f>IF(CaseLedger!$A457="","",IFERROR(CaseLedger!$V457,""))</x:f>
      </x:c>
      <x:c r="O457" s="52" t="str">
        <x:f>IF(CaseLedger!$A457="","",IFERROR(CaseLedger!$W457,""))</x:f>
      </x:c>
      <x:c r="P457" s="52" t="str">
        <x:f>IF(CaseLedger!$A457="","",IFERROR(CaseLedger!$C457,""))</x:f>
      </x:c>
      <x:c r="Q457" s="52" t="str">
        <x:f>IF(CaseLedger!$A457="","",IFERROR(CaseLedger!$D457,""))</x:f>
      </x:c>
      <x:c r="R457" s="52" t="str">
        <x:f>IF(CaseLedger!$A457="","",IFERROR(CaseLedger!$X457,""))</x:f>
      </x:c>
      <x:c r="S457" s="52" t="str">
        <x:f>IF(CaseLedger!$A457="","",IFERROR(CaseLedger!$Y457,""))</x:f>
      </x:c>
      <x:c r="T457" s="52" t="str">
        <x:f>IF(CaseLedger!$A457="","",IFERROR(CaseLedger!$Z457,""))</x:f>
      </x:c>
      <x:c r="U457" s="52" t="str">
        <x:f>IF(CaseLedger!$A457="","",IFERROR(CaseLedger!$AA457,""))</x:f>
      </x:c>
      <x:c r="V457" s="52" t="str">
        <x:f>IF(CaseLedger!$A457="","",IFERROR(CaseLedger!$AB457,""))</x:f>
      </x:c>
      <x:c r="W457" s="52" t="str">
        <x:f>IF(CaseLedger!$A457="","",IFERROR(CaseLedger!$AC457,""))</x:f>
      </x:c>
      <x:c r="X457" s="52" t="str">
        <x:f>IF(CaseLedger!$A457="","",IFERROR(CaseLedger!$AD457,""))</x:f>
      </x:c>
      <x:c r="Y457" s="52" t="str">
        <x:f>IF(CaseLedger!$A457="","",IFERROR(CaseLedger!$AE457,""))</x:f>
      </x:c>
      <x:c r="Z457" s="52" t="str">
        <x:f>IF(CaseLedger!$A457="","",IFERROR(CaseLedger!$AF457,""))</x:f>
      </x:c>
      <x:c r="AA457" s="52" t="str">
        <x:f>IF(CaseLedger!$A457="","",IFERROR(CaseLedger!$AG457,""))</x:f>
      </x:c>
      <x:c r="AB457" s="52" t="str">
        <x:f>IF(CaseLedger!$A457="","",IFERROR(CaseLedger!$AH457,""))</x:f>
      </x:c>
      <x:c r="AC457"/>
    </x:row>
    <x:row r="458">
      <x:c r="A458" s="52" t="str">
        <x:f>IF(CaseLedger!$A458="","",IFERROR(CaseLedger!$A458,""))</x:f>
      </x:c>
      <x:c r="B458" s="52" t="str">
        <x:f>IF(CaseLedger!$A458="","",IFERROR(CaseLedger!$H458,""))</x:f>
      </x:c>
      <x:c r="C458" s="52" t="str">
        <x:f>IF(CaseLedger!$A458="","",IFERROR(CaseLedger!$I458,""))</x:f>
      </x:c>
      <x:c r="D458" s="52" t="str">
        <x:f>IF(CaseLedger!$A458="","",IFERROR(CaseLedger!$J458,""))</x:f>
      </x:c>
      <x:c r="E458" s="52" t="str">
        <x:f>IF(CaseLedger!$A458="","",IFERROR(CaseLedger!$K458,""))</x:f>
      </x:c>
      <x:c r="F458" s="52" t="str">
        <x:f>IF(CaseLedger!$A458="","",IFERROR(CaseLedger!$O458,""))</x:f>
      </x:c>
      <x:c r="G458" s="52" t="str">
        <x:f>IF(CaseLedger!$A458="","",IFERROR(CaseLedger!$E458,""))</x:f>
      </x:c>
      <x:c r="H458" s="52" t="str">
        <x:f>IF(CaseLedger!$A458="","",IFERROR(CaseLedger!$P458,""))</x:f>
      </x:c>
      <x:c r="I458" s="52" t="str">
        <x:f>IF(CaseLedger!$A458="","",IFERROR(CaseLedger!$Q458,""))</x:f>
      </x:c>
      <x:c r="J458" s="52" t="str">
        <x:f>IF(CaseLedger!$A458="","",IFERROR(CaseLedger!$R458,""))</x:f>
      </x:c>
      <x:c r="K458" s="52" t="str">
        <x:f>IF(CaseLedger!$A458="","",IFERROR(CaseLedger!$S458,""))</x:f>
      </x:c>
      <x:c r="L458" s="52" t="str">
        <x:f>IF(CaseLedger!$A458="","",IFERROR(CaseLedger!$T458,""))</x:f>
      </x:c>
      <x:c r="M458" s="52" t="str">
        <x:f>IF(CaseLedger!$A458="","",IFERROR(CaseLedger!$U458,""))</x:f>
      </x:c>
      <x:c r="N458" s="52" t="str">
        <x:f>IF(CaseLedger!$A458="","",IFERROR(CaseLedger!$V458,""))</x:f>
      </x:c>
      <x:c r="O458" s="52" t="str">
        <x:f>IF(CaseLedger!$A458="","",IFERROR(CaseLedger!$W458,""))</x:f>
      </x:c>
      <x:c r="P458" s="52" t="str">
        <x:f>IF(CaseLedger!$A458="","",IFERROR(CaseLedger!$C458,""))</x:f>
      </x:c>
      <x:c r="Q458" s="52" t="str">
        <x:f>IF(CaseLedger!$A458="","",IFERROR(CaseLedger!$D458,""))</x:f>
      </x:c>
      <x:c r="R458" s="52" t="str">
        <x:f>IF(CaseLedger!$A458="","",IFERROR(CaseLedger!$X458,""))</x:f>
      </x:c>
      <x:c r="S458" s="52" t="str">
        <x:f>IF(CaseLedger!$A458="","",IFERROR(CaseLedger!$Y458,""))</x:f>
      </x:c>
      <x:c r="T458" s="52" t="str">
        <x:f>IF(CaseLedger!$A458="","",IFERROR(CaseLedger!$Z458,""))</x:f>
      </x:c>
      <x:c r="U458" s="52" t="str">
        <x:f>IF(CaseLedger!$A458="","",IFERROR(CaseLedger!$AA458,""))</x:f>
      </x:c>
      <x:c r="V458" s="52" t="str">
        <x:f>IF(CaseLedger!$A458="","",IFERROR(CaseLedger!$AB458,""))</x:f>
      </x:c>
      <x:c r="W458" s="52" t="str">
        <x:f>IF(CaseLedger!$A458="","",IFERROR(CaseLedger!$AC458,""))</x:f>
      </x:c>
      <x:c r="X458" s="52" t="str">
        <x:f>IF(CaseLedger!$A458="","",IFERROR(CaseLedger!$AD458,""))</x:f>
      </x:c>
      <x:c r="Y458" s="52" t="str">
        <x:f>IF(CaseLedger!$A458="","",IFERROR(CaseLedger!$AE458,""))</x:f>
      </x:c>
      <x:c r="Z458" s="52" t="str">
        <x:f>IF(CaseLedger!$A458="","",IFERROR(CaseLedger!$AF458,""))</x:f>
      </x:c>
      <x:c r="AA458" s="52" t="str">
        <x:f>IF(CaseLedger!$A458="","",IFERROR(CaseLedger!$AG458,""))</x:f>
      </x:c>
      <x:c r="AB458" s="52" t="str">
        <x:f>IF(CaseLedger!$A458="","",IFERROR(CaseLedger!$AH458,""))</x:f>
      </x:c>
      <x:c r="AC458"/>
    </x:row>
    <x:row r="459">
      <x:c r="A459" s="52" t="str">
        <x:f>IF(CaseLedger!$A459="","",IFERROR(CaseLedger!$A459,""))</x:f>
      </x:c>
      <x:c r="B459" s="52" t="str">
        <x:f>IF(CaseLedger!$A459="","",IFERROR(CaseLedger!$H459,""))</x:f>
      </x:c>
      <x:c r="C459" s="52" t="str">
        <x:f>IF(CaseLedger!$A459="","",IFERROR(CaseLedger!$I459,""))</x:f>
      </x:c>
      <x:c r="D459" s="52" t="str">
        <x:f>IF(CaseLedger!$A459="","",IFERROR(CaseLedger!$J459,""))</x:f>
      </x:c>
      <x:c r="E459" s="52" t="str">
        <x:f>IF(CaseLedger!$A459="","",IFERROR(CaseLedger!$K459,""))</x:f>
      </x:c>
      <x:c r="F459" s="52" t="str">
        <x:f>IF(CaseLedger!$A459="","",IFERROR(CaseLedger!$O459,""))</x:f>
      </x:c>
      <x:c r="G459" s="52" t="str">
        <x:f>IF(CaseLedger!$A459="","",IFERROR(CaseLedger!$E459,""))</x:f>
      </x:c>
      <x:c r="H459" s="52" t="str">
        <x:f>IF(CaseLedger!$A459="","",IFERROR(CaseLedger!$P459,""))</x:f>
      </x:c>
      <x:c r="I459" s="52" t="str">
        <x:f>IF(CaseLedger!$A459="","",IFERROR(CaseLedger!$Q459,""))</x:f>
      </x:c>
      <x:c r="J459" s="52" t="str">
        <x:f>IF(CaseLedger!$A459="","",IFERROR(CaseLedger!$R459,""))</x:f>
      </x:c>
      <x:c r="K459" s="52" t="str">
        <x:f>IF(CaseLedger!$A459="","",IFERROR(CaseLedger!$S459,""))</x:f>
      </x:c>
      <x:c r="L459" s="52" t="str">
        <x:f>IF(CaseLedger!$A459="","",IFERROR(CaseLedger!$T459,""))</x:f>
      </x:c>
      <x:c r="M459" s="52" t="str">
        <x:f>IF(CaseLedger!$A459="","",IFERROR(CaseLedger!$U459,""))</x:f>
      </x:c>
      <x:c r="N459" s="52" t="str">
        <x:f>IF(CaseLedger!$A459="","",IFERROR(CaseLedger!$V459,""))</x:f>
      </x:c>
      <x:c r="O459" s="52" t="str">
        <x:f>IF(CaseLedger!$A459="","",IFERROR(CaseLedger!$W459,""))</x:f>
      </x:c>
      <x:c r="P459" s="52" t="str">
        <x:f>IF(CaseLedger!$A459="","",IFERROR(CaseLedger!$C459,""))</x:f>
      </x:c>
      <x:c r="Q459" s="52" t="str">
        <x:f>IF(CaseLedger!$A459="","",IFERROR(CaseLedger!$D459,""))</x:f>
      </x:c>
      <x:c r="R459" s="52" t="str">
        <x:f>IF(CaseLedger!$A459="","",IFERROR(CaseLedger!$X459,""))</x:f>
      </x:c>
      <x:c r="S459" s="52" t="str">
        <x:f>IF(CaseLedger!$A459="","",IFERROR(CaseLedger!$Y459,""))</x:f>
      </x:c>
      <x:c r="T459" s="52" t="str">
        <x:f>IF(CaseLedger!$A459="","",IFERROR(CaseLedger!$Z459,""))</x:f>
      </x:c>
      <x:c r="U459" s="52" t="str">
        <x:f>IF(CaseLedger!$A459="","",IFERROR(CaseLedger!$AA459,""))</x:f>
      </x:c>
      <x:c r="V459" s="52" t="str">
        <x:f>IF(CaseLedger!$A459="","",IFERROR(CaseLedger!$AB459,""))</x:f>
      </x:c>
      <x:c r="W459" s="52" t="str">
        <x:f>IF(CaseLedger!$A459="","",IFERROR(CaseLedger!$AC459,""))</x:f>
      </x:c>
      <x:c r="X459" s="52" t="str">
        <x:f>IF(CaseLedger!$A459="","",IFERROR(CaseLedger!$AD459,""))</x:f>
      </x:c>
      <x:c r="Y459" s="52" t="str">
        <x:f>IF(CaseLedger!$A459="","",IFERROR(CaseLedger!$AE459,""))</x:f>
      </x:c>
      <x:c r="Z459" s="52" t="str">
        <x:f>IF(CaseLedger!$A459="","",IFERROR(CaseLedger!$AF459,""))</x:f>
      </x:c>
      <x:c r="AA459" s="52" t="str">
        <x:f>IF(CaseLedger!$A459="","",IFERROR(CaseLedger!$AG459,""))</x:f>
      </x:c>
      <x:c r="AB459" s="52" t="str">
        <x:f>IF(CaseLedger!$A459="","",IFERROR(CaseLedger!$AH459,""))</x:f>
      </x:c>
      <x:c r="AC459"/>
    </x:row>
    <x:row r="460">
      <x:c r="A460" s="52" t="str">
        <x:f>IF(CaseLedger!$A460="","",IFERROR(CaseLedger!$A460,""))</x:f>
      </x:c>
      <x:c r="B460" s="52" t="str">
        <x:f>IF(CaseLedger!$A460="","",IFERROR(CaseLedger!$H460,""))</x:f>
      </x:c>
      <x:c r="C460" s="52" t="str">
        <x:f>IF(CaseLedger!$A460="","",IFERROR(CaseLedger!$I460,""))</x:f>
      </x:c>
      <x:c r="D460" s="52" t="str">
        <x:f>IF(CaseLedger!$A460="","",IFERROR(CaseLedger!$J460,""))</x:f>
      </x:c>
      <x:c r="E460" s="52" t="str">
        <x:f>IF(CaseLedger!$A460="","",IFERROR(CaseLedger!$K460,""))</x:f>
      </x:c>
      <x:c r="F460" s="52" t="str">
        <x:f>IF(CaseLedger!$A460="","",IFERROR(CaseLedger!$O460,""))</x:f>
      </x:c>
      <x:c r="G460" s="52" t="str">
        <x:f>IF(CaseLedger!$A460="","",IFERROR(CaseLedger!$E460,""))</x:f>
      </x:c>
      <x:c r="H460" s="52" t="str">
        <x:f>IF(CaseLedger!$A460="","",IFERROR(CaseLedger!$P460,""))</x:f>
      </x:c>
      <x:c r="I460" s="52" t="str">
        <x:f>IF(CaseLedger!$A460="","",IFERROR(CaseLedger!$Q460,""))</x:f>
      </x:c>
      <x:c r="J460" s="52" t="str">
        <x:f>IF(CaseLedger!$A460="","",IFERROR(CaseLedger!$R460,""))</x:f>
      </x:c>
      <x:c r="K460" s="52" t="str">
        <x:f>IF(CaseLedger!$A460="","",IFERROR(CaseLedger!$S460,""))</x:f>
      </x:c>
      <x:c r="L460" s="52" t="str">
        <x:f>IF(CaseLedger!$A460="","",IFERROR(CaseLedger!$T460,""))</x:f>
      </x:c>
      <x:c r="M460" s="52" t="str">
        <x:f>IF(CaseLedger!$A460="","",IFERROR(CaseLedger!$U460,""))</x:f>
      </x:c>
      <x:c r="N460" s="52" t="str">
        <x:f>IF(CaseLedger!$A460="","",IFERROR(CaseLedger!$V460,""))</x:f>
      </x:c>
      <x:c r="O460" s="52" t="str">
        <x:f>IF(CaseLedger!$A460="","",IFERROR(CaseLedger!$W460,""))</x:f>
      </x:c>
      <x:c r="P460" s="52" t="str">
        <x:f>IF(CaseLedger!$A460="","",IFERROR(CaseLedger!$C460,""))</x:f>
      </x:c>
      <x:c r="Q460" s="52" t="str">
        <x:f>IF(CaseLedger!$A460="","",IFERROR(CaseLedger!$D460,""))</x:f>
      </x:c>
      <x:c r="R460" s="52" t="str">
        <x:f>IF(CaseLedger!$A460="","",IFERROR(CaseLedger!$X460,""))</x:f>
      </x:c>
      <x:c r="S460" s="52" t="str">
        <x:f>IF(CaseLedger!$A460="","",IFERROR(CaseLedger!$Y460,""))</x:f>
      </x:c>
      <x:c r="T460" s="52" t="str">
        <x:f>IF(CaseLedger!$A460="","",IFERROR(CaseLedger!$Z460,""))</x:f>
      </x:c>
      <x:c r="U460" s="52" t="str">
        <x:f>IF(CaseLedger!$A460="","",IFERROR(CaseLedger!$AA460,""))</x:f>
      </x:c>
      <x:c r="V460" s="52" t="str">
        <x:f>IF(CaseLedger!$A460="","",IFERROR(CaseLedger!$AB460,""))</x:f>
      </x:c>
      <x:c r="W460" s="52" t="str">
        <x:f>IF(CaseLedger!$A460="","",IFERROR(CaseLedger!$AC460,""))</x:f>
      </x:c>
      <x:c r="X460" s="52" t="str">
        <x:f>IF(CaseLedger!$A460="","",IFERROR(CaseLedger!$AD460,""))</x:f>
      </x:c>
      <x:c r="Y460" s="52" t="str">
        <x:f>IF(CaseLedger!$A460="","",IFERROR(CaseLedger!$AE460,""))</x:f>
      </x:c>
      <x:c r="Z460" s="52" t="str">
        <x:f>IF(CaseLedger!$A460="","",IFERROR(CaseLedger!$AF460,""))</x:f>
      </x:c>
      <x:c r="AA460" s="52" t="str">
        <x:f>IF(CaseLedger!$A460="","",IFERROR(CaseLedger!$AG460,""))</x:f>
      </x:c>
      <x:c r="AB460" s="52" t="str">
        <x:f>IF(CaseLedger!$A460="","",IFERROR(CaseLedger!$AH460,""))</x:f>
      </x:c>
      <x:c r="AC460"/>
    </x:row>
    <x:row r="461">
      <x:c r="A461" s="52" t="str">
        <x:f>IF(CaseLedger!$A461="","",IFERROR(CaseLedger!$A461,""))</x:f>
      </x:c>
      <x:c r="B461" s="52" t="str">
        <x:f>IF(CaseLedger!$A461="","",IFERROR(CaseLedger!$H461,""))</x:f>
      </x:c>
      <x:c r="C461" s="52" t="str">
        <x:f>IF(CaseLedger!$A461="","",IFERROR(CaseLedger!$I461,""))</x:f>
      </x:c>
      <x:c r="D461" s="52" t="str">
        <x:f>IF(CaseLedger!$A461="","",IFERROR(CaseLedger!$J461,""))</x:f>
      </x:c>
      <x:c r="E461" s="52" t="str">
        <x:f>IF(CaseLedger!$A461="","",IFERROR(CaseLedger!$K461,""))</x:f>
      </x:c>
      <x:c r="F461" s="52" t="str">
        <x:f>IF(CaseLedger!$A461="","",IFERROR(CaseLedger!$O461,""))</x:f>
      </x:c>
      <x:c r="G461" s="52" t="str">
        <x:f>IF(CaseLedger!$A461="","",IFERROR(CaseLedger!$E461,""))</x:f>
      </x:c>
      <x:c r="H461" s="52" t="str">
        <x:f>IF(CaseLedger!$A461="","",IFERROR(CaseLedger!$P461,""))</x:f>
      </x:c>
      <x:c r="I461" s="52" t="str">
        <x:f>IF(CaseLedger!$A461="","",IFERROR(CaseLedger!$Q461,""))</x:f>
      </x:c>
      <x:c r="J461" s="52" t="str">
        <x:f>IF(CaseLedger!$A461="","",IFERROR(CaseLedger!$R461,""))</x:f>
      </x:c>
      <x:c r="K461" s="52" t="str">
        <x:f>IF(CaseLedger!$A461="","",IFERROR(CaseLedger!$S461,""))</x:f>
      </x:c>
      <x:c r="L461" s="52" t="str">
        <x:f>IF(CaseLedger!$A461="","",IFERROR(CaseLedger!$T461,""))</x:f>
      </x:c>
      <x:c r="M461" s="52" t="str">
        <x:f>IF(CaseLedger!$A461="","",IFERROR(CaseLedger!$U461,""))</x:f>
      </x:c>
      <x:c r="N461" s="52" t="str">
        <x:f>IF(CaseLedger!$A461="","",IFERROR(CaseLedger!$V461,""))</x:f>
      </x:c>
      <x:c r="O461" s="52" t="str">
        <x:f>IF(CaseLedger!$A461="","",IFERROR(CaseLedger!$W461,""))</x:f>
      </x:c>
      <x:c r="P461" s="52" t="str">
        <x:f>IF(CaseLedger!$A461="","",IFERROR(CaseLedger!$C461,""))</x:f>
      </x:c>
      <x:c r="Q461" s="52" t="str">
        <x:f>IF(CaseLedger!$A461="","",IFERROR(CaseLedger!$D461,""))</x:f>
      </x:c>
      <x:c r="R461" s="52" t="str">
        <x:f>IF(CaseLedger!$A461="","",IFERROR(CaseLedger!$X461,""))</x:f>
      </x:c>
      <x:c r="S461" s="52" t="str">
        <x:f>IF(CaseLedger!$A461="","",IFERROR(CaseLedger!$Y461,""))</x:f>
      </x:c>
      <x:c r="T461" s="52" t="str">
        <x:f>IF(CaseLedger!$A461="","",IFERROR(CaseLedger!$Z461,""))</x:f>
      </x:c>
      <x:c r="U461" s="52" t="str">
        <x:f>IF(CaseLedger!$A461="","",IFERROR(CaseLedger!$AA461,""))</x:f>
      </x:c>
      <x:c r="V461" s="52" t="str">
        <x:f>IF(CaseLedger!$A461="","",IFERROR(CaseLedger!$AB461,""))</x:f>
      </x:c>
      <x:c r="W461" s="52" t="str">
        <x:f>IF(CaseLedger!$A461="","",IFERROR(CaseLedger!$AC461,""))</x:f>
      </x:c>
      <x:c r="X461" s="52" t="str">
        <x:f>IF(CaseLedger!$A461="","",IFERROR(CaseLedger!$AD461,""))</x:f>
      </x:c>
      <x:c r="Y461" s="52" t="str">
        <x:f>IF(CaseLedger!$A461="","",IFERROR(CaseLedger!$AE461,""))</x:f>
      </x:c>
      <x:c r="Z461" s="52" t="str">
        <x:f>IF(CaseLedger!$A461="","",IFERROR(CaseLedger!$AF461,""))</x:f>
      </x:c>
      <x:c r="AA461" s="52" t="str">
        <x:f>IF(CaseLedger!$A461="","",IFERROR(CaseLedger!$AG461,""))</x:f>
      </x:c>
      <x:c r="AB461" s="52" t="str">
        <x:f>IF(CaseLedger!$A461="","",IFERROR(CaseLedger!$AH461,""))</x:f>
      </x:c>
      <x:c r="AC461"/>
    </x:row>
    <x:row r="462">
      <x:c r="A462" s="52" t="str">
        <x:f>IF(CaseLedger!$A462="","",IFERROR(CaseLedger!$A462,""))</x:f>
      </x:c>
      <x:c r="B462" s="52" t="str">
        <x:f>IF(CaseLedger!$A462="","",IFERROR(CaseLedger!$H462,""))</x:f>
      </x:c>
      <x:c r="C462" s="52" t="str">
        <x:f>IF(CaseLedger!$A462="","",IFERROR(CaseLedger!$I462,""))</x:f>
      </x:c>
      <x:c r="D462" s="52" t="str">
        <x:f>IF(CaseLedger!$A462="","",IFERROR(CaseLedger!$J462,""))</x:f>
      </x:c>
      <x:c r="E462" s="52" t="str">
        <x:f>IF(CaseLedger!$A462="","",IFERROR(CaseLedger!$K462,""))</x:f>
      </x:c>
      <x:c r="F462" s="52" t="str">
        <x:f>IF(CaseLedger!$A462="","",IFERROR(CaseLedger!$O462,""))</x:f>
      </x:c>
      <x:c r="G462" s="52" t="str">
        <x:f>IF(CaseLedger!$A462="","",IFERROR(CaseLedger!$E462,""))</x:f>
      </x:c>
      <x:c r="H462" s="52" t="str">
        <x:f>IF(CaseLedger!$A462="","",IFERROR(CaseLedger!$P462,""))</x:f>
      </x:c>
      <x:c r="I462" s="52" t="str">
        <x:f>IF(CaseLedger!$A462="","",IFERROR(CaseLedger!$Q462,""))</x:f>
      </x:c>
      <x:c r="J462" s="52" t="str">
        <x:f>IF(CaseLedger!$A462="","",IFERROR(CaseLedger!$R462,""))</x:f>
      </x:c>
      <x:c r="K462" s="52" t="str">
        <x:f>IF(CaseLedger!$A462="","",IFERROR(CaseLedger!$S462,""))</x:f>
      </x:c>
      <x:c r="L462" s="52" t="str">
        <x:f>IF(CaseLedger!$A462="","",IFERROR(CaseLedger!$T462,""))</x:f>
      </x:c>
      <x:c r="M462" s="52" t="str">
        <x:f>IF(CaseLedger!$A462="","",IFERROR(CaseLedger!$U462,""))</x:f>
      </x:c>
      <x:c r="N462" s="52" t="str">
        <x:f>IF(CaseLedger!$A462="","",IFERROR(CaseLedger!$V462,""))</x:f>
      </x:c>
      <x:c r="O462" s="52" t="str">
        <x:f>IF(CaseLedger!$A462="","",IFERROR(CaseLedger!$W462,""))</x:f>
      </x:c>
      <x:c r="P462" s="52" t="str">
        <x:f>IF(CaseLedger!$A462="","",IFERROR(CaseLedger!$C462,""))</x:f>
      </x:c>
      <x:c r="Q462" s="52" t="str">
        <x:f>IF(CaseLedger!$A462="","",IFERROR(CaseLedger!$D462,""))</x:f>
      </x:c>
      <x:c r="R462" s="52" t="str">
        <x:f>IF(CaseLedger!$A462="","",IFERROR(CaseLedger!$X462,""))</x:f>
      </x:c>
      <x:c r="S462" s="52" t="str">
        <x:f>IF(CaseLedger!$A462="","",IFERROR(CaseLedger!$Y462,""))</x:f>
      </x:c>
      <x:c r="T462" s="52" t="str">
        <x:f>IF(CaseLedger!$A462="","",IFERROR(CaseLedger!$Z462,""))</x:f>
      </x:c>
      <x:c r="U462" s="52" t="str">
        <x:f>IF(CaseLedger!$A462="","",IFERROR(CaseLedger!$AA462,""))</x:f>
      </x:c>
      <x:c r="V462" s="52" t="str">
        <x:f>IF(CaseLedger!$A462="","",IFERROR(CaseLedger!$AB462,""))</x:f>
      </x:c>
      <x:c r="W462" s="52" t="str">
        <x:f>IF(CaseLedger!$A462="","",IFERROR(CaseLedger!$AC462,""))</x:f>
      </x:c>
      <x:c r="X462" s="52" t="str">
        <x:f>IF(CaseLedger!$A462="","",IFERROR(CaseLedger!$AD462,""))</x:f>
      </x:c>
      <x:c r="Y462" s="52" t="str">
        <x:f>IF(CaseLedger!$A462="","",IFERROR(CaseLedger!$AE462,""))</x:f>
      </x:c>
      <x:c r="Z462" s="52" t="str">
        <x:f>IF(CaseLedger!$A462="","",IFERROR(CaseLedger!$AF462,""))</x:f>
      </x:c>
      <x:c r="AA462" s="52" t="str">
        <x:f>IF(CaseLedger!$A462="","",IFERROR(CaseLedger!$AG462,""))</x:f>
      </x:c>
      <x:c r="AB462" s="52" t="str">
        <x:f>IF(CaseLedger!$A462="","",IFERROR(CaseLedger!$AH462,""))</x:f>
      </x:c>
      <x:c r="AC462"/>
    </x:row>
    <x:row r="463">
      <x:c r="A463" s="52" t="str">
        <x:f>IF(CaseLedger!$A463="","",IFERROR(CaseLedger!$A463,""))</x:f>
      </x:c>
      <x:c r="B463" s="52" t="str">
        <x:f>IF(CaseLedger!$A463="","",IFERROR(CaseLedger!$H463,""))</x:f>
      </x:c>
      <x:c r="C463" s="52" t="str">
        <x:f>IF(CaseLedger!$A463="","",IFERROR(CaseLedger!$I463,""))</x:f>
      </x:c>
      <x:c r="D463" s="52" t="str">
        <x:f>IF(CaseLedger!$A463="","",IFERROR(CaseLedger!$J463,""))</x:f>
      </x:c>
      <x:c r="E463" s="52" t="str">
        <x:f>IF(CaseLedger!$A463="","",IFERROR(CaseLedger!$K463,""))</x:f>
      </x:c>
      <x:c r="F463" s="52" t="str">
        <x:f>IF(CaseLedger!$A463="","",IFERROR(CaseLedger!$O463,""))</x:f>
      </x:c>
      <x:c r="G463" s="52" t="str">
        <x:f>IF(CaseLedger!$A463="","",IFERROR(CaseLedger!$E463,""))</x:f>
      </x:c>
      <x:c r="H463" s="52" t="str">
        <x:f>IF(CaseLedger!$A463="","",IFERROR(CaseLedger!$P463,""))</x:f>
      </x:c>
      <x:c r="I463" s="52" t="str">
        <x:f>IF(CaseLedger!$A463="","",IFERROR(CaseLedger!$Q463,""))</x:f>
      </x:c>
      <x:c r="J463" s="52" t="str">
        <x:f>IF(CaseLedger!$A463="","",IFERROR(CaseLedger!$R463,""))</x:f>
      </x:c>
      <x:c r="K463" s="52" t="str">
        <x:f>IF(CaseLedger!$A463="","",IFERROR(CaseLedger!$S463,""))</x:f>
      </x:c>
      <x:c r="L463" s="52" t="str">
        <x:f>IF(CaseLedger!$A463="","",IFERROR(CaseLedger!$T463,""))</x:f>
      </x:c>
      <x:c r="M463" s="52" t="str">
        <x:f>IF(CaseLedger!$A463="","",IFERROR(CaseLedger!$U463,""))</x:f>
      </x:c>
      <x:c r="N463" s="52" t="str">
        <x:f>IF(CaseLedger!$A463="","",IFERROR(CaseLedger!$V463,""))</x:f>
      </x:c>
      <x:c r="O463" s="52" t="str">
        <x:f>IF(CaseLedger!$A463="","",IFERROR(CaseLedger!$W463,""))</x:f>
      </x:c>
      <x:c r="P463" s="52" t="str">
        <x:f>IF(CaseLedger!$A463="","",IFERROR(CaseLedger!$C463,""))</x:f>
      </x:c>
      <x:c r="Q463" s="52" t="str">
        <x:f>IF(CaseLedger!$A463="","",IFERROR(CaseLedger!$D463,""))</x:f>
      </x:c>
      <x:c r="R463" s="52" t="str">
        <x:f>IF(CaseLedger!$A463="","",IFERROR(CaseLedger!$X463,""))</x:f>
      </x:c>
      <x:c r="S463" s="52" t="str">
        <x:f>IF(CaseLedger!$A463="","",IFERROR(CaseLedger!$Y463,""))</x:f>
      </x:c>
      <x:c r="T463" s="52" t="str">
        <x:f>IF(CaseLedger!$A463="","",IFERROR(CaseLedger!$Z463,""))</x:f>
      </x:c>
      <x:c r="U463" s="52" t="str">
        <x:f>IF(CaseLedger!$A463="","",IFERROR(CaseLedger!$AA463,""))</x:f>
      </x:c>
      <x:c r="V463" s="52" t="str">
        <x:f>IF(CaseLedger!$A463="","",IFERROR(CaseLedger!$AB463,""))</x:f>
      </x:c>
      <x:c r="W463" s="52" t="str">
        <x:f>IF(CaseLedger!$A463="","",IFERROR(CaseLedger!$AC463,""))</x:f>
      </x:c>
      <x:c r="X463" s="52" t="str">
        <x:f>IF(CaseLedger!$A463="","",IFERROR(CaseLedger!$AD463,""))</x:f>
      </x:c>
      <x:c r="Y463" s="52" t="str">
        <x:f>IF(CaseLedger!$A463="","",IFERROR(CaseLedger!$AE463,""))</x:f>
      </x:c>
      <x:c r="Z463" s="52" t="str">
        <x:f>IF(CaseLedger!$A463="","",IFERROR(CaseLedger!$AF463,""))</x:f>
      </x:c>
      <x:c r="AA463" s="52" t="str">
        <x:f>IF(CaseLedger!$A463="","",IFERROR(CaseLedger!$AG463,""))</x:f>
      </x:c>
      <x:c r="AB463" s="52" t="str">
        <x:f>IF(CaseLedger!$A463="","",IFERROR(CaseLedger!$AH463,""))</x:f>
      </x:c>
      <x:c r="AC463"/>
    </x:row>
    <x:row r="464">
      <x:c r="A464" s="52" t="str">
        <x:f>IF(CaseLedger!$A464="","",IFERROR(CaseLedger!$A464,""))</x:f>
      </x:c>
      <x:c r="B464" s="52" t="str">
        <x:f>IF(CaseLedger!$A464="","",IFERROR(CaseLedger!$H464,""))</x:f>
      </x:c>
      <x:c r="C464" s="52" t="str">
        <x:f>IF(CaseLedger!$A464="","",IFERROR(CaseLedger!$I464,""))</x:f>
      </x:c>
      <x:c r="D464" s="52" t="str">
        <x:f>IF(CaseLedger!$A464="","",IFERROR(CaseLedger!$J464,""))</x:f>
      </x:c>
      <x:c r="E464" s="52" t="str">
        <x:f>IF(CaseLedger!$A464="","",IFERROR(CaseLedger!$K464,""))</x:f>
      </x:c>
      <x:c r="F464" s="52" t="str">
        <x:f>IF(CaseLedger!$A464="","",IFERROR(CaseLedger!$O464,""))</x:f>
      </x:c>
      <x:c r="G464" s="52" t="str">
        <x:f>IF(CaseLedger!$A464="","",IFERROR(CaseLedger!$E464,""))</x:f>
      </x:c>
      <x:c r="H464" s="52" t="str">
        <x:f>IF(CaseLedger!$A464="","",IFERROR(CaseLedger!$P464,""))</x:f>
      </x:c>
      <x:c r="I464" s="52" t="str">
        <x:f>IF(CaseLedger!$A464="","",IFERROR(CaseLedger!$Q464,""))</x:f>
      </x:c>
      <x:c r="J464" s="52" t="str">
        <x:f>IF(CaseLedger!$A464="","",IFERROR(CaseLedger!$R464,""))</x:f>
      </x:c>
      <x:c r="K464" s="52" t="str">
        <x:f>IF(CaseLedger!$A464="","",IFERROR(CaseLedger!$S464,""))</x:f>
      </x:c>
      <x:c r="L464" s="52" t="str">
        <x:f>IF(CaseLedger!$A464="","",IFERROR(CaseLedger!$T464,""))</x:f>
      </x:c>
      <x:c r="M464" s="52" t="str">
        <x:f>IF(CaseLedger!$A464="","",IFERROR(CaseLedger!$U464,""))</x:f>
      </x:c>
      <x:c r="N464" s="52" t="str">
        <x:f>IF(CaseLedger!$A464="","",IFERROR(CaseLedger!$V464,""))</x:f>
      </x:c>
      <x:c r="O464" s="52" t="str">
        <x:f>IF(CaseLedger!$A464="","",IFERROR(CaseLedger!$W464,""))</x:f>
      </x:c>
      <x:c r="P464" s="52" t="str">
        <x:f>IF(CaseLedger!$A464="","",IFERROR(CaseLedger!$C464,""))</x:f>
      </x:c>
      <x:c r="Q464" s="52" t="str">
        <x:f>IF(CaseLedger!$A464="","",IFERROR(CaseLedger!$D464,""))</x:f>
      </x:c>
      <x:c r="R464" s="52" t="str">
        <x:f>IF(CaseLedger!$A464="","",IFERROR(CaseLedger!$X464,""))</x:f>
      </x:c>
      <x:c r="S464" s="52" t="str">
        <x:f>IF(CaseLedger!$A464="","",IFERROR(CaseLedger!$Y464,""))</x:f>
      </x:c>
      <x:c r="T464" s="52" t="str">
        <x:f>IF(CaseLedger!$A464="","",IFERROR(CaseLedger!$Z464,""))</x:f>
      </x:c>
      <x:c r="U464" s="52" t="str">
        <x:f>IF(CaseLedger!$A464="","",IFERROR(CaseLedger!$AA464,""))</x:f>
      </x:c>
      <x:c r="V464" s="52" t="str">
        <x:f>IF(CaseLedger!$A464="","",IFERROR(CaseLedger!$AB464,""))</x:f>
      </x:c>
      <x:c r="W464" s="52" t="str">
        <x:f>IF(CaseLedger!$A464="","",IFERROR(CaseLedger!$AC464,""))</x:f>
      </x:c>
      <x:c r="X464" s="52" t="str">
        <x:f>IF(CaseLedger!$A464="","",IFERROR(CaseLedger!$AD464,""))</x:f>
      </x:c>
      <x:c r="Y464" s="52" t="str">
        <x:f>IF(CaseLedger!$A464="","",IFERROR(CaseLedger!$AE464,""))</x:f>
      </x:c>
      <x:c r="Z464" s="52" t="str">
        <x:f>IF(CaseLedger!$A464="","",IFERROR(CaseLedger!$AF464,""))</x:f>
      </x:c>
      <x:c r="AA464" s="52" t="str">
        <x:f>IF(CaseLedger!$A464="","",IFERROR(CaseLedger!$AG464,""))</x:f>
      </x:c>
      <x:c r="AB464" s="52" t="str">
        <x:f>IF(CaseLedger!$A464="","",IFERROR(CaseLedger!$AH464,""))</x:f>
      </x:c>
      <x:c r="AC464"/>
    </x:row>
    <x:row r="465">
      <x:c r="A465" s="52" t="str">
        <x:f>IF(CaseLedger!$A465="","",IFERROR(CaseLedger!$A465,""))</x:f>
      </x:c>
      <x:c r="B465" s="52" t="str">
        <x:f>IF(CaseLedger!$A465="","",IFERROR(CaseLedger!$H465,""))</x:f>
      </x:c>
      <x:c r="C465" s="52" t="str">
        <x:f>IF(CaseLedger!$A465="","",IFERROR(CaseLedger!$I465,""))</x:f>
      </x:c>
      <x:c r="D465" s="52" t="str">
        <x:f>IF(CaseLedger!$A465="","",IFERROR(CaseLedger!$J465,""))</x:f>
      </x:c>
      <x:c r="E465" s="52" t="str">
        <x:f>IF(CaseLedger!$A465="","",IFERROR(CaseLedger!$K465,""))</x:f>
      </x:c>
      <x:c r="F465" s="52" t="str">
        <x:f>IF(CaseLedger!$A465="","",IFERROR(CaseLedger!$O465,""))</x:f>
      </x:c>
      <x:c r="G465" s="52" t="str">
        <x:f>IF(CaseLedger!$A465="","",IFERROR(CaseLedger!$E465,""))</x:f>
      </x:c>
      <x:c r="H465" s="52" t="str">
        <x:f>IF(CaseLedger!$A465="","",IFERROR(CaseLedger!$P465,""))</x:f>
      </x:c>
      <x:c r="I465" s="52" t="str">
        <x:f>IF(CaseLedger!$A465="","",IFERROR(CaseLedger!$Q465,""))</x:f>
      </x:c>
      <x:c r="J465" s="52" t="str">
        <x:f>IF(CaseLedger!$A465="","",IFERROR(CaseLedger!$R465,""))</x:f>
      </x:c>
      <x:c r="K465" s="52" t="str">
        <x:f>IF(CaseLedger!$A465="","",IFERROR(CaseLedger!$S465,""))</x:f>
      </x:c>
      <x:c r="L465" s="52" t="str">
        <x:f>IF(CaseLedger!$A465="","",IFERROR(CaseLedger!$T465,""))</x:f>
      </x:c>
      <x:c r="M465" s="52" t="str">
        <x:f>IF(CaseLedger!$A465="","",IFERROR(CaseLedger!$U465,""))</x:f>
      </x:c>
      <x:c r="N465" s="52" t="str">
        <x:f>IF(CaseLedger!$A465="","",IFERROR(CaseLedger!$V465,""))</x:f>
      </x:c>
      <x:c r="O465" s="52" t="str">
        <x:f>IF(CaseLedger!$A465="","",IFERROR(CaseLedger!$W465,""))</x:f>
      </x:c>
      <x:c r="P465" s="52" t="str">
        <x:f>IF(CaseLedger!$A465="","",IFERROR(CaseLedger!$C465,""))</x:f>
      </x:c>
      <x:c r="Q465" s="52" t="str">
        <x:f>IF(CaseLedger!$A465="","",IFERROR(CaseLedger!$D465,""))</x:f>
      </x:c>
      <x:c r="R465" s="52" t="str">
        <x:f>IF(CaseLedger!$A465="","",IFERROR(CaseLedger!$X465,""))</x:f>
      </x:c>
      <x:c r="S465" s="52" t="str">
        <x:f>IF(CaseLedger!$A465="","",IFERROR(CaseLedger!$Y465,""))</x:f>
      </x:c>
      <x:c r="T465" s="52" t="str">
        <x:f>IF(CaseLedger!$A465="","",IFERROR(CaseLedger!$Z465,""))</x:f>
      </x:c>
      <x:c r="U465" s="52" t="str">
        <x:f>IF(CaseLedger!$A465="","",IFERROR(CaseLedger!$AA465,""))</x:f>
      </x:c>
      <x:c r="V465" s="52" t="str">
        <x:f>IF(CaseLedger!$A465="","",IFERROR(CaseLedger!$AB465,""))</x:f>
      </x:c>
      <x:c r="W465" s="52" t="str">
        <x:f>IF(CaseLedger!$A465="","",IFERROR(CaseLedger!$AC465,""))</x:f>
      </x:c>
      <x:c r="X465" s="52" t="str">
        <x:f>IF(CaseLedger!$A465="","",IFERROR(CaseLedger!$AD465,""))</x:f>
      </x:c>
      <x:c r="Y465" s="52" t="str">
        <x:f>IF(CaseLedger!$A465="","",IFERROR(CaseLedger!$AE465,""))</x:f>
      </x:c>
      <x:c r="Z465" s="52" t="str">
        <x:f>IF(CaseLedger!$A465="","",IFERROR(CaseLedger!$AF465,""))</x:f>
      </x:c>
      <x:c r="AA465" s="52" t="str">
        <x:f>IF(CaseLedger!$A465="","",IFERROR(CaseLedger!$AG465,""))</x:f>
      </x:c>
      <x:c r="AB465" s="52" t="str">
        <x:f>IF(CaseLedger!$A465="","",IFERROR(CaseLedger!$AH465,""))</x:f>
      </x:c>
      <x:c r="AC465"/>
    </x:row>
    <x:row r="466">
      <x:c r="A466" s="52" t="str">
        <x:f>IF(CaseLedger!$A466="","",IFERROR(CaseLedger!$A466,""))</x:f>
      </x:c>
      <x:c r="B466" s="52" t="str">
        <x:f>IF(CaseLedger!$A466="","",IFERROR(CaseLedger!$H466,""))</x:f>
      </x:c>
      <x:c r="C466" s="52" t="str">
        <x:f>IF(CaseLedger!$A466="","",IFERROR(CaseLedger!$I466,""))</x:f>
      </x:c>
      <x:c r="D466" s="52" t="str">
        <x:f>IF(CaseLedger!$A466="","",IFERROR(CaseLedger!$J466,""))</x:f>
      </x:c>
      <x:c r="E466" s="52" t="str">
        <x:f>IF(CaseLedger!$A466="","",IFERROR(CaseLedger!$K466,""))</x:f>
      </x:c>
      <x:c r="F466" s="52" t="str">
        <x:f>IF(CaseLedger!$A466="","",IFERROR(CaseLedger!$O466,""))</x:f>
      </x:c>
      <x:c r="G466" s="52" t="str">
        <x:f>IF(CaseLedger!$A466="","",IFERROR(CaseLedger!$E466,""))</x:f>
      </x:c>
      <x:c r="H466" s="52" t="str">
        <x:f>IF(CaseLedger!$A466="","",IFERROR(CaseLedger!$P466,""))</x:f>
      </x:c>
      <x:c r="I466" s="52" t="str">
        <x:f>IF(CaseLedger!$A466="","",IFERROR(CaseLedger!$Q466,""))</x:f>
      </x:c>
      <x:c r="J466" s="52" t="str">
        <x:f>IF(CaseLedger!$A466="","",IFERROR(CaseLedger!$R466,""))</x:f>
      </x:c>
      <x:c r="K466" s="52" t="str">
        <x:f>IF(CaseLedger!$A466="","",IFERROR(CaseLedger!$S466,""))</x:f>
      </x:c>
      <x:c r="L466" s="52" t="str">
        <x:f>IF(CaseLedger!$A466="","",IFERROR(CaseLedger!$T466,""))</x:f>
      </x:c>
      <x:c r="M466" s="52" t="str">
        <x:f>IF(CaseLedger!$A466="","",IFERROR(CaseLedger!$U466,""))</x:f>
      </x:c>
      <x:c r="N466" s="52" t="str">
        <x:f>IF(CaseLedger!$A466="","",IFERROR(CaseLedger!$V466,""))</x:f>
      </x:c>
      <x:c r="O466" s="52" t="str">
        <x:f>IF(CaseLedger!$A466="","",IFERROR(CaseLedger!$W466,""))</x:f>
      </x:c>
      <x:c r="P466" s="52" t="str">
        <x:f>IF(CaseLedger!$A466="","",IFERROR(CaseLedger!$C466,""))</x:f>
      </x:c>
      <x:c r="Q466" s="52" t="str">
        <x:f>IF(CaseLedger!$A466="","",IFERROR(CaseLedger!$D466,""))</x:f>
      </x:c>
      <x:c r="R466" s="52" t="str">
        <x:f>IF(CaseLedger!$A466="","",IFERROR(CaseLedger!$X466,""))</x:f>
      </x:c>
      <x:c r="S466" s="52" t="str">
        <x:f>IF(CaseLedger!$A466="","",IFERROR(CaseLedger!$Y466,""))</x:f>
      </x:c>
      <x:c r="T466" s="52" t="str">
        <x:f>IF(CaseLedger!$A466="","",IFERROR(CaseLedger!$Z466,""))</x:f>
      </x:c>
      <x:c r="U466" s="52" t="str">
        <x:f>IF(CaseLedger!$A466="","",IFERROR(CaseLedger!$AA466,""))</x:f>
      </x:c>
      <x:c r="V466" s="52" t="str">
        <x:f>IF(CaseLedger!$A466="","",IFERROR(CaseLedger!$AB466,""))</x:f>
      </x:c>
      <x:c r="W466" s="52" t="str">
        <x:f>IF(CaseLedger!$A466="","",IFERROR(CaseLedger!$AC466,""))</x:f>
      </x:c>
      <x:c r="X466" s="52" t="str">
        <x:f>IF(CaseLedger!$A466="","",IFERROR(CaseLedger!$AD466,""))</x:f>
      </x:c>
      <x:c r="Y466" s="52" t="str">
        <x:f>IF(CaseLedger!$A466="","",IFERROR(CaseLedger!$AE466,""))</x:f>
      </x:c>
      <x:c r="Z466" s="52" t="str">
        <x:f>IF(CaseLedger!$A466="","",IFERROR(CaseLedger!$AF466,""))</x:f>
      </x:c>
      <x:c r="AA466" s="52" t="str">
        <x:f>IF(CaseLedger!$A466="","",IFERROR(CaseLedger!$AG466,""))</x:f>
      </x:c>
      <x:c r="AB466" s="52" t="str">
        <x:f>IF(CaseLedger!$A466="","",IFERROR(CaseLedger!$AH466,""))</x:f>
      </x:c>
      <x:c r="AC466"/>
    </x:row>
    <x:row r="467">
      <x:c r="A467" s="52" t="str">
        <x:f>IF(CaseLedger!$A467="","",IFERROR(CaseLedger!$A467,""))</x:f>
      </x:c>
      <x:c r="B467" s="52" t="str">
        <x:f>IF(CaseLedger!$A467="","",IFERROR(CaseLedger!$H467,""))</x:f>
      </x:c>
      <x:c r="C467" s="52" t="str">
        <x:f>IF(CaseLedger!$A467="","",IFERROR(CaseLedger!$I467,""))</x:f>
      </x:c>
      <x:c r="D467" s="52" t="str">
        <x:f>IF(CaseLedger!$A467="","",IFERROR(CaseLedger!$J467,""))</x:f>
      </x:c>
      <x:c r="E467" s="52" t="str">
        <x:f>IF(CaseLedger!$A467="","",IFERROR(CaseLedger!$K467,""))</x:f>
      </x:c>
      <x:c r="F467" s="52" t="str">
        <x:f>IF(CaseLedger!$A467="","",IFERROR(CaseLedger!$O467,""))</x:f>
      </x:c>
      <x:c r="G467" s="52" t="str">
        <x:f>IF(CaseLedger!$A467="","",IFERROR(CaseLedger!$E467,""))</x:f>
      </x:c>
      <x:c r="H467" s="52" t="str">
        <x:f>IF(CaseLedger!$A467="","",IFERROR(CaseLedger!$P467,""))</x:f>
      </x:c>
      <x:c r="I467" s="52" t="str">
        <x:f>IF(CaseLedger!$A467="","",IFERROR(CaseLedger!$Q467,""))</x:f>
      </x:c>
      <x:c r="J467" s="52" t="str">
        <x:f>IF(CaseLedger!$A467="","",IFERROR(CaseLedger!$R467,""))</x:f>
      </x:c>
      <x:c r="K467" s="52" t="str">
        <x:f>IF(CaseLedger!$A467="","",IFERROR(CaseLedger!$S467,""))</x:f>
      </x:c>
      <x:c r="L467" s="52" t="str">
        <x:f>IF(CaseLedger!$A467="","",IFERROR(CaseLedger!$T467,""))</x:f>
      </x:c>
      <x:c r="M467" s="52" t="str">
        <x:f>IF(CaseLedger!$A467="","",IFERROR(CaseLedger!$U467,""))</x:f>
      </x:c>
      <x:c r="N467" s="52" t="str">
        <x:f>IF(CaseLedger!$A467="","",IFERROR(CaseLedger!$V467,""))</x:f>
      </x:c>
      <x:c r="O467" s="52" t="str">
        <x:f>IF(CaseLedger!$A467="","",IFERROR(CaseLedger!$W467,""))</x:f>
      </x:c>
      <x:c r="P467" s="52" t="str">
        <x:f>IF(CaseLedger!$A467="","",IFERROR(CaseLedger!$C467,""))</x:f>
      </x:c>
      <x:c r="Q467" s="52" t="str">
        <x:f>IF(CaseLedger!$A467="","",IFERROR(CaseLedger!$D467,""))</x:f>
      </x:c>
      <x:c r="R467" s="52" t="str">
        <x:f>IF(CaseLedger!$A467="","",IFERROR(CaseLedger!$X467,""))</x:f>
      </x:c>
      <x:c r="S467" s="52" t="str">
        <x:f>IF(CaseLedger!$A467="","",IFERROR(CaseLedger!$Y467,""))</x:f>
      </x:c>
      <x:c r="T467" s="52" t="str">
        <x:f>IF(CaseLedger!$A467="","",IFERROR(CaseLedger!$Z467,""))</x:f>
      </x:c>
      <x:c r="U467" s="52" t="str">
        <x:f>IF(CaseLedger!$A467="","",IFERROR(CaseLedger!$AA467,""))</x:f>
      </x:c>
      <x:c r="V467" s="52" t="str">
        <x:f>IF(CaseLedger!$A467="","",IFERROR(CaseLedger!$AB467,""))</x:f>
      </x:c>
      <x:c r="W467" s="52" t="str">
        <x:f>IF(CaseLedger!$A467="","",IFERROR(CaseLedger!$AC467,""))</x:f>
      </x:c>
      <x:c r="X467" s="52" t="str">
        <x:f>IF(CaseLedger!$A467="","",IFERROR(CaseLedger!$AD467,""))</x:f>
      </x:c>
      <x:c r="Y467" s="52" t="str">
        <x:f>IF(CaseLedger!$A467="","",IFERROR(CaseLedger!$AE467,""))</x:f>
      </x:c>
      <x:c r="Z467" s="52" t="str">
        <x:f>IF(CaseLedger!$A467="","",IFERROR(CaseLedger!$AF467,""))</x:f>
      </x:c>
      <x:c r="AA467" s="52" t="str">
        <x:f>IF(CaseLedger!$A467="","",IFERROR(CaseLedger!$AG467,""))</x:f>
      </x:c>
      <x:c r="AB467" s="52" t="str">
        <x:f>IF(CaseLedger!$A467="","",IFERROR(CaseLedger!$AH467,""))</x:f>
      </x:c>
      <x:c r="AC467"/>
    </x:row>
    <x:row r="468">
      <x:c r="A468" s="52" t="str">
        <x:f>IF(CaseLedger!$A468="","",IFERROR(CaseLedger!$A468,""))</x:f>
      </x:c>
      <x:c r="B468" s="52" t="str">
        <x:f>IF(CaseLedger!$A468="","",IFERROR(CaseLedger!$H468,""))</x:f>
      </x:c>
      <x:c r="C468" s="52" t="str">
        <x:f>IF(CaseLedger!$A468="","",IFERROR(CaseLedger!$I468,""))</x:f>
      </x:c>
      <x:c r="D468" s="52" t="str">
        <x:f>IF(CaseLedger!$A468="","",IFERROR(CaseLedger!$J468,""))</x:f>
      </x:c>
      <x:c r="E468" s="52" t="str">
        <x:f>IF(CaseLedger!$A468="","",IFERROR(CaseLedger!$K468,""))</x:f>
      </x:c>
      <x:c r="F468" s="52" t="str">
        <x:f>IF(CaseLedger!$A468="","",IFERROR(CaseLedger!$O468,""))</x:f>
      </x:c>
      <x:c r="G468" s="52" t="str">
        <x:f>IF(CaseLedger!$A468="","",IFERROR(CaseLedger!$E468,""))</x:f>
      </x:c>
      <x:c r="H468" s="52" t="str">
        <x:f>IF(CaseLedger!$A468="","",IFERROR(CaseLedger!$P468,""))</x:f>
      </x:c>
      <x:c r="I468" s="52" t="str">
        <x:f>IF(CaseLedger!$A468="","",IFERROR(CaseLedger!$Q468,""))</x:f>
      </x:c>
      <x:c r="J468" s="52" t="str">
        <x:f>IF(CaseLedger!$A468="","",IFERROR(CaseLedger!$R468,""))</x:f>
      </x:c>
      <x:c r="K468" s="52" t="str">
        <x:f>IF(CaseLedger!$A468="","",IFERROR(CaseLedger!$S468,""))</x:f>
      </x:c>
      <x:c r="L468" s="52" t="str">
        <x:f>IF(CaseLedger!$A468="","",IFERROR(CaseLedger!$T468,""))</x:f>
      </x:c>
      <x:c r="M468" s="52" t="str">
        <x:f>IF(CaseLedger!$A468="","",IFERROR(CaseLedger!$U468,""))</x:f>
      </x:c>
      <x:c r="N468" s="52" t="str">
        <x:f>IF(CaseLedger!$A468="","",IFERROR(CaseLedger!$V468,""))</x:f>
      </x:c>
      <x:c r="O468" s="52" t="str">
        <x:f>IF(CaseLedger!$A468="","",IFERROR(CaseLedger!$W468,""))</x:f>
      </x:c>
      <x:c r="P468" s="52" t="str">
        <x:f>IF(CaseLedger!$A468="","",IFERROR(CaseLedger!$C468,""))</x:f>
      </x:c>
      <x:c r="Q468" s="52" t="str">
        <x:f>IF(CaseLedger!$A468="","",IFERROR(CaseLedger!$D468,""))</x:f>
      </x:c>
      <x:c r="R468" s="52" t="str">
        <x:f>IF(CaseLedger!$A468="","",IFERROR(CaseLedger!$X468,""))</x:f>
      </x:c>
      <x:c r="S468" s="52" t="str">
        <x:f>IF(CaseLedger!$A468="","",IFERROR(CaseLedger!$Y468,""))</x:f>
      </x:c>
      <x:c r="T468" s="52" t="str">
        <x:f>IF(CaseLedger!$A468="","",IFERROR(CaseLedger!$Z468,""))</x:f>
      </x:c>
      <x:c r="U468" s="52" t="str">
        <x:f>IF(CaseLedger!$A468="","",IFERROR(CaseLedger!$AA468,""))</x:f>
      </x:c>
      <x:c r="V468" s="52" t="str">
        <x:f>IF(CaseLedger!$A468="","",IFERROR(CaseLedger!$AB468,""))</x:f>
      </x:c>
      <x:c r="W468" s="52" t="str">
        <x:f>IF(CaseLedger!$A468="","",IFERROR(CaseLedger!$AC468,""))</x:f>
      </x:c>
      <x:c r="X468" s="52" t="str">
        <x:f>IF(CaseLedger!$A468="","",IFERROR(CaseLedger!$AD468,""))</x:f>
      </x:c>
      <x:c r="Y468" s="52" t="str">
        <x:f>IF(CaseLedger!$A468="","",IFERROR(CaseLedger!$AE468,""))</x:f>
      </x:c>
      <x:c r="Z468" s="52" t="str">
        <x:f>IF(CaseLedger!$A468="","",IFERROR(CaseLedger!$AF468,""))</x:f>
      </x:c>
      <x:c r="AA468" s="52" t="str">
        <x:f>IF(CaseLedger!$A468="","",IFERROR(CaseLedger!$AG468,""))</x:f>
      </x:c>
      <x:c r="AB468" s="52" t="str">
        <x:f>IF(CaseLedger!$A468="","",IFERROR(CaseLedger!$AH468,""))</x:f>
      </x:c>
      <x:c r="AC468"/>
    </x:row>
    <x:row r="469">
      <x:c r="A469" s="52" t="str">
        <x:f>IF(CaseLedger!$A469="","",IFERROR(CaseLedger!$A469,""))</x:f>
      </x:c>
      <x:c r="B469" s="52" t="str">
        <x:f>IF(CaseLedger!$A469="","",IFERROR(CaseLedger!$H469,""))</x:f>
      </x:c>
      <x:c r="C469" s="52" t="str">
        <x:f>IF(CaseLedger!$A469="","",IFERROR(CaseLedger!$I469,""))</x:f>
      </x:c>
      <x:c r="D469" s="52" t="str">
        <x:f>IF(CaseLedger!$A469="","",IFERROR(CaseLedger!$J469,""))</x:f>
      </x:c>
      <x:c r="E469" s="52" t="str">
        <x:f>IF(CaseLedger!$A469="","",IFERROR(CaseLedger!$K469,""))</x:f>
      </x:c>
      <x:c r="F469" s="52" t="str">
        <x:f>IF(CaseLedger!$A469="","",IFERROR(CaseLedger!$O469,""))</x:f>
      </x:c>
      <x:c r="G469" s="52" t="str">
        <x:f>IF(CaseLedger!$A469="","",IFERROR(CaseLedger!$E469,""))</x:f>
      </x:c>
      <x:c r="H469" s="52" t="str">
        <x:f>IF(CaseLedger!$A469="","",IFERROR(CaseLedger!$P469,""))</x:f>
      </x:c>
      <x:c r="I469" s="52" t="str">
        <x:f>IF(CaseLedger!$A469="","",IFERROR(CaseLedger!$Q469,""))</x:f>
      </x:c>
      <x:c r="J469" s="52" t="str">
        <x:f>IF(CaseLedger!$A469="","",IFERROR(CaseLedger!$R469,""))</x:f>
      </x:c>
      <x:c r="K469" s="52" t="str">
        <x:f>IF(CaseLedger!$A469="","",IFERROR(CaseLedger!$S469,""))</x:f>
      </x:c>
      <x:c r="L469" s="52" t="str">
        <x:f>IF(CaseLedger!$A469="","",IFERROR(CaseLedger!$T469,""))</x:f>
      </x:c>
      <x:c r="M469" s="52" t="str">
        <x:f>IF(CaseLedger!$A469="","",IFERROR(CaseLedger!$U469,""))</x:f>
      </x:c>
      <x:c r="N469" s="52" t="str">
        <x:f>IF(CaseLedger!$A469="","",IFERROR(CaseLedger!$V469,""))</x:f>
      </x:c>
      <x:c r="O469" s="52" t="str">
        <x:f>IF(CaseLedger!$A469="","",IFERROR(CaseLedger!$W469,""))</x:f>
      </x:c>
      <x:c r="P469" s="52" t="str">
        <x:f>IF(CaseLedger!$A469="","",IFERROR(CaseLedger!$C469,""))</x:f>
      </x:c>
      <x:c r="Q469" s="52" t="str">
        <x:f>IF(CaseLedger!$A469="","",IFERROR(CaseLedger!$D469,""))</x:f>
      </x:c>
      <x:c r="R469" s="52" t="str">
        <x:f>IF(CaseLedger!$A469="","",IFERROR(CaseLedger!$X469,""))</x:f>
      </x:c>
      <x:c r="S469" s="52" t="str">
        <x:f>IF(CaseLedger!$A469="","",IFERROR(CaseLedger!$Y469,""))</x:f>
      </x:c>
      <x:c r="T469" s="52" t="str">
        <x:f>IF(CaseLedger!$A469="","",IFERROR(CaseLedger!$Z469,""))</x:f>
      </x:c>
      <x:c r="U469" s="52" t="str">
        <x:f>IF(CaseLedger!$A469="","",IFERROR(CaseLedger!$AA469,""))</x:f>
      </x:c>
      <x:c r="V469" s="52" t="str">
        <x:f>IF(CaseLedger!$A469="","",IFERROR(CaseLedger!$AB469,""))</x:f>
      </x:c>
      <x:c r="W469" s="52" t="str">
        <x:f>IF(CaseLedger!$A469="","",IFERROR(CaseLedger!$AC469,""))</x:f>
      </x:c>
      <x:c r="X469" s="52" t="str">
        <x:f>IF(CaseLedger!$A469="","",IFERROR(CaseLedger!$AD469,""))</x:f>
      </x:c>
      <x:c r="Y469" s="52" t="str">
        <x:f>IF(CaseLedger!$A469="","",IFERROR(CaseLedger!$AE469,""))</x:f>
      </x:c>
      <x:c r="Z469" s="52" t="str">
        <x:f>IF(CaseLedger!$A469="","",IFERROR(CaseLedger!$AF469,""))</x:f>
      </x:c>
      <x:c r="AA469" s="52" t="str">
        <x:f>IF(CaseLedger!$A469="","",IFERROR(CaseLedger!$AG469,""))</x:f>
      </x:c>
      <x:c r="AB469" s="52" t="str">
        <x:f>IF(CaseLedger!$A469="","",IFERROR(CaseLedger!$AH469,""))</x:f>
      </x:c>
      <x:c r="AC469"/>
    </x:row>
    <x:row r="470">
      <x:c r="A470" s="52" t="str">
        <x:f>IF(CaseLedger!$A470="","",IFERROR(CaseLedger!$A470,""))</x:f>
      </x:c>
      <x:c r="B470" s="52" t="str">
        <x:f>IF(CaseLedger!$A470="","",IFERROR(CaseLedger!$H470,""))</x:f>
      </x:c>
      <x:c r="C470" s="52" t="str">
        <x:f>IF(CaseLedger!$A470="","",IFERROR(CaseLedger!$I470,""))</x:f>
      </x:c>
      <x:c r="D470" s="52" t="str">
        <x:f>IF(CaseLedger!$A470="","",IFERROR(CaseLedger!$J470,""))</x:f>
      </x:c>
      <x:c r="E470" s="52" t="str">
        <x:f>IF(CaseLedger!$A470="","",IFERROR(CaseLedger!$K470,""))</x:f>
      </x:c>
      <x:c r="F470" s="52" t="str">
        <x:f>IF(CaseLedger!$A470="","",IFERROR(CaseLedger!$O470,""))</x:f>
      </x:c>
      <x:c r="G470" s="52" t="str">
        <x:f>IF(CaseLedger!$A470="","",IFERROR(CaseLedger!$E470,""))</x:f>
      </x:c>
      <x:c r="H470" s="52" t="str">
        <x:f>IF(CaseLedger!$A470="","",IFERROR(CaseLedger!$P470,""))</x:f>
      </x:c>
      <x:c r="I470" s="52" t="str">
        <x:f>IF(CaseLedger!$A470="","",IFERROR(CaseLedger!$Q470,""))</x:f>
      </x:c>
      <x:c r="J470" s="52" t="str">
        <x:f>IF(CaseLedger!$A470="","",IFERROR(CaseLedger!$R470,""))</x:f>
      </x:c>
      <x:c r="K470" s="52" t="str">
        <x:f>IF(CaseLedger!$A470="","",IFERROR(CaseLedger!$S470,""))</x:f>
      </x:c>
      <x:c r="L470" s="52" t="str">
        <x:f>IF(CaseLedger!$A470="","",IFERROR(CaseLedger!$T470,""))</x:f>
      </x:c>
      <x:c r="M470" s="52" t="str">
        <x:f>IF(CaseLedger!$A470="","",IFERROR(CaseLedger!$U470,""))</x:f>
      </x:c>
      <x:c r="N470" s="52" t="str">
        <x:f>IF(CaseLedger!$A470="","",IFERROR(CaseLedger!$V470,""))</x:f>
      </x:c>
      <x:c r="O470" s="52" t="str">
        <x:f>IF(CaseLedger!$A470="","",IFERROR(CaseLedger!$W470,""))</x:f>
      </x:c>
      <x:c r="P470" s="52" t="str">
        <x:f>IF(CaseLedger!$A470="","",IFERROR(CaseLedger!$C470,""))</x:f>
      </x:c>
      <x:c r="Q470" s="52" t="str">
        <x:f>IF(CaseLedger!$A470="","",IFERROR(CaseLedger!$D470,""))</x:f>
      </x:c>
      <x:c r="R470" s="52" t="str">
        <x:f>IF(CaseLedger!$A470="","",IFERROR(CaseLedger!$X470,""))</x:f>
      </x:c>
      <x:c r="S470" s="52" t="str">
        <x:f>IF(CaseLedger!$A470="","",IFERROR(CaseLedger!$Y470,""))</x:f>
      </x:c>
      <x:c r="T470" s="52" t="str">
        <x:f>IF(CaseLedger!$A470="","",IFERROR(CaseLedger!$Z470,""))</x:f>
      </x:c>
      <x:c r="U470" s="52" t="str">
        <x:f>IF(CaseLedger!$A470="","",IFERROR(CaseLedger!$AA470,""))</x:f>
      </x:c>
      <x:c r="V470" s="52" t="str">
        <x:f>IF(CaseLedger!$A470="","",IFERROR(CaseLedger!$AB470,""))</x:f>
      </x:c>
      <x:c r="W470" s="52" t="str">
        <x:f>IF(CaseLedger!$A470="","",IFERROR(CaseLedger!$AC470,""))</x:f>
      </x:c>
      <x:c r="X470" s="52" t="str">
        <x:f>IF(CaseLedger!$A470="","",IFERROR(CaseLedger!$AD470,""))</x:f>
      </x:c>
      <x:c r="Y470" s="52" t="str">
        <x:f>IF(CaseLedger!$A470="","",IFERROR(CaseLedger!$AE470,""))</x:f>
      </x:c>
      <x:c r="Z470" s="52" t="str">
        <x:f>IF(CaseLedger!$A470="","",IFERROR(CaseLedger!$AF470,""))</x:f>
      </x:c>
      <x:c r="AA470" s="52" t="str">
        <x:f>IF(CaseLedger!$A470="","",IFERROR(CaseLedger!$AG470,""))</x:f>
      </x:c>
      <x:c r="AB470" s="52" t="str">
        <x:f>IF(CaseLedger!$A470="","",IFERROR(CaseLedger!$AH470,""))</x:f>
      </x:c>
      <x:c r="AC470"/>
    </x:row>
    <x:row r="471">
      <x:c r="A471" s="52" t="str">
        <x:f>IF(CaseLedger!$A471="","",IFERROR(CaseLedger!$A471,""))</x:f>
      </x:c>
      <x:c r="B471" s="52" t="str">
        <x:f>IF(CaseLedger!$A471="","",IFERROR(CaseLedger!$H471,""))</x:f>
      </x:c>
      <x:c r="C471" s="52" t="str">
        <x:f>IF(CaseLedger!$A471="","",IFERROR(CaseLedger!$I471,""))</x:f>
      </x:c>
      <x:c r="D471" s="52" t="str">
        <x:f>IF(CaseLedger!$A471="","",IFERROR(CaseLedger!$J471,""))</x:f>
      </x:c>
      <x:c r="E471" s="52" t="str">
        <x:f>IF(CaseLedger!$A471="","",IFERROR(CaseLedger!$K471,""))</x:f>
      </x:c>
      <x:c r="F471" s="52" t="str">
        <x:f>IF(CaseLedger!$A471="","",IFERROR(CaseLedger!$O471,""))</x:f>
      </x:c>
      <x:c r="G471" s="52" t="str">
        <x:f>IF(CaseLedger!$A471="","",IFERROR(CaseLedger!$E471,""))</x:f>
      </x:c>
      <x:c r="H471" s="52" t="str">
        <x:f>IF(CaseLedger!$A471="","",IFERROR(CaseLedger!$P471,""))</x:f>
      </x:c>
      <x:c r="I471" s="52" t="str">
        <x:f>IF(CaseLedger!$A471="","",IFERROR(CaseLedger!$Q471,""))</x:f>
      </x:c>
      <x:c r="J471" s="52" t="str">
        <x:f>IF(CaseLedger!$A471="","",IFERROR(CaseLedger!$R471,""))</x:f>
      </x:c>
      <x:c r="K471" s="52" t="str">
        <x:f>IF(CaseLedger!$A471="","",IFERROR(CaseLedger!$S471,""))</x:f>
      </x:c>
      <x:c r="L471" s="52" t="str">
        <x:f>IF(CaseLedger!$A471="","",IFERROR(CaseLedger!$T471,""))</x:f>
      </x:c>
      <x:c r="M471" s="52" t="str">
        <x:f>IF(CaseLedger!$A471="","",IFERROR(CaseLedger!$U471,""))</x:f>
      </x:c>
      <x:c r="N471" s="52" t="str">
        <x:f>IF(CaseLedger!$A471="","",IFERROR(CaseLedger!$V471,""))</x:f>
      </x:c>
      <x:c r="O471" s="52" t="str">
        <x:f>IF(CaseLedger!$A471="","",IFERROR(CaseLedger!$W471,""))</x:f>
      </x:c>
      <x:c r="P471" s="52" t="str">
        <x:f>IF(CaseLedger!$A471="","",IFERROR(CaseLedger!$C471,""))</x:f>
      </x:c>
      <x:c r="Q471" s="52" t="str">
        <x:f>IF(CaseLedger!$A471="","",IFERROR(CaseLedger!$D471,""))</x:f>
      </x:c>
      <x:c r="R471" s="52" t="str">
        <x:f>IF(CaseLedger!$A471="","",IFERROR(CaseLedger!$X471,""))</x:f>
      </x:c>
      <x:c r="S471" s="52" t="str">
        <x:f>IF(CaseLedger!$A471="","",IFERROR(CaseLedger!$Y471,""))</x:f>
      </x:c>
      <x:c r="T471" s="52" t="str">
        <x:f>IF(CaseLedger!$A471="","",IFERROR(CaseLedger!$Z471,""))</x:f>
      </x:c>
      <x:c r="U471" s="52" t="str">
        <x:f>IF(CaseLedger!$A471="","",IFERROR(CaseLedger!$AA471,""))</x:f>
      </x:c>
      <x:c r="V471" s="52" t="str">
        <x:f>IF(CaseLedger!$A471="","",IFERROR(CaseLedger!$AB471,""))</x:f>
      </x:c>
      <x:c r="W471" s="52" t="str">
        <x:f>IF(CaseLedger!$A471="","",IFERROR(CaseLedger!$AC471,""))</x:f>
      </x:c>
      <x:c r="X471" s="52" t="str">
        <x:f>IF(CaseLedger!$A471="","",IFERROR(CaseLedger!$AD471,""))</x:f>
      </x:c>
      <x:c r="Y471" s="52" t="str">
        <x:f>IF(CaseLedger!$A471="","",IFERROR(CaseLedger!$AE471,""))</x:f>
      </x:c>
      <x:c r="Z471" s="52" t="str">
        <x:f>IF(CaseLedger!$A471="","",IFERROR(CaseLedger!$AF471,""))</x:f>
      </x:c>
      <x:c r="AA471" s="52" t="str">
        <x:f>IF(CaseLedger!$A471="","",IFERROR(CaseLedger!$AG471,""))</x:f>
      </x:c>
      <x:c r="AB471" s="52" t="str">
        <x:f>IF(CaseLedger!$A471="","",IFERROR(CaseLedger!$AH471,""))</x:f>
      </x:c>
      <x:c r="AC471"/>
    </x:row>
    <x:row r="472">
      <x:c r="A472" s="52" t="str">
        <x:f>IF(CaseLedger!$A472="","",IFERROR(CaseLedger!$A472,""))</x:f>
      </x:c>
      <x:c r="B472" s="52" t="str">
        <x:f>IF(CaseLedger!$A472="","",IFERROR(CaseLedger!$H472,""))</x:f>
      </x:c>
      <x:c r="C472" s="52" t="str">
        <x:f>IF(CaseLedger!$A472="","",IFERROR(CaseLedger!$I472,""))</x:f>
      </x:c>
      <x:c r="D472" s="52" t="str">
        <x:f>IF(CaseLedger!$A472="","",IFERROR(CaseLedger!$J472,""))</x:f>
      </x:c>
      <x:c r="E472" s="52" t="str">
        <x:f>IF(CaseLedger!$A472="","",IFERROR(CaseLedger!$K472,""))</x:f>
      </x:c>
      <x:c r="F472" s="52" t="str">
        <x:f>IF(CaseLedger!$A472="","",IFERROR(CaseLedger!$O472,""))</x:f>
      </x:c>
      <x:c r="G472" s="52" t="str">
        <x:f>IF(CaseLedger!$A472="","",IFERROR(CaseLedger!$E472,""))</x:f>
      </x:c>
      <x:c r="H472" s="52" t="str">
        <x:f>IF(CaseLedger!$A472="","",IFERROR(CaseLedger!$P472,""))</x:f>
      </x:c>
      <x:c r="I472" s="52" t="str">
        <x:f>IF(CaseLedger!$A472="","",IFERROR(CaseLedger!$Q472,""))</x:f>
      </x:c>
      <x:c r="J472" s="52" t="str">
        <x:f>IF(CaseLedger!$A472="","",IFERROR(CaseLedger!$R472,""))</x:f>
      </x:c>
      <x:c r="K472" s="52" t="str">
        <x:f>IF(CaseLedger!$A472="","",IFERROR(CaseLedger!$S472,""))</x:f>
      </x:c>
      <x:c r="L472" s="52" t="str">
        <x:f>IF(CaseLedger!$A472="","",IFERROR(CaseLedger!$T472,""))</x:f>
      </x:c>
      <x:c r="M472" s="52" t="str">
        <x:f>IF(CaseLedger!$A472="","",IFERROR(CaseLedger!$U472,""))</x:f>
      </x:c>
      <x:c r="N472" s="52" t="str">
        <x:f>IF(CaseLedger!$A472="","",IFERROR(CaseLedger!$V472,""))</x:f>
      </x:c>
      <x:c r="O472" s="52" t="str">
        <x:f>IF(CaseLedger!$A472="","",IFERROR(CaseLedger!$W472,""))</x:f>
      </x:c>
      <x:c r="P472" s="52" t="str">
        <x:f>IF(CaseLedger!$A472="","",IFERROR(CaseLedger!$C472,""))</x:f>
      </x:c>
      <x:c r="Q472" s="52" t="str">
        <x:f>IF(CaseLedger!$A472="","",IFERROR(CaseLedger!$D472,""))</x:f>
      </x:c>
      <x:c r="R472" s="52" t="str">
        <x:f>IF(CaseLedger!$A472="","",IFERROR(CaseLedger!$X472,""))</x:f>
      </x:c>
      <x:c r="S472" s="52" t="str">
        <x:f>IF(CaseLedger!$A472="","",IFERROR(CaseLedger!$Y472,""))</x:f>
      </x:c>
      <x:c r="T472" s="52" t="str">
        <x:f>IF(CaseLedger!$A472="","",IFERROR(CaseLedger!$Z472,""))</x:f>
      </x:c>
      <x:c r="U472" s="52" t="str">
        <x:f>IF(CaseLedger!$A472="","",IFERROR(CaseLedger!$AA472,""))</x:f>
      </x:c>
      <x:c r="V472" s="52" t="str">
        <x:f>IF(CaseLedger!$A472="","",IFERROR(CaseLedger!$AB472,""))</x:f>
      </x:c>
      <x:c r="W472" s="52" t="str">
        <x:f>IF(CaseLedger!$A472="","",IFERROR(CaseLedger!$AC472,""))</x:f>
      </x:c>
      <x:c r="X472" s="52" t="str">
        <x:f>IF(CaseLedger!$A472="","",IFERROR(CaseLedger!$AD472,""))</x:f>
      </x:c>
      <x:c r="Y472" s="52" t="str">
        <x:f>IF(CaseLedger!$A472="","",IFERROR(CaseLedger!$AE472,""))</x:f>
      </x:c>
      <x:c r="Z472" s="52" t="str">
        <x:f>IF(CaseLedger!$A472="","",IFERROR(CaseLedger!$AF472,""))</x:f>
      </x:c>
      <x:c r="AA472" s="52" t="str">
        <x:f>IF(CaseLedger!$A472="","",IFERROR(CaseLedger!$AG472,""))</x:f>
      </x:c>
      <x:c r="AB472" s="52" t="str">
        <x:f>IF(CaseLedger!$A472="","",IFERROR(CaseLedger!$AH472,""))</x:f>
      </x:c>
      <x:c r="AC472"/>
    </x:row>
    <x:row r="473">
      <x:c r="A473" s="52" t="str">
        <x:f>IF(CaseLedger!$A473="","",IFERROR(CaseLedger!$A473,""))</x:f>
      </x:c>
      <x:c r="B473" s="52" t="str">
        <x:f>IF(CaseLedger!$A473="","",IFERROR(CaseLedger!$H473,""))</x:f>
      </x:c>
      <x:c r="C473" s="52" t="str">
        <x:f>IF(CaseLedger!$A473="","",IFERROR(CaseLedger!$I473,""))</x:f>
      </x:c>
      <x:c r="D473" s="52" t="str">
        <x:f>IF(CaseLedger!$A473="","",IFERROR(CaseLedger!$J473,""))</x:f>
      </x:c>
      <x:c r="E473" s="52" t="str">
        <x:f>IF(CaseLedger!$A473="","",IFERROR(CaseLedger!$K473,""))</x:f>
      </x:c>
      <x:c r="F473" s="52" t="str">
        <x:f>IF(CaseLedger!$A473="","",IFERROR(CaseLedger!$O473,""))</x:f>
      </x:c>
      <x:c r="G473" s="52" t="str">
        <x:f>IF(CaseLedger!$A473="","",IFERROR(CaseLedger!$E473,""))</x:f>
      </x:c>
      <x:c r="H473" s="52" t="str">
        <x:f>IF(CaseLedger!$A473="","",IFERROR(CaseLedger!$P473,""))</x:f>
      </x:c>
      <x:c r="I473" s="52" t="str">
        <x:f>IF(CaseLedger!$A473="","",IFERROR(CaseLedger!$Q473,""))</x:f>
      </x:c>
      <x:c r="J473" s="52" t="str">
        <x:f>IF(CaseLedger!$A473="","",IFERROR(CaseLedger!$R473,""))</x:f>
      </x:c>
      <x:c r="K473" s="52" t="str">
        <x:f>IF(CaseLedger!$A473="","",IFERROR(CaseLedger!$S473,""))</x:f>
      </x:c>
      <x:c r="L473" s="52" t="str">
        <x:f>IF(CaseLedger!$A473="","",IFERROR(CaseLedger!$T473,""))</x:f>
      </x:c>
      <x:c r="M473" s="52" t="str">
        <x:f>IF(CaseLedger!$A473="","",IFERROR(CaseLedger!$U473,""))</x:f>
      </x:c>
      <x:c r="N473" s="52" t="str">
        <x:f>IF(CaseLedger!$A473="","",IFERROR(CaseLedger!$V473,""))</x:f>
      </x:c>
      <x:c r="O473" s="52" t="str">
        <x:f>IF(CaseLedger!$A473="","",IFERROR(CaseLedger!$W473,""))</x:f>
      </x:c>
      <x:c r="P473" s="52" t="str">
        <x:f>IF(CaseLedger!$A473="","",IFERROR(CaseLedger!$C473,""))</x:f>
      </x:c>
      <x:c r="Q473" s="52" t="str">
        <x:f>IF(CaseLedger!$A473="","",IFERROR(CaseLedger!$D473,""))</x:f>
      </x:c>
      <x:c r="R473" s="52" t="str">
        <x:f>IF(CaseLedger!$A473="","",IFERROR(CaseLedger!$X473,""))</x:f>
      </x:c>
      <x:c r="S473" s="52" t="str">
        <x:f>IF(CaseLedger!$A473="","",IFERROR(CaseLedger!$Y473,""))</x:f>
      </x:c>
      <x:c r="T473" s="52" t="str">
        <x:f>IF(CaseLedger!$A473="","",IFERROR(CaseLedger!$Z473,""))</x:f>
      </x:c>
      <x:c r="U473" s="52" t="str">
        <x:f>IF(CaseLedger!$A473="","",IFERROR(CaseLedger!$AA473,""))</x:f>
      </x:c>
      <x:c r="V473" s="52" t="str">
        <x:f>IF(CaseLedger!$A473="","",IFERROR(CaseLedger!$AB473,""))</x:f>
      </x:c>
      <x:c r="W473" s="52" t="str">
        <x:f>IF(CaseLedger!$A473="","",IFERROR(CaseLedger!$AC473,""))</x:f>
      </x:c>
      <x:c r="X473" s="52" t="str">
        <x:f>IF(CaseLedger!$A473="","",IFERROR(CaseLedger!$AD473,""))</x:f>
      </x:c>
      <x:c r="Y473" s="52" t="str">
        <x:f>IF(CaseLedger!$A473="","",IFERROR(CaseLedger!$AE473,""))</x:f>
      </x:c>
      <x:c r="Z473" s="52" t="str">
        <x:f>IF(CaseLedger!$A473="","",IFERROR(CaseLedger!$AF473,""))</x:f>
      </x:c>
      <x:c r="AA473" s="52" t="str">
        <x:f>IF(CaseLedger!$A473="","",IFERROR(CaseLedger!$AG473,""))</x:f>
      </x:c>
      <x:c r="AB473" s="52" t="str">
        <x:f>IF(CaseLedger!$A473="","",IFERROR(CaseLedger!$AH473,""))</x:f>
      </x:c>
      <x:c r="AC473"/>
    </x:row>
    <x:row r="474">
      <x:c r="A474" s="52" t="str">
        <x:f>IF(CaseLedger!$A474="","",IFERROR(CaseLedger!$A474,""))</x:f>
      </x:c>
      <x:c r="B474" s="52" t="str">
        <x:f>IF(CaseLedger!$A474="","",IFERROR(CaseLedger!$H474,""))</x:f>
      </x:c>
      <x:c r="C474" s="52" t="str">
        <x:f>IF(CaseLedger!$A474="","",IFERROR(CaseLedger!$I474,""))</x:f>
      </x:c>
      <x:c r="D474" s="52" t="str">
        <x:f>IF(CaseLedger!$A474="","",IFERROR(CaseLedger!$J474,""))</x:f>
      </x:c>
      <x:c r="E474" s="52" t="str">
        <x:f>IF(CaseLedger!$A474="","",IFERROR(CaseLedger!$K474,""))</x:f>
      </x:c>
      <x:c r="F474" s="52" t="str">
        <x:f>IF(CaseLedger!$A474="","",IFERROR(CaseLedger!$O474,""))</x:f>
      </x:c>
      <x:c r="G474" s="52" t="str">
        <x:f>IF(CaseLedger!$A474="","",IFERROR(CaseLedger!$E474,""))</x:f>
      </x:c>
      <x:c r="H474" s="52" t="str">
        <x:f>IF(CaseLedger!$A474="","",IFERROR(CaseLedger!$P474,""))</x:f>
      </x:c>
      <x:c r="I474" s="52" t="str">
        <x:f>IF(CaseLedger!$A474="","",IFERROR(CaseLedger!$Q474,""))</x:f>
      </x:c>
      <x:c r="J474" s="52" t="str">
        <x:f>IF(CaseLedger!$A474="","",IFERROR(CaseLedger!$R474,""))</x:f>
      </x:c>
      <x:c r="K474" s="52" t="str">
        <x:f>IF(CaseLedger!$A474="","",IFERROR(CaseLedger!$S474,""))</x:f>
      </x:c>
      <x:c r="L474" s="52" t="str">
        <x:f>IF(CaseLedger!$A474="","",IFERROR(CaseLedger!$T474,""))</x:f>
      </x:c>
      <x:c r="M474" s="52" t="str">
        <x:f>IF(CaseLedger!$A474="","",IFERROR(CaseLedger!$U474,""))</x:f>
      </x:c>
      <x:c r="N474" s="52" t="str">
        <x:f>IF(CaseLedger!$A474="","",IFERROR(CaseLedger!$V474,""))</x:f>
      </x:c>
      <x:c r="O474" s="52" t="str">
        <x:f>IF(CaseLedger!$A474="","",IFERROR(CaseLedger!$W474,""))</x:f>
      </x:c>
      <x:c r="P474" s="52" t="str">
        <x:f>IF(CaseLedger!$A474="","",IFERROR(CaseLedger!$C474,""))</x:f>
      </x:c>
      <x:c r="Q474" s="52" t="str">
        <x:f>IF(CaseLedger!$A474="","",IFERROR(CaseLedger!$D474,""))</x:f>
      </x:c>
      <x:c r="R474" s="52" t="str">
        <x:f>IF(CaseLedger!$A474="","",IFERROR(CaseLedger!$X474,""))</x:f>
      </x:c>
      <x:c r="S474" s="52" t="str">
        <x:f>IF(CaseLedger!$A474="","",IFERROR(CaseLedger!$Y474,""))</x:f>
      </x:c>
      <x:c r="T474" s="52" t="str">
        <x:f>IF(CaseLedger!$A474="","",IFERROR(CaseLedger!$Z474,""))</x:f>
      </x:c>
      <x:c r="U474" s="52" t="str">
        <x:f>IF(CaseLedger!$A474="","",IFERROR(CaseLedger!$AA474,""))</x:f>
      </x:c>
      <x:c r="V474" s="52" t="str">
        <x:f>IF(CaseLedger!$A474="","",IFERROR(CaseLedger!$AB474,""))</x:f>
      </x:c>
      <x:c r="W474" s="52" t="str">
        <x:f>IF(CaseLedger!$A474="","",IFERROR(CaseLedger!$AC474,""))</x:f>
      </x:c>
      <x:c r="X474" s="52" t="str">
        <x:f>IF(CaseLedger!$A474="","",IFERROR(CaseLedger!$AD474,""))</x:f>
      </x:c>
      <x:c r="Y474" s="52" t="str">
        <x:f>IF(CaseLedger!$A474="","",IFERROR(CaseLedger!$AE474,""))</x:f>
      </x:c>
      <x:c r="Z474" s="52" t="str">
        <x:f>IF(CaseLedger!$A474="","",IFERROR(CaseLedger!$AF474,""))</x:f>
      </x:c>
      <x:c r="AA474" s="52" t="str">
        <x:f>IF(CaseLedger!$A474="","",IFERROR(CaseLedger!$AG474,""))</x:f>
      </x:c>
      <x:c r="AB474" s="52" t="str">
        <x:f>IF(CaseLedger!$A474="","",IFERROR(CaseLedger!$AH474,""))</x:f>
      </x:c>
      <x:c r="AC474"/>
    </x:row>
    <x:row r="475">
      <x:c r="A475" s="52" t="str">
        <x:f>IF(CaseLedger!$A475="","",IFERROR(CaseLedger!$A475,""))</x:f>
      </x:c>
      <x:c r="B475" s="52" t="str">
        <x:f>IF(CaseLedger!$A475="","",IFERROR(CaseLedger!$H475,""))</x:f>
      </x:c>
      <x:c r="C475" s="52" t="str">
        <x:f>IF(CaseLedger!$A475="","",IFERROR(CaseLedger!$I475,""))</x:f>
      </x:c>
      <x:c r="D475" s="52" t="str">
        <x:f>IF(CaseLedger!$A475="","",IFERROR(CaseLedger!$J475,""))</x:f>
      </x:c>
      <x:c r="E475" s="52" t="str">
        <x:f>IF(CaseLedger!$A475="","",IFERROR(CaseLedger!$K475,""))</x:f>
      </x:c>
      <x:c r="F475" s="52" t="str">
        <x:f>IF(CaseLedger!$A475="","",IFERROR(CaseLedger!$O475,""))</x:f>
      </x:c>
      <x:c r="G475" s="52" t="str">
        <x:f>IF(CaseLedger!$A475="","",IFERROR(CaseLedger!$E475,""))</x:f>
      </x:c>
      <x:c r="H475" s="52" t="str">
        <x:f>IF(CaseLedger!$A475="","",IFERROR(CaseLedger!$P475,""))</x:f>
      </x:c>
      <x:c r="I475" s="52" t="str">
        <x:f>IF(CaseLedger!$A475="","",IFERROR(CaseLedger!$Q475,""))</x:f>
      </x:c>
      <x:c r="J475" s="52" t="str">
        <x:f>IF(CaseLedger!$A475="","",IFERROR(CaseLedger!$R475,""))</x:f>
      </x:c>
      <x:c r="K475" s="52" t="str">
        <x:f>IF(CaseLedger!$A475="","",IFERROR(CaseLedger!$S475,""))</x:f>
      </x:c>
      <x:c r="L475" s="52" t="str">
        <x:f>IF(CaseLedger!$A475="","",IFERROR(CaseLedger!$T475,""))</x:f>
      </x:c>
      <x:c r="M475" s="52" t="str">
        <x:f>IF(CaseLedger!$A475="","",IFERROR(CaseLedger!$U475,""))</x:f>
      </x:c>
      <x:c r="N475" s="52" t="str">
        <x:f>IF(CaseLedger!$A475="","",IFERROR(CaseLedger!$V475,""))</x:f>
      </x:c>
      <x:c r="O475" s="52" t="str">
        <x:f>IF(CaseLedger!$A475="","",IFERROR(CaseLedger!$W475,""))</x:f>
      </x:c>
      <x:c r="P475" s="52" t="str">
        <x:f>IF(CaseLedger!$A475="","",IFERROR(CaseLedger!$C475,""))</x:f>
      </x:c>
      <x:c r="Q475" s="52" t="str">
        <x:f>IF(CaseLedger!$A475="","",IFERROR(CaseLedger!$D475,""))</x:f>
      </x:c>
      <x:c r="R475" s="52" t="str">
        <x:f>IF(CaseLedger!$A475="","",IFERROR(CaseLedger!$X475,""))</x:f>
      </x:c>
      <x:c r="S475" s="52" t="str">
        <x:f>IF(CaseLedger!$A475="","",IFERROR(CaseLedger!$Y475,""))</x:f>
      </x:c>
      <x:c r="T475" s="52" t="str">
        <x:f>IF(CaseLedger!$A475="","",IFERROR(CaseLedger!$Z475,""))</x:f>
      </x:c>
      <x:c r="U475" s="52" t="str">
        <x:f>IF(CaseLedger!$A475="","",IFERROR(CaseLedger!$AA475,""))</x:f>
      </x:c>
      <x:c r="V475" s="52" t="str">
        <x:f>IF(CaseLedger!$A475="","",IFERROR(CaseLedger!$AB475,""))</x:f>
      </x:c>
      <x:c r="W475" s="52" t="str">
        <x:f>IF(CaseLedger!$A475="","",IFERROR(CaseLedger!$AC475,""))</x:f>
      </x:c>
      <x:c r="X475" s="52" t="str">
        <x:f>IF(CaseLedger!$A475="","",IFERROR(CaseLedger!$AD475,""))</x:f>
      </x:c>
      <x:c r="Y475" s="52" t="str">
        <x:f>IF(CaseLedger!$A475="","",IFERROR(CaseLedger!$AE475,""))</x:f>
      </x:c>
      <x:c r="Z475" s="52" t="str">
        <x:f>IF(CaseLedger!$A475="","",IFERROR(CaseLedger!$AF475,""))</x:f>
      </x:c>
      <x:c r="AA475" s="52" t="str">
        <x:f>IF(CaseLedger!$A475="","",IFERROR(CaseLedger!$AG475,""))</x:f>
      </x:c>
      <x:c r="AB475" s="52" t="str">
        <x:f>IF(CaseLedger!$A475="","",IFERROR(CaseLedger!$AH475,""))</x:f>
      </x:c>
      <x:c r="AC475"/>
    </x:row>
    <x:row r="476">
      <x:c r="A476" s="52" t="str">
        <x:f>IF(CaseLedger!$A476="","",IFERROR(CaseLedger!$A476,""))</x:f>
      </x:c>
      <x:c r="B476" s="52" t="str">
        <x:f>IF(CaseLedger!$A476="","",IFERROR(CaseLedger!$H476,""))</x:f>
      </x:c>
      <x:c r="C476" s="52" t="str">
        <x:f>IF(CaseLedger!$A476="","",IFERROR(CaseLedger!$I476,""))</x:f>
      </x:c>
      <x:c r="D476" s="52" t="str">
        <x:f>IF(CaseLedger!$A476="","",IFERROR(CaseLedger!$J476,""))</x:f>
      </x:c>
      <x:c r="E476" s="52" t="str">
        <x:f>IF(CaseLedger!$A476="","",IFERROR(CaseLedger!$K476,""))</x:f>
      </x:c>
      <x:c r="F476" s="52" t="str">
        <x:f>IF(CaseLedger!$A476="","",IFERROR(CaseLedger!$O476,""))</x:f>
      </x:c>
      <x:c r="G476" s="52" t="str">
        <x:f>IF(CaseLedger!$A476="","",IFERROR(CaseLedger!$E476,""))</x:f>
      </x:c>
      <x:c r="H476" s="52" t="str">
        <x:f>IF(CaseLedger!$A476="","",IFERROR(CaseLedger!$P476,""))</x:f>
      </x:c>
      <x:c r="I476" s="52" t="str">
        <x:f>IF(CaseLedger!$A476="","",IFERROR(CaseLedger!$Q476,""))</x:f>
      </x:c>
      <x:c r="J476" s="52" t="str">
        <x:f>IF(CaseLedger!$A476="","",IFERROR(CaseLedger!$R476,""))</x:f>
      </x:c>
      <x:c r="K476" s="52" t="str">
        <x:f>IF(CaseLedger!$A476="","",IFERROR(CaseLedger!$S476,""))</x:f>
      </x:c>
      <x:c r="L476" s="52" t="str">
        <x:f>IF(CaseLedger!$A476="","",IFERROR(CaseLedger!$T476,""))</x:f>
      </x:c>
      <x:c r="M476" s="52" t="str">
        <x:f>IF(CaseLedger!$A476="","",IFERROR(CaseLedger!$U476,""))</x:f>
      </x:c>
      <x:c r="N476" s="52" t="str">
        <x:f>IF(CaseLedger!$A476="","",IFERROR(CaseLedger!$V476,""))</x:f>
      </x:c>
      <x:c r="O476" s="52" t="str">
        <x:f>IF(CaseLedger!$A476="","",IFERROR(CaseLedger!$W476,""))</x:f>
      </x:c>
      <x:c r="P476" s="52" t="str">
        <x:f>IF(CaseLedger!$A476="","",IFERROR(CaseLedger!$C476,""))</x:f>
      </x:c>
      <x:c r="Q476" s="52" t="str">
        <x:f>IF(CaseLedger!$A476="","",IFERROR(CaseLedger!$D476,""))</x:f>
      </x:c>
      <x:c r="R476" s="52" t="str">
        <x:f>IF(CaseLedger!$A476="","",IFERROR(CaseLedger!$X476,""))</x:f>
      </x:c>
      <x:c r="S476" s="52" t="str">
        <x:f>IF(CaseLedger!$A476="","",IFERROR(CaseLedger!$Y476,""))</x:f>
      </x:c>
      <x:c r="T476" s="52" t="str">
        <x:f>IF(CaseLedger!$A476="","",IFERROR(CaseLedger!$Z476,""))</x:f>
      </x:c>
      <x:c r="U476" s="52" t="str">
        <x:f>IF(CaseLedger!$A476="","",IFERROR(CaseLedger!$AA476,""))</x:f>
      </x:c>
      <x:c r="V476" s="52" t="str">
        <x:f>IF(CaseLedger!$A476="","",IFERROR(CaseLedger!$AB476,""))</x:f>
      </x:c>
      <x:c r="W476" s="52" t="str">
        <x:f>IF(CaseLedger!$A476="","",IFERROR(CaseLedger!$AC476,""))</x:f>
      </x:c>
      <x:c r="X476" s="52" t="str">
        <x:f>IF(CaseLedger!$A476="","",IFERROR(CaseLedger!$AD476,""))</x:f>
      </x:c>
      <x:c r="Y476" s="52" t="str">
        <x:f>IF(CaseLedger!$A476="","",IFERROR(CaseLedger!$AE476,""))</x:f>
      </x:c>
      <x:c r="Z476" s="52" t="str">
        <x:f>IF(CaseLedger!$A476="","",IFERROR(CaseLedger!$AF476,""))</x:f>
      </x:c>
      <x:c r="AA476" s="52" t="str">
        <x:f>IF(CaseLedger!$A476="","",IFERROR(CaseLedger!$AG476,""))</x:f>
      </x:c>
      <x:c r="AB476" s="52" t="str">
        <x:f>IF(CaseLedger!$A476="","",IFERROR(CaseLedger!$AH476,""))</x:f>
      </x:c>
      <x:c r="AC476"/>
    </x:row>
    <x:row r="477">
      <x:c r="A477" s="52" t="str">
        <x:f>IF(CaseLedger!$A477="","",IFERROR(CaseLedger!$A477,""))</x:f>
      </x:c>
      <x:c r="B477" s="52" t="str">
        <x:f>IF(CaseLedger!$A477="","",IFERROR(CaseLedger!$H477,""))</x:f>
      </x:c>
      <x:c r="C477" s="52" t="str">
        <x:f>IF(CaseLedger!$A477="","",IFERROR(CaseLedger!$I477,""))</x:f>
      </x:c>
      <x:c r="D477" s="52" t="str">
        <x:f>IF(CaseLedger!$A477="","",IFERROR(CaseLedger!$J477,""))</x:f>
      </x:c>
      <x:c r="E477" s="52" t="str">
        <x:f>IF(CaseLedger!$A477="","",IFERROR(CaseLedger!$K477,""))</x:f>
      </x:c>
      <x:c r="F477" s="52" t="str">
        <x:f>IF(CaseLedger!$A477="","",IFERROR(CaseLedger!$O477,""))</x:f>
      </x:c>
      <x:c r="G477" s="52" t="str">
        <x:f>IF(CaseLedger!$A477="","",IFERROR(CaseLedger!$E477,""))</x:f>
      </x:c>
      <x:c r="H477" s="52" t="str">
        <x:f>IF(CaseLedger!$A477="","",IFERROR(CaseLedger!$P477,""))</x:f>
      </x:c>
      <x:c r="I477" s="52" t="str">
        <x:f>IF(CaseLedger!$A477="","",IFERROR(CaseLedger!$Q477,""))</x:f>
      </x:c>
      <x:c r="J477" s="52" t="str">
        <x:f>IF(CaseLedger!$A477="","",IFERROR(CaseLedger!$R477,""))</x:f>
      </x:c>
      <x:c r="K477" s="52" t="str">
        <x:f>IF(CaseLedger!$A477="","",IFERROR(CaseLedger!$S477,""))</x:f>
      </x:c>
      <x:c r="L477" s="52" t="str">
        <x:f>IF(CaseLedger!$A477="","",IFERROR(CaseLedger!$T477,""))</x:f>
      </x:c>
      <x:c r="M477" s="52" t="str">
        <x:f>IF(CaseLedger!$A477="","",IFERROR(CaseLedger!$U477,""))</x:f>
      </x:c>
      <x:c r="N477" s="52" t="str">
        <x:f>IF(CaseLedger!$A477="","",IFERROR(CaseLedger!$V477,""))</x:f>
      </x:c>
      <x:c r="O477" s="52" t="str">
        <x:f>IF(CaseLedger!$A477="","",IFERROR(CaseLedger!$W477,""))</x:f>
      </x:c>
      <x:c r="P477" s="52" t="str">
        <x:f>IF(CaseLedger!$A477="","",IFERROR(CaseLedger!$C477,""))</x:f>
      </x:c>
      <x:c r="Q477" s="52" t="str">
        <x:f>IF(CaseLedger!$A477="","",IFERROR(CaseLedger!$D477,""))</x:f>
      </x:c>
      <x:c r="R477" s="52" t="str">
        <x:f>IF(CaseLedger!$A477="","",IFERROR(CaseLedger!$X477,""))</x:f>
      </x:c>
      <x:c r="S477" s="52" t="str">
        <x:f>IF(CaseLedger!$A477="","",IFERROR(CaseLedger!$Y477,""))</x:f>
      </x:c>
      <x:c r="T477" s="52" t="str">
        <x:f>IF(CaseLedger!$A477="","",IFERROR(CaseLedger!$Z477,""))</x:f>
      </x:c>
      <x:c r="U477" s="52" t="str">
        <x:f>IF(CaseLedger!$A477="","",IFERROR(CaseLedger!$AA477,""))</x:f>
      </x:c>
      <x:c r="V477" s="52" t="str">
        <x:f>IF(CaseLedger!$A477="","",IFERROR(CaseLedger!$AB477,""))</x:f>
      </x:c>
      <x:c r="W477" s="52" t="str">
        <x:f>IF(CaseLedger!$A477="","",IFERROR(CaseLedger!$AC477,""))</x:f>
      </x:c>
      <x:c r="X477" s="52" t="str">
        <x:f>IF(CaseLedger!$A477="","",IFERROR(CaseLedger!$AD477,""))</x:f>
      </x:c>
      <x:c r="Y477" s="52" t="str">
        <x:f>IF(CaseLedger!$A477="","",IFERROR(CaseLedger!$AE477,""))</x:f>
      </x:c>
      <x:c r="Z477" s="52" t="str">
        <x:f>IF(CaseLedger!$A477="","",IFERROR(CaseLedger!$AF477,""))</x:f>
      </x:c>
      <x:c r="AA477" s="52" t="str">
        <x:f>IF(CaseLedger!$A477="","",IFERROR(CaseLedger!$AG477,""))</x:f>
      </x:c>
      <x:c r="AB477" s="52" t="str">
        <x:f>IF(CaseLedger!$A477="","",IFERROR(CaseLedger!$AH477,""))</x:f>
      </x:c>
      <x:c r="AC477"/>
    </x:row>
    <x:row r="478">
      <x:c r="A478" s="52" t="str">
        <x:f>IF(CaseLedger!$A478="","",IFERROR(CaseLedger!$A478,""))</x:f>
      </x:c>
      <x:c r="B478" s="52" t="str">
        <x:f>IF(CaseLedger!$A478="","",IFERROR(CaseLedger!$H478,""))</x:f>
      </x:c>
      <x:c r="C478" s="52" t="str">
        <x:f>IF(CaseLedger!$A478="","",IFERROR(CaseLedger!$I478,""))</x:f>
      </x:c>
      <x:c r="D478" s="52" t="str">
        <x:f>IF(CaseLedger!$A478="","",IFERROR(CaseLedger!$J478,""))</x:f>
      </x:c>
      <x:c r="E478" s="52" t="str">
        <x:f>IF(CaseLedger!$A478="","",IFERROR(CaseLedger!$K478,""))</x:f>
      </x:c>
      <x:c r="F478" s="52" t="str">
        <x:f>IF(CaseLedger!$A478="","",IFERROR(CaseLedger!$O478,""))</x:f>
      </x:c>
      <x:c r="G478" s="52" t="str">
        <x:f>IF(CaseLedger!$A478="","",IFERROR(CaseLedger!$E478,""))</x:f>
      </x:c>
      <x:c r="H478" s="52" t="str">
        <x:f>IF(CaseLedger!$A478="","",IFERROR(CaseLedger!$P478,""))</x:f>
      </x:c>
      <x:c r="I478" s="52" t="str">
        <x:f>IF(CaseLedger!$A478="","",IFERROR(CaseLedger!$Q478,""))</x:f>
      </x:c>
      <x:c r="J478" s="52" t="str">
        <x:f>IF(CaseLedger!$A478="","",IFERROR(CaseLedger!$R478,""))</x:f>
      </x:c>
      <x:c r="K478" s="52" t="str">
        <x:f>IF(CaseLedger!$A478="","",IFERROR(CaseLedger!$S478,""))</x:f>
      </x:c>
      <x:c r="L478" s="52" t="str">
        <x:f>IF(CaseLedger!$A478="","",IFERROR(CaseLedger!$T478,""))</x:f>
      </x:c>
      <x:c r="M478" s="52" t="str">
        <x:f>IF(CaseLedger!$A478="","",IFERROR(CaseLedger!$U478,""))</x:f>
      </x:c>
      <x:c r="N478" s="52" t="str">
        <x:f>IF(CaseLedger!$A478="","",IFERROR(CaseLedger!$V478,""))</x:f>
      </x:c>
      <x:c r="O478" s="52" t="str">
        <x:f>IF(CaseLedger!$A478="","",IFERROR(CaseLedger!$W478,""))</x:f>
      </x:c>
      <x:c r="P478" s="52" t="str">
        <x:f>IF(CaseLedger!$A478="","",IFERROR(CaseLedger!$C478,""))</x:f>
      </x:c>
      <x:c r="Q478" s="52" t="str">
        <x:f>IF(CaseLedger!$A478="","",IFERROR(CaseLedger!$D478,""))</x:f>
      </x:c>
      <x:c r="R478" s="52" t="str">
        <x:f>IF(CaseLedger!$A478="","",IFERROR(CaseLedger!$X478,""))</x:f>
      </x:c>
      <x:c r="S478" s="52" t="str">
        <x:f>IF(CaseLedger!$A478="","",IFERROR(CaseLedger!$Y478,""))</x:f>
      </x:c>
      <x:c r="T478" s="52" t="str">
        <x:f>IF(CaseLedger!$A478="","",IFERROR(CaseLedger!$Z478,""))</x:f>
      </x:c>
      <x:c r="U478" s="52" t="str">
        <x:f>IF(CaseLedger!$A478="","",IFERROR(CaseLedger!$AA478,""))</x:f>
      </x:c>
      <x:c r="V478" s="52" t="str">
        <x:f>IF(CaseLedger!$A478="","",IFERROR(CaseLedger!$AB478,""))</x:f>
      </x:c>
      <x:c r="W478" s="52" t="str">
        <x:f>IF(CaseLedger!$A478="","",IFERROR(CaseLedger!$AC478,""))</x:f>
      </x:c>
      <x:c r="X478" s="52" t="str">
        <x:f>IF(CaseLedger!$A478="","",IFERROR(CaseLedger!$AD478,""))</x:f>
      </x:c>
      <x:c r="Y478" s="52" t="str">
        <x:f>IF(CaseLedger!$A478="","",IFERROR(CaseLedger!$AE478,""))</x:f>
      </x:c>
      <x:c r="Z478" s="52" t="str">
        <x:f>IF(CaseLedger!$A478="","",IFERROR(CaseLedger!$AF478,""))</x:f>
      </x:c>
      <x:c r="AA478" s="52" t="str">
        <x:f>IF(CaseLedger!$A478="","",IFERROR(CaseLedger!$AG478,""))</x:f>
      </x:c>
      <x:c r="AB478" s="52" t="str">
        <x:f>IF(CaseLedger!$A478="","",IFERROR(CaseLedger!$AH478,""))</x:f>
      </x:c>
      <x:c r="AC478"/>
    </x:row>
    <x:row r="479">
      <x:c r="A479" s="52" t="str">
        <x:f>IF(CaseLedger!$A479="","",IFERROR(CaseLedger!$A479,""))</x:f>
      </x:c>
      <x:c r="B479" s="52" t="str">
        <x:f>IF(CaseLedger!$A479="","",IFERROR(CaseLedger!$H479,""))</x:f>
      </x:c>
      <x:c r="C479" s="52" t="str">
        <x:f>IF(CaseLedger!$A479="","",IFERROR(CaseLedger!$I479,""))</x:f>
      </x:c>
      <x:c r="D479" s="52" t="str">
        <x:f>IF(CaseLedger!$A479="","",IFERROR(CaseLedger!$J479,""))</x:f>
      </x:c>
      <x:c r="E479" s="52" t="str">
        <x:f>IF(CaseLedger!$A479="","",IFERROR(CaseLedger!$K479,""))</x:f>
      </x:c>
      <x:c r="F479" s="52" t="str">
        <x:f>IF(CaseLedger!$A479="","",IFERROR(CaseLedger!$O479,""))</x:f>
      </x:c>
      <x:c r="G479" s="52" t="str">
        <x:f>IF(CaseLedger!$A479="","",IFERROR(CaseLedger!$E479,""))</x:f>
      </x:c>
      <x:c r="H479" s="52" t="str">
        <x:f>IF(CaseLedger!$A479="","",IFERROR(CaseLedger!$P479,""))</x:f>
      </x:c>
      <x:c r="I479" s="52" t="str">
        <x:f>IF(CaseLedger!$A479="","",IFERROR(CaseLedger!$Q479,""))</x:f>
      </x:c>
      <x:c r="J479" s="52" t="str">
        <x:f>IF(CaseLedger!$A479="","",IFERROR(CaseLedger!$R479,""))</x:f>
      </x:c>
      <x:c r="K479" s="52" t="str">
        <x:f>IF(CaseLedger!$A479="","",IFERROR(CaseLedger!$S479,""))</x:f>
      </x:c>
      <x:c r="L479" s="52" t="str">
        <x:f>IF(CaseLedger!$A479="","",IFERROR(CaseLedger!$T479,""))</x:f>
      </x:c>
      <x:c r="M479" s="52" t="str">
        <x:f>IF(CaseLedger!$A479="","",IFERROR(CaseLedger!$U479,""))</x:f>
      </x:c>
      <x:c r="N479" s="52" t="str">
        <x:f>IF(CaseLedger!$A479="","",IFERROR(CaseLedger!$V479,""))</x:f>
      </x:c>
      <x:c r="O479" s="52" t="str">
        <x:f>IF(CaseLedger!$A479="","",IFERROR(CaseLedger!$W479,""))</x:f>
      </x:c>
      <x:c r="P479" s="52" t="str">
        <x:f>IF(CaseLedger!$A479="","",IFERROR(CaseLedger!$C479,""))</x:f>
      </x:c>
      <x:c r="Q479" s="52" t="str">
        <x:f>IF(CaseLedger!$A479="","",IFERROR(CaseLedger!$D479,""))</x:f>
      </x:c>
      <x:c r="R479" s="52" t="str">
        <x:f>IF(CaseLedger!$A479="","",IFERROR(CaseLedger!$X479,""))</x:f>
      </x:c>
      <x:c r="S479" s="52" t="str">
        <x:f>IF(CaseLedger!$A479="","",IFERROR(CaseLedger!$Y479,""))</x:f>
      </x:c>
      <x:c r="T479" s="52" t="str">
        <x:f>IF(CaseLedger!$A479="","",IFERROR(CaseLedger!$Z479,""))</x:f>
      </x:c>
      <x:c r="U479" s="52" t="str">
        <x:f>IF(CaseLedger!$A479="","",IFERROR(CaseLedger!$AA479,""))</x:f>
      </x:c>
      <x:c r="V479" s="52" t="str">
        <x:f>IF(CaseLedger!$A479="","",IFERROR(CaseLedger!$AB479,""))</x:f>
      </x:c>
      <x:c r="W479" s="52" t="str">
        <x:f>IF(CaseLedger!$A479="","",IFERROR(CaseLedger!$AC479,""))</x:f>
      </x:c>
      <x:c r="X479" s="52" t="str">
        <x:f>IF(CaseLedger!$A479="","",IFERROR(CaseLedger!$AD479,""))</x:f>
      </x:c>
      <x:c r="Y479" s="52" t="str">
        <x:f>IF(CaseLedger!$A479="","",IFERROR(CaseLedger!$AE479,""))</x:f>
      </x:c>
      <x:c r="Z479" s="52" t="str">
        <x:f>IF(CaseLedger!$A479="","",IFERROR(CaseLedger!$AF479,""))</x:f>
      </x:c>
      <x:c r="AA479" s="52" t="str">
        <x:f>IF(CaseLedger!$A479="","",IFERROR(CaseLedger!$AG479,""))</x:f>
      </x:c>
      <x:c r="AB479" s="52" t="str">
        <x:f>IF(CaseLedger!$A479="","",IFERROR(CaseLedger!$AH479,""))</x:f>
      </x:c>
      <x:c r="AC479"/>
    </x:row>
    <x:row r="480">
      <x:c r="A480" s="52" t="str">
        <x:f>IF(CaseLedger!$A480="","",IFERROR(CaseLedger!$A480,""))</x:f>
      </x:c>
      <x:c r="B480" s="52" t="str">
        <x:f>IF(CaseLedger!$A480="","",IFERROR(CaseLedger!$H480,""))</x:f>
      </x:c>
      <x:c r="C480" s="52" t="str">
        <x:f>IF(CaseLedger!$A480="","",IFERROR(CaseLedger!$I480,""))</x:f>
      </x:c>
      <x:c r="D480" s="52" t="str">
        <x:f>IF(CaseLedger!$A480="","",IFERROR(CaseLedger!$J480,""))</x:f>
      </x:c>
      <x:c r="E480" s="52" t="str">
        <x:f>IF(CaseLedger!$A480="","",IFERROR(CaseLedger!$K480,""))</x:f>
      </x:c>
      <x:c r="F480" s="52" t="str">
        <x:f>IF(CaseLedger!$A480="","",IFERROR(CaseLedger!$O480,""))</x:f>
      </x:c>
      <x:c r="G480" s="52" t="str">
        <x:f>IF(CaseLedger!$A480="","",IFERROR(CaseLedger!$E480,""))</x:f>
      </x:c>
      <x:c r="H480" s="52" t="str">
        <x:f>IF(CaseLedger!$A480="","",IFERROR(CaseLedger!$P480,""))</x:f>
      </x:c>
      <x:c r="I480" s="52" t="str">
        <x:f>IF(CaseLedger!$A480="","",IFERROR(CaseLedger!$Q480,""))</x:f>
      </x:c>
      <x:c r="J480" s="52" t="str">
        <x:f>IF(CaseLedger!$A480="","",IFERROR(CaseLedger!$R480,""))</x:f>
      </x:c>
      <x:c r="K480" s="52" t="str">
        <x:f>IF(CaseLedger!$A480="","",IFERROR(CaseLedger!$S480,""))</x:f>
      </x:c>
      <x:c r="L480" s="52" t="str">
        <x:f>IF(CaseLedger!$A480="","",IFERROR(CaseLedger!$T480,""))</x:f>
      </x:c>
      <x:c r="M480" s="52" t="str">
        <x:f>IF(CaseLedger!$A480="","",IFERROR(CaseLedger!$U480,""))</x:f>
      </x:c>
      <x:c r="N480" s="52" t="str">
        <x:f>IF(CaseLedger!$A480="","",IFERROR(CaseLedger!$V480,""))</x:f>
      </x:c>
      <x:c r="O480" s="52" t="str">
        <x:f>IF(CaseLedger!$A480="","",IFERROR(CaseLedger!$W480,""))</x:f>
      </x:c>
      <x:c r="P480" s="52" t="str">
        <x:f>IF(CaseLedger!$A480="","",IFERROR(CaseLedger!$C480,""))</x:f>
      </x:c>
      <x:c r="Q480" s="52" t="str">
        <x:f>IF(CaseLedger!$A480="","",IFERROR(CaseLedger!$D480,""))</x:f>
      </x:c>
      <x:c r="R480" s="52" t="str">
        <x:f>IF(CaseLedger!$A480="","",IFERROR(CaseLedger!$X480,""))</x:f>
      </x:c>
      <x:c r="S480" s="52" t="str">
        <x:f>IF(CaseLedger!$A480="","",IFERROR(CaseLedger!$Y480,""))</x:f>
      </x:c>
      <x:c r="T480" s="52" t="str">
        <x:f>IF(CaseLedger!$A480="","",IFERROR(CaseLedger!$Z480,""))</x:f>
      </x:c>
      <x:c r="U480" s="52" t="str">
        <x:f>IF(CaseLedger!$A480="","",IFERROR(CaseLedger!$AA480,""))</x:f>
      </x:c>
      <x:c r="V480" s="52" t="str">
        <x:f>IF(CaseLedger!$A480="","",IFERROR(CaseLedger!$AB480,""))</x:f>
      </x:c>
      <x:c r="W480" s="52" t="str">
        <x:f>IF(CaseLedger!$A480="","",IFERROR(CaseLedger!$AC480,""))</x:f>
      </x:c>
      <x:c r="X480" s="52" t="str">
        <x:f>IF(CaseLedger!$A480="","",IFERROR(CaseLedger!$AD480,""))</x:f>
      </x:c>
      <x:c r="Y480" s="52" t="str">
        <x:f>IF(CaseLedger!$A480="","",IFERROR(CaseLedger!$AE480,""))</x:f>
      </x:c>
      <x:c r="Z480" s="52" t="str">
        <x:f>IF(CaseLedger!$A480="","",IFERROR(CaseLedger!$AF480,""))</x:f>
      </x:c>
      <x:c r="AA480" s="52" t="str">
        <x:f>IF(CaseLedger!$A480="","",IFERROR(CaseLedger!$AG480,""))</x:f>
      </x:c>
      <x:c r="AB480" s="52" t="str">
        <x:f>IF(CaseLedger!$A480="","",IFERROR(CaseLedger!$AH480,""))</x:f>
      </x:c>
      <x:c r="AC480"/>
    </x:row>
    <x:row r="481">
      <x:c r="A481" s="52" t="str">
        <x:f>IF(CaseLedger!$A481="","",IFERROR(CaseLedger!$A481,""))</x:f>
      </x:c>
      <x:c r="B481" s="52" t="str">
        <x:f>IF(CaseLedger!$A481="","",IFERROR(CaseLedger!$H481,""))</x:f>
      </x:c>
      <x:c r="C481" s="52" t="str">
        <x:f>IF(CaseLedger!$A481="","",IFERROR(CaseLedger!$I481,""))</x:f>
      </x:c>
      <x:c r="D481" s="52" t="str">
        <x:f>IF(CaseLedger!$A481="","",IFERROR(CaseLedger!$J481,""))</x:f>
      </x:c>
      <x:c r="E481" s="52" t="str">
        <x:f>IF(CaseLedger!$A481="","",IFERROR(CaseLedger!$K481,""))</x:f>
      </x:c>
      <x:c r="F481" s="52" t="str">
        <x:f>IF(CaseLedger!$A481="","",IFERROR(CaseLedger!$O481,""))</x:f>
      </x:c>
      <x:c r="G481" s="52" t="str">
        <x:f>IF(CaseLedger!$A481="","",IFERROR(CaseLedger!$E481,""))</x:f>
      </x:c>
      <x:c r="H481" s="52" t="str">
        <x:f>IF(CaseLedger!$A481="","",IFERROR(CaseLedger!$P481,""))</x:f>
      </x:c>
      <x:c r="I481" s="52" t="str">
        <x:f>IF(CaseLedger!$A481="","",IFERROR(CaseLedger!$Q481,""))</x:f>
      </x:c>
      <x:c r="J481" s="52" t="str">
        <x:f>IF(CaseLedger!$A481="","",IFERROR(CaseLedger!$R481,""))</x:f>
      </x:c>
      <x:c r="K481" s="52" t="str">
        <x:f>IF(CaseLedger!$A481="","",IFERROR(CaseLedger!$S481,""))</x:f>
      </x:c>
      <x:c r="L481" s="52" t="str">
        <x:f>IF(CaseLedger!$A481="","",IFERROR(CaseLedger!$T481,""))</x:f>
      </x:c>
      <x:c r="M481" s="52" t="str">
        <x:f>IF(CaseLedger!$A481="","",IFERROR(CaseLedger!$U481,""))</x:f>
      </x:c>
      <x:c r="N481" s="52" t="str">
        <x:f>IF(CaseLedger!$A481="","",IFERROR(CaseLedger!$V481,""))</x:f>
      </x:c>
      <x:c r="O481" s="52" t="str">
        <x:f>IF(CaseLedger!$A481="","",IFERROR(CaseLedger!$W481,""))</x:f>
      </x:c>
      <x:c r="P481" s="52" t="str">
        <x:f>IF(CaseLedger!$A481="","",IFERROR(CaseLedger!$C481,""))</x:f>
      </x:c>
      <x:c r="Q481" s="52" t="str">
        <x:f>IF(CaseLedger!$A481="","",IFERROR(CaseLedger!$D481,""))</x:f>
      </x:c>
      <x:c r="R481" s="52" t="str">
        <x:f>IF(CaseLedger!$A481="","",IFERROR(CaseLedger!$X481,""))</x:f>
      </x:c>
      <x:c r="S481" s="52" t="str">
        <x:f>IF(CaseLedger!$A481="","",IFERROR(CaseLedger!$Y481,""))</x:f>
      </x:c>
      <x:c r="T481" s="52" t="str">
        <x:f>IF(CaseLedger!$A481="","",IFERROR(CaseLedger!$Z481,""))</x:f>
      </x:c>
      <x:c r="U481" s="52" t="str">
        <x:f>IF(CaseLedger!$A481="","",IFERROR(CaseLedger!$AA481,""))</x:f>
      </x:c>
      <x:c r="V481" s="52" t="str">
        <x:f>IF(CaseLedger!$A481="","",IFERROR(CaseLedger!$AB481,""))</x:f>
      </x:c>
      <x:c r="W481" s="52" t="str">
        <x:f>IF(CaseLedger!$A481="","",IFERROR(CaseLedger!$AC481,""))</x:f>
      </x:c>
      <x:c r="X481" s="52" t="str">
        <x:f>IF(CaseLedger!$A481="","",IFERROR(CaseLedger!$AD481,""))</x:f>
      </x:c>
      <x:c r="Y481" s="52" t="str">
        <x:f>IF(CaseLedger!$A481="","",IFERROR(CaseLedger!$AE481,""))</x:f>
      </x:c>
      <x:c r="Z481" s="52" t="str">
        <x:f>IF(CaseLedger!$A481="","",IFERROR(CaseLedger!$AF481,""))</x:f>
      </x:c>
      <x:c r="AA481" s="52" t="str">
        <x:f>IF(CaseLedger!$A481="","",IFERROR(CaseLedger!$AG481,""))</x:f>
      </x:c>
      <x:c r="AB481" s="52" t="str">
        <x:f>IF(CaseLedger!$A481="","",IFERROR(CaseLedger!$AH481,""))</x:f>
      </x:c>
      <x:c r="AC481"/>
    </x:row>
    <x:row r="482">
      <x:c r="A482" s="52" t="str">
        <x:f>IF(CaseLedger!$A482="","",IFERROR(CaseLedger!$A482,""))</x:f>
      </x:c>
      <x:c r="B482" s="52" t="str">
        <x:f>IF(CaseLedger!$A482="","",IFERROR(CaseLedger!$H482,""))</x:f>
      </x:c>
      <x:c r="C482" s="52" t="str">
        <x:f>IF(CaseLedger!$A482="","",IFERROR(CaseLedger!$I482,""))</x:f>
      </x:c>
      <x:c r="D482" s="52" t="str">
        <x:f>IF(CaseLedger!$A482="","",IFERROR(CaseLedger!$J482,""))</x:f>
      </x:c>
      <x:c r="E482" s="52" t="str">
        <x:f>IF(CaseLedger!$A482="","",IFERROR(CaseLedger!$K482,""))</x:f>
      </x:c>
      <x:c r="F482" s="52" t="str">
        <x:f>IF(CaseLedger!$A482="","",IFERROR(CaseLedger!$O482,""))</x:f>
      </x:c>
      <x:c r="G482" s="52" t="str">
        <x:f>IF(CaseLedger!$A482="","",IFERROR(CaseLedger!$E482,""))</x:f>
      </x:c>
      <x:c r="H482" s="52" t="str">
        <x:f>IF(CaseLedger!$A482="","",IFERROR(CaseLedger!$P482,""))</x:f>
      </x:c>
      <x:c r="I482" s="52" t="str">
        <x:f>IF(CaseLedger!$A482="","",IFERROR(CaseLedger!$Q482,""))</x:f>
      </x:c>
      <x:c r="J482" s="52" t="str">
        <x:f>IF(CaseLedger!$A482="","",IFERROR(CaseLedger!$R482,""))</x:f>
      </x:c>
      <x:c r="K482" s="52" t="str">
        <x:f>IF(CaseLedger!$A482="","",IFERROR(CaseLedger!$S482,""))</x:f>
      </x:c>
      <x:c r="L482" s="52" t="str">
        <x:f>IF(CaseLedger!$A482="","",IFERROR(CaseLedger!$T482,""))</x:f>
      </x:c>
      <x:c r="M482" s="52" t="str">
        <x:f>IF(CaseLedger!$A482="","",IFERROR(CaseLedger!$U482,""))</x:f>
      </x:c>
      <x:c r="N482" s="52" t="str">
        <x:f>IF(CaseLedger!$A482="","",IFERROR(CaseLedger!$V482,""))</x:f>
      </x:c>
      <x:c r="O482" s="52" t="str">
        <x:f>IF(CaseLedger!$A482="","",IFERROR(CaseLedger!$W482,""))</x:f>
      </x:c>
      <x:c r="P482" s="52" t="str">
        <x:f>IF(CaseLedger!$A482="","",IFERROR(CaseLedger!$C482,""))</x:f>
      </x:c>
      <x:c r="Q482" s="52" t="str">
        <x:f>IF(CaseLedger!$A482="","",IFERROR(CaseLedger!$D482,""))</x:f>
      </x:c>
      <x:c r="R482" s="52" t="str">
        <x:f>IF(CaseLedger!$A482="","",IFERROR(CaseLedger!$X482,""))</x:f>
      </x:c>
      <x:c r="S482" s="52" t="str">
        <x:f>IF(CaseLedger!$A482="","",IFERROR(CaseLedger!$Y482,""))</x:f>
      </x:c>
      <x:c r="T482" s="52" t="str">
        <x:f>IF(CaseLedger!$A482="","",IFERROR(CaseLedger!$Z482,""))</x:f>
      </x:c>
      <x:c r="U482" s="52" t="str">
        <x:f>IF(CaseLedger!$A482="","",IFERROR(CaseLedger!$AA482,""))</x:f>
      </x:c>
      <x:c r="V482" s="52" t="str">
        <x:f>IF(CaseLedger!$A482="","",IFERROR(CaseLedger!$AB482,""))</x:f>
      </x:c>
      <x:c r="W482" s="52" t="str">
        <x:f>IF(CaseLedger!$A482="","",IFERROR(CaseLedger!$AC482,""))</x:f>
      </x:c>
      <x:c r="X482" s="52" t="str">
        <x:f>IF(CaseLedger!$A482="","",IFERROR(CaseLedger!$AD482,""))</x:f>
      </x:c>
      <x:c r="Y482" s="52" t="str">
        <x:f>IF(CaseLedger!$A482="","",IFERROR(CaseLedger!$AE482,""))</x:f>
      </x:c>
      <x:c r="Z482" s="52" t="str">
        <x:f>IF(CaseLedger!$A482="","",IFERROR(CaseLedger!$AF482,""))</x:f>
      </x:c>
      <x:c r="AA482" s="52" t="str">
        <x:f>IF(CaseLedger!$A482="","",IFERROR(CaseLedger!$AG482,""))</x:f>
      </x:c>
      <x:c r="AB482" s="52" t="str">
        <x:f>IF(CaseLedger!$A482="","",IFERROR(CaseLedger!$AH482,""))</x:f>
      </x:c>
      <x:c r="AC482"/>
    </x:row>
    <x:row r="483">
      <x:c r="A483" s="52" t="str">
        <x:f>IF(CaseLedger!$A483="","",IFERROR(CaseLedger!$A483,""))</x:f>
      </x:c>
      <x:c r="B483" s="52" t="str">
        <x:f>IF(CaseLedger!$A483="","",IFERROR(CaseLedger!$H483,""))</x:f>
      </x:c>
      <x:c r="C483" s="52" t="str">
        <x:f>IF(CaseLedger!$A483="","",IFERROR(CaseLedger!$I483,""))</x:f>
      </x:c>
      <x:c r="D483" s="52" t="str">
        <x:f>IF(CaseLedger!$A483="","",IFERROR(CaseLedger!$J483,""))</x:f>
      </x:c>
      <x:c r="E483" s="52" t="str">
        <x:f>IF(CaseLedger!$A483="","",IFERROR(CaseLedger!$K483,""))</x:f>
      </x:c>
      <x:c r="F483" s="52" t="str">
        <x:f>IF(CaseLedger!$A483="","",IFERROR(CaseLedger!$O483,""))</x:f>
      </x:c>
      <x:c r="G483" s="52" t="str">
        <x:f>IF(CaseLedger!$A483="","",IFERROR(CaseLedger!$E483,""))</x:f>
      </x:c>
      <x:c r="H483" s="52" t="str">
        <x:f>IF(CaseLedger!$A483="","",IFERROR(CaseLedger!$P483,""))</x:f>
      </x:c>
      <x:c r="I483" s="52" t="str">
        <x:f>IF(CaseLedger!$A483="","",IFERROR(CaseLedger!$Q483,""))</x:f>
      </x:c>
      <x:c r="J483" s="52" t="str">
        <x:f>IF(CaseLedger!$A483="","",IFERROR(CaseLedger!$R483,""))</x:f>
      </x:c>
      <x:c r="K483" s="52" t="str">
        <x:f>IF(CaseLedger!$A483="","",IFERROR(CaseLedger!$S483,""))</x:f>
      </x:c>
      <x:c r="L483" s="52" t="str">
        <x:f>IF(CaseLedger!$A483="","",IFERROR(CaseLedger!$T483,""))</x:f>
      </x:c>
      <x:c r="M483" s="52" t="str">
        <x:f>IF(CaseLedger!$A483="","",IFERROR(CaseLedger!$U483,""))</x:f>
      </x:c>
      <x:c r="N483" s="52" t="str">
        <x:f>IF(CaseLedger!$A483="","",IFERROR(CaseLedger!$V483,""))</x:f>
      </x:c>
      <x:c r="O483" s="52" t="str">
        <x:f>IF(CaseLedger!$A483="","",IFERROR(CaseLedger!$W483,""))</x:f>
      </x:c>
      <x:c r="P483" s="52" t="str">
        <x:f>IF(CaseLedger!$A483="","",IFERROR(CaseLedger!$C483,""))</x:f>
      </x:c>
      <x:c r="Q483" s="52" t="str">
        <x:f>IF(CaseLedger!$A483="","",IFERROR(CaseLedger!$D483,""))</x:f>
      </x:c>
      <x:c r="R483" s="52" t="str">
        <x:f>IF(CaseLedger!$A483="","",IFERROR(CaseLedger!$X483,""))</x:f>
      </x:c>
      <x:c r="S483" s="52" t="str">
        <x:f>IF(CaseLedger!$A483="","",IFERROR(CaseLedger!$Y483,""))</x:f>
      </x:c>
      <x:c r="T483" s="52" t="str">
        <x:f>IF(CaseLedger!$A483="","",IFERROR(CaseLedger!$Z483,""))</x:f>
      </x:c>
      <x:c r="U483" s="52" t="str">
        <x:f>IF(CaseLedger!$A483="","",IFERROR(CaseLedger!$AA483,""))</x:f>
      </x:c>
      <x:c r="V483" s="52" t="str">
        <x:f>IF(CaseLedger!$A483="","",IFERROR(CaseLedger!$AB483,""))</x:f>
      </x:c>
      <x:c r="W483" s="52" t="str">
        <x:f>IF(CaseLedger!$A483="","",IFERROR(CaseLedger!$AC483,""))</x:f>
      </x:c>
      <x:c r="X483" s="52" t="str">
        <x:f>IF(CaseLedger!$A483="","",IFERROR(CaseLedger!$AD483,""))</x:f>
      </x:c>
      <x:c r="Y483" s="52" t="str">
        <x:f>IF(CaseLedger!$A483="","",IFERROR(CaseLedger!$AE483,""))</x:f>
      </x:c>
      <x:c r="Z483" s="52" t="str">
        <x:f>IF(CaseLedger!$A483="","",IFERROR(CaseLedger!$AF483,""))</x:f>
      </x:c>
      <x:c r="AA483" s="52" t="str">
        <x:f>IF(CaseLedger!$A483="","",IFERROR(CaseLedger!$AG483,""))</x:f>
      </x:c>
      <x:c r="AB483" s="52" t="str">
        <x:f>IF(CaseLedger!$A483="","",IFERROR(CaseLedger!$AH483,""))</x:f>
      </x:c>
      <x:c r="AC483"/>
    </x:row>
    <x:row r="484">
      <x:c r="A484" s="52" t="str">
        <x:f>IF(CaseLedger!$A484="","",IFERROR(CaseLedger!$A484,""))</x:f>
      </x:c>
      <x:c r="B484" s="52" t="str">
        <x:f>IF(CaseLedger!$A484="","",IFERROR(CaseLedger!$H484,""))</x:f>
      </x:c>
      <x:c r="C484" s="52" t="str">
        <x:f>IF(CaseLedger!$A484="","",IFERROR(CaseLedger!$I484,""))</x:f>
      </x:c>
      <x:c r="D484" s="52" t="str">
        <x:f>IF(CaseLedger!$A484="","",IFERROR(CaseLedger!$J484,""))</x:f>
      </x:c>
      <x:c r="E484" s="52" t="str">
        <x:f>IF(CaseLedger!$A484="","",IFERROR(CaseLedger!$K484,""))</x:f>
      </x:c>
      <x:c r="F484" s="52" t="str">
        <x:f>IF(CaseLedger!$A484="","",IFERROR(CaseLedger!$O484,""))</x:f>
      </x:c>
      <x:c r="G484" s="52" t="str">
        <x:f>IF(CaseLedger!$A484="","",IFERROR(CaseLedger!$E484,""))</x:f>
      </x:c>
      <x:c r="H484" s="52" t="str">
        <x:f>IF(CaseLedger!$A484="","",IFERROR(CaseLedger!$P484,""))</x:f>
      </x:c>
      <x:c r="I484" s="52" t="str">
        <x:f>IF(CaseLedger!$A484="","",IFERROR(CaseLedger!$Q484,""))</x:f>
      </x:c>
      <x:c r="J484" s="52" t="str">
        <x:f>IF(CaseLedger!$A484="","",IFERROR(CaseLedger!$R484,""))</x:f>
      </x:c>
      <x:c r="K484" s="52" t="str">
        <x:f>IF(CaseLedger!$A484="","",IFERROR(CaseLedger!$S484,""))</x:f>
      </x:c>
      <x:c r="L484" s="52" t="str">
        <x:f>IF(CaseLedger!$A484="","",IFERROR(CaseLedger!$T484,""))</x:f>
      </x:c>
      <x:c r="M484" s="52" t="str">
        <x:f>IF(CaseLedger!$A484="","",IFERROR(CaseLedger!$U484,""))</x:f>
      </x:c>
      <x:c r="N484" s="52" t="str">
        <x:f>IF(CaseLedger!$A484="","",IFERROR(CaseLedger!$V484,""))</x:f>
      </x:c>
      <x:c r="O484" s="52" t="str">
        <x:f>IF(CaseLedger!$A484="","",IFERROR(CaseLedger!$W484,""))</x:f>
      </x:c>
      <x:c r="P484" s="52" t="str">
        <x:f>IF(CaseLedger!$A484="","",IFERROR(CaseLedger!$C484,""))</x:f>
      </x:c>
      <x:c r="Q484" s="52" t="str">
        <x:f>IF(CaseLedger!$A484="","",IFERROR(CaseLedger!$D484,""))</x:f>
      </x:c>
      <x:c r="R484" s="52" t="str">
        <x:f>IF(CaseLedger!$A484="","",IFERROR(CaseLedger!$X484,""))</x:f>
      </x:c>
      <x:c r="S484" s="52" t="str">
        <x:f>IF(CaseLedger!$A484="","",IFERROR(CaseLedger!$Y484,""))</x:f>
      </x:c>
      <x:c r="T484" s="52" t="str">
        <x:f>IF(CaseLedger!$A484="","",IFERROR(CaseLedger!$Z484,""))</x:f>
      </x:c>
      <x:c r="U484" s="52" t="str">
        <x:f>IF(CaseLedger!$A484="","",IFERROR(CaseLedger!$AA484,""))</x:f>
      </x:c>
      <x:c r="V484" s="52" t="str">
        <x:f>IF(CaseLedger!$A484="","",IFERROR(CaseLedger!$AB484,""))</x:f>
      </x:c>
      <x:c r="W484" s="52" t="str">
        <x:f>IF(CaseLedger!$A484="","",IFERROR(CaseLedger!$AC484,""))</x:f>
      </x:c>
      <x:c r="X484" s="52" t="str">
        <x:f>IF(CaseLedger!$A484="","",IFERROR(CaseLedger!$AD484,""))</x:f>
      </x:c>
      <x:c r="Y484" s="52" t="str">
        <x:f>IF(CaseLedger!$A484="","",IFERROR(CaseLedger!$AE484,""))</x:f>
      </x:c>
      <x:c r="Z484" s="52" t="str">
        <x:f>IF(CaseLedger!$A484="","",IFERROR(CaseLedger!$AF484,""))</x:f>
      </x:c>
      <x:c r="AA484" s="52" t="str">
        <x:f>IF(CaseLedger!$A484="","",IFERROR(CaseLedger!$AG484,""))</x:f>
      </x:c>
      <x:c r="AB484" s="52" t="str">
        <x:f>IF(CaseLedger!$A484="","",IFERROR(CaseLedger!$AH484,""))</x:f>
      </x:c>
      <x:c r="AC484"/>
    </x:row>
    <x:row r="485">
      <x:c r="A485" s="52" t="str">
        <x:f>IF(CaseLedger!$A485="","",IFERROR(CaseLedger!$A485,""))</x:f>
      </x:c>
      <x:c r="B485" s="52" t="str">
        <x:f>IF(CaseLedger!$A485="","",IFERROR(CaseLedger!$H485,""))</x:f>
      </x:c>
      <x:c r="C485" s="52" t="str">
        <x:f>IF(CaseLedger!$A485="","",IFERROR(CaseLedger!$I485,""))</x:f>
      </x:c>
      <x:c r="D485" s="52" t="str">
        <x:f>IF(CaseLedger!$A485="","",IFERROR(CaseLedger!$J485,""))</x:f>
      </x:c>
      <x:c r="E485" s="52" t="str">
        <x:f>IF(CaseLedger!$A485="","",IFERROR(CaseLedger!$K485,""))</x:f>
      </x:c>
      <x:c r="F485" s="52" t="str">
        <x:f>IF(CaseLedger!$A485="","",IFERROR(CaseLedger!$O485,""))</x:f>
      </x:c>
      <x:c r="G485" s="52" t="str">
        <x:f>IF(CaseLedger!$A485="","",IFERROR(CaseLedger!$E485,""))</x:f>
      </x:c>
      <x:c r="H485" s="52" t="str">
        <x:f>IF(CaseLedger!$A485="","",IFERROR(CaseLedger!$P485,""))</x:f>
      </x:c>
      <x:c r="I485" s="52" t="str">
        <x:f>IF(CaseLedger!$A485="","",IFERROR(CaseLedger!$Q485,""))</x:f>
      </x:c>
      <x:c r="J485" s="52" t="str">
        <x:f>IF(CaseLedger!$A485="","",IFERROR(CaseLedger!$R485,""))</x:f>
      </x:c>
      <x:c r="K485" s="52" t="str">
        <x:f>IF(CaseLedger!$A485="","",IFERROR(CaseLedger!$S485,""))</x:f>
      </x:c>
      <x:c r="L485" s="52" t="str">
        <x:f>IF(CaseLedger!$A485="","",IFERROR(CaseLedger!$T485,""))</x:f>
      </x:c>
      <x:c r="M485" s="52" t="str">
        <x:f>IF(CaseLedger!$A485="","",IFERROR(CaseLedger!$U485,""))</x:f>
      </x:c>
      <x:c r="N485" s="52" t="str">
        <x:f>IF(CaseLedger!$A485="","",IFERROR(CaseLedger!$V485,""))</x:f>
      </x:c>
      <x:c r="O485" s="52" t="str">
        <x:f>IF(CaseLedger!$A485="","",IFERROR(CaseLedger!$W485,""))</x:f>
      </x:c>
      <x:c r="P485" s="52" t="str">
        <x:f>IF(CaseLedger!$A485="","",IFERROR(CaseLedger!$C485,""))</x:f>
      </x:c>
      <x:c r="Q485" s="52" t="str">
        <x:f>IF(CaseLedger!$A485="","",IFERROR(CaseLedger!$D485,""))</x:f>
      </x:c>
      <x:c r="R485" s="52" t="str">
        <x:f>IF(CaseLedger!$A485="","",IFERROR(CaseLedger!$X485,""))</x:f>
      </x:c>
      <x:c r="S485" s="52" t="str">
        <x:f>IF(CaseLedger!$A485="","",IFERROR(CaseLedger!$Y485,""))</x:f>
      </x:c>
      <x:c r="T485" s="52" t="str">
        <x:f>IF(CaseLedger!$A485="","",IFERROR(CaseLedger!$Z485,""))</x:f>
      </x:c>
      <x:c r="U485" s="52" t="str">
        <x:f>IF(CaseLedger!$A485="","",IFERROR(CaseLedger!$AA485,""))</x:f>
      </x:c>
      <x:c r="V485" s="52" t="str">
        <x:f>IF(CaseLedger!$A485="","",IFERROR(CaseLedger!$AB485,""))</x:f>
      </x:c>
      <x:c r="W485" s="52" t="str">
        <x:f>IF(CaseLedger!$A485="","",IFERROR(CaseLedger!$AC485,""))</x:f>
      </x:c>
      <x:c r="X485" s="52" t="str">
        <x:f>IF(CaseLedger!$A485="","",IFERROR(CaseLedger!$AD485,""))</x:f>
      </x:c>
      <x:c r="Y485" s="52" t="str">
        <x:f>IF(CaseLedger!$A485="","",IFERROR(CaseLedger!$AE485,""))</x:f>
      </x:c>
      <x:c r="Z485" s="52" t="str">
        <x:f>IF(CaseLedger!$A485="","",IFERROR(CaseLedger!$AF485,""))</x:f>
      </x:c>
      <x:c r="AA485" s="52" t="str">
        <x:f>IF(CaseLedger!$A485="","",IFERROR(CaseLedger!$AG485,""))</x:f>
      </x:c>
      <x:c r="AB485" s="52" t="str">
        <x:f>IF(CaseLedger!$A485="","",IFERROR(CaseLedger!$AH485,""))</x:f>
      </x:c>
      <x:c r="AC485"/>
    </x:row>
    <x:row r="486">
      <x:c r="A486" s="52" t="str">
        <x:f>IF(CaseLedger!$A486="","",IFERROR(CaseLedger!$A486,""))</x:f>
      </x:c>
      <x:c r="B486" s="52" t="str">
        <x:f>IF(CaseLedger!$A486="","",IFERROR(CaseLedger!$H486,""))</x:f>
      </x:c>
      <x:c r="C486" s="52" t="str">
        <x:f>IF(CaseLedger!$A486="","",IFERROR(CaseLedger!$I486,""))</x:f>
      </x:c>
      <x:c r="D486" s="52" t="str">
        <x:f>IF(CaseLedger!$A486="","",IFERROR(CaseLedger!$J486,""))</x:f>
      </x:c>
      <x:c r="E486" s="52" t="str">
        <x:f>IF(CaseLedger!$A486="","",IFERROR(CaseLedger!$K486,""))</x:f>
      </x:c>
      <x:c r="F486" s="52" t="str">
        <x:f>IF(CaseLedger!$A486="","",IFERROR(CaseLedger!$O486,""))</x:f>
      </x:c>
      <x:c r="G486" s="52" t="str">
        <x:f>IF(CaseLedger!$A486="","",IFERROR(CaseLedger!$E486,""))</x:f>
      </x:c>
      <x:c r="H486" s="52" t="str">
        <x:f>IF(CaseLedger!$A486="","",IFERROR(CaseLedger!$P486,""))</x:f>
      </x:c>
      <x:c r="I486" s="52" t="str">
        <x:f>IF(CaseLedger!$A486="","",IFERROR(CaseLedger!$Q486,""))</x:f>
      </x:c>
      <x:c r="J486" s="52" t="str">
        <x:f>IF(CaseLedger!$A486="","",IFERROR(CaseLedger!$R486,""))</x:f>
      </x:c>
      <x:c r="K486" s="52" t="str">
        <x:f>IF(CaseLedger!$A486="","",IFERROR(CaseLedger!$S486,""))</x:f>
      </x:c>
      <x:c r="L486" s="52" t="str">
        <x:f>IF(CaseLedger!$A486="","",IFERROR(CaseLedger!$T486,""))</x:f>
      </x:c>
      <x:c r="M486" s="52" t="str">
        <x:f>IF(CaseLedger!$A486="","",IFERROR(CaseLedger!$U486,""))</x:f>
      </x:c>
      <x:c r="N486" s="52" t="str">
        <x:f>IF(CaseLedger!$A486="","",IFERROR(CaseLedger!$V486,""))</x:f>
      </x:c>
      <x:c r="O486" s="52" t="str">
        <x:f>IF(CaseLedger!$A486="","",IFERROR(CaseLedger!$W486,""))</x:f>
      </x:c>
      <x:c r="P486" s="52" t="str">
        <x:f>IF(CaseLedger!$A486="","",IFERROR(CaseLedger!$C486,""))</x:f>
      </x:c>
      <x:c r="Q486" s="52" t="str">
        <x:f>IF(CaseLedger!$A486="","",IFERROR(CaseLedger!$D486,""))</x:f>
      </x:c>
      <x:c r="R486" s="52" t="str">
        <x:f>IF(CaseLedger!$A486="","",IFERROR(CaseLedger!$X486,""))</x:f>
      </x:c>
      <x:c r="S486" s="52" t="str">
        <x:f>IF(CaseLedger!$A486="","",IFERROR(CaseLedger!$Y486,""))</x:f>
      </x:c>
      <x:c r="T486" s="52" t="str">
        <x:f>IF(CaseLedger!$A486="","",IFERROR(CaseLedger!$Z486,""))</x:f>
      </x:c>
      <x:c r="U486" s="52" t="str">
        <x:f>IF(CaseLedger!$A486="","",IFERROR(CaseLedger!$AA486,""))</x:f>
      </x:c>
      <x:c r="V486" s="52" t="str">
        <x:f>IF(CaseLedger!$A486="","",IFERROR(CaseLedger!$AB486,""))</x:f>
      </x:c>
      <x:c r="W486" s="52" t="str">
        <x:f>IF(CaseLedger!$A486="","",IFERROR(CaseLedger!$AC486,""))</x:f>
      </x:c>
      <x:c r="X486" s="52" t="str">
        <x:f>IF(CaseLedger!$A486="","",IFERROR(CaseLedger!$AD486,""))</x:f>
      </x:c>
      <x:c r="Y486" s="52" t="str">
        <x:f>IF(CaseLedger!$A486="","",IFERROR(CaseLedger!$AE486,""))</x:f>
      </x:c>
      <x:c r="Z486" s="52" t="str">
        <x:f>IF(CaseLedger!$A486="","",IFERROR(CaseLedger!$AF486,""))</x:f>
      </x:c>
      <x:c r="AA486" s="52" t="str">
        <x:f>IF(CaseLedger!$A486="","",IFERROR(CaseLedger!$AG486,""))</x:f>
      </x:c>
      <x:c r="AB486" s="52" t="str">
        <x:f>IF(CaseLedger!$A486="","",IFERROR(CaseLedger!$AH486,""))</x:f>
      </x:c>
      <x:c r="AC486"/>
    </x:row>
    <x:row r="487">
      <x:c r="A487" s="52" t="str">
        <x:f>IF(CaseLedger!$A487="","",IFERROR(CaseLedger!$A487,""))</x:f>
      </x:c>
      <x:c r="B487" s="52" t="str">
        <x:f>IF(CaseLedger!$A487="","",IFERROR(CaseLedger!$H487,""))</x:f>
      </x:c>
      <x:c r="C487" s="52" t="str">
        <x:f>IF(CaseLedger!$A487="","",IFERROR(CaseLedger!$I487,""))</x:f>
      </x:c>
      <x:c r="D487" s="52" t="str">
        <x:f>IF(CaseLedger!$A487="","",IFERROR(CaseLedger!$J487,""))</x:f>
      </x:c>
      <x:c r="E487" s="52" t="str">
        <x:f>IF(CaseLedger!$A487="","",IFERROR(CaseLedger!$K487,""))</x:f>
      </x:c>
      <x:c r="F487" s="52" t="str">
        <x:f>IF(CaseLedger!$A487="","",IFERROR(CaseLedger!$O487,""))</x:f>
      </x:c>
      <x:c r="G487" s="52" t="str">
        <x:f>IF(CaseLedger!$A487="","",IFERROR(CaseLedger!$E487,""))</x:f>
      </x:c>
      <x:c r="H487" s="52" t="str">
        <x:f>IF(CaseLedger!$A487="","",IFERROR(CaseLedger!$P487,""))</x:f>
      </x:c>
      <x:c r="I487" s="52" t="str">
        <x:f>IF(CaseLedger!$A487="","",IFERROR(CaseLedger!$Q487,""))</x:f>
      </x:c>
      <x:c r="J487" s="52" t="str">
        <x:f>IF(CaseLedger!$A487="","",IFERROR(CaseLedger!$R487,""))</x:f>
      </x:c>
      <x:c r="K487" s="52" t="str">
        <x:f>IF(CaseLedger!$A487="","",IFERROR(CaseLedger!$S487,""))</x:f>
      </x:c>
      <x:c r="L487" s="52" t="str">
        <x:f>IF(CaseLedger!$A487="","",IFERROR(CaseLedger!$T487,""))</x:f>
      </x:c>
      <x:c r="M487" s="52" t="str">
        <x:f>IF(CaseLedger!$A487="","",IFERROR(CaseLedger!$U487,""))</x:f>
      </x:c>
      <x:c r="N487" s="52" t="str">
        <x:f>IF(CaseLedger!$A487="","",IFERROR(CaseLedger!$V487,""))</x:f>
      </x:c>
      <x:c r="O487" s="52" t="str">
        <x:f>IF(CaseLedger!$A487="","",IFERROR(CaseLedger!$W487,""))</x:f>
      </x:c>
      <x:c r="P487" s="52" t="str">
        <x:f>IF(CaseLedger!$A487="","",IFERROR(CaseLedger!$C487,""))</x:f>
      </x:c>
      <x:c r="Q487" s="52" t="str">
        <x:f>IF(CaseLedger!$A487="","",IFERROR(CaseLedger!$D487,""))</x:f>
      </x:c>
      <x:c r="R487" s="52" t="str">
        <x:f>IF(CaseLedger!$A487="","",IFERROR(CaseLedger!$X487,""))</x:f>
      </x:c>
      <x:c r="S487" s="52" t="str">
        <x:f>IF(CaseLedger!$A487="","",IFERROR(CaseLedger!$Y487,""))</x:f>
      </x:c>
      <x:c r="T487" s="52" t="str">
        <x:f>IF(CaseLedger!$A487="","",IFERROR(CaseLedger!$Z487,""))</x:f>
      </x:c>
      <x:c r="U487" s="52" t="str">
        <x:f>IF(CaseLedger!$A487="","",IFERROR(CaseLedger!$AA487,""))</x:f>
      </x:c>
      <x:c r="V487" s="52" t="str">
        <x:f>IF(CaseLedger!$A487="","",IFERROR(CaseLedger!$AB487,""))</x:f>
      </x:c>
      <x:c r="W487" s="52" t="str">
        <x:f>IF(CaseLedger!$A487="","",IFERROR(CaseLedger!$AC487,""))</x:f>
      </x:c>
      <x:c r="X487" s="52" t="str">
        <x:f>IF(CaseLedger!$A487="","",IFERROR(CaseLedger!$AD487,""))</x:f>
      </x:c>
      <x:c r="Y487" s="52" t="str">
        <x:f>IF(CaseLedger!$A487="","",IFERROR(CaseLedger!$AE487,""))</x:f>
      </x:c>
      <x:c r="Z487" s="52" t="str">
        <x:f>IF(CaseLedger!$A487="","",IFERROR(CaseLedger!$AF487,""))</x:f>
      </x:c>
      <x:c r="AA487" s="52" t="str">
        <x:f>IF(CaseLedger!$A487="","",IFERROR(CaseLedger!$AG487,""))</x:f>
      </x:c>
      <x:c r="AB487" s="52" t="str">
        <x:f>IF(CaseLedger!$A487="","",IFERROR(CaseLedger!$AH487,""))</x:f>
      </x:c>
      <x:c r="AC487"/>
    </x:row>
    <x:row r="488">
      <x:c r="A488" s="52" t="str">
        <x:f>IF(CaseLedger!$A488="","",IFERROR(CaseLedger!$A488,""))</x:f>
      </x:c>
      <x:c r="B488" s="52" t="str">
        <x:f>IF(CaseLedger!$A488="","",IFERROR(CaseLedger!$H488,""))</x:f>
      </x:c>
      <x:c r="C488" s="52" t="str">
        <x:f>IF(CaseLedger!$A488="","",IFERROR(CaseLedger!$I488,""))</x:f>
      </x:c>
      <x:c r="D488" s="52" t="str">
        <x:f>IF(CaseLedger!$A488="","",IFERROR(CaseLedger!$J488,""))</x:f>
      </x:c>
      <x:c r="E488" s="52" t="str">
        <x:f>IF(CaseLedger!$A488="","",IFERROR(CaseLedger!$K488,""))</x:f>
      </x:c>
      <x:c r="F488" s="52" t="str">
        <x:f>IF(CaseLedger!$A488="","",IFERROR(CaseLedger!$O488,""))</x:f>
      </x:c>
      <x:c r="G488" s="52" t="str">
        <x:f>IF(CaseLedger!$A488="","",IFERROR(CaseLedger!$E488,""))</x:f>
      </x:c>
      <x:c r="H488" s="52" t="str">
        <x:f>IF(CaseLedger!$A488="","",IFERROR(CaseLedger!$P488,""))</x:f>
      </x:c>
      <x:c r="I488" s="52" t="str">
        <x:f>IF(CaseLedger!$A488="","",IFERROR(CaseLedger!$Q488,""))</x:f>
      </x:c>
      <x:c r="J488" s="52" t="str">
        <x:f>IF(CaseLedger!$A488="","",IFERROR(CaseLedger!$R488,""))</x:f>
      </x:c>
      <x:c r="K488" s="52" t="str">
        <x:f>IF(CaseLedger!$A488="","",IFERROR(CaseLedger!$S488,""))</x:f>
      </x:c>
      <x:c r="L488" s="52" t="str">
        <x:f>IF(CaseLedger!$A488="","",IFERROR(CaseLedger!$T488,""))</x:f>
      </x:c>
      <x:c r="M488" s="52" t="str">
        <x:f>IF(CaseLedger!$A488="","",IFERROR(CaseLedger!$U488,""))</x:f>
      </x:c>
      <x:c r="N488" s="52" t="str">
        <x:f>IF(CaseLedger!$A488="","",IFERROR(CaseLedger!$V488,""))</x:f>
      </x:c>
      <x:c r="O488" s="52" t="str">
        <x:f>IF(CaseLedger!$A488="","",IFERROR(CaseLedger!$W488,""))</x:f>
      </x:c>
      <x:c r="P488" s="52" t="str">
        <x:f>IF(CaseLedger!$A488="","",IFERROR(CaseLedger!$C488,""))</x:f>
      </x:c>
      <x:c r="Q488" s="52" t="str">
        <x:f>IF(CaseLedger!$A488="","",IFERROR(CaseLedger!$D488,""))</x:f>
      </x:c>
      <x:c r="R488" s="52" t="str">
        <x:f>IF(CaseLedger!$A488="","",IFERROR(CaseLedger!$X488,""))</x:f>
      </x:c>
      <x:c r="S488" s="52" t="str">
        <x:f>IF(CaseLedger!$A488="","",IFERROR(CaseLedger!$Y488,""))</x:f>
      </x:c>
      <x:c r="T488" s="52" t="str">
        <x:f>IF(CaseLedger!$A488="","",IFERROR(CaseLedger!$Z488,""))</x:f>
      </x:c>
      <x:c r="U488" s="52" t="str">
        <x:f>IF(CaseLedger!$A488="","",IFERROR(CaseLedger!$AA488,""))</x:f>
      </x:c>
      <x:c r="V488" s="52" t="str">
        <x:f>IF(CaseLedger!$A488="","",IFERROR(CaseLedger!$AB488,""))</x:f>
      </x:c>
      <x:c r="W488" s="52" t="str">
        <x:f>IF(CaseLedger!$A488="","",IFERROR(CaseLedger!$AC488,""))</x:f>
      </x:c>
      <x:c r="X488" s="52" t="str">
        <x:f>IF(CaseLedger!$A488="","",IFERROR(CaseLedger!$AD488,""))</x:f>
      </x:c>
      <x:c r="Y488" s="52" t="str">
        <x:f>IF(CaseLedger!$A488="","",IFERROR(CaseLedger!$AE488,""))</x:f>
      </x:c>
      <x:c r="Z488" s="52" t="str">
        <x:f>IF(CaseLedger!$A488="","",IFERROR(CaseLedger!$AF488,""))</x:f>
      </x:c>
      <x:c r="AA488" s="52" t="str">
        <x:f>IF(CaseLedger!$A488="","",IFERROR(CaseLedger!$AG488,""))</x:f>
      </x:c>
      <x:c r="AB488" s="52" t="str">
        <x:f>IF(CaseLedger!$A488="","",IFERROR(CaseLedger!$AH488,""))</x:f>
      </x:c>
      <x:c r="AC488"/>
    </x:row>
    <x:row r="489">
      <x:c r="A489" s="52" t="str">
        <x:f>IF(CaseLedger!$A489="","",IFERROR(CaseLedger!$A489,""))</x:f>
      </x:c>
      <x:c r="B489" s="52" t="str">
        <x:f>IF(CaseLedger!$A489="","",IFERROR(CaseLedger!$H489,""))</x:f>
      </x:c>
      <x:c r="C489" s="52" t="str">
        <x:f>IF(CaseLedger!$A489="","",IFERROR(CaseLedger!$I489,""))</x:f>
      </x:c>
      <x:c r="D489" s="52" t="str">
        <x:f>IF(CaseLedger!$A489="","",IFERROR(CaseLedger!$J489,""))</x:f>
      </x:c>
      <x:c r="E489" s="52" t="str">
        <x:f>IF(CaseLedger!$A489="","",IFERROR(CaseLedger!$K489,""))</x:f>
      </x:c>
      <x:c r="F489" s="52" t="str">
        <x:f>IF(CaseLedger!$A489="","",IFERROR(CaseLedger!$O489,""))</x:f>
      </x:c>
      <x:c r="G489" s="52" t="str">
        <x:f>IF(CaseLedger!$A489="","",IFERROR(CaseLedger!$E489,""))</x:f>
      </x:c>
      <x:c r="H489" s="52" t="str">
        <x:f>IF(CaseLedger!$A489="","",IFERROR(CaseLedger!$P489,""))</x:f>
      </x:c>
      <x:c r="I489" s="52" t="str">
        <x:f>IF(CaseLedger!$A489="","",IFERROR(CaseLedger!$Q489,""))</x:f>
      </x:c>
      <x:c r="J489" s="52" t="str">
        <x:f>IF(CaseLedger!$A489="","",IFERROR(CaseLedger!$R489,""))</x:f>
      </x:c>
      <x:c r="K489" s="52" t="str">
        <x:f>IF(CaseLedger!$A489="","",IFERROR(CaseLedger!$S489,""))</x:f>
      </x:c>
      <x:c r="L489" s="52" t="str">
        <x:f>IF(CaseLedger!$A489="","",IFERROR(CaseLedger!$T489,""))</x:f>
      </x:c>
      <x:c r="M489" s="52" t="str">
        <x:f>IF(CaseLedger!$A489="","",IFERROR(CaseLedger!$U489,""))</x:f>
      </x:c>
      <x:c r="N489" s="52" t="str">
        <x:f>IF(CaseLedger!$A489="","",IFERROR(CaseLedger!$V489,""))</x:f>
      </x:c>
      <x:c r="O489" s="52" t="str">
        <x:f>IF(CaseLedger!$A489="","",IFERROR(CaseLedger!$W489,""))</x:f>
      </x:c>
      <x:c r="P489" s="52" t="str">
        <x:f>IF(CaseLedger!$A489="","",IFERROR(CaseLedger!$C489,""))</x:f>
      </x:c>
      <x:c r="Q489" s="52" t="str">
        <x:f>IF(CaseLedger!$A489="","",IFERROR(CaseLedger!$D489,""))</x:f>
      </x:c>
      <x:c r="R489" s="52" t="str">
        <x:f>IF(CaseLedger!$A489="","",IFERROR(CaseLedger!$X489,""))</x:f>
      </x:c>
      <x:c r="S489" s="52" t="str">
        <x:f>IF(CaseLedger!$A489="","",IFERROR(CaseLedger!$Y489,""))</x:f>
      </x:c>
      <x:c r="T489" s="52" t="str">
        <x:f>IF(CaseLedger!$A489="","",IFERROR(CaseLedger!$Z489,""))</x:f>
      </x:c>
      <x:c r="U489" s="52" t="str">
        <x:f>IF(CaseLedger!$A489="","",IFERROR(CaseLedger!$AA489,""))</x:f>
      </x:c>
      <x:c r="V489" s="52" t="str">
        <x:f>IF(CaseLedger!$A489="","",IFERROR(CaseLedger!$AB489,""))</x:f>
      </x:c>
      <x:c r="W489" s="52" t="str">
        <x:f>IF(CaseLedger!$A489="","",IFERROR(CaseLedger!$AC489,""))</x:f>
      </x:c>
      <x:c r="X489" s="52" t="str">
        <x:f>IF(CaseLedger!$A489="","",IFERROR(CaseLedger!$AD489,""))</x:f>
      </x:c>
      <x:c r="Y489" s="52" t="str">
        <x:f>IF(CaseLedger!$A489="","",IFERROR(CaseLedger!$AE489,""))</x:f>
      </x:c>
      <x:c r="Z489" s="52" t="str">
        <x:f>IF(CaseLedger!$A489="","",IFERROR(CaseLedger!$AF489,""))</x:f>
      </x:c>
      <x:c r="AA489" s="52" t="str">
        <x:f>IF(CaseLedger!$A489="","",IFERROR(CaseLedger!$AG489,""))</x:f>
      </x:c>
      <x:c r="AB489" s="52" t="str">
        <x:f>IF(CaseLedger!$A489="","",IFERROR(CaseLedger!$AH489,""))</x:f>
      </x:c>
      <x:c r="AC489"/>
    </x:row>
    <x:row r="490">
      <x:c r="A490" s="52" t="str">
        <x:f>IF(CaseLedger!$A490="","",IFERROR(CaseLedger!$A490,""))</x:f>
      </x:c>
      <x:c r="B490" s="52" t="str">
        <x:f>IF(CaseLedger!$A490="","",IFERROR(CaseLedger!$H490,""))</x:f>
      </x:c>
      <x:c r="C490" s="52" t="str">
        <x:f>IF(CaseLedger!$A490="","",IFERROR(CaseLedger!$I490,""))</x:f>
      </x:c>
      <x:c r="D490" s="52" t="str">
        <x:f>IF(CaseLedger!$A490="","",IFERROR(CaseLedger!$J490,""))</x:f>
      </x:c>
      <x:c r="E490" s="52" t="str">
        <x:f>IF(CaseLedger!$A490="","",IFERROR(CaseLedger!$K490,""))</x:f>
      </x:c>
      <x:c r="F490" s="52" t="str">
        <x:f>IF(CaseLedger!$A490="","",IFERROR(CaseLedger!$O490,""))</x:f>
      </x:c>
      <x:c r="G490" s="52" t="str">
        <x:f>IF(CaseLedger!$A490="","",IFERROR(CaseLedger!$E490,""))</x:f>
      </x:c>
      <x:c r="H490" s="52" t="str">
        <x:f>IF(CaseLedger!$A490="","",IFERROR(CaseLedger!$P490,""))</x:f>
      </x:c>
      <x:c r="I490" s="52" t="str">
        <x:f>IF(CaseLedger!$A490="","",IFERROR(CaseLedger!$Q490,""))</x:f>
      </x:c>
      <x:c r="J490" s="52" t="str">
        <x:f>IF(CaseLedger!$A490="","",IFERROR(CaseLedger!$R490,""))</x:f>
      </x:c>
      <x:c r="K490" s="52" t="str">
        <x:f>IF(CaseLedger!$A490="","",IFERROR(CaseLedger!$S490,""))</x:f>
      </x:c>
      <x:c r="L490" s="52" t="str">
        <x:f>IF(CaseLedger!$A490="","",IFERROR(CaseLedger!$T490,""))</x:f>
      </x:c>
      <x:c r="M490" s="52" t="str">
        <x:f>IF(CaseLedger!$A490="","",IFERROR(CaseLedger!$U490,""))</x:f>
      </x:c>
      <x:c r="N490" s="52" t="str">
        <x:f>IF(CaseLedger!$A490="","",IFERROR(CaseLedger!$V490,""))</x:f>
      </x:c>
      <x:c r="O490" s="52" t="str">
        <x:f>IF(CaseLedger!$A490="","",IFERROR(CaseLedger!$W490,""))</x:f>
      </x:c>
      <x:c r="P490" s="52" t="str">
        <x:f>IF(CaseLedger!$A490="","",IFERROR(CaseLedger!$C490,""))</x:f>
      </x:c>
      <x:c r="Q490" s="52" t="str">
        <x:f>IF(CaseLedger!$A490="","",IFERROR(CaseLedger!$D490,""))</x:f>
      </x:c>
      <x:c r="R490" s="52" t="str">
        <x:f>IF(CaseLedger!$A490="","",IFERROR(CaseLedger!$X490,""))</x:f>
      </x:c>
      <x:c r="S490" s="52" t="str">
        <x:f>IF(CaseLedger!$A490="","",IFERROR(CaseLedger!$Y490,""))</x:f>
      </x:c>
      <x:c r="T490" s="52" t="str">
        <x:f>IF(CaseLedger!$A490="","",IFERROR(CaseLedger!$Z490,""))</x:f>
      </x:c>
      <x:c r="U490" s="52" t="str">
        <x:f>IF(CaseLedger!$A490="","",IFERROR(CaseLedger!$AA490,""))</x:f>
      </x:c>
      <x:c r="V490" s="52" t="str">
        <x:f>IF(CaseLedger!$A490="","",IFERROR(CaseLedger!$AB490,""))</x:f>
      </x:c>
      <x:c r="W490" s="52" t="str">
        <x:f>IF(CaseLedger!$A490="","",IFERROR(CaseLedger!$AC490,""))</x:f>
      </x:c>
      <x:c r="X490" s="52" t="str">
        <x:f>IF(CaseLedger!$A490="","",IFERROR(CaseLedger!$AD490,""))</x:f>
      </x:c>
      <x:c r="Y490" s="52" t="str">
        <x:f>IF(CaseLedger!$A490="","",IFERROR(CaseLedger!$AE490,""))</x:f>
      </x:c>
      <x:c r="Z490" s="52" t="str">
        <x:f>IF(CaseLedger!$A490="","",IFERROR(CaseLedger!$AF490,""))</x:f>
      </x:c>
      <x:c r="AA490" s="52" t="str">
        <x:f>IF(CaseLedger!$A490="","",IFERROR(CaseLedger!$AG490,""))</x:f>
      </x:c>
      <x:c r="AB490" s="52" t="str">
        <x:f>IF(CaseLedger!$A490="","",IFERROR(CaseLedger!$AH490,""))</x:f>
      </x:c>
      <x:c r="AC490"/>
    </x:row>
    <x:row r="491">
      <x:c r="A491" s="52" t="str">
        <x:f>IF(CaseLedger!$A491="","",IFERROR(CaseLedger!$A491,""))</x:f>
      </x:c>
      <x:c r="B491" s="52" t="str">
        <x:f>IF(CaseLedger!$A491="","",IFERROR(CaseLedger!$H491,""))</x:f>
      </x:c>
      <x:c r="C491" s="52" t="str">
        <x:f>IF(CaseLedger!$A491="","",IFERROR(CaseLedger!$I491,""))</x:f>
      </x:c>
      <x:c r="D491" s="52" t="str">
        <x:f>IF(CaseLedger!$A491="","",IFERROR(CaseLedger!$J491,""))</x:f>
      </x:c>
      <x:c r="E491" s="52" t="str">
        <x:f>IF(CaseLedger!$A491="","",IFERROR(CaseLedger!$K491,""))</x:f>
      </x:c>
      <x:c r="F491" s="52" t="str">
        <x:f>IF(CaseLedger!$A491="","",IFERROR(CaseLedger!$O491,""))</x:f>
      </x:c>
      <x:c r="G491" s="52" t="str">
        <x:f>IF(CaseLedger!$A491="","",IFERROR(CaseLedger!$E491,""))</x:f>
      </x:c>
      <x:c r="H491" s="52" t="str">
        <x:f>IF(CaseLedger!$A491="","",IFERROR(CaseLedger!$P491,""))</x:f>
      </x:c>
      <x:c r="I491" s="52" t="str">
        <x:f>IF(CaseLedger!$A491="","",IFERROR(CaseLedger!$Q491,""))</x:f>
      </x:c>
      <x:c r="J491" s="52" t="str">
        <x:f>IF(CaseLedger!$A491="","",IFERROR(CaseLedger!$R491,""))</x:f>
      </x:c>
      <x:c r="K491" s="52" t="str">
        <x:f>IF(CaseLedger!$A491="","",IFERROR(CaseLedger!$S491,""))</x:f>
      </x:c>
      <x:c r="L491" s="52" t="str">
        <x:f>IF(CaseLedger!$A491="","",IFERROR(CaseLedger!$T491,""))</x:f>
      </x:c>
      <x:c r="M491" s="52" t="str">
        <x:f>IF(CaseLedger!$A491="","",IFERROR(CaseLedger!$U491,""))</x:f>
      </x:c>
      <x:c r="N491" s="52" t="str">
        <x:f>IF(CaseLedger!$A491="","",IFERROR(CaseLedger!$V491,""))</x:f>
      </x:c>
      <x:c r="O491" s="52" t="str">
        <x:f>IF(CaseLedger!$A491="","",IFERROR(CaseLedger!$W491,""))</x:f>
      </x:c>
      <x:c r="P491" s="52" t="str">
        <x:f>IF(CaseLedger!$A491="","",IFERROR(CaseLedger!$C491,""))</x:f>
      </x:c>
      <x:c r="Q491" s="52" t="str">
        <x:f>IF(CaseLedger!$A491="","",IFERROR(CaseLedger!$D491,""))</x:f>
      </x:c>
      <x:c r="R491" s="52" t="str">
        <x:f>IF(CaseLedger!$A491="","",IFERROR(CaseLedger!$X491,""))</x:f>
      </x:c>
      <x:c r="S491" s="52" t="str">
        <x:f>IF(CaseLedger!$A491="","",IFERROR(CaseLedger!$Y491,""))</x:f>
      </x:c>
      <x:c r="T491" s="52" t="str">
        <x:f>IF(CaseLedger!$A491="","",IFERROR(CaseLedger!$Z491,""))</x:f>
      </x:c>
      <x:c r="U491" s="52" t="str">
        <x:f>IF(CaseLedger!$A491="","",IFERROR(CaseLedger!$AA491,""))</x:f>
      </x:c>
      <x:c r="V491" s="52" t="str">
        <x:f>IF(CaseLedger!$A491="","",IFERROR(CaseLedger!$AB491,""))</x:f>
      </x:c>
      <x:c r="W491" s="52" t="str">
        <x:f>IF(CaseLedger!$A491="","",IFERROR(CaseLedger!$AC491,""))</x:f>
      </x:c>
      <x:c r="X491" s="52" t="str">
        <x:f>IF(CaseLedger!$A491="","",IFERROR(CaseLedger!$AD491,""))</x:f>
      </x:c>
      <x:c r="Y491" s="52" t="str">
        <x:f>IF(CaseLedger!$A491="","",IFERROR(CaseLedger!$AE491,""))</x:f>
      </x:c>
      <x:c r="Z491" s="52" t="str">
        <x:f>IF(CaseLedger!$A491="","",IFERROR(CaseLedger!$AF491,""))</x:f>
      </x:c>
      <x:c r="AA491" s="52" t="str">
        <x:f>IF(CaseLedger!$A491="","",IFERROR(CaseLedger!$AG491,""))</x:f>
      </x:c>
      <x:c r="AB491" s="52" t="str">
        <x:f>IF(CaseLedger!$A491="","",IFERROR(CaseLedger!$AH491,""))</x:f>
      </x:c>
      <x:c r="AC491"/>
    </x:row>
    <x:row r="492">
      <x:c r="A492" s="52" t="str">
        <x:f>IF(CaseLedger!$A492="","",IFERROR(CaseLedger!$A492,""))</x:f>
      </x:c>
      <x:c r="B492" s="52" t="str">
        <x:f>IF(CaseLedger!$A492="","",IFERROR(CaseLedger!$H492,""))</x:f>
      </x:c>
      <x:c r="C492" s="52" t="str">
        <x:f>IF(CaseLedger!$A492="","",IFERROR(CaseLedger!$I492,""))</x:f>
      </x:c>
      <x:c r="D492" s="52" t="str">
        <x:f>IF(CaseLedger!$A492="","",IFERROR(CaseLedger!$J492,""))</x:f>
      </x:c>
      <x:c r="E492" s="52" t="str">
        <x:f>IF(CaseLedger!$A492="","",IFERROR(CaseLedger!$K492,""))</x:f>
      </x:c>
      <x:c r="F492" s="52" t="str">
        <x:f>IF(CaseLedger!$A492="","",IFERROR(CaseLedger!$O492,""))</x:f>
      </x:c>
      <x:c r="G492" s="52" t="str">
        <x:f>IF(CaseLedger!$A492="","",IFERROR(CaseLedger!$E492,""))</x:f>
      </x:c>
      <x:c r="H492" s="52" t="str">
        <x:f>IF(CaseLedger!$A492="","",IFERROR(CaseLedger!$P492,""))</x:f>
      </x:c>
      <x:c r="I492" s="52" t="str">
        <x:f>IF(CaseLedger!$A492="","",IFERROR(CaseLedger!$Q492,""))</x:f>
      </x:c>
      <x:c r="J492" s="52" t="str">
        <x:f>IF(CaseLedger!$A492="","",IFERROR(CaseLedger!$R492,""))</x:f>
      </x:c>
      <x:c r="K492" s="52" t="str">
        <x:f>IF(CaseLedger!$A492="","",IFERROR(CaseLedger!$S492,""))</x:f>
      </x:c>
      <x:c r="L492" s="52" t="str">
        <x:f>IF(CaseLedger!$A492="","",IFERROR(CaseLedger!$T492,""))</x:f>
      </x:c>
      <x:c r="M492" s="52" t="str">
        <x:f>IF(CaseLedger!$A492="","",IFERROR(CaseLedger!$U492,""))</x:f>
      </x:c>
      <x:c r="N492" s="52" t="str">
        <x:f>IF(CaseLedger!$A492="","",IFERROR(CaseLedger!$V492,""))</x:f>
      </x:c>
      <x:c r="O492" s="52" t="str">
        <x:f>IF(CaseLedger!$A492="","",IFERROR(CaseLedger!$W492,""))</x:f>
      </x:c>
      <x:c r="P492" s="52" t="str">
        <x:f>IF(CaseLedger!$A492="","",IFERROR(CaseLedger!$C492,""))</x:f>
      </x:c>
      <x:c r="Q492" s="52" t="str">
        <x:f>IF(CaseLedger!$A492="","",IFERROR(CaseLedger!$D492,""))</x:f>
      </x:c>
      <x:c r="R492" s="52" t="str">
        <x:f>IF(CaseLedger!$A492="","",IFERROR(CaseLedger!$X492,""))</x:f>
      </x:c>
      <x:c r="S492" s="52" t="str">
        <x:f>IF(CaseLedger!$A492="","",IFERROR(CaseLedger!$Y492,""))</x:f>
      </x:c>
      <x:c r="T492" s="52" t="str">
        <x:f>IF(CaseLedger!$A492="","",IFERROR(CaseLedger!$Z492,""))</x:f>
      </x:c>
      <x:c r="U492" s="52" t="str">
        <x:f>IF(CaseLedger!$A492="","",IFERROR(CaseLedger!$AA492,""))</x:f>
      </x:c>
      <x:c r="V492" s="52" t="str">
        <x:f>IF(CaseLedger!$A492="","",IFERROR(CaseLedger!$AB492,""))</x:f>
      </x:c>
      <x:c r="W492" s="52" t="str">
        <x:f>IF(CaseLedger!$A492="","",IFERROR(CaseLedger!$AC492,""))</x:f>
      </x:c>
      <x:c r="X492" s="52" t="str">
        <x:f>IF(CaseLedger!$A492="","",IFERROR(CaseLedger!$AD492,""))</x:f>
      </x:c>
      <x:c r="Y492" s="52" t="str">
        <x:f>IF(CaseLedger!$A492="","",IFERROR(CaseLedger!$AE492,""))</x:f>
      </x:c>
      <x:c r="Z492" s="52" t="str">
        <x:f>IF(CaseLedger!$A492="","",IFERROR(CaseLedger!$AF492,""))</x:f>
      </x:c>
      <x:c r="AA492" s="52" t="str">
        <x:f>IF(CaseLedger!$A492="","",IFERROR(CaseLedger!$AG492,""))</x:f>
      </x:c>
      <x:c r="AB492" s="52" t="str">
        <x:f>IF(CaseLedger!$A492="","",IFERROR(CaseLedger!$AH492,""))</x:f>
      </x:c>
      <x:c r="AC492"/>
    </x:row>
    <x:row r="493">
      <x:c r="A493" s="52" t="str">
        <x:f>IF(CaseLedger!$A493="","",IFERROR(CaseLedger!$A493,""))</x:f>
      </x:c>
      <x:c r="B493" s="52" t="str">
        <x:f>IF(CaseLedger!$A493="","",IFERROR(CaseLedger!$H493,""))</x:f>
      </x:c>
      <x:c r="C493" s="52" t="str">
        <x:f>IF(CaseLedger!$A493="","",IFERROR(CaseLedger!$I493,""))</x:f>
      </x:c>
      <x:c r="D493" s="52" t="str">
        <x:f>IF(CaseLedger!$A493="","",IFERROR(CaseLedger!$J493,""))</x:f>
      </x:c>
      <x:c r="E493" s="52" t="str">
        <x:f>IF(CaseLedger!$A493="","",IFERROR(CaseLedger!$K493,""))</x:f>
      </x:c>
      <x:c r="F493" s="52" t="str">
        <x:f>IF(CaseLedger!$A493="","",IFERROR(CaseLedger!$O493,""))</x:f>
      </x:c>
      <x:c r="G493" s="52" t="str">
        <x:f>IF(CaseLedger!$A493="","",IFERROR(CaseLedger!$E493,""))</x:f>
      </x:c>
      <x:c r="H493" s="52" t="str">
        <x:f>IF(CaseLedger!$A493="","",IFERROR(CaseLedger!$P493,""))</x:f>
      </x:c>
      <x:c r="I493" s="52" t="str">
        <x:f>IF(CaseLedger!$A493="","",IFERROR(CaseLedger!$Q493,""))</x:f>
      </x:c>
      <x:c r="J493" s="52" t="str">
        <x:f>IF(CaseLedger!$A493="","",IFERROR(CaseLedger!$R493,""))</x:f>
      </x:c>
      <x:c r="K493" s="52" t="str">
        <x:f>IF(CaseLedger!$A493="","",IFERROR(CaseLedger!$S493,""))</x:f>
      </x:c>
      <x:c r="L493" s="52" t="str">
        <x:f>IF(CaseLedger!$A493="","",IFERROR(CaseLedger!$T493,""))</x:f>
      </x:c>
      <x:c r="M493" s="52" t="str">
        <x:f>IF(CaseLedger!$A493="","",IFERROR(CaseLedger!$U493,""))</x:f>
      </x:c>
      <x:c r="N493" s="52" t="str">
        <x:f>IF(CaseLedger!$A493="","",IFERROR(CaseLedger!$V493,""))</x:f>
      </x:c>
      <x:c r="O493" s="52" t="str">
        <x:f>IF(CaseLedger!$A493="","",IFERROR(CaseLedger!$W493,""))</x:f>
      </x:c>
      <x:c r="P493" s="52" t="str">
        <x:f>IF(CaseLedger!$A493="","",IFERROR(CaseLedger!$C493,""))</x:f>
      </x:c>
      <x:c r="Q493" s="52" t="str">
        <x:f>IF(CaseLedger!$A493="","",IFERROR(CaseLedger!$D493,""))</x:f>
      </x:c>
      <x:c r="R493" s="52" t="str">
        <x:f>IF(CaseLedger!$A493="","",IFERROR(CaseLedger!$X493,""))</x:f>
      </x:c>
      <x:c r="S493" s="52" t="str">
        <x:f>IF(CaseLedger!$A493="","",IFERROR(CaseLedger!$Y493,""))</x:f>
      </x:c>
      <x:c r="T493" s="52" t="str">
        <x:f>IF(CaseLedger!$A493="","",IFERROR(CaseLedger!$Z493,""))</x:f>
      </x:c>
      <x:c r="U493" s="52" t="str">
        <x:f>IF(CaseLedger!$A493="","",IFERROR(CaseLedger!$AA493,""))</x:f>
      </x:c>
      <x:c r="V493" s="52" t="str">
        <x:f>IF(CaseLedger!$A493="","",IFERROR(CaseLedger!$AB493,""))</x:f>
      </x:c>
      <x:c r="W493" s="52" t="str">
        <x:f>IF(CaseLedger!$A493="","",IFERROR(CaseLedger!$AC493,""))</x:f>
      </x:c>
      <x:c r="X493" s="52" t="str">
        <x:f>IF(CaseLedger!$A493="","",IFERROR(CaseLedger!$AD493,""))</x:f>
      </x:c>
      <x:c r="Y493" s="52" t="str">
        <x:f>IF(CaseLedger!$A493="","",IFERROR(CaseLedger!$AE493,""))</x:f>
      </x:c>
      <x:c r="Z493" s="52" t="str">
        <x:f>IF(CaseLedger!$A493="","",IFERROR(CaseLedger!$AF493,""))</x:f>
      </x:c>
      <x:c r="AA493" s="52" t="str">
        <x:f>IF(CaseLedger!$A493="","",IFERROR(CaseLedger!$AG493,""))</x:f>
      </x:c>
      <x:c r="AB493" s="52" t="str">
        <x:f>IF(CaseLedger!$A493="","",IFERROR(CaseLedger!$AH493,""))</x:f>
      </x:c>
      <x:c r="AC493"/>
    </x:row>
    <x:row r="494">
      <x:c r="A494" s="52" t="str">
        <x:f>IF(CaseLedger!$A494="","",IFERROR(CaseLedger!$A494,""))</x:f>
      </x:c>
      <x:c r="B494" s="52" t="str">
        <x:f>IF(CaseLedger!$A494="","",IFERROR(CaseLedger!$H494,""))</x:f>
      </x:c>
      <x:c r="C494" s="52" t="str">
        <x:f>IF(CaseLedger!$A494="","",IFERROR(CaseLedger!$I494,""))</x:f>
      </x:c>
      <x:c r="D494" s="52" t="str">
        <x:f>IF(CaseLedger!$A494="","",IFERROR(CaseLedger!$J494,""))</x:f>
      </x:c>
      <x:c r="E494" s="52" t="str">
        <x:f>IF(CaseLedger!$A494="","",IFERROR(CaseLedger!$K494,""))</x:f>
      </x:c>
      <x:c r="F494" s="52" t="str">
        <x:f>IF(CaseLedger!$A494="","",IFERROR(CaseLedger!$O494,""))</x:f>
      </x:c>
      <x:c r="G494" s="52" t="str">
        <x:f>IF(CaseLedger!$A494="","",IFERROR(CaseLedger!$E494,""))</x:f>
      </x:c>
      <x:c r="H494" s="52" t="str">
        <x:f>IF(CaseLedger!$A494="","",IFERROR(CaseLedger!$P494,""))</x:f>
      </x:c>
      <x:c r="I494" s="52" t="str">
        <x:f>IF(CaseLedger!$A494="","",IFERROR(CaseLedger!$Q494,""))</x:f>
      </x:c>
      <x:c r="J494" s="52" t="str">
        <x:f>IF(CaseLedger!$A494="","",IFERROR(CaseLedger!$R494,""))</x:f>
      </x:c>
      <x:c r="K494" s="52" t="str">
        <x:f>IF(CaseLedger!$A494="","",IFERROR(CaseLedger!$S494,""))</x:f>
      </x:c>
      <x:c r="L494" s="52" t="str">
        <x:f>IF(CaseLedger!$A494="","",IFERROR(CaseLedger!$T494,""))</x:f>
      </x:c>
      <x:c r="M494" s="52" t="str">
        <x:f>IF(CaseLedger!$A494="","",IFERROR(CaseLedger!$U494,""))</x:f>
      </x:c>
      <x:c r="N494" s="52" t="str">
        <x:f>IF(CaseLedger!$A494="","",IFERROR(CaseLedger!$V494,""))</x:f>
      </x:c>
      <x:c r="O494" s="52" t="str">
        <x:f>IF(CaseLedger!$A494="","",IFERROR(CaseLedger!$W494,""))</x:f>
      </x:c>
      <x:c r="P494" s="52" t="str">
        <x:f>IF(CaseLedger!$A494="","",IFERROR(CaseLedger!$C494,""))</x:f>
      </x:c>
      <x:c r="Q494" s="52" t="str">
        <x:f>IF(CaseLedger!$A494="","",IFERROR(CaseLedger!$D494,""))</x:f>
      </x:c>
      <x:c r="R494" s="52" t="str">
        <x:f>IF(CaseLedger!$A494="","",IFERROR(CaseLedger!$X494,""))</x:f>
      </x:c>
      <x:c r="S494" s="52" t="str">
        <x:f>IF(CaseLedger!$A494="","",IFERROR(CaseLedger!$Y494,""))</x:f>
      </x:c>
      <x:c r="T494" s="52" t="str">
        <x:f>IF(CaseLedger!$A494="","",IFERROR(CaseLedger!$Z494,""))</x:f>
      </x:c>
      <x:c r="U494" s="52" t="str">
        <x:f>IF(CaseLedger!$A494="","",IFERROR(CaseLedger!$AA494,""))</x:f>
      </x:c>
      <x:c r="V494" s="52" t="str">
        <x:f>IF(CaseLedger!$A494="","",IFERROR(CaseLedger!$AB494,""))</x:f>
      </x:c>
      <x:c r="W494" s="52" t="str">
        <x:f>IF(CaseLedger!$A494="","",IFERROR(CaseLedger!$AC494,""))</x:f>
      </x:c>
      <x:c r="X494" s="52" t="str">
        <x:f>IF(CaseLedger!$A494="","",IFERROR(CaseLedger!$AD494,""))</x:f>
      </x:c>
      <x:c r="Y494" s="52" t="str">
        <x:f>IF(CaseLedger!$A494="","",IFERROR(CaseLedger!$AE494,""))</x:f>
      </x:c>
      <x:c r="Z494" s="52" t="str">
        <x:f>IF(CaseLedger!$A494="","",IFERROR(CaseLedger!$AF494,""))</x:f>
      </x:c>
      <x:c r="AA494" s="52" t="str">
        <x:f>IF(CaseLedger!$A494="","",IFERROR(CaseLedger!$AG494,""))</x:f>
      </x:c>
      <x:c r="AB494" s="52" t="str">
        <x:f>IF(CaseLedger!$A494="","",IFERROR(CaseLedger!$AH494,""))</x:f>
      </x:c>
      <x:c r="AC494"/>
    </x:row>
    <x:row r="495">
      <x:c r="A495" s="52" t="str">
        <x:f>IF(CaseLedger!$A495="","",IFERROR(CaseLedger!$A495,""))</x:f>
      </x:c>
      <x:c r="B495" s="52" t="str">
        <x:f>IF(CaseLedger!$A495="","",IFERROR(CaseLedger!$H495,""))</x:f>
      </x:c>
      <x:c r="C495" s="52" t="str">
        <x:f>IF(CaseLedger!$A495="","",IFERROR(CaseLedger!$I495,""))</x:f>
      </x:c>
      <x:c r="D495" s="52" t="str">
        <x:f>IF(CaseLedger!$A495="","",IFERROR(CaseLedger!$J495,""))</x:f>
      </x:c>
      <x:c r="E495" s="52" t="str">
        <x:f>IF(CaseLedger!$A495="","",IFERROR(CaseLedger!$K495,""))</x:f>
      </x:c>
      <x:c r="F495" s="52" t="str">
        <x:f>IF(CaseLedger!$A495="","",IFERROR(CaseLedger!$O495,""))</x:f>
      </x:c>
      <x:c r="G495" s="52" t="str">
        <x:f>IF(CaseLedger!$A495="","",IFERROR(CaseLedger!$E495,""))</x:f>
      </x:c>
      <x:c r="H495" s="52" t="str">
        <x:f>IF(CaseLedger!$A495="","",IFERROR(CaseLedger!$P495,""))</x:f>
      </x:c>
      <x:c r="I495" s="52" t="str">
        <x:f>IF(CaseLedger!$A495="","",IFERROR(CaseLedger!$Q495,""))</x:f>
      </x:c>
      <x:c r="J495" s="52" t="str">
        <x:f>IF(CaseLedger!$A495="","",IFERROR(CaseLedger!$R495,""))</x:f>
      </x:c>
      <x:c r="K495" s="52" t="str">
        <x:f>IF(CaseLedger!$A495="","",IFERROR(CaseLedger!$S495,""))</x:f>
      </x:c>
      <x:c r="L495" s="52" t="str">
        <x:f>IF(CaseLedger!$A495="","",IFERROR(CaseLedger!$T495,""))</x:f>
      </x:c>
      <x:c r="M495" s="52" t="str">
        <x:f>IF(CaseLedger!$A495="","",IFERROR(CaseLedger!$U495,""))</x:f>
      </x:c>
      <x:c r="N495" s="52" t="str">
        <x:f>IF(CaseLedger!$A495="","",IFERROR(CaseLedger!$V495,""))</x:f>
      </x:c>
      <x:c r="O495" s="52" t="str">
        <x:f>IF(CaseLedger!$A495="","",IFERROR(CaseLedger!$W495,""))</x:f>
      </x:c>
      <x:c r="P495" s="52" t="str">
        <x:f>IF(CaseLedger!$A495="","",IFERROR(CaseLedger!$C495,""))</x:f>
      </x:c>
      <x:c r="Q495" s="52" t="str">
        <x:f>IF(CaseLedger!$A495="","",IFERROR(CaseLedger!$D495,""))</x:f>
      </x:c>
      <x:c r="R495" s="52" t="str">
        <x:f>IF(CaseLedger!$A495="","",IFERROR(CaseLedger!$X495,""))</x:f>
      </x:c>
      <x:c r="S495" s="52" t="str">
        <x:f>IF(CaseLedger!$A495="","",IFERROR(CaseLedger!$Y495,""))</x:f>
      </x:c>
      <x:c r="T495" s="52" t="str">
        <x:f>IF(CaseLedger!$A495="","",IFERROR(CaseLedger!$Z495,""))</x:f>
      </x:c>
      <x:c r="U495" s="52" t="str">
        <x:f>IF(CaseLedger!$A495="","",IFERROR(CaseLedger!$AA495,""))</x:f>
      </x:c>
      <x:c r="V495" s="52" t="str">
        <x:f>IF(CaseLedger!$A495="","",IFERROR(CaseLedger!$AB495,""))</x:f>
      </x:c>
      <x:c r="W495" s="52" t="str">
        <x:f>IF(CaseLedger!$A495="","",IFERROR(CaseLedger!$AC495,""))</x:f>
      </x:c>
      <x:c r="X495" s="52" t="str">
        <x:f>IF(CaseLedger!$A495="","",IFERROR(CaseLedger!$AD495,""))</x:f>
      </x:c>
      <x:c r="Y495" s="52" t="str">
        <x:f>IF(CaseLedger!$A495="","",IFERROR(CaseLedger!$AE495,""))</x:f>
      </x:c>
      <x:c r="Z495" s="52" t="str">
        <x:f>IF(CaseLedger!$A495="","",IFERROR(CaseLedger!$AF495,""))</x:f>
      </x:c>
      <x:c r="AA495" s="52" t="str">
        <x:f>IF(CaseLedger!$A495="","",IFERROR(CaseLedger!$AG495,""))</x:f>
      </x:c>
      <x:c r="AB495" s="52" t="str">
        <x:f>IF(CaseLedger!$A495="","",IFERROR(CaseLedger!$AH495,""))</x:f>
      </x:c>
      <x:c r="AC495"/>
    </x:row>
    <x:row r="496">
      <x:c r="A496" s="52" t="str">
        <x:f>IF(CaseLedger!$A496="","",IFERROR(CaseLedger!$A496,""))</x:f>
      </x:c>
      <x:c r="B496" s="52" t="str">
        <x:f>IF(CaseLedger!$A496="","",IFERROR(CaseLedger!$H496,""))</x:f>
      </x:c>
      <x:c r="C496" s="52" t="str">
        <x:f>IF(CaseLedger!$A496="","",IFERROR(CaseLedger!$I496,""))</x:f>
      </x:c>
      <x:c r="D496" s="52" t="str">
        <x:f>IF(CaseLedger!$A496="","",IFERROR(CaseLedger!$J496,""))</x:f>
      </x:c>
      <x:c r="E496" s="52" t="str">
        <x:f>IF(CaseLedger!$A496="","",IFERROR(CaseLedger!$K496,""))</x:f>
      </x:c>
      <x:c r="F496" s="52" t="str">
        <x:f>IF(CaseLedger!$A496="","",IFERROR(CaseLedger!$O496,""))</x:f>
      </x:c>
      <x:c r="G496" s="52" t="str">
        <x:f>IF(CaseLedger!$A496="","",IFERROR(CaseLedger!$E496,""))</x:f>
      </x:c>
      <x:c r="H496" s="52" t="str">
        <x:f>IF(CaseLedger!$A496="","",IFERROR(CaseLedger!$P496,""))</x:f>
      </x:c>
      <x:c r="I496" s="52" t="str">
        <x:f>IF(CaseLedger!$A496="","",IFERROR(CaseLedger!$Q496,""))</x:f>
      </x:c>
      <x:c r="J496" s="52" t="str">
        <x:f>IF(CaseLedger!$A496="","",IFERROR(CaseLedger!$R496,""))</x:f>
      </x:c>
      <x:c r="K496" s="52" t="str">
        <x:f>IF(CaseLedger!$A496="","",IFERROR(CaseLedger!$S496,""))</x:f>
      </x:c>
      <x:c r="L496" s="52" t="str">
        <x:f>IF(CaseLedger!$A496="","",IFERROR(CaseLedger!$T496,""))</x:f>
      </x:c>
      <x:c r="M496" s="52" t="str">
        <x:f>IF(CaseLedger!$A496="","",IFERROR(CaseLedger!$U496,""))</x:f>
      </x:c>
      <x:c r="N496" s="52" t="str">
        <x:f>IF(CaseLedger!$A496="","",IFERROR(CaseLedger!$V496,""))</x:f>
      </x:c>
      <x:c r="O496" s="52" t="str">
        <x:f>IF(CaseLedger!$A496="","",IFERROR(CaseLedger!$W496,""))</x:f>
      </x:c>
      <x:c r="P496" s="52" t="str">
        <x:f>IF(CaseLedger!$A496="","",IFERROR(CaseLedger!$C496,""))</x:f>
      </x:c>
      <x:c r="Q496" s="52" t="str">
        <x:f>IF(CaseLedger!$A496="","",IFERROR(CaseLedger!$D496,""))</x:f>
      </x:c>
      <x:c r="R496" s="52" t="str">
        <x:f>IF(CaseLedger!$A496="","",IFERROR(CaseLedger!$X496,""))</x:f>
      </x:c>
      <x:c r="S496" s="52" t="str">
        <x:f>IF(CaseLedger!$A496="","",IFERROR(CaseLedger!$Y496,""))</x:f>
      </x:c>
      <x:c r="T496" s="52" t="str">
        <x:f>IF(CaseLedger!$A496="","",IFERROR(CaseLedger!$Z496,""))</x:f>
      </x:c>
      <x:c r="U496" s="52" t="str">
        <x:f>IF(CaseLedger!$A496="","",IFERROR(CaseLedger!$AA496,""))</x:f>
      </x:c>
      <x:c r="V496" s="52" t="str">
        <x:f>IF(CaseLedger!$A496="","",IFERROR(CaseLedger!$AB496,""))</x:f>
      </x:c>
      <x:c r="W496" s="52" t="str">
        <x:f>IF(CaseLedger!$A496="","",IFERROR(CaseLedger!$AC496,""))</x:f>
      </x:c>
      <x:c r="X496" s="52" t="str">
        <x:f>IF(CaseLedger!$A496="","",IFERROR(CaseLedger!$AD496,""))</x:f>
      </x:c>
      <x:c r="Y496" s="52" t="str">
        <x:f>IF(CaseLedger!$A496="","",IFERROR(CaseLedger!$AE496,""))</x:f>
      </x:c>
      <x:c r="Z496" s="52" t="str">
        <x:f>IF(CaseLedger!$A496="","",IFERROR(CaseLedger!$AF496,""))</x:f>
      </x:c>
      <x:c r="AA496" s="52" t="str">
        <x:f>IF(CaseLedger!$A496="","",IFERROR(CaseLedger!$AG496,""))</x:f>
      </x:c>
      <x:c r="AB496" s="52" t="str">
        <x:f>IF(CaseLedger!$A496="","",IFERROR(CaseLedger!$AH496,""))</x:f>
      </x:c>
      <x:c r="AC496"/>
    </x:row>
    <x:row r="497">
      <x:c r="A497" s="52" t="str">
        <x:f>IF(CaseLedger!$A497="","",IFERROR(CaseLedger!$A497,""))</x:f>
      </x:c>
      <x:c r="B497" s="52" t="str">
        <x:f>IF(CaseLedger!$A497="","",IFERROR(CaseLedger!$H497,""))</x:f>
      </x:c>
      <x:c r="C497" s="52" t="str">
        <x:f>IF(CaseLedger!$A497="","",IFERROR(CaseLedger!$I497,""))</x:f>
      </x:c>
      <x:c r="D497" s="52" t="str">
        <x:f>IF(CaseLedger!$A497="","",IFERROR(CaseLedger!$J497,""))</x:f>
      </x:c>
      <x:c r="E497" s="52" t="str">
        <x:f>IF(CaseLedger!$A497="","",IFERROR(CaseLedger!$K497,""))</x:f>
      </x:c>
      <x:c r="F497" s="52" t="str">
        <x:f>IF(CaseLedger!$A497="","",IFERROR(CaseLedger!$O497,""))</x:f>
      </x:c>
      <x:c r="G497" s="52" t="str">
        <x:f>IF(CaseLedger!$A497="","",IFERROR(CaseLedger!$E497,""))</x:f>
      </x:c>
      <x:c r="H497" s="52" t="str">
        <x:f>IF(CaseLedger!$A497="","",IFERROR(CaseLedger!$P497,""))</x:f>
      </x:c>
      <x:c r="I497" s="52" t="str">
        <x:f>IF(CaseLedger!$A497="","",IFERROR(CaseLedger!$Q497,""))</x:f>
      </x:c>
      <x:c r="J497" s="52" t="str">
        <x:f>IF(CaseLedger!$A497="","",IFERROR(CaseLedger!$R497,""))</x:f>
      </x:c>
      <x:c r="K497" s="52" t="str">
        <x:f>IF(CaseLedger!$A497="","",IFERROR(CaseLedger!$S497,""))</x:f>
      </x:c>
      <x:c r="L497" s="52" t="str">
        <x:f>IF(CaseLedger!$A497="","",IFERROR(CaseLedger!$T497,""))</x:f>
      </x:c>
      <x:c r="M497" s="52" t="str">
        <x:f>IF(CaseLedger!$A497="","",IFERROR(CaseLedger!$U497,""))</x:f>
      </x:c>
      <x:c r="N497" s="52" t="str">
        <x:f>IF(CaseLedger!$A497="","",IFERROR(CaseLedger!$V497,""))</x:f>
      </x:c>
      <x:c r="O497" s="52" t="str">
        <x:f>IF(CaseLedger!$A497="","",IFERROR(CaseLedger!$W497,""))</x:f>
      </x:c>
      <x:c r="P497" s="52" t="str">
        <x:f>IF(CaseLedger!$A497="","",IFERROR(CaseLedger!$C497,""))</x:f>
      </x:c>
      <x:c r="Q497" s="52" t="str">
        <x:f>IF(CaseLedger!$A497="","",IFERROR(CaseLedger!$D497,""))</x:f>
      </x:c>
      <x:c r="R497" s="52" t="str">
        <x:f>IF(CaseLedger!$A497="","",IFERROR(CaseLedger!$X497,""))</x:f>
      </x:c>
      <x:c r="S497" s="52" t="str">
        <x:f>IF(CaseLedger!$A497="","",IFERROR(CaseLedger!$Y497,""))</x:f>
      </x:c>
      <x:c r="T497" s="52" t="str">
        <x:f>IF(CaseLedger!$A497="","",IFERROR(CaseLedger!$Z497,""))</x:f>
      </x:c>
      <x:c r="U497" s="52" t="str">
        <x:f>IF(CaseLedger!$A497="","",IFERROR(CaseLedger!$AA497,""))</x:f>
      </x:c>
      <x:c r="V497" s="52" t="str">
        <x:f>IF(CaseLedger!$A497="","",IFERROR(CaseLedger!$AB497,""))</x:f>
      </x:c>
      <x:c r="W497" s="52" t="str">
        <x:f>IF(CaseLedger!$A497="","",IFERROR(CaseLedger!$AC497,""))</x:f>
      </x:c>
      <x:c r="X497" s="52" t="str">
        <x:f>IF(CaseLedger!$A497="","",IFERROR(CaseLedger!$AD497,""))</x:f>
      </x:c>
      <x:c r="Y497" s="52" t="str">
        <x:f>IF(CaseLedger!$A497="","",IFERROR(CaseLedger!$AE497,""))</x:f>
      </x:c>
      <x:c r="Z497" s="52" t="str">
        <x:f>IF(CaseLedger!$A497="","",IFERROR(CaseLedger!$AF497,""))</x:f>
      </x:c>
      <x:c r="AA497" s="52" t="str">
        <x:f>IF(CaseLedger!$A497="","",IFERROR(CaseLedger!$AG497,""))</x:f>
      </x:c>
      <x:c r="AB497" s="52" t="str">
        <x:f>IF(CaseLedger!$A497="","",IFERROR(CaseLedger!$AH497,""))</x:f>
      </x:c>
      <x:c r="AC497"/>
    </x:row>
    <x:row r="498">
      <x:c r="A498" s="52" t="str">
        <x:f>IF(CaseLedger!$A498="","",IFERROR(CaseLedger!$A498,""))</x:f>
      </x:c>
      <x:c r="B498" s="52" t="str">
        <x:f>IF(CaseLedger!$A498="","",IFERROR(CaseLedger!$H498,""))</x:f>
      </x:c>
      <x:c r="C498" s="52" t="str">
        <x:f>IF(CaseLedger!$A498="","",IFERROR(CaseLedger!$I498,""))</x:f>
      </x:c>
      <x:c r="D498" s="52" t="str">
        <x:f>IF(CaseLedger!$A498="","",IFERROR(CaseLedger!$J498,""))</x:f>
      </x:c>
      <x:c r="E498" s="52" t="str">
        <x:f>IF(CaseLedger!$A498="","",IFERROR(CaseLedger!$K498,""))</x:f>
      </x:c>
      <x:c r="F498" s="52" t="str">
        <x:f>IF(CaseLedger!$A498="","",IFERROR(CaseLedger!$O498,""))</x:f>
      </x:c>
      <x:c r="G498" s="52" t="str">
        <x:f>IF(CaseLedger!$A498="","",IFERROR(CaseLedger!$E498,""))</x:f>
      </x:c>
      <x:c r="H498" s="52" t="str">
        <x:f>IF(CaseLedger!$A498="","",IFERROR(CaseLedger!$P498,""))</x:f>
      </x:c>
      <x:c r="I498" s="52" t="str">
        <x:f>IF(CaseLedger!$A498="","",IFERROR(CaseLedger!$Q498,""))</x:f>
      </x:c>
      <x:c r="J498" s="52" t="str">
        <x:f>IF(CaseLedger!$A498="","",IFERROR(CaseLedger!$R498,""))</x:f>
      </x:c>
      <x:c r="K498" s="52" t="str">
        <x:f>IF(CaseLedger!$A498="","",IFERROR(CaseLedger!$S498,""))</x:f>
      </x:c>
      <x:c r="L498" s="52" t="str">
        <x:f>IF(CaseLedger!$A498="","",IFERROR(CaseLedger!$T498,""))</x:f>
      </x:c>
      <x:c r="M498" s="52" t="str">
        <x:f>IF(CaseLedger!$A498="","",IFERROR(CaseLedger!$U498,""))</x:f>
      </x:c>
      <x:c r="N498" s="52" t="str">
        <x:f>IF(CaseLedger!$A498="","",IFERROR(CaseLedger!$V498,""))</x:f>
      </x:c>
      <x:c r="O498" s="52" t="str">
        <x:f>IF(CaseLedger!$A498="","",IFERROR(CaseLedger!$W498,""))</x:f>
      </x:c>
      <x:c r="P498" s="52" t="str">
        <x:f>IF(CaseLedger!$A498="","",IFERROR(CaseLedger!$C498,""))</x:f>
      </x:c>
      <x:c r="Q498" s="52" t="str">
        <x:f>IF(CaseLedger!$A498="","",IFERROR(CaseLedger!$D498,""))</x:f>
      </x:c>
      <x:c r="R498" s="52" t="str">
        <x:f>IF(CaseLedger!$A498="","",IFERROR(CaseLedger!$X498,""))</x:f>
      </x:c>
      <x:c r="S498" s="52" t="str">
        <x:f>IF(CaseLedger!$A498="","",IFERROR(CaseLedger!$Y498,""))</x:f>
      </x:c>
      <x:c r="T498" s="52" t="str">
        <x:f>IF(CaseLedger!$A498="","",IFERROR(CaseLedger!$Z498,""))</x:f>
      </x:c>
      <x:c r="U498" s="52" t="str">
        <x:f>IF(CaseLedger!$A498="","",IFERROR(CaseLedger!$AA498,""))</x:f>
      </x:c>
      <x:c r="V498" s="52" t="str">
        <x:f>IF(CaseLedger!$A498="","",IFERROR(CaseLedger!$AB498,""))</x:f>
      </x:c>
      <x:c r="W498" s="52" t="str">
        <x:f>IF(CaseLedger!$A498="","",IFERROR(CaseLedger!$AC498,""))</x:f>
      </x:c>
      <x:c r="X498" s="52" t="str">
        <x:f>IF(CaseLedger!$A498="","",IFERROR(CaseLedger!$AD498,""))</x:f>
      </x:c>
      <x:c r="Y498" s="52" t="str">
        <x:f>IF(CaseLedger!$A498="","",IFERROR(CaseLedger!$AE498,""))</x:f>
      </x:c>
      <x:c r="Z498" s="52" t="str">
        <x:f>IF(CaseLedger!$A498="","",IFERROR(CaseLedger!$AF498,""))</x:f>
      </x:c>
      <x:c r="AA498" s="52" t="str">
        <x:f>IF(CaseLedger!$A498="","",IFERROR(CaseLedger!$AG498,""))</x:f>
      </x:c>
      <x:c r="AB498" s="52" t="str">
        <x:f>IF(CaseLedger!$A498="","",IFERROR(CaseLedger!$AH498,""))</x:f>
      </x:c>
      <x:c r="AC498"/>
    </x:row>
    <x:row r="499">
      <x:c r="A499" s="52" t="str">
        <x:f>IF(CaseLedger!$A499="","",IFERROR(CaseLedger!$A499,""))</x:f>
      </x:c>
      <x:c r="B499" s="52" t="str">
        <x:f>IF(CaseLedger!$A499="","",IFERROR(CaseLedger!$H499,""))</x:f>
      </x:c>
      <x:c r="C499" s="52" t="str">
        <x:f>IF(CaseLedger!$A499="","",IFERROR(CaseLedger!$I499,""))</x:f>
      </x:c>
      <x:c r="D499" s="52" t="str">
        <x:f>IF(CaseLedger!$A499="","",IFERROR(CaseLedger!$J499,""))</x:f>
      </x:c>
      <x:c r="E499" s="52" t="str">
        <x:f>IF(CaseLedger!$A499="","",IFERROR(CaseLedger!$K499,""))</x:f>
      </x:c>
      <x:c r="F499" s="52" t="str">
        <x:f>IF(CaseLedger!$A499="","",IFERROR(CaseLedger!$O499,""))</x:f>
      </x:c>
      <x:c r="G499" s="52" t="str">
        <x:f>IF(CaseLedger!$A499="","",IFERROR(CaseLedger!$E499,""))</x:f>
      </x:c>
      <x:c r="H499" s="52" t="str">
        <x:f>IF(CaseLedger!$A499="","",IFERROR(CaseLedger!$P499,""))</x:f>
      </x:c>
      <x:c r="I499" s="52" t="str">
        <x:f>IF(CaseLedger!$A499="","",IFERROR(CaseLedger!$Q499,""))</x:f>
      </x:c>
      <x:c r="J499" s="52" t="str">
        <x:f>IF(CaseLedger!$A499="","",IFERROR(CaseLedger!$R499,""))</x:f>
      </x:c>
      <x:c r="K499" s="52" t="str">
        <x:f>IF(CaseLedger!$A499="","",IFERROR(CaseLedger!$S499,""))</x:f>
      </x:c>
      <x:c r="L499" s="52" t="str">
        <x:f>IF(CaseLedger!$A499="","",IFERROR(CaseLedger!$T499,""))</x:f>
      </x:c>
      <x:c r="M499" s="52" t="str">
        <x:f>IF(CaseLedger!$A499="","",IFERROR(CaseLedger!$U499,""))</x:f>
      </x:c>
      <x:c r="N499" s="52" t="str">
        <x:f>IF(CaseLedger!$A499="","",IFERROR(CaseLedger!$V499,""))</x:f>
      </x:c>
      <x:c r="O499" s="52" t="str">
        <x:f>IF(CaseLedger!$A499="","",IFERROR(CaseLedger!$W499,""))</x:f>
      </x:c>
      <x:c r="P499" s="52" t="str">
        <x:f>IF(CaseLedger!$A499="","",IFERROR(CaseLedger!$C499,""))</x:f>
      </x:c>
      <x:c r="Q499" s="52" t="str">
        <x:f>IF(CaseLedger!$A499="","",IFERROR(CaseLedger!$D499,""))</x:f>
      </x:c>
      <x:c r="R499" s="52" t="str">
        <x:f>IF(CaseLedger!$A499="","",IFERROR(CaseLedger!$X499,""))</x:f>
      </x:c>
      <x:c r="S499" s="52" t="str">
        <x:f>IF(CaseLedger!$A499="","",IFERROR(CaseLedger!$Y499,""))</x:f>
      </x:c>
      <x:c r="T499" s="52" t="str">
        <x:f>IF(CaseLedger!$A499="","",IFERROR(CaseLedger!$Z499,""))</x:f>
      </x:c>
      <x:c r="U499" s="52" t="str">
        <x:f>IF(CaseLedger!$A499="","",IFERROR(CaseLedger!$AA499,""))</x:f>
      </x:c>
      <x:c r="V499" s="52" t="str">
        <x:f>IF(CaseLedger!$A499="","",IFERROR(CaseLedger!$AB499,""))</x:f>
      </x:c>
      <x:c r="W499" s="52" t="str">
        <x:f>IF(CaseLedger!$A499="","",IFERROR(CaseLedger!$AC499,""))</x:f>
      </x:c>
      <x:c r="X499" s="52" t="str">
        <x:f>IF(CaseLedger!$A499="","",IFERROR(CaseLedger!$AD499,""))</x:f>
      </x:c>
      <x:c r="Y499" s="52" t="str">
        <x:f>IF(CaseLedger!$A499="","",IFERROR(CaseLedger!$AE499,""))</x:f>
      </x:c>
      <x:c r="Z499" s="52" t="str">
        <x:f>IF(CaseLedger!$A499="","",IFERROR(CaseLedger!$AF499,""))</x:f>
      </x:c>
      <x:c r="AA499" s="52" t="str">
        <x:f>IF(CaseLedger!$A499="","",IFERROR(CaseLedger!$AG499,""))</x:f>
      </x:c>
      <x:c r="AB499" s="52" t="str">
        <x:f>IF(CaseLedger!$A499="","",IFERROR(CaseLedger!$AH499,""))</x:f>
      </x:c>
      <x:c r="AC499"/>
    </x:row>
    <x:row r="500">
      <x:c r="A500" s="52" t="str">
        <x:f>IF(CaseLedger!$A500="","",IFERROR(CaseLedger!$A500,""))</x:f>
      </x:c>
      <x:c r="B500" s="52" t="str">
        <x:f>IF(CaseLedger!$A500="","",IFERROR(CaseLedger!$H500,""))</x:f>
      </x:c>
      <x:c r="C500" s="52" t="str">
        <x:f>IF(CaseLedger!$A500="","",IFERROR(CaseLedger!$I500,""))</x:f>
      </x:c>
      <x:c r="D500" s="52" t="str">
        <x:f>IF(CaseLedger!$A500="","",IFERROR(CaseLedger!$J500,""))</x:f>
      </x:c>
      <x:c r="E500" s="52" t="str">
        <x:f>IF(CaseLedger!$A500="","",IFERROR(CaseLedger!$K500,""))</x:f>
      </x:c>
      <x:c r="F500" s="52" t="str">
        <x:f>IF(CaseLedger!$A500="","",IFERROR(CaseLedger!$O500,""))</x:f>
      </x:c>
      <x:c r="G500" s="52" t="str">
        <x:f>IF(CaseLedger!$A500="","",IFERROR(CaseLedger!$E500,""))</x:f>
      </x:c>
      <x:c r="H500" s="52" t="str">
        <x:f>IF(CaseLedger!$A500="","",IFERROR(CaseLedger!$P500,""))</x:f>
      </x:c>
      <x:c r="I500" s="52" t="str">
        <x:f>IF(CaseLedger!$A500="","",IFERROR(CaseLedger!$Q500,""))</x:f>
      </x:c>
      <x:c r="J500" s="52" t="str">
        <x:f>IF(CaseLedger!$A500="","",IFERROR(CaseLedger!$R500,""))</x:f>
      </x:c>
      <x:c r="K500" s="52" t="str">
        <x:f>IF(CaseLedger!$A500="","",IFERROR(CaseLedger!$S500,""))</x:f>
      </x:c>
      <x:c r="L500" s="52" t="str">
        <x:f>IF(CaseLedger!$A500="","",IFERROR(CaseLedger!$T500,""))</x:f>
      </x:c>
      <x:c r="M500" s="52" t="str">
        <x:f>IF(CaseLedger!$A500="","",IFERROR(CaseLedger!$U500,""))</x:f>
      </x:c>
      <x:c r="N500" s="52" t="str">
        <x:f>IF(CaseLedger!$A500="","",IFERROR(CaseLedger!$V500,""))</x:f>
      </x:c>
      <x:c r="O500" s="52" t="str">
        <x:f>IF(CaseLedger!$A500="","",IFERROR(CaseLedger!$W500,""))</x:f>
      </x:c>
      <x:c r="P500" s="52" t="str">
        <x:f>IF(CaseLedger!$A500="","",IFERROR(CaseLedger!$C500,""))</x:f>
      </x:c>
      <x:c r="Q500" s="52" t="str">
        <x:f>IF(CaseLedger!$A500="","",IFERROR(CaseLedger!$D500,""))</x:f>
      </x:c>
      <x:c r="R500" s="52" t="str">
        <x:f>IF(CaseLedger!$A500="","",IFERROR(CaseLedger!$X500,""))</x:f>
      </x:c>
      <x:c r="S500" s="52" t="str">
        <x:f>IF(CaseLedger!$A500="","",IFERROR(CaseLedger!$Y500,""))</x:f>
      </x:c>
      <x:c r="T500" s="52" t="str">
        <x:f>IF(CaseLedger!$A500="","",IFERROR(CaseLedger!$Z500,""))</x:f>
      </x:c>
      <x:c r="U500" s="52" t="str">
        <x:f>IF(CaseLedger!$A500="","",IFERROR(CaseLedger!$AA500,""))</x:f>
      </x:c>
      <x:c r="V500" s="52" t="str">
        <x:f>IF(CaseLedger!$A500="","",IFERROR(CaseLedger!$AB500,""))</x:f>
      </x:c>
      <x:c r="W500" s="52" t="str">
        <x:f>IF(CaseLedger!$A500="","",IFERROR(CaseLedger!$AC500,""))</x:f>
      </x:c>
      <x:c r="X500" s="52" t="str">
        <x:f>IF(CaseLedger!$A500="","",IFERROR(CaseLedger!$AD500,""))</x:f>
      </x:c>
      <x:c r="Y500" s="52" t="str">
        <x:f>IF(CaseLedger!$A500="","",IFERROR(CaseLedger!$AE500,""))</x:f>
      </x:c>
      <x:c r="Z500" s="52" t="str">
        <x:f>IF(CaseLedger!$A500="","",IFERROR(CaseLedger!$AF500,""))</x:f>
      </x:c>
      <x:c r="AA500" s="52" t="str">
        <x:f>IF(CaseLedger!$A500="","",IFERROR(CaseLedger!$AG500,""))</x:f>
      </x:c>
      <x:c r="AB500" s="52" t="str">
        <x:f>IF(CaseLedger!$A500="","",IFERROR(CaseLedger!$AH500,""))</x:f>
      </x:c>
      <x:c r="AC500"/>
    </x:row>
    <x:row r="501">
      <x:c r="A501" t="str">
        <x:f>IF(CaseLedger!$A501="","",IFERROR(CaseLedger!$A501,""))</x:f>
      </x:c>
      <x:c r="B501" t="str">
        <x:f>IF(CaseLedger!$A501="","",IFERROR(CaseLedger!$H501,""))</x:f>
      </x:c>
      <x:c r="C501" t="str">
        <x:f>IF(CaseLedger!$A501="","",IFERROR(CaseLedger!$I501,""))</x:f>
      </x:c>
      <x:c r="D501" t="str">
        <x:f>IF(CaseLedger!$A501="","",IFERROR(CaseLedger!$J501,""))</x:f>
      </x:c>
      <x:c r="E501" t="str">
        <x:f>IF(CaseLedger!$A501="","",IFERROR(CaseLedger!$K501,""))</x:f>
      </x:c>
      <x:c r="F501" t="str">
        <x:f>IF(CaseLedger!$A501="","",IFERROR(CaseLedger!$O501,""))</x:f>
      </x:c>
      <x:c r="G501" t="str">
        <x:f>IF(CaseLedger!$A501="","",IFERROR(CaseLedger!$E501,""))</x:f>
      </x:c>
      <x:c r="H501" t="str">
        <x:f>IF(CaseLedger!$A501="","",IFERROR(CaseLedger!$P501,""))</x:f>
      </x:c>
      <x:c r="I501" t="str">
        <x:f>IF(CaseLedger!$A501="","",IFERROR(CaseLedger!$Q501,""))</x:f>
      </x:c>
      <x:c r="J501" t="str">
        <x:f>IF(CaseLedger!$A501="","",IFERROR(CaseLedger!$R501,""))</x:f>
      </x:c>
      <x:c r="K501" t="str">
        <x:f>IF(CaseLedger!$A501="","",IFERROR(CaseLedger!$S501,""))</x:f>
      </x:c>
      <x:c r="L501" t="str">
        <x:f>IF(CaseLedger!$A501="","",IFERROR(CaseLedger!$T501,""))</x:f>
      </x:c>
      <x:c r="M501" t="str">
        <x:f>IF(CaseLedger!$A501="","",IFERROR(CaseLedger!$U501,""))</x:f>
      </x:c>
      <x:c r="N501" t="str">
        <x:f>IF(CaseLedger!$A501="","",IFERROR(CaseLedger!$V501,""))</x:f>
      </x:c>
      <x:c r="O501" t="str">
        <x:f>IF(CaseLedger!$A501="","",IFERROR(CaseLedger!$W501,""))</x:f>
      </x:c>
      <x:c r="P501" t="str">
        <x:f>IF(CaseLedger!$A501="","",IFERROR(CaseLedger!$C501,""))</x:f>
      </x:c>
      <x:c r="Q501" t="str">
        <x:f>IF(CaseLedger!$A501="","",IFERROR(CaseLedger!$D501,""))</x:f>
      </x:c>
      <x:c r="R501" t="str">
        <x:f>IF(CaseLedger!$A501="","",IFERROR(CaseLedger!$X501,""))</x:f>
      </x:c>
      <x:c r="S501" t="str">
        <x:f>IF(CaseLedger!$A501="","",IFERROR(CaseLedger!$Y501,""))</x:f>
      </x:c>
      <x:c r="T501" t="str">
        <x:f>IF(CaseLedger!$A501="","",IFERROR(CaseLedger!$Z501,""))</x:f>
      </x:c>
      <x:c r="U501" t="str">
        <x:f>IF(CaseLedger!$A501="","",IFERROR(CaseLedger!$AA501,""))</x:f>
      </x:c>
      <x:c r="V501" t="str">
        <x:f>IF(CaseLedger!$A501="","",IFERROR(CaseLedger!$AB501,""))</x:f>
      </x:c>
      <x:c r="W501" t="str">
        <x:f>IF(CaseLedger!$A501="","",IFERROR(CaseLedger!$AC501,""))</x:f>
      </x:c>
      <x:c r="X501" t="str">
        <x:f>IF(CaseLedger!$A501="","",IFERROR(CaseLedger!$AD501,""))</x:f>
      </x:c>
      <x:c r="Y501" t="str">
        <x:f>IF(CaseLedger!$A501="","",IFERROR(CaseLedger!$AE501,""))</x:f>
      </x:c>
      <x:c r="Z501" t="str">
        <x:f>IF(CaseLedger!$A501="","",IFERROR(CaseLedger!$AF501,""))</x:f>
      </x:c>
      <x:c r="AA501" t="str">
        <x:f>IF(CaseLedger!$A501="","",IFERROR(CaseLedger!$AG501,""))</x:f>
      </x:c>
      <x:c r="AB501" t="str">
        <x:f>IF(CaseLedger!$A501="","",IFERROR(CaseLedger!$AH501,""))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0600004196167" hidden="0" customWidth="1"/>
    <x:col min="2" max="2" width="11.170000076293945" hidden="0" customWidth="1"/>
    <x:col min="3" max="3" width="18.84000015258789" hidden="0" customWidth="1"/>
    <x:col min="4" max="4" width="9.149999618530273" hidden="0" customWidth="1"/>
    <x:col min="5" max="5" width="26.920000076293945" hidden="0" customWidth="1"/>
    <x:col min="6" max="6" width="21.1299991607666" hidden="0" customWidth="1"/>
    <x:col min="7" max="7" width="20.459999084472656" hidden="0" customWidth="1"/>
    <x:col min="8" max="8" width="13.1899995803833" hidden="0" customWidth="1"/>
    <x:col min="9" max="9" width="102.83000183105469" hidden="0" customWidth="1"/>
    <x:col min="10" max="10" width="94.08000183105469" hidden="0" customWidth="1"/>
    <x:col min="11" max="11" width="14.539999961853027" hidden="0" customWidth="1"/>
    <x:col min="12" max="12" width="69.30999755859375" hidden="0" customWidth="1"/>
    <x:col min="13" max="13" width="19.3799991607666" hidden="0" customWidth="1"/>
    <x:col min="14" max="14" width="14.270000457763672" hidden="0" customWidth="1"/>
    <x:col min="15" max="15" width="39.16999816894531" hidden="0" customWidth="1"/>
    <x:col min="16" max="16" width="111.44000244140625" hidden="0" customWidth="1"/>
    <x:col min="17" max="17" width="79.54000091552734" hidden="0" customWidth="1"/>
  </x:cols>
  <x:sheetData>
    <x:row r="1" ht="24" customHeight="1">
      <x:c r="A1" s="49" t="str">
        <x:v>testimonial_id</x:v>
      </x:c>
      <x:c r="B1" s="49" t="str">
        <x:v>display_order</x:v>
      </x:c>
      <x:c r="C1" s="49" t="str">
        <x:v>anonymized_name</x:v>
      </x:c>
      <x:c r="D1" s="49" t="str">
        <x:v>public_role</x:v>
      </x:c>
      <x:c r="E1" s="49" t="str">
        <x:v>mentorship_track</x:v>
      </x:c>
      <x:c r="F1" s="49" t="str">
        <x:v>mentee_stage</x:v>
      </x:c>
      <x:c r="G1" s="49" t="str">
        <x:v>public_location</x:v>
      </x:c>
      <x:c r="H1" s="49" t="str">
        <x:v>period_label</x:v>
      </x:c>
      <x:c r="I1" s="49" t="str">
        <x:v>outcome_summary</x:v>
      </x:c>
      <x:c r="J1" s="49" t="str">
        <x:v>testimonial_text</x:v>
      </x:c>
      <x:c r="K1" s="49" t="str">
        <x:v>profile_image_url</x:v>
      </x:c>
      <x:c r="L1" s="49" t="str">
        <x:v>profile_image_alt</x:v>
      </x:c>
      <x:c r="M1" s="49" t="str">
        <x:v>carousel_tagline</x:v>
      </x:c>
      <x:c r="N1" s="49" t="str">
        <x:v>consent_received</x:v>
      </x:c>
      <x:c r="O1" s="49" t="str">
        <x:v>publish_status</x:v>
      </x:c>
      <x:c r="P1" s="49" t="str">
        <x:v>privacy_note</x:v>
      </x:c>
      <x:c r="Q1" s="49" t="str">
        <x:v>editing_note</x:v>
      </x:c>
    </x:row>
    <x:row r="2">
      <x:c r="A2" s="52" t="str">
        <x:v>HUM-MENT-001</x:v>
      </x:c>
      <x:c r="B2" s="52" t="n">
        <x:v>1</x:v>
      </x:c>
      <x:c r="C2" s="52" t="str">
        <x:v>Anonymized mentee 1</x:v>
      </x:c>
      <x:c r="D2" s="52" t="str">
        <x:v>Mentee</x:v>
      </x:c>
      <x:c r="E2" s="52" t="str">
        <x:v>Resume Review</x:v>
      </x:c>
      <x:c r="F2" s="52" t="str">
        <x:v>Final-year student</x:v>
      </x:c>
      <x:c r="G2" s="52" t="str">
        <x:v>Public-safe city/state only</x:v>
      </x:c>
      <x:c r="H2" s="52" t="str">
        <x:v>Add month/year</x:v>
      </x:c>
      <x:c r="I2" s="52" t="str">
        <x:v>Add only a verified outcome, e.g. resume improved, interview prepared, offer received, internship secured, or course completed.</x:v>
      </x:c>
      <x:c r="J2" s="52" t="str">
        <x:v>Replace this placeholder with a real mentee testimonial after consent. Do not publish this placeholder as a real quote.</x:v>
      </x:c>
      <x:c r="K2" s="52"/>
      <x:c r="L2" s="52" t="str">
        <x:v>Optional anonymized profile image/avatar for HUM-MENT-001; add only after consent.</x:v>
      </x:c>
      <x:c r="M2" s="52" t="str">
        <x:v>Resume clarity</x:v>
      </x:c>
      <x:c r="N2" s="52" t="str">
        <x:v>No</x:v>
      </x:c>
      <x:c r="O2" s="52" t="str">
        <x:v>Draft - replace with real consented testimonial</x:v>
      </x:c>
      <x:c r="P2" s="52" t="str">
        <x:v>Anonymized public testimonial; no full name, phone, address, ID, private documents, employer-sensitive details, or donor identity included.</x:v>
      </x:c>
      <x:c r="Q2" s="52" t="str">
        <x:v>When ready: add real quote, verify outcome, set consent_received=Yes, set publish_status=Publish.</x:v>
      </x:c>
    </x:row>
    <x:row r="3">
      <x:c r="A3" s="52" t="str">
        <x:v>HUM-MENT-002</x:v>
      </x:c>
      <x:c r="B3" s="52" t="n">
        <x:v>2</x:v>
      </x:c>
      <x:c r="C3" s="52" t="str">
        <x:v>Anonymized mentee 2</x:v>
      </x:c>
      <x:c r="D3" s="52" t="str">
        <x:v>Mentee</x:v>
      </x:c>
      <x:c r="E3" s="52" t="str">
        <x:v>Interview Preparation</x:v>
      </x:c>
      <x:c r="F3" s="52" t="str">
        <x:v>Graduate job seeker</x:v>
      </x:c>
      <x:c r="G3" s="52" t="str">
        <x:v>Public-safe city/state only</x:v>
      </x:c>
      <x:c r="H3" s="52" t="str">
        <x:v>Add month/year</x:v>
      </x:c>
      <x:c r="I3" s="52" t="str">
        <x:v>Add only a verified outcome, e.g. resume improved, interview prepared, offer received, internship secured, or course completed.</x:v>
      </x:c>
      <x:c r="J3" s="52" t="str">
        <x:v>Replace this placeholder with a real mentee testimonial after consent. Do not publish this placeholder as a real quote.</x:v>
      </x:c>
      <x:c r="K3" s="52"/>
      <x:c r="L3" s="52" t="str">
        <x:v>Optional anonymized profile image/avatar for HUM-MENT-002; add only after consent.</x:v>
      </x:c>
      <x:c r="M3" s="52" t="str">
        <x:v>Interview confidence</x:v>
      </x:c>
      <x:c r="N3" s="52" t="str">
        <x:v>No</x:v>
      </x:c>
      <x:c r="O3" s="52" t="str">
        <x:v>Draft - replace with real consented testimonial</x:v>
      </x:c>
      <x:c r="P3" s="52" t="str">
        <x:v>Anonymized public testimonial; no full name, phone, address, ID, private documents, employer-sensitive details, or donor identity included.</x:v>
      </x:c>
      <x:c r="Q3" s="52" t="str">
        <x:v>When ready: add real quote, verify outcome, set consent_received=Yes, set publish_status=Publish.</x:v>
      </x:c>
    </x:row>
    <x:row r="4">
      <x:c r="A4" s="52" t="str">
        <x:v>HUM-MENT-003</x:v>
      </x:c>
      <x:c r="B4" s="52" t="n">
        <x:v>3</x:v>
      </x:c>
      <x:c r="C4" s="52" t="str">
        <x:v>Anonymized mentee 3</x:v>
      </x:c>
      <x:c r="D4" s="52" t="str">
        <x:v>Mentee</x:v>
      </x:c>
      <x:c r="E4" s="52" t="str">
        <x:v>Coding / IT Guidance</x:v>
      </x:c>
      <x:c r="F4" s="52" t="str">
        <x:v>Early-career learner</x:v>
      </x:c>
      <x:c r="G4" s="52" t="str">
        <x:v>Public-safe city/state only</x:v>
      </x:c>
      <x:c r="H4" s="52" t="str">
        <x:v>Add month/year</x:v>
      </x:c>
      <x:c r="I4" s="52" t="str">
        <x:v>Add only a verified outcome, e.g. resume improved, interview prepared, offer received, internship secured, or course completed.</x:v>
      </x:c>
      <x:c r="J4" s="52" t="str">
        <x:v>Replace this placeholder with a real mentee testimonial after consent. Do not publish this placeholder as a real quote.</x:v>
      </x:c>
      <x:c r="K4" s="52"/>
      <x:c r="L4" s="52" t="str">
        <x:v>Optional anonymized profile image/avatar for HUM-MENT-003; add only after consent.</x:v>
      </x:c>
      <x:c r="M4" s="52" t="str">
        <x:v>Guided practice</x:v>
      </x:c>
      <x:c r="N4" s="52" t="str">
        <x:v>No</x:v>
      </x:c>
      <x:c r="O4" s="52" t="str">
        <x:v>Draft - replace with real consented testimonial</x:v>
      </x:c>
      <x:c r="P4" s="52" t="str">
        <x:v>Anonymized public testimonial; no full name, phone, address, ID, private documents, employer-sensitive details, or donor identity included.</x:v>
      </x:c>
      <x:c r="Q4" s="52" t="str">
        <x:v>When ready: add real quote, verify outcome, set consent_received=Yes, set publish_status=Publish.</x:v>
      </x:c>
    </x:row>
    <x:row r="5">
      <x:c r="A5" s="52" t="str">
        <x:v>HUM-MENT-004</x:v>
      </x:c>
      <x:c r="B5" s="52" t="n">
        <x:v>4</x:v>
      </x:c>
      <x:c r="C5" s="52" t="str">
        <x:v>Anonymized mentee 4</x:v>
      </x:c>
      <x:c r="D5" s="52" t="str">
        <x:v>Mentee</x:v>
      </x:c>
      <x:c r="E5" s="52" t="str">
        <x:v>Data / Analytics Guidance</x:v>
      </x:c>
      <x:c r="F5" s="52" t="str">
        <x:v>Graduate job seeker</x:v>
      </x:c>
      <x:c r="G5" s="52" t="str">
        <x:v>Public-safe city/state only</x:v>
      </x:c>
      <x:c r="H5" s="52" t="str">
        <x:v>Add month/year</x:v>
      </x:c>
      <x:c r="I5" s="52" t="str">
        <x:v>Add only a verified outcome, e.g. resume improved, interview prepared, offer received, internship secured, or course completed.</x:v>
      </x:c>
      <x:c r="J5" s="52" t="str">
        <x:v>Replace this placeholder with a real mentee testimonial after consent. Do not publish this placeholder as a real quote.</x:v>
      </x:c>
      <x:c r="K5" s="52"/>
      <x:c r="L5" s="52" t="str">
        <x:v>Optional anonymized profile image/avatar for HUM-MENT-004; add only after consent.</x:v>
      </x:c>
      <x:c r="M5" s="52" t="str">
        <x:v>Skill direction</x:v>
      </x:c>
      <x:c r="N5" s="52" t="str">
        <x:v>No</x:v>
      </x:c>
      <x:c r="O5" s="52" t="str">
        <x:v>Draft - replace with real consented testimonial</x:v>
      </x:c>
      <x:c r="P5" s="52" t="str">
        <x:v>Anonymized public testimonial; no full name, phone, address, ID, private documents, employer-sensitive details, or donor identity included.</x:v>
      </x:c>
      <x:c r="Q5" s="52" t="str">
        <x:v>When ready: add real quote, verify outcome, set consent_received=Yes, set publish_status=Publish.</x:v>
      </x:c>
    </x:row>
    <x:row r="6">
      <x:c r="A6" s="52" t="str">
        <x:v>HUM-MENT-005</x:v>
      </x:c>
      <x:c r="B6" s="52" t="n">
        <x:v>5</x:v>
      </x:c>
      <x:c r="C6" s="52" t="str">
        <x:v>Anonymized mentee 5</x:v>
      </x:c>
      <x:c r="D6" s="52" t="str">
        <x:v>Mentee</x:v>
      </x:c>
      <x:c r="E6" s="52" t="str">
        <x:v>Course Selection</x:v>
      </x:c>
      <x:c r="F6" s="52" t="str">
        <x:v>Undergraduate student</x:v>
      </x:c>
      <x:c r="G6" s="52" t="str">
        <x:v>Public-safe city/state only</x:v>
      </x:c>
      <x:c r="H6" s="52" t="str">
        <x:v>Add month/year</x:v>
      </x:c>
      <x:c r="I6" s="52" t="str">
        <x:v>Add only a verified outcome, e.g. resume improved, interview prepared, offer received, internship secured, or course completed.</x:v>
      </x:c>
      <x:c r="J6" s="52" t="str">
        <x:v>Replace this placeholder with a real mentee testimonial after consent. Do not publish this placeholder as a real quote.</x:v>
      </x:c>
      <x:c r="K6" s="52"/>
      <x:c r="L6" s="52" t="str">
        <x:v>Optional anonymized profile image/avatar for HUM-MENT-005; add only after consent.</x:v>
      </x:c>
      <x:c r="M6" s="52" t="str">
        <x:v>Course clarity</x:v>
      </x:c>
      <x:c r="N6" s="52" t="str">
        <x:v>No</x:v>
      </x:c>
      <x:c r="O6" s="52" t="str">
        <x:v>Draft - replace with real consented testimonial</x:v>
      </x:c>
      <x:c r="P6" s="52" t="str">
        <x:v>Anonymized public testimonial; no full name, phone, address, ID, private documents, employer-sensitive details, or donor identity included.</x:v>
      </x:c>
      <x:c r="Q6" s="52" t="str">
        <x:v>When ready: add real quote, verify outcome, set consent_received=Yes, set publish_status=Publish.</x:v>
      </x:c>
    </x:row>
    <x:row r="7">
      <x:c r="A7" s="52" t="str">
        <x:v>HUM-MENT-006</x:v>
      </x:c>
      <x:c r="B7" s="52" t="n">
        <x:v>6</x:v>
      </x:c>
      <x:c r="C7" s="52" t="str">
        <x:v>Anonymized mentee 6</x:v>
      </x:c>
      <x:c r="D7" s="52" t="str">
        <x:v>Mentee</x:v>
      </x:c>
      <x:c r="E7" s="52" t="str">
        <x:v>English Communication</x:v>
      </x:c>
      <x:c r="F7" s="52" t="str">
        <x:v>Student job seeker</x:v>
      </x:c>
      <x:c r="G7" s="52" t="str">
        <x:v>Public-safe city/state only</x:v>
      </x:c>
      <x:c r="H7" s="52" t="str">
        <x:v>Add month/year</x:v>
      </x:c>
      <x:c r="I7" s="52" t="str">
        <x:v>Add only a verified outcome, e.g. resume improved, interview prepared, offer received, internship secured, or course completed.</x:v>
      </x:c>
      <x:c r="J7" s="52" t="str">
        <x:v>Replace this placeholder with a real mentee testimonial after consent. Do not publish this placeholder as a real quote.</x:v>
      </x:c>
      <x:c r="K7" s="52"/>
      <x:c r="L7" s="52" t="str">
        <x:v>Optional anonymized profile image/avatar for HUM-MENT-006; add only after consent.</x:v>
      </x:c>
      <x:c r="M7" s="52" t="str">
        <x:v>Communication support</x:v>
      </x:c>
      <x:c r="N7" s="52" t="str">
        <x:v>No</x:v>
      </x:c>
      <x:c r="O7" s="52" t="str">
        <x:v>Draft - replace with real consented testimonial</x:v>
      </x:c>
      <x:c r="P7" s="52" t="str">
        <x:v>Anonymized public testimonial; no full name, phone, address, ID, private documents, employer-sensitive details, or donor identity included.</x:v>
      </x:c>
      <x:c r="Q7" s="52" t="str">
        <x:v>When ready: add real quote, verify outcome, set consent_received=Yes, set publish_status=Publish.</x:v>
      </x:c>
    </x:row>
    <x:row r="8">
      <x:c r="A8" s="52" t="str">
        <x:v>HUM-MENT-007</x:v>
      </x:c>
      <x:c r="B8" s="52" t="n">
        <x:v>7</x:v>
      </x:c>
      <x:c r="C8" s="52" t="str">
        <x:v>Anonymized mentee 7</x:v>
      </x:c>
      <x:c r="D8" s="52" t="str">
        <x:v>Mentee</x:v>
      </x:c>
      <x:c r="E8" s="52" t="str">
        <x:v>Career Direction</x:v>
      </x:c>
      <x:c r="F8" s="52" t="str">
        <x:v>Graduate job seeker</x:v>
      </x:c>
      <x:c r="G8" s="52" t="str">
        <x:v>Public-safe city/state only</x:v>
      </x:c>
      <x:c r="H8" s="52" t="str">
        <x:v>Add month/year</x:v>
      </x:c>
      <x:c r="I8" s="52" t="str">
        <x:v>Add only a verified outcome, e.g. resume improved, interview prepared, offer received, internship secured, or course completed.</x:v>
      </x:c>
      <x:c r="J8" s="52" t="str">
        <x:v>Replace this placeholder with a real mentee testimonial after consent. Do not publish this placeholder as a real quote.</x:v>
      </x:c>
      <x:c r="K8" s="52"/>
      <x:c r="L8" s="52" t="str">
        <x:v>Optional anonymized profile image/avatar for HUM-MENT-007; add only after consent.</x:v>
      </x:c>
      <x:c r="M8" s="52" t="str">
        <x:v>Career roadmap</x:v>
      </x:c>
      <x:c r="N8" s="52" t="str">
        <x:v>No</x:v>
      </x:c>
      <x:c r="O8" s="52" t="str">
        <x:v>Draft - replace with real consented testimonial</x:v>
      </x:c>
      <x:c r="P8" s="52" t="str">
        <x:v>Anonymized public testimonial; no full name, phone, address, ID, private documents, employer-sensitive details, or donor identity included.</x:v>
      </x:c>
      <x:c r="Q8" s="52" t="str">
        <x:v>When ready: add real quote, verify outcome, set consent_received=Yes, set publish_status=Publish.</x:v>
      </x:c>
    </x:row>
    <x:row r="9">
      <x:c r="A9" s="52" t="str">
        <x:v>HUM-MENT-008</x:v>
      </x:c>
      <x:c r="B9" s="52" t="n">
        <x:v>8</x:v>
      </x:c>
      <x:c r="C9" s="52" t="str">
        <x:v>Anonymized mentee 8</x:v>
      </x:c>
      <x:c r="D9" s="52" t="str">
        <x:v>Mentee</x:v>
      </x:c>
      <x:c r="E9" s="52" t="str">
        <x:v>Job Search Strategy</x:v>
      </x:c>
      <x:c r="F9" s="52" t="str">
        <x:v>Fresher candidate</x:v>
      </x:c>
      <x:c r="G9" s="52" t="str">
        <x:v>Public-safe city/state only</x:v>
      </x:c>
      <x:c r="H9" s="52" t="str">
        <x:v>Add month/year</x:v>
      </x:c>
      <x:c r="I9" s="52" t="str">
        <x:v>Add only a verified outcome, e.g. resume improved, interview prepared, offer received, internship secured, or course completed.</x:v>
      </x:c>
      <x:c r="J9" s="52" t="str">
        <x:v>Replace this placeholder with a real mentee testimonial after consent. Do not publish this placeholder as a real quote.</x:v>
      </x:c>
      <x:c r="K9" s="52"/>
      <x:c r="L9" s="52" t="str">
        <x:v>Optional anonymized profile image/avatar for HUM-MENT-008; add only after consent.</x:v>
      </x:c>
      <x:c r="M9" s="52" t="str">
        <x:v>Search structure</x:v>
      </x:c>
      <x:c r="N9" s="52" t="str">
        <x:v>No</x:v>
      </x:c>
      <x:c r="O9" s="52" t="str">
        <x:v>Draft - replace with real consented testimonial</x:v>
      </x:c>
      <x:c r="P9" s="52" t="str">
        <x:v>Anonymized public testimonial; no full name, phone, address, ID, private documents, employer-sensitive details, or donor identity included.</x:v>
      </x:c>
      <x:c r="Q9" s="52" t="str">
        <x:v>When ready: add real quote, verify outcome, set consent_received=Yes, set publish_status=Publish.</x:v>
      </x:c>
    </x:row>
    <x:row r="10">
      <x:c r="A10" s="52" t="str">
        <x:v>HUM-MENT-009</x:v>
      </x:c>
      <x:c r="B10" s="52" t="n">
        <x:v>9</x:v>
      </x:c>
      <x:c r="C10" s="52" t="str">
        <x:v>Anonymized mentee 9</x:v>
      </x:c>
      <x:c r="D10" s="52" t="str">
        <x:v>Mentee</x:v>
      </x:c>
      <x:c r="E10" s="52" t="str">
        <x:v>LinkedIn / Portfolio Review</x:v>
      </x:c>
      <x:c r="F10" s="52" t="str">
        <x:v>Early-career learner</x:v>
      </x:c>
      <x:c r="G10" s="52" t="str">
        <x:v>Public-safe city/state only</x:v>
      </x:c>
      <x:c r="H10" s="52" t="str">
        <x:v>Add month/year</x:v>
      </x:c>
      <x:c r="I10" s="52" t="str">
        <x:v>Add only a verified outcome, e.g. resume improved, interview prepared, offer received, internship secured, or course completed.</x:v>
      </x:c>
      <x:c r="J10" s="52" t="str">
        <x:v>Replace this placeholder with a real mentee testimonial after consent. Do not publish this placeholder as a real quote.</x:v>
      </x:c>
      <x:c r="K10" s="52"/>
      <x:c r="L10" s="52" t="str">
        <x:v>Optional anonymized profile image/avatar for HUM-MENT-009; add only after consent.</x:v>
      </x:c>
      <x:c r="M10" s="52" t="str">
        <x:v>Profile polish</x:v>
      </x:c>
      <x:c r="N10" s="52" t="str">
        <x:v>No</x:v>
      </x:c>
      <x:c r="O10" s="52" t="str">
        <x:v>Draft - replace with real consented testimonial</x:v>
      </x:c>
      <x:c r="P10" s="52" t="str">
        <x:v>Anonymized public testimonial; no full name, phone, address, ID, private documents, employer-sensitive details, or donor identity included.</x:v>
      </x:c>
      <x:c r="Q10" s="52" t="str">
        <x:v>When ready: add real quote, verify outcome, set consent_received=Yes, set publish_status=Publish.</x:v>
      </x:c>
    </x:row>
    <x:row r="11">
      <x:c r="A11" s="52" t="str">
        <x:v>HUM-MENT-010</x:v>
      </x:c>
      <x:c r="B11" s="52" t="n">
        <x:v>10</x:v>
      </x:c>
      <x:c r="C11" s="52" t="str">
        <x:v>Anonymized mentee 10</x:v>
      </x:c>
      <x:c r="D11" s="52" t="str">
        <x:v>Mentee</x:v>
      </x:c>
      <x:c r="E11" s="52" t="str">
        <x:v>Mentorship + Course Sponsorship</x:v>
      </x:c>
      <x:c r="F11" s="52" t="str">
        <x:v>Course-sponsored mentee</x:v>
      </x:c>
      <x:c r="G11" s="52" t="str">
        <x:v>Public-safe city/state only</x:v>
      </x:c>
      <x:c r="H11" s="52" t="str">
        <x:v>Add month/year</x:v>
      </x:c>
      <x:c r="I11" s="52" t="str">
        <x:v>Add only a verified outcome, e.g. resume improved, interview prepared, offer received, internship secured, or course completed.</x:v>
      </x:c>
      <x:c r="J11" s="52" t="str">
        <x:v>Replace this placeholder with a real mentee testimonial after consent. Do not publish this placeholder as a real quote.</x:v>
      </x:c>
      <x:c r="K11" s="52"/>
      <x:c r="L11" s="52" t="str">
        <x:v>Optional anonymized profile image/avatar for HUM-MENT-010; add only after consent.</x:v>
      </x:c>
      <x:c r="M11" s="52" t="str">
        <x:v>Learning support</x:v>
      </x:c>
      <x:c r="N11" s="52" t="str">
        <x:v>No</x:v>
      </x:c>
      <x:c r="O11" s="52" t="str">
        <x:v>Draft - replace with real consented testimonial</x:v>
      </x:c>
      <x:c r="P11" s="52" t="str">
        <x:v>Anonymized public testimonial; no full name, phone, address, ID, private documents, employer-sensitive details, or donor identity included.</x:v>
      </x:c>
      <x:c r="Q11" s="52" t="str">
        <x:v>When ready: add real quote, verify outcome, set consent_received=Yes, set publish_status=Publish.</x:v>
      </x:c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</x:row>
  </x:sheetData>
  <x:dataValidations count="2">
    <x:dataValidation type="list" sqref="N2:N200">
      <x:formula1>Lists!$H$2:$H$3</x:formula1>
    </x:dataValidation>
    <x:dataValidation type="list" sqref="O2:O200">
      <x:formula1>Lists!$I$2:$I$4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24" hidden="0" customWidth="1"/>
    <x:col min="6" max="6" width="52" hidden="0" customWidth="1"/>
    <x:col min="7" max="7" width="16" hidden="0" customWidth="1"/>
  </x:cols>
  <x:sheetData>
    <x:row r="1" ht="24" customHeight="1">
      <x:c r="A1" s="32" t="str">
        <x:v>campaign_name</x:v>
      </x:c>
      <x:c r="B1" s="32" t="str">
        <x:v>public_label</x:v>
      </x:c>
      <x:c r="C1" s="34" t="str">
        <x:v>amount_collected</x:v>
      </x:c>
      <x:c r="D1" s="34" t="str">
        <x:v>amount_disbursed</x:v>
      </x:c>
      <x:c r="E1" s="32" t="str">
        <x:v>status</x:v>
      </x:c>
      <x:c r="F1" s="32" t="str">
        <x:v>notes</x:v>
      </x:c>
      <x:c r="G1" s="32" t="str">
        <x:v>include_in_public</x:v>
      </x:c>
    </x:row>
    <x:row r="2">
      <x:c r="A2" t="str">
        <x:v>Gaza Drive</x:v>
      </x:c>
      <x:c r="B2" t="str">
        <x:v>Gaza Drive</x:v>
      </x:c>
      <x:c r="C2"/>
      <x:c r="D2"/>
      <x:c r="E2" t="str">
        <x:v>Manual public aggregate only</x:v>
      </x:c>
      <x:c r="F2" t="str">
        <x:v>Do not publish donor names or payment IDs.</x:v>
      </x:c>
      <x:c r="G2" t="str">
        <x:v>FALSE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12.109999656677246" hidden="0" customWidth="1"/>
    <x:col min="3" max="3" width="41.86000061035156" hidden="0" customWidth="1"/>
    <x:col min="4" max="4" width="73.48999786376953" hidden="0" customWidth="1"/>
  </x:cols>
  <x:sheetData>
    <x:row r="1" ht="24" customHeight="1">
      <x:c r="A1" s="49" t="str">
        <x:v>tab_name</x:v>
      </x:c>
      <x:c r="B1" s="49" t="str">
        <x:v>publish_as_csv</x:v>
      </x:c>
      <x:c r="C1" s="49" t="str">
        <x:v>env_variable</x:v>
      </x:c>
      <x:c r="D1" s="49" t="str">
        <x:v>notes</x:v>
      </x:c>
    </x:row>
    <x:row r="2">
      <x:c r="A2" s="52" t="str">
        <x:v>MonthlyStats</x:v>
      </x:c>
      <x:c r="B2" s="52" t="str">
        <x:v>Yes</x:v>
      </x:c>
      <x:c r="C2" s="52" t="str">
        <x:v>VITE_STATS_MONTHLY_CSV_URL</x:v>
      </x:c>
      <x:c r="D2" s="52" t="str">
        <x:v>Formula-linked from CaseLedger; includes monthly case and amount stats.</x:v>
      </x:c>
    </x:row>
    <x:row r="3">
      <x:c r="A3" s="52" t="str">
        <x:v>SupportTypes</x:v>
      </x:c>
      <x:c r="B3" s="52" t="str">
        <x:v>Yes</x:v>
      </x:c>
      <x:c r="C3" s="52" t="str">
        <x:v>VITE_STATS_SUPPORT_TYPES_CSV_URL</x:v>
      </x:c>
      <x:c r="D3" s="52" t="str">
        <x:v>Formula-linked from CaseLedger support_type values.</x:v>
      </x:c>
    </x:row>
    <x:row r="4">
      <x:c r="A4" s="52" t="str">
        <x:v>ImpactSummary</x:v>
      </x:c>
      <x:c r="B4" s="52" t="str">
        <x:v>Yes</x:v>
      </x:c>
      <x:c r="C4" s="52" t="str">
        <x:v>VITE_STATS_IMPACT_SUMMARY_CSV_URL</x:v>
      </x:c>
      <x:c r="D4" s="52" t="str">
        <x:v>Formula-linked KPI rows.</x:v>
      </x:c>
    </x:row>
    <x:row r="5">
      <x:c r="A5" s="52" t="str">
        <x:v>LastUpdated</x:v>
      </x:c>
      <x:c r="B5" s="52" t="str">
        <x:v>Yes</x:v>
      </x:c>
      <x:c r="C5" s="52" t="str">
        <x:v>VITE_STATS_LAST_UPDATED_CSV_URL</x:v>
      </x:c>
      <x:c r="D5" s="52" t="str">
        <x:v>Manual update note and source workbook.</x:v>
      </x:c>
    </x:row>
    <x:row r="6">
      <x:c r="A6" s="52" t="str">
        <x:v>Reports</x:v>
      </x:c>
      <x:c r="B6" s="52" t="str">
        <x:v>Yes</x:v>
      </x:c>
      <x:c r="C6" s="52" t="str">
        <x:v>VITE_STATS_REPORTS_CSV_URL</x:v>
      </x:c>
      <x:c r="D6" s="52" t="str">
        <x:v>Formula-linked monthly reports; blank rows should be ignored by frontend.</x:v>
      </x:c>
    </x:row>
    <x:row r="7">
      <x:c r="A7" s="52" t="str">
        <x:v>CaseStorySeeds</x:v>
      </x:c>
      <x:c r="B7" s="52" t="str">
        <x:v>Yes</x:v>
      </x:c>
      <x:c r="C7" s="52" t="str">
        <x:v>VITE_STATS_CASE_STORIES_CSV_URL</x:v>
      </x:c>
      <x:c r="D7" s="52" t="str">
        <x:v>Formula-linked from CaseLedger. Use published + publish_status.</x:v>
      </x:c>
    </x:row>
    <x:row r="8">
      <x:c r="A8" s="52" t="str">
        <x:v>MentorshipTestimonials</x:v>
      </x:c>
      <x:c r="B8" s="52" t="str">
        <x:v>Yes</x:v>
      </x:c>
      <x:c r="C8" s="52" t="str">
        <x:v>VITE_STATS_MENTORSHIP_TESTIMONIALS_CSV_URL</x:v>
      </x:c>
      <x:c r="D8" s="52" t="str">
        <x:v>Manual testimonial tab. Publish only consented rows.</x:v>
      </x:c>
    </x:row>
    <x:row r="9">
      <x:c r="A9" s="52" t="str">
        <x:v>CaseLedger</x:v>
      </x:c>
      <x:c r="B9" s="52" t="str">
        <x:v>No</x:v>
      </x:c>
      <x:c r="C9" s="52" t="str">
        <x:v>DO_NOT_PUBLISH</x:v>
      </x:c>
      <x:c r="D9" s="52" t="str">
        <x:v>Source-of-truth input tab; do not publish unless fully privacy-reviewed.</x:v>
      </x:c>
    </x:row>
    <x:row r="10">
      <x:c r="A10" s="52"/>
      <x:c r="B10" s="52"/>
      <x:c r="C10" s="52"/>
      <x:c r="D10" s="52"/>
    </x:row>
    <x:row r="11">
      <x:c r="A11" s="52"/>
      <x:c r="B11" s="52"/>
      <x:c r="C11" s="52"/>
      <x:c r="D11" s="52"/>
    </x:row>
    <x:row r="12">
      <x:c r="A12" s="52"/>
      <x:c r="B12" s="52"/>
      <x:c r="C12" s="52"/>
      <x:c r="D12" s="52"/>
    </x:row>
    <x:row r="13">
      <x:c r="A13" s="52"/>
      <x:c r="B13" s="52"/>
      <x:c r="C13" s="52"/>
      <x:c r="D13" s="52"/>
    </x:row>
    <x:row r="14">
      <x:c r="A14" s="52"/>
      <x:c r="B14" s="52"/>
      <x:c r="C14" s="52"/>
      <x:c r="D14" s="52"/>
    </x:row>
    <x:row r="15">
      <x:c r="A15" s="52"/>
      <x:c r="B15" s="52"/>
      <x:c r="C15" s="52"/>
      <x:c r="D15" s="52"/>
    </x:row>
    <x:row r="16">
      <x:c r="A16" s="52"/>
      <x:c r="B16" s="52"/>
      <x:c r="C16" s="52"/>
      <x:c r="D16" s="52"/>
    </x:row>
    <x:row r="17">
      <x:c r="A17" s="52"/>
      <x:c r="B17" s="52"/>
      <x:c r="C17" s="52"/>
      <x:c r="D17" s="52"/>
    </x:row>
    <x:row r="18">
      <x:c r="A18" s="52"/>
      <x:c r="B18" s="52"/>
      <x:c r="C18" s="52"/>
      <x:c r="D18" s="52"/>
    </x:row>
    <x:row r="19">
      <x:c r="A19" s="52"/>
      <x:c r="B19" s="52"/>
      <x:c r="C19" s="52"/>
      <x:c r="D19" s="52"/>
    </x:row>
    <x:row r="20">
      <x:c r="A20" s="52"/>
      <x:c r="B20" s="52"/>
      <x:c r="C20" s="52"/>
      <x:c r="D20" s="5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3.690000534057617" hidden="0" customWidth="1"/>
    <x:col min="2" max="2" width="13.1899995803833" hidden="0" customWidth="1"/>
    <x:col min="3" max="3" width="118.44000244140625" hidden="0" customWidth="1"/>
    <x:col min="4" max="4" width="67.97000122070312" hidden="0" customWidth="1"/>
    <x:col min="5" max="5" width="11.710000038146973" hidden="0" customWidth="1"/>
  </x:cols>
  <x:sheetData>
    <x:row r="1" ht="24" customHeight="1">
      <x:c r="A1" s="49" t="str">
        <x:v>area</x:v>
      </x:c>
      <x:c r="B1" s="49" t="str">
        <x:v>status</x:v>
      </x:c>
      <x:c r="C1" s="49" t="str">
        <x:v>note</x:v>
      </x:c>
      <x:c r="D1" s="49" t="str">
        <x:v>action</x:v>
      </x:c>
      <x:c r="E1" s="49" t="str">
        <x:v>owner</x:v>
      </x:c>
    </x:row>
    <x:row r="2">
      <x:c r="A2" s="52" t="str">
        <x:v>Formula fix</x:v>
      </x:c>
      <x:c r="B2" s="52" t="str">
        <x:v>Done</x:v>
      </x:c>
      <x:c r="C2" s="52" t="str">
        <x:v>MonthlyStats, SupportTypes, ImpactSummary, and Reports now use boolean-safe formulas so TRUE text and TRUE boolean values are both handled.</x:v>
      </x:c>
      <x:c r="D2" s="52" t="str">
        <x:v>Upload v5 to Google Sheets and allow recalculation.</x:v>
      </x:c>
      <x:c r="E2" s="52" t="str">
        <x:v>Humanitarians</x:v>
      </x:c>
    </x:row>
    <x:row r="3">
      <x:c r="A3" s="52" t="str">
        <x:v>Consolidated period removed</x:v>
      </x:c>
      <x:c r="B3" s="52" t="str">
        <x:v>Done</x:v>
      </x:c>
      <x:c r="C3" s="52" t="str">
        <x:v>The previous consolidated multi-month rows were removed from CaseLedger.</x:v>
      </x:c>
      <x:c r="D3" s="52" t="str">
        <x:v>Add those cases again month-wise in CaseLedger when ready.</x:v>
      </x:c>
      <x:c r="E3" s="52" t="str">
        <x:v>Humanitarians</x:v>
      </x:c>
    </x:row>
    <x:row r="4">
      <x:c r="A4" s="52" t="str">
        <x:v>Old draft flag removed</x:v>
      </x:c>
      <x:c r="B4" s="52" t="str">
        <x:v>Done</x:v>
      </x:c>
      <x:c r="C4" s="52" t="str">
        <x:v>The old story-candidate flag was removed from CaseLedger and CaseStorySeeds.</x:v>
      </x:c>
      <x:c r="D4" s="52" t="str">
        <x:v>Frontend should use published + publish_status.</x:v>
      </x:c>
      <x:c r="E4" s="52" t="str">
        <x:v>Website</x:v>
      </x:c>
    </x:row>
    <x:row r="5">
      <x:c r="A5" s="52" t="str">
        <x:v>Case stories</x:v>
      </x:c>
      <x:c r="B5" s="52" t="str">
        <x:v>Working</x:v>
      </x:c>
      <x:c r="C5" s="52" t="str">
        <x:v>CaseStorySeeds is formula-linked from CaseLedger and includes image URL columns.</x:v>
      </x:c>
      <x:c r="D5" s="52" t="str">
        <x:v>Set published=Yes and publish_status=Publish only after privacy review.</x:v>
      </x:c>
      <x:c r="E5" s="52" t="str">
        <x:v>Humanitarians</x:v>
      </x:c>
    </x:row>
    <x:row r="6">
      <x:c r="A6" s="52" t="str">
        <x:v>Images</x:v>
      </x:c>
      <x:c r="B6" s="52" t="str">
        <x:v>Pending consent</x:v>
      </x:c>
      <x:c r="C6" s="52" t="str">
        <x:v>Images are not shown unless image_consent_status = Consent received.</x:v>
      </x:c>
      <x:c r="D6" s="52" t="str">
        <x:v>Use only public Google Drive image links with consent.</x:v>
      </x:c>
      <x:c r="E6" s="52" t="str">
        <x:v>Humanitarians</x:v>
      </x:c>
    </x:row>
    <x:row r="7">
      <x:c r="A7" s="52" t="str">
        <x:v>Reports</x:v>
      </x:c>
      <x:c r="B7" s="52" t="str">
        <x:v>Working</x:v>
      </x:c>
      <x:c r="C7" s="52" t="str">
        <x:v>Reports are row-linked from MonthlyStats and may include blank rows for months with zero cases.</x:v>
      </x:c>
      <x:c r="D7" s="52" t="str">
        <x:v>Frontend should filter blank period_label rows.</x:v>
      </x:c>
      <x:c r="E7" s="52" t="str">
        <x:v>Website</x:v>
      </x:c>
    </x:row>
    <x:row r="8">
      <x:c r="A8" s="52" t="str">
        <x:v>Privacy</x:v>
      </x:c>
      <x:c r="B8" s="52" t="str">
        <x:v>Always required</x:v>
      </x:c>
      <x:c r="C8" s="52" t="str">
        <x:v>Do not publish personal identifiers, donor names, UPI IDs, phone numbers, addresses, Aadhaar/PAN, or private notes.</x:v>
      </x:c>
      <x:c r="D8" s="52" t="str">
        <x:v>Review before publishing CSV tabs.</x:v>
      </x:c>
      <x:c r="E8" s="52" t="str">
        <x:v>Humanitarians</x:v>
      </x:c>
    </x:row>
    <x:row r="9">
      <x:c r="A9" s="52"/>
      <x:c r="B9" s="52"/>
      <x:c r="C9" s="52"/>
      <x:c r="D9" s="52"/>
      <x:c r="E9" s="52"/>
    </x:row>
    <x:row r="10">
      <x:c r="A10" s="52"/>
      <x:c r="B10" s="52"/>
      <x:c r="C10" s="52"/>
      <x:c r="D10" s="52"/>
      <x:c r="E10" s="52"/>
    </x:row>
    <x:row r="11">
      <x:c r="A11" s="52"/>
      <x:c r="B11" s="52"/>
      <x:c r="C11" s="52"/>
      <x:c r="D11" s="52"/>
      <x:c r="E11" s="52"/>
    </x:row>
    <x:row r="12">
      <x:c r="A12" s="52"/>
      <x:c r="B12" s="52"/>
      <x:c r="C12" s="52"/>
      <x:c r="D12" s="52"/>
      <x:c r="E12" s="52"/>
    </x:row>
    <x:row r="13">
      <x:c r="A13" s="52"/>
      <x:c r="B13" s="52"/>
      <x:c r="C13" s="52"/>
      <x:c r="D13" s="52"/>
      <x:c r="E13" s="52"/>
    </x:row>
    <x:row r="14">
      <x:c r="A14" s="52"/>
      <x:c r="B14" s="52"/>
      <x:c r="C14" s="52"/>
      <x:c r="D14" s="52"/>
      <x:c r="E14" s="52"/>
    </x:row>
    <x:row r="15">
      <x:c r="A15" s="52"/>
      <x:c r="B15" s="52"/>
      <x:c r="C15" s="52"/>
      <x:c r="D15" s="52"/>
      <x:c r="E15" s="52"/>
    </x:row>
    <x:row r="16">
      <x:c r="A16" s="52"/>
      <x:c r="B16" s="52"/>
      <x:c r="C16" s="52"/>
      <x:c r="D16" s="52"/>
      <x:c r="E16" s="52"/>
    </x:row>
    <x:row r="17">
      <x:c r="A17" s="52"/>
      <x:c r="B17" s="52"/>
      <x:c r="C17" s="52"/>
      <x:c r="D17" s="52"/>
      <x:c r="E17" s="52"/>
    </x:row>
    <x:row r="18">
      <x:c r="A18" s="52"/>
      <x:c r="B18" s="52"/>
      <x:c r="C18" s="52"/>
      <x:c r="D18" s="52"/>
      <x:c r="E18" s="52"/>
    </x:row>
    <x:row r="19">
      <x:c r="A19" s="52"/>
      <x:c r="B19" s="52"/>
      <x:c r="C19" s="52"/>
      <x:c r="D19" s="52"/>
      <x:c r="E19" s="52"/>
    </x:row>
    <x:row r="20">
      <x:c r="A20" s="52"/>
      <x:c r="B20" s="52"/>
      <x:c r="C20" s="52"/>
      <x:c r="D20" s="52"/>
      <x:c r="E20" s="5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44" hidden="0" customWidth="1"/>
    <x:col min="4" max="4" width="18" hidden="0" customWidth="1"/>
    <x:col min="5" max="5" width="60" hidden="0" customWidth="1"/>
  </x:cols>
  <x:sheetData>
    <x:row r="1" ht="24" customHeight="1">
      <x:c r="A1" s="32" t="str">
        <x:v>source_workbook</x:v>
      </x:c>
      <x:c r="B1" s="32" t="str">
        <x:v>source_tab</x:v>
      </x:c>
      <x:c r="C1" s="32" t="str">
        <x:v>public_workbook_handling</x:v>
      </x:c>
      <x:c r="D1" s="32" t="str">
        <x:v>privacy_status</x:v>
      </x:c>
      <x:c r="E1" s="32" t="str">
        <x:v>notes</x:v>
      </x:c>
    </x:row>
    <x:row r="2">
      <x:c r="A2" t="str">
        <x:v>Contributions - Humanitarians.xlsx</x:v>
      </x:c>
      <x:c r="B2" t="str">
        <x:v>Gaza Drive</x:v>
      </x:c>
      <x:c r="C2" t="str">
        <x:v>Reference only / not directly published</x:v>
      </x:c>
      <x:c r="D2" t="str">
        <x:v>Review</x:v>
      </x:c>
      <x:c r="E2" t="str">
        <x:v>Not a direct website CSV source.</x:v>
      </x:c>
    </x:row>
    <x:row r="3">
      <x:c r="A3" t="str">
        <x:v>Contributions - Humanitarians.xlsx</x:v>
      </x:c>
      <x:c r="B3" t="str">
        <x:v>Recipients List</x:v>
      </x:c>
      <x:c r="C3" t="str">
        <x:v>Aggregated into sanitized CaseLedger only</x:v>
      </x:c>
      <x:c r="D3" t="str">
        <x:v>Private/raw</x:v>
      </x:c>
      <x:c r="E3" t="str">
        <x:v>Raw recipient-level details not copied to public tabs.</x:v>
      </x:c>
    </x:row>
    <x:row r="4">
      <x:c r="A4" t="str">
        <x:v>Contributions - Humanitarians.xlsx</x:v>
      </x:c>
      <x:c r="B4" t="str">
        <x:v>August-24</x:v>
      </x:c>
      <x:c r="C4" t="str">
        <x:v>Reference only / not directly published</x:v>
      </x:c>
      <x:c r="D4" t="str">
        <x:v>Review</x:v>
      </x:c>
      <x:c r="E4" t="str">
        <x:v>Not a direct website CSV source.</x:v>
      </x:c>
    </x:row>
    <x:row r="5">
      <x:c r="A5" t="str">
        <x:v>Contributions - Humanitarians.xlsx</x:v>
      </x:c>
      <x:c r="B5" t="str">
        <x:v>Sept-24</x:v>
      </x:c>
      <x:c r="C5" t="str">
        <x:v>Used to seed public-safe CaseLedger</x:v>
      </x:c>
      <x:c r="D5" t="str">
        <x:v>Sanitized</x:v>
      </x:c>
      <x:c r="E5" t="str">
        <x:v>Only anonymized and aggregated public-safe fields included.</x:v>
      </x:c>
    </x:row>
    <x:row r="6">
      <x:c r="A6" t="str">
        <x:v>Contributions - Humanitarians.xlsx</x:v>
      </x:c>
      <x:c r="B6" t="str">
        <x:v>Oct-2024</x:v>
      </x:c>
      <x:c r="C6" t="str">
        <x:v>Used to seed public-safe CaseLedger</x:v>
      </x:c>
      <x:c r="D6" t="str">
        <x:v>Sanitized</x:v>
      </x:c>
      <x:c r="E6" t="str">
        <x:v>Only anonymized and aggregated public-safe fields included.</x:v>
      </x:c>
    </x:row>
    <x:row r="7">
      <x:c r="A7" t="str">
        <x:v>Contributions - Humanitarians.xlsx</x:v>
      </x:c>
      <x:c r="B7" t="str">
        <x:v>Nov-2024</x:v>
      </x:c>
      <x:c r="C7" t="str">
        <x:v>Used to seed public-safe CaseLedger</x:v>
      </x:c>
      <x:c r="D7" t="str">
        <x:v>Sanitized</x:v>
      </x:c>
      <x:c r="E7" t="str">
        <x:v>Only anonymized and aggregated public-safe fields included.</x:v>
      </x:c>
    </x:row>
    <x:row r="8">
      <x:c r="A8" t="str">
        <x:v>Contributions - Humanitarians.xlsx</x:v>
      </x:c>
      <x:c r="B8" t="str">
        <x:v>Dec-2024</x:v>
      </x:c>
      <x:c r="C8" t="str">
        <x:v>Used to seed public-safe CaseLedger</x:v>
      </x:c>
      <x:c r="D8" t="str">
        <x:v>Sanitized</x:v>
      </x:c>
      <x:c r="E8" t="str">
        <x:v>Only anonymized and aggregated public-safe fields included.</x:v>
      </x:c>
    </x:row>
    <x:row r="9">
      <x:c r="A9" t="str">
        <x:v>Contributions - Humanitarians.xlsx</x:v>
      </x:c>
      <x:c r="B9" t="str">
        <x:v>Jan-2025</x:v>
      </x:c>
      <x:c r="C9" t="str">
        <x:v>Used to seed public-safe CaseLedger</x:v>
      </x:c>
      <x:c r="D9" t="str">
        <x:v>Sanitized</x:v>
      </x:c>
      <x:c r="E9" t="str">
        <x:v>Only anonymized and aggregated public-safe fields included.</x:v>
      </x:c>
    </x:row>
    <x:row r="10">
      <x:c r="A10" t="str">
        <x:v>Contributions - Humanitarians.xlsx</x:v>
      </x:c>
      <x:c r="B10" t="str">
        <x:v>Feb-2025</x:v>
      </x:c>
      <x:c r="C10" t="str">
        <x:v>Used to seed public-safe CaseLedger</x:v>
      </x:c>
      <x:c r="D10" t="str">
        <x:v>Sanitized</x:v>
      </x:c>
      <x:c r="E10" t="str">
        <x:v>Only anonymized and aggregated public-safe fields included.</x:v>
      </x:c>
    </x:row>
    <x:row r="11">
      <x:c r="A11" t="str">
        <x:v>Contributions - Humanitarians.xlsx</x:v>
      </x:c>
      <x:c r="B11" t="str">
        <x:v>Mar-2025</x:v>
      </x:c>
      <x:c r="C11" t="str">
        <x:v>Used to seed public-safe CaseLedger</x:v>
      </x:c>
      <x:c r="D11" t="str">
        <x:v>Sanitized</x:v>
      </x:c>
      <x:c r="E11" t="str">
        <x:v>Only anonymized and aggregated public-safe fields included.</x:v>
      </x:c>
    </x:row>
    <x:row r="12">
      <x:c r="A12" t="str">
        <x:v>Contributions - Humanitarians.xlsx</x:v>
      </x:c>
      <x:c r="B12" t="str">
        <x:v>Apr-2025</x:v>
      </x:c>
      <x:c r="C12" t="str">
        <x:v>Used to seed public-safe CaseLedger</x:v>
      </x:c>
      <x:c r="D12" t="str">
        <x:v>Sanitized</x:v>
      </x:c>
      <x:c r="E12" t="str">
        <x:v>Only anonymized and aggregated public-safe fields included.</x:v>
      </x:c>
    </x:row>
    <x:row r="13">
      <x:c r="A13" t="str">
        <x:v>Contributions - Humanitarians.xlsx</x:v>
      </x:c>
      <x:c r="B13" t="str">
        <x:v>May-2025</x:v>
      </x:c>
      <x:c r="C13" t="str">
        <x:v>Used to seed public-safe CaseLedger</x:v>
      </x:c>
      <x:c r="D13" t="str">
        <x:v>Sanitized</x:v>
      </x:c>
      <x:c r="E13" t="str">
        <x:v>Only anonymized and aggregated public-safe fields included.</x:v>
      </x:c>
    </x:row>
    <x:row r="14">
      <x:c r="A14" t="str">
        <x:v>Contributions - Humanitarians.xlsx</x:v>
      </x:c>
      <x:c r="B14" t="str">
        <x:v>June-2025</x:v>
      </x:c>
      <x:c r="C14" t="str">
        <x:v>Used to seed public-safe CaseLedger</x:v>
      </x:c>
      <x:c r="D14" t="str">
        <x:v>Sanitized</x:v>
      </x:c>
      <x:c r="E14" t="str">
        <x:v>Only anonymized and aggregated public-safe fields included.</x:v>
      </x:c>
    </x:row>
    <x:row r="15">
      <x:c r="A15" t="str">
        <x:v>Contributions - Humanitarians.xlsx</x:v>
      </x:c>
      <x:c r="B15" t="str">
        <x:v>July-2025</x:v>
      </x:c>
      <x:c r="C15" t="str">
        <x:v>Used to seed public-safe CaseLedger</x:v>
      </x:c>
      <x:c r="D15" t="str">
        <x:v>Sanitized</x:v>
      </x:c>
      <x:c r="E15" t="str">
        <x:v>Only anonymized and aggregated public-safe fields included.</x:v>
      </x:c>
    </x:row>
    <x:row r="16">
      <x:c r="A16" t="str">
        <x:v>Contributions - Humanitarians.xlsx</x:v>
      </x:c>
      <x:c r="B16" t="str">
        <x:v>Aug-2025</x:v>
      </x:c>
      <x:c r="C16" t="str">
        <x:v>Used to seed public-safe CaseLedger</x:v>
      </x:c>
      <x:c r="D16" t="str">
        <x:v>Sanitized</x:v>
      </x:c>
      <x:c r="E16" t="str">
        <x:v>Only anonymized and aggregated public-safe fields included.</x:v>
      </x:c>
    </x:row>
    <x:row r="17">
      <x:c r="A17" t="str">
        <x:v>Contributions - Humanitarians.xlsx</x:v>
      </x:c>
      <x:c r="B17" t="str">
        <x:v>Sep-2025</x:v>
      </x:c>
      <x:c r="C17" t="str">
        <x:v>Used to seed public-safe CaseLedger</x:v>
      </x:c>
      <x:c r="D17" t="str">
        <x:v>Sanitized</x:v>
      </x:c>
      <x:c r="E17" t="str">
        <x:v>Only anonymized and aggregated public-safe fields included.</x:v>
      </x:c>
    </x:row>
    <x:row r="18">
      <x:c r="A18" t="str">
        <x:v>Contributions - Humanitarians.xlsx</x:v>
      </x:c>
      <x:c r="B18" t="str">
        <x:v>Oct-2025</x:v>
      </x:c>
      <x:c r="C18" t="str">
        <x:v>Reference only / not directly published</x:v>
      </x:c>
      <x:c r="D18" t="str">
        <x:v>Review</x:v>
      </x:c>
      <x:c r="E18" t="str">
        <x:v>Not a direct website CSV source.</x:v>
      </x:c>
    </x:row>
    <x:row r="19">
      <x:c r="A19" t="str">
        <x:v>Contributions - Humanitarians.xlsx</x:v>
      </x:c>
      <x:c r="B19" t="str">
        <x:v>Nov-2025</x:v>
      </x:c>
      <x:c r="C19" t="str">
        <x:v>Reference only / not directly published</x:v>
      </x:c>
      <x:c r="D19" t="str">
        <x:v>Review</x:v>
      </x:c>
      <x:c r="E19" t="str">
        <x:v>Not a direct website CSV source.</x:v>
      </x:c>
    </x:row>
    <x:row r="20">
      <x:c r="A20" t="str">
        <x:v>Contributions - Humanitarians.xlsx</x:v>
      </x:c>
      <x:c r="B20" t="str">
        <x:v>Dec-2025</x:v>
      </x:c>
      <x:c r="C20" t="str">
        <x:v>Reference only / not directly published</x:v>
      </x:c>
      <x:c r="D20" t="str">
        <x:v>Review</x:v>
      </x:c>
      <x:c r="E20" t="str">
        <x:v>Not a direct website CSV source.</x:v>
      </x:c>
    </x:row>
    <x:row r="21">
      <x:c r="A21" t="str">
        <x:v>Contributions - Humanitarians.xlsx</x:v>
      </x:c>
      <x:c r="B21" t="str">
        <x:v>Jan-2026</x:v>
      </x:c>
      <x:c r="C21" t="str">
        <x:v>Used to seed public-safe CaseLedger</x:v>
      </x:c>
      <x:c r="D21" t="str">
        <x:v>Sanitized</x:v>
      </x:c>
      <x:c r="E21" t="str">
        <x:v>Only anonymized and aggregated public-safe fields included.</x:v>
      </x:c>
    </x:row>
    <x:row r="22">
      <x:c r="A22" t="str">
        <x:v>Contributions - Humanitarians.xlsx</x:v>
      </x:c>
      <x:c r="B22" t="str">
        <x:v>Feb-2026</x:v>
      </x:c>
      <x:c r="C22" t="str">
        <x:v>Reference only / not directly published</x:v>
      </x:c>
      <x:c r="D22" t="str">
        <x:v>Review</x:v>
      </x:c>
      <x:c r="E22" t="str">
        <x:v>Not a direct website CSV source.</x:v>
      </x:c>
    </x:row>
    <x:row r="23">
      <x:c r="A23" t="str">
        <x:v>Contributions - Humanitarians.xlsx</x:v>
      </x:c>
      <x:c r="B23" t="str">
        <x:v>Mar-26</x:v>
      </x:c>
      <x:c r="C23" t="str">
        <x:v>Used to seed public-safe CaseLedger</x:v>
      </x:c>
      <x:c r="D23" t="str">
        <x:v>Sanitized</x:v>
      </x:c>
      <x:c r="E23" t="str">
        <x:v>Only anonymized and aggregated public-safe fields included.</x:v>
      </x:c>
    </x:row>
    <x:row r="24">
      <x:c r="A24" t="str">
        <x:v>Contributions - Humanitarians.xlsx</x:v>
      </x:c>
      <x:c r="B24" t="str">
        <x:v>Apr-26</x:v>
      </x:c>
      <x:c r="C24" t="str">
        <x:v>Used to seed public-safe CaseLedger</x:v>
      </x:c>
      <x:c r="D24" t="str">
        <x:v>Sanitized</x:v>
      </x:c>
      <x:c r="E24" t="str">
        <x:v>Only anonymized and aggregated public-safe fields included.</x:v>
      </x:c>
    </x:row>
    <x:row r="25">
      <x:c r="A25" t="str">
        <x:v>Contributions - Humanitarians.xlsx</x:v>
      </x:c>
      <x:c r="B25" t="str">
        <x:v>May-26</x:v>
      </x:c>
      <x:c r="C25" t="str">
        <x:v>Excluded until confirmed</x:v>
      </x:c>
      <x:c r="D25" t="str">
        <x:v>Review</x:v>
      </x:c>
      <x:c r="E25" t="str">
        <x:v>Appears to duplicate Apr-26.</x:v>
      </x:c>
    </x:row>
    <x:row r="26">
      <x:c r="A26" t="str">
        <x:v>Contributions - Humanitarians.xlsx</x:v>
      </x:c>
      <x:c r="B26" t="str">
        <x:v>Zakat_Jan-2025</x:v>
      </x:c>
      <x:c r="C26" t="str">
        <x:v>Used to seed public-safe CaseLedger</x:v>
      </x:c>
      <x:c r="D26" t="str">
        <x:v>Sanitized</x:v>
      </x:c>
      <x:c r="E26" t="str">
        <x:v>Only anonymized and aggregated public-safe fields included.</x:v>
      </x:c>
    </x:row>
    <x:row r="27">
      <x:c r="A27" t="str">
        <x:v>Contributions - Humanitarians.xlsx</x:v>
      </x:c>
      <x:c r="B27" t="str">
        <x:v>Zakat_Feb-2025</x:v>
      </x:c>
      <x:c r="C27" t="str">
        <x:v>Used to seed public-safe CaseLedger</x:v>
      </x:c>
      <x:c r="D27" t="str">
        <x:v>Sanitized</x:v>
      </x:c>
      <x:c r="E27" t="str">
        <x:v>Only anonymized and aggregated public-safe fields included.</x:v>
      </x:c>
    </x:row>
    <x:row r="28">
      <x:c r="A28" t="str">
        <x:v>Contributions - Humanitarians.xlsx</x:v>
      </x:c>
      <x:c r="B28" t="str">
        <x:v>Zakat_Mar-2025</x:v>
      </x:c>
      <x:c r="C28" t="str">
        <x:v>Used to seed public-safe CaseLedger</x:v>
      </x:c>
      <x:c r="D28" t="str">
        <x:v>Sanitized</x:v>
      </x:c>
      <x:c r="E28" t="str">
        <x:v>Only anonymized and aggregated public-safe fields included.</x:v>
      </x:c>
    </x:row>
    <x:row r="29">
      <x:c r="A29" t="str">
        <x:v>Contributions - Humanitarians.xlsx</x:v>
      </x:c>
      <x:c r="B29" t="str">
        <x:v>Zakat_May-2025</x:v>
      </x:c>
      <x:c r="C29" t="str">
        <x:v>Used to seed public-safe CaseLedger</x:v>
      </x:c>
      <x:c r="D29" t="str">
        <x:v>Sanitized</x:v>
      </x:c>
      <x:c r="E29" t="str">
        <x:v>Only anonymized and aggregated public-safe fields included.</x:v>
      </x:c>
    </x:row>
    <x:row r="30">
      <x:c r="A30" t="str">
        <x:v>Contributions - Humanitarians.xlsx</x:v>
      </x:c>
      <x:c r="B30" t="str">
        <x:v>Zakat_June_2025</x:v>
      </x:c>
      <x:c r="C30" t="str">
        <x:v>Used to seed public-safe CaseLedger</x:v>
      </x:c>
      <x:c r="D30" t="str">
        <x:v>Sanitized</x:v>
      </x:c>
      <x:c r="E30" t="str">
        <x:v>Only anonymized and aggregated public-safe fields included.</x:v>
      </x:c>
    </x:row>
    <x:row r="31">
      <x:c r="A31" t="str">
        <x:v>Contributions - Humanitarians.xlsx</x:v>
      </x:c>
      <x:c r="B31" t="str">
        <x:v>Zakat_Sep_2025</x:v>
      </x:c>
      <x:c r="C31" t="str">
        <x:v>Used to seed public-safe CaseLedger</x:v>
      </x:c>
      <x:c r="D31" t="str">
        <x:v>Sanitized</x:v>
      </x:c>
      <x:c r="E31" t="str">
        <x:v>Only anonymized and aggregated public-safe fields included.</x:v>
      </x:c>
    </x:row>
    <x:row r="32">
      <x:c r="A32" t="str">
        <x:v>Contributions - Humanitarians.xlsx</x:v>
      </x:c>
      <x:c r="B32" t="str">
        <x:v>Zakat_Feb_2026</x:v>
      </x:c>
      <x:c r="C32" t="str">
        <x:v>Used to seed public-safe CaseLedger</x:v>
      </x:c>
      <x:c r="D32" t="str">
        <x:v>Sanitized</x:v>
      </x:c>
      <x:c r="E32" t="str">
        <x:v>Only anonymized and aggregated public-safe fields included.</x:v>
      </x:c>
    </x:row>
    <x:row r="33">
      <x:c r="A33" t="str">
        <x:v>Contributions - Humanitarians.xlsx</x:v>
      </x:c>
      <x:c r="B33" t="str">
        <x:v>Payment ID of Contributors</x:v>
      </x:c>
      <x:c r="C33" t="str">
        <x:v>Excluded</x:v>
      </x:c>
      <x:c r="D33" t="str">
        <x:v>Private</x:v>
      </x:c>
      <x:c r="E33" t="str">
        <x:v>Contains payment/contributor details; do not publish.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8.220001220703125" hidden="0" customWidth="1"/>
    <x:col min="2" max="2" width="116.29000091552734" hidden="0" customWidth="1"/>
  </x:cols>
  <x:sheetData>
    <x:row r="1" ht="24" customHeight="1">
      <x:c r="A1" s="49" t="str">
        <x:v>Humanitarians_Public_Impact_Stats_Linked v5</x:v>
      </x:c>
      <x:c r="B1" s="49" t="str">
        <x:v>Use this workbook as the website's public-safe data source.</x:v>
      </x:c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</x:row>
    <x:row r="2">
      <x:c r="A2" s="52" t="str">
        <x:v>Primary input tab</x:v>
      </x:c>
      <x:c r="B2" s="52" t="str">
        <x:v>Add/edit charity cases only in CaseLedger.</x:v>
      </x:c>
    </x:row>
    <x:row r="3">
      <x:c r="A3" s="52" t="str">
        <x:v>Formula-driven tabs</x:v>
      </x:c>
      <x:c r="B3" s="52" t="str">
        <x:v>MonthlyStats, SupportTypes, ImpactSummary, Reports, and CaseStorySeeds update from CaseLedger.</x:v>
      </x:c>
    </x:row>
    <x:row r="4">
      <x:c r="A4" s="52" t="str">
        <x:v>Removed consolidated rows</x:v>
      </x:c>
      <x:c r="B4" s="52" t="str">
        <x:v>The previous consolidated multi-month rows were removed. Add those cases month-wise in CaseLedger when ready.</x:v>
      </x:c>
    </x:row>
    <x:row r="5">
      <x:c r="A5" s="52" t="str">
        <x:v>Removed column</x:v>
      </x:c>
      <x:c r="B5" s="52" t="str">
        <x:v>The old story-candidate flag was removed. Use published and publish_status to control case-story visibility.</x:v>
      </x:c>
    </x:row>
    <x:row r="6">
      <x:c r="A6" s="52" t="str">
        <x:v>Case story publish rule</x:v>
      </x:c>
      <x:c r="B6" s="52" t="str">
        <x:v>Show a case only when published = Yes and publish_status = Publish.</x:v>
      </x:c>
    </x:row>
    <x:row r="7">
      <x:c r="A7" s="52" t="str">
        <x:v>Image publish rule</x:v>
      </x:c>
      <x:c r="B7" s="52" t="str">
        <x:v>Show images only when image_consent_status = Consent received.</x:v>
      </x:c>
    </x:row>
    <x:row r="8">
      <x:c r="A8" s="52" t="str">
        <x:v>Publish as CSV</x:v>
      </x:c>
      <x:c r="B8" s="52" t="str">
        <x:v>Publish only MonthlyStats, SupportTypes, ImpactSummary, LastUpdated, Reports, CaseStorySeeds, and MentorshipTestimonials.</x:v>
      </x:c>
    </x:row>
    <x:row r="9">
      <x:c r="A9" s="52" t="str">
        <x:v>Do not publish</x:v>
      </x:c>
      <x:c r="B9" s="52" t="str">
        <x:v>Do not publish CaseLedger unless fully privacy-reviewed.</x:v>
      </x:c>
    </x:row>
    <x:row r="10">
      <x:c r="A10" s="52" t="str">
        <x:v>Google Sheet name</x:v>
      </x:c>
      <x:c r="B10" s="52" t="str">
        <x:v>Humanitarians_Public_Impact_Stats_Linked</x:v>
      </x:c>
    </x:row>
    <x:row r="11">
      <x:c r="A11" s="52" t="str">
        <x:v>Upload workflow</x:v>
      </x:c>
      <x:c r="B11" s="52" t="str">
        <x:v>Upload this .xlsx to Google Drive, open with Google Sheets, then File &gt; Save as Google Sheets if needed.</x:v>
      </x:c>
    </x:row>
    <x:row r="12">
      <x:c r="A12" s="52" t="str">
        <x:v>Recalculation</x:v>
      </x:c>
      <x:c r="B12" s="52" t="str">
        <x:v>After upload, formulas should recalculate in Google Sheets. If needed, edit/delete a blank cell once to force recalculation.</x:v>
      </x:c>
    </x:row>
    <x:row r="13">
      <x:c r="A13" s="52" t="str">
        <x:v>Privacy checklist</x:v>
      </x:c>
      <x:c r="B13" s="52" t="str">
        <x:v>No full names, phone numbers, addresses, Aadhaar/PAN, bank details, UPI IDs, donor names, payment IDs, private notes, or sensitive documents.</x:v>
      </x:c>
    </x:row>
    <x:row r="14">
      <x:c r="A14" s="52" t="str">
        <x:v>Website note</x:v>
      </x:c>
      <x:c r="B14" s="52" t="str">
        <x:v>The frontend should ignore blank formula rows and use the published CSV URLs.</x:v>
      </x:c>
    </x:row>
    <x:row r="15">
      <x:c r="A15" s="52" t="str">
        <x:v>Support type note</x:v>
      </x:c>
      <x:c r="B15" s="52" t="str">
        <x:v>SupportTypes is formula-linked from CaseLedger. New support types appear when entered in CaseLedger.</x:v>
      </x:c>
    </x:row>
    <x:row r="16">
      <x:c r="A16" s="52" t="str">
        <x:v>Reports note</x:v>
      </x:c>
      <x:c r="B16" s="52" t="str">
        <x:v>Reports may contain blank rows for zero-case months; frontend should filter rows where period_label is blank.</x:v>
      </x:c>
    </x:row>
    <x:row r="17">
      <x:c r="A17" s="52"/>
      <x:c r="B17" s="52"/>
    </x:row>
    <x:row r="18">
      <x:c r="A18" s="52"/>
      <x:c r="B18" s="52"/>
    </x:row>
    <x:row r="19">
      <x:c r="A19" s="52"/>
      <x:c r="B19" s="52"/>
    </x:row>
    <x:row r="20">
      <x:c r="A20" s="52"/>
      <x:c r="B20" s="52"/>
    </x:row>
    <x:row r="21">
      <x:c r="A21" s="52"/>
      <x:c r="B21" s="52"/>
    </x:row>
    <x:row r="22">
      <x:c r="A22" s="52"/>
      <x:c r="B22" s="52"/>
    </x:row>
    <x:row r="23">
      <x:c r="A23" s="52"/>
      <x:c r="B23" s="52"/>
    </x:row>
    <x:row r="24">
      <x:c r="A24" s="52"/>
      <x:c r="B24" s="52"/>
    </x:row>
    <x:row r="25">
      <x:c r="A25" s="52"/>
      <x:c r="B25" s="52"/>
    </x:row>
  </x:sheetData>
  <x:pageMargins left="0.7" right="0.7" top="0.75" bottom="0.75" header="0.3" footer="0.3"/>
</x:worksheet>
</file>