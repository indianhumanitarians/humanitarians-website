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5e31f81f1d4d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f5b6faf1c184c94"/>
    <x:sheet xmlns:r="http://schemas.openxmlformats.org/officeDocument/2006/relationships" name="Lists" sheetId="2" r:id="Rb8706f85434945b8"/>
    <x:sheet xmlns:r="http://schemas.openxmlformats.org/officeDocument/2006/relationships" name="CaseLedger" sheetId="3" r:id="R37b1bf87158b4a91"/>
    <x:sheet xmlns:r="http://schemas.openxmlformats.org/officeDocument/2006/relationships" name="MonthlyFinance" sheetId="4" r:id="R5f114a5fe8af42eb"/>
    <x:sheet xmlns:r="http://schemas.openxmlformats.org/officeDocument/2006/relationships" name="MonthlyStats" sheetId="5" r:id="Rd43b7004502b44d6"/>
    <x:sheet xmlns:r="http://schemas.openxmlformats.org/officeDocument/2006/relationships" name="SupportTypes" sheetId="6" r:id="Rea2a4d52cb934068"/>
    <x:sheet xmlns:r="http://schemas.openxmlformats.org/officeDocument/2006/relationships" name="ImpactSummary" sheetId="7" r:id="Rd0ec3dcfd02d4ba7"/>
    <x:sheet xmlns:r="http://schemas.openxmlformats.org/officeDocument/2006/relationships" name="LastUpdated" sheetId="8" r:id="Rbf0b9c9214d648d2"/>
    <x:sheet xmlns:r="http://schemas.openxmlformats.org/officeDocument/2006/relationships" name="Reports" sheetId="9" r:id="R6b79a8b8b085487d"/>
    <x:sheet xmlns:r="http://schemas.openxmlformats.org/officeDocument/2006/relationships" name="CaseStorySeeds" sheetId="10" r:id="R87bebd598de14e66"/>
    <x:sheet xmlns:r="http://schemas.openxmlformats.org/officeDocument/2006/relationships" name="MentorshipTestimonials" sheetId="11" r:id="R4db7d49b426d4b4e"/>
    <x:sheet xmlns:r="http://schemas.openxmlformats.org/officeDocument/2006/relationships" name="CampaignStats" sheetId="12" r:id="Rc51ef37a86a04a99"/>
    <x:sheet xmlns:r="http://schemas.openxmlformats.org/officeDocument/2006/relationships" name="WebsiteConfig" sheetId="13" r:id="R6b93b0bdad5a47fe"/>
    <x:sheet xmlns:r="http://schemas.openxmlformats.org/officeDocument/2006/relationships" name="DataQualityNotes" sheetId="14" r:id="Rb201f56b30f24877"/>
    <x:sheet xmlns:r="http://schemas.openxmlformats.org/officeDocument/2006/relationships" name="SourceTabsAudit" sheetId="15" r:id="R68e2af052a2a427d"/>
    <x:sheet xmlns:r="http://schemas.openxmlformats.org/officeDocument/2006/relationships" name="README" sheetId="16" r:id="R99690d5afb5d46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₹#,##0"/>
    <x:numFmt numFmtId="201" formatCode="yyyy-mm-dd"/>
    <x:numFmt numFmtId="202" formatCode="#,##0"/>
  </x:numFmts>
  <x:fonts count="5">
    <x:font>
      <x:sz val="11"/>
      <x:name val="Carlito"/>
    </x:font>
    <x:font>
      <x:b/>
      <x:sz val="14"/>
      <x:color rgb="FFFFFF"/>
      <x:name val="Carlito"/>
    </x:font>
    <x:font>
      <x:sz val="11"/>
      <x:color rgb="78350F"/>
      <x:name val="Carlito"/>
    </x:font>
    <x:font>
      <x:b/>
      <x:sz val="11"/>
      <x:color rgb="FFFFFF"/>
      <x:name val="Carlito"/>
    </x:font>
    <x:font>
      <x:b/>
      <x:sz val="11"/>
      <x:color rgb="134E4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64E3B"/>
      </x:patternFill>
    </x:fill>
    <x:fill>
      <x:patternFill patternType="solid">
        <x:fgColor rgb="FEF3C7"/>
      </x:patternFill>
    </x:fill>
    <x:fill>
      <x:patternFill patternType="solid">
        <x:fgColor rgb="0F766E"/>
      </x:patternFill>
    </x:fill>
    <x:fill>
      <x:patternFill patternType="solid">
        <x:fgColor rgb="E6FFFA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3" fillId="4" borderId="0" xfId="0" applyNumberFormat="1" applyFont="1" applyFill="1" applyBorder="1" applyAlignment="1">
      <x:alignment horizontal="center" vertical="center" wrapText="1"/>
    </x:xf>
    <x:xf numFmtId="200" fontId="3" fillId="4" borderId="1" xfId="0" applyNumberFormat="1" applyFont="1" applyFill="1" applyBorder="1" applyAlignment="1">
      <x:alignment horizontal="center" vertical="center" wrapText="1"/>
    </x:xf>
    <x:xf numFmtId="201" fontId="3" fillId="4" borderId="0" xfId="0" applyNumberFormat="1" applyFont="1" applyFill="1" applyBorder="1" applyAlignment="1">
      <x:alignment horizontal="center" vertical="center" wrapText="1"/>
    </x:xf>
    <x:xf numFmtId="201" fontId="3" fillId="4" borderId="1" xfId="0" applyNumberFormat="1" applyFont="1" applyFill="1" applyBorder="1" applyAlignment="1">
      <x:alignment horizontal="center" vertical="center" wrapText="1"/>
    </x:xf>
    <x:xf numFmtId="202" fontId="3" fillId="4" borderId="0" xfId="0" applyNumberFormat="1" applyFont="1" applyFill="1" applyBorder="1" applyAlignment="1">
      <x:alignment horizontal="center" vertical="center" wrapText="1"/>
    </x:xf>
    <x:xf numFmtId="202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DCFCE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1e0f14d73a439b" /><Relationship Type="http://schemas.openxmlformats.org/officeDocument/2006/relationships/theme" Target="/xl/theme/theme1.xml" Id="R889f96317b3d44ca" /><Relationship Type="http://schemas.openxmlformats.org/officeDocument/2006/relationships/sharedStrings" Target="/xl/sharedStrings.xml" Id="R1cad3c73bff6486e" /><Relationship Type="http://schemas.openxmlformats.org/officeDocument/2006/relationships/worksheet" Target="/xl/worksheets/sheet1.xml" Id="R5f5b6faf1c184c94" /><Relationship Type="http://schemas.openxmlformats.org/officeDocument/2006/relationships/worksheet" Target="/xl/worksheets/sheet2.xml" Id="Rb8706f85434945b8" /><Relationship Type="http://schemas.openxmlformats.org/officeDocument/2006/relationships/worksheet" Target="/xl/worksheets/sheet3.xml" Id="R37b1bf87158b4a91" /><Relationship Type="http://schemas.openxmlformats.org/officeDocument/2006/relationships/worksheet" Target="/xl/worksheets/sheet4.xml" Id="R5f114a5fe8af42eb" /><Relationship Type="http://schemas.openxmlformats.org/officeDocument/2006/relationships/worksheet" Target="/xl/worksheets/sheet5.xml" Id="Rd43b7004502b44d6" /><Relationship Type="http://schemas.openxmlformats.org/officeDocument/2006/relationships/worksheet" Target="/xl/worksheets/sheet6.xml" Id="Rea2a4d52cb934068" /><Relationship Type="http://schemas.openxmlformats.org/officeDocument/2006/relationships/worksheet" Target="/xl/worksheets/sheet7.xml" Id="Rd0ec3dcfd02d4ba7" /><Relationship Type="http://schemas.openxmlformats.org/officeDocument/2006/relationships/worksheet" Target="/xl/worksheets/sheet8.xml" Id="Rbf0b9c9214d648d2" /><Relationship Type="http://schemas.openxmlformats.org/officeDocument/2006/relationships/worksheet" Target="/xl/worksheets/sheet9.xml" Id="R6b79a8b8b085487d" /><Relationship Type="http://schemas.openxmlformats.org/officeDocument/2006/relationships/worksheet" Target="/xl/worksheets/sheet10.xml" Id="R87bebd598de14e66" /><Relationship Type="http://schemas.openxmlformats.org/officeDocument/2006/relationships/worksheet" Target="/xl/worksheets/sheet11.xml" Id="R4db7d49b426d4b4e" /><Relationship Type="http://schemas.openxmlformats.org/officeDocument/2006/relationships/worksheet" Target="/xl/worksheets/sheet12.xml" Id="Rc51ef37a86a04a99" /><Relationship Type="http://schemas.openxmlformats.org/officeDocument/2006/relationships/worksheet" Target="/xl/worksheets/sheet13.xml" Id="R6b93b0bdad5a47fe" /><Relationship Type="http://schemas.openxmlformats.org/officeDocument/2006/relationships/worksheet" Target="/xl/worksheets/sheet14.xml" Id="Rb201f56b30f24877" /><Relationship Type="http://schemas.openxmlformats.org/officeDocument/2006/relationships/worksheet" Target="/xl/worksheets/sheet15.xml" Id="R68e2af052a2a427d" /><Relationship Type="http://schemas.openxmlformats.org/officeDocument/2006/relationships/worksheet" Target="/xl/worksheets/sheet16.xml" Id="R99690d5afb5d46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5" t="str">
        <x:v>Humanitarians Public Impact Stats - Linked Workbook</x:v>
      </x:c>
    </x:row>
    <x:row r="2">
      <x:c r="A2" s="12" t="str">
        <x:v>Edit only the CaseLedger tab for new cases. Website-facing tabs such as MonthlyStats, SupportTypes, ImpactSummary, Reports, and CaseStorySeeds are formula-linked.</x:v>
      </x:c>
    </x:row>
    <x:row r="4">
      <x:c r="A4" s="19" t="str">
        <x:v>Metric</x:v>
      </x:c>
      <x:c r="B4" s="19" t="str">
        <x:v>Value</x:v>
      </x:c>
    </x:row>
    <x:row r="5">
      <x:c r="A5" t="str">
        <x:v>Active donor community</x:v>
      </x:c>
      <x:c r="B5" t="str">
        <x:f>ImpactSummary!B2</x:f>
        <x:v>200+</x:v>
      </x:c>
    </x:row>
    <x:row r="6">
      <x:c r="A6" t="str">
        <x:v>Public cases tracked</x:v>
      </x:c>
      <x:c r="B6" t="n">
        <x:f>ImpactSummary!B3</x:f>
        <x:v>57</x:v>
      </x:c>
    </x:row>
    <x:row r="7">
      <x:c r="A7" t="str">
        <x:v>Total public support</x:v>
      </x:c>
      <x:c r="B7" s="40" t="n">
        <x:f>ImpactSummary!B4</x:f>
        <x:v>932506</x:v>
      </x:c>
    </x:row>
    <x:row r="8">
      <x:c r="A8" t="str">
        <x:v>Livelihood cases</x:v>
      </x:c>
      <x:c r="B8" s="40" t="n">
        <x:f>ImpactSummary!B5</x:f>
        <x:v>45</x:v>
      </x:c>
    </x:row>
    <x:row r="9">
      <x:c r="A9" t="str">
        <x:v>Zakat allocated</x:v>
      </x:c>
      <x:c r="B9" s="40" t="n">
        <x:f>ImpactSummary!B11</x:f>
        <x:v>469700</x:v>
      </x:c>
    </x:row>
    <x:row r="10">
      <x:c r="A10" t="str">
        <x:v>Sadaqah allocated</x:v>
      </x:c>
      <x:c r="B10" s="40" t="n">
        <x:f>ImpactSummary!B12</x:f>
        <x:v>462806</x:v>
      </x:c>
    </x:row>
    <x:row r="11">
      <x:c r="A11" t="str">
        <x:v>Data through</x:v>
      </x:c>
      <x:c r="B11" t="str">
        <x:f>ImpactSummary!B19</x:f>
        <x:v>Apr 2026 confirmed</x:v>
      </x:c>
    </x:row>
    <x:row r="13">
      <x:c r="A13" s="27" t="str">
        <x:v>Workflow</x:v>
      </x:c>
    </x:row>
    <x:row r="14">
      <x:c r="A14" t="str">
        <x:v>1</x:v>
      </x:c>
      <x:c r="B14" t="str">
        <x:v>Add or update a row in CaseLedger.</x:v>
      </x:c>
    </x:row>
    <x:row r="15">
      <x:c r="A15" t="str">
        <x:v>2</x:v>
      </x:c>
      <x:c r="B15" t="str">
        <x:v>Set include_in_public_stats = TRUE if the case may be counted in public stats.</x:v>
      </x:c>
    </x:row>
    <x:row r="16">
      <x:c r="A16" t="str">
        <x:v>3</x:v>
      </x:c>
      <x:c r="B16" t="str">
        <x:v>Set published = Yes and publish_status = Publish only after privacy review, follow-up verification, and consent.</x:v>
      </x:c>
    </x:row>
    <x:row r="17">
      <x:c r="A17" t="str">
        <x:v>4</x:v>
      </x:c>
      <x:c r="B17" t="str">
        <x:v>Upload this workbook to Google Sheets, then publish the website-facing tabs as CSV.</x:v>
      </x:c>
    </x:row>
    <x:row r="18">
      <x:c r="A18" t="str">
        <x:v>5</x:v>
      </x:c>
      <x:c r="B18" t="str">
        <x:v>Do not publish raw private tabs with recipient/donor personal data.</x:v>
      </x:c>
    </x:row>
    <x:row r="20">
      <x:c r="A20" s="27" t="str">
        <x:v>Case Story Publishing Rule</x:v>
      </x:c>
    </x:row>
    <x:row r="21">
      <x:c r="A21" s="12" t="str">
        <x:v>The website should display a case story only when CaseStorySeeds.published = Yes and publish_status = Publish. Images should display only when image_consent_status = Consent received.</x:v>
      </x:c>
    </x:row>
  </x:sheetData>
  <x:mergeCells>
    <x:mergeCell ref="A1:H1"/>
    <x:mergeCell ref="A2:H2"/>
    <x:mergeCell ref="A13:H13"/>
    <x:mergeCell ref="A20:H20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24" customHeight="1">
      <x:c r="A1" s="32" t="str">
        <x:v>include_in_public_stats</x:v>
      </x:c>
      <x:c r="B1" s="32" t="str">
        <x:v>published</x:v>
      </x:c>
      <x:c r="C1" s="32" t="str">
        <x:v>publish_status</x:v>
      </x:c>
      <x:c r="D1" s="32" t="str">
        <x:v>story_candidate</x:v>
      </x:c>
      <x:c r="E1" s="32" t="str">
        <x:v>category</x:v>
      </x:c>
      <x:c r="F1" s="32" t="str">
        <x:v>support_type</x:v>
      </x:c>
      <x:c r="G1" s="32" t="str">
        <x:v>image_consent_status</x:v>
      </x:c>
      <x:c r="H1" s="32" t="str">
        <x:v>testimonial_consent</x:v>
      </x:c>
      <x:c r="I1" s="32" t="str">
        <x:v>testimonial_publish_status</x:v>
      </x:c>
    </x:row>
    <x:row r="2">
      <x:c r="A2" t="str">
        <x:v>TRUE</x:v>
      </x:c>
      <x:c r="B2" t="str">
        <x:v>Yes</x:v>
      </x:c>
      <x:c r="C2" t="str">
        <x:v>Draft</x:v>
      </x:c>
      <x:c r="D2" t="str">
        <x:v>TRUE</x:v>
      </x:c>
      <x:c r="E2" t="str">
        <x:v>Livelihood</x:v>
      </x:c>
      <x:c r="F2" t="str">
        <x:v>Shop / business inventory</x:v>
      </x:c>
      <x:c r="G2" t="str">
        <x:v>Pending consent</x:v>
      </x:c>
      <x:c r="H2" t="str">
        <x:v>Yes</x:v>
      </x:c>
      <x:c r="I2" t="str">
        <x:v>Draft</x:v>
      </x:c>
    </x:row>
    <x:row r="3">
      <x:c r="A3" t="str">
        <x:v>FALSE</x:v>
      </x:c>
      <x:c r="B3" t="str">
        <x:v>No</x:v>
      </x:c>
      <x:c r="C3" t="str">
        <x:v>Publish</x:v>
      </x:c>
      <x:c r="D3" t="str">
        <x:v>FALSE</x:v>
      </x:c>
      <x:c r="E3" t="str">
        <x:v>Skill Sponsorship</x:v>
      </x:c>
      <x:c r="F3" t="str">
        <x:v>Sewing / tailoring</x:v>
      </x:c>
      <x:c r="G3" t="str">
        <x:v>Consent received</x:v>
      </x:c>
      <x:c r="H3" t="str">
        <x:v>No</x:v>
      </x:c>
      <x:c r="I3" t="str">
        <x:v>Publish</x:v>
      </x:c>
    </x:row>
    <x:row r="4">
      <x:c r="C4" t="str">
        <x:v>Archive</x:v>
      </x:c>
      <x:c r="E4" t="str">
        <x:v>Emergency Support</x:v>
      </x:c>
      <x:c r="F4" t="str">
        <x:v>E-rickshaw / auto</x:v>
      </x:c>
      <x:c r="G4" t="str">
        <x:v>Do not publish</x:v>
      </x:c>
      <x:c r="I4" t="str">
        <x:v>Archive</x:v>
      </x:c>
    </x:row>
    <x:row r="5">
      <x:c r="E5" t="str">
        <x:v>Community Support</x:v>
      </x:c>
      <x:c r="F5" t="str">
        <x:v>Tools / equipment</x:v>
      </x:c>
    </x:row>
    <x:row r="6">
      <x:c r="F6" t="str">
        <x:v>Education / course sponsorship</x:v>
      </x:c>
    </x:row>
    <x:row r="7">
      <x:c r="F7" t="str">
        <x:v>Education / Maktab</x:v>
      </x:c>
    </x:row>
    <x:row r="8">
      <x:c r="F8" t="str">
        <x:v>Relief / emergency support</x:v>
      </x:c>
    </x:row>
    <x:row r="9">
      <x:c r="F9" t="str">
        <x:v>Medical support</x:v>
      </x:c>
    </x:row>
    <x:row r="10">
      <x:c r="F10" t="str">
        <x:v>Masjid / community support</x:v>
      </x:c>
    </x:row>
    <x:row r="11">
      <x:c r="F11" t="str">
        <x:v>Agriculture / animal livelihood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12" hidden="0" customWidth="1"/>
    <x:col min="4" max="4" width="14" hidden="0" customWidth="1"/>
    <x:col min="5" max="5" width="14" hidden="0" customWidth="1"/>
    <x:col min="6" max="6" width="18" hidden="0" customWidth="1"/>
    <x:col min="7" max="7" width="12" hidden="0" customWidth="1"/>
    <x:col min="8" max="8" width="12" hidden="0" customWidth="1"/>
    <x:col min="9" max="9" width="34" hidden="0" customWidth="1"/>
    <x:col min="10" max="10" width="26" hidden="0" customWidth="1"/>
    <x:col min="11" max="11" width="18" hidden="0" customWidth="1"/>
    <x:col min="12" max="12" width="26" hidden="0" customWidth="1"/>
    <x:col min="13" max="13" width="14" hidden="0" customWidth="1"/>
    <x:col min="14" max="14" width="14" hidden="0" customWidth="1"/>
    <x:col min="15" max="15" width="14" hidden="0" customWidth="1"/>
    <x:col min="16" max="16" width="12" hidden="0" customWidth="1"/>
    <x:col min="17" max="17" width="24" hidden="0" customWidth="1"/>
    <x:col min="18" max="18" width="16" hidden="0" customWidth="1"/>
    <x:col min="19" max="19" width="40" hidden="0" customWidth="1"/>
    <x:col min="20" max="20" width="44" hidden="0" customWidth="1"/>
    <x:col min="21" max="21" width="38" hidden="0" customWidth="1"/>
    <x:col min="22" max="22" width="38" hidden="0" customWidth="1"/>
    <x:col min="23" max="23" width="40" hidden="0" customWidth="1"/>
    <x:col min="24" max="24" width="42" hidden="0" customWidth="1"/>
    <x:col min="25" max="25" width="30" hidden="0" customWidth="1"/>
    <x:col min="26" max="26" width="28" hidden="0" customWidth="1"/>
    <x:col min="27" max="27" width="28" hidden="0" customWidth="1"/>
    <x:col min="28" max="28" width="30" hidden="0" customWidth="1"/>
    <x:col min="29" max="29" width="28" hidden="0" customWidth="1"/>
    <x:col min="30" max="30" width="28" hidden="0" customWidth="1"/>
    <x:col min="31" max="31" width="30" hidden="0" customWidth="1"/>
    <x:col min="32" max="32" width="28" hidden="0" customWidth="1"/>
    <x:col min="33" max="33" width="28" hidden="0" customWidth="1"/>
    <x:col min="34" max="34" width="18" hidden="0" customWidth="1"/>
    <x:col min="35" max="35" width="36" hidden="0" customWidth="1"/>
    <x:col min="36" max="36" width="32" hidden="0" customWidth="1"/>
    <x:col min="37" max="37" width="40" hidden="0" customWidth="1"/>
  </x:cols>
  <x:sheetData>
    <x:row r="1" ht="24" customHeight="1">
      <x:c r="A1" s="32" t="str">
        <x:v>case_id</x:v>
      </x:c>
      <x:c r="B1" s="32" t="str">
        <x:v>include_in_public_stats</x:v>
      </x:c>
      <x:c r="C1" s="32" t="str">
        <x:v>published</x:v>
      </x:c>
      <x:c r="D1" s="32" t="str">
        <x:v>publish_status</x:v>
      </x:c>
      <x:c r="E1" s="32" t="str">
        <x:v>story_candidate</x:v>
      </x:c>
      <x:c r="F1" s="32" t="str">
        <x:v>period_label</x:v>
      </x:c>
      <x:c r="G1" s="32" t="str">
        <x:v>period_sort</x:v>
      </x:c>
      <x:c r="H1" s="36" t="str">
        <x:v>month_start</x:v>
      </x:c>
      <x:c r="I1" s="32" t="str">
        <x:v>title</x:v>
      </x:c>
      <x:c r="J1" s="32" t="str">
        <x:v>anonymized_name</x:v>
      </x:c>
      <x:c r="K1" s="32" t="str">
        <x:v>category</x:v>
      </x:c>
      <x:c r="L1" s="32" t="str">
        <x:v>support_type</x:v>
      </x:c>
      <x:c r="M1" s="34" t="str">
        <x:v>amount_zakat</x:v>
      </x:c>
      <x:c r="N1" s="34" t="str">
        <x:v>amount_sadaqah</x:v>
      </x:c>
      <x:c r="O1" s="34" t="str">
        <x:v>total_amount</x:v>
      </x:c>
      <x:c r="P1" s="32" t="str">
        <x:v>fund_type</x:v>
      </x:c>
      <x:c r="Q1" s="32" t="str">
        <x:v>public_location</x:v>
      </x:c>
      <x:c r="R1" s="32" t="str">
        <x:v>amount_range</x:v>
      </x:c>
      <x:c r="S1" s="32" t="str">
        <x:v>need</x:v>
      </x:c>
      <x:c r="T1" s="32" t="str">
        <x:v>support_provided</x:v>
      </x:c>
      <x:c r="U1" s="32" t="str">
        <x:v>outcome</x:v>
      </x:c>
      <x:c r="V1" s="32" t="str">
        <x:v>follow_up</x:v>
      </x:c>
      <x:c r="W1" s="32" t="str">
        <x:v>quote_placeholder</x:v>
      </x:c>
      <x:c r="X1" s="32" t="str">
        <x:v>privacy_note</x:v>
      </x:c>
      <x:c r="Y1" s="32" t="str">
        <x:v>image_url_1</x:v>
      </x:c>
      <x:c r="Z1" s="32" t="str">
        <x:v>image_alt_1</x:v>
      </x:c>
      <x:c r="AA1" s="32" t="str">
        <x:v>image_caption_1</x:v>
      </x:c>
      <x:c r="AB1" s="32" t="str">
        <x:v>image_url_2</x:v>
      </x:c>
      <x:c r="AC1" s="32" t="str">
        <x:v>image_alt_2</x:v>
      </x:c>
      <x:c r="AD1" s="32" t="str">
        <x:v>image_caption_2</x:v>
      </x:c>
      <x:c r="AE1" s="32" t="str">
        <x:v>image_url_3</x:v>
      </x:c>
      <x:c r="AF1" s="32" t="str">
        <x:v>image_alt_3</x:v>
      </x:c>
      <x:c r="AG1" s="32" t="str">
        <x:v>image_caption_3</x:v>
      </x:c>
      <x:c r="AH1" s="32" t="str">
        <x:v>image_consent_status</x:v>
      </x:c>
      <x:c r="AI1" s="32" t="str">
        <x:v>image_publish_notes</x:v>
      </x:c>
      <x:c r="AJ1" s="32" t="str">
        <x:v>source_notes</x:v>
      </x:c>
      <x:c r="AK1" s="32" t="str">
        <x:v>editing_note</x:v>
      </x:c>
    </x:row>
    <x:row r="2">
      <x:c r="A2" t="str">
        <x:v>HUM-001</x:v>
      </x:c>
      <x:c r="B2" t="str">
        <x:v>TRUE</x:v>
      </x:c>
      <x:c r="C2" t="str">
        <x:v>No</x:v>
      </x:c>
      <x:c r="D2" t="str">
        <x:v>Draft</x:v>
      </x:c>
      <x:c r="E2" t="str">
        <x:v>TRUE</x:v>
      </x:c>
      <x:c r="F2" t="str">
        <x:v>Sep 2024</x:v>
      </x:c>
      <x:c r="G2" t="n">
        <x:f>IF($A2="","",IF($F2="Dec 2025-Apr 2026",2026045,YEAR($H2)*100+MONTH($H2)))</x:f>
        <x:v>202409</x:v>
      </x:c>
      <x:c r="H2" t="n">
        <x:v>45536</x:v>
      </x:c>
      <x:c r="I2" t="str">
        <x:v>1 Sewing Machine + Installation</x:v>
      </x:c>
      <x:c r="J2" t="str">
        <x:v>Anonymized case HUM-001</x:v>
      </x:c>
      <x:c r="K2" t="str">
        <x:v>Livelihood</x:v>
      </x:c>
      <x:c r="L2" t="str">
        <x:v>Sewing / tailoring</x:v>
      </x:c>
      <x:c r="M2" t="n">
        <x:v>0</x:v>
      </x:c>
      <x:c r="N2" t="n">
        <x:v>6500</x:v>
      </x:c>
      <x:c r="O2" t="n">
        <x:f>IF($A2="","",N($M2)+N($N2))</x:f>
        <x:v>6500</x:v>
      </x:c>
      <x:c r="P2" t="str">
        <x:f>IF($A2="","",IF(AND(N($M2)&gt;0,N($N2)&gt;0),"Mixed",IF(N($M2)&gt;0,"Zakat",IF(N($N2)&gt;0,"Sadaqah",""))))</x:f>
        <x:v>Sadaqah</x:v>
      </x:c>
      <x:c r="Q2" t="str">
        <x:v>Kanpur</x:v>
      </x:c>
      <x:c r="R2" t="str">
        <x:f>IF($A2="","",IFS($O2&lt;5000,"Under ₹5,000",$O2&lt;=10000,"₹5,000–₹10,000",$O2&lt;=15000,"₹10,000–₹15,000",$O2&lt;=25000,"₹15,000–₹25,000",$O2&lt;=50000,"₹25,000–₹50,000",TRUE,"₹50,000+"))</x:f>
        <x:v>₹5,000–₹10,000</x:v>
      </x:c>
      <x:c r="S2" t="str">
        <x:v>A verified recipient/family needed support related to sewing / tailoring.</x:v>
      </x:c>
      <x:c r="T2" t="str">
        <x:v>Humanitarians supported the case through Sadaqah funds for 1 sewing machine + installation.</x:v>
      </x:c>
      <x:c r="U2" t="str">
        <x:v>Outcome/update should be added only after verified follow-up.</x:v>
      </x:c>
      <x:c r="V2" t="str">
        <x:v>Add follow-up notes after checking with the verification team.</x:v>
      </x:c>
      <x:c r="W2" t="str">
        <x:v>Add a real quote only with consent; do not publish this placeholder as a recipient quote.</x:v>
      </x:c>
      <x:c r="X2" t="str">
        <x:v>Anonymized public summary; no full name, phone, address, ID, bank details, or donor identity included.</x:v>
      </x:c>
      <x:c r="Y2"/>
      <x:c r="Z2" t="str">
        <x:v>Anonymized Humanitarians case image 1 for HUM-001</x:v>
      </x:c>
      <x:c r="AA2" t="str">
        <x:v>Before/support context image - add only after consent.</x:v>
      </x:c>
      <x:c r="AB2"/>
      <x:c r="AC2" t="str">
        <x:v>Anonymized Humanitarians case image 2 for HUM-001</x:v>
      </x:c>
      <x:c r="AD2" t="str">
        <x:v>Support/equipment image - add only after consent.</x:v>
      </x:c>
      <x:c r="AE2"/>
      <x:c r="AF2" t="str">
        <x:v>Anonymized Humanitarians case image 3 for HUM-001</x:v>
      </x:c>
      <x:c r="AG2" t="str">
        <x:v>Outcome/follow-up image - add only after consent.</x:v>
      </x:c>
      <x:c r="AH2" t="str">
        <x:v>Pending consent</x:v>
      </x:c>
      <x:c r="AI2" t="str">
        <x:v>Paste public Google Drive image URLs only after recipient consent and privacy review.</x:v>
      </x:c>
      <x:c r="AJ2" t="str">
        <x:v>Seeded from latest uploaded workbook and public-safe v2 case-story data.</x:v>
      </x:c>
      <x:c r="AK2" t="str">
        <x:v>Add/edit cases here only. Formula tabs will update after upload/recalculation in Google Sheets.</x:v>
      </x:c>
    </x:row>
    <x:row r="3">
      <x:c r="A3" t="str">
        <x:v>HUM-002</x:v>
      </x:c>
      <x:c r="B3" t="str">
        <x:v>TRUE</x:v>
      </x:c>
      <x:c r="C3" t="str">
        <x:v>No</x:v>
      </x:c>
      <x:c r="D3" t="str">
        <x:v>Draft</x:v>
      </x:c>
      <x:c r="E3" t="str">
        <x:v>TRUE</x:v>
      </x:c>
      <x:c r="F3" t="str">
        <x:v>Sep 2024</x:v>
      </x:c>
      <x:c r="G3" t="n">
        <x:f>IF($A3="","",IF($F3="Dec 2025-Apr 2026",2026045,YEAR($H3)*100+MONTH($H3)))</x:f>
        <x:v>202409</x:v>
      </x:c>
      <x:c r="H3" t="n">
        <x:v>45536</x:v>
      </x:c>
      <x:c r="I3" t="str">
        <x:v>3 Sewing Machines</x:v>
      </x:c>
      <x:c r="J3" t="str">
        <x:v>Anonymized case HUM-002</x:v>
      </x:c>
      <x:c r="K3" t="str">
        <x:v>Livelihood</x:v>
      </x:c>
      <x:c r="L3" t="str">
        <x:v>Sewing / tailoring</x:v>
      </x:c>
      <x:c r="M3" t="n">
        <x:v>0</x:v>
      </x:c>
      <x:c r="N3" t="n">
        <x:v>23900</x:v>
      </x:c>
      <x:c r="O3" t="n">
        <x:f>IF($A3="","",N($M3)+N($N3))</x:f>
        <x:v>23900</x:v>
      </x:c>
      <x:c r="P3" t="str">
        <x:f>IF($A3="","",IF(AND(N($M3)&gt;0,N($N3)&gt;0),"Mixed",IF(N($M3)&gt;0,"Zakat",IF(N($N3)&gt;0,"Sadaqah",""))))</x:f>
        <x:v>Sadaqah</x:v>
      </x:c>
      <x:c r="Q3" t="str">
        <x:v>Basti</x:v>
      </x:c>
      <x:c r="R3" t="str">
        <x:f>IF($A3="","",IFS($O3&lt;5000,"Under ₹5,000",$O3&lt;=10000,"₹5,000–₹10,000",$O3&lt;=15000,"₹10,000–₹15,000",$O3&lt;=25000,"₹15,000–₹25,000",$O3&lt;=50000,"₹25,000–₹50,000",TRUE,"₹50,000+"))</x:f>
        <x:v>₹15,000–₹25,000</x:v>
      </x:c>
      <x:c r="S3" t="str">
        <x:v>A verified recipient/family needed support related to sewing / tailoring.</x:v>
      </x:c>
      <x:c r="T3" t="str">
        <x:v>Humanitarians supported the case through Sadaqah funds for 3 sewing machines.</x:v>
      </x:c>
      <x:c r="U3" t="str">
        <x:v>Outcome/update should be added only after verified follow-up.</x:v>
      </x:c>
      <x:c r="V3" t="str">
        <x:v>Add follow-up notes after checking with the verification team.</x:v>
      </x:c>
      <x:c r="W3" t="str">
        <x:v>Add a real quote only with consent; do not publish this placeholder as a recipient quote.</x:v>
      </x:c>
      <x:c r="X3" t="str">
        <x:v>Anonymized public summary; no full name, phone, address, ID, bank details, or donor identity included.</x:v>
      </x:c>
      <x:c r="Y3"/>
      <x:c r="Z3" t="str">
        <x:v>Anonymized Humanitarians case image 1 for HUM-002</x:v>
      </x:c>
      <x:c r="AA3" t="str">
        <x:v>Before/support context image - add only after consent.</x:v>
      </x:c>
      <x:c r="AB3"/>
      <x:c r="AC3" t="str">
        <x:v>Anonymized Humanitarians case image 2 for HUM-002</x:v>
      </x:c>
      <x:c r="AD3" t="str">
        <x:v>Support/equipment image - add only after consent.</x:v>
      </x:c>
      <x:c r="AE3"/>
      <x:c r="AF3" t="str">
        <x:v>Anonymized Humanitarians case image 3 for HUM-002</x:v>
      </x:c>
      <x:c r="AG3" t="str">
        <x:v>Outcome/follow-up image - add only after consent.</x:v>
      </x:c>
      <x:c r="AH3" t="str">
        <x:v>Pending consent</x:v>
      </x:c>
      <x:c r="AI3" t="str">
        <x:v>Paste public Google Drive image URLs only after recipient consent and privacy review.</x:v>
      </x:c>
      <x:c r="AJ3" t="str">
        <x:v>Seeded from latest uploaded workbook and public-safe v2 case-story data.</x:v>
      </x:c>
      <x:c r="AK3" t="str">
        <x:v>Add/edit cases here only. Formula tabs will update after upload/recalculation in Google Sheets.</x:v>
      </x:c>
    </x:row>
    <x:row r="4">
      <x:c r="A4" t="str">
        <x:v>HUM-003</x:v>
      </x:c>
      <x:c r="B4" t="str">
        <x:v>TRUE</x:v>
      </x:c>
      <x:c r="C4" t="str">
        <x:v>No</x:v>
      </x:c>
      <x:c r="D4" t="str">
        <x:v>Archive</x:v>
      </x:c>
      <x:c r="E4" t="str">
        <x:v>FALSE</x:v>
      </x:c>
      <x:c r="F4" t="str">
        <x:v>Sep 2024</x:v>
      </x:c>
      <x:c r="G4" t="n">
        <x:f>IF($A4="","",IF($F4="Dec 2025-Apr 2026",2026045,YEAR($H4)*100+MONTH($H4)))</x:f>
        <x:v>202409</x:v>
      </x:c>
      <x:c r="H4" t="n">
        <x:v>45536</x:v>
      </x:c>
      <x:c r="I4" t="str">
        <x:v>Ration + Transportation</x:v>
      </x:c>
      <x:c r="J4" t="str">
        <x:v>Anonymized case HUM-003</x:v>
      </x:c>
      <x:c r="K4" t="str">
        <x:v>Emergency Support</x:v>
      </x:c>
      <x:c r="L4" t="str">
        <x:v>Relief / emergency support</x:v>
      </x:c>
      <x:c r="M4" t="n">
        <x:v>0</x:v>
      </x:c>
      <x:c r="N4" t="n">
        <x:v>1223</x:v>
      </x:c>
      <x:c r="O4" t="n">
        <x:f>IF($A4="","",N($M4)+N($N4))</x:f>
        <x:v>1223</x:v>
      </x:c>
      <x:c r="P4" t="str">
        <x:f>IF($A4="","",IF(AND(N($M4)&gt;0,N($N4)&gt;0),"Mixed",IF(N($M4)&gt;0,"Zakat",IF(N($N4)&gt;0,"Sadaqah",""))))</x:f>
        <x:v>Sadaqah</x:v>
      </x:c>
      <x:c r="Q4" t="str">
        <x:v>Kanpur</x:v>
      </x:c>
      <x:c r="R4" t="str">
        <x:f>IF($A4="","",IFS($O4&lt;5000,"Under ₹5,000",$O4&lt;=10000,"₹5,000–₹10,000",$O4&lt;=15000,"₹10,000–₹15,000",$O4&lt;=25000,"₹15,000–₹25,000",$O4&lt;=50000,"₹25,000–₹50,000",TRUE,"₹50,000+"))</x:f>
        <x:v>Under ₹5,000</x:v>
      </x:c>
      <x:c r="S4" t="str">
        <x:v>A verified recipient/family needed support related to relief / emergency support.</x:v>
      </x:c>
      <x:c r="T4" t="str">
        <x:v>Humanitarians supported the case through Sadaqah funds for ration + transportation.</x:v>
      </x:c>
      <x:c r="U4" t="str">
        <x:v>Outcome/update should be added only after verified follow-up.</x:v>
      </x:c>
      <x:c r="V4" t="str">
        <x:v>Add follow-up notes after checking with the verification team.</x:v>
      </x:c>
      <x:c r="W4" t="str">
        <x:v>Add a real quote only with consent; do not publish this placeholder as a recipient quote.</x:v>
      </x:c>
      <x:c r="X4" t="str">
        <x:v>Anonymized public summary; no full name, phone, address, ID, bank details, or donor identity included.</x:v>
      </x:c>
      <x:c r="Y4"/>
      <x:c r="Z4" t="str">
        <x:v>Anonymized Humanitarians case image 1 for HUM-003</x:v>
      </x:c>
      <x:c r="AA4" t="str">
        <x:v>Before/support context image - add only after consent.</x:v>
      </x:c>
      <x:c r="AB4"/>
      <x:c r="AC4" t="str">
        <x:v>Anonymized Humanitarians case image 2 for HUM-003</x:v>
      </x:c>
      <x:c r="AD4" t="str">
        <x:v>Support/equipment image - add only after consent.</x:v>
      </x:c>
      <x:c r="AE4"/>
      <x:c r="AF4" t="str">
        <x:v>Anonymized Humanitarians case image 3 for HUM-003</x:v>
      </x:c>
      <x:c r="AG4" t="str">
        <x:v>Outcome/follow-up image - add only after consent.</x:v>
      </x:c>
      <x:c r="AH4" t="str">
        <x:v>Pending consent</x:v>
      </x:c>
      <x:c r="AI4" t="str">
        <x:v>Paste public Google Drive image URLs only after recipient consent and privacy review.</x:v>
      </x:c>
      <x:c r="AJ4" t="str">
        <x:v>Seeded from latest uploaded workbook and public-safe v2 case-story data.</x:v>
      </x:c>
      <x:c r="AK4" t="str">
        <x:v>Add/edit cases here only. Formula tabs will update after upload/recalculation in Google Sheets.</x:v>
      </x:c>
    </x:row>
    <x:row r="5">
      <x:c r="A5" t="str">
        <x:v>HUM-004</x:v>
      </x:c>
      <x:c r="B5" t="str">
        <x:v>TRUE</x:v>
      </x:c>
      <x:c r="C5" t="str">
        <x:v>No</x:v>
      </x:c>
      <x:c r="D5" t="str">
        <x:v>Draft</x:v>
      </x:c>
      <x:c r="E5" t="str">
        <x:v>TRUE</x:v>
      </x:c>
      <x:c r="F5" t="str">
        <x:v>Sep 2024</x:v>
      </x:c>
      <x:c r="G5" t="n">
        <x:f>IF($A5="","",IF($F5="Dec 2025-Apr 2026",2026045,YEAR($H5)*100+MONTH($H5)))</x:f>
        <x:v>202409</x:v>
      </x:c>
      <x:c r="H5" t="n">
        <x:v>45536</x:v>
      </x:c>
      <x:c r="I5" t="str">
        <x:v>Sewing Machines Assembly</x:v>
      </x:c>
      <x:c r="J5" t="str">
        <x:v>Anonymized case HUM-004</x:v>
      </x:c>
      <x:c r="K5" t="str">
        <x:v>Livelihood</x:v>
      </x:c>
      <x:c r="L5" t="str">
        <x:v>Sewing / tailoring</x:v>
      </x:c>
      <x:c r="M5" t="n">
        <x:v>0</x:v>
      </x:c>
      <x:c r="N5" t="n">
        <x:v>750</x:v>
      </x:c>
      <x:c r="O5" t="n">
        <x:f>IF($A5="","",N($M5)+N($N5))</x:f>
        <x:v>750</x:v>
      </x:c>
      <x:c r="P5" t="str">
        <x:f>IF($A5="","",IF(AND(N($M5)&gt;0,N($N5)&gt;0),"Mixed",IF(N($M5)&gt;0,"Zakat",IF(N($N5)&gt;0,"Sadaqah",""))))</x:f>
        <x:v>Sadaqah</x:v>
      </x:c>
      <x:c r="Q5" t="str">
        <x:v>Basti</x:v>
      </x:c>
      <x:c r="R5" t="str">
        <x:f>IF($A5="","",IFS($O5&lt;5000,"Under ₹5,000",$O5&lt;=10000,"₹5,000–₹10,000",$O5&lt;=15000,"₹10,000–₹15,000",$O5&lt;=25000,"₹15,000–₹25,000",$O5&lt;=50000,"₹25,000–₹50,000",TRUE,"₹50,000+"))</x:f>
        <x:v>Under ₹5,000</x:v>
      </x:c>
      <x:c r="S5" t="str">
        <x:v>A verified recipient/family needed support related to sewing / tailoring.</x:v>
      </x:c>
      <x:c r="T5" t="str">
        <x:v>Humanitarians supported the case through Sadaqah funds for sewing machines assembly.</x:v>
      </x:c>
      <x:c r="U5" t="str">
        <x:v>Outcome/update should be added only after verified follow-up.</x:v>
      </x:c>
      <x:c r="V5" t="str">
        <x:v>Add follow-up notes after checking with the verification team.</x:v>
      </x:c>
      <x:c r="W5" t="str">
        <x:v>Add a real quote only with consent; do not publish this placeholder as a recipient quote.</x:v>
      </x:c>
      <x:c r="X5" t="str">
        <x:v>Anonymized public summary; no full name, phone, address, ID, bank details, or donor identity included.</x:v>
      </x:c>
      <x:c r="Y5"/>
      <x:c r="Z5" t="str">
        <x:v>Anonymized Humanitarians case image 1 for HUM-004</x:v>
      </x:c>
      <x:c r="AA5" t="str">
        <x:v>Before/support context image - add only after consent.</x:v>
      </x:c>
      <x:c r="AB5"/>
      <x:c r="AC5" t="str">
        <x:v>Anonymized Humanitarians case image 2 for HUM-004</x:v>
      </x:c>
      <x:c r="AD5" t="str">
        <x:v>Support/equipment image - add only after consent.</x:v>
      </x:c>
      <x:c r="AE5"/>
      <x:c r="AF5" t="str">
        <x:v>Anonymized Humanitarians case image 3 for HUM-004</x:v>
      </x:c>
      <x:c r="AG5" t="str">
        <x:v>Outcome/follow-up image - add only after consent.</x:v>
      </x:c>
      <x:c r="AH5" t="str">
        <x:v>Pending consent</x:v>
      </x:c>
      <x:c r="AI5" t="str">
        <x:v>Paste public Google Drive image URLs only after recipient consent and privacy review.</x:v>
      </x:c>
      <x:c r="AJ5" t="str">
        <x:v>Seeded from latest uploaded workbook and public-safe v2 case-story data.</x:v>
      </x:c>
      <x:c r="AK5" t="str">
        <x:v>Add/edit cases here only. Formula tabs will update after upload/recalculation in Google Sheets.</x:v>
      </x:c>
    </x:row>
    <x:row r="6">
      <x:c r="A6" t="str">
        <x:v>HUM-005</x:v>
      </x:c>
      <x:c r="B6" t="str">
        <x:v>TRUE</x:v>
      </x:c>
      <x:c r="C6" t="str">
        <x:v>No</x:v>
      </x:c>
      <x:c r="D6" t="str">
        <x:v>Archive</x:v>
      </x:c>
      <x:c r="E6" t="str">
        <x:v>FALSE</x:v>
      </x:c>
      <x:c r="F6" t="str">
        <x:v>Oct 2024</x:v>
      </x:c>
      <x:c r="G6" t="n">
        <x:f>IF($A6="","",IF($F6="Dec 2025-Apr 2026",2026045,YEAR($H6)*100+MONTH($H6)))</x:f>
        <x:v>202410</x:v>
      </x:c>
      <x:c r="H6" t="n">
        <x:v>45566</x:v>
      </x:c>
      <x:c r="I6" t="str">
        <x:v>Marble Cutter and Grinder</x:v>
      </x:c>
      <x:c r="J6" t="str">
        <x:v>Anonymized case HUM-005</x:v>
      </x:c>
      <x:c r="K6" t="str">
        <x:v>Livelihood</x:v>
      </x:c>
      <x:c r="L6" t="str">
        <x:v>Tools / equipment</x:v>
      </x:c>
      <x:c r="M6" t="n">
        <x:v>0</x:v>
      </x:c>
      <x:c r="N6" t="n">
        <x:v>6200</x:v>
      </x:c>
      <x:c r="O6" t="n">
        <x:f>IF($A6="","",N($M6)+N($N6))</x:f>
        <x:v>6200</x:v>
      </x:c>
      <x:c r="P6" t="str">
        <x:f>IF($A6="","",IF(AND(N($M6)&gt;0,N($N6)&gt;0),"Mixed",IF(N($M6)&gt;0,"Zakat",IF(N($N6)&gt;0,"Sadaqah",""))))</x:f>
        <x:v>Sadaqah</x:v>
      </x:c>
      <x:c r="Q6" t="str">
        <x:v>Basti</x:v>
      </x:c>
      <x:c r="R6" t="str">
        <x:f>IF($A6="","",IFS($O6&lt;5000,"Under ₹5,000",$O6&lt;=10000,"₹5,000–₹10,000",$O6&lt;=15000,"₹10,000–₹15,000",$O6&lt;=25000,"₹15,000–₹25,000",$O6&lt;=50000,"₹25,000–₹50,000",TRUE,"₹50,000+"))</x:f>
        <x:v>₹5,000–₹10,000</x:v>
      </x:c>
      <x:c r="S6" t="str">
        <x:v>A verified recipient/family needed support related to tools / equipment.</x:v>
      </x:c>
      <x:c r="T6" t="str">
        <x:v>Humanitarians supported the case through Sadaqah funds for marble cutter and grinder.</x:v>
      </x:c>
      <x:c r="U6" t="str">
        <x:v>Outcome/update should be added only after verified follow-up.</x:v>
      </x:c>
      <x:c r="V6" t="str">
        <x:v>Add follow-up notes after checking with the verification team.</x:v>
      </x:c>
      <x:c r="W6" t="str">
        <x:v>Add a real quote only with consent; do not publish this placeholder as a recipient quote.</x:v>
      </x:c>
      <x:c r="X6" t="str">
        <x:v>Anonymized public summary; no full name, phone, address, ID, bank details, or donor identity included.</x:v>
      </x:c>
      <x:c r="Y6"/>
      <x:c r="Z6" t="str">
        <x:v>Anonymized Humanitarians case image 1 for HUM-005</x:v>
      </x:c>
      <x:c r="AA6" t="str">
        <x:v>Before/support context image - add only after consent.</x:v>
      </x:c>
      <x:c r="AB6"/>
      <x:c r="AC6" t="str">
        <x:v>Anonymized Humanitarians case image 2 for HUM-005</x:v>
      </x:c>
      <x:c r="AD6" t="str">
        <x:v>Support/equipment image - add only after consent.</x:v>
      </x:c>
      <x:c r="AE6"/>
      <x:c r="AF6" t="str">
        <x:v>Anonymized Humanitarians case image 3 for HUM-005</x:v>
      </x:c>
      <x:c r="AG6" t="str">
        <x:v>Outcome/follow-up image - add only after consent.</x:v>
      </x:c>
      <x:c r="AH6" t="str">
        <x:v>Pending consent</x:v>
      </x:c>
      <x:c r="AI6" t="str">
        <x:v>Paste public Google Drive image URLs only after recipient consent and privacy review.</x:v>
      </x:c>
      <x:c r="AJ6" t="str">
        <x:v>Seeded from latest uploaded workbook and public-safe v2 case-story data.</x:v>
      </x:c>
      <x:c r="AK6" t="str">
        <x:v>Add/edit cases here only. Formula tabs will update after upload/recalculation in Google Sheets.</x:v>
      </x:c>
    </x:row>
    <x:row r="7">
      <x:c r="A7" t="str">
        <x:v>HUM-006</x:v>
      </x:c>
      <x:c r="B7" t="str">
        <x:v>TRUE</x:v>
      </x:c>
      <x:c r="C7" t="str">
        <x:v>No</x:v>
      </x:c>
      <x:c r="D7" t="str">
        <x:v>Archive</x:v>
      </x:c>
      <x:c r="E7" t="str">
        <x:v>FALSE</x:v>
      </x:c>
      <x:c r="F7" t="str">
        <x:v>Oct 2024</x:v>
      </x:c>
      <x:c r="G7" t="n">
        <x:f>IF($A7="","",IF($F7="Dec 2025-Apr 2026",2026045,YEAR($H7)*100+MONTH($H7)))</x:f>
        <x:v>202410</x:v>
      </x:c>
      <x:c r="H7" t="n">
        <x:v>45566</x:v>
      </x:c>
      <x:c r="I7" t="str">
        <x:v>Ration</x:v>
      </x:c>
      <x:c r="J7" t="str">
        <x:v>Anonymized case HUM-006</x:v>
      </x:c>
      <x:c r="K7" t="str">
        <x:v>Emergency Support</x:v>
      </x:c>
      <x:c r="L7" t="str">
        <x:v>Relief / emergency support</x:v>
      </x:c>
      <x:c r="M7" t="n">
        <x:v>0</x:v>
      </x:c>
      <x:c r="N7" t="n">
        <x:v>3603</x:v>
      </x:c>
      <x:c r="O7" t="n">
        <x:f>IF($A7="","",N($M7)+N($N7))</x:f>
        <x:v>3603</x:v>
      </x:c>
      <x:c r="P7" t="str">
        <x:f>IF($A7="","",IF(AND(N($M7)&gt;0,N($N7)&gt;0),"Mixed",IF(N($M7)&gt;0,"Zakat",IF(N($N7)&gt;0,"Sadaqah",""))))</x:f>
        <x:v>Sadaqah</x:v>
      </x:c>
      <x:c r="Q7" t="str">
        <x:v>Bangermau</x:v>
      </x:c>
      <x:c r="R7" t="str">
        <x:f>IF($A7="","",IFS($O7&lt;5000,"Under ₹5,000",$O7&lt;=10000,"₹5,000–₹10,000",$O7&lt;=15000,"₹10,000–₹15,000",$O7&lt;=25000,"₹15,000–₹25,000",$O7&lt;=50000,"₹25,000–₹50,000",TRUE,"₹50,000+"))</x:f>
        <x:v>Under ₹5,000</x:v>
      </x:c>
      <x:c r="S7" t="str">
        <x:v>A verified recipient/family needed support related to relief / emergency support.</x:v>
      </x:c>
      <x:c r="T7" t="str">
        <x:v>Humanitarians supported the case through Sadaqah funds for ration.</x:v>
      </x:c>
      <x:c r="U7" t="str">
        <x:v>Outcome/update should be added only after verified follow-up.</x:v>
      </x:c>
      <x:c r="V7" t="str">
        <x:v>Add follow-up notes after checking with the verification team.</x:v>
      </x:c>
      <x:c r="W7" t="str">
        <x:v>Add a real quote only with consent; do not publish this placeholder as a recipient quote.</x:v>
      </x:c>
      <x:c r="X7" t="str">
        <x:v>Anonymized public summary; no full name, phone, address, ID, bank details, or donor identity included.</x:v>
      </x:c>
      <x:c r="Y7"/>
      <x:c r="Z7" t="str">
        <x:v>Anonymized Humanitarians case image 1 for HUM-006</x:v>
      </x:c>
      <x:c r="AA7" t="str">
        <x:v>Before/support context image - add only after consent.</x:v>
      </x:c>
      <x:c r="AB7"/>
      <x:c r="AC7" t="str">
        <x:v>Anonymized Humanitarians case image 2 for HUM-006</x:v>
      </x:c>
      <x:c r="AD7" t="str">
        <x:v>Support/equipment image - add only after consent.</x:v>
      </x:c>
      <x:c r="AE7"/>
      <x:c r="AF7" t="str">
        <x:v>Anonymized Humanitarians case image 3 for HUM-006</x:v>
      </x:c>
      <x:c r="AG7" t="str">
        <x:v>Outcome/follow-up image - add only after consent.</x:v>
      </x:c>
      <x:c r="AH7" t="str">
        <x:v>Pending consent</x:v>
      </x:c>
      <x:c r="AI7" t="str">
        <x:v>Paste public Google Drive image URLs only after recipient consent and privacy review.</x:v>
      </x:c>
      <x:c r="AJ7" t="str">
        <x:v>Seeded from latest uploaded workbook and public-safe v2 case-story data.</x:v>
      </x:c>
      <x:c r="AK7" t="str">
        <x:v>Add/edit cases here only. Formula tabs will update after upload/recalculation in Google Sheets.</x:v>
      </x:c>
    </x:row>
    <x:row r="8">
      <x:c r="A8" t="str">
        <x:v>HUM-007</x:v>
      </x:c>
      <x:c r="B8" t="str">
        <x:v>TRUE</x:v>
      </x:c>
      <x:c r="C8" t="str">
        <x:v>No</x:v>
      </x:c>
      <x:c r="D8" t="str">
        <x:v>Archive</x:v>
      </x:c>
      <x:c r="E8" t="str">
        <x:v>FALSE</x:v>
      </x:c>
      <x:c r="F8" t="str">
        <x:v>Nov 2024</x:v>
      </x:c>
      <x:c r="G8" t="n">
        <x:f>IF($A8="","",IF($F8="Dec 2025-Apr 2026",2026045,YEAR($H8)*100+MONTH($H8)))</x:f>
        <x:v>202411</x:v>
      </x:c>
      <x:c r="H8" t="n">
        <x:v>45597</x:v>
      </x:c>
      <x:c r="I8" t="str">
        <x:v>Support in Clothing Business</x:v>
      </x:c>
      <x:c r="J8" t="str">
        <x:v>Anonymized case HUM-007</x:v>
      </x:c>
      <x:c r="K8" t="str">
        <x:v>Livelihood</x:v>
      </x:c>
      <x:c r="L8" t="str">
        <x:v>Shop / business inventory</x:v>
      </x:c>
      <x:c r="M8" t="n">
        <x:v>0</x:v>
      </x:c>
      <x:c r="N8" t="n">
        <x:v>15000</x:v>
      </x:c>
      <x:c r="O8" t="n">
        <x:f>IF($A8="","",N($M8)+N($N8))</x:f>
        <x:v>15000</x:v>
      </x:c>
      <x:c r="P8" t="str">
        <x:f>IF($A8="","",IF(AND(N($M8)&gt;0,N($N8)&gt;0),"Mixed",IF(N($M8)&gt;0,"Zakat",IF(N($N8)&gt;0,"Sadaqah",""))))</x:f>
        <x:v>Sadaqah</x:v>
      </x:c>
      <x:c r="Q8" t="str">
        <x:v>Location withheld</x:v>
      </x:c>
      <x:c r="R8" t="str">
        <x:f>IF($A8="","",IFS($O8&lt;5000,"Under ₹5,000",$O8&lt;=10000,"₹5,000–₹10,000",$O8&lt;=15000,"₹10,000–₹15,000",$O8&lt;=25000,"₹15,000–₹25,000",$O8&lt;=50000,"₹25,000–₹50,000",TRUE,"₹50,000+"))</x:f>
        <x:v>₹10,000–₹15,000</x:v>
      </x:c>
      <x:c r="S8" t="str">
        <x:v>A verified recipient/family needed support related to shop / business inventory.</x:v>
      </x:c>
      <x:c r="T8" t="str">
        <x:v>Humanitarians supported the case through Sadaqah funds for support in clothing business.</x:v>
      </x:c>
      <x:c r="U8" t="str">
        <x:v>Outcome/update should be added only after verified follow-up.</x:v>
      </x:c>
      <x:c r="V8" t="str">
        <x:v>Add follow-up notes after checking with the verification team.</x:v>
      </x:c>
      <x:c r="W8" t="str">
        <x:v>Add a real quote only with consent; do not publish this placeholder as a recipient quote.</x:v>
      </x:c>
      <x:c r="X8" t="str">
        <x:v>Anonymized public summary; no full name, phone, address, ID, bank details, or donor identity included.</x:v>
      </x:c>
      <x:c r="Y8"/>
      <x:c r="Z8" t="str">
        <x:v>Anonymized Humanitarians case image 1 for HUM-007</x:v>
      </x:c>
      <x:c r="AA8" t="str">
        <x:v>Before/support context image - add only after consent.</x:v>
      </x:c>
      <x:c r="AB8"/>
      <x:c r="AC8" t="str">
        <x:v>Anonymized Humanitarians case image 2 for HUM-007</x:v>
      </x:c>
      <x:c r="AD8" t="str">
        <x:v>Support/equipment image - add only after consent.</x:v>
      </x:c>
      <x:c r="AE8"/>
      <x:c r="AF8" t="str">
        <x:v>Anonymized Humanitarians case image 3 for HUM-007</x:v>
      </x:c>
      <x:c r="AG8" t="str">
        <x:v>Outcome/follow-up image - add only after consent.</x:v>
      </x:c>
      <x:c r="AH8" t="str">
        <x:v>Pending consent</x:v>
      </x:c>
      <x:c r="AI8" t="str">
        <x:v>Paste public Google Drive image URLs only after recipient consent and privacy review.</x:v>
      </x:c>
      <x:c r="AJ8" t="str">
        <x:v>Seeded from latest uploaded workbook and public-safe v2 case-story data.</x:v>
      </x:c>
      <x:c r="AK8" t="str">
        <x:v>Add/edit cases here only. Formula tabs will update after upload/recalculation in Google Sheets.</x:v>
      </x:c>
    </x:row>
    <x:row r="9">
      <x:c r="A9" t="str">
        <x:v>HUM-008</x:v>
      </x:c>
      <x:c r="B9" t="str">
        <x:v>TRUE</x:v>
      </x:c>
      <x:c r="C9" t="str">
        <x:v>No</x:v>
      </x:c>
      <x:c r="D9" t="str">
        <x:v>Draft</x:v>
      </x:c>
      <x:c r="E9" t="str">
        <x:v>TRUE</x:v>
      </x:c>
      <x:c r="F9" t="str">
        <x:v>Dec 2024</x:v>
      </x:c>
      <x:c r="G9" t="n">
        <x:f>IF($A9="","",IF($F9="Dec 2025-Apr 2026",2026045,YEAR($H9)*100+MONTH($H9)))</x:f>
        <x:v>202412</x:v>
      </x:c>
      <x:c r="H9" t="n">
        <x:v>45627</x:v>
      </x:c>
      <x:c r="I9" t="str">
        <x:v>Extended Support for Kirana Shop</x:v>
      </x:c>
      <x:c r="J9" t="str">
        <x:v>Anonymized case HUM-008</x:v>
      </x:c>
      <x:c r="K9" t="str">
        <x:v>Livelihood</x:v>
      </x:c>
      <x:c r="L9" t="str">
        <x:v>Shop / business inventory</x:v>
      </x:c>
      <x:c r="M9" t="n">
        <x:v>0</x:v>
      </x:c>
      <x:c r="N9" t="n">
        <x:v>20000</x:v>
      </x:c>
      <x:c r="O9" t="n">
        <x:f>IF($A9="","",N($M9)+N($N9))</x:f>
        <x:v>20000</x:v>
      </x:c>
      <x:c r="P9" t="str">
        <x:f>IF($A9="","",IF(AND(N($M9)&gt;0,N($N9)&gt;0),"Mixed",IF(N($M9)&gt;0,"Zakat",IF(N($N9)&gt;0,"Sadaqah",""))))</x:f>
        <x:v>Sadaqah</x:v>
      </x:c>
      <x:c r="Q9" t="str">
        <x:v>Ghaziabad, UP</x:v>
      </x:c>
      <x:c r="R9" t="str">
        <x:f>IF($A9="","",IFS($O9&lt;5000,"Under ₹5,000",$O9&lt;=10000,"₹5,000–₹10,000",$O9&lt;=15000,"₹10,000–₹15,000",$O9&lt;=25000,"₹15,000–₹25,000",$O9&lt;=50000,"₹25,000–₹50,000",TRUE,"₹50,000+"))</x:f>
        <x:v>₹15,000–₹25,000</x:v>
      </x:c>
      <x:c r="S9" t="str">
        <x:v>A verified recipient/family needed support related to shop / business inventory.</x:v>
      </x:c>
      <x:c r="T9" t="str">
        <x:v>Humanitarians supported the case through Sadaqah funds for extended support for kirana shop.</x:v>
      </x:c>
      <x:c r="U9" t="str">
        <x:v>Outcome/update should be added only after verified follow-up.</x:v>
      </x:c>
      <x:c r="V9" t="str">
        <x:v>Add follow-up notes after checking with the verification team.</x:v>
      </x:c>
      <x:c r="W9" t="str">
        <x:v>Add a real quote only with consent; do not publish this placeholder as a recipient quote.</x:v>
      </x:c>
      <x:c r="X9" t="str">
        <x:v>Anonymized public summary; no full name, phone, address, ID, bank details, or donor identity included.</x:v>
      </x:c>
      <x:c r="Y9"/>
      <x:c r="Z9" t="str">
        <x:v>Anonymized Humanitarians case image 1 for HUM-008</x:v>
      </x:c>
      <x:c r="AA9" t="str">
        <x:v>Before/support context image - add only after consent.</x:v>
      </x:c>
      <x:c r="AB9"/>
      <x:c r="AC9" t="str">
        <x:v>Anonymized Humanitarians case image 2 for HUM-008</x:v>
      </x:c>
      <x:c r="AD9" t="str">
        <x:v>Support/equipment image - add only after consent.</x:v>
      </x:c>
      <x:c r="AE9"/>
      <x:c r="AF9" t="str">
        <x:v>Anonymized Humanitarians case image 3 for HUM-008</x:v>
      </x:c>
      <x:c r="AG9" t="str">
        <x:v>Outcome/follow-up image - add only after consent.</x:v>
      </x:c>
      <x:c r="AH9" t="str">
        <x:v>Pending consent</x:v>
      </x:c>
      <x:c r="AI9" t="str">
        <x:v>Paste public Google Drive image URLs only after recipient consent and privacy review.</x:v>
      </x:c>
      <x:c r="AJ9" t="str">
        <x:v>Seeded from latest uploaded workbook and public-safe v2 case-story data.</x:v>
      </x:c>
      <x:c r="AK9" t="str">
        <x:v>Add/edit cases here only. Formula tabs will update after upload/recalculation in Google Sheets.</x:v>
      </x:c>
    </x:row>
    <x:row r="10">
      <x:c r="A10" t="str">
        <x:v>HUM-009</x:v>
      </x:c>
      <x:c r="B10" t="str">
        <x:v>TRUE</x:v>
      </x:c>
      <x:c r="C10" t="str">
        <x:v>No</x:v>
      </x:c>
      <x:c r="D10" t="str">
        <x:v>Draft</x:v>
      </x:c>
      <x:c r="E10" t="str">
        <x:v>TRUE</x:v>
      </x:c>
      <x:c r="F10" t="str">
        <x:v>Dec 2024</x:v>
      </x:c>
      <x:c r="G10" t="n">
        <x:f>IF($A10="","",IF($F10="Dec 2025-Apr 2026",2026045,YEAR($H10)*100+MONTH($H10)))</x:f>
        <x:v>202412</x:v>
      </x:c>
      <x:c r="H10" t="n">
        <x:v>45627</x:v>
      </x:c>
      <x:c r="I10" t="str">
        <x:v>Initial Support in Kirana Shop</x:v>
      </x:c>
      <x:c r="J10" t="str">
        <x:v>Anonymized case HUM-009</x:v>
      </x:c>
      <x:c r="K10" t="str">
        <x:v>Livelihood</x:v>
      </x:c>
      <x:c r="L10" t="str">
        <x:v>Shop / business inventory</x:v>
      </x:c>
      <x:c r="M10" t="n">
        <x:v>0</x:v>
      </x:c>
      <x:c r="N10" t="n">
        <x:v>20000</x:v>
      </x:c>
      <x:c r="O10" t="n">
        <x:f>IF($A10="","",N($M10)+N($N10))</x:f>
        <x:v>20000</x:v>
      </x:c>
      <x:c r="P10" t="str">
        <x:f>IF($A10="","",IF(AND(N($M10)&gt;0,N($N10)&gt;0),"Mixed",IF(N($M10)&gt;0,"Zakat",IF(N($N10)&gt;0,"Sadaqah",""))))</x:f>
        <x:v>Sadaqah</x:v>
      </x:c>
      <x:c r="Q10" t="str">
        <x:v>Basti, UP</x:v>
      </x:c>
      <x:c r="R10" t="str">
        <x:f>IF($A10="","",IFS($O10&lt;5000,"Under ₹5,000",$O10&lt;=10000,"₹5,000–₹10,000",$O10&lt;=15000,"₹10,000–₹15,000",$O10&lt;=25000,"₹15,000–₹25,000",$O10&lt;=50000,"₹25,000–₹50,000",TRUE,"₹50,000+"))</x:f>
        <x:v>₹15,000–₹25,000</x:v>
      </x:c>
      <x:c r="S10" t="str">
        <x:v>A verified recipient/family needed support related to shop / business inventory.</x:v>
      </x:c>
      <x:c r="T10" t="str">
        <x:v>Humanitarians supported the case through Sadaqah funds for initial support in kirana shop.</x:v>
      </x:c>
      <x:c r="U10" t="str">
        <x:v>Outcome/update should be added only after verified follow-up.</x:v>
      </x:c>
      <x:c r="V10" t="str">
        <x:v>Add follow-up notes after checking with the verification team.</x:v>
      </x:c>
      <x:c r="W10" t="str">
        <x:v>Add a real quote only with consent; do not publish this placeholder as a recipient quote.</x:v>
      </x:c>
      <x:c r="X10" t="str">
        <x:v>Anonymized public summary; no full name, phone, address, ID, bank details, or donor identity included.</x:v>
      </x:c>
      <x:c r="Y10"/>
      <x:c r="Z10" t="str">
        <x:v>Anonymized Humanitarians case image 1 for HUM-009</x:v>
      </x:c>
      <x:c r="AA10" t="str">
        <x:v>Before/support context image - add only after consent.</x:v>
      </x:c>
      <x:c r="AB10"/>
      <x:c r="AC10" t="str">
        <x:v>Anonymized Humanitarians case image 2 for HUM-009</x:v>
      </x:c>
      <x:c r="AD10" t="str">
        <x:v>Support/equipment image - add only after consent.</x:v>
      </x:c>
      <x:c r="AE10"/>
      <x:c r="AF10" t="str">
        <x:v>Anonymized Humanitarians case image 3 for HUM-009</x:v>
      </x:c>
      <x:c r="AG10" t="str">
        <x:v>Outcome/follow-up image - add only after consent.</x:v>
      </x:c>
      <x:c r="AH10" t="str">
        <x:v>Pending consent</x:v>
      </x:c>
      <x:c r="AI10" t="str">
        <x:v>Paste public Google Drive image URLs only after recipient consent and privacy review.</x:v>
      </x:c>
      <x:c r="AJ10" t="str">
        <x:v>Seeded from latest uploaded workbook and public-safe v2 case-story data.</x:v>
      </x:c>
      <x:c r="AK10" t="str">
        <x:v>Add/edit cases here only. Formula tabs will update after upload/recalculation in Google Sheets.</x:v>
      </x:c>
    </x:row>
    <x:row r="11">
      <x:c r="A11" t="str">
        <x:v>HUM-010</x:v>
      </x:c>
      <x:c r="B11" t="str">
        <x:v>TRUE</x:v>
      </x:c>
      <x:c r="C11" t="str">
        <x:v>No</x:v>
      </x:c>
      <x:c r="D11" t="str">
        <x:v>Archive</x:v>
      </x:c>
      <x:c r="E11" t="str">
        <x:v>FALSE</x:v>
      </x:c>
      <x:c r="F11" t="str">
        <x:v>Dec 2024</x:v>
      </x:c>
      <x:c r="G11" t="n">
        <x:f>IF($A11="","",IF($F11="Dec 2025-Apr 2026",2026045,YEAR($H11)*100+MONTH($H11)))</x:f>
        <x:v>202412</x:v>
      </x:c>
      <x:c r="H11" t="n">
        <x:v>45627</x:v>
      </x:c>
      <x:c r="I11" t="str">
        <x:v>Repairs in Handcart + Ration</x:v>
      </x:c>
      <x:c r="J11" t="str">
        <x:v>Anonymized case HUM-010</x:v>
      </x:c>
      <x:c r="K11" t="str">
        <x:v>Emergency Support</x:v>
      </x:c>
      <x:c r="L11" t="str">
        <x:v>Relief / emergency support</x:v>
      </x:c>
      <x:c r="M11" t="n">
        <x:v>0</x:v>
      </x:c>
      <x:c r="N11" t="n">
        <x:v>3830</x:v>
      </x:c>
      <x:c r="O11" t="n">
        <x:f>IF($A11="","",N($M11)+N($N11))</x:f>
        <x:v>3830</x:v>
      </x:c>
      <x:c r="P11" t="str">
        <x:f>IF($A11="","",IF(AND(N($M11)&gt;0,N($N11)&gt;0),"Mixed",IF(N($M11)&gt;0,"Zakat",IF(N($N11)&gt;0,"Sadaqah",""))))</x:f>
        <x:v>Sadaqah</x:v>
      </x:c>
      <x:c r="Q11" t="str">
        <x:v>Bihar</x:v>
      </x:c>
      <x:c r="R11" t="str">
        <x:f>IF($A11="","",IFS($O11&lt;5000,"Under ₹5,000",$O11&lt;=10000,"₹5,000–₹10,000",$O11&lt;=15000,"₹10,000–₹15,000",$O11&lt;=25000,"₹15,000–₹25,000",$O11&lt;=50000,"₹25,000–₹50,000",TRUE,"₹50,000+"))</x:f>
        <x:v>Under ₹5,000</x:v>
      </x:c>
      <x:c r="S11" t="str">
        <x:v>A verified recipient/family needed support related to relief / emergency support.</x:v>
      </x:c>
      <x:c r="T11" t="str">
        <x:v>Humanitarians supported the case through Sadaqah funds for repairs in handcart + ration.</x:v>
      </x:c>
      <x:c r="U11" t="str">
        <x:v>Outcome/update should be added only after verified follow-up.</x:v>
      </x:c>
      <x:c r="V11" t="str">
        <x:v>Add follow-up notes after checking with the verification team.</x:v>
      </x:c>
      <x:c r="W11" t="str">
        <x:v>Add a real quote only with consent; do not publish this placeholder as a recipient quote.</x:v>
      </x:c>
      <x:c r="X11" t="str">
        <x:v>Anonymized public summary; no full name, phone, address, ID, bank details, or donor identity included.</x:v>
      </x:c>
      <x:c r="Y11"/>
      <x:c r="Z11" t="str">
        <x:v>Anonymized Humanitarians case image 1 for HUM-010</x:v>
      </x:c>
      <x:c r="AA11" t="str">
        <x:v>Before/support context image - add only after consent.</x:v>
      </x:c>
      <x:c r="AB11"/>
      <x:c r="AC11" t="str">
        <x:v>Anonymized Humanitarians case image 2 for HUM-010</x:v>
      </x:c>
      <x:c r="AD11" t="str">
        <x:v>Support/equipment image - add only after consent.</x:v>
      </x:c>
      <x:c r="AE11"/>
      <x:c r="AF11" t="str">
        <x:v>Anonymized Humanitarians case image 3 for HUM-010</x:v>
      </x:c>
      <x:c r="AG11" t="str">
        <x:v>Outcome/follow-up image - add only after consent.</x:v>
      </x:c>
      <x:c r="AH11" t="str">
        <x:v>Pending consent</x:v>
      </x:c>
      <x:c r="AI11" t="str">
        <x:v>Paste public Google Drive image URLs only after recipient consent and privacy review.</x:v>
      </x:c>
      <x:c r="AJ11" t="str">
        <x:v>Seeded from latest uploaded workbook and public-safe v2 case-story data.</x:v>
      </x:c>
      <x:c r="AK11" t="str">
        <x:v>Add/edit cases here only. Formula tabs will update after upload/recalculation in Google Sheets.</x:v>
      </x:c>
    </x:row>
    <x:row r="12">
      <x:c r="A12" t="str">
        <x:v>HUM-011</x:v>
      </x:c>
      <x:c r="B12" t="str">
        <x:v>TRUE</x:v>
      </x:c>
      <x:c r="C12" t="str">
        <x:v>No</x:v>
      </x:c>
      <x:c r="D12" t="str">
        <x:v>Draft</x:v>
      </x:c>
      <x:c r="E12" t="str">
        <x:v>TRUE</x:v>
      </x:c>
      <x:c r="F12" t="str">
        <x:v>Dec 2024</x:v>
      </x:c>
      <x:c r="G12" t="n">
        <x:f>IF($A12="","",IF($F12="Dec 2025-Apr 2026",2026045,YEAR($H12)*100+MONTH($H12)))</x:f>
        <x:v>202412</x:v>
      </x:c>
      <x:c r="H12" t="n">
        <x:v>45627</x:v>
      </x:c>
      <x:c r="I12" t="str">
        <x:v>Sewing Machine + Ration</x:v>
      </x:c>
      <x:c r="J12" t="str">
        <x:v>Anonymized case HUM-011</x:v>
      </x:c>
      <x:c r="K12" t="str">
        <x:v>Emergency Support</x:v>
      </x:c>
      <x:c r="L12" t="str">
        <x:v>Relief / emergency support</x:v>
      </x:c>
      <x:c r="M12" t="n">
        <x:v>0</x:v>
      </x:c>
      <x:c r="N12" t="n">
        <x:v>8000</x:v>
      </x:c>
      <x:c r="O12" t="n">
        <x:f>IF($A12="","",N($M12)+N($N12))</x:f>
        <x:v>8000</x:v>
      </x:c>
      <x:c r="P12" t="str">
        <x:f>IF($A12="","",IF(AND(N($M12)&gt;0,N($N12)&gt;0),"Mixed",IF(N($M12)&gt;0,"Zakat",IF(N($N12)&gt;0,"Sadaqah",""))))</x:f>
        <x:v>Sadaqah</x:v>
      </x:c>
      <x:c r="Q12" t="str">
        <x:v>Basti, UP</x:v>
      </x:c>
      <x:c r="R12" t="str">
        <x:f>IF($A12="","",IFS($O12&lt;5000,"Under ₹5,000",$O12&lt;=10000,"₹5,000–₹10,000",$O12&lt;=15000,"₹10,000–₹15,000",$O12&lt;=25000,"₹15,000–₹25,000",$O12&lt;=50000,"₹25,000–₹50,000",TRUE,"₹50,000+"))</x:f>
        <x:v>₹5,000–₹10,000</x:v>
      </x:c>
      <x:c r="S12" t="str">
        <x:v>A verified recipient/family needed support related to relief / emergency support.</x:v>
      </x:c>
      <x:c r="T12" t="str">
        <x:v>Humanitarians supported the case through Sadaqah funds for sewing machine + ration.</x:v>
      </x:c>
      <x:c r="U12" t="str">
        <x:v>Outcome/update should be added only after verified follow-up.</x:v>
      </x:c>
      <x:c r="V12" t="str">
        <x:v>Add follow-up notes after checking with the verification team.</x:v>
      </x:c>
      <x:c r="W12" t="str">
        <x:v>Add a real quote only with consent; do not publish this placeholder as a recipient quote.</x:v>
      </x:c>
      <x:c r="X12" t="str">
        <x:v>Anonymized public summary; no full name, phone, address, ID, bank details, or donor identity included.</x:v>
      </x:c>
      <x:c r="Y12"/>
      <x:c r="Z12" t="str">
        <x:v>Anonymized Humanitarians case image 1 for HUM-011</x:v>
      </x:c>
      <x:c r="AA12" t="str">
        <x:v>Before/support context image - add only after consent.</x:v>
      </x:c>
      <x:c r="AB12"/>
      <x:c r="AC12" t="str">
        <x:v>Anonymized Humanitarians case image 2 for HUM-011</x:v>
      </x:c>
      <x:c r="AD12" t="str">
        <x:v>Support/equipment image - add only after consent.</x:v>
      </x:c>
      <x:c r="AE12"/>
      <x:c r="AF12" t="str">
        <x:v>Anonymized Humanitarians case image 3 for HUM-011</x:v>
      </x:c>
      <x:c r="AG12" t="str">
        <x:v>Outcome/follow-up image - add only after consent.</x:v>
      </x:c>
      <x:c r="AH12" t="str">
        <x:v>Pending consent</x:v>
      </x:c>
      <x:c r="AI12" t="str">
        <x:v>Paste public Google Drive image URLs only after recipient consent and privacy review.</x:v>
      </x:c>
      <x:c r="AJ12" t="str">
        <x:v>Seeded from latest uploaded workbook and public-safe v2 case-story data.</x:v>
      </x:c>
      <x:c r="AK12" t="str">
        <x:v>Add/edit cases here only. Formula tabs will update after upload/recalculation in Google Sheets.</x:v>
      </x:c>
    </x:row>
    <x:row r="13">
      <x:c r="A13" t="str">
        <x:v>HUM-012</x:v>
      </x:c>
      <x:c r="B13" t="str">
        <x:v>TRUE</x:v>
      </x:c>
      <x:c r="C13" t="str">
        <x:v>No</x:v>
      </x:c>
      <x:c r="D13" t="str">
        <x:v>Archive</x:v>
      </x:c>
      <x:c r="E13" t="str">
        <x:v>FALSE</x:v>
      </x:c>
      <x:c r="F13" t="str">
        <x:v>Jan 2025</x:v>
      </x:c>
      <x:c r="G13" t="n">
        <x:f>IF($A13="","",IF($F13="Dec 2025-Apr 2026",2026045,YEAR($H13)*100+MONTH($H13)))</x:f>
        <x:v>202501</x:v>
      </x:c>
      <x:c r="H13" t="n">
        <x:v>45658</x:v>
      </x:c>
      <x:c r="I13" t="str">
        <x:v>Ingredients for fast food shop</x:v>
      </x:c>
      <x:c r="J13" t="str">
        <x:v>Anonymized case HUM-012</x:v>
      </x:c>
      <x:c r="K13" t="str">
        <x:v>Livelihood</x:v>
      </x:c>
      <x:c r="L13" t="str">
        <x:v>Shop / business inventory</x:v>
      </x:c>
      <x:c r="M13" t="n">
        <x:v>0</x:v>
      </x:c>
      <x:c r="N13" t="n">
        <x:v>10000</x:v>
      </x:c>
      <x:c r="O13" t="n">
        <x:f>IF($A13="","",N($M13)+N($N13))</x:f>
        <x:v>10000</x:v>
      </x:c>
      <x:c r="P13" t="str">
        <x:f>IF($A13="","",IF(AND(N($M13)&gt;0,N($N13)&gt;0),"Mixed",IF(N($M13)&gt;0,"Zakat",IF(N($N13)&gt;0,"Sadaqah",""))))</x:f>
        <x:v>Sadaqah</x:v>
      </x:c>
      <x:c r="Q13" t="str">
        <x:v>Location withheld</x:v>
      </x:c>
      <x:c r="R13" t="str">
        <x:f>IF($A13="","",IFS($O13&lt;5000,"Under ₹5,000",$O13&lt;=10000,"₹5,000–₹10,000",$O13&lt;=15000,"₹10,000–₹15,000",$O13&lt;=25000,"₹15,000–₹25,000",$O13&lt;=50000,"₹25,000–₹50,000",TRUE,"₹50,000+"))</x:f>
        <x:v>₹5,000–₹10,000</x:v>
      </x:c>
      <x:c r="S13" t="str">
        <x:v>A verified recipient/family needed support related to shop / business inventory.</x:v>
      </x:c>
      <x:c r="T13" t="str">
        <x:v>Humanitarians supported the case through Sadaqah funds for ingredients for fast food shop.</x:v>
      </x:c>
      <x:c r="U13" t="str">
        <x:v>Outcome/update should be added only after verified follow-up.</x:v>
      </x:c>
      <x:c r="V13" t="str">
        <x:v>Add follow-up notes after checking with the verification team.</x:v>
      </x:c>
      <x:c r="W13" t="str">
        <x:v>Add a real quote only with consent; do not publish this placeholder as a recipient quote.</x:v>
      </x:c>
      <x:c r="X13" t="str">
        <x:v>Anonymized public summary; no full name, phone, address, ID, bank details, or donor identity included.</x:v>
      </x:c>
      <x:c r="Y13"/>
      <x:c r="Z13" t="str">
        <x:v>Anonymized Humanitarians case image 1 for HUM-012</x:v>
      </x:c>
      <x:c r="AA13" t="str">
        <x:v>Before/support context image - add only after consent.</x:v>
      </x:c>
      <x:c r="AB13"/>
      <x:c r="AC13" t="str">
        <x:v>Anonymized Humanitarians case image 2 for HUM-012</x:v>
      </x:c>
      <x:c r="AD13" t="str">
        <x:v>Support/equipment image - add only after consent.</x:v>
      </x:c>
      <x:c r="AE13"/>
      <x:c r="AF13" t="str">
        <x:v>Anonymized Humanitarians case image 3 for HUM-012</x:v>
      </x:c>
      <x:c r="AG13" t="str">
        <x:v>Outcome/follow-up image - add only after consent.</x:v>
      </x:c>
      <x:c r="AH13" t="str">
        <x:v>Pending consent</x:v>
      </x:c>
      <x:c r="AI13" t="str">
        <x:v>Paste public Google Drive image URLs only after recipient consent and privacy review.</x:v>
      </x:c>
      <x:c r="AJ13" t="str">
        <x:v>Seeded from latest uploaded workbook and public-safe v2 case-story data.</x:v>
      </x:c>
      <x:c r="AK13" t="str">
        <x:v>Add/edit cases here only. Formula tabs will update after upload/recalculation in Google Sheets.</x:v>
      </x:c>
    </x:row>
    <x:row r="14">
      <x:c r="A14" t="str">
        <x:v>HUM-013</x:v>
      </x:c>
      <x:c r="B14" t="str">
        <x:v>TRUE</x:v>
      </x:c>
      <x:c r="C14" t="str">
        <x:v>No</x:v>
      </x:c>
      <x:c r="D14" t="str">
        <x:v>Archive</x:v>
      </x:c>
      <x:c r="E14" t="str">
        <x:v>FALSE</x:v>
      </x:c>
      <x:c r="F14" t="str">
        <x:v>Jan 2025</x:v>
      </x:c>
      <x:c r="G14" t="n">
        <x:f>IF($A14="","",IF($F14="Dec 2025-Apr 2026",2026045,YEAR($H14)*100+MONTH($H14)))</x:f>
        <x:v>202501</x:v>
      </x:c>
      <x:c r="H14" t="n">
        <x:v>45658</x:v>
      </x:c>
      <x:c r="I14" t="str">
        <x:v>New wooden Shop</x:v>
      </x:c>
      <x:c r="J14" t="str">
        <x:v>Anonymized case HUM-013</x:v>
      </x:c>
      <x:c r="K14" t="str">
        <x:v>Livelihood</x:v>
      </x:c>
      <x:c r="L14" t="str">
        <x:v>Shop / business inventory</x:v>
      </x:c>
      <x:c r="M14" t="n">
        <x:v>8000</x:v>
      </x:c>
      <x:c r="N14" t="n">
        <x:v>7000</x:v>
      </x:c>
      <x:c r="O14" t="n">
        <x:f>IF($A14="","",N($M14)+N($N14))</x:f>
        <x:v>15000</x:v>
      </x:c>
      <x:c r="P14" t="str">
        <x:f>IF($A14="","",IF(AND(N($M14)&gt;0,N($N14)&gt;0),"Mixed",IF(N($M14)&gt;0,"Zakat",IF(N($N14)&gt;0,"Sadaqah",""))))</x:f>
        <x:v>Mixed</x:v>
      </x:c>
      <x:c r="Q14" t="str">
        <x:v>Basti, UP</x:v>
      </x:c>
      <x:c r="R14" t="str">
        <x:f>IF($A14="","",IFS($O14&lt;5000,"Under ₹5,000",$O14&lt;=10000,"₹5,000–₹10,000",$O14&lt;=15000,"₹10,000–₹15,000",$O14&lt;=25000,"₹15,000–₹25,000",$O14&lt;=50000,"₹25,000–₹50,000",TRUE,"₹50,000+"))</x:f>
        <x:v>₹10,000–₹15,000</x:v>
      </x:c>
      <x:c r="S14" t="str">
        <x:v>A verified recipient/family needed support related to shop / business inventory.</x:v>
      </x:c>
      <x:c r="T14" t="str">
        <x:v>Humanitarians supported the case through Mixed funds for new wooden shop.</x:v>
      </x:c>
      <x:c r="U14" t="str">
        <x:v>Outcome/update should be added only after verified follow-up.</x:v>
      </x:c>
      <x:c r="V14" t="str">
        <x:v>Add follow-up notes after checking with the verification team.</x:v>
      </x:c>
      <x:c r="W14" t="str">
        <x:v>Add a real quote only with consent; do not publish this placeholder as a recipient quote.</x:v>
      </x:c>
      <x:c r="X14" t="str">
        <x:v>Anonymized public summary; no full name, phone, address, ID, bank details, or donor identity included.</x:v>
      </x:c>
      <x:c r="Y14"/>
      <x:c r="Z14" t="str">
        <x:v>Anonymized Humanitarians case image 1 for HUM-013</x:v>
      </x:c>
      <x:c r="AA14" t="str">
        <x:v>Before/support context image - add only after consent.</x:v>
      </x:c>
      <x:c r="AB14"/>
      <x:c r="AC14" t="str">
        <x:v>Anonymized Humanitarians case image 2 for HUM-013</x:v>
      </x:c>
      <x:c r="AD14" t="str">
        <x:v>Support/equipment image - add only after consent.</x:v>
      </x:c>
      <x:c r="AE14"/>
      <x:c r="AF14" t="str">
        <x:v>Anonymized Humanitarians case image 3 for HUM-013</x:v>
      </x:c>
      <x:c r="AG14" t="str">
        <x:v>Outcome/follow-up image - add only after consent.</x:v>
      </x:c>
      <x:c r="AH14" t="str">
        <x:v>Pending consent</x:v>
      </x:c>
      <x:c r="AI14" t="str">
        <x:v>Paste public Google Drive image URLs only after recipient consent and privacy review.</x:v>
      </x:c>
      <x:c r="AJ14" t="str">
        <x:v>Seeded from latest uploaded workbook and public-safe v2 case-story data.</x:v>
      </x:c>
      <x:c r="AK14" t="str">
        <x:v>Add/edit cases here only. Formula tabs will update after upload/recalculation in Google Sheets.</x:v>
      </x:c>
    </x:row>
    <x:row r="15">
      <x:c r="A15" t="str">
        <x:v>HUM-014</x:v>
      </x:c>
      <x:c r="B15" t="str">
        <x:v>TRUE</x:v>
      </x:c>
      <x:c r="C15" t="str">
        <x:v>No</x:v>
      </x:c>
      <x:c r="D15" t="str">
        <x:v>Draft</x:v>
      </x:c>
      <x:c r="E15" t="str">
        <x:v>TRUE</x:v>
      </x:c>
      <x:c r="F15" t="str">
        <x:v>Jan 2025</x:v>
      </x:c>
      <x:c r="G15" t="n">
        <x:f>IF($A15="","",IF($F15="Dec 2025-Apr 2026",2026045,YEAR($H15)*100+MONTH($H15)))</x:f>
        <x:v>202501</x:v>
      </x:c>
      <x:c r="H15" t="n">
        <x:v>45658</x:v>
      </x:c>
      <x:c r="I15" t="str">
        <x:v>Sewing Machine</x:v>
      </x:c>
      <x:c r="J15" t="str">
        <x:v>Anonymized case HUM-014</x:v>
      </x:c>
      <x:c r="K15" t="str">
        <x:v>Livelihood</x:v>
      </x:c>
      <x:c r="L15" t="str">
        <x:v>Sewing / tailoring</x:v>
      </x:c>
      <x:c r="M15" t="n">
        <x:v>0</x:v>
      </x:c>
      <x:c r="N15" t="n">
        <x:v>10000</x:v>
      </x:c>
      <x:c r="O15" t="n">
        <x:f>IF($A15="","",N($M15)+N($N15))</x:f>
        <x:v>10000</x:v>
      </x:c>
      <x:c r="P15" t="str">
        <x:f>IF($A15="","",IF(AND(N($M15)&gt;0,N($N15)&gt;0),"Mixed",IF(N($M15)&gt;0,"Zakat",IF(N($N15)&gt;0,"Sadaqah",""))))</x:f>
        <x:v>Sadaqah</x:v>
      </x:c>
      <x:c r="Q15" t="str">
        <x:v>Bihar</x:v>
      </x:c>
      <x:c r="R15" t="str">
        <x:f>IF($A15="","",IFS($O15&lt;5000,"Under ₹5,000",$O15&lt;=10000,"₹5,000–₹10,000",$O15&lt;=15000,"₹10,000–₹15,000",$O15&lt;=25000,"₹15,000–₹25,000",$O15&lt;=50000,"₹25,000–₹50,000",TRUE,"₹50,000+"))</x:f>
        <x:v>₹5,000–₹10,000</x:v>
      </x:c>
      <x:c r="S15" t="str">
        <x:v>A verified recipient/family needed support related to sewing / tailoring.</x:v>
      </x:c>
      <x:c r="T15" t="str">
        <x:v>Humanitarians supported the case through Sadaqah funds for sewing machine.</x:v>
      </x:c>
      <x:c r="U15" t="str">
        <x:v>Outcome/update should be added only after verified follow-up.</x:v>
      </x:c>
      <x:c r="V15" t="str">
        <x:v>Add follow-up notes after checking with the verification team.</x:v>
      </x:c>
      <x:c r="W15" t="str">
        <x:v>Add a real quote only with consent; do not publish this placeholder as a recipient quote.</x:v>
      </x:c>
      <x:c r="X15" t="str">
        <x:v>Anonymized public summary; no full name, phone, address, ID, bank details, or donor identity included.</x:v>
      </x:c>
      <x:c r="Y15"/>
      <x:c r="Z15" t="str">
        <x:v>Anonymized Humanitarians case image 1 for HUM-014</x:v>
      </x:c>
      <x:c r="AA15" t="str">
        <x:v>Before/support context image - add only after consent.</x:v>
      </x:c>
      <x:c r="AB15"/>
      <x:c r="AC15" t="str">
        <x:v>Anonymized Humanitarians case image 2 for HUM-014</x:v>
      </x:c>
      <x:c r="AD15" t="str">
        <x:v>Support/equipment image - add only after consent.</x:v>
      </x:c>
      <x:c r="AE15"/>
      <x:c r="AF15" t="str">
        <x:v>Anonymized Humanitarians case image 3 for HUM-014</x:v>
      </x:c>
      <x:c r="AG15" t="str">
        <x:v>Outcome/follow-up image - add only after consent.</x:v>
      </x:c>
      <x:c r="AH15" t="str">
        <x:v>Pending consent</x:v>
      </x:c>
      <x:c r="AI15" t="str">
        <x:v>Paste public Google Drive image URLs only after recipient consent and privacy review.</x:v>
      </x:c>
      <x:c r="AJ15" t="str">
        <x:v>Seeded from latest uploaded workbook and public-safe v2 case-story data.</x:v>
      </x:c>
      <x:c r="AK15" t="str">
        <x:v>Add/edit cases here only. Formula tabs will update after upload/recalculation in Google Sheets.</x:v>
      </x:c>
    </x:row>
    <x:row r="16">
      <x:c r="A16" t="str">
        <x:v>HUM-015</x:v>
      </x:c>
      <x:c r="B16" t="str">
        <x:v>TRUE</x:v>
      </x:c>
      <x:c r="C16" t="str">
        <x:v>No</x:v>
      </x:c>
      <x:c r="D16" t="str">
        <x:v>Archive</x:v>
      </x:c>
      <x:c r="E16" t="str">
        <x:v>FALSE</x:v>
      </x:c>
      <x:c r="F16" t="str">
        <x:v>Feb 2025</x:v>
      </x:c>
      <x:c r="G16" t="n">
        <x:f>IF($A16="","",IF($F16="Dec 2025-Apr 2026",2026045,YEAR($H16)*100+MONTH($H16)))</x:f>
        <x:v>202502</x:v>
      </x:c>
      <x:c r="H16" t="n">
        <x:v>45689</x:v>
      </x:c>
      <x:c r="I16" t="str">
        <x:v>Support for Chicken shop</x:v>
      </x:c>
      <x:c r="J16" t="str">
        <x:v>Anonymized case HUM-015</x:v>
      </x:c>
      <x:c r="K16" t="str">
        <x:v>Livelihood</x:v>
      </x:c>
      <x:c r="L16" t="str">
        <x:v>Shop / business inventory</x:v>
      </x:c>
      <x:c r="M16" t="n">
        <x:v>0</x:v>
      </x:c>
      <x:c r="N16" t="n">
        <x:v>12000</x:v>
      </x:c>
      <x:c r="O16" t="n">
        <x:f>IF($A16="","",N($M16)+N($N16))</x:f>
        <x:v>12000</x:v>
      </x:c>
      <x:c r="P16" t="str">
        <x:f>IF($A16="","",IF(AND(N($M16)&gt;0,N($N16)&gt;0),"Mixed",IF(N($M16)&gt;0,"Zakat",IF(N($N16)&gt;0,"Sadaqah",""))))</x:f>
        <x:v>Sadaqah</x:v>
      </x:c>
      <x:c r="Q16" t="str">
        <x:v>Location withheld</x:v>
      </x:c>
      <x:c r="R16" t="str">
        <x:f>IF($A16="","",IFS($O16&lt;5000,"Under ₹5,000",$O16&lt;=10000,"₹5,000–₹10,000",$O16&lt;=15000,"₹10,000–₹15,000",$O16&lt;=25000,"₹15,000–₹25,000",$O16&lt;=50000,"₹25,000–₹50,000",TRUE,"₹50,000+"))</x:f>
        <x:v>₹10,000–₹15,000</x:v>
      </x:c>
      <x:c r="S16" t="str">
        <x:v>A verified recipient/family needed support related to shop / business inventory.</x:v>
      </x:c>
      <x:c r="T16" t="str">
        <x:v>Humanitarians supported the case through Sadaqah funds for support for chicken shop.</x:v>
      </x:c>
      <x:c r="U16" t="str">
        <x:v>Outcome/update should be added only after verified follow-up.</x:v>
      </x:c>
      <x:c r="V16" t="str">
        <x:v>Add follow-up notes after checking with the verification team.</x:v>
      </x:c>
      <x:c r="W16" t="str">
        <x:v>Add a real quote only with consent; do not publish this placeholder as a recipient quote.</x:v>
      </x:c>
      <x:c r="X16" t="str">
        <x:v>Anonymized public summary; no full name, phone, address, ID, bank details, or donor identity included.</x:v>
      </x:c>
      <x:c r="Y16"/>
      <x:c r="Z16" t="str">
        <x:v>Anonymized Humanitarians case image 1 for HUM-015</x:v>
      </x:c>
      <x:c r="AA16" t="str">
        <x:v>Before/support context image - add only after consent.</x:v>
      </x:c>
      <x:c r="AB16"/>
      <x:c r="AC16" t="str">
        <x:v>Anonymized Humanitarians case image 2 for HUM-015</x:v>
      </x:c>
      <x:c r="AD16" t="str">
        <x:v>Support/equipment image - add only after consent.</x:v>
      </x:c>
      <x:c r="AE16"/>
      <x:c r="AF16" t="str">
        <x:v>Anonymized Humanitarians case image 3 for HUM-015</x:v>
      </x:c>
      <x:c r="AG16" t="str">
        <x:v>Outcome/follow-up image - add only after consent.</x:v>
      </x:c>
      <x:c r="AH16" t="str">
        <x:v>Pending consent</x:v>
      </x:c>
      <x:c r="AI16" t="str">
        <x:v>Paste public Google Drive image URLs only after recipient consent and privacy review.</x:v>
      </x:c>
      <x:c r="AJ16" t="str">
        <x:v>Seeded from latest uploaded workbook and public-safe v2 case-story data.</x:v>
      </x:c>
      <x:c r="AK16" t="str">
        <x:v>Add/edit cases here only. Formula tabs will update after upload/recalculation in Google Sheets.</x:v>
      </x:c>
    </x:row>
    <x:row r="17">
      <x:c r="A17" t="str">
        <x:v>HUM-016</x:v>
      </x:c>
      <x:c r="B17" t="str">
        <x:v>TRUE</x:v>
      </x:c>
      <x:c r="C17" t="str">
        <x:v>No</x:v>
      </x:c>
      <x:c r="D17" t="str">
        <x:v>Archive</x:v>
      </x:c>
      <x:c r="E17" t="str">
        <x:v>FALSE</x:v>
      </x:c>
      <x:c r="F17" t="str">
        <x:v>Feb 2025</x:v>
      </x:c>
      <x:c r="G17" t="n">
        <x:f>IF($A17="","",IF($F17="Dec 2025-Apr 2026",2026045,YEAR($H17)*100+MONTH($H17)))</x:f>
        <x:v>202502</x:v>
      </x:c>
      <x:c r="H17" t="n">
        <x:v>45689</x:v>
      </x:c>
      <x:c r="I17" t="str">
        <x:v>Support for peddling toys</x:v>
      </x:c>
      <x:c r="J17" t="str">
        <x:v>Anonymized case HUM-016</x:v>
      </x:c>
      <x:c r="K17" t="str">
        <x:v>Livelihood</x:v>
      </x:c>
      <x:c r="L17" t="str">
        <x:v>Shop / business inventory</x:v>
      </x:c>
      <x:c r="M17" t="n">
        <x:v>8000</x:v>
      </x:c>
      <x:c r="N17" t="n">
        <x:v>0</x:v>
      </x:c>
      <x:c r="O17" t="n">
        <x:f>IF($A17="","",N($M17)+N($N17))</x:f>
        <x:v>8000</x:v>
      </x:c>
      <x:c r="P17" t="str">
        <x:f>IF($A17="","",IF(AND(N($M17)&gt;0,N($N17)&gt;0),"Mixed",IF(N($M17)&gt;0,"Zakat",IF(N($N17)&gt;0,"Sadaqah",""))))</x:f>
        <x:v>Zakat</x:v>
      </x:c>
      <x:c r="Q17" t="str">
        <x:v>Location withheld</x:v>
      </x:c>
      <x:c r="R17" t="str">
        <x:f>IF($A17="","",IFS($O17&lt;5000,"Under ₹5,000",$O17&lt;=10000,"₹5,000–₹10,000",$O17&lt;=15000,"₹10,000–₹15,000",$O17&lt;=25000,"₹15,000–₹25,000",$O17&lt;=50000,"₹25,000–₹50,000",TRUE,"₹50,000+"))</x:f>
        <x:v>₹5,000–₹10,000</x:v>
      </x:c>
      <x:c r="S17" t="str">
        <x:v>A verified recipient/family needed support related to shop / business inventory.</x:v>
      </x:c>
      <x:c r="T17" t="str">
        <x:v>Humanitarians supported the case through Zakat funds for support for peddling toys.</x:v>
      </x:c>
      <x:c r="U17" t="str">
        <x:v>Outcome/update should be added only after verified follow-up.</x:v>
      </x:c>
      <x:c r="V17" t="str">
        <x:v>Add follow-up notes after checking with the verification team.</x:v>
      </x:c>
      <x:c r="W17" t="str">
        <x:v>Add a real quote only with consent; do not publish this placeholder as a recipient quote.</x:v>
      </x:c>
      <x:c r="X17" t="str">
        <x:v>Anonymized public summary; no full name, phone, address, ID, bank details, or donor identity included.</x:v>
      </x:c>
      <x:c r="Y17"/>
      <x:c r="Z17" t="str">
        <x:v>Anonymized Humanitarians case image 1 for HUM-016</x:v>
      </x:c>
      <x:c r="AA17" t="str">
        <x:v>Before/support context image - add only after consent.</x:v>
      </x:c>
      <x:c r="AB17"/>
      <x:c r="AC17" t="str">
        <x:v>Anonymized Humanitarians case image 2 for HUM-016</x:v>
      </x:c>
      <x:c r="AD17" t="str">
        <x:v>Support/equipment image - add only after consent.</x:v>
      </x:c>
      <x:c r="AE17"/>
      <x:c r="AF17" t="str">
        <x:v>Anonymized Humanitarians case image 3 for HUM-016</x:v>
      </x:c>
      <x:c r="AG17" t="str">
        <x:v>Outcome/follow-up image - add only after consent.</x:v>
      </x:c>
      <x:c r="AH17" t="str">
        <x:v>Pending consent</x:v>
      </x:c>
      <x:c r="AI17" t="str">
        <x:v>Paste public Google Drive image URLs only after recipient consent and privacy review.</x:v>
      </x:c>
      <x:c r="AJ17" t="str">
        <x:v>Seeded from latest uploaded workbook and public-safe v2 case-story data.</x:v>
      </x:c>
      <x:c r="AK17" t="str">
        <x:v>Add/edit cases here only. Formula tabs will update after upload/recalculation in Google Sheets.</x:v>
      </x:c>
    </x:row>
    <x:row r="18">
      <x:c r="A18" t="str">
        <x:v>HUM-017</x:v>
      </x:c>
      <x:c r="B18" t="str">
        <x:v>TRUE</x:v>
      </x:c>
      <x:c r="C18" t="str">
        <x:v>No</x:v>
      </x:c>
      <x:c r="D18" t="str">
        <x:v>Archive</x:v>
      </x:c>
      <x:c r="E18" t="str">
        <x:v>FALSE</x:v>
      </x:c>
      <x:c r="F18" t="str">
        <x:v>Feb 2025</x:v>
      </x:c>
      <x:c r="G18" t="n">
        <x:f>IF($A18="","",IF($F18="Dec 2025-Apr 2026",2026045,YEAR($H18)*100+MONTH($H18)))</x:f>
        <x:v>202502</x:v>
      </x:c>
      <x:c r="H18" t="n">
        <x:v>45689</x:v>
      </x:c>
      <x:c r="I18" t="str">
        <x:v>Support for sustainability of Small business</x:v>
      </x:c>
      <x:c r="J18" t="str">
        <x:v>Anonymized case HUM-017</x:v>
      </x:c>
      <x:c r="K18" t="str">
        <x:v>Livelihood</x:v>
      </x:c>
      <x:c r="L18" t="str">
        <x:v>Shop / business inventory</x:v>
      </x:c>
      <x:c r="M18" t="n">
        <x:v>20000</x:v>
      </x:c>
      <x:c r="N18" t="n">
        <x:v>0</x:v>
      </x:c>
      <x:c r="O18" t="n">
        <x:f>IF($A18="","",N($M18)+N($N18))</x:f>
        <x:v>20000</x:v>
      </x:c>
      <x:c r="P18" t="str">
        <x:f>IF($A18="","",IF(AND(N($M18)&gt;0,N($N18)&gt;0),"Mixed",IF(N($M18)&gt;0,"Zakat",IF(N($N18)&gt;0,"Sadaqah",""))))</x:f>
        <x:v>Zakat</x:v>
      </x:c>
      <x:c r="Q18" t="str">
        <x:v>Location withheld</x:v>
      </x:c>
      <x:c r="R18" t="str">
        <x:f>IF($A18="","",IFS($O18&lt;5000,"Under ₹5,000",$O18&lt;=10000,"₹5,000–₹10,000",$O18&lt;=15000,"₹10,000–₹15,000",$O18&lt;=25000,"₹15,000–₹25,000",$O18&lt;=50000,"₹25,000–₹50,000",TRUE,"₹50,000+"))</x:f>
        <x:v>₹15,000–₹25,000</x:v>
      </x:c>
      <x:c r="S18" t="str">
        <x:v>A verified recipient/family needed support related to shop / business inventory.</x:v>
      </x:c>
      <x:c r="T18" t="str">
        <x:v>Humanitarians supported the case through Zakat funds for support for sustainability of small business.</x:v>
      </x:c>
      <x:c r="U18" t="str">
        <x:v>Outcome/update should be added only after verified follow-up.</x:v>
      </x:c>
      <x:c r="V18" t="str">
        <x:v>Add follow-up notes after checking with the verification team.</x:v>
      </x:c>
      <x:c r="W18" t="str">
        <x:v>Add a real quote only with consent; do not publish this placeholder as a recipient quote.</x:v>
      </x:c>
      <x:c r="X18" t="str">
        <x:v>Anonymized public summary; no full name, phone, address, ID, bank details, or donor identity included.</x:v>
      </x:c>
      <x:c r="Y18"/>
      <x:c r="Z18" t="str">
        <x:v>Anonymized Humanitarians case image 1 for HUM-017</x:v>
      </x:c>
      <x:c r="AA18" t="str">
        <x:v>Before/support context image - add only after consent.</x:v>
      </x:c>
      <x:c r="AB18"/>
      <x:c r="AC18" t="str">
        <x:v>Anonymized Humanitarians case image 2 for HUM-017</x:v>
      </x:c>
      <x:c r="AD18" t="str">
        <x:v>Support/equipment image - add only after consent.</x:v>
      </x:c>
      <x:c r="AE18"/>
      <x:c r="AF18" t="str">
        <x:v>Anonymized Humanitarians case image 3 for HUM-017</x:v>
      </x:c>
      <x:c r="AG18" t="str">
        <x:v>Outcome/follow-up image - add only after consent.</x:v>
      </x:c>
      <x:c r="AH18" t="str">
        <x:v>Pending consent</x:v>
      </x:c>
      <x:c r="AI18" t="str">
        <x:v>Paste public Google Drive image URLs only after recipient consent and privacy review.</x:v>
      </x:c>
      <x:c r="AJ18" t="str">
        <x:v>Seeded from latest uploaded workbook and public-safe v2 case-story data.</x:v>
      </x:c>
      <x:c r="AK18" t="str">
        <x:v>Add/edit cases here only. Formula tabs will update after upload/recalculation in Google Sheets.</x:v>
      </x:c>
    </x:row>
    <x:row r="19">
      <x:c r="A19" t="str">
        <x:v>HUM-018</x:v>
      </x:c>
      <x:c r="B19" t="str">
        <x:v>TRUE</x:v>
      </x:c>
      <x:c r="C19" t="str">
        <x:v>No</x:v>
      </x:c>
      <x:c r="D19" t="str">
        <x:v>Archive</x:v>
      </x:c>
      <x:c r="E19" t="str">
        <x:v>FALSE</x:v>
      </x:c>
      <x:c r="F19" t="str">
        <x:v>Mar 2025</x:v>
      </x:c>
      <x:c r="G19" t="n">
        <x:f>IF($A19="","",IF($F19="Dec 2025-Apr 2026",2026045,YEAR($H19)*100+MONTH($H19)))</x:f>
        <x:v>202503</x:v>
      </x:c>
      <x:c r="H19" t="n">
        <x:v>45717</x:v>
      </x:c>
      <x:c r="I19" t="str">
        <x:v>Assistance in procurement of better quality cloths</x:v>
      </x:c>
      <x:c r="J19" t="str">
        <x:v>Anonymized case HUM-018</x:v>
      </x:c>
      <x:c r="K19" t="str">
        <x:v>Livelihood</x:v>
      </x:c>
      <x:c r="L19" t="str">
        <x:v>Shop / business inventory</x:v>
      </x:c>
      <x:c r="M19" t="n">
        <x:v>15000</x:v>
      </x:c>
      <x:c r="N19" t="n">
        <x:v>0</x:v>
      </x:c>
      <x:c r="O19" t="n">
        <x:f>IF($A19="","",N($M19)+N($N19))</x:f>
        <x:v>15000</x:v>
      </x:c>
      <x:c r="P19" t="str">
        <x:f>IF($A19="","",IF(AND(N($M19)&gt;0,N($N19)&gt;0),"Mixed",IF(N($M19)&gt;0,"Zakat",IF(N($N19)&gt;0,"Sadaqah",""))))</x:f>
        <x:v>Zakat</x:v>
      </x:c>
      <x:c r="Q19" t="str">
        <x:v>Basti, UP</x:v>
      </x:c>
      <x:c r="R19" t="str">
        <x:f>IF($A19="","",IFS($O19&lt;5000,"Under ₹5,000",$O19&lt;=10000,"₹5,000–₹10,000",$O19&lt;=15000,"₹10,000–₹15,000",$O19&lt;=25000,"₹15,000–₹25,000",$O19&lt;=50000,"₹25,000–₹50,000",TRUE,"₹50,000+"))</x:f>
        <x:v>₹10,000–₹15,000</x:v>
      </x:c>
      <x:c r="S19" t="str">
        <x:v>A verified recipient/family needed support related to shop / business inventory.</x:v>
      </x:c>
      <x:c r="T19" t="str">
        <x:v>Humanitarians supported the case through Zakat funds for assistance in procurement of better quality cloths.</x:v>
      </x:c>
      <x:c r="U19" t="str">
        <x:v>Outcome/update should be added only after verified follow-up.</x:v>
      </x:c>
      <x:c r="V19" t="str">
        <x:v>Add follow-up notes after checking with the verification team.</x:v>
      </x:c>
      <x:c r="W19" t="str">
        <x:v>Add a real quote only with consent; do not publish this placeholder as a recipient quote.</x:v>
      </x:c>
      <x:c r="X19" t="str">
        <x:v>Anonymized public summary; no full name, phone, address, ID, bank details, or donor identity included.</x:v>
      </x:c>
      <x:c r="Y19"/>
      <x:c r="Z19" t="str">
        <x:v>Anonymized Humanitarians case image 1 for HUM-018</x:v>
      </x:c>
      <x:c r="AA19" t="str">
        <x:v>Before/support context image - add only after consent.</x:v>
      </x:c>
      <x:c r="AB19"/>
      <x:c r="AC19" t="str">
        <x:v>Anonymized Humanitarians case image 2 for HUM-018</x:v>
      </x:c>
      <x:c r="AD19" t="str">
        <x:v>Support/equipment image - add only after consent.</x:v>
      </x:c>
      <x:c r="AE19"/>
      <x:c r="AF19" t="str">
        <x:v>Anonymized Humanitarians case image 3 for HUM-018</x:v>
      </x:c>
      <x:c r="AG19" t="str">
        <x:v>Outcome/follow-up image - add only after consent.</x:v>
      </x:c>
      <x:c r="AH19" t="str">
        <x:v>Pending consent</x:v>
      </x:c>
      <x:c r="AI19" t="str">
        <x:v>Paste public Google Drive image URLs only after recipient consent and privacy review.</x:v>
      </x:c>
      <x:c r="AJ19" t="str">
        <x:v>Seeded from latest uploaded workbook and public-safe v2 case-story data.</x:v>
      </x:c>
      <x:c r="AK19" t="str">
        <x:v>Add/edit cases here only. Formula tabs will update after upload/recalculation in Google Sheets.</x:v>
      </x:c>
    </x:row>
    <x:row r="20">
      <x:c r="A20" t="str">
        <x:v>HUM-019</x:v>
      </x:c>
      <x:c r="B20" t="str">
        <x:v>TRUE</x:v>
      </x:c>
      <x:c r="C20" t="str">
        <x:v>No</x:v>
      </x:c>
      <x:c r="D20" t="str">
        <x:v>Archive</x:v>
      </x:c>
      <x:c r="E20" t="str">
        <x:v>FALSE</x:v>
      </x:c>
      <x:c r="F20" t="str">
        <x:v>Mar 2025</x:v>
      </x:c>
      <x:c r="G20" t="n">
        <x:f>IF($A20="","",IF($F20="Dec 2025-Apr 2026",2026045,YEAR($H20)*100+MONTH($H20)))</x:f>
        <x:v>202503</x:v>
      </x:c>
      <x:c r="H20" t="n">
        <x:v>45717</x:v>
      </x:c>
      <x:c r="I20" t="str">
        <x:v>Initial Support for Cosmetics Shop</x:v>
      </x:c>
      <x:c r="J20" t="str">
        <x:v>Anonymized case HUM-019</x:v>
      </x:c>
      <x:c r="K20" t="str">
        <x:v>Livelihood</x:v>
      </x:c>
      <x:c r="L20" t="str">
        <x:v>Shop / business inventory</x:v>
      </x:c>
      <x:c r="M20" t="n">
        <x:v>25000</x:v>
      </x:c>
      <x:c r="N20" t="n">
        <x:v>0</x:v>
      </x:c>
      <x:c r="O20" t="n">
        <x:f>IF($A20="","",N($M20)+N($N20))</x:f>
        <x:v>25000</x:v>
      </x:c>
      <x:c r="P20" t="str">
        <x:f>IF($A20="","",IF(AND(N($M20)&gt;0,N($N20)&gt;0),"Mixed",IF(N($M20)&gt;0,"Zakat",IF(N($N20)&gt;0,"Sadaqah",""))))</x:f>
        <x:v>Zakat</x:v>
      </x:c>
      <x:c r="Q20" t="str">
        <x:v>Gurgaon, Haryana</x:v>
      </x:c>
      <x:c r="R20" t="str">
        <x:f>IF($A20="","",IFS($O20&lt;5000,"Under ₹5,000",$O20&lt;=10000,"₹5,000–₹10,000",$O20&lt;=15000,"₹10,000–₹15,000",$O20&lt;=25000,"₹15,000–₹25,000",$O20&lt;=50000,"₹25,000–₹50,000",TRUE,"₹50,000+"))</x:f>
        <x:v>₹15,000–₹25,000</x:v>
      </x:c>
      <x:c r="S20" t="str">
        <x:v>A verified recipient/family needed support related to shop / business inventory.</x:v>
      </x:c>
      <x:c r="T20" t="str">
        <x:v>Humanitarians supported the case through Zakat funds for initial support for cosmetics shop.</x:v>
      </x:c>
      <x:c r="U20" t="str">
        <x:v>Outcome/update should be added only after verified follow-up.</x:v>
      </x:c>
      <x:c r="V20" t="str">
        <x:v>Add follow-up notes after checking with the verification team.</x:v>
      </x:c>
      <x:c r="W20" t="str">
        <x:v>Add a real quote only with consent; do not publish this placeholder as a recipient quote.</x:v>
      </x:c>
      <x:c r="X20" t="str">
        <x:v>Anonymized public summary; no full name, phone, address, ID, bank details, or donor identity included.</x:v>
      </x:c>
      <x:c r="Y20"/>
      <x:c r="Z20" t="str">
        <x:v>Anonymized Humanitarians case image 1 for HUM-019</x:v>
      </x:c>
      <x:c r="AA20" t="str">
        <x:v>Before/support context image - add only after consent.</x:v>
      </x:c>
      <x:c r="AB20"/>
      <x:c r="AC20" t="str">
        <x:v>Anonymized Humanitarians case image 2 for HUM-019</x:v>
      </x:c>
      <x:c r="AD20" t="str">
        <x:v>Support/equipment image - add only after consent.</x:v>
      </x:c>
      <x:c r="AE20"/>
      <x:c r="AF20" t="str">
        <x:v>Anonymized Humanitarians case image 3 for HUM-019</x:v>
      </x:c>
      <x:c r="AG20" t="str">
        <x:v>Outcome/follow-up image - add only after consent.</x:v>
      </x:c>
      <x:c r="AH20" t="str">
        <x:v>Pending consent</x:v>
      </x:c>
      <x:c r="AI20" t="str">
        <x:v>Paste public Google Drive image URLs only after recipient consent and privacy review.</x:v>
      </x:c>
      <x:c r="AJ20" t="str">
        <x:v>Seeded from latest uploaded workbook and public-safe v2 case-story data.</x:v>
      </x:c>
      <x:c r="AK20" t="str">
        <x:v>Add/edit cases here only. Formula tabs will update after upload/recalculation in Google Sheets.</x:v>
      </x:c>
    </x:row>
    <x:row r="21">
      <x:c r="A21" t="str">
        <x:v>HUM-020</x:v>
      </x:c>
      <x:c r="B21" t="str">
        <x:v>TRUE</x:v>
      </x:c>
      <x:c r="C21" t="str">
        <x:v>No</x:v>
      </x:c>
      <x:c r="D21" t="str">
        <x:v>Draft</x:v>
      </x:c>
      <x:c r="E21" t="str">
        <x:v>TRUE</x:v>
      </x:c>
      <x:c r="F21" t="str">
        <x:v>Mar 2025</x:v>
      </x:c>
      <x:c r="G21" t="n">
        <x:f>IF($A21="","",IF($F21="Dec 2025-Apr 2026",2026045,YEAR($H21)*100+MONTH($H21)))</x:f>
        <x:v>202503</x:v>
      </x:c>
      <x:c r="H21" t="n">
        <x:v>45717</x:v>
      </x:c>
      <x:c r="I21" t="str">
        <x:v>Repair of Electric Sewing Machine</x:v>
      </x:c>
      <x:c r="J21" t="str">
        <x:v>Anonymized case HUM-020</x:v>
      </x:c>
      <x:c r="K21" t="str">
        <x:v>Livelihood</x:v>
      </x:c>
      <x:c r="L21" t="str">
        <x:v>Sewing / tailoring</x:v>
      </x:c>
      <x:c r="M21" t="n">
        <x:v>15000</x:v>
      </x:c>
      <x:c r="N21" t="n">
        <x:v>0</x:v>
      </x:c>
      <x:c r="O21" t="n">
        <x:f>IF($A21="","",N($M21)+N($N21))</x:f>
        <x:v>15000</x:v>
      </x:c>
      <x:c r="P21" t="str">
        <x:f>IF($A21="","",IF(AND(N($M21)&gt;0,N($N21)&gt;0),"Mixed",IF(N($M21)&gt;0,"Zakat",IF(N($N21)&gt;0,"Sadaqah",""))))</x:f>
        <x:v>Zakat</x:v>
      </x:c>
      <x:c r="Q21" t="str">
        <x:v>Ghaziabad, UP</x:v>
      </x:c>
      <x:c r="R21" t="str">
        <x:f>IF($A21="","",IFS($O21&lt;5000,"Under ₹5,000",$O21&lt;=10000,"₹5,000–₹10,000",$O21&lt;=15000,"₹10,000–₹15,000",$O21&lt;=25000,"₹15,000–₹25,000",$O21&lt;=50000,"₹25,000–₹50,000",TRUE,"₹50,000+"))</x:f>
        <x:v>₹10,000–₹15,000</x:v>
      </x:c>
      <x:c r="S21" t="str">
        <x:v>A verified recipient/family needed support related to sewing / tailoring.</x:v>
      </x:c>
      <x:c r="T21" t="str">
        <x:v>Humanitarians supported the case through Zakat funds for repair of electric sewing machine.</x:v>
      </x:c>
      <x:c r="U21" t="str">
        <x:v>Outcome/update should be added only after verified follow-up.</x:v>
      </x:c>
      <x:c r="V21" t="str">
        <x:v>Add follow-up notes after checking with the verification team.</x:v>
      </x:c>
      <x:c r="W21" t="str">
        <x:v>Add a real quote only with consent; do not publish this placeholder as a recipient quote.</x:v>
      </x:c>
      <x:c r="X21" t="str">
        <x:v>Anonymized public summary; no full name, phone, address, ID, bank details, or donor identity included.</x:v>
      </x:c>
      <x:c r="Y21"/>
      <x:c r="Z21" t="str">
        <x:v>Anonymized Humanitarians case image 1 for HUM-020</x:v>
      </x:c>
      <x:c r="AA21" t="str">
        <x:v>Before/support context image - add only after consent.</x:v>
      </x:c>
      <x:c r="AB21"/>
      <x:c r="AC21" t="str">
        <x:v>Anonymized Humanitarians case image 2 for HUM-020</x:v>
      </x:c>
      <x:c r="AD21" t="str">
        <x:v>Support/equipment image - add only after consent.</x:v>
      </x:c>
      <x:c r="AE21"/>
      <x:c r="AF21" t="str">
        <x:v>Anonymized Humanitarians case image 3 for HUM-020</x:v>
      </x:c>
      <x:c r="AG21" t="str">
        <x:v>Outcome/follow-up image - add only after consent.</x:v>
      </x:c>
      <x:c r="AH21" t="str">
        <x:v>Pending consent</x:v>
      </x:c>
      <x:c r="AI21" t="str">
        <x:v>Paste public Google Drive image URLs only after recipient consent and privacy review.</x:v>
      </x:c>
      <x:c r="AJ21" t="str">
        <x:v>Seeded from latest uploaded workbook and public-safe v2 case-story data.</x:v>
      </x:c>
      <x:c r="AK21" t="str">
        <x:v>Add/edit cases here only. Formula tabs will update after upload/recalculation in Google Sheets.</x:v>
      </x:c>
    </x:row>
    <x:row r="22">
      <x:c r="A22" t="str">
        <x:v>HUM-021</x:v>
      </x:c>
      <x:c r="B22" t="str">
        <x:v>TRUE</x:v>
      </x:c>
      <x:c r="C22" t="str">
        <x:v>No</x:v>
      </x:c>
      <x:c r="D22" t="str">
        <x:v>Draft</x:v>
      </x:c>
      <x:c r="E22" t="str">
        <x:v>TRUE</x:v>
      </x:c>
      <x:c r="F22" t="str">
        <x:v>Mar 2025</x:v>
      </x:c>
      <x:c r="G22" t="n">
        <x:f>IF($A22="","",IF($F22="Dec 2025-Apr 2026",2026045,YEAR($H22)*100+MONTH($H22)))</x:f>
        <x:v>202503</x:v>
      </x:c>
      <x:c r="H22" t="n">
        <x:v>45717</x:v>
      </x:c>
      <x:c r="I22" t="str">
        <x:v>Support for Kirana Shop</x:v>
      </x:c>
      <x:c r="J22" t="str">
        <x:v>Anonymized case HUM-021</x:v>
      </x:c>
      <x:c r="K22" t="str">
        <x:v>Livelihood</x:v>
      </x:c>
      <x:c r="L22" t="str">
        <x:v>Shop / business inventory</x:v>
      </x:c>
      <x:c r="M22" t="n">
        <x:v>0</x:v>
      </x:c>
      <x:c r="N22" t="n">
        <x:v>15000</x:v>
      </x:c>
      <x:c r="O22" t="n">
        <x:f>IF($A22="","",N($M22)+N($N22))</x:f>
        <x:v>15000</x:v>
      </x:c>
      <x:c r="P22" t="str">
        <x:f>IF($A22="","",IF(AND(N($M22)&gt;0,N($N22)&gt;0),"Mixed",IF(N($M22)&gt;0,"Zakat",IF(N($N22)&gt;0,"Sadaqah",""))))</x:f>
        <x:v>Sadaqah</x:v>
      </x:c>
      <x:c r="Q22" t="str">
        <x:v>Basti, UP</x:v>
      </x:c>
      <x:c r="R22" t="str">
        <x:f>IF($A22="","",IFS($O22&lt;5000,"Under ₹5,000",$O22&lt;=10000,"₹5,000–₹10,000",$O22&lt;=15000,"₹10,000–₹15,000",$O22&lt;=25000,"₹15,000–₹25,000",$O22&lt;=50000,"₹25,000–₹50,000",TRUE,"₹50,000+"))</x:f>
        <x:v>₹10,000–₹15,000</x:v>
      </x:c>
      <x:c r="S22" t="str">
        <x:v>A verified recipient/family needed support related to shop / business inventory.</x:v>
      </x:c>
      <x:c r="T22" t="str">
        <x:v>Humanitarians supported the case through Sadaqah funds for support for kirana shop.</x:v>
      </x:c>
      <x:c r="U22" t="str">
        <x:v>Outcome/update should be added only after verified follow-up.</x:v>
      </x:c>
      <x:c r="V22" t="str">
        <x:v>Add follow-up notes after checking with the verification team.</x:v>
      </x:c>
      <x:c r="W22" t="str">
        <x:v>Add a real quote only with consent; do not publish this placeholder as a recipient quote.</x:v>
      </x:c>
      <x:c r="X22" t="str">
        <x:v>Anonymized public summary; no full name, phone, address, ID, bank details, or donor identity included.</x:v>
      </x:c>
      <x:c r="Y22"/>
      <x:c r="Z22" t="str">
        <x:v>Anonymized Humanitarians case image 1 for HUM-021</x:v>
      </x:c>
      <x:c r="AA22" t="str">
        <x:v>Before/support context image - add only after consent.</x:v>
      </x:c>
      <x:c r="AB22"/>
      <x:c r="AC22" t="str">
        <x:v>Anonymized Humanitarians case image 2 for HUM-021</x:v>
      </x:c>
      <x:c r="AD22" t="str">
        <x:v>Support/equipment image - add only after consent.</x:v>
      </x:c>
      <x:c r="AE22"/>
      <x:c r="AF22" t="str">
        <x:v>Anonymized Humanitarians case image 3 for HUM-021</x:v>
      </x:c>
      <x:c r="AG22" t="str">
        <x:v>Outcome/follow-up image - add only after consent.</x:v>
      </x:c>
      <x:c r="AH22" t="str">
        <x:v>Pending consent</x:v>
      </x:c>
      <x:c r="AI22" t="str">
        <x:v>Paste public Google Drive image URLs only after recipient consent and privacy review.</x:v>
      </x:c>
      <x:c r="AJ22" t="str">
        <x:v>Seeded from latest uploaded workbook and public-safe v2 case-story data.</x:v>
      </x:c>
      <x:c r="AK22" t="str">
        <x:v>Add/edit cases here only. Formula tabs will update after upload/recalculation in Google Sheets.</x:v>
      </x:c>
    </x:row>
    <x:row r="23">
      <x:c r="A23" t="str">
        <x:v>HUM-022</x:v>
      </x:c>
      <x:c r="B23" t="str">
        <x:v>TRUE</x:v>
      </x:c>
      <x:c r="C23" t="str">
        <x:v>No</x:v>
      </x:c>
      <x:c r="D23" t="str">
        <x:v>Archive</x:v>
      </x:c>
      <x:c r="E23" t="str">
        <x:v>FALSE</x:v>
      </x:c>
      <x:c r="F23" t="str">
        <x:v>Mar 2025</x:v>
      </x:c>
      <x:c r="G23" t="n">
        <x:f>IF($A23="","",IF($F23="Dec 2025-Apr 2026",2026045,YEAR($H23)*100+MONTH($H23)))</x:f>
        <x:v>202503</x:v>
      </x:c>
      <x:c r="H23" t="n">
        <x:v>45717</x:v>
      </x:c>
      <x:c r="I23" t="str">
        <x:v>Support for Second Hand Auto</x:v>
      </x:c>
      <x:c r="J23" t="str">
        <x:v>Anonymized case HUM-022</x:v>
      </x:c>
      <x:c r="K23" t="str">
        <x:v>Livelihood</x:v>
      </x:c>
      <x:c r="L23" t="str">
        <x:v>E-rickshaw / auto</x:v>
      </x:c>
      <x:c r="M23" t="n">
        <x:v>0</x:v>
      </x:c>
      <x:c r="N23" t="n">
        <x:v>25000</x:v>
      </x:c>
      <x:c r="O23" t="n">
        <x:f>IF($A23="","",N($M23)+N($N23))</x:f>
        <x:v>25000</x:v>
      </x:c>
      <x:c r="P23" t="str">
        <x:f>IF($A23="","",IF(AND(N($M23)&gt;0,N($N23)&gt;0),"Mixed",IF(N($M23)&gt;0,"Zakat",IF(N($N23)&gt;0,"Sadaqah",""))))</x:f>
        <x:v>Sadaqah</x:v>
      </x:c>
      <x:c r="Q23" t="str">
        <x:v>Ghaziabad, UP</x:v>
      </x:c>
      <x:c r="R23" t="str">
        <x:f>IF($A23="","",IFS($O23&lt;5000,"Under ₹5,000",$O23&lt;=10000,"₹5,000–₹10,000",$O23&lt;=15000,"₹10,000–₹15,000",$O23&lt;=25000,"₹15,000–₹25,000",$O23&lt;=50000,"₹25,000–₹50,000",TRUE,"₹50,000+"))</x:f>
        <x:v>₹15,000–₹25,000</x:v>
      </x:c>
      <x:c r="S23" t="str">
        <x:v>A verified recipient/family needed support related to e-rickshaw / auto.</x:v>
      </x:c>
      <x:c r="T23" t="str">
        <x:v>Humanitarians supported the case through Sadaqah funds for support for second hand auto.</x:v>
      </x:c>
      <x:c r="U23" t="str">
        <x:v>Outcome/update should be added only after verified follow-up.</x:v>
      </x:c>
      <x:c r="V23" t="str">
        <x:v>Add follow-up notes after checking with the verification team.</x:v>
      </x:c>
      <x:c r="W23" t="str">
        <x:v>Add a real quote only with consent; do not publish this placeholder as a recipient quote.</x:v>
      </x:c>
      <x:c r="X23" t="str">
        <x:v>Anonymized public summary; no full name, phone, address, ID, bank details, or donor identity included.</x:v>
      </x:c>
      <x:c r="Y23"/>
      <x:c r="Z23" t="str">
        <x:v>Anonymized Humanitarians case image 1 for HUM-022</x:v>
      </x:c>
      <x:c r="AA23" t="str">
        <x:v>Before/support context image - add only after consent.</x:v>
      </x:c>
      <x:c r="AB23"/>
      <x:c r="AC23" t="str">
        <x:v>Anonymized Humanitarians case image 2 for HUM-022</x:v>
      </x:c>
      <x:c r="AD23" t="str">
        <x:v>Support/equipment image - add only after consent.</x:v>
      </x:c>
      <x:c r="AE23"/>
      <x:c r="AF23" t="str">
        <x:v>Anonymized Humanitarians case image 3 for HUM-022</x:v>
      </x:c>
      <x:c r="AG23" t="str">
        <x:v>Outcome/follow-up image - add only after consent.</x:v>
      </x:c>
      <x:c r="AH23" t="str">
        <x:v>Pending consent</x:v>
      </x:c>
      <x:c r="AI23" t="str">
        <x:v>Paste public Google Drive image URLs only after recipient consent and privacy review.</x:v>
      </x:c>
      <x:c r="AJ23" t="str">
        <x:v>Seeded from latest uploaded workbook and public-safe v2 case-story data.</x:v>
      </x:c>
      <x:c r="AK23" t="str">
        <x:v>Add/edit cases here only. Formula tabs will update after upload/recalculation in Google Sheets.</x:v>
      </x:c>
    </x:row>
    <x:row r="24">
      <x:c r="A24" t="str">
        <x:v>HUM-023</x:v>
      </x:c>
      <x:c r="B24" t="str">
        <x:v>TRUE</x:v>
      </x:c>
      <x:c r="C24" t="str">
        <x:v>No</x:v>
      </x:c>
      <x:c r="D24" t="str">
        <x:v>Archive</x:v>
      </x:c>
      <x:c r="E24" t="str">
        <x:v>FALSE</x:v>
      </x:c>
      <x:c r="F24" t="str">
        <x:v>Mar 2025</x:v>
      </x:c>
      <x:c r="G24" t="n">
        <x:f>IF($A24="","",IF($F24="Dec 2025-Apr 2026",2026045,YEAR($H24)*100+MONTH($H24)))</x:f>
        <x:v>202503</x:v>
      </x:c>
      <x:c r="H24" t="n">
        <x:v>45717</x:v>
      </x:c>
      <x:c r="I24" t="str">
        <x:v>Support in Buying New Auto</x:v>
      </x:c>
      <x:c r="J24" t="str">
        <x:v>Anonymized case HUM-023</x:v>
      </x:c>
      <x:c r="K24" t="str">
        <x:v>Livelihood</x:v>
      </x:c>
      <x:c r="L24" t="str">
        <x:v>E-rickshaw / auto</x:v>
      </x:c>
      <x:c r="M24" t="n">
        <x:v>25000</x:v>
      </x:c>
      <x:c r="N24" t="n">
        <x:v>0</x:v>
      </x:c>
      <x:c r="O24" t="n">
        <x:f>IF($A24="","",N($M24)+N($N24))</x:f>
        <x:v>25000</x:v>
      </x:c>
      <x:c r="P24" t="str">
        <x:f>IF($A24="","",IF(AND(N($M24)&gt;0,N($N24)&gt;0),"Mixed",IF(N($M24)&gt;0,"Zakat",IF(N($N24)&gt;0,"Sadaqah",""))))</x:f>
        <x:v>Zakat</x:v>
      </x:c>
      <x:c r="Q24" t="str">
        <x:v>Basti, UP</x:v>
      </x:c>
      <x:c r="R24" t="str">
        <x:f>IF($A24="","",IFS($O24&lt;5000,"Under ₹5,000",$O24&lt;=10000,"₹5,000–₹10,000",$O24&lt;=15000,"₹10,000–₹15,000",$O24&lt;=25000,"₹15,000–₹25,000",$O24&lt;=50000,"₹25,000–₹50,000",TRUE,"₹50,000+"))</x:f>
        <x:v>₹15,000–₹25,000</x:v>
      </x:c>
      <x:c r="S24" t="str">
        <x:v>A verified recipient/family needed support related to e-rickshaw / auto.</x:v>
      </x:c>
      <x:c r="T24" t="str">
        <x:v>Humanitarians supported the case through Zakat funds for support in buying new auto.</x:v>
      </x:c>
      <x:c r="U24" t="str">
        <x:v>Outcome/update should be added only after verified follow-up.</x:v>
      </x:c>
      <x:c r="V24" t="str">
        <x:v>Add follow-up notes after checking with the verification team.</x:v>
      </x:c>
      <x:c r="W24" t="str">
        <x:v>Add a real quote only with consent; do not publish this placeholder as a recipient quote.</x:v>
      </x:c>
      <x:c r="X24" t="str">
        <x:v>Anonymized public summary; no full name, phone, address, ID, bank details, or donor identity included.</x:v>
      </x:c>
      <x:c r="Y24"/>
      <x:c r="Z24" t="str">
        <x:v>Anonymized Humanitarians case image 1 for HUM-023</x:v>
      </x:c>
      <x:c r="AA24" t="str">
        <x:v>Before/support context image - add only after consent.</x:v>
      </x:c>
      <x:c r="AB24"/>
      <x:c r="AC24" t="str">
        <x:v>Anonymized Humanitarians case image 2 for HUM-023</x:v>
      </x:c>
      <x:c r="AD24" t="str">
        <x:v>Support/equipment image - add only after consent.</x:v>
      </x:c>
      <x:c r="AE24"/>
      <x:c r="AF24" t="str">
        <x:v>Anonymized Humanitarians case image 3 for HUM-023</x:v>
      </x:c>
      <x:c r="AG24" t="str">
        <x:v>Outcome/follow-up image - add only after consent.</x:v>
      </x:c>
      <x:c r="AH24" t="str">
        <x:v>Pending consent</x:v>
      </x:c>
      <x:c r="AI24" t="str">
        <x:v>Paste public Google Drive image URLs only after recipient consent and privacy review.</x:v>
      </x:c>
      <x:c r="AJ24" t="str">
        <x:v>Seeded from latest uploaded workbook and public-safe v2 case-story data.</x:v>
      </x:c>
      <x:c r="AK24" t="str">
        <x:v>Add/edit cases here only. Formula tabs will update after upload/recalculation in Google Sheets.</x:v>
      </x:c>
    </x:row>
    <x:row r="25">
      <x:c r="A25" t="str">
        <x:v>HUM-024</x:v>
      </x:c>
      <x:c r="B25" t="str">
        <x:v>TRUE</x:v>
      </x:c>
      <x:c r="C25" t="str">
        <x:v>No</x:v>
      </x:c>
      <x:c r="D25" t="str">
        <x:v>Archive</x:v>
      </x:c>
      <x:c r="E25" t="str">
        <x:v>FALSE</x:v>
      </x:c>
      <x:c r="F25" t="str">
        <x:v>Mar 2025</x:v>
      </x:c>
      <x:c r="G25" t="n">
        <x:f>IF($A25="","",IF($F25="Dec 2025-Apr 2026",2026045,YEAR($H25)*100+MONTH($H25)))</x:f>
        <x:v>202503</x:v>
      </x:c>
      <x:c r="H25" t="n">
        <x:v>45717</x:v>
      </x:c>
      <x:c r="I25" t="str">
        <x:v>Support in Buying Second Hand Auto</x:v>
      </x:c>
      <x:c r="J25" t="str">
        <x:v>Anonymized case HUM-024</x:v>
      </x:c>
      <x:c r="K25" t="str">
        <x:v>Livelihood</x:v>
      </x:c>
      <x:c r="L25" t="str">
        <x:v>E-rickshaw / auto</x:v>
      </x:c>
      <x:c r="M25" t="n">
        <x:v>20000</x:v>
      </x:c>
      <x:c r="N25" t="n">
        <x:v>0</x:v>
      </x:c>
      <x:c r="O25" t="n">
        <x:f>IF($A25="","",N($M25)+N($N25))</x:f>
        <x:v>20000</x:v>
      </x:c>
      <x:c r="P25" t="str">
        <x:f>IF($A25="","",IF(AND(N($M25)&gt;0,N($N25)&gt;0),"Mixed",IF(N($M25)&gt;0,"Zakat",IF(N($N25)&gt;0,"Sadaqah",""))))</x:f>
        <x:v>Zakat</x:v>
      </x:c>
      <x:c r="Q25" t="str">
        <x:v>Basti, UP</x:v>
      </x:c>
      <x:c r="R25" t="str">
        <x:f>IF($A25="","",IFS($O25&lt;5000,"Under ₹5,000",$O25&lt;=10000,"₹5,000–₹10,000",$O25&lt;=15000,"₹10,000–₹15,000",$O25&lt;=25000,"₹15,000–₹25,000",$O25&lt;=50000,"₹25,000–₹50,000",TRUE,"₹50,000+"))</x:f>
        <x:v>₹15,000–₹25,000</x:v>
      </x:c>
      <x:c r="S25" t="str">
        <x:v>A verified recipient/family needed support related to e-rickshaw / auto.</x:v>
      </x:c>
      <x:c r="T25" t="str">
        <x:v>Humanitarians supported the case through Zakat funds for support in buying second hand auto.</x:v>
      </x:c>
      <x:c r="U25" t="str">
        <x:v>Outcome/update should be added only after verified follow-up.</x:v>
      </x:c>
      <x:c r="V25" t="str">
        <x:v>Add follow-up notes after checking with the verification team.</x:v>
      </x:c>
      <x:c r="W25" t="str">
        <x:v>Add a real quote only with consent; do not publish this placeholder as a recipient quote.</x:v>
      </x:c>
      <x:c r="X25" t="str">
        <x:v>Anonymized public summary; no full name, phone, address, ID, bank details, or donor identity included.</x:v>
      </x:c>
      <x:c r="Y25"/>
      <x:c r="Z25" t="str">
        <x:v>Anonymized Humanitarians case image 1 for HUM-024</x:v>
      </x:c>
      <x:c r="AA25" t="str">
        <x:v>Before/support context image - add only after consent.</x:v>
      </x:c>
      <x:c r="AB25"/>
      <x:c r="AC25" t="str">
        <x:v>Anonymized Humanitarians case image 2 for HUM-024</x:v>
      </x:c>
      <x:c r="AD25" t="str">
        <x:v>Support/equipment image - add only after consent.</x:v>
      </x:c>
      <x:c r="AE25"/>
      <x:c r="AF25" t="str">
        <x:v>Anonymized Humanitarians case image 3 for HUM-024</x:v>
      </x:c>
      <x:c r="AG25" t="str">
        <x:v>Outcome/follow-up image - add only after consent.</x:v>
      </x:c>
      <x:c r="AH25" t="str">
        <x:v>Pending consent</x:v>
      </x:c>
      <x:c r="AI25" t="str">
        <x:v>Paste public Google Drive image URLs only after recipient consent and privacy review.</x:v>
      </x:c>
      <x:c r="AJ25" t="str">
        <x:v>Seeded from latest uploaded workbook and public-safe v2 case-story data.</x:v>
      </x:c>
      <x:c r="AK25" t="str">
        <x:v>Add/edit cases here only. Formula tabs will update after upload/recalculation in Google Sheets.</x:v>
      </x:c>
    </x:row>
    <x:row r="26">
      <x:c r="A26" t="str">
        <x:v>HUM-025</x:v>
      </x:c>
      <x:c r="B26" t="str">
        <x:v>TRUE</x:v>
      </x:c>
      <x:c r="C26" t="str">
        <x:v>No</x:v>
      </x:c>
      <x:c r="D26" t="str">
        <x:v>Draft</x:v>
      </x:c>
      <x:c r="E26" t="str">
        <x:v>TRUE</x:v>
      </x:c>
      <x:c r="F26" t="str">
        <x:v>Apr 2025</x:v>
      </x:c>
      <x:c r="G26" t="n">
        <x:f>IF($A26="","",IF($F26="Dec 2025-Apr 2026",2026045,YEAR($H26)*100+MONTH($H26)))</x:f>
        <x:v>202504</x:v>
      </x:c>
      <x:c r="H26" t="n">
        <x:v>45748</x:v>
      </x:c>
      <x:c r="I26" t="str">
        <x:v>Electric Sewing Machine</x:v>
      </x:c>
      <x:c r="J26" t="str">
        <x:v>Anonymized case HUM-025</x:v>
      </x:c>
      <x:c r="K26" t="str">
        <x:v>Livelihood</x:v>
      </x:c>
      <x:c r="L26" t="str">
        <x:v>Sewing / tailoring</x:v>
      </x:c>
      <x:c r="M26" t="n">
        <x:v>0</x:v>
      </x:c>
      <x:c r="N26" t="n">
        <x:v>8200</x:v>
      </x:c>
      <x:c r="O26" t="n">
        <x:f>IF($A26="","",N($M26)+N($N26))</x:f>
        <x:v>8200</x:v>
      </x:c>
      <x:c r="P26" t="str">
        <x:f>IF($A26="","",IF(AND(N($M26)&gt;0,N($N26)&gt;0),"Mixed",IF(N($M26)&gt;0,"Zakat",IF(N($N26)&gt;0,"Sadaqah",""))))</x:f>
        <x:v>Sadaqah</x:v>
      </x:c>
      <x:c r="Q26" t="str">
        <x:v>Basti, UP</x:v>
      </x:c>
      <x:c r="R26" t="str">
        <x:f>IF($A26="","",IFS($O26&lt;5000,"Under ₹5,000",$O26&lt;=10000,"₹5,000–₹10,000",$O26&lt;=15000,"₹10,000–₹15,000",$O26&lt;=25000,"₹15,000–₹25,000",$O26&lt;=50000,"₹25,000–₹50,000",TRUE,"₹50,000+"))</x:f>
        <x:v>₹5,000–₹10,000</x:v>
      </x:c>
      <x:c r="S26" t="str">
        <x:v>A verified recipient/family needed support related to sewing / tailoring.</x:v>
      </x:c>
      <x:c r="T26" t="str">
        <x:v>Humanitarians supported the case through Sadaqah funds for electric sewing machine.</x:v>
      </x:c>
      <x:c r="U26" t="str">
        <x:v>Outcome/update should be added only after verified follow-up.</x:v>
      </x:c>
      <x:c r="V26" t="str">
        <x:v>Add follow-up notes after checking with the verification team.</x:v>
      </x:c>
      <x:c r="W26" t="str">
        <x:v>Add a real quote only with consent; do not publish this placeholder as a recipient quote.</x:v>
      </x:c>
      <x:c r="X26" t="str">
        <x:v>Anonymized public summary; no full name, phone, address, ID, bank details, or donor identity included.</x:v>
      </x:c>
      <x:c r="Y26"/>
      <x:c r="Z26" t="str">
        <x:v>Anonymized Humanitarians case image 1 for HUM-025</x:v>
      </x:c>
      <x:c r="AA26" t="str">
        <x:v>Before/support context image - add only after consent.</x:v>
      </x:c>
      <x:c r="AB26"/>
      <x:c r="AC26" t="str">
        <x:v>Anonymized Humanitarians case image 2 for HUM-025</x:v>
      </x:c>
      <x:c r="AD26" t="str">
        <x:v>Support/equipment image - add only after consent.</x:v>
      </x:c>
      <x:c r="AE26"/>
      <x:c r="AF26" t="str">
        <x:v>Anonymized Humanitarians case image 3 for HUM-025</x:v>
      </x:c>
      <x:c r="AG26" t="str">
        <x:v>Outcome/follow-up image - add only after consent.</x:v>
      </x:c>
      <x:c r="AH26" t="str">
        <x:v>Pending consent</x:v>
      </x:c>
      <x:c r="AI26" t="str">
        <x:v>Paste public Google Drive image URLs only after recipient consent and privacy review.</x:v>
      </x:c>
      <x:c r="AJ26" t="str">
        <x:v>Seeded from latest uploaded workbook and public-safe v2 case-story data.</x:v>
      </x:c>
      <x:c r="AK26" t="str">
        <x:v>Add/edit cases here only. Formula tabs will update after upload/recalculation in Google Sheets.</x:v>
      </x:c>
    </x:row>
    <x:row r="27">
      <x:c r="A27" t="str">
        <x:v>HUM-026</x:v>
      </x:c>
      <x:c r="B27" t="str">
        <x:v>TRUE</x:v>
      </x:c>
      <x:c r="C27" t="str">
        <x:v>No</x:v>
      </x:c>
      <x:c r="D27" t="str">
        <x:v>Draft</x:v>
      </x:c>
      <x:c r="E27" t="str">
        <x:v>TRUE</x:v>
      </x:c>
      <x:c r="F27" t="str">
        <x:v>May 2025</x:v>
      </x:c>
      <x:c r="G27" t="n">
        <x:f>IF($A27="","",IF($F27="Dec 2025-Apr 2026",2026045,YEAR($H27)*100+MONTH($H27)))</x:f>
        <x:v>202505</x:v>
      </x:c>
      <x:c r="H27" t="n">
        <x:v>45778</x:v>
      </x:c>
      <x:c r="I27" t="str">
        <x:v>Sewing Machines</x:v>
      </x:c>
      <x:c r="J27" t="str">
        <x:v>Anonymized case HUM-026</x:v>
      </x:c>
      <x:c r="K27" t="str">
        <x:v>Livelihood</x:v>
      </x:c>
      <x:c r="L27" t="str">
        <x:v>Sewing / tailoring</x:v>
      </x:c>
      <x:c r="M27" t="n">
        <x:v>11000</x:v>
      </x:c>
      <x:c r="N27" t="n">
        <x:v>6000</x:v>
      </x:c>
      <x:c r="O27" t="n">
        <x:f>IF($A27="","",N($M27)+N($N27))</x:f>
        <x:v>17000</x:v>
      </x:c>
      <x:c r="P27" t="str">
        <x:f>IF($A27="","",IF(AND(N($M27)&gt;0,N($N27)&gt;0),"Mixed",IF(N($M27)&gt;0,"Zakat",IF(N($N27)&gt;0,"Sadaqah",""))))</x:f>
        <x:v>Mixed</x:v>
      </x:c>
      <x:c r="Q27" t="str">
        <x:v>Basti, UP</x:v>
      </x:c>
      <x:c r="R27" t="str">
        <x:f>IF($A27="","",IFS($O27&lt;5000,"Under ₹5,000",$O27&lt;=10000,"₹5,000–₹10,000",$O27&lt;=15000,"₹10,000–₹15,000",$O27&lt;=25000,"₹15,000–₹25,000",$O27&lt;=50000,"₹25,000–₹50,000",TRUE,"₹50,000+"))</x:f>
        <x:v>₹15,000–₹25,000</x:v>
      </x:c>
      <x:c r="S27" t="str">
        <x:v>A verified recipient/family needed support related to sewing / tailoring.</x:v>
      </x:c>
      <x:c r="T27" t="str">
        <x:v>Humanitarians supported the case through Mixed funds for sewing machines.</x:v>
      </x:c>
      <x:c r="U27" t="str">
        <x:v>Outcome/update should be added only after verified follow-up.</x:v>
      </x:c>
      <x:c r="V27" t="str">
        <x:v>Add follow-up notes after checking with the verification team.</x:v>
      </x:c>
      <x:c r="W27" t="str">
        <x:v>Add a real quote only with consent; do not publish this placeholder as a recipient quote.</x:v>
      </x:c>
      <x:c r="X27" t="str">
        <x:v>Anonymized public summary; no full name, phone, address, ID, bank details, or donor identity included.</x:v>
      </x:c>
      <x:c r="Y27"/>
      <x:c r="Z27" t="str">
        <x:v>Anonymized Humanitarians case image 1 for HUM-026</x:v>
      </x:c>
      <x:c r="AA27" t="str">
        <x:v>Before/support context image - add only after consent.</x:v>
      </x:c>
      <x:c r="AB27"/>
      <x:c r="AC27" t="str">
        <x:v>Anonymized Humanitarians case image 2 for HUM-026</x:v>
      </x:c>
      <x:c r="AD27" t="str">
        <x:v>Support/equipment image - add only after consent.</x:v>
      </x:c>
      <x:c r="AE27"/>
      <x:c r="AF27" t="str">
        <x:v>Anonymized Humanitarians case image 3 for HUM-026</x:v>
      </x:c>
      <x:c r="AG27" t="str">
        <x:v>Outcome/follow-up image - add only after consent.</x:v>
      </x:c>
      <x:c r="AH27" t="str">
        <x:v>Pending consent</x:v>
      </x:c>
      <x:c r="AI27" t="str">
        <x:v>Paste public Google Drive image URLs only after recipient consent and privacy review.</x:v>
      </x:c>
      <x:c r="AJ27" t="str">
        <x:v>Seeded from latest uploaded workbook and public-safe v2 case-story data.</x:v>
      </x:c>
      <x:c r="AK27" t="str">
        <x:v>Add/edit cases here only. Formula tabs will update after upload/recalculation in Google Sheets.</x:v>
      </x:c>
    </x:row>
    <x:row r="28">
      <x:c r="A28" t="str">
        <x:v>HUM-027</x:v>
      </x:c>
      <x:c r="B28" t="str">
        <x:v>TRUE</x:v>
      </x:c>
      <x:c r="C28" t="str">
        <x:v>No</x:v>
      </x:c>
      <x:c r="D28" t="str">
        <x:v>Draft</x:v>
      </x:c>
      <x:c r="E28" t="str">
        <x:v>TRUE</x:v>
      </x:c>
      <x:c r="F28" t="str">
        <x:v>May 2025</x:v>
      </x:c>
      <x:c r="G28" t="n">
        <x:f>IF($A28="","",IF($F28="Dec 2025-Apr 2026",2026045,YEAR($H28)*100+MONTH($H28)))</x:f>
        <x:v>202505</x:v>
      </x:c>
      <x:c r="H28" t="n">
        <x:v>45778</x:v>
      </x:c>
      <x:c r="I28" t="str">
        <x:v>Support for Buffalo Shed</x:v>
      </x:c>
      <x:c r="J28" t="str">
        <x:v>Anonymized case HUM-027</x:v>
      </x:c>
      <x:c r="K28" t="str">
        <x:v>Livelihood</x:v>
      </x:c>
      <x:c r="L28" t="str">
        <x:v>Agriculture / animal livelihood</x:v>
      </x:c>
      <x:c r="M28" t="n">
        <x:v>0</x:v>
      </x:c>
      <x:c r="N28" t="n">
        <x:v>25000</x:v>
      </x:c>
      <x:c r="O28" t="n">
        <x:f>IF($A28="","",N($M28)+N($N28))</x:f>
        <x:v>25000</x:v>
      </x:c>
      <x:c r="P28" t="str">
        <x:f>IF($A28="","",IF(AND(N($M28)&gt;0,N($N28)&gt;0),"Mixed",IF(N($M28)&gt;0,"Zakat",IF(N($N28)&gt;0,"Sadaqah",""))))</x:f>
        <x:v>Sadaqah</x:v>
      </x:c>
      <x:c r="Q28" t="str">
        <x:v>Basti, UP</x:v>
      </x:c>
      <x:c r="R28" t="str">
        <x:f>IF($A28="","",IFS($O28&lt;5000,"Under ₹5,000",$O28&lt;=10000,"₹5,000–₹10,000",$O28&lt;=15000,"₹10,000–₹15,000",$O28&lt;=25000,"₹15,000–₹25,000",$O28&lt;=50000,"₹25,000–₹50,000",TRUE,"₹50,000+"))</x:f>
        <x:v>₹15,000–₹25,000</x:v>
      </x:c>
      <x:c r="S28" t="str">
        <x:v>A verified recipient/family needed support related to agriculture / animal livelihood.</x:v>
      </x:c>
      <x:c r="T28" t="str">
        <x:v>Humanitarians supported the case through Sadaqah funds for support for buffalo shed.</x:v>
      </x:c>
      <x:c r="U28" t="str">
        <x:v>Outcome/update should be added only after verified follow-up.</x:v>
      </x:c>
      <x:c r="V28" t="str">
        <x:v>Add follow-up notes after checking with the verification team.</x:v>
      </x:c>
      <x:c r="W28" t="str">
        <x:v>Add a real quote only with consent; do not publish this placeholder as a recipient quote.</x:v>
      </x:c>
      <x:c r="X28" t="str">
        <x:v>Anonymized public summary; no full name, phone, address, ID, bank details, or donor identity included.</x:v>
      </x:c>
      <x:c r="Y28"/>
      <x:c r="Z28" t="str">
        <x:v>Anonymized Humanitarians case image 1 for HUM-027</x:v>
      </x:c>
      <x:c r="AA28" t="str">
        <x:v>Before/support context image - add only after consent.</x:v>
      </x:c>
      <x:c r="AB28"/>
      <x:c r="AC28" t="str">
        <x:v>Anonymized Humanitarians case image 2 for HUM-027</x:v>
      </x:c>
      <x:c r="AD28" t="str">
        <x:v>Support/equipment image - add only after consent.</x:v>
      </x:c>
      <x:c r="AE28"/>
      <x:c r="AF28" t="str">
        <x:v>Anonymized Humanitarians case image 3 for HUM-027</x:v>
      </x:c>
      <x:c r="AG28" t="str">
        <x:v>Outcome/follow-up image - add only after consent.</x:v>
      </x:c>
      <x:c r="AH28" t="str">
        <x:v>Pending consent</x:v>
      </x:c>
      <x:c r="AI28" t="str">
        <x:v>Paste public Google Drive image URLs only after recipient consent and privacy review.</x:v>
      </x:c>
      <x:c r="AJ28" t="str">
        <x:v>Seeded from latest uploaded workbook and public-safe v2 case-story data.</x:v>
      </x:c>
      <x:c r="AK28" t="str">
        <x:v>Add/edit cases here only. Formula tabs will update after upload/recalculation in Google Sheets.</x:v>
      </x:c>
    </x:row>
    <x:row r="29">
      <x:c r="A29" t="str">
        <x:v>HUM-028</x:v>
      </x:c>
      <x:c r="B29" t="str">
        <x:v>TRUE</x:v>
      </x:c>
      <x:c r="C29" t="str">
        <x:v>No</x:v>
      </x:c>
      <x:c r="D29" t="str">
        <x:v>Draft</x:v>
      </x:c>
      <x:c r="E29" t="str">
        <x:v>TRUE</x:v>
      </x:c>
      <x:c r="F29" t="str">
        <x:v>May 2025</x:v>
      </x:c>
      <x:c r="G29" t="n">
        <x:f>IF($A29="","",IF($F29="Dec 2025-Apr 2026",2026045,YEAR($H29)*100+MONTH($H29)))</x:f>
        <x:v>202505</x:v>
      </x:c>
      <x:c r="H29" t="n">
        <x:v>45778</x:v>
      </x:c>
      <x:c r="I29" t="str">
        <x:v>Support for Egg shop and Sewing Machine</x:v>
      </x:c>
      <x:c r="J29" t="str">
        <x:v>Anonymized case HUM-028</x:v>
      </x:c>
      <x:c r="K29" t="str">
        <x:v>Livelihood</x:v>
      </x:c>
      <x:c r="L29" t="str">
        <x:v>Sewing / tailoring</x:v>
      </x:c>
      <x:c r="M29" t="n">
        <x:v>9000</x:v>
      </x:c>
      <x:c r="N29" t="n">
        <x:v>11000</x:v>
      </x:c>
      <x:c r="O29" t="n">
        <x:f>IF($A29="","",N($M29)+N($N29))</x:f>
        <x:v>20000</x:v>
      </x:c>
      <x:c r="P29" t="str">
        <x:f>IF($A29="","",IF(AND(N($M29)&gt;0,N($N29)&gt;0),"Mixed",IF(N($M29)&gt;0,"Zakat",IF(N($N29)&gt;0,"Sadaqah",""))))</x:f>
        <x:v>Mixed</x:v>
      </x:c>
      <x:c r="Q29" t="str">
        <x:v>Barauni, Bihar</x:v>
      </x:c>
      <x:c r="R29" t="str">
        <x:f>IF($A29="","",IFS($O29&lt;5000,"Under ₹5,000",$O29&lt;=10000,"₹5,000–₹10,000",$O29&lt;=15000,"₹10,000–₹15,000",$O29&lt;=25000,"₹15,000–₹25,000",$O29&lt;=50000,"₹25,000–₹50,000",TRUE,"₹50,000+"))</x:f>
        <x:v>₹15,000–₹25,000</x:v>
      </x:c>
      <x:c r="S29" t="str">
        <x:v>A verified recipient/family needed support related to sewing / tailoring.</x:v>
      </x:c>
      <x:c r="T29" t="str">
        <x:v>Humanitarians supported the case through Mixed funds for support for egg shop and sewing machine.</x:v>
      </x:c>
      <x:c r="U29" t="str">
        <x:v>Outcome/update should be added only after verified follow-up.</x:v>
      </x:c>
      <x:c r="V29" t="str">
        <x:v>Add follow-up notes after checking with the verification team.</x:v>
      </x:c>
      <x:c r="W29" t="str">
        <x:v>Add a real quote only with consent; do not publish this placeholder as a recipient quote.</x:v>
      </x:c>
      <x:c r="X29" t="str">
        <x:v>Anonymized public summary; no full name, phone, address, ID, bank details, or donor identity included.</x:v>
      </x:c>
      <x:c r="Y29"/>
      <x:c r="Z29" t="str">
        <x:v>Anonymized Humanitarians case image 1 for HUM-028</x:v>
      </x:c>
      <x:c r="AA29" t="str">
        <x:v>Before/support context image - add only after consent.</x:v>
      </x:c>
      <x:c r="AB29"/>
      <x:c r="AC29" t="str">
        <x:v>Anonymized Humanitarians case image 2 for HUM-028</x:v>
      </x:c>
      <x:c r="AD29" t="str">
        <x:v>Support/equipment image - add only after consent.</x:v>
      </x:c>
      <x:c r="AE29"/>
      <x:c r="AF29" t="str">
        <x:v>Anonymized Humanitarians case image 3 for HUM-028</x:v>
      </x:c>
      <x:c r="AG29" t="str">
        <x:v>Outcome/follow-up image - add only after consent.</x:v>
      </x:c>
      <x:c r="AH29" t="str">
        <x:v>Pending consent</x:v>
      </x:c>
      <x:c r="AI29" t="str">
        <x:v>Paste public Google Drive image URLs only after recipient consent and privacy review.</x:v>
      </x:c>
      <x:c r="AJ29" t="str">
        <x:v>Seeded from latest uploaded workbook and public-safe v2 case-story data.</x:v>
      </x:c>
      <x:c r="AK29" t="str">
        <x:v>Add/edit cases here only. Formula tabs will update after upload/recalculation in Google Sheets.</x:v>
      </x:c>
    </x:row>
    <x:row r="30">
      <x:c r="A30" t="str">
        <x:v>HUM-029</x:v>
      </x:c>
      <x:c r="B30" t="str">
        <x:v>TRUE</x:v>
      </x:c>
      <x:c r="C30" t="str">
        <x:v>No</x:v>
      </x:c>
      <x:c r="D30" t="str">
        <x:v>Draft</x:v>
      </x:c>
      <x:c r="E30" t="str">
        <x:v>TRUE</x:v>
      </x:c>
      <x:c r="F30" t="str">
        <x:v>May 2025</x:v>
      </x:c>
      <x:c r="G30" t="n">
        <x:f>IF($A30="","",IF($F30="Dec 2025-Apr 2026",2026045,YEAR($H30)*100+MONTH($H30)))</x:f>
        <x:v>202505</x:v>
      </x:c>
      <x:c r="H30" t="n">
        <x:v>45778</x:v>
      </x:c>
      <x:c r="I30" t="str">
        <x:v>Support in Buying Old E-Rickshaw</x:v>
      </x:c>
      <x:c r="J30" t="str">
        <x:v>Anonymized case HUM-029</x:v>
      </x:c>
      <x:c r="K30" t="str">
        <x:v>Livelihood</x:v>
      </x:c>
      <x:c r="L30" t="str">
        <x:v>E-rickshaw / auto</x:v>
      </x:c>
      <x:c r="M30" t="n">
        <x:v>21200</x:v>
      </x:c>
      <x:c r="N30" t="n">
        <x:v>3800</x:v>
      </x:c>
      <x:c r="O30" t="n">
        <x:f>IF($A30="","",N($M30)+N($N30))</x:f>
        <x:v>25000</x:v>
      </x:c>
      <x:c r="P30" t="str">
        <x:f>IF($A30="","",IF(AND(N($M30)&gt;0,N($N30)&gt;0),"Mixed",IF(N($M30)&gt;0,"Zakat",IF(N($N30)&gt;0,"Sadaqah",""))))</x:f>
        <x:v>Mixed</x:v>
      </x:c>
      <x:c r="Q30" t="str">
        <x:v>Aligarh, UP</x:v>
      </x:c>
      <x:c r="R30" t="str">
        <x:f>IF($A30="","",IFS($O30&lt;5000,"Under ₹5,000",$O30&lt;=10000,"₹5,000–₹10,000",$O30&lt;=15000,"₹10,000–₹15,000",$O30&lt;=25000,"₹15,000–₹25,000",$O30&lt;=50000,"₹25,000–₹50,000",TRUE,"₹50,000+"))</x:f>
        <x:v>₹15,000–₹25,000</x:v>
      </x:c>
      <x:c r="S30" t="str">
        <x:v>A verified recipient/family needed support related to e-rickshaw / auto.</x:v>
      </x:c>
      <x:c r="T30" t="str">
        <x:v>Humanitarians supported the case through Mixed funds for support in buying old e-rickshaw.</x:v>
      </x:c>
      <x:c r="U30" t="str">
        <x:v>Outcome/update should be added only after verified follow-up.</x:v>
      </x:c>
      <x:c r="V30" t="str">
        <x:v>Add follow-up notes after checking with the verification team.</x:v>
      </x:c>
      <x:c r="W30" t="str">
        <x:v>Add a real quote only with consent; do not publish this placeholder as a recipient quote.</x:v>
      </x:c>
      <x:c r="X30" t="str">
        <x:v>Anonymized public summary; no full name, phone, address, ID, bank details, or donor identity included.</x:v>
      </x:c>
      <x:c r="Y30"/>
      <x:c r="Z30" t="str">
        <x:v>Anonymized Humanitarians case image 1 for HUM-029</x:v>
      </x:c>
      <x:c r="AA30" t="str">
        <x:v>Before/support context image - add only after consent.</x:v>
      </x:c>
      <x:c r="AB30"/>
      <x:c r="AC30" t="str">
        <x:v>Anonymized Humanitarians case image 2 for HUM-029</x:v>
      </x:c>
      <x:c r="AD30" t="str">
        <x:v>Support/equipment image - add only after consent.</x:v>
      </x:c>
      <x:c r="AE30"/>
      <x:c r="AF30" t="str">
        <x:v>Anonymized Humanitarians case image 3 for HUM-029</x:v>
      </x:c>
      <x:c r="AG30" t="str">
        <x:v>Outcome/follow-up image - add only after consent.</x:v>
      </x:c>
      <x:c r="AH30" t="str">
        <x:v>Pending consent</x:v>
      </x:c>
      <x:c r="AI30" t="str">
        <x:v>Paste public Google Drive image URLs only after recipient consent and privacy review.</x:v>
      </x:c>
      <x:c r="AJ30" t="str">
        <x:v>Seeded from latest uploaded workbook and public-safe v2 case-story data.</x:v>
      </x:c>
      <x:c r="AK30" t="str">
        <x:v>Add/edit cases here only. Formula tabs will update after upload/recalculation in Google Sheets.</x:v>
      </x:c>
    </x:row>
    <x:row r="31">
      <x:c r="A31" t="str">
        <x:v>HUM-030</x:v>
      </x:c>
      <x:c r="B31" t="str">
        <x:v>TRUE</x:v>
      </x:c>
      <x:c r="C31" t="str">
        <x:v>No</x:v>
      </x:c>
      <x:c r="D31" t="str">
        <x:v>Archive</x:v>
      </x:c>
      <x:c r="E31" t="str">
        <x:v>FALSE</x:v>
      </x:c>
      <x:c r="F31" t="str">
        <x:v>Jun 2025</x:v>
      </x:c>
      <x:c r="G31" t="n">
        <x:f>IF($A31="","",IF($F31="Dec 2025-Apr 2026",2026045,YEAR($H31)*100+MONTH($H31)))</x:f>
        <x:v>202506</x:v>
      </x:c>
      <x:c r="H31" t="n">
        <x:v>45809</x:v>
      </x:c>
      <x:c r="I31" t="str">
        <x:v>Support for building new Wooden Shop</x:v>
      </x:c>
      <x:c r="J31" t="str">
        <x:v>Anonymized case HUM-030</x:v>
      </x:c>
      <x:c r="K31" t="str">
        <x:v>Livelihood</x:v>
      </x:c>
      <x:c r="L31" t="str">
        <x:v>Shop / business inventory</x:v>
      </x:c>
      <x:c r="M31" t="n">
        <x:v>12600</x:v>
      </x:c>
      <x:c r="N31" t="n">
        <x:v>7400</x:v>
      </x:c>
      <x:c r="O31" t="n">
        <x:f>IF($A31="","",N($M31)+N($N31))</x:f>
        <x:v>20000</x:v>
      </x:c>
      <x:c r="P31" t="str">
        <x:f>IF($A31="","",IF(AND(N($M31)&gt;0,N($N31)&gt;0),"Mixed",IF(N($M31)&gt;0,"Zakat",IF(N($N31)&gt;0,"Sadaqah",""))))</x:f>
        <x:v>Mixed</x:v>
      </x:c>
      <x:c r="Q31" t="str">
        <x:v>Mallawan, UP</x:v>
      </x:c>
      <x:c r="R31" t="str">
        <x:f>IF($A31="","",IFS($O31&lt;5000,"Under ₹5,000",$O31&lt;=10000,"₹5,000–₹10,000",$O31&lt;=15000,"₹10,000–₹15,000",$O31&lt;=25000,"₹15,000–₹25,000",$O31&lt;=50000,"₹25,000–₹50,000",TRUE,"₹50,000+"))</x:f>
        <x:v>₹15,000–₹25,000</x:v>
      </x:c>
      <x:c r="S31" t="str">
        <x:v>A verified recipient/family needed support related to shop / business inventory.</x:v>
      </x:c>
      <x:c r="T31" t="str">
        <x:v>Humanitarians supported the case through Mixed funds for support for building new wooden shop.</x:v>
      </x:c>
      <x:c r="U31" t="str">
        <x:v>Outcome/update should be added only after verified follow-up.</x:v>
      </x:c>
      <x:c r="V31" t="str">
        <x:v>Add follow-up notes after checking with the verification team.</x:v>
      </x:c>
      <x:c r="W31" t="str">
        <x:v>Add a real quote only with consent; do not publish this placeholder as a recipient quote.</x:v>
      </x:c>
      <x:c r="X31" t="str">
        <x:v>Anonymized public summary; no full name, phone, address, ID, bank details, or donor identity included.</x:v>
      </x:c>
      <x:c r="Y31"/>
      <x:c r="Z31" t="str">
        <x:v>Anonymized Humanitarians case image 1 for HUM-030</x:v>
      </x:c>
      <x:c r="AA31" t="str">
        <x:v>Before/support context image - add only after consent.</x:v>
      </x:c>
      <x:c r="AB31"/>
      <x:c r="AC31" t="str">
        <x:v>Anonymized Humanitarians case image 2 for HUM-030</x:v>
      </x:c>
      <x:c r="AD31" t="str">
        <x:v>Support/equipment image - add only after consent.</x:v>
      </x:c>
      <x:c r="AE31"/>
      <x:c r="AF31" t="str">
        <x:v>Anonymized Humanitarians case image 3 for HUM-030</x:v>
      </x:c>
      <x:c r="AG31" t="str">
        <x:v>Outcome/follow-up image - add only after consent.</x:v>
      </x:c>
      <x:c r="AH31" t="str">
        <x:v>Pending consent</x:v>
      </x:c>
      <x:c r="AI31" t="str">
        <x:v>Paste public Google Drive image URLs only after recipient consent and privacy review.</x:v>
      </x:c>
      <x:c r="AJ31" t="str">
        <x:v>Seeded from latest uploaded workbook and public-safe v2 case-story data.</x:v>
      </x:c>
      <x:c r="AK31" t="str">
        <x:v>Add/edit cases here only. Formula tabs will update after upload/recalculation in Google Sheets.</x:v>
      </x:c>
    </x:row>
    <x:row r="32">
      <x:c r="A32" t="str">
        <x:v>HUM-031</x:v>
      </x:c>
      <x:c r="B32" t="str">
        <x:v>TRUE</x:v>
      </x:c>
      <x:c r="C32" t="str">
        <x:v>No</x:v>
      </x:c>
      <x:c r="D32" t="str">
        <x:v>Draft</x:v>
      </x:c>
      <x:c r="E32" t="str">
        <x:v>TRUE</x:v>
      </x:c>
      <x:c r="F32" t="str">
        <x:v>Jul 2025</x:v>
      </x:c>
      <x:c r="G32" t="n">
        <x:f>IF($A32="","",IF($F32="Dec 2025-Apr 2026",2026045,YEAR($H32)*100+MONTH($H32)))</x:f>
        <x:v>202507</x:v>
      </x:c>
      <x:c r="H32" t="n">
        <x:v>45839</x:v>
      </x:c>
      <x:c r="I32" t="str">
        <x:v>Support for 2nd hand E-rickshaw</x:v>
      </x:c>
      <x:c r="J32" t="str">
        <x:v>Anonymized case HUM-031</x:v>
      </x:c>
      <x:c r="K32" t="str">
        <x:v>Livelihood</x:v>
      </x:c>
      <x:c r="L32" t="str">
        <x:v>E-rickshaw / auto</x:v>
      </x:c>
      <x:c r="M32" t="n">
        <x:v>0</x:v>
      </x:c>
      <x:c r="N32" t="n">
        <x:v>6000</x:v>
      </x:c>
      <x:c r="O32" t="n">
        <x:f>IF($A32="","",N($M32)+N($N32))</x:f>
        <x:v>6000</x:v>
      </x:c>
      <x:c r="P32" t="str">
        <x:f>IF($A32="","",IF(AND(N($M32)&gt;0,N($N32)&gt;0),"Mixed",IF(N($M32)&gt;0,"Zakat",IF(N($N32)&gt;0,"Sadaqah",""))))</x:f>
        <x:v>Sadaqah</x:v>
      </x:c>
      <x:c r="Q32" t="str">
        <x:v>Bihar</x:v>
      </x:c>
      <x:c r="R32" t="str">
        <x:f>IF($A32="","",IFS($O32&lt;5000,"Under ₹5,000",$O32&lt;=10000,"₹5,000–₹10,000",$O32&lt;=15000,"₹10,000–₹15,000",$O32&lt;=25000,"₹15,000–₹25,000",$O32&lt;=50000,"₹25,000–₹50,000",TRUE,"₹50,000+"))</x:f>
        <x:v>₹5,000–₹10,000</x:v>
      </x:c>
      <x:c r="S32" t="str">
        <x:v>A verified recipient/family needed support related to e-rickshaw / auto.</x:v>
      </x:c>
      <x:c r="T32" t="str">
        <x:v>Humanitarians supported the case through Sadaqah funds for support for 2nd hand e-rickshaw.</x:v>
      </x:c>
      <x:c r="U32" t="str">
        <x:v>Outcome/update should be added only after verified follow-up.</x:v>
      </x:c>
      <x:c r="V32" t="str">
        <x:v>Add follow-up notes after checking with the verification team.</x:v>
      </x:c>
      <x:c r="W32" t="str">
        <x:v>Add a real quote only with consent; do not publish this placeholder as a recipient quote.</x:v>
      </x:c>
      <x:c r="X32" t="str">
        <x:v>Anonymized public summary; no full name, phone, address, ID, bank details, or donor identity included.</x:v>
      </x:c>
      <x:c r="Y32"/>
      <x:c r="Z32" t="str">
        <x:v>Anonymized Humanitarians case image 1 for HUM-031</x:v>
      </x:c>
      <x:c r="AA32" t="str">
        <x:v>Before/support context image - add only after consent.</x:v>
      </x:c>
      <x:c r="AB32"/>
      <x:c r="AC32" t="str">
        <x:v>Anonymized Humanitarians case image 2 for HUM-031</x:v>
      </x:c>
      <x:c r="AD32" t="str">
        <x:v>Support/equipment image - add only after consent.</x:v>
      </x:c>
      <x:c r="AE32"/>
      <x:c r="AF32" t="str">
        <x:v>Anonymized Humanitarians case image 3 for HUM-031</x:v>
      </x:c>
      <x:c r="AG32" t="str">
        <x:v>Outcome/follow-up image - add only after consent.</x:v>
      </x:c>
      <x:c r="AH32" t="str">
        <x:v>Pending consent</x:v>
      </x:c>
      <x:c r="AI32" t="str">
        <x:v>Paste public Google Drive image URLs only after recipient consent and privacy review.</x:v>
      </x:c>
      <x:c r="AJ32" t="str">
        <x:v>Seeded from latest uploaded workbook and public-safe v2 case-story data.</x:v>
      </x:c>
      <x:c r="AK32" t="str">
        <x:v>Add/edit cases here only. Formula tabs will update after upload/recalculation in Google Sheets.</x:v>
      </x:c>
    </x:row>
    <x:row r="33">
      <x:c r="A33" t="str">
        <x:v>HUM-032</x:v>
      </x:c>
      <x:c r="B33" t="str">
        <x:v>TRUE</x:v>
      </x:c>
      <x:c r="C33" t="str">
        <x:v>No</x:v>
      </x:c>
      <x:c r="D33" t="str">
        <x:v>Draft</x:v>
      </x:c>
      <x:c r="E33" t="str">
        <x:v>TRUE</x:v>
      </x:c>
      <x:c r="F33" t="str">
        <x:v>Aug 2025</x:v>
      </x:c>
      <x:c r="G33" t="n">
        <x:f>IF($A33="","",IF($F33="Dec 2025-Apr 2026",2026045,YEAR($H33)*100+MONTH($H33)))</x:f>
        <x:v>202508</x:v>
      </x:c>
      <x:c r="H33" t="n">
        <x:v>45870</x:v>
      </x:c>
      <x:c r="I33" t="str">
        <x:v>3 Sewing Machines</x:v>
      </x:c>
      <x:c r="J33" t="str">
        <x:v>Anonymized case HUM-032</x:v>
      </x:c>
      <x:c r="K33" t="str">
        <x:v>Livelihood</x:v>
      </x:c>
      <x:c r="L33" t="str">
        <x:v>Sewing / tailoring</x:v>
      </x:c>
      <x:c r="M33" t="n">
        <x:v>0</x:v>
      </x:c>
      <x:c r="N33" t="n">
        <x:v>25000</x:v>
      </x:c>
      <x:c r="O33" t="n">
        <x:f>IF($A33="","",N($M33)+N($N33))</x:f>
        <x:v>25000</x:v>
      </x:c>
      <x:c r="P33" t="str">
        <x:f>IF($A33="","",IF(AND(N($M33)&gt;0,N($N33)&gt;0),"Mixed",IF(N($M33)&gt;0,"Zakat",IF(N($N33)&gt;0,"Sadaqah",""))))</x:f>
        <x:v>Sadaqah</x:v>
      </x:c>
      <x:c r="Q33" t="str">
        <x:v>Basti, UP</x:v>
      </x:c>
      <x:c r="R33" t="str">
        <x:f>IF($A33="","",IFS($O33&lt;5000,"Under ₹5,000",$O33&lt;=10000,"₹5,000–₹10,000",$O33&lt;=15000,"₹10,000–₹15,000",$O33&lt;=25000,"₹15,000–₹25,000",$O33&lt;=50000,"₹25,000–₹50,000",TRUE,"₹50,000+"))</x:f>
        <x:v>₹15,000–₹25,000</x:v>
      </x:c>
      <x:c r="S33" t="str">
        <x:v>A verified recipient/family needed support related to sewing / tailoring.</x:v>
      </x:c>
      <x:c r="T33" t="str">
        <x:v>Humanitarians supported the case through Sadaqah funds for 3 sewing machines.</x:v>
      </x:c>
      <x:c r="U33" t="str">
        <x:v>Outcome/update should be added only after verified follow-up.</x:v>
      </x:c>
      <x:c r="V33" t="str">
        <x:v>Add follow-up notes after checking with the verification team.</x:v>
      </x:c>
      <x:c r="W33" t="str">
        <x:v>Add a real quote only with consent; do not publish this placeholder as a recipient quote.</x:v>
      </x:c>
      <x:c r="X33" t="str">
        <x:v>Anonymized public summary; no full name, phone, address, ID, bank details, or donor identity included.</x:v>
      </x:c>
      <x:c r="Y33"/>
      <x:c r="Z33" t="str">
        <x:v>Anonymized Humanitarians case image 1 for HUM-032</x:v>
      </x:c>
      <x:c r="AA33" t="str">
        <x:v>Before/support context image - add only after consent.</x:v>
      </x:c>
      <x:c r="AB33"/>
      <x:c r="AC33" t="str">
        <x:v>Anonymized Humanitarians case image 2 for HUM-032</x:v>
      </x:c>
      <x:c r="AD33" t="str">
        <x:v>Support/equipment image - add only after consent.</x:v>
      </x:c>
      <x:c r="AE33"/>
      <x:c r="AF33" t="str">
        <x:v>Anonymized Humanitarians case image 3 for HUM-032</x:v>
      </x:c>
      <x:c r="AG33" t="str">
        <x:v>Outcome/follow-up image - add only after consent.</x:v>
      </x:c>
      <x:c r="AH33" t="str">
        <x:v>Pending consent</x:v>
      </x:c>
      <x:c r="AI33" t="str">
        <x:v>Paste public Google Drive image URLs only after recipient consent and privacy review.</x:v>
      </x:c>
      <x:c r="AJ33" t="str">
        <x:v>Seeded from latest uploaded workbook and public-safe v2 case-story data.</x:v>
      </x:c>
      <x:c r="AK33" t="str">
        <x:v>Add/edit cases here only. Formula tabs will update after upload/recalculation in Google Sheets.</x:v>
      </x:c>
    </x:row>
    <x:row r="34">
      <x:c r="A34" t="str">
        <x:v>HUM-033</x:v>
      </x:c>
      <x:c r="B34" t="str">
        <x:v>TRUE</x:v>
      </x:c>
      <x:c r="C34" t="str">
        <x:v>No</x:v>
      </x:c>
      <x:c r="D34" t="str">
        <x:v>Draft</x:v>
      </x:c>
      <x:c r="E34" t="str">
        <x:v>TRUE</x:v>
      </x:c>
      <x:c r="F34" t="str">
        <x:v>Aug 2025</x:v>
      </x:c>
      <x:c r="G34" t="n">
        <x:f>IF($A34="","",IF($F34="Dec 2025-Apr 2026",2026045,YEAR($H34)*100+MONTH($H34)))</x:f>
        <x:v>202508</x:v>
      </x:c>
      <x:c r="H34" t="n">
        <x:v>45870</x:v>
      </x:c>
      <x:c r="I34" t="str">
        <x:v>Support for Biryani Shop</x:v>
      </x:c>
      <x:c r="J34" t="str">
        <x:v>Anonymized case HUM-033</x:v>
      </x:c>
      <x:c r="K34" t="str">
        <x:v>Livelihood</x:v>
      </x:c>
      <x:c r="L34" t="str">
        <x:v>Shop / business inventory</x:v>
      </x:c>
      <x:c r="M34" t="n">
        <x:v>0</x:v>
      </x:c>
      <x:c r="N34" t="n">
        <x:v>5000</x:v>
      </x:c>
      <x:c r="O34" t="n">
        <x:f>IF($A34="","",N($M34)+N($N34))</x:f>
        <x:v>5000</x:v>
      </x:c>
      <x:c r="P34" t="str">
        <x:f>IF($A34="","",IF(AND(N($M34)&gt;0,N($N34)&gt;0),"Mixed",IF(N($M34)&gt;0,"Zakat",IF(N($N34)&gt;0,"Sadaqah",""))))</x:f>
        <x:v>Sadaqah</x:v>
      </x:c>
      <x:c r="Q34" t="str">
        <x:v>Location withheld</x:v>
      </x:c>
      <x:c r="R34" t="str">
        <x:f>IF($A34="","",IFS($O34&lt;5000,"Under ₹5,000",$O34&lt;=10000,"₹5,000–₹10,000",$O34&lt;=15000,"₹10,000–₹15,000",$O34&lt;=25000,"₹15,000–₹25,000",$O34&lt;=50000,"₹25,000–₹50,000",TRUE,"₹50,000+"))</x:f>
        <x:v>₹5,000–₹10,000</x:v>
      </x:c>
      <x:c r="S34" t="str">
        <x:v>A verified recipient/family needed support related to shop / business inventory.</x:v>
      </x:c>
      <x:c r="T34" t="str">
        <x:v>Humanitarians supported the case through Sadaqah funds for support for biryani shop.</x:v>
      </x:c>
      <x:c r="U34" t="str">
        <x:v>Outcome/update should be added only after verified follow-up.</x:v>
      </x:c>
      <x:c r="V34" t="str">
        <x:v>Add follow-up notes after checking with the verification team.</x:v>
      </x:c>
      <x:c r="W34" t="str">
        <x:v>Add a real quote only with consent; do not publish this placeholder as a recipient quote.</x:v>
      </x:c>
      <x:c r="X34" t="str">
        <x:v>Anonymized public summary; no full name, phone, address, ID, bank details, or donor identity included.</x:v>
      </x:c>
      <x:c r="Y34"/>
      <x:c r="Z34" t="str">
        <x:v>Anonymized Humanitarians case image 1 for HUM-033</x:v>
      </x:c>
      <x:c r="AA34" t="str">
        <x:v>Before/support context image - add only after consent.</x:v>
      </x:c>
      <x:c r="AB34"/>
      <x:c r="AC34" t="str">
        <x:v>Anonymized Humanitarians case image 2 for HUM-033</x:v>
      </x:c>
      <x:c r="AD34" t="str">
        <x:v>Support/equipment image - add only after consent.</x:v>
      </x:c>
      <x:c r="AE34"/>
      <x:c r="AF34" t="str">
        <x:v>Anonymized Humanitarians case image 3 for HUM-033</x:v>
      </x:c>
      <x:c r="AG34" t="str">
        <x:v>Outcome/follow-up image - add only after consent.</x:v>
      </x:c>
      <x:c r="AH34" t="str">
        <x:v>Pending consent</x:v>
      </x:c>
      <x:c r="AI34" t="str">
        <x:v>Paste public Google Drive image URLs only after recipient consent and privacy review.</x:v>
      </x:c>
      <x:c r="AJ34" t="str">
        <x:v>Seeded from latest uploaded workbook and public-safe v2 case-story data.</x:v>
      </x:c>
      <x:c r="AK34" t="str">
        <x:v>Add/edit cases here only. Formula tabs will update after upload/recalculation in Google Sheets.</x:v>
      </x:c>
    </x:row>
    <x:row r="35">
      <x:c r="A35" t="str">
        <x:v>HUM-034</x:v>
      </x:c>
      <x:c r="B35" t="str">
        <x:v>TRUE</x:v>
      </x:c>
      <x:c r="C35" t="str">
        <x:v>No</x:v>
      </x:c>
      <x:c r="D35" t="str">
        <x:v>Draft</x:v>
      </x:c>
      <x:c r="E35" t="str">
        <x:v>TRUE</x:v>
      </x:c>
      <x:c r="F35" t="str">
        <x:v>Aug 2025</x:v>
      </x:c>
      <x:c r="G35" t="n">
        <x:f>IF($A35="","",IF($F35="Dec 2025-Apr 2026",2026045,YEAR($H35)*100+MONTH($H35)))</x:f>
        <x:v>202508</x:v>
      </x:c>
      <x:c r="H35" t="n">
        <x:v>45870</x:v>
      </x:c>
      <x:c r="I35" t="str">
        <x:v>Support for Kirana Shop</x:v>
      </x:c>
      <x:c r="J35" t="str">
        <x:v>Anonymized case HUM-034</x:v>
      </x:c>
      <x:c r="K35" t="str">
        <x:v>Livelihood</x:v>
      </x:c>
      <x:c r="L35" t="str">
        <x:v>Shop / business inventory</x:v>
      </x:c>
      <x:c r="M35" t="n">
        <x:v>0</x:v>
      </x:c>
      <x:c r="N35" t="n">
        <x:v>20000</x:v>
      </x:c>
      <x:c r="O35" t="n">
        <x:f>IF($A35="","",N($M35)+N($N35))</x:f>
        <x:v>20000</x:v>
      </x:c>
      <x:c r="P35" t="str">
        <x:f>IF($A35="","",IF(AND(N($M35)&gt;0,N($N35)&gt;0),"Mixed",IF(N($M35)&gt;0,"Zakat",IF(N($N35)&gt;0,"Sadaqah",""))))</x:f>
        <x:v>Sadaqah</x:v>
      </x:c>
      <x:c r="Q35" t="str">
        <x:v>Mallawan, UP</x:v>
      </x:c>
      <x:c r="R35" t="str">
        <x:f>IF($A35="","",IFS($O35&lt;5000,"Under ₹5,000",$O35&lt;=10000,"₹5,000–₹10,000",$O35&lt;=15000,"₹10,000–₹15,000",$O35&lt;=25000,"₹15,000–₹25,000",$O35&lt;=50000,"₹25,000–₹50,000",TRUE,"₹50,000+"))</x:f>
        <x:v>₹15,000–₹25,000</x:v>
      </x:c>
      <x:c r="S35" t="str">
        <x:v>A verified recipient/family needed support related to shop / business inventory.</x:v>
      </x:c>
      <x:c r="T35" t="str">
        <x:v>Humanitarians supported the case through Sadaqah funds for support for kirana shop.</x:v>
      </x:c>
      <x:c r="U35" t="str">
        <x:v>Outcome/update should be added only after verified follow-up.</x:v>
      </x:c>
      <x:c r="V35" t="str">
        <x:v>Add follow-up notes after checking with the verification team.</x:v>
      </x:c>
      <x:c r="W35" t="str">
        <x:v>Add a real quote only with consent; do not publish this placeholder as a recipient quote.</x:v>
      </x:c>
      <x:c r="X35" t="str">
        <x:v>Anonymized public summary; no full name, phone, address, ID, bank details, or donor identity included.</x:v>
      </x:c>
      <x:c r="Y35"/>
      <x:c r="Z35" t="str">
        <x:v>Anonymized Humanitarians case image 1 for HUM-034</x:v>
      </x:c>
      <x:c r="AA35" t="str">
        <x:v>Before/support context image - add only after consent.</x:v>
      </x:c>
      <x:c r="AB35"/>
      <x:c r="AC35" t="str">
        <x:v>Anonymized Humanitarians case image 2 for HUM-034</x:v>
      </x:c>
      <x:c r="AD35" t="str">
        <x:v>Support/equipment image - add only after consent.</x:v>
      </x:c>
      <x:c r="AE35"/>
      <x:c r="AF35" t="str">
        <x:v>Anonymized Humanitarians case image 3 for HUM-034</x:v>
      </x:c>
      <x:c r="AG35" t="str">
        <x:v>Outcome/follow-up image - add only after consent.</x:v>
      </x:c>
      <x:c r="AH35" t="str">
        <x:v>Pending consent</x:v>
      </x:c>
      <x:c r="AI35" t="str">
        <x:v>Paste public Google Drive image URLs only after recipient consent and privacy review.</x:v>
      </x:c>
      <x:c r="AJ35" t="str">
        <x:v>Seeded from latest uploaded workbook and public-safe v2 case-story data.</x:v>
      </x:c>
      <x:c r="AK35" t="str">
        <x:v>Add/edit cases here only. Formula tabs will update after upload/recalculation in Google Sheets.</x:v>
      </x:c>
    </x:row>
    <x:row r="36">
      <x:c r="A36" t="str">
        <x:v>HUM-035</x:v>
      </x:c>
      <x:c r="B36" t="str">
        <x:v>TRUE</x:v>
      </x:c>
      <x:c r="C36" t="str">
        <x:v>No</x:v>
      </x:c>
      <x:c r="D36" t="str">
        <x:v>Archive</x:v>
      </x:c>
      <x:c r="E36" t="str">
        <x:v>FALSE</x:v>
      </x:c>
      <x:c r="F36" t="str">
        <x:v>Sep 2025</x:v>
      </x:c>
      <x:c r="G36" t="n">
        <x:f>IF($A36="","",IF($F36="Dec 2025-Apr 2026",2026045,YEAR($H36)*100+MONTH($H36)))</x:f>
        <x:v>202509</x:v>
      </x:c>
      <x:c r="H36" t="n">
        <x:v>45901</x:v>
      </x:c>
      <x:c r="I36" t="str">
        <x:v>Rapid Vacuum Cleaner</x:v>
      </x:c>
      <x:c r="J36" t="str">
        <x:v>Anonymized case HUM-035</x:v>
      </x:c>
      <x:c r="K36" t="str">
        <x:v>Livelihood</x:v>
      </x:c>
      <x:c r="L36" t="str">
        <x:v>Tools / equipment</x:v>
      </x:c>
      <x:c r="M36" t="n">
        <x:v>0</x:v>
      </x:c>
      <x:c r="N36" t="n">
        <x:v>3800</x:v>
      </x:c>
      <x:c r="O36" t="n">
        <x:f>IF($A36="","",N($M36)+N($N36))</x:f>
        <x:v>3800</x:v>
      </x:c>
      <x:c r="P36" t="str">
        <x:f>IF($A36="","",IF(AND(N($M36)&gt;0,N($N36)&gt;0),"Mixed",IF(N($M36)&gt;0,"Zakat",IF(N($N36)&gt;0,"Sadaqah",""))))</x:f>
        <x:v>Sadaqah</x:v>
      </x:c>
      <x:c r="Q36" t="str">
        <x:v>Basti, UP</x:v>
      </x:c>
      <x:c r="R36" t="str">
        <x:f>IF($A36="","",IFS($O36&lt;5000,"Under ₹5,000",$O36&lt;=10000,"₹5,000–₹10,000",$O36&lt;=15000,"₹10,000–₹15,000",$O36&lt;=25000,"₹15,000–₹25,000",$O36&lt;=50000,"₹25,000–₹50,000",TRUE,"₹50,000+"))</x:f>
        <x:v>Under ₹5,000</x:v>
      </x:c>
      <x:c r="S36" t="str">
        <x:v>A verified recipient/family needed support related to tools / equipment.</x:v>
      </x:c>
      <x:c r="T36" t="str">
        <x:v>Humanitarians supported the case through Sadaqah funds for rapid vacuum cleaner.</x:v>
      </x:c>
      <x:c r="U36" t="str">
        <x:v>Outcome/update should be added only after verified follow-up.</x:v>
      </x:c>
      <x:c r="V36" t="str">
        <x:v>Add follow-up notes after checking with the verification team.</x:v>
      </x:c>
      <x:c r="W36" t="str">
        <x:v>Add a real quote only with consent; do not publish this placeholder as a recipient quote.</x:v>
      </x:c>
      <x:c r="X36" t="str">
        <x:v>Anonymized public summary; no full name, phone, address, ID, bank details, or donor identity included.</x:v>
      </x:c>
      <x:c r="Y36"/>
      <x:c r="Z36" t="str">
        <x:v>Anonymized Humanitarians case image 1 for HUM-035</x:v>
      </x:c>
      <x:c r="AA36" t="str">
        <x:v>Before/support context image - add only after consent.</x:v>
      </x:c>
      <x:c r="AB36"/>
      <x:c r="AC36" t="str">
        <x:v>Anonymized Humanitarians case image 2 for HUM-035</x:v>
      </x:c>
      <x:c r="AD36" t="str">
        <x:v>Support/equipment image - add only after consent.</x:v>
      </x:c>
      <x:c r="AE36"/>
      <x:c r="AF36" t="str">
        <x:v>Anonymized Humanitarians case image 3 for HUM-035</x:v>
      </x:c>
      <x:c r="AG36" t="str">
        <x:v>Outcome/follow-up image - add only after consent.</x:v>
      </x:c>
      <x:c r="AH36" t="str">
        <x:v>Pending consent</x:v>
      </x:c>
      <x:c r="AI36" t="str">
        <x:v>Paste public Google Drive image URLs only after recipient consent and privacy review.</x:v>
      </x:c>
      <x:c r="AJ36" t="str">
        <x:v>Seeded from latest uploaded workbook and public-safe v2 case-story data.</x:v>
      </x:c>
      <x:c r="AK36" t="str">
        <x:v>Add/edit cases here only. Formula tabs will update after upload/recalculation in Google Sheets.</x:v>
      </x:c>
    </x:row>
    <x:row r="37">
      <x:c r="A37" t="str">
        <x:v>HUM-036</x:v>
      </x:c>
      <x:c r="B37" t="str">
        <x:v>TRUE</x:v>
      </x:c>
      <x:c r="C37" t="str">
        <x:v>No</x:v>
      </x:c>
      <x:c r="D37" t="str">
        <x:v>Draft</x:v>
      </x:c>
      <x:c r="E37" t="str">
        <x:v>TRUE</x:v>
      </x:c>
      <x:c r="F37" t="str">
        <x:v>Sep 2025</x:v>
      </x:c>
      <x:c r="G37" t="n">
        <x:f>IF($A37="","",IF($F37="Dec 2025-Apr 2026",2026045,YEAR($H37)*100+MONTH($H37)))</x:f>
        <x:v>202509</x:v>
      </x:c>
      <x:c r="H37" t="n">
        <x:v>45901</x:v>
      </x:c>
      <x:c r="I37" t="str">
        <x:v>Support for Maktab set up</x:v>
      </x:c>
      <x:c r="J37" t="str">
        <x:v>Anonymized case HUM-036</x:v>
      </x:c>
      <x:c r="K37" t="str">
        <x:v>Skill Sponsorship</x:v>
      </x:c>
      <x:c r="L37" t="str">
        <x:v>Education / Maktab</x:v>
      </x:c>
      <x:c r="M37" t="n">
        <x:v>14900</x:v>
      </x:c>
      <x:c r="N37" t="n">
        <x:v>15100</x:v>
      </x:c>
      <x:c r="O37" t="n">
        <x:f>IF($A37="","",N($M37)+N($N37))</x:f>
        <x:v>30000</x:v>
      </x:c>
      <x:c r="P37" t="str">
        <x:f>IF($A37="","",IF(AND(N($M37)&gt;0,N($N37)&gt;0),"Mixed",IF(N($M37)&gt;0,"Zakat",IF(N($N37)&gt;0,"Sadaqah",""))))</x:f>
        <x:v>Mixed</x:v>
      </x:c>
      <x:c r="Q37" t="str">
        <x:v>Delhi</x:v>
      </x:c>
      <x:c r="R37" t="str">
        <x:f>IF($A37="","",IFS($O37&lt;5000,"Under ₹5,000",$O37&lt;=10000,"₹5,000–₹10,000",$O37&lt;=15000,"₹10,000–₹15,000",$O37&lt;=25000,"₹15,000–₹25,000",$O37&lt;=50000,"₹25,000–₹50,000",TRUE,"₹50,000+"))</x:f>
        <x:v>₹25,000–₹50,000</x:v>
      </x:c>
      <x:c r="S37" t="str">
        <x:v>A verified recipient/family needed support related to education / maktab.</x:v>
      </x:c>
      <x:c r="T37" t="str">
        <x:v>Humanitarians supported the case through Mixed funds for support for maktab set up.</x:v>
      </x:c>
      <x:c r="U37" t="str">
        <x:v>Outcome/update should be added only after verified follow-up.</x:v>
      </x:c>
      <x:c r="V37" t="str">
        <x:v>Add follow-up notes after checking with the verification team.</x:v>
      </x:c>
      <x:c r="W37" t="str">
        <x:v>Add a real quote only with consent; do not publish this placeholder as a recipient quote.</x:v>
      </x:c>
      <x:c r="X37" t="str">
        <x:v>Anonymized public summary; no full name, phone, address, ID, bank details, or donor identity included.</x:v>
      </x:c>
      <x:c r="Y37"/>
      <x:c r="Z37" t="str">
        <x:v>Anonymized Humanitarians case image 1 for HUM-036</x:v>
      </x:c>
      <x:c r="AA37" t="str">
        <x:v>Before/support context image - add only after consent.</x:v>
      </x:c>
      <x:c r="AB37"/>
      <x:c r="AC37" t="str">
        <x:v>Anonymized Humanitarians case image 2 for HUM-036</x:v>
      </x:c>
      <x:c r="AD37" t="str">
        <x:v>Support/equipment image - add only after consent.</x:v>
      </x:c>
      <x:c r="AE37"/>
      <x:c r="AF37" t="str">
        <x:v>Anonymized Humanitarians case image 3 for HUM-036</x:v>
      </x:c>
      <x:c r="AG37" t="str">
        <x:v>Outcome/follow-up image - add only after consent.</x:v>
      </x:c>
      <x:c r="AH37" t="str">
        <x:v>Pending consent</x:v>
      </x:c>
      <x:c r="AI37" t="str">
        <x:v>Paste public Google Drive image URLs only after recipient consent and privacy review.</x:v>
      </x:c>
      <x:c r="AJ37" t="str">
        <x:v>Seeded from latest uploaded workbook and public-safe v2 case-story data.</x:v>
      </x:c>
      <x:c r="AK37" t="str">
        <x:v>Add/edit cases here only. Formula tabs will update after upload/recalculation in Google Sheets.</x:v>
      </x:c>
    </x:row>
    <x:row r="38">
      <x:c r="A38" t="str">
        <x:v>HUM-037</x:v>
      </x:c>
      <x:c r="B38" t="str">
        <x:v>TRUE</x:v>
      </x:c>
      <x:c r="C38" t="str">
        <x:v>No</x:v>
      </x:c>
      <x:c r="D38" t="str">
        <x:v>Draft</x:v>
      </x:c>
      <x:c r="E38" t="str">
        <x:v>TRUE</x:v>
      </x:c>
      <x:c r="F38" t="str">
        <x:v>Sep 2025</x:v>
      </x:c>
      <x:c r="G38" t="n">
        <x:f>IF($A38="","",IF($F38="Dec 2025-Apr 2026",2026045,YEAR($H38)*100+MONTH($H38)))</x:f>
        <x:v>202509</x:v>
      </x:c>
      <x:c r="H38" t="n">
        <x:v>45901</x:v>
      </x:c>
      <x:c r="I38" t="str">
        <x:v>Support for Sewing Business</x:v>
      </x:c>
      <x:c r="J38" t="str">
        <x:v>Anonymized case HUM-037</x:v>
      </x:c>
      <x:c r="K38" t="str">
        <x:v>Livelihood</x:v>
      </x:c>
      <x:c r="L38" t="str">
        <x:v>Sewing / tailoring</x:v>
      </x:c>
      <x:c r="M38" t="n">
        <x:v>0</x:v>
      </x:c>
      <x:c r="N38" t="n">
        <x:v>25000</x:v>
      </x:c>
      <x:c r="O38" t="n">
        <x:f>IF($A38="","",N($M38)+N($N38))</x:f>
        <x:v>25000</x:v>
      </x:c>
      <x:c r="P38" t="str">
        <x:f>IF($A38="","",IF(AND(N($M38)&gt;0,N($N38)&gt;0),"Mixed",IF(N($M38)&gt;0,"Zakat",IF(N($N38)&gt;0,"Sadaqah",""))))</x:f>
        <x:v>Sadaqah</x:v>
      </x:c>
      <x:c r="Q38" t="str">
        <x:v>Kanpur, UP</x:v>
      </x:c>
      <x:c r="R38" t="str">
        <x:f>IF($A38="","",IFS($O38&lt;5000,"Under ₹5,000",$O38&lt;=10000,"₹5,000–₹10,000",$O38&lt;=15000,"₹10,000–₹15,000",$O38&lt;=25000,"₹15,000–₹25,000",$O38&lt;=50000,"₹25,000–₹50,000",TRUE,"₹50,000+"))</x:f>
        <x:v>₹15,000–₹25,000</x:v>
      </x:c>
      <x:c r="S38" t="str">
        <x:v>A verified recipient/family needed support related to sewing / tailoring.</x:v>
      </x:c>
      <x:c r="T38" t="str">
        <x:v>Humanitarians supported the case through Sadaqah funds for support for sewing business.</x:v>
      </x:c>
      <x:c r="U38" t="str">
        <x:v>Outcome/update should be added only after verified follow-up.</x:v>
      </x:c>
      <x:c r="V38" t="str">
        <x:v>Add follow-up notes after checking with the verification team.</x:v>
      </x:c>
      <x:c r="W38" t="str">
        <x:v>Add a real quote only with consent; do not publish this placeholder as a recipient quote.</x:v>
      </x:c>
      <x:c r="X38" t="str">
        <x:v>Anonymized public summary; no full name, phone, address, ID, bank details, or donor identity included.</x:v>
      </x:c>
      <x:c r="Y38"/>
      <x:c r="Z38" t="str">
        <x:v>Anonymized Humanitarians case image 1 for HUM-037</x:v>
      </x:c>
      <x:c r="AA38" t="str">
        <x:v>Before/support context image - add only after consent.</x:v>
      </x:c>
      <x:c r="AB38"/>
      <x:c r="AC38" t="str">
        <x:v>Anonymized Humanitarians case image 2 for HUM-037</x:v>
      </x:c>
      <x:c r="AD38" t="str">
        <x:v>Support/equipment image - add only after consent.</x:v>
      </x:c>
      <x:c r="AE38"/>
      <x:c r="AF38" t="str">
        <x:v>Anonymized Humanitarians case image 3 for HUM-037</x:v>
      </x:c>
      <x:c r="AG38" t="str">
        <x:v>Outcome/follow-up image - add only after consent.</x:v>
      </x:c>
      <x:c r="AH38" t="str">
        <x:v>Pending consent</x:v>
      </x:c>
      <x:c r="AI38" t="str">
        <x:v>Paste public Google Drive image URLs only after recipient consent and privacy review.</x:v>
      </x:c>
      <x:c r="AJ38" t="str">
        <x:v>Seeded from latest uploaded workbook and public-safe v2 case-story data.</x:v>
      </x:c>
      <x:c r="AK38" t="str">
        <x:v>Add/edit cases here only. Formula tabs will update after upload/recalculation in Google Sheets.</x:v>
      </x:c>
    </x:row>
    <x:row r="39">
      <x:c r="A39" t="str">
        <x:v>HUM-038</x:v>
      </x:c>
      <x:c r="B39" t="str">
        <x:v>TRUE</x:v>
      </x:c>
      <x:c r="C39" t="str">
        <x:v>No</x:v>
      </x:c>
      <x:c r="D39" t="str">
        <x:v>Archive</x:v>
      </x:c>
      <x:c r="E39" t="str">
        <x:v>FALSE</x:v>
      </x:c>
      <x:c r="F39" t="str">
        <x:v>Sep 2025</x:v>
      </x:c>
      <x:c r="G39" t="n">
        <x:f>IF($A39="","",IF($F39="Dec 2025-Apr 2026",2026045,YEAR($H39)*100+MONTH($H39)))</x:f>
        <x:v>202509</x:v>
      </x:c>
      <x:c r="H39" t="n">
        <x:v>45901</x:v>
      </x:c>
      <x:c r="I39" t="str">
        <x:v>Support to Clothing business</x:v>
      </x:c>
      <x:c r="J39" t="str">
        <x:v>Anonymized case HUM-038</x:v>
      </x:c>
      <x:c r="K39" t="str">
        <x:v>Livelihood</x:v>
      </x:c>
      <x:c r="L39" t="str">
        <x:v>Shop / business inventory</x:v>
      </x:c>
      <x:c r="M39" t="n">
        <x:v>0</x:v>
      </x:c>
      <x:c r="N39" t="n">
        <x:v>20000</x:v>
      </x:c>
      <x:c r="O39" t="n">
        <x:f>IF($A39="","",N($M39)+N($N39))</x:f>
        <x:v>20000</x:v>
      </x:c>
      <x:c r="P39" t="str">
        <x:f>IF($A39="","",IF(AND(N($M39)&gt;0,N($N39)&gt;0),"Mixed",IF(N($M39)&gt;0,"Zakat",IF(N($N39)&gt;0,"Sadaqah",""))))</x:f>
        <x:v>Sadaqah</x:v>
      </x:c>
      <x:c r="Q39" t="str">
        <x:v>Bihar</x:v>
      </x:c>
      <x:c r="R39" t="str">
        <x:f>IF($A39="","",IFS($O39&lt;5000,"Under ₹5,000",$O39&lt;=10000,"₹5,000–₹10,000",$O39&lt;=15000,"₹10,000–₹15,000",$O39&lt;=25000,"₹15,000–₹25,000",$O39&lt;=50000,"₹25,000–₹50,000",TRUE,"₹50,000+"))</x:f>
        <x:v>₹15,000–₹25,000</x:v>
      </x:c>
      <x:c r="S39" t="str">
        <x:v>A verified recipient/family needed support related to shop / business inventory.</x:v>
      </x:c>
      <x:c r="T39" t="str">
        <x:v>Humanitarians supported the case through Sadaqah funds for support to clothing business.</x:v>
      </x:c>
      <x:c r="U39" t="str">
        <x:v>Outcome/update should be added only after verified follow-up.</x:v>
      </x:c>
      <x:c r="V39" t="str">
        <x:v>Add follow-up notes after checking with the verification team.</x:v>
      </x:c>
      <x:c r="W39" t="str">
        <x:v>Add a real quote only with consent; do not publish this placeholder as a recipient quote.</x:v>
      </x:c>
      <x:c r="X39" t="str">
        <x:v>Anonymized public summary; no full name, phone, address, ID, bank details, or donor identity included.</x:v>
      </x:c>
      <x:c r="Y39"/>
      <x:c r="Z39" t="str">
        <x:v>Anonymized Humanitarians case image 1 for HUM-038</x:v>
      </x:c>
      <x:c r="AA39" t="str">
        <x:v>Before/support context image - add only after consent.</x:v>
      </x:c>
      <x:c r="AB39"/>
      <x:c r="AC39" t="str">
        <x:v>Anonymized Humanitarians case image 2 for HUM-038</x:v>
      </x:c>
      <x:c r="AD39" t="str">
        <x:v>Support/equipment image - add only after consent.</x:v>
      </x:c>
      <x:c r="AE39"/>
      <x:c r="AF39" t="str">
        <x:v>Anonymized Humanitarians case image 3 for HUM-038</x:v>
      </x:c>
      <x:c r="AG39" t="str">
        <x:v>Outcome/follow-up image - add only after consent.</x:v>
      </x:c>
      <x:c r="AH39" t="str">
        <x:v>Pending consent</x:v>
      </x:c>
      <x:c r="AI39" t="str">
        <x:v>Paste public Google Drive image URLs only after recipient consent and privacy review.</x:v>
      </x:c>
      <x:c r="AJ39" t="str">
        <x:v>Seeded from latest uploaded workbook and public-safe v2 case-story data.</x:v>
      </x:c>
      <x:c r="AK39" t="str">
        <x:v>Add/edit cases here only. Formula tabs will update after upload/recalculation in Google Sheets.</x:v>
      </x:c>
    </x:row>
    <x:row r="40">
      <x:c r="A40" t="str">
        <x:v>HUM-039</x:v>
      </x:c>
      <x:c r="B40" t="str">
        <x:v>TRUE</x:v>
      </x:c>
      <x:c r="C40" t="str">
        <x:v>No</x:v>
      </x:c>
      <x:c r="D40" t="str">
        <x:v>Draft</x:v>
      </x:c>
      <x:c r="E40" t="str">
        <x:v>TRUE</x:v>
      </x:c>
      <x:c r="F40" t="str">
        <x:v>Sep 2025</x:v>
      </x:c>
      <x:c r="G40" t="n">
        <x:f>IF($A40="","",IF($F40="Dec 2025-Apr 2026",2026045,YEAR($H40)*100+MONTH($H40)))</x:f>
        <x:v>202509</x:v>
      </x:c>
      <x:c r="H40" t="n">
        <x:v>45901</x:v>
      </x:c>
      <x:c r="I40" t="str">
        <x:v>Support to Shoe Vendor</x:v>
      </x:c>
      <x:c r="J40" t="str">
        <x:v>Anonymized case HUM-039</x:v>
      </x:c>
      <x:c r="K40" t="str">
        <x:v>Livelihood</x:v>
      </x:c>
      <x:c r="L40" t="str">
        <x:v>Shop / business inventory</x:v>
      </x:c>
      <x:c r="M40" t="n">
        <x:v>0</x:v>
      </x:c>
      <x:c r="N40" t="n">
        <x:v>10000</x:v>
      </x:c>
      <x:c r="O40" t="n">
        <x:f>IF($A40="","",N($M40)+N($N40))</x:f>
        <x:v>10000</x:v>
      </x:c>
      <x:c r="P40" t="str">
        <x:f>IF($A40="","",IF(AND(N($M40)&gt;0,N($N40)&gt;0),"Mixed",IF(N($M40)&gt;0,"Zakat",IF(N($N40)&gt;0,"Sadaqah",""))))</x:f>
        <x:v>Sadaqah</x:v>
      </x:c>
      <x:c r="Q40" t="str">
        <x:v>Bihar</x:v>
      </x:c>
      <x:c r="R40" t="str">
        <x:f>IF($A40="","",IFS($O40&lt;5000,"Under ₹5,000",$O40&lt;=10000,"₹5,000–₹10,000",$O40&lt;=15000,"₹10,000–₹15,000",$O40&lt;=25000,"₹15,000–₹25,000",$O40&lt;=50000,"₹25,000–₹50,000",TRUE,"₹50,000+"))</x:f>
        <x:v>₹5,000–₹10,000</x:v>
      </x:c>
      <x:c r="S40" t="str">
        <x:v>A verified recipient/family needed support related to shop / business inventory.</x:v>
      </x:c>
      <x:c r="T40" t="str">
        <x:v>Humanitarians supported the case through Sadaqah funds for support to shoe vendor.</x:v>
      </x:c>
      <x:c r="U40" t="str">
        <x:v>Outcome/update should be added only after verified follow-up.</x:v>
      </x:c>
      <x:c r="V40" t="str">
        <x:v>Add follow-up notes after checking with the verification team.</x:v>
      </x:c>
      <x:c r="W40" t="str">
        <x:v>Add a real quote only with consent; do not publish this placeholder as a recipient quote.</x:v>
      </x:c>
      <x:c r="X40" t="str">
        <x:v>Anonymized public summary; no full name, phone, address, ID, bank details, or donor identity included.</x:v>
      </x:c>
      <x:c r="Y40"/>
      <x:c r="Z40" t="str">
        <x:v>Anonymized Humanitarians case image 1 for HUM-039</x:v>
      </x:c>
      <x:c r="AA40" t="str">
        <x:v>Before/support context image - add only after consent.</x:v>
      </x:c>
      <x:c r="AB40"/>
      <x:c r="AC40" t="str">
        <x:v>Anonymized Humanitarians case image 2 for HUM-039</x:v>
      </x:c>
      <x:c r="AD40" t="str">
        <x:v>Support/equipment image - add only after consent.</x:v>
      </x:c>
      <x:c r="AE40"/>
      <x:c r="AF40" t="str">
        <x:v>Anonymized Humanitarians case image 3 for HUM-039</x:v>
      </x:c>
      <x:c r="AG40" t="str">
        <x:v>Outcome/follow-up image - add only after consent.</x:v>
      </x:c>
      <x:c r="AH40" t="str">
        <x:v>Pending consent</x:v>
      </x:c>
      <x:c r="AI40" t="str">
        <x:v>Paste public Google Drive image URLs only after recipient consent and privacy review.</x:v>
      </x:c>
      <x:c r="AJ40" t="str">
        <x:v>Seeded from latest uploaded workbook and public-safe v2 case-story data.</x:v>
      </x:c>
      <x:c r="AK40" t="str">
        <x:v>Add/edit cases here only. Formula tabs will update after upload/recalculation in Google Sheets.</x:v>
      </x:c>
    </x:row>
    <x:row r="41">
      <x:c r="A41" t="str">
        <x:v>HUM-040</x:v>
      </x:c>
      <x:c r="B41" t="str">
        <x:v>TRUE</x:v>
      </x:c>
      <x:c r="C41" t="str">
        <x:v>No</x:v>
      </x:c>
      <x:c r="D41" t="str">
        <x:v>Draft</x:v>
      </x:c>
      <x:c r="E41" t="str">
        <x:v>TRUE</x:v>
      </x:c>
      <x:c r="F41" t="str">
        <x:v>Jan 2026</x:v>
      </x:c>
      <x:c r="G41" t="n">
        <x:f>IF($A41="","",IF($F41="Dec 2025-Apr 2026",2026045,YEAR($H41)*100+MONTH($H41)))</x:f>
        <x:v>202601</x:v>
      </x:c>
      <x:c r="H41" t="n">
        <x:v>46023</x:v>
      </x:c>
      <x:c r="I41" t="str">
        <x:v>Support for Deep Freezer</x:v>
      </x:c>
      <x:c r="J41" t="str">
        <x:v>Anonymized case HUM-040</x:v>
      </x:c>
      <x:c r="K41" t="str">
        <x:v>Livelihood</x:v>
      </x:c>
      <x:c r="L41" t="str">
        <x:v>Tools / equipment</x:v>
      </x:c>
      <x:c r="M41" t="n">
        <x:v>0</x:v>
      </x:c>
      <x:c r="N41" t="n">
        <x:v>15000</x:v>
      </x:c>
      <x:c r="O41" t="n">
        <x:f>IF($A41="","",N($M41)+N($N41))</x:f>
        <x:v>15000</x:v>
      </x:c>
      <x:c r="P41" t="str">
        <x:f>IF($A41="","",IF(AND(N($M41)&gt;0,N($N41)&gt;0),"Mixed",IF(N($M41)&gt;0,"Zakat",IF(N($N41)&gt;0,"Sadaqah",""))))</x:f>
        <x:v>Sadaqah</x:v>
      </x:c>
      <x:c r="Q41" t="str">
        <x:v>Mallawan UP</x:v>
      </x:c>
      <x:c r="R41" t="str">
        <x:f>IF($A41="","",IFS($O41&lt;5000,"Under ₹5,000",$O41&lt;=10000,"₹5,000–₹10,000",$O41&lt;=15000,"₹10,000–₹15,000",$O41&lt;=25000,"₹15,000–₹25,000",$O41&lt;=50000,"₹25,000–₹50,000",TRUE,"₹50,000+"))</x:f>
        <x:v>₹10,000–₹15,000</x:v>
      </x:c>
      <x:c r="S41" t="str">
        <x:v>A verified recipient/family needed support related to tools / equipment.</x:v>
      </x:c>
      <x:c r="T41" t="str">
        <x:v>Humanitarians supported the case through Sadaqah funds for support for deep freezer.</x:v>
      </x:c>
      <x:c r="U41" t="str">
        <x:v>Outcome/update should be added only after verified follow-up.</x:v>
      </x:c>
      <x:c r="V41" t="str">
        <x:v>Add follow-up notes after checking with the verification team.</x:v>
      </x:c>
      <x:c r="W41" t="str">
        <x:v>Add a real quote only with consent; do not publish this placeholder as a recipient quote.</x:v>
      </x:c>
      <x:c r="X41" t="str">
        <x:v>Anonymized public summary; no full name, phone, address, ID, bank details, or donor identity included.</x:v>
      </x:c>
      <x:c r="Y41"/>
      <x:c r="Z41" t="str">
        <x:v>Anonymized Humanitarians case image 1 for HUM-040</x:v>
      </x:c>
      <x:c r="AA41" t="str">
        <x:v>Before/support context image - add only after consent.</x:v>
      </x:c>
      <x:c r="AB41"/>
      <x:c r="AC41" t="str">
        <x:v>Anonymized Humanitarians case image 2 for HUM-040</x:v>
      </x:c>
      <x:c r="AD41" t="str">
        <x:v>Support/equipment image - add only after consent.</x:v>
      </x:c>
      <x:c r="AE41"/>
      <x:c r="AF41" t="str">
        <x:v>Anonymized Humanitarians case image 3 for HUM-040</x:v>
      </x:c>
      <x:c r="AG41" t="str">
        <x:v>Outcome/follow-up image - add only after consent.</x:v>
      </x:c>
      <x:c r="AH41" t="str">
        <x:v>Pending consent</x:v>
      </x:c>
      <x:c r="AI41" t="str">
        <x:v>Paste public Google Drive image URLs only after recipient consent and privacy review.</x:v>
      </x:c>
      <x:c r="AJ41" t="str">
        <x:v>Seeded from latest uploaded workbook and public-safe v2 case-story data.</x:v>
      </x:c>
      <x:c r="AK41" t="str">
        <x:v>Add/edit cases here only. Formula tabs will update after upload/recalculation in Google Sheets.</x:v>
      </x:c>
    </x:row>
    <x:row r="42">
      <x:c r="A42" t="str">
        <x:v>HUM-041</x:v>
      </x:c>
      <x:c r="B42" t="str">
        <x:v>TRUE</x:v>
      </x:c>
      <x:c r="C42" t="str">
        <x:v>No</x:v>
      </x:c>
      <x:c r="D42" t="str">
        <x:v>Draft</x:v>
      </x:c>
      <x:c r="E42" t="str">
        <x:v>TRUE</x:v>
      </x:c>
      <x:c r="F42" t="str">
        <x:v>Jan 2026</x:v>
      </x:c>
      <x:c r="G42" t="n">
        <x:f>IF($A42="","",IF($F42="Dec 2025-Apr 2026",2026045,YEAR($H42)*100+MONTH($H42)))</x:f>
        <x:v>202601</x:v>
      </x:c>
      <x:c r="H42" t="n">
        <x:v>46023</x:v>
      </x:c>
      <x:c r="I42" t="str">
        <x:v>Support for additional items to Footwear vendor</x:v>
      </x:c>
      <x:c r="J42" t="str">
        <x:v>Anonymized case HUM-041</x:v>
      </x:c>
      <x:c r="K42" t="str">
        <x:v>Livelihood</x:v>
      </x:c>
      <x:c r="L42" t="str">
        <x:v>Shop / business inventory</x:v>
      </x:c>
      <x:c r="M42" t="n">
        <x:v>0</x:v>
      </x:c>
      <x:c r="N42" t="n">
        <x:v>15000</x:v>
      </x:c>
      <x:c r="O42" t="n">
        <x:f>IF($A42="","",N($M42)+N($N42))</x:f>
        <x:v>15000</x:v>
      </x:c>
      <x:c r="P42" t="str">
        <x:f>IF($A42="","",IF(AND(N($M42)&gt;0,N($N42)&gt;0),"Mixed",IF(N($M42)&gt;0,"Zakat",IF(N($N42)&gt;0,"Sadaqah",""))))</x:f>
        <x:v>Sadaqah</x:v>
      </x:c>
      <x:c r="Q42" t="str">
        <x:v>Mallawan UP</x:v>
      </x:c>
      <x:c r="R42" t="str">
        <x:f>IF($A42="","",IFS($O42&lt;5000,"Under ₹5,000",$O42&lt;=10000,"₹5,000–₹10,000",$O42&lt;=15000,"₹10,000–₹15,000",$O42&lt;=25000,"₹15,000–₹25,000",$O42&lt;=50000,"₹25,000–₹50,000",TRUE,"₹50,000+"))</x:f>
        <x:v>₹10,000–₹15,000</x:v>
      </x:c>
      <x:c r="S42" t="str">
        <x:v>A verified recipient/family needed support related to shop / business inventory.</x:v>
      </x:c>
      <x:c r="T42" t="str">
        <x:v>Humanitarians supported the case through Sadaqah funds for support for additional items to footwear vendor.</x:v>
      </x:c>
      <x:c r="U42" t="str">
        <x:v>Outcome/update should be added only after verified follow-up.</x:v>
      </x:c>
      <x:c r="V42" t="str">
        <x:v>Add follow-up notes after checking with the verification team.</x:v>
      </x:c>
      <x:c r="W42" t="str">
        <x:v>Add a real quote only with consent; do not publish this placeholder as a recipient quote.</x:v>
      </x:c>
      <x:c r="X42" t="str">
        <x:v>Anonymized public summary; no full name, phone, address, ID, bank details, or donor identity included.</x:v>
      </x:c>
      <x:c r="Y42"/>
      <x:c r="Z42" t="str">
        <x:v>Anonymized Humanitarians case image 1 for HUM-041</x:v>
      </x:c>
      <x:c r="AA42" t="str">
        <x:v>Before/support context image - add only after consent.</x:v>
      </x:c>
      <x:c r="AB42"/>
      <x:c r="AC42" t="str">
        <x:v>Anonymized Humanitarians case image 2 for HUM-041</x:v>
      </x:c>
      <x:c r="AD42" t="str">
        <x:v>Support/equipment image - add only after consent.</x:v>
      </x:c>
      <x:c r="AE42"/>
      <x:c r="AF42" t="str">
        <x:v>Anonymized Humanitarians case image 3 for HUM-041</x:v>
      </x:c>
      <x:c r="AG42" t="str">
        <x:v>Outcome/follow-up image - add only after consent.</x:v>
      </x:c>
      <x:c r="AH42" t="str">
        <x:v>Pending consent</x:v>
      </x:c>
      <x:c r="AI42" t="str">
        <x:v>Paste public Google Drive image URLs only after recipient consent and privacy review.</x:v>
      </x:c>
      <x:c r="AJ42" t="str">
        <x:v>Seeded from latest uploaded workbook and public-safe v2 case-story data.</x:v>
      </x:c>
      <x:c r="AK42" t="str">
        <x:v>Add/edit cases here only. Formula tabs will update after upload/recalculation in Google Sheets.</x:v>
      </x:c>
    </x:row>
    <x:row r="43">
      <x:c r="A43" t="str">
        <x:v>HUM-042</x:v>
      </x:c>
      <x:c r="B43" t="str">
        <x:v>TRUE</x:v>
      </x:c>
      <x:c r="C43" t="str">
        <x:v>No</x:v>
      </x:c>
      <x:c r="D43" t="str">
        <x:v>Archive</x:v>
      </x:c>
      <x:c r="E43" t="str">
        <x:v>FALSE</x:v>
      </x:c>
      <x:c r="F43" t="str">
        <x:v>Mar 2026</x:v>
      </x:c>
      <x:c r="G43" t="n">
        <x:f>IF($A43="","",IF($F43="Dec 2025-Apr 2026",2026045,YEAR($H43)*100+MONTH($H43)))</x:f>
        <x:v>202603</x:v>
      </x:c>
      <x:c r="H43" t="n">
        <x:v>46082</x:v>
      </x:c>
      <x:c r="I43" t="str">
        <x:v>Educational Support</x:v>
      </x:c>
      <x:c r="J43" t="str">
        <x:v>Anonymized case HUM-042</x:v>
      </x:c>
      <x:c r="K43" t="str">
        <x:v>Skill Sponsorship</x:v>
      </x:c>
      <x:c r="L43" t="str">
        <x:v>Education / course sponsorship</x:v>
      </x:c>
      <x:c r="M43" t="n">
        <x:v>0</x:v>
      </x:c>
      <x:c r="N43" t="n">
        <x:v>12000</x:v>
      </x:c>
      <x:c r="O43" t="n">
        <x:f>IF($A43="","",N($M43)+N($N43))</x:f>
        <x:v>12000</x:v>
      </x:c>
      <x:c r="P43" t="str">
        <x:f>IF($A43="","",IF(AND(N($M43)&gt;0,N($N43)&gt;0),"Mixed",IF(N($M43)&gt;0,"Zakat",IF(N($N43)&gt;0,"Sadaqah",""))))</x:f>
        <x:v>Sadaqah</x:v>
      </x:c>
      <x:c r="Q43" t="str">
        <x:v>Location withheld</x:v>
      </x:c>
      <x:c r="R43" t="str">
        <x:f>IF($A43="","",IFS($O43&lt;5000,"Under ₹5,000",$O43&lt;=10000,"₹5,000–₹10,000",$O43&lt;=15000,"₹10,000–₹15,000",$O43&lt;=25000,"₹15,000–₹25,000",$O43&lt;=50000,"₹25,000–₹50,000",TRUE,"₹50,000+"))</x:f>
        <x:v>₹10,000–₹15,000</x:v>
      </x:c>
      <x:c r="S43" t="str">
        <x:v>A verified recipient/family needed support related to education / course sponsorship.</x:v>
      </x:c>
      <x:c r="T43" t="str">
        <x:v>Humanitarians supported the case through Sadaqah funds for educational support.</x:v>
      </x:c>
      <x:c r="U43" t="str">
        <x:v>Outcome/update should be added only after verified follow-up.</x:v>
      </x:c>
      <x:c r="V43" t="str">
        <x:v>Add follow-up notes after checking with the verification team.</x:v>
      </x:c>
      <x:c r="W43" t="str">
        <x:v>Add a real quote only with consent; do not publish this placeholder as a recipient quote.</x:v>
      </x:c>
      <x:c r="X43" t="str">
        <x:v>Anonymized public summary; no full name, phone, address, ID, bank details, or donor identity included.</x:v>
      </x:c>
      <x:c r="Y43"/>
      <x:c r="Z43" t="str">
        <x:v>Anonymized Humanitarians case image 1 for HUM-042</x:v>
      </x:c>
      <x:c r="AA43" t="str">
        <x:v>Before/support context image - add only after consent.</x:v>
      </x:c>
      <x:c r="AB43"/>
      <x:c r="AC43" t="str">
        <x:v>Anonymized Humanitarians case image 2 for HUM-042</x:v>
      </x:c>
      <x:c r="AD43" t="str">
        <x:v>Support/equipment image - add only after consent.</x:v>
      </x:c>
      <x:c r="AE43"/>
      <x:c r="AF43" t="str">
        <x:v>Anonymized Humanitarians case image 3 for HUM-042</x:v>
      </x:c>
      <x:c r="AG43" t="str">
        <x:v>Outcome/follow-up image - add only after consent.</x:v>
      </x:c>
      <x:c r="AH43" t="str">
        <x:v>Pending consent</x:v>
      </x:c>
      <x:c r="AI43" t="str">
        <x:v>Paste public Google Drive image URLs only after recipient consent and privacy review.</x:v>
      </x:c>
      <x:c r="AJ43" t="str">
        <x:v>Seeded from latest uploaded workbook and public-safe v2 case-story data.</x:v>
      </x:c>
      <x:c r="AK43" t="str">
        <x:v>Add/edit cases here only. Formula tabs will update after upload/recalculation in Google Sheets.</x:v>
      </x:c>
    </x:row>
    <x:row r="44">
      <x:c r="A44" t="str">
        <x:v>HUM-043</x:v>
      </x:c>
      <x:c r="B44" t="str">
        <x:v>TRUE</x:v>
      </x:c>
      <x:c r="C44" t="str">
        <x:v>No</x:v>
      </x:c>
      <x:c r="D44" t="str">
        <x:v>Draft</x:v>
      </x:c>
      <x:c r="E44" t="str">
        <x:v>TRUE</x:v>
      </x:c>
      <x:c r="F44" t="str">
        <x:v>Mar 2026</x:v>
      </x:c>
      <x:c r="G44" t="n">
        <x:f>IF($A44="","",IF($F44="Dec 2025-Apr 2026",2026045,YEAR($H44)*100+MONTH($H44)))</x:f>
        <x:v>202603</x:v>
      </x:c>
      <x:c r="H44" t="n">
        <x:v>46082</x:v>
      </x:c>
      <x:c r="I44" t="str">
        <x:v>Support for T shirt Printing and Tagging Machine</x:v>
      </x:c>
      <x:c r="J44" t="str">
        <x:v>Anonymized case HUM-043</x:v>
      </x:c>
      <x:c r="K44" t="str">
        <x:v>Livelihood</x:v>
      </x:c>
      <x:c r="L44" t="str">
        <x:v>Tools / equipment</x:v>
      </x:c>
      <x:c r="M44" t="n">
        <x:v>0</x:v>
      </x:c>
      <x:c r="N44" t="n">
        <x:v>12000</x:v>
      </x:c>
      <x:c r="O44" t="n">
        <x:f>IF($A44="","",N($M44)+N($N44))</x:f>
        <x:v>12000</x:v>
      </x:c>
      <x:c r="P44" t="str">
        <x:f>IF($A44="","",IF(AND(N($M44)&gt;0,N($N44)&gt;0),"Mixed",IF(N($M44)&gt;0,"Zakat",IF(N($N44)&gt;0,"Sadaqah",""))))</x:f>
        <x:v>Sadaqah</x:v>
      </x:c>
      <x:c r="Q44" t="str">
        <x:v>Location withheld</x:v>
      </x:c>
      <x:c r="R44" t="str">
        <x:f>IF($A44="","",IFS($O44&lt;5000,"Under ₹5,000",$O44&lt;=10000,"₹5,000–₹10,000",$O44&lt;=15000,"₹10,000–₹15,000",$O44&lt;=25000,"₹15,000–₹25,000",$O44&lt;=50000,"₹25,000–₹50,000",TRUE,"₹50,000+"))</x:f>
        <x:v>₹10,000–₹15,000</x:v>
      </x:c>
      <x:c r="S44" t="str">
        <x:v>A verified recipient/family needed support related to tools / equipment.</x:v>
      </x:c>
      <x:c r="T44" t="str">
        <x:v>Humanitarians supported the case through Sadaqah funds for support for t shirt printing and tagging machine.</x:v>
      </x:c>
      <x:c r="U44" t="str">
        <x:v>Outcome/update should be added only after verified follow-up.</x:v>
      </x:c>
      <x:c r="V44" t="str">
        <x:v>Add follow-up notes after checking with the verification team.</x:v>
      </x:c>
      <x:c r="W44" t="str">
        <x:v>Add a real quote only with consent; do not publish this placeholder as a recipient quote.</x:v>
      </x:c>
      <x:c r="X44" t="str">
        <x:v>Anonymized public summary; no full name, phone, address, ID, bank details, or donor identity included.</x:v>
      </x:c>
      <x:c r="Y44"/>
      <x:c r="Z44" t="str">
        <x:v>Anonymized Humanitarians case image 1 for HUM-043</x:v>
      </x:c>
      <x:c r="AA44" t="str">
        <x:v>Before/support context image - add only after consent.</x:v>
      </x:c>
      <x:c r="AB44"/>
      <x:c r="AC44" t="str">
        <x:v>Anonymized Humanitarians case image 2 for HUM-043</x:v>
      </x:c>
      <x:c r="AD44" t="str">
        <x:v>Support/equipment image - add only after consent.</x:v>
      </x:c>
      <x:c r="AE44"/>
      <x:c r="AF44" t="str">
        <x:v>Anonymized Humanitarians case image 3 for HUM-043</x:v>
      </x:c>
      <x:c r="AG44" t="str">
        <x:v>Outcome/follow-up image - add only after consent.</x:v>
      </x:c>
      <x:c r="AH44" t="str">
        <x:v>Pending consent</x:v>
      </x:c>
      <x:c r="AI44" t="str">
        <x:v>Paste public Google Drive image URLs only after recipient consent and privacy review.</x:v>
      </x:c>
      <x:c r="AJ44" t="str">
        <x:v>Seeded from latest uploaded workbook and public-safe v2 case-story data.</x:v>
      </x:c>
      <x:c r="AK44" t="str">
        <x:v>Add/edit cases here only. Formula tabs will update after upload/recalculation in Google Sheets.</x:v>
      </x:c>
    </x:row>
    <x:row r="45">
      <x:c r="A45" t="str">
        <x:v>HUM-044</x:v>
      </x:c>
      <x:c r="B45" t="str">
        <x:v>TRUE</x:v>
      </x:c>
      <x:c r="C45" t="str">
        <x:v>No</x:v>
      </x:c>
      <x:c r="D45" t="str">
        <x:v>Draft</x:v>
      </x:c>
      <x:c r="E45" t="str">
        <x:v>TRUE</x:v>
      </x:c>
      <x:c r="F45" t="str">
        <x:v>Mar 2026</x:v>
      </x:c>
      <x:c r="G45" t="n">
        <x:f>IF($A45="","",IF($F45="Dec 2025-Apr 2026",2026045,YEAR($H45)*100+MONTH($H45)))</x:f>
        <x:v>202603</x:v>
      </x:c>
      <x:c r="H45" t="n">
        <x:v>46082</x:v>
      </x:c>
      <x:c r="I45" t="str">
        <x:v>Support for Widow</x:v>
      </x:c>
      <x:c r="J45" t="str">
        <x:v>Anonymized case HUM-044</x:v>
      </x:c>
      <x:c r="K45" t="str">
        <x:v>Emergency Support</x:v>
      </x:c>
      <x:c r="L45" t="str">
        <x:v>Relief / emergency support</x:v>
      </x:c>
      <x:c r="M45" t="n">
        <x:v>25000</x:v>
      </x:c>
      <x:c r="N45" t="n">
        <x:v>0</x:v>
      </x:c>
      <x:c r="O45" t="n">
        <x:f>IF($A45="","",N($M45)+N($N45))</x:f>
        <x:v>25000</x:v>
      </x:c>
      <x:c r="P45" t="str">
        <x:f>IF($A45="","",IF(AND(N($M45)&gt;0,N($N45)&gt;0),"Mixed",IF(N($M45)&gt;0,"Zakat",IF(N($N45)&gt;0,"Sadaqah",""))))</x:f>
        <x:v>Zakat</x:v>
      </x:c>
      <x:c r="Q45" t="str">
        <x:v>Location withheld</x:v>
      </x:c>
      <x:c r="R45" t="str">
        <x:f>IF($A45="","",IFS($O45&lt;5000,"Under ₹5,000",$O45&lt;=10000,"₹5,000–₹10,000",$O45&lt;=15000,"₹10,000–₹15,000",$O45&lt;=25000,"₹15,000–₹25,000",$O45&lt;=50000,"₹25,000–₹50,000",TRUE,"₹50,000+"))</x:f>
        <x:v>₹15,000–₹25,000</x:v>
      </x:c>
      <x:c r="S45" t="str">
        <x:v>A verified recipient/family needed support related to relief / emergency support.</x:v>
      </x:c>
      <x:c r="T45" t="str">
        <x:v>Humanitarians supported the case through Zakat funds for support for widow.</x:v>
      </x:c>
      <x:c r="U45" t="str">
        <x:v>Outcome/update should be added only after verified follow-up.</x:v>
      </x:c>
      <x:c r="V45" t="str">
        <x:v>Add follow-up notes after checking with the verification team.</x:v>
      </x:c>
      <x:c r="W45" t="str">
        <x:v>Add a real quote only with consent; do not publish this placeholder as a recipient quote.</x:v>
      </x:c>
      <x:c r="X45" t="str">
        <x:v>Anonymized public summary; no full name, phone, address, ID, bank details, or donor identity included.</x:v>
      </x:c>
      <x:c r="Y45"/>
      <x:c r="Z45" t="str">
        <x:v>Anonymized Humanitarians case image 1 for HUM-044</x:v>
      </x:c>
      <x:c r="AA45" t="str">
        <x:v>Before/support context image - add only after consent.</x:v>
      </x:c>
      <x:c r="AB45"/>
      <x:c r="AC45" t="str">
        <x:v>Anonymized Humanitarians case image 2 for HUM-044</x:v>
      </x:c>
      <x:c r="AD45" t="str">
        <x:v>Support/equipment image - add only after consent.</x:v>
      </x:c>
      <x:c r="AE45"/>
      <x:c r="AF45" t="str">
        <x:v>Anonymized Humanitarians case image 3 for HUM-044</x:v>
      </x:c>
      <x:c r="AG45" t="str">
        <x:v>Outcome/follow-up image - add only after consent.</x:v>
      </x:c>
      <x:c r="AH45" t="str">
        <x:v>Pending consent</x:v>
      </x:c>
      <x:c r="AI45" t="str">
        <x:v>Paste public Google Drive image URLs only after recipient consent and privacy review.</x:v>
      </x:c>
      <x:c r="AJ45" t="str">
        <x:v>Seeded from latest uploaded workbook and public-safe v2 case-story data.</x:v>
      </x:c>
      <x:c r="AK45" t="str">
        <x:v>Add/edit cases here only. Formula tabs will update after upload/recalculation in Google Sheets.</x:v>
      </x:c>
    </x:row>
    <x:row r="46">
      <x:c r="A46" t="str">
        <x:v>HUM-045</x:v>
      </x:c>
      <x:c r="B46" t="str">
        <x:v>TRUE</x:v>
      </x:c>
      <x:c r="C46" t="str">
        <x:v>No</x:v>
      </x:c>
      <x:c r="D46" t="str">
        <x:v>Draft</x:v>
      </x:c>
      <x:c r="E46" t="str">
        <x:v>TRUE</x:v>
      </x:c>
      <x:c r="F46" t="str">
        <x:v>Mar 2026</x:v>
      </x:c>
      <x:c r="G46" t="n">
        <x:f>IF($A46="","",IF($F46="Dec 2025-Apr 2026",2026045,YEAR($H46)*100+MONTH($H46)))</x:f>
        <x:v>202603</x:v>
      </x:c>
      <x:c r="H46" t="n">
        <x:v>46082</x:v>
      </x:c>
      <x:c r="I46" t="str">
        <x:v>Support for increasing stock of gas cylinders</x:v>
      </x:c>
      <x:c r="J46" t="str">
        <x:v>Anonymized case HUM-045</x:v>
      </x:c>
      <x:c r="K46" t="str">
        <x:v>Livelihood</x:v>
      </x:c>
      <x:c r="L46" t="str">
        <x:v>Tools / equipment</x:v>
      </x:c>
      <x:c r="M46" t="n">
        <x:v>25000</x:v>
      </x:c>
      <x:c r="N46" t="n">
        <x:v>0</x:v>
      </x:c>
      <x:c r="O46" t="n">
        <x:f>IF($A46="","",N($M46)+N($N46))</x:f>
        <x:v>25000</x:v>
      </x:c>
      <x:c r="P46" t="str">
        <x:f>IF($A46="","",IF(AND(N($M46)&gt;0,N($N46)&gt;0),"Mixed",IF(N($M46)&gt;0,"Zakat",IF(N($N46)&gt;0,"Sadaqah",""))))</x:f>
        <x:v>Zakat</x:v>
      </x:c>
      <x:c r="Q46" t="str">
        <x:v>Location withheld</x:v>
      </x:c>
      <x:c r="R46" t="str">
        <x:f>IF($A46="","",IFS($O46&lt;5000,"Under ₹5,000",$O46&lt;=10000,"₹5,000–₹10,000",$O46&lt;=15000,"₹10,000–₹15,000",$O46&lt;=25000,"₹15,000–₹25,000",$O46&lt;=50000,"₹25,000–₹50,000",TRUE,"₹50,000+"))</x:f>
        <x:v>₹15,000–₹25,000</x:v>
      </x:c>
      <x:c r="S46" t="str">
        <x:v>A verified recipient/family needed support related to tools / equipment.</x:v>
      </x:c>
      <x:c r="T46" t="str">
        <x:v>Humanitarians supported the case through Zakat funds for support for increasing stock of gas cylinders.</x:v>
      </x:c>
      <x:c r="U46" t="str">
        <x:v>Outcome/update should be added only after verified follow-up.</x:v>
      </x:c>
      <x:c r="V46" t="str">
        <x:v>Add follow-up notes after checking with the verification team.</x:v>
      </x:c>
      <x:c r="W46" t="str">
        <x:v>Add a real quote only with consent; do not publish this placeholder as a recipient quote.</x:v>
      </x:c>
      <x:c r="X46" t="str">
        <x:v>Anonymized public summary; no full name, phone, address, ID, bank details, or donor identity included.</x:v>
      </x:c>
      <x:c r="Y46"/>
      <x:c r="Z46" t="str">
        <x:v>Anonymized Humanitarians case image 1 for HUM-045</x:v>
      </x:c>
      <x:c r="AA46" t="str">
        <x:v>Before/support context image - add only after consent.</x:v>
      </x:c>
      <x:c r="AB46"/>
      <x:c r="AC46" t="str">
        <x:v>Anonymized Humanitarians case image 2 for HUM-045</x:v>
      </x:c>
      <x:c r="AD46" t="str">
        <x:v>Support/equipment image - add only after consent.</x:v>
      </x:c>
      <x:c r="AE46"/>
      <x:c r="AF46" t="str">
        <x:v>Anonymized Humanitarians case image 3 for HUM-045</x:v>
      </x:c>
      <x:c r="AG46" t="str">
        <x:v>Outcome/follow-up image - add only after consent.</x:v>
      </x:c>
      <x:c r="AH46" t="str">
        <x:v>Pending consent</x:v>
      </x:c>
      <x:c r="AI46" t="str">
        <x:v>Paste public Google Drive image URLs only after recipient consent and privacy review.</x:v>
      </x:c>
      <x:c r="AJ46" t="str">
        <x:v>Seeded from latest uploaded workbook and public-safe v2 case-story data.</x:v>
      </x:c>
      <x:c r="AK46" t="str">
        <x:v>Add/edit cases here only. Formula tabs will update after upload/recalculation in Google Sheets.</x:v>
      </x:c>
    </x:row>
    <x:row r="47">
      <x:c r="A47" t="str">
        <x:v>HUM-046</x:v>
      </x:c>
      <x:c r="B47" t="str">
        <x:v>TRUE</x:v>
      </x:c>
      <x:c r="C47" t="str">
        <x:v>No</x:v>
      </x:c>
      <x:c r="D47" t="str">
        <x:v>Archive</x:v>
      </x:c>
      <x:c r="E47" t="str">
        <x:v>FALSE</x:v>
      </x:c>
      <x:c r="F47" t="str">
        <x:v>Apr 2026</x:v>
      </x:c>
      <x:c r="G47" t="n">
        <x:f>IF($A47="","",IF($F47="Dec 2025-Apr 2026",2026045,YEAR($H47)*100+MONTH($H47)))</x:f>
        <x:v>202604</x:v>
      </x:c>
      <x:c r="H47" t="n">
        <x:v>46113</x:v>
      </x:c>
      <x:c r="I47" t="str">
        <x:v>Support for Masjid</x:v>
      </x:c>
      <x:c r="J47" t="str">
        <x:v>Anonymized case HUM-046</x:v>
      </x:c>
      <x:c r="K47" t="str">
        <x:v>Community Support</x:v>
      </x:c>
      <x:c r="L47" t="str">
        <x:v>Masjid / community support</x:v>
      </x:c>
      <x:c r="M47" t="n">
        <x:v>0</x:v>
      </x:c>
      <x:c r="N47" t="n">
        <x:v>4500</x:v>
      </x:c>
      <x:c r="O47" t="n">
        <x:f>IF($A47="","",N($M47)+N($N47))</x:f>
        <x:v>4500</x:v>
      </x:c>
      <x:c r="P47" t="str">
        <x:f>IF($A47="","",IF(AND(N($M47)&gt;0,N($N47)&gt;0),"Mixed",IF(N($M47)&gt;0,"Zakat",IF(N($N47)&gt;0,"Sadaqah",""))))</x:f>
        <x:v>Sadaqah</x:v>
      </x:c>
      <x:c r="Q47" t="str">
        <x:v>Location withheld</x:v>
      </x:c>
      <x:c r="R47" t="str">
        <x:f>IF($A47="","",IFS($O47&lt;5000,"Under ₹5,000",$O47&lt;=10000,"₹5,000–₹10,000",$O47&lt;=15000,"₹10,000–₹15,000",$O47&lt;=25000,"₹15,000–₹25,000",$O47&lt;=50000,"₹25,000–₹50,000",TRUE,"₹50,000+"))</x:f>
        <x:v>Under ₹5,000</x:v>
      </x:c>
      <x:c r="S47" t="str">
        <x:v>A verified recipient/family needed support related to masjid / community support.</x:v>
      </x:c>
      <x:c r="T47" t="str">
        <x:v>Humanitarians supported the case through Sadaqah funds for support for masjid.</x:v>
      </x:c>
      <x:c r="U47" t="str">
        <x:v>Outcome/update should be added only after verified follow-up.</x:v>
      </x:c>
      <x:c r="V47" t="str">
        <x:v>Add follow-up notes after checking with the verification team.</x:v>
      </x:c>
      <x:c r="W47" t="str">
        <x:v>Add a real quote only with consent; do not publish this placeholder as a recipient quote.</x:v>
      </x:c>
      <x:c r="X47" t="str">
        <x:v>Anonymized public summary; no full name, phone, address, ID, bank details, or donor identity included.</x:v>
      </x:c>
      <x:c r="Y47"/>
      <x:c r="Z47" t="str">
        <x:v>Anonymized Humanitarians case image 1 for HUM-046</x:v>
      </x:c>
      <x:c r="AA47" t="str">
        <x:v>Before/support context image - add only after consent.</x:v>
      </x:c>
      <x:c r="AB47"/>
      <x:c r="AC47" t="str">
        <x:v>Anonymized Humanitarians case image 2 for HUM-046</x:v>
      </x:c>
      <x:c r="AD47" t="str">
        <x:v>Support/equipment image - add only after consent.</x:v>
      </x:c>
      <x:c r="AE47"/>
      <x:c r="AF47" t="str">
        <x:v>Anonymized Humanitarians case image 3 for HUM-046</x:v>
      </x:c>
      <x:c r="AG47" t="str">
        <x:v>Outcome/follow-up image - add only after consent.</x:v>
      </x:c>
      <x:c r="AH47" t="str">
        <x:v>Pending consent</x:v>
      </x:c>
      <x:c r="AI47" t="str">
        <x:v>Paste public Google Drive image URLs only after recipient consent and privacy review.</x:v>
      </x:c>
      <x:c r="AJ47" t="str">
        <x:v>Seeded from latest uploaded workbook and public-safe v2 case-story data.</x:v>
      </x:c>
      <x:c r="AK47" t="str">
        <x:v>Add/edit cases here only. Formula tabs will update after upload/recalculation in Google Sheets.</x:v>
      </x:c>
    </x:row>
    <x:row r="48">
      <x:c r="A48" t="str">
        <x:v>HUM-047</x:v>
      </x:c>
      <x:c r="B48" t="str">
        <x:v>TRUE</x:v>
      </x:c>
      <x:c r="C48" t="str">
        <x:v>No</x:v>
      </x:c>
      <x:c r="D48" t="str">
        <x:v>Archive</x:v>
      </x:c>
      <x:c r="E48" t="str">
        <x:v>FALSE</x:v>
      </x:c>
      <x:c r="F48" t="str">
        <x:v>Dec 2025-Apr 2026</x:v>
      </x:c>
      <x:c r="G48" t="n">
        <x:f>IF($A48="","",IF($F48="Dec 2025-Apr 2026",2026045,YEAR($H48)*100+MONTH($H48)))</x:f>
        <x:v>2026045</x:v>
      </x:c>
      <x:c r="H48" t="n">
        <x:v>46142</x:v>
      </x:c>
      <x:c r="I48" t="str">
        <x:v>Educational Support</x:v>
      </x:c>
      <x:c r="J48" t="str">
        <x:v>Anonymized case HUM-047</x:v>
      </x:c>
      <x:c r="K48" t="str">
        <x:v>Skill Sponsorship</x:v>
      </x:c>
      <x:c r="L48" t="str">
        <x:v>Education / course sponsorship</x:v>
      </x:c>
      <x:c r="M48" t="n">
        <x:v>20000</x:v>
      </x:c>
      <x:c r="N48" t="n">
        <x:v>0</x:v>
      </x:c>
      <x:c r="O48" t="n">
        <x:f>IF($A48="","",N($M48)+N($N48))</x:f>
        <x:v>20000</x:v>
      </x:c>
      <x:c r="P48" t="str">
        <x:f>IF($A48="","",IF(AND(N($M48)&gt;0,N($N48)&gt;0),"Mixed",IF(N($M48)&gt;0,"Zakat",IF(N($N48)&gt;0,"Sadaqah",""))))</x:f>
        <x:v>Zakat</x:v>
      </x:c>
      <x:c r="Q48" t="str">
        <x:v>Bihar</x:v>
      </x:c>
      <x:c r="R48" t="str">
        <x:f>IF($A48="","",IFS($O48&lt;5000,"Under ₹5,000",$O48&lt;=10000,"₹5,000–₹10,000",$O48&lt;=15000,"₹10,000–₹15,000",$O48&lt;=25000,"₹15,000–₹25,000",$O48&lt;=50000,"₹25,000–₹50,000",TRUE,"₹50,000+"))</x:f>
        <x:v>₹15,000–₹25,000</x:v>
      </x:c>
      <x:c r="S48" t="str">
        <x:v>A verified recipient/family needed support related to education / course sponsorship.</x:v>
      </x:c>
      <x:c r="T48" t="str">
        <x:v>Humanitarians supported the case through Zakat funds for educational support.</x:v>
      </x:c>
      <x:c r="U48" t="str">
        <x:v>Outcome/update should be added only after verified follow-up.</x:v>
      </x:c>
      <x:c r="V48" t="str">
        <x:v>Add follow-up notes after checking with the verification team.</x:v>
      </x:c>
      <x:c r="W48" t="str">
        <x:v>Add a real quote only with consent; do not publish this placeholder as a recipient quote.</x:v>
      </x:c>
      <x:c r="X48" t="str">
        <x:v>Anonymized public summary; no full name, phone, address, ID, bank details, or donor identity included.</x:v>
      </x:c>
      <x:c r="Y48"/>
      <x:c r="Z48" t="str">
        <x:v>Anonymized Humanitarians case image 1 for HUM-047</x:v>
      </x:c>
      <x:c r="AA48" t="str">
        <x:v>Before/support context image - add only after consent.</x:v>
      </x:c>
      <x:c r="AB48"/>
      <x:c r="AC48" t="str">
        <x:v>Anonymized Humanitarians case image 2 for HUM-047</x:v>
      </x:c>
      <x:c r="AD48" t="str">
        <x:v>Support/equipment image - add only after consent.</x:v>
      </x:c>
      <x:c r="AE48"/>
      <x:c r="AF48" t="str">
        <x:v>Anonymized Humanitarians case image 3 for HUM-047</x:v>
      </x:c>
      <x:c r="AG48" t="str">
        <x:v>Outcome/follow-up image - add only after consent.</x:v>
      </x:c>
      <x:c r="AH48" t="str">
        <x:v>Pending consent</x:v>
      </x:c>
      <x:c r="AI48" t="str">
        <x:v>Paste public Google Drive image URLs only after recipient consent and privacy review.</x:v>
      </x:c>
      <x:c r="AJ48" t="str">
        <x:v>Seeded from latest uploaded workbook and public-safe v2 case-story data.</x:v>
      </x:c>
      <x:c r="AK48" t="str">
        <x:v>Add/edit cases here only. Formula tabs will update after upload/recalculation in Google Sheets.</x:v>
      </x:c>
    </x:row>
    <x:row r="49">
      <x:c r="A49" t="str">
        <x:v>HUM-048</x:v>
      </x:c>
      <x:c r="B49" t="str">
        <x:v>TRUE</x:v>
      </x:c>
      <x:c r="C49" t="str">
        <x:v>No</x:v>
      </x:c>
      <x:c r="D49" t="str">
        <x:v>Draft</x:v>
      </x:c>
      <x:c r="E49" t="str">
        <x:v>TRUE</x:v>
      </x:c>
      <x:c r="F49" t="str">
        <x:v>Dec 2025-Apr 2026</x:v>
      </x:c>
      <x:c r="G49" t="n">
        <x:f>IF($A49="","",IF($F49="Dec 2025-Apr 2026",2026045,YEAR($H49)*100+MONTH($H49)))</x:f>
        <x:v>2026045</x:v>
      </x:c>
      <x:c r="H49" t="n">
        <x:v>46142</x:v>
      </x:c>
      <x:c r="I49" t="str">
        <x:v>Electric Sewing Machine</x:v>
      </x:c>
      <x:c r="J49" t="str">
        <x:v>Anonymized case HUM-048</x:v>
      </x:c>
      <x:c r="K49" t="str">
        <x:v>Livelihood</x:v>
      </x:c>
      <x:c r="L49" t="str">
        <x:v>Sewing / tailoring</x:v>
      </x:c>
      <x:c r="M49" t="n">
        <x:v>8500</x:v>
      </x:c>
      <x:c r="N49" t="n">
        <x:v>0</x:v>
      </x:c>
      <x:c r="O49" t="n">
        <x:f>IF($A49="","",N($M49)+N($N49))</x:f>
        <x:v>8500</x:v>
      </x:c>
      <x:c r="P49" t="str">
        <x:f>IF($A49="","",IF(AND(N($M49)&gt;0,N($N49)&gt;0),"Mixed",IF(N($M49)&gt;0,"Zakat",IF(N($N49)&gt;0,"Sadaqah",""))))</x:f>
        <x:v>Zakat</x:v>
      </x:c>
      <x:c r="Q49" t="str">
        <x:v>Basti, UP</x:v>
      </x:c>
      <x:c r="R49" t="str">
        <x:f>IF($A49="","",IFS($O49&lt;5000,"Under ₹5,000",$O49&lt;=10000,"₹5,000–₹10,000",$O49&lt;=15000,"₹10,000–₹15,000",$O49&lt;=25000,"₹15,000–₹25,000",$O49&lt;=50000,"₹25,000–₹50,000",TRUE,"₹50,000+"))</x:f>
        <x:v>₹5,000–₹10,000</x:v>
      </x:c>
      <x:c r="S49" t="str">
        <x:v>A verified recipient/family needed support related to sewing / tailoring.</x:v>
      </x:c>
      <x:c r="T49" t="str">
        <x:v>Humanitarians supported the case through Zakat funds for electric sewing machine.</x:v>
      </x:c>
      <x:c r="U49" t="str">
        <x:v>Outcome/update should be added only after verified follow-up.</x:v>
      </x:c>
      <x:c r="V49" t="str">
        <x:v>Add follow-up notes after checking with the verification team.</x:v>
      </x:c>
      <x:c r="W49" t="str">
        <x:v>Add a real quote only with consent; do not publish this placeholder as a recipient quote.</x:v>
      </x:c>
      <x:c r="X49" t="str">
        <x:v>Anonymized public summary; no full name, phone, address, ID, bank details, or donor identity included.</x:v>
      </x:c>
      <x:c r="Y49"/>
      <x:c r="Z49" t="str">
        <x:v>Anonymized Humanitarians case image 1 for HUM-048</x:v>
      </x:c>
      <x:c r="AA49" t="str">
        <x:v>Before/support context image - add only after consent.</x:v>
      </x:c>
      <x:c r="AB49"/>
      <x:c r="AC49" t="str">
        <x:v>Anonymized Humanitarians case image 2 for HUM-048</x:v>
      </x:c>
      <x:c r="AD49" t="str">
        <x:v>Support/equipment image - add only after consent.</x:v>
      </x:c>
      <x:c r="AE49"/>
      <x:c r="AF49" t="str">
        <x:v>Anonymized Humanitarians case image 3 for HUM-048</x:v>
      </x:c>
      <x:c r="AG49" t="str">
        <x:v>Outcome/follow-up image - add only after consent.</x:v>
      </x:c>
      <x:c r="AH49" t="str">
        <x:v>Pending consent</x:v>
      </x:c>
      <x:c r="AI49" t="str">
        <x:v>Paste public Google Drive image URLs only after recipient consent and privacy review.</x:v>
      </x:c>
      <x:c r="AJ49" t="str">
        <x:v>Seeded from latest uploaded workbook and public-safe v2 case-story data.</x:v>
      </x:c>
      <x:c r="AK49" t="str">
        <x:v>Add/edit cases here only. Formula tabs will update after upload/recalculation in Google Sheets.</x:v>
      </x:c>
    </x:row>
    <x:row r="50">
      <x:c r="A50" t="str">
        <x:v>HUM-049</x:v>
      </x:c>
      <x:c r="B50" t="str">
        <x:v>TRUE</x:v>
      </x:c>
      <x:c r="C50" t="str">
        <x:v>No</x:v>
      </x:c>
      <x:c r="D50" t="str">
        <x:v>Draft</x:v>
      </x:c>
      <x:c r="E50" t="str">
        <x:v>TRUE</x:v>
      </x:c>
      <x:c r="F50" t="str">
        <x:v>Dec 2025-Apr 2026</x:v>
      </x:c>
      <x:c r="G50" t="n">
        <x:f>IF($A50="","",IF($F50="Dec 2025-Apr 2026",2026045,YEAR($H50)*100+MONTH($H50)))</x:f>
        <x:v>2026045</x:v>
      </x:c>
      <x:c r="H50" t="n">
        <x:v>46142</x:v>
      </x:c>
      <x:c r="I50" t="str">
        <x:v>Initial Support for running parcel service business</x:v>
      </x:c>
      <x:c r="J50" t="str">
        <x:v>Anonymized case HUM-049</x:v>
      </x:c>
      <x:c r="K50" t="str">
        <x:v>Livelihood</x:v>
      </x:c>
      <x:c r="L50" t="str">
        <x:v>Shop / business inventory</x:v>
      </x:c>
      <x:c r="M50" t="n">
        <x:v>30000</x:v>
      </x:c>
      <x:c r="N50" t="n">
        <x:v>0</x:v>
      </x:c>
      <x:c r="O50" t="n">
        <x:f>IF($A50="","",N($M50)+N($N50))</x:f>
        <x:v>30000</x:v>
      </x:c>
      <x:c r="P50" t="str">
        <x:f>IF($A50="","",IF(AND(N($M50)&gt;0,N($N50)&gt;0),"Mixed",IF(N($M50)&gt;0,"Zakat",IF(N($N50)&gt;0,"Sadaqah",""))))</x:f>
        <x:v>Zakat</x:v>
      </x:c>
      <x:c r="Q50" t="str">
        <x:v>Aurangabad, Maharashtra</x:v>
      </x:c>
      <x:c r="R50" t="str">
        <x:f>IF($A50="","",IFS($O50&lt;5000,"Under ₹5,000",$O50&lt;=10000,"₹5,000–₹10,000",$O50&lt;=15000,"₹10,000–₹15,000",$O50&lt;=25000,"₹15,000–₹25,000",$O50&lt;=50000,"₹25,000–₹50,000",TRUE,"₹50,000+"))</x:f>
        <x:v>₹25,000–₹50,000</x:v>
      </x:c>
      <x:c r="S50" t="str">
        <x:v>A verified recipient/family needed support related to shop / business inventory.</x:v>
      </x:c>
      <x:c r="T50" t="str">
        <x:v>Humanitarians supported the case through Zakat funds for initial support for running parcel service business.</x:v>
      </x:c>
      <x:c r="U50" t="str">
        <x:v>Outcome/update should be added only after verified follow-up.</x:v>
      </x:c>
      <x:c r="V50" t="str">
        <x:v>Add follow-up notes after checking with the verification team.</x:v>
      </x:c>
      <x:c r="W50" t="str">
        <x:v>Add a real quote only with consent; do not publish this placeholder as a recipient quote.</x:v>
      </x:c>
      <x:c r="X50" t="str">
        <x:v>Anonymized public summary; no full name, phone, address, ID, bank details, or donor identity included.</x:v>
      </x:c>
      <x:c r="Y50"/>
      <x:c r="Z50" t="str">
        <x:v>Anonymized Humanitarians case image 1 for HUM-049</x:v>
      </x:c>
      <x:c r="AA50" t="str">
        <x:v>Before/support context image - add only after consent.</x:v>
      </x:c>
      <x:c r="AB50"/>
      <x:c r="AC50" t="str">
        <x:v>Anonymized Humanitarians case image 2 for HUM-049</x:v>
      </x:c>
      <x:c r="AD50" t="str">
        <x:v>Support/equipment image - add only after consent.</x:v>
      </x:c>
      <x:c r="AE50"/>
      <x:c r="AF50" t="str">
        <x:v>Anonymized Humanitarians case image 3 for HUM-049</x:v>
      </x:c>
      <x:c r="AG50" t="str">
        <x:v>Outcome/follow-up image - add only after consent.</x:v>
      </x:c>
      <x:c r="AH50" t="str">
        <x:v>Pending consent</x:v>
      </x:c>
      <x:c r="AI50" t="str">
        <x:v>Paste public Google Drive image URLs only after recipient consent and privacy review.</x:v>
      </x:c>
      <x:c r="AJ50" t="str">
        <x:v>Seeded from latest uploaded workbook and public-safe v2 case-story data.</x:v>
      </x:c>
      <x:c r="AK50" t="str">
        <x:v>Add/edit cases here only. Formula tabs will update after upload/recalculation in Google Sheets.</x:v>
      </x:c>
    </x:row>
    <x:row r="51">
      <x:c r="A51" t="str">
        <x:v>HUM-050</x:v>
      </x:c>
      <x:c r="B51" t="str">
        <x:v>TRUE</x:v>
      </x:c>
      <x:c r="C51" t="str">
        <x:v>No</x:v>
      </x:c>
      <x:c r="D51" t="str">
        <x:v>Draft</x:v>
      </x:c>
      <x:c r="E51" t="str">
        <x:v>TRUE</x:v>
      </x:c>
      <x:c r="F51" t="str">
        <x:v>Dec 2025-Apr 2026</x:v>
      </x:c>
      <x:c r="G51" t="n">
        <x:f>IF($A51="","",IF($F51="Dec 2025-Apr 2026",2026045,YEAR($H51)*100+MONTH($H51)))</x:f>
        <x:v>2026045</x:v>
      </x:c>
      <x:c r="H51" t="n">
        <x:v>46142</x:v>
      </x:c>
      <x:c r="I51" t="str">
        <x:v>Medical Case_Stage 3 Gall Bladder Cancer</x:v>
      </x:c>
      <x:c r="J51" t="str">
        <x:v>Anonymized case HUM-050</x:v>
      </x:c>
      <x:c r="K51" t="str">
        <x:v>Emergency Support</x:v>
      </x:c>
      <x:c r="L51" t="str">
        <x:v>Medical support</x:v>
      </x:c>
      <x:c r="M51" t="n">
        <x:v>25000</x:v>
      </x:c>
      <x:c r="N51" t="n">
        <x:v>0</x:v>
      </x:c>
      <x:c r="O51" t="n">
        <x:f>IF($A51="","",N($M51)+N($N51))</x:f>
        <x:v>25000</x:v>
      </x:c>
      <x:c r="P51" t="str">
        <x:f>IF($A51="","",IF(AND(N($M51)&gt;0,N($N51)&gt;0),"Mixed",IF(N($M51)&gt;0,"Zakat",IF(N($N51)&gt;0,"Sadaqah",""))))</x:f>
        <x:v>Zakat</x:v>
      </x:c>
      <x:c r="Q51" t="str">
        <x:v>Bihar</x:v>
      </x:c>
      <x:c r="R51" t="str">
        <x:f>IF($A51="","",IFS($O51&lt;5000,"Under ₹5,000",$O51&lt;=10000,"₹5,000–₹10,000",$O51&lt;=15000,"₹10,000–₹15,000",$O51&lt;=25000,"₹15,000–₹25,000",$O51&lt;=50000,"₹25,000–₹50,000",TRUE,"₹50,000+"))</x:f>
        <x:v>₹15,000–₹25,000</x:v>
      </x:c>
      <x:c r="S51" t="str">
        <x:v>A verified recipient/family needed support related to medical support.</x:v>
      </x:c>
      <x:c r="T51" t="str">
        <x:v>Humanitarians supported the case through Zakat funds for medical case_stage 3 gall bladder cancer.</x:v>
      </x:c>
      <x:c r="U51" t="str">
        <x:v>Outcome/update should be added only after verified follow-up.</x:v>
      </x:c>
      <x:c r="V51" t="str">
        <x:v>Add follow-up notes after checking with the verification team.</x:v>
      </x:c>
      <x:c r="W51" t="str">
        <x:v>Add a real quote only with consent; do not publish this placeholder as a recipient quote.</x:v>
      </x:c>
      <x:c r="X51" t="str">
        <x:v>Anonymized public summary; no full name, phone, address, ID, bank details, or donor identity included.</x:v>
      </x:c>
      <x:c r="Y51"/>
      <x:c r="Z51" t="str">
        <x:v>Anonymized Humanitarians case image 1 for HUM-050</x:v>
      </x:c>
      <x:c r="AA51" t="str">
        <x:v>Before/support context image - add only after consent.</x:v>
      </x:c>
      <x:c r="AB51"/>
      <x:c r="AC51" t="str">
        <x:v>Anonymized Humanitarians case image 2 for HUM-050</x:v>
      </x:c>
      <x:c r="AD51" t="str">
        <x:v>Support/equipment image - add only after consent.</x:v>
      </x:c>
      <x:c r="AE51"/>
      <x:c r="AF51" t="str">
        <x:v>Anonymized Humanitarians case image 3 for HUM-050</x:v>
      </x:c>
      <x:c r="AG51" t="str">
        <x:v>Outcome/follow-up image - add only after consent.</x:v>
      </x:c>
      <x:c r="AH51" t="str">
        <x:v>Pending consent</x:v>
      </x:c>
      <x:c r="AI51" t="str">
        <x:v>Paste public Google Drive image URLs only after recipient consent and privacy review.</x:v>
      </x:c>
      <x:c r="AJ51" t="str">
        <x:v>Seeded from latest uploaded workbook and public-safe v2 case-story data.</x:v>
      </x:c>
      <x:c r="AK51" t="str">
        <x:v>Add/edit cases here only. Formula tabs will update after upload/recalculation in Google Sheets.</x:v>
      </x:c>
    </x:row>
    <x:row r="52">
      <x:c r="A52" t="str">
        <x:v>HUM-051</x:v>
      </x:c>
      <x:c r="B52" t="str">
        <x:v>TRUE</x:v>
      </x:c>
      <x:c r="C52" t="str">
        <x:v>No</x:v>
      </x:c>
      <x:c r="D52" t="str">
        <x:v>Draft</x:v>
      </x:c>
      <x:c r="E52" t="str">
        <x:v>TRUE</x:v>
      </x:c>
      <x:c r="F52" t="str">
        <x:v>Dec 2025-Apr 2026</x:v>
      </x:c>
      <x:c r="G52" t="n">
        <x:f>IF($A52="","",IF($F52="Dec 2025-Apr 2026",2026045,YEAR($H52)*100+MONTH($H52)))</x:f>
        <x:v>2026045</x:v>
      </x:c>
      <x:c r="H52" t="n">
        <x:v>46142</x:v>
      </x:c>
      <x:c r="I52" t="str">
        <x:v>Sewing Machine</x:v>
      </x:c>
      <x:c r="J52" t="str">
        <x:v>Anonymized case HUM-051</x:v>
      </x:c>
      <x:c r="K52" t="str">
        <x:v>Livelihood</x:v>
      </x:c>
      <x:c r="L52" t="str">
        <x:v>Sewing / tailoring</x:v>
      </x:c>
      <x:c r="M52" t="n">
        <x:v>11500</x:v>
      </x:c>
      <x:c r="N52" t="n">
        <x:v>0</x:v>
      </x:c>
      <x:c r="O52" t="n">
        <x:f>IF($A52="","",N($M52)+N($N52))</x:f>
        <x:v>11500</x:v>
      </x:c>
      <x:c r="P52" t="str">
        <x:f>IF($A52="","",IF(AND(N($M52)&gt;0,N($N52)&gt;0),"Mixed",IF(N($M52)&gt;0,"Zakat",IF(N($N52)&gt;0,"Sadaqah",""))))</x:f>
        <x:v>Zakat</x:v>
      </x:c>
      <x:c r="Q52" t="str">
        <x:v>Bihar</x:v>
      </x:c>
      <x:c r="R52" t="str">
        <x:f>IF($A52="","",IFS($O52&lt;5000,"Under ₹5,000",$O52&lt;=10000,"₹5,000–₹10,000",$O52&lt;=15000,"₹10,000–₹15,000",$O52&lt;=25000,"₹15,000–₹25,000",$O52&lt;=50000,"₹25,000–₹50,000",TRUE,"₹50,000+"))</x:f>
        <x:v>₹10,000–₹15,000</x:v>
      </x:c>
      <x:c r="S52" t="str">
        <x:v>A verified recipient/family needed support related to sewing / tailoring.</x:v>
      </x:c>
      <x:c r="T52" t="str">
        <x:v>Humanitarians supported the case through Zakat funds for sewing machine.</x:v>
      </x:c>
      <x:c r="U52" t="str">
        <x:v>Outcome/update should be added only after verified follow-up.</x:v>
      </x:c>
      <x:c r="V52" t="str">
        <x:v>Add follow-up notes after checking with the verification team.</x:v>
      </x:c>
      <x:c r="W52" t="str">
        <x:v>Add a real quote only with consent; do not publish this placeholder as a recipient quote.</x:v>
      </x:c>
      <x:c r="X52" t="str">
        <x:v>Anonymized public summary; no full name, phone, address, ID, bank details, or donor identity included.</x:v>
      </x:c>
      <x:c r="Y52"/>
      <x:c r="Z52" t="str">
        <x:v>Anonymized Humanitarians case image 1 for HUM-051</x:v>
      </x:c>
      <x:c r="AA52" t="str">
        <x:v>Before/support context image - add only after consent.</x:v>
      </x:c>
      <x:c r="AB52"/>
      <x:c r="AC52" t="str">
        <x:v>Anonymized Humanitarians case image 2 for HUM-051</x:v>
      </x:c>
      <x:c r="AD52" t="str">
        <x:v>Support/equipment image - add only after consent.</x:v>
      </x:c>
      <x:c r="AE52"/>
      <x:c r="AF52" t="str">
        <x:v>Anonymized Humanitarians case image 3 for HUM-051</x:v>
      </x:c>
      <x:c r="AG52" t="str">
        <x:v>Outcome/follow-up image - add only after consent.</x:v>
      </x:c>
      <x:c r="AH52" t="str">
        <x:v>Pending consent</x:v>
      </x:c>
      <x:c r="AI52" t="str">
        <x:v>Paste public Google Drive image URLs only after recipient consent and privacy review.</x:v>
      </x:c>
      <x:c r="AJ52" t="str">
        <x:v>Seeded from latest uploaded workbook and public-safe v2 case-story data.</x:v>
      </x:c>
      <x:c r="AK52" t="str">
        <x:v>Add/edit cases here only. Formula tabs will update after upload/recalculation in Google Sheets.</x:v>
      </x:c>
    </x:row>
    <x:row r="53">
      <x:c r="A53" t="str">
        <x:v>HUM-052</x:v>
      </x:c>
      <x:c r="B53" t="str">
        <x:v>TRUE</x:v>
      </x:c>
      <x:c r="C53" t="str">
        <x:v>No</x:v>
      </x:c>
      <x:c r="D53" t="str">
        <x:v>Draft</x:v>
      </x:c>
      <x:c r="E53" t="str">
        <x:v>TRUE</x:v>
      </x:c>
      <x:c r="F53" t="str">
        <x:v>Dec 2025-Apr 2026</x:v>
      </x:c>
      <x:c r="G53" t="n">
        <x:f>IF($A53="","",IF($F53="Dec 2025-Apr 2026",2026045,YEAR($H53)*100+MONTH($H53)))</x:f>
        <x:v>2026045</x:v>
      </x:c>
      <x:c r="H53" t="n">
        <x:v>46142</x:v>
      </x:c>
      <x:c r="I53" t="str">
        <x:v>Support for IT Course</x:v>
      </x:c>
      <x:c r="J53" t="str">
        <x:v>Anonymized case HUM-052</x:v>
      </x:c>
      <x:c r="K53" t="str">
        <x:v>Skill Sponsorship</x:v>
      </x:c>
      <x:c r="L53" t="str">
        <x:v>Education / course sponsorship</x:v>
      </x:c>
      <x:c r="M53" t="n">
        <x:v>15000</x:v>
      </x:c>
      <x:c r="N53" t="n">
        <x:v>0</x:v>
      </x:c>
      <x:c r="O53" t="n">
        <x:f>IF($A53="","",N($M53)+N($N53))</x:f>
        <x:v>15000</x:v>
      </x:c>
      <x:c r="P53" t="str">
        <x:f>IF($A53="","",IF(AND(N($M53)&gt;0,N($N53)&gt;0),"Mixed",IF(N($M53)&gt;0,"Zakat",IF(N($N53)&gt;0,"Sadaqah",""))))</x:f>
        <x:v>Zakat</x:v>
      </x:c>
      <x:c r="Q53" t="str">
        <x:v>Basti, UP</x:v>
      </x:c>
      <x:c r="R53" t="str">
        <x:f>IF($A53="","",IFS($O53&lt;5000,"Under ₹5,000",$O53&lt;=10000,"₹5,000–₹10,000",$O53&lt;=15000,"₹10,000–₹15,000",$O53&lt;=25000,"₹15,000–₹25,000",$O53&lt;=50000,"₹25,000–₹50,000",TRUE,"₹50,000+"))</x:f>
        <x:v>₹10,000–₹15,000</x:v>
      </x:c>
      <x:c r="S53" t="str">
        <x:v>A verified recipient/family needed support related to education / course sponsorship.</x:v>
      </x:c>
      <x:c r="T53" t="str">
        <x:v>Humanitarians supported the case through Zakat funds for support for it course.</x:v>
      </x:c>
      <x:c r="U53" t="str">
        <x:v>Outcome/update should be added only after verified follow-up.</x:v>
      </x:c>
      <x:c r="V53" t="str">
        <x:v>Add follow-up notes after checking with the verification team.</x:v>
      </x:c>
      <x:c r="W53" t="str">
        <x:v>Add a real quote only with consent; do not publish this placeholder as a recipient quote.</x:v>
      </x:c>
      <x:c r="X53" t="str">
        <x:v>Anonymized public summary; no full name, phone, address, ID, bank details, or donor identity included.</x:v>
      </x:c>
      <x:c r="Y53"/>
      <x:c r="Z53" t="str">
        <x:v>Anonymized Humanitarians case image 1 for HUM-052</x:v>
      </x:c>
      <x:c r="AA53" t="str">
        <x:v>Before/support context image - add only after consent.</x:v>
      </x:c>
      <x:c r="AB53"/>
      <x:c r="AC53" t="str">
        <x:v>Anonymized Humanitarians case image 2 for HUM-052</x:v>
      </x:c>
      <x:c r="AD53" t="str">
        <x:v>Support/equipment image - add only after consent.</x:v>
      </x:c>
      <x:c r="AE53"/>
      <x:c r="AF53" t="str">
        <x:v>Anonymized Humanitarians case image 3 for HUM-052</x:v>
      </x:c>
      <x:c r="AG53" t="str">
        <x:v>Outcome/follow-up image - add only after consent.</x:v>
      </x:c>
      <x:c r="AH53" t="str">
        <x:v>Pending consent</x:v>
      </x:c>
      <x:c r="AI53" t="str">
        <x:v>Paste public Google Drive image URLs only after recipient consent and privacy review.</x:v>
      </x:c>
      <x:c r="AJ53" t="str">
        <x:v>Seeded from latest uploaded workbook and public-safe v2 case-story data.</x:v>
      </x:c>
      <x:c r="AK53" t="str">
        <x:v>Add/edit cases here only. Formula tabs will update after upload/recalculation in Google Sheets.</x:v>
      </x:c>
    </x:row>
    <x:row r="54">
      <x:c r="A54" t="str">
        <x:v>HUM-053</x:v>
      </x:c>
      <x:c r="B54" t="str">
        <x:v>TRUE</x:v>
      </x:c>
      <x:c r="C54" t="str">
        <x:v>No</x:v>
      </x:c>
      <x:c r="D54" t="str">
        <x:v>Archive</x:v>
      </x:c>
      <x:c r="E54" t="str">
        <x:v>FALSE</x:v>
      </x:c>
      <x:c r="F54" t="str">
        <x:v>Dec 2025-Apr 2026</x:v>
      </x:c>
      <x:c r="G54" t="n">
        <x:f>IF($A54="","",IF($F54="Dec 2025-Apr 2026",2026045,YEAR($H54)*100+MONTH($H54)))</x:f>
        <x:v>2026045</x:v>
      </x:c>
      <x:c r="H54" t="n">
        <x:v>46142</x:v>
      </x:c>
      <x:c r="I54" t="str">
        <x:v>Support for Masjid Rebuilding</x:v>
      </x:c>
      <x:c r="J54" t="str">
        <x:v>Anonymized case HUM-053</x:v>
      </x:c>
      <x:c r="K54" t="str">
        <x:v>Community Support</x:v>
      </x:c>
      <x:c r="L54" t="str">
        <x:v>Masjid / community support</x:v>
      </x:c>
      <x:c r="M54" t="n">
        <x:v>0</x:v>
      </x:c>
      <x:c r="N54" t="n">
        <x:v>25000</x:v>
      </x:c>
      <x:c r="O54" t="n">
        <x:f>IF($A54="","",N($M54)+N($N54))</x:f>
        <x:v>25000</x:v>
      </x:c>
      <x:c r="P54" t="str">
        <x:f>IF($A54="","",IF(AND(N($M54)&gt;0,N($N54)&gt;0),"Mixed",IF(N($M54)&gt;0,"Zakat",IF(N($N54)&gt;0,"Sadaqah",""))))</x:f>
        <x:v>Sadaqah</x:v>
      </x:c>
      <x:c r="Q54" t="str">
        <x:v>Srinagar</x:v>
      </x:c>
      <x:c r="R54" t="str">
        <x:f>IF($A54="","",IFS($O54&lt;5000,"Under ₹5,000",$O54&lt;=10000,"₹5,000–₹10,000",$O54&lt;=15000,"₹10,000–₹15,000",$O54&lt;=25000,"₹15,000–₹25,000",$O54&lt;=50000,"₹25,000–₹50,000",TRUE,"₹50,000+"))</x:f>
        <x:v>₹15,000–₹25,000</x:v>
      </x:c>
      <x:c r="S54" t="str">
        <x:v>A verified recipient/family needed support related to masjid / community support.</x:v>
      </x:c>
      <x:c r="T54" t="str">
        <x:v>Humanitarians supported the case through Sadaqah funds for support for masjid rebuilding.</x:v>
      </x:c>
      <x:c r="U54" t="str">
        <x:v>Outcome/update should be added only after verified follow-up.</x:v>
      </x:c>
      <x:c r="V54" t="str">
        <x:v>Add follow-up notes after checking with the verification team.</x:v>
      </x:c>
      <x:c r="W54" t="str">
        <x:v>Add a real quote only with consent; do not publish this placeholder as a recipient quote.</x:v>
      </x:c>
      <x:c r="X54" t="str">
        <x:v>Anonymized public summary; no full name, phone, address, ID, bank details, or donor identity included.</x:v>
      </x:c>
      <x:c r="Y54"/>
      <x:c r="Z54" t="str">
        <x:v>Anonymized Humanitarians case image 1 for HUM-053</x:v>
      </x:c>
      <x:c r="AA54" t="str">
        <x:v>Before/support context image - add only after consent.</x:v>
      </x:c>
      <x:c r="AB54"/>
      <x:c r="AC54" t="str">
        <x:v>Anonymized Humanitarians case image 2 for HUM-053</x:v>
      </x:c>
      <x:c r="AD54" t="str">
        <x:v>Support/equipment image - add only after consent.</x:v>
      </x:c>
      <x:c r="AE54"/>
      <x:c r="AF54" t="str">
        <x:v>Anonymized Humanitarians case image 3 for HUM-053</x:v>
      </x:c>
      <x:c r="AG54" t="str">
        <x:v>Outcome/follow-up image - add only after consent.</x:v>
      </x:c>
      <x:c r="AH54" t="str">
        <x:v>Pending consent</x:v>
      </x:c>
      <x:c r="AI54" t="str">
        <x:v>Paste public Google Drive image URLs only after recipient consent and privacy review.</x:v>
      </x:c>
      <x:c r="AJ54" t="str">
        <x:v>Seeded from latest uploaded workbook and public-safe v2 case-story data.</x:v>
      </x:c>
      <x:c r="AK54" t="str">
        <x:v>Add/edit cases here only. Formula tabs will update after upload/recalculation in Google Sheets.</x:v>
      </x:c>
    </x:row>
    <x:row r="55">
      <x:c r="A55" t="str">
        <x:v>HUM-054</x:v>
      </x:c>
      <x:c r="B55" t="str">
        <x:v>TRUE</x:v>
      </x:c>
      <x:c r="C55" t="str">
        <x:v>No</x:v>
      </x:c>
      <x:c r="D55" t="str">
        <x:v>Archive</x:v>
      </x:c>
      <x:c r="E55" t="str">
        <x:v>FALSE</x:v>
      </x:c>
      <x:c r="F55" t="str">
        <x:v>Dec 2025-Apr 2026</x:v>
      </x:c>
      <x:c r="G55" t="n">
        <x:f>IF($A55="","",IF($F55="Dec 2025-Apr 2026",2026045,YEAR($H55)*100+MONTH($H55)))</x:f>
        <x:v>2026045</x:v>
      </x:c>
      <x:c r="H55" t="n">
        <x:v>46142</x:v>
      </x:c>
      <x:c r="I55" t="str">
        <x:v>Support for additional clothes for ferry shop</x:v>
      </x:c>
      <x:c r="J55" t="str">
        <x:v>Anonymized case HUM-054</x:v>
      </x:c>
      <x:c r="K55" t="str">
        <x:v>Livelihood</x:v>
      </x:c>
      <x:c r="L55" t="str">
        <x:v>Shop / business inventory</x:v>
      </x:c>
      <x:c r="M55" t="n">
        <x:v>30000</x:v>
      </x:c>
      <x:c r="N55" t="n">
        <x:v>0</x:v>
      </x:c>
      <x:c r="O55" t="n">
        <x:f>IF($A55="","",N($M55)+N($N55))</x:f>
        <x:v>30000</x:v>
      </x:c>
      <x:c r="P55" t="str">
        <x:f>IF($A55="","",IF(AND(N($M55)&gt;0,N($N55)&gt;0),"Mixed",IF(N($M55)&gt;0,"Zakat",IF(N($N55)&gt;0,"Sadaqah",""))))</x:f>
        <x:v>Zakat</x:v>
      </x:c>
      <x:c r="Q55" t="str">
        <x:v>Mallawan, UP</x:v>
      </x:c>
      <x:c r="R55" t="str">
        <x:f>IF($A55="","",IFS($O55&lt;5000,"Under ₹5,000",$O55&lt;=10000,"₹5,000–₹10,000",$O55&lt;=15000,"₹10,000–₹15,000",$O55&lt;=25000,"₹15,000–₹25,000",$O55&lt;=50000,"₹25,000–₹50,000",TRUE,"₹50,000+"))</x:f>
        <x:v>₹25,000–₹50,000</x:v>
      </x:c>
      <x:c r="S55" t="str">
        <x:v>A verified recipient/family needed support related to shop / business inventory.</x:v>
      </x:c>
      <x:c r="T55" t="str">
        <x:v>Humanitarians supported the case through Zakat funds for support for additional clothes for ferry shop.</x:v>
      </x:c>
      <x:c r="U55" t="str">
        <x:v>Outcome/update should be added only after verified follow-up.</x:v>
      </x:c>
      <x:c r="V55" t="str">
        <x:v>Add follow-up notes after checking with the verification team.</x:v>
      </x:c>
      <x:c r="W55" t="str">
        <x:v>Add a real quote only with consent; do not publish this placeholder as a recipient quote.</x:v>
      </x:c>
      <x:c r="X55" t="str">
        <x:v>Anonymized public summary; no full name, phone, address, ID, bank details, or donor identity included.</x:v>
      </x:c>
      <x:c r="Y55"/>
      <x:c r="Z55" t="str">
        <x:v>Anonymized Humanitarians case image 1 for HUM-054</x:v>
      </x:c>
      <x:c r="AA55" t="str">
        <x:v>Before/support context image - add only after consent.</x:v>
      </x:c>
      <x:c r="AB55"/>
      <x:c r="AC55" t="str">
        <x:v>Anonymized Humanitarians case image 2 for HUM-054</x:v>
      </x:c>
      <x:c r="AD55" t="str">
        <x:v>Support/equipment image - add only after consent.</x:v>
      </x:c>
      <x:c r="AE55"/>
      <x:c r="AF55" t="str">
        <x:v>Anonymized Humanitarians case image 3 for HUM-054</x:v>
      </x:c>
      <x:c r="AG55" t="str">
        <x:v>Outcome/follow-up image - add only after consent.</x:v>
      </x:c>
      <x:c r="AH55" t="str">
        <x:v>Pending consent</x:v>
      </x:c>
      <x:c r="AI55" t="str">
        <x:v>Paste public Google Drive image URLs only after recipient consent and privacy review.</x:v>
      </x:c>
      <x:c r="AJ55" t="str">
        <x:v>Seeded from latest uploaded workbook and public-safe v2 case-story data.</x:v>
      </x:c>
      <x:c r="AK55" t="str">
        <x:v>Add/edit cases here only. Formula tabs will update after upload/recalculation in Google Sheets.</x:v>
      </x:c>
    </x:row>
    <x:row r="56">
      <x:c r="A56" t="str">
        <x:v>HUM-055</x:v>
      </x:c>
      <x:c r="B56" t="str">
        <x:v>TRUE</x:v>
      </x:c>
      <x:c r="C56" t="str">
        <x:v>No</x:v>
      </x:c>
      <x:c r="D56" t="str">
        <x:v>Archive</x:v>
      </x:c>
      <x:c r="E56" t="str">
        <x:v>FALSE</x:v>
      </x:c>
      <x:c r="F56" t="str">
        <x:v>Dec 2025-Apr 2026</x:v>
      </x:c>
      <x:c r="G56" t="n">
        <x:f>IF($A56="","",IF($F56="Dec 2025-Apr 2026",2026045,YEAR($H56)*100+MONTH($H56)))</x:f>
        <x:v>2026045</x:v>
      </x:c>
      <x:c r="H56" t="n">
        <x:v>46142</x:v>
      </x:c>
      <x:c r="I56" t="str">
        <x:v>Support for increasing stock of General store</x:v>
      </x:c>
      <x:c r="J56" t="str">
        <x:v>Anonymized case HUM-055</x:v>
      </x:c>
      <x:c r="K56" t="str">
        <x:v>Livelihood</x:v>
      </x:c>
      <x:c r="L56" t="str">
        <x:v>Shop / business inventory</x:v>
      </x:c>
      <x:c r="M56" t="n">
        <x:v>20000</x:v>
      </x:c>
      <x:c r="N56" t="n">
        <x:v>0</x:v>
      </x:c>
      <x:c r="O56" t="n">
        <x:f>IF($A56="","",N($M56)+N($N56))</x:f>
        <x:v>20000</x:v>
      </x:c>
      <x:c r="P56" t="str">
        <x:f>IF($A56="","",IF(AND(N($M56)&gt;0,N($N56)&gt;0),"Mixed",IF(N($M56)&gt;0,"Zakat",IF(N($N56)&gt;0,"Sadaqah",""))))</x:f>
        <x:v>Zakat</x:v>
      </x:c>
      <x:c r="Q56" t="str">
        <x:v>Basti, UP</x:v>
      </x:c>
      <x:c r="R56" t="str">
        <x:f>IF($A56="","",IFS($O56&lt;5000,"Under ₹5,000",$O56&lt;=10000,"₹5,000–₹10,000",$O56&lt;=15000,"₹10,000–₹15,000",$O56&lt;=25000,"₹15,000–₹25,000",$O56&lt;=50000,"₹25,000–₹50,000",TRUE,"₹50,000+"))</x:f>
        <x:v>₹15,000–₹25,000</x:v>
      </x:c>
      <x:c r="S56" t="str">
        <x:v>A verified recipient/family needed support related to shop / business inventory.</x:v>
      </x:c>
      <x:c r="T56" t="str">
        <x:v>Humanitarians supported the case through Zakat funds for support for increasing stock of general store.</x:v>
      </x:c>
      <x:c r="U56" t="str">
        <x:v>Outcome/update should be added only after verified follow-up.</x:v>
      </x:c>
      <x:c r="V56" t="str">
        <x:v>Add follow-up notes after checking with the verification team.</x:v>
      </x:c>
      <x:c r="W56" t="str">
        <x:v>Add a real quote only with consent; do not publish this placeholder as a recipient quote.</x:v>
      </x:c>
      <x:c r="X56" t="str">
        <x:v>Anonymized public summary; no full name, phone, address, ID, bank details, or donor identity included.</x:v>
      </x:c>
      <x:c r="Y56"/>
      <x:c r="Z56" t="str">
        <x:v>Anonymized Humanitarians case image 1 for HUM-055</x:v>
      </x:c>
      <x:c r="AA56" t="str">
        <x:v>Before/support context image - add only after consent.</x:v>
      </x:c>
      <x:c r="AB56"/>
      <x:c r="AC56" t="str">
        <x:v>Anonymized Humanitarians case image 2 for HUM-055</x:v>
      </x:c>
      <x:c r="AD56" t="str">
        <x:v>Support/equipment image - add only after consent.</x:v>
      </x:c>
      <x:c r="AE56"/>
      <x:c r="AF56" t="str">
        <x:v>Anonymized Humanitarians case image 3 for HUM-055</x:v>
      </x:c>
      <x:c r="AG56" t="str">
        <x:v>Outcome/follow-up image - add only after consent.</x:v>
      </x:c>
      <x:c r="AH56" t="str">
        <x:v>Pending consent</x:v>
      </x:c>
      <x:c r="AI56" t="str">
        <x:v>Paste public Google Drive image URLs only after recipient consent and privacy review.</x:v>
      </x:c>
      <x:c r="AJ56" t="str">
        <x:v>Seeded from latest uploaded workbook and public-safe v2 case-story data.</x:v>
      </x:c>
      <x:c r="AK56" t="str">
        <x:v>Add/edit cases here only. Formula tabs will update after upload/recalculation in Google Sheets.</x:v>
      </x:c>
    </x:row>
    <x:row r="57">
      <x:c r="A57" t="str">
        <x:v>HUM-056</x:v>
      </x:c>
      <x:c r="B57" t="str">
        <x:v>TRUE</x:v>
      </x:c>
      <x:c r="C57" t="str">
        <x:v>No</x:v>
      </x:c>
      <x:c r="D57" t="str">
        <x:v>Draft</x:v>
      </x:c>
      <x:c r="E57" t="str">
        <x:v>TRUE</x:v>
      </x:c>
      <x:c r="F57" t="str">
        <x:v>Dec 2025-Apr 2026</x:v>
      </x:c>
      <x:c r="G57" t="n">
        <x:f>IF($A57="","",IF($F57="Dec 2025-Apr 2026",2026045,YEAR($H57)*100+MONTH($H57)))</x:f>
        <x:v>2026045</x:v>
      </x:c>
      <x:c r="H57" t="n">
        <x:v>46142</x:v>
      </x:c>
      <x:c r="I57" t="str">
        <x:v>Support for increasing stock of grocery shop</x:v>
      </x:c>
      <x:c r="J57" t="str">
        <x:v>Anonymized case HUM-056</x:v>
      </x:c>
      <x:c r="K57" t="str">
        <x:v>Livelihood</x:v>
      </x:c>
      <x:c r="L57" t="str">
        <x:v>Shop / business inventory</x:v>
      </x:c>
      <x:c r="M57" t="n">
        <x:v>25000</x:v>
      </x:c>
      <x:c r="N57" t="n">
        <x:v>0</x:v>
      </x:c>
      <x:c r="O57" t="n">
        <x:f>IF($A57="","",N($M57)+N($N57))</x:f>
        <x:v>25000</x:v>
      </x:c>
      <x:c r="P57" t="str">
        <x:f>IF($A57="","",IF(AND(N($M57)&gt;0,N($N57)&gt;0),"Mixed",IF(N($M57)&gt;0,"Zakat",IF(N($N57)&gt;0,"Sadaqah",""))))</x:f>
        <x:v>Zakat</x:v>
      </x:c>
      <x:c r="Q57" t="str">
        <x:v>Basti, UP</x:v>
      </x:c>
      <x:c r="R57" t="str">
        <x:f>IF($A57="","",IFS($O57&lt;5000,"Under ₹5,000",$O57&lt;=10000,"₹5,000–₹10,000",$O57&lt;=15000,"₹10,000–₹15,000",$O57&lt;=25000,"₹15,000–₹25,000",$O57&lt;=50000,"₹25,000–₹50,000",TRUE,"₹50,000+"))</x:f>
        <x:v>₹15,000–₹25,000</x:v>
      </x:c>
      <x:c r="S57" t="str">
        <x:v>A verified recipient/family needed support related to shop / business inventory.</x:v>
      </x:c>
      <x:c r="T57" t="str">
        <x:v>Humanitarians supported the case through Zakat funds for support for increasing stock of grocery shop.</x:v>
      </x:c>
      <x:c r="U57" t="str">
        <x:v>Outcome/update should be added only after verified follow-up.</x:v>
      </x:c>
      <x:c r="V57" t="str">
        <x:v>Add follow-up notes after checking with the verification team.</x:v>
      </x:c>
      <x:c r="W57" t="str">
        <x:v>Add a real quote only with consent; do not publish this placeholder as a recipient quote.</x:v>
      </x:c>
      <x:c r="X57" t="str">
        <x:v>Anonymized public summary; no full name, phone, address, ID, bank details, or donor identity included.</x:v>
      </x:c>
      <x:c r="Y57"/>
      <x:c r="Z57" t="str">
        <x:v>Anonymized Humanitarians case image 1 for HUM-056</x:v>
      </x:c>
      <x:c r="AA57" t="str">
        <x:v>Before/support context image - add only after consent.</x:v>
      </x:c>
      <x:c r="AB57"/>
      <x:c r="AC57" t="str">
        <x:v>Anonymized Humanitarians case image 2 for HUM-056</x:v>
      </x:c>
      <x:c r="AD57" t="str">
        <x:v>Support/equipment image - add only after consent.</x:v>
      </x:c>
      <x:c r="AE57"/>
      <x:c r="AF57" t="str">
        <x:v>Anonymized Humanitarians case image 3 for HUM-056</x:v>
      </x:c>
      <x:c r="AG57" t="str">
        <x:v>Outcome/follow-up image - add only after consent.</x:v>
      </x:c>
      <x:c r="AH57" t="str">
        <x:v>Pending consent</x:v>
      </x:c>
      <x:c r="AI57" t="str">
        <x:v>Paste public Google Drive image URLs only after recipient consent and privacy review.</x:v>
      </x:c>
      <x:c r="AJ57" t="str">
        <x:v>Seeded from latest uploaded workbook and public-safe v2 case-story data.</x:v>
      </x:c>
      <x:c r="AK57" t="str">
        <x:v>Add/edit cases here only. Formula tabs will update after upload/recalculation in Google Sheets.</x:v>
      </x:c>
    </x:row>
    <x:row r="58">
      <x:c r="A58" t="str">
        <x:v>HUM-057</x:v>
      </x:c>
      <x:c r="B58" t="str">
        <x:v>TRUE</x:v>
      </x:c>
      <x:c r="C58" t="str">
        <x:v>No</x:v>
      </x:c>
      <x:c r="D58" t="str">
        <x:v>Archive</x:v>
      </x:c>
      <x:c r="E58" t="str">
        <x:v>FALSE</x:v>
      </x:c>
      <x:c r="F58" t="str">
        <x:v>Dec 2025-Apr 2026</x:v>
      </x:c>
      <x:c r="G58" t="n">
        <x:f>IF($A58="","",IF($F58="Dec 2025-Apr 2026",2026045,YEAR($H58)*100+MONTH($H58)))</x:f>
        <x:v>2026045</x:v>
      </x:c>
      <x:c r="H58" t="n">
        <x:v>46142</x:v>
      </x:c>
      <x:c r="I58" t="str">
        <x:v>Support for restarting food businees</x:v>
      </x:c>
      <x:c r="J58" t="str">
        <x:v>Anonymized case HUM-057</x:v>
      </x:c>
      <x:c r="K58" t="str">
        <x:v>Livelihood</x:v>
      </x:c>
      <x:c r="L58" t="str">
        <x:v>Shop / business inventory</x:v>
      </x:c>
      <x:c r="M58" t="n">
        <x:v>30000</x:v>
      </x:c>
      <x:c r="N58" t="n">
        <x:v>0</x:v>
      </x:c>
      <x:c r="O58" t="n">
        <x:f>IF($A58="","",N($M58)+N($N58))</x:f>
        <x:v>30000</x:v>
      </x:c>
      <x:c r="P58" t="str">
        <x:f>IF($A58="","",IF(AND(N($M58)&gt;0,N($N58)&gt;0),"Mixed",IF(N($M58)&gt;0,"Zakat",IF(N($N58)&gt;0,"Sadaqah",""))))</x:f>
        <x:v>Zakat</x:v>
      </x:c>
      <x:c r="Q58" t="str">
        <x:v>Sundargarh, Odisha</x:v>
      </x:c>
      <x:c r="R58" t="str">
        <x:f>IF($A58="","",IFS($O58&lt;5000,"Under ₹5,000",$O58&lt;=10000,"₹5,000–₹10,000",$O58&lt;=15000,"₹10,000–₹15,000",$O58&lt;=25000,"₹15,000–₹25,000",$O58&lt;=50000,"₹25,000–₹50,000",TRUE,"₹50,000+"))</x:f>
        <x:v>₹25,000–₹50,000</x:v>
      </x:c>
      <x:c r="S58" t="str">
        <x:v>A verified recipient/family needed support related to shop / business inventory.</x:v>
      </x:c>
      <x:c r="T58" t="str">
        <x:v>Humanitarians supported the case through Zakat funds for support for restarting food businees.</x:v>
      </x:c>
      <x:c r="U58" t="str">
        <x:v>Outcome/update should be added only after verified follow-up.</x:v>
      </x:c>
      <x:c r="V58" t="str">
        <x:v>Add follow-up notes after checking with the verification team.</x:v>
      </x:c>
      <x:c r="W58" t="str">
        <x:v>Add a real quote only with consent; do not publish this placeholder as a recipient quote.</x:v>
      </x:c>
      <x:c r="X58" t="str">
        <x:v>Anonymized public summary; no full name, phone, address, ID, bank details, or donor identity included.</x:v>
      </x:c>
      <x:c r="Y58"/>
      <x:c r="Z58" t="str">
        <x:v>Anonymized Humanitarians case image 1 for HUM-057</x:v>
      </x:c>
      <x:c r="AA58" t="str">
        <x:v>Before/support context image - add only after consent.</x:v>
      </x:c>
      <x:c r="AB58"/>
      <x:c r="AC58" t="str">
        <x:v>Anonymized Humanitarians case image 2 for HUM-057</x:v>
      </x:c>
      <x:c r="AD58" t="str">
        <x:v>Support/equipment image - add only after consent.</x:v>
      </x:c>
      <x:c r="AE58"/>
      <x:c r="AF58" t="str">
        <x:v>Anonymized Humanitarians case image 3 for HUM-057</x:v>
      </x:c>
      <x:c r="AG58" t="str">
        <x:v>Outcome/follow-up image - add only after consent.</x:v>
      </x:c>
      <x:c r="AH58" t="str">
        <x:v>Pending consent</x:v>
      </x:c>
      <x:c r="AI58" t="str">
        <x:v>Paste public Google Drive image URLs only after recipient consent and privacy review.</x:v>
      </x:c>
      <x:c r="AJ58" t="str">
        <x:v>Seeded from latest uploaded workbook and public-safe v2 case-story data.</x:v>
      </x:c>
      <x:c r="AK58" t="str">
        <x:v>Add/edit cases here only. Formula tabs will update after upload/recalculation in Google Sheets.</x:v>
      </x:c>
    </x:row>
    <x:row r="59">
      <x:c r="G59" t="str">
        <x:f>IF($A59="","",IF($F59="Dec 2025-Apr 2026",2026045,YEAR($H59)*100+MONTH($H59)))</x:f>
      </x:c>
      <x:c r="O59" t="str">
        <x:f>IF($A59="","",N($M59)+N($N59))</x:f>
      </x:c>
      <x:c r="P59" t="str">
        <x:f>IF($A59="","",IF(AND(N($M59)&gt;0,N($N59)&gt;0),"Mixed",IF(N($M59)&gt;0,"Zakat",IF(N($N59)&gt;0,"Sadaqah",""))))</x:f>
      </x:c>
      <x:c r="R59" t="str">
        <x:f>IF($A59="","",IFS($O59&lt;5000,"Under ₹5,000",$O59&lt;=10000,"₹5,000–₹10,000",$O59&lt;=15000,"₹10,000–₹15,000",$O59&lt;=25000,"₹15,000–₹25,000",$O59&lt;=50000,"₹25,000–₹50,000",TRUE,"₹50,000+"))</x:f>
      </x:c>
    </x:row>
    <x:row r="60">
      <x:c r="G60" t="str">
        <x:f>IF($A60="","",IF($F60="Dec 2025-Apr 2026",2026045,YEAR($H60)*100+MONTH($H60)))</x:f>
      </x:c>
      <x:c r="O60" t="str">
        <x:f>IF($A60="","",N($M60)+N($N60))</x:f>
      </x:c>
      <x:c r="P60" t="str">
        <x:f>IF($A60="","",IF(AND(N($M60)&gt;0,N($N60)&gt;0),"Mixed",IF(N($M60)&gt;0,"Zakat",IF(N($N60)&gt;0,"Sadaqah",""))))</x:f>
      </x:c>
      <x:c r="R60" t="str">
        <x:f>IF($A60="","",IFS($O60&lt;5000,"Under ₹5,000",$O60&lt;=10000,"₹5,000–₹10,000",$O60&lt;=15000,"₹10,000–₹15,000",$O60&lt;=25000,"₹15,000–₹25,000",$O60&lt;=50000,"₹25,000–₹50,000",TRUE,"₹50,000+"))</x:f>
      </x:c>
    </x:row>
    <x:row r="61">
      <x:c r="G61" t="str">
        <x:f>IF($A61="","",IF($F61="Dec 2025-Apr 2026",2026045,YEAR($H61)*100+MONTH($H61)))</x:f>
      </x:c>
      <x:c r="O61" t="str">
        <x:f>IF($A61="","",N($M61)+N($N61))</x:f>
      </x:c>
      <x:c r="P61" t="str">
        <x:f>IF($A61="","",IF(AND(N($M61)&gt;0,N($N61)&gt;0),"Mixed",IF(N($M61)&gt;0,"Zakat",IF(N($N61)&gt;0,"Sadaqah",""))))</x:f>
      </x:c>
      <x:c r="R61" t="str">
        <x:f>IF($A61="","",IFS($O61&lt;5000,"Under ₹5,000",$O61&lt;=10000,"₹5,000–₹10,000",$O61&lt;=15000,"₹10,000–₹15,000",$O61&lt;=25000,"₹15,000–₹25,000",$O61&lt;=50000,"₹25,000–₹50,000",TRUE,"₹50,000+"))</x:f>
      </x:c>
    </x:row>
    <x:row r="62">
      <x:c r="G62" t="str">
        <x:f>IF($A62="","",IF($F62="Dec 2025-Apr 2026",2026045,YEAR($H62)*100+MONTH($H62)))</x:f>
      </x:c>
      <x:c r="O62" t="str">
        <x:f>IF($A62="","",N($M62)+N($N62))</x:f>
      </x:c>
      <x:c r="P62" t="str">
        <x:f>IF($A62="","",IF(AND(N($M62)&gt;0,N($N62)&gt;0),"Mixed",IF(N($M62)&gt;0,"Zakat",IF(N($N62)&gt;0,"Sadaqah",""))))</x:f>
      </x:c>
      <x:c r="R62" t="str">
        <x:f>IF($A62="","",IFS($O62&lt;5000,"Under ₹5,000",$O62&lt;=10000,"₹5,000–₹10,000",$O62&lt;=15000,"₹10,000–₹15,000",$O62&lt;=25000,"₹15,000–₹25,000",$O62&lt;=50000,"₹25,000–₹50,000",TRUE,"₹50,000+"))</x:f>
      </x:c>
    </x:row>
    <x:row r="63">
      <x:c r="G63" t="str">
        <x:f>IF($A63="","",IF($F63="Dec 2025-Apr 2026",2026045,YEAR($H63)*100+MONTH($H63)))</x:f>
      </x:c>
      <x:c r="O63" t="str">
        <x:f>IF($A63="","",N($M63)+N($N63))</x:f>
      </x:c>
      <x:c r="P63" t="str">
        <x:f>IF($A63="","",IF(AND(N($M63)&gt;0,N($N63)&gt;0),"Mixed",IF(N($M63)&gt;0,"Zakat",IF(N($N63)&gt;0,"Sadaqah",""))))</x:f>
      </x:c>
      <x:c r="R63" t="str">
        <x:f>IF($A63="","",IFS($O63&lt;5000,"Under ₹5,000",$O63&lt;=10000,"₹5,000–₹10,000",$O63&lt;=15000,"₹10,000–₹15,000",$O63&lt;=25000,"₹15,000–₹25,000",$O63&lt;=50000,"₹25,000–₹50,000",TRUE,"₹50,000+"))</x:f>
      </x:c>
    </x:row>
    <x:row r="64">
      <x:c r="G64" t="str">
        <x:f>IF($A64="","",IF($F64="Dec 2025-Apr 2026",2026045,YEAR($H64)*100+MONTH($H64)))</x:f>
      </x:c>
      <x:c r="O64" t="str">
        <x:f>IF($A64="","",N($M64)+N($N64))</x:f>
      </x:c>
      <x:c r="P64" t="str">
        <x:f>IF($A64="","",IF(AND(N($M64)&gt;0,N($N64)&gt;0),"Mixed",IF(N($M64)&gt;0,"Zakat",IF(N($N64)&gt;0,"Sadaqah",""))))</x:f>
      </x:c>
      <x:c r="R64" t="str">
        <x:f>IF($A64="","",IFS($O64&lt;5000,"Under ₹5,000",$O64&lt;=10000,"₹5,000–₹10,000",$O64&lt;=15000,"₹10,000–₹15,000",$O64&lt;=25000,"₹15,000–₹25,000",$O64&lt;=50000,"₹25,000–₹50,000",TRUE,"₹50,000+"))</x:f>
      </x:c>
    </x:row>
    <x:row r="65">
      <x:c r="G65" t="str">
        <x:f>IF($A65="","",IF($F65="Dec 2025-Apr 2026",2026045,YEAR($H65)*100+MONTH($H65)))</x:f>
      </x:c>
      <x:c r="O65" t="str">
        <x:f>IF($A65="","",N($M65)+N($N65))</x:f>
      </x:c>
      <x:c r="P65" t="str">
        <x:f>IF($A65="","",IF(AND(N($M65)&gt;0,N($N65)&gt;0),"Mixed",IF(N($M65)&gt;0,"Zakat",IF(N($N65)&gt;0,"Sadaqah",""))))</x:f>
      </x:c>
      <x:c r="R65" t="str">
        <x:f>IF($A65="","",IFS($O65&lt;5000,"Under ₹5,000",$O65&lt;=10000,"₹5,000–₹10,000",$O65&lt;=15000,"₹10,000–₹15,000",$O65&lt;=25000,"₹15,000–₹25,000",$O65&lt;=50000,"₹25,000–₹50,000",TRUE,"₹50,000+"))</x:f>
      </x:c>
    </x:row>
    <x:row r="66">
      <x:c r="G66" t="str">
        <x:f>IF($A66="","",IF($F66="Dec 2025-Apr 2026",2026045,YEAR($H66)*100+MONTH($H66)))</x:f>
      </x:c>
      <x:c r="O66" t="str">
        <x:f>IF($A66="","",N($M66)+N($N66))</x:f>
      </x:c>
      <x:c r="P66" t="str">
        <x:f>IF($A66="","",IF(AND(N($M66)&gt;0,N($N66)&gt;0),"Mixed",IF(N($M66)&gt;0,"Zakat",IF(N($N66)&gt;0,"Sadaqah",""))))</x:f>
      </x:c>
      <x:c r="R66" t="str">
        <x:f>IF($A66="","",IFS($O66&lt;5000,"Under ₹5,000",$O66&lt;=10000,"₹5,000–₹10,000",$O66&lt;=15000,"₹10,000–₹15,000",$O66&lt;=25000,"₹15,000–₹25,000",$O66&lt;=50000,"₹25,000–₹50,000",TRUE,"₹50,000+"))</x:f>
      </x:c>
    </x:row>
    <x:row r="67">
      <x:c r="G67" t="str">
        <x:f>IF($A67="","",IF($F67="Dec 2025-Apr 2026",2026045,YEAR($H67)*100+MONTH($H67)))</x:f>
      </x:c>
      <x:c r="O67" t="str">
        <x:f>IF($A67="","",N($M67)+N($N67))</x:f>
      </x:c>
      <x:c r="P67" t="str">
        <x:f>IF($A67="","",IF(AND(N($M67)&gt;0,N($N67)&gt;0),"Mixed",IF(N($M67)&gt;0,"Zakat",IF(N($N67)&gt;0,"Sadaqah",""))))</x:f>
      </x:c>
      <x:c r="R67" t="str">
        <x:f>IF($A67="","",IFS($O67&lt;5000,"Under ₹5,000",$O67&lt;=10000,"₹5,000–₹10,000",$O67&lt;=15000,"₹10,000–₹15,000",$O67&lt;=25000,"₹15,000–₹25,000",$O67&lt;=50000,"₹25,000–₹50,000",TRUE,"₹50,000+"))</x:f>
      </x:c>
    </x:row>
    <x:row r="68">
      <x:c r="G68" t="str">
        <x:f>IF($A68="","",IF($F68="Dec 2025-Apr 2026",2026045,YEAR($H68)*100+MONTH($H68)))</x:f>
      </x:c>
      <x:c r="O68" t="str">
        <x:f>IF($A68="","",N($M68)+N($N68))</x:f>
      </x:c>
      <x:c r="P68" t="str">
        <x:f>IF($A68="","",IF(AND(N($M68)&gt;0,N($N68)&gt;0),"Mixed",IF(N($M68)&gt;0,"Zakat",IF(N($N68)&gt;0,"Sadaqah",""))))</x:f>
      </x:c>
      <x:c r="R68" t="str">
        <x:f>IF($A68="","",IFS($O68&lt;5000,"Under ₹5,000",$O68&lt;=10000,"₹5,000–₹10,000",$O68&lt;=15000,"₹10,000–₹15,000",$O68&lt;=25000,"₹15,000–₹25,000",$O68&lt;=50000,"₹25,000–₹50,000",TRUE,"₹50,000+"))</x:f>
      </x:c>
    </x:row>
    <x:row r="69">
      <x:c r="G69" t="str">
        <x:f>IF($A69="","",IF($F69="Dec 2025-Apr 2026",2026045,YEAR($H69)*100+MONTH($H69)))</x:f>
      </x:c>
      <x:c r="O69" t="str">
        <x:f>IF($A69="","",N($M69)+N($N69))</x:f>
      </x:c>
      <x:c r="P69" t="str">
        <x:f>IF($A69="","",IF(AND(N($M69)&gt;0,N($N69)&gt;0),"Mixed",IF(N($M69)&gt;0,"Zakat",IF(N($N69)&gt;0,"Sadaqah",""))))</x:f>
      </x:c>
      <x:c r="R69" t="str">
        <x:f>IF($A69="","",IFS($O69&lt;5000,"Under ₹5,000",$O69&lt;=10000,"₹5,000–₹10,000",$O69&lt;=15000,"₹10,000–₹15,000",$O69&lt;=25000,"₹15,000–₹25,000",$O69&lt;=50000,"₹25,000–₹50,000",TRUE,"₹50,000+"))</x:f>
      </x:c>
    </x:row>
    <x:row r="70">
      <x:c r="G70" t="str">
        <x:f>IF($A70="","",IF($F70="Dec 2025-Apr 2026",2026045,YEAR($H70)*100+MONTH($H70)))</x:f>
      </x:c>
      <x:c r="O70" t="str">
        <x:f>IF($A70="","",N($M70)+N($N70))</x:f>
      </x:c>
      <x:c r="P70" t="str">
        <x:f>IF($A70="","",IF(AND(N($M70)&gt;0,N($N70)&gt;0),"Mixed",IF(N($M70)&gt;0,"Zakat",IF(N($N70)&gt;0,"Sadaqah",""))))</x:f>
      </x:c>
      <x:c r="R70" t="str">
        <x:f>IF($A70="","",IFS($O70&lt;5000,"Under ₹5,000",$O70&lt;=10000,"₹5,000–₹10,000",$O70&lt;=15000,"₹10,000–₹15,000",$O70&lt;=25000,"₹15,000–₹25,000",$O70&lt;=50000,"₹25,000–₹50,000",TRUE,"₹50,000+"))</x:f>
      </x:c>
    </x:row>
    <x:row r="71">
      <x:c r="G71" t="str">
        <x:f>IF($A71="","",IF($F71="Dec 2025-Apr 2026",2026045,YEAR($H71)*100+MONTH($H71)))</x:f>
      </x:c>
      <x:c r="O71" t="str">
        <x:f>IF($A71="","",N($M71)+N($N71))</x:f>
      </x:c>
      <x:c r="P71" t="str">
        <x:f>IF($A71="","",IF(AND(N($M71)&gt;0,N($N71)&gt;0),"Mixed",IF(N($M71)&gt;0,"Zakat",IF(N($N71)&gt;0,"Sadaqah",""))))</x:f>
      </x:c>
      <x:c r="R71" t="str">
        <x:f>IF($A71="","",IFS($O71&lt;5000,"Under ₹5,000",$O71&lt;=10000,"₹5,000–₹10,000",$O71&lt;=15000,"₹10,000–₹15,000",$O71&lt;=25000,"₹15,000–₹25,000",$O71&lt;=50000,"₹25,000–₹50,000",TRUE,"₹50,000+"))</x:f>
      </x:c>
    </x:row>
    <x:row r="72">
      <x:c r="G72" t="str">
        <x:f>IF($A72="","",IF($F72="Dec 2025-Apr 2026",2026045,YEAR($H72)*100+MONTH($H72)))</x:f>
      </x:c>
      <x:c r="O72" t="str">
        <x:f>IF($A72="","",N($M72)+N($N72))</x:f>
      </x:c>
      <x:c r="P72" t="str">
        <x:f>IF($A72="","",IF(AND(N($M72)&gt;0,N($N72)&gt;0),"Mixed",IF(N($M72)&gt;0,"Zakat",IF(N($N72)&gt;0,"Sadaqah",""))))</x:f>
      </x:c>
      <x:c r="R72" t="str">
        <x:f>IF($A72="","",IFS($O72&lt;5000,"Under ₹5,000",$O72&lt;=10000,"₹5,000–₹10,000",$O72&lt;=15000,"₹10,000–₹15,000",$O72&lt;=25000,"₹15,000–₹25,000",$O72&lt;=50000,"₹25,000–₹50,000",TRUE,"₹50,000+"))</x:f>
      </x:c>
    </x:row>
    <x:row r="73">
      <x:c r="G73" t="str">
        <x:f>IF($A73="","",IF($F73="Dec 2025-Apr 2026",2026045,YEAR($H73)*100+MONTH($H73)))</x:f>
      </x:c>
      <x:c r="O73" t="str">
        <x:f>IF($A73="","",N($M73)+N($N73))</x:f>
      </x:c>
      <x:c r="P73" t="str">
        <x:f>IF($A73="","",IF(AND(N($M73)&gt;0,N($N73)&gt;0),"Mixed",IF(N($M73)&gt;0,"Zakat",IF(N($N73)&gt;0,"Sadaqah",""))))</x:f>
      </x:c>
      <x:c r="R73" t="str">
        <x:f>IF($A73="","",IFS($O73&lt;5000,"Under ₹5,000",$O73&lt;=10000,"₹5,000–₹10,000",$O73&lt;=15000,"₹10,000–₹15,000",$O73&lt;=25000,"₹15,000–₹25,000",$O73&lt;=50000,"₹25,000–₹50,000",TRUE,"₹50,000+"))</x:f>
      </x:c>
    </x:row>
    <x:row r="74">
      <x:c r="G74" t="str">
        <x:f>IF($A74="","",IF($F74="Dec 2025-Apr 2026",2026045,YEAR($H74)*100+MONTH($H74)))</x:f>
      </x:c>
      <x:c r="O74" t="str">
        <x:f>IF($A74="","",N($M74)+N($N74))</x:f>
      </x:c>
      <x:c r="P74" t="str">
        <x:f>IF($A74="","",IF(AND(N($M74)&gt;0,N($N74)&gt;0),"Mixed",IF(N($M74)&gt;0,"Zakat",IF(N($N74)&gt;0,"Sadaqah",""))))</x:f>
      </x:c>
      <x:c r="R74" t="str">
        <x:f>IF($A74="","",IFS($O74&lt;5000,"Under ₹5,000",$O74&lt;=10000,"₹5,000–₹10,000",$O74&lt;=15000,"₹10,000–₹15,000",$O74&lt;=25000,"₹15,000–₹25,000",$O74&lt;=50000,"₹25,000–₹50,000",TRUE,"₹50,000+"))</x:f>
      </x:c>
    </x:row>
    <x:row r="75">
      <x:c r="G75" t="str">
        <x:f>IF($A75="","",IF($F75="Dec 2025-Apr 2026",2026045,YEAR($H75)*100+MONTH($H75)))</x:f>
      </x:c>
      <x:c r="O75" t="str">
        <x:f>IF($A75="","",N($M75)+N($N75))</x:f>
      </x:c>
      <x:c r="P75" t="str">
        <x:f>IF($A75="","",IF(AND(N($M75)&gt;0,N($N75)&gt;0),"Mixed",IF(N($M75)&gt;0,"Zakat",IF(N($N75)&gt;0,"Sadaqah",""))))</x:f>
      </x:c>
      <x:c r="R75" t="str">
        <x:f>IF($A75="","",IFS($O75&lt;5000,"Under ₹5,000",$O75&lt;=10000,"₹5,000–₹10,000",$O75&lt;=15000,"₹10,000–₹15,000",$O75&lt;=25000,"₹15,000–₹25,000",$O75&lt;=50000,"₹25,000–₹50,000",TRUE,"₹50,000+"))</x:f>
      </x:c>
    </x:row>
    <x:row r="76">
      <x:c r="G76" t="str">
        <x:f>IF($A76="","",IF($F76="Dec 2025-Apr 2026",2026045,YEAR($H76)*100+MONTH($H76)))</x:f>
      </x:c>
      <x:c r="O76" t="str">
        <x:f>IF($A76="","",N($M76)+N($N76))</x:f>
      </x:c>
      <x:c r="P76" t="str">
        <x:f>IF($A76="","",IF(AND(N($M76)&gt;0,N($N76)&gt;0),"Mixed",IF(N($M76)&gt;0,"Zakat",IF(N($N76)&gt;0,"Sadaqah",""))))</x:f>
      </x:c>
      <x:c r="R76" t="str">
        <x:f>IF($A76="","",IFS($O76&lt;5000,"Under ₹5,000",$O76&lt;=10000,"₹5,000–₹10,000",$O76&lt;=15000,"₹10,000–₹15,000",$O76&lt;=25000,"₹15,000–₹25,000",$O76&lt;=50000,"₹25,000–₹50,000",TRUE,"₹50,000+"))</x:f>
      </x:c>
    </x:row>
    <x:row r="77">
      <x:c r="G77" t="str">
        <x:f>IF($A77="","",IF($F77="Dec 2025-Apr 2026",2026045,YEAR($H77)*100+MONTH($H77)))</x:f>
      </x:c>
      <x:c r="O77" t="str">
        <x:f>IF($A77="","",N($M77)+N($N77))</x:f>
      </x:c>
      <x:c r="P77" t="str">
        <x:f>IF($A77="","",IF(AND(N($M77)&gt;0,N($N77)&gt;0),"Mixed",IF(N($M77)&gt;0,"Zakat",IF(N($N77)&gt;0,"Sadaqah",""))))</x:f>
      </x:c>
      <x:c r="R77" t="str">
        <x:f>IF($A77="","",IFS($O77&lt;5000,"Under ₹5,000",$O77&lt;=10000,"₹5,000–₹10,000",$O77&lt;=15000,"₹10,000–₹15,000",$O77&lt;=25000,"₹15,000–₹25,000",$O77&lt;=50000,"₹25,000–₹50,000",TRUE,"₹50,000+"))</x:f>
      </x:c>
    </x:row>
    <x:row r="78">
      <x:c r="G78" t="str">
        <x:f>IF($A78="","",IF($F78="Dec 2025-Apr 2026",2026045,YEAR($H78)*100+MONTH($H78)))</x:f>
      </x:c>
      <x:c r="O78" t="str">
        <x:f>IF($A78="","",N($M78)+N($N78))</x:f>
      </x:c>
      <x:c r="P78" t="str">
        <x:f>IF($A78="","",IF(AND(N($M78)&gt;0,N($N78)&gt;0),"Mixed",IF(N($M78)&gt;0,"Zakat",IF(N($N78)&gt;0,"Sadaqah",""))))</x:f>
      </x:c>
      <x:c r="R78" t="str">
        <x:f>IF($A78="","",IFS($O78&lt;5000,"Under ₹5,000",$O78&lt;=10000,"₹5,000–₹10,000",$O78&lt;=15000,"₹10,000–₹15,000",$O78&lt;=25000,"₹15,000–₹25,000",$O78&lt;=50000,"₹25,000–₹50,000",TRUE,"₹50,000+"))</x:f>
      </x:c>
    </x:row>
    <x:row r="79">
      <x:c r="G79" t="str">
        <x:f>IF($A79="","",IF($F79="Dec 2025-Apr 2026",2026045,YEAR($H79)*100+MONTH($H79)))</x:f>
      </x:c>
      <x:c r="O79" t="str">
        <x:f>IF($A79="","",N($M79)+N($N79))</x:f>
      </x:c>
      <x:c r="P79" t="str">
        <x:f>IF($A79="","",IF(AND(N($M79)&gt;0,N($N79)&gt;0),"Mixed",IF(N($M79)&gt;0,"Zakat",IF(N($N79)&gt;0,"Sadaqah",""))))</x:f>
      </x:c>
      <x:c r="R79" t="str">
        <x:f>IF($A79="","",IFS($O79&lt;5000,"Under ₹5,000",$O79&lt;=10000,"₹5,000–₹10,000",$O79&lt;=15000,"₹10,000–₹15,000",$O79&lt;=25000,"₹15,000–₹25,000",$O79&lt;=50000,"₹25,000–₹50,000",TRUE,"₹50,000+"))</x:f>
      </x:c>
    </x:row>
    <x:row r="80">
      <x:c r="G80" t="str">
        <x:f>IF($A80="","",IF($F80="Dec 2025-Apr 2026",2026045,YEAR($H80)*100+MONTH($H80)))</x:f>
      </x:c>
      <x:c r="O80" t="str">
        <x:f>IF($A80="","",N($M80)+N($N80))</x:f>
      </x:c>
      <x:c r="P80" t="str">
        <x:f>IF($A80="","",IF(AND(N($M80)&gt;0,N($N80)&gt;0),"Mixed",IF(N($M80)&gt;0,"Zakat",IF(N($N80)&gt;0,"Sadaqah",""))))</x:f>
      </x:c>
      <x:c r="R80" t="str">
        <x:f>IF($A80="","",IFS($O80&lt;5000,"Under ₹5,000",$O80&lt;=10000,"₹5,000–₹10,000",$O80&lt;=15000,"₹10,000–₹15,000",$O80&lt;=25000,"₹15,000–₹25,000",$O80&lt;=50000,"₹25,000–₹50,000",TRUE,"₹50,000+"))</x:f>
      </x:c>
    </x:row>
    <x:row r="81">
      <x:c r="G81" t="str">
        <x:f>IF($A81="","",IF($F81="Dec 2025-Apr 2026",2026045,YEAR($H81)*100+MONTH($H81)))</x:f>
      </x:c>
      <x:c r="O81" t="str">
        <x:f>IF($A81="","",N($M81)+N($N81))</x:f>
      </x:c>
      <x:c r="P81" t="str">
        <x:f>IF($A81="","",IF(AND(N($M81)&gt;0,N($N81)&gt;0),"Mixed",IF(N($M81)&gt;0,"Zakat",IF(N($N81)&gt;0,"Sadaqah",""))))</x:f>
      </x:c>
      <x:c r="R81" t="str">
        <x:f>IF($A81="","",IFS($O81&lt;5000,"Under ₹5,000",$O81&lt;=10000,"₹5,000–₹10,000",$O81&lt;=15000,"₹10,000–₹15,000",$O81&lt;=25000,"₹15,000–₹25,000",$O81&lt;=50000,"₹25,000–₹50,000",TRUE,"₹50,000+"))</x:f>
      </x:c>
    </x:row>
    <x:row r="82">
      <x:c r="G82" t="str">
        <x:f>IF($A82="","",IF($F82="Dec 2025-Apr 2026",2026045,YEAR($H82)*100+MONTH($H82)))</x:f>
      </x:c>
      <x:c r="O82" t="str">
        <x:f>IF($A82="","",N($M82)+N($N82))</x:f>
      </x:c>
      <x:c r="P82" t="str">
        <x:f>IF($A82="","",IF(AND(N($M82)&gt;0,N($N82)&gt;0),"Mixed",IF(N($M82)&gt;0,"Zakat",IF(N($N82)&gt;0,"Sadaqah",""))))</x:f>
      </x:c>
      <x:c r="R82" t="str">
        <x:f>IF($A82="","",IFS($O82&lt;5000,"Under ₹5,000",$O82&lt;=10000,"₹5,000–₹10,000",$O82&lt;=15000,"₹10,000–₹15,000",$O82&lt;=25000,"₹15,000–₹25,000",$O82&lt;=50000,"₹25,000–₹50,000",TRUE,"₹50,000+"))</x:f>
      </x:c>
    </x:row>
    <x:row r="83">
      <x:c r="G83" t="str">
        <x:f>IF($A83="","",IF($F83="Dec 2025-Apr 2026",2026045,YEAR($H83)*100+MONTH($H83)))</x:f>
      </x:c>
      <x:c r="O83" t="str">
        <x:f>IF($A83="","",N($M83)+N($N83))</x:f>
      </x:c>
      <x:c r="P83" t="str">
        <x:f>IF($A83="","",IF(AND(N($M83)&gt;0,N($N83)&gt;0),"Mixed",IF(N($M83)&gt;0,"Zakat",IF(N($N83)&gt;0,"Sadaqah",""))))</x:f>
      </x:c>
      <x:c r="R83" t="str">
        <x:f>IF($A83="","",IFS($O83&lt;5000,"Under ₹5,000",$O83&lt;=10000,"₹5,000–₹10,000",$O83&lt;=15000,"₹10,000–₹15,000",$O83&lt;=25000,"₹15,000–₹25,000",$O83&lt;=50000,"₹25,000–₹50,000",TRUE,"₹50,000+"))</x:f>
      </x:c>
    </x:row>
    <x:row r="84">
      <x:c r="G84" t="str">
        <x:f>IF($A84="","",IF($F84="Dec 2025-Apr 2026",2026045,YEAR($H84)*100+MONTH($H84)))</x:f>
      </x:c>
      <x:c r="O84" t="str">
        <x:f>IF($A84="","",N($M84)+N($N84))</x:f>
      </x:c>
      <x:c r="P84" t="str">
        <x:f>IF($A84="","",IF(AND(N($M84)&gt;0,N($N84)&gt;0),"Mixed",IF(N($M84)&gt;0,"Zakat",IF(N($N84)&gt;0,"Sadaqah",""))))</x:f>
      </x:c>
      <x:c r="R84" t="str">
        <x:f>IF($A84="","",IFS($O84&lt;5000,"Under ₹5,000",$O84&lt;=10000,"₹5,000–₹10,000",$O84&lt;=15000,"₹10,000–₹15,000",$O84&lt;=25000,"₹15,000–₹25,000",$O84&lt;=50000,"₹25,000–₹50,000",TRUE,"₹50,000+"))</x:f>
      </x:c>
    </x:row>
    <x:row r="85">
      <x:c r="G85" t="str">
        <x:f>IF($A85="","",IF($F85="Dec 2025-Apr 2026",2026045,YEAR($H85)*100+MONTH($H85)))</x:f>
      </x:c>
      <x:c r="O85" t="str">
        <x:f>IF($A85="","",N($M85)+N($N85))</x:f>
      </x:c>
      <x:c r="P85" t="str">
        <x:f>IF($A85="","",IF(AND(N($M85)&gt;0,N($N85)&gt;0),"Mixed",IF(N($M85)&gt;0,"Zakat",IF(N($N85)&gt;0,"Sadaqah",""))))</x:f>
      </x:c>
      <x:c r="R85" t="str">
        <x:f>IF($A85="","",IFS($O85&lt;5000,"Under ₹5,000",$O85&lt;=10000,"₹5,000–₹10,000",$O85&lt;=15000,"₹10,000–₹15,000",$O85&lt;=25000,"₹15,000–₹25,000",$O85&lt;=50000,"₹25,000–₹50,000",TRUE,"₹50,000+"))</x:f>
      </x:c>
    </x:row>
    <x:row r="86">
      <x:c r="G86" t="str">
        <x:f>IF($A86="","",IF($F86="Dec 2025-Apr 2026",2026045,YEAR($H86)*100+MONTH($H86)))</x:f>
      </x:c>
      <x:c r="O86" t="str">
        <x:f>IF($A86="","",N($M86)+N($N86))</x:f>
      </x:c>
      <x:c r="P86" t="str">
        <x:f>IF($A86="","",IF(AND(N($M86)&gt;0,N($N86)&gt;0),"Mixed",IF(N($M86)&gt;0,"Zakat",IF(N($N86)&gt;0,"Sadaqah",""))))</x:f>
      </x:c>
      <x:c r="R86" t="str">
        <x:f>IF($A86="","",IFS($O86&lt;5000,"Under ₹5,000",$O86&lt;=10000,"₹5,000–₹10,000",$O86&lt;=15000,"₹10,000–₹15,000",$O86&lt;=25000,"₹15,000–₹25,000",$O86&lt;=50000,"₹25,000–₹50,000",TRUE,"₹50,000+"))</x:f>
      </x:c>
    </x:row>
    <x:row r="87">
      <x:c r="G87" t="str">
        <x:f>IF($A87="","",IF($F87="Dec 2025-Apr 2026",2026045,YEAR($H87)*100+MONTH($H87)))</x:f>
      </x:c>
      <x:c r="O87" t="str">
        <x:f>IF($A87="","",N($M87)+N($N87))</x:f>
      </x:c>
      <x:c r="P87" t="str">
        <x:f>IF($A87="","",IF(AND(N($M87)&gt;0,N($N87)&gt;0),"Mixed",IF(N($M87)&gt;0,"Zakat",IF(N($N87)&gt;0,"Sadaqah",""))))</x:f>
      </x:c>
      <x:c r="R87" t="str">
        <x:f>IF($A87="","",IFS($O87&lt;5000,"Under ₹5,000",$O87&lt;=10000,"₹5,000–₹10,000",$O87&lt;=15000,"₹10,000–₹15,000",$O87&lt;=25000,"₹15,000–₹25,000",$O87&lt;=50000,"₹25,000–₹50,000",TRUE,"₹50,000+"))</x:f>
      </x:c>
    </x:row>
    <x:row r="88">
      <x:c r="G88" t="str">
        <x:f>IF($A88="","",IF($F88="Dec 2025-Apr 2026",2026045,YEAR($H88)*100+MONTH($H88)))</x:f>
      </x:c>
      <x:c r="O88" t="str">
        <x:f>IF($A88="","",N($M88)+N($N88))</x:f>
      </x:c>
      <x:c r="P88" t="str">
        <x:f>IF($A88="","",IF(AND(N($M88)&gt;0,N($N88)&gt;0),"Mixed",IF(N($M88)&gt;0,"Zakat",IF(N($N88)&gt;0,"Sadaqah",""))))</x:f>
      </x:c>
      <x:c r="R88" t="str">
        <x:f>IF($A88="","",IFS($O88&lt;5000,"Under ₹5,000",$O88&lt;=10000,"₹5,000–₹10,000",$O88&lt;=15000,"₹10,000–₹15,000",$O88&lt;=25000,"₹15,000–₹25,000",$O88&lt;=50000,"₹25,000–₹50,000",TRUE,"₹50,000+"))</x:f>
      </x:c>
    </x:row>
    <x:row r="89">
      <x:c r="G89" t="str">
        <x:f>IF($A89="","",IF($F89="Dec 2025-Apr 2026",2026045,YEAR($H89)*100+MONTH($H89)))</x:f>
      </x:c>
      <x:c r="O89" t="str">
        <x:f>IF($A89="","",N($M89)+N($N89))</x:f>
      </x:c>
      <x:c r="P89" t="str">
        <x:f>IF($A89="","",IF(AND(N($M89)&gt;0,N($N89)&gt;0),"Mixed",IF(N($M89)&gt;0,"Zakat",IF(N($N89)&gt;0,"Sadaqah",""))))</x:f>
      </x:c>
      <x:c r="R89" t="str">
        <x:f>IF($A89="","",IFS($O89&lt;5000,"Under ₹5,000",$O89&lt;=10000,"₹5,000–₹10,000",$O89&lt;=15000,"₹10,000–₹15,000",$O89&lt;=25000,"₹15,000–₹25,000",$O89&lt;=50000,"₹25,000–₹50,000",TRUE,"₹50,000+"))</x:f>
      </x:c>
    </x:row>
    <x:row r="90">
      <x:c r="G90" t="str">
        <x:f>IF($A90="","",IF($F90="Dec 2025-Apr 2026",2026045,YEAR($H90)*100+MONTH($H90)))</x:f>
      </x:c>
      <x:c r="O90" t="str">
        <x:f>IF($A90="","",N($M90)+N($N90))</x:f>
      </x:c>
      <x:c r="P90" t="str">
        <x:f>IF($A90="","",IF(AND(N($M90)&gt;0,N($N90)&gt;0),"Mixed",IF(N($M90)&gt;0,"Zakat",IF(N($N90)&gt;0,"Sadaqah",""))))</x:f>
      </x:c>
      <x:c r="R90" t="str">
        <x:f>IF($A90="","",IFS($O90&lt;5000,"Under ₹5,000",$O90&lt;=10000,"₹5,000–₹10,000",$O90&lt;=15000,"₹10,000–₹15,000",$O90&lt;=25000,"₹15,000–₹25,000",$O90&lt;=50000,"₹25,000–₹50,000",TRUE,"₹50,000+"))</x:f>
      </x:c>
    </x:row>
    <x:row r="91">
      <x:c r="G91" t="str">
        <x:f>IF($A91="","",IF($F91="Dec 2025-Apr 2026",2026045,YEAR($H91)*100+MONTH($H91)))</x:f>
      </x:c>
      <x:c r="O91" t="str">
        <x:f>IF($A91="","",N($M91)+N($N91))</x:f>
      </x:c>
      <x:c r="P91" t="str">
        <x:f>IF($A91="","",IF(AND(N($M91)&gt;0,N($N91)&gt;0),"Mixed",IF(N($M91)&gt;0,"Zakat",IF(N($N91)&gt;0,"Sadaqah",""))))</x:f>
      </x:c>
      <x:c r="R91" t="str">
        <x:f>IF($A91="","",IFS($O91&lt;5000,"Under ₹5,000",$O91&lt;=10000,"₹5,000–₹10,000",$O91&lt;=15000,"₹10,000–₹15,000",$O91&lt;=25000,"₹15,000–₹25,000",$O91&lt;=50000,"₹25,000–₹50,000",TRUE,"₹50,000+"))</x:f>
      </x:c>
    </x:row>
    <x:row r="92">
      <x:c r="G92" t="str">
        <x:f>IF($A92="","",IF($F92="Dec 2025-Apr 2026",2026045,YEAR($H92)*100+MONTH($H92)))</x:f>
      </x:c>
      <x:c r="O92" t="str">
        <x:f>IF($A92="","",N($M92)+N($N92))</x:f>
      </x:c>
      <x:c r="P92" t="str">
        <x:f>IF($A92="","",IF(AND(N($M92)&gt;0,N($N92)&gt;0),"Mixed",IF(N($M92)&gt;0,"Zakat",IF(N($N92)&gt;0,"Sadaqah",""))))</x:f>
      </x:c>
      <x:c r="R92" t="str">
        <x:f>IF($A92="","",IFS($O92&lt;5000,"Under ₹5,000",$O92&lt;=10000,"₹5,000–₹10,000",$O92&lt;=15000,"₹10,000–₹15,000",$O92&lt;=25000,"₹15,000–₹25,000",$O92&lt;=50000,"₹25,000–₹50,000",TRUE,"₹50,000+"))</x:f>
      </x:c>
    </x:row>
    <x:row r="93">
      <x:c r="G93" t="str">
        <x:f>IF($A93="","",IF($F93="Dec 2025-Apr 2026",2026045,YEAR($H93)*100+MONTH($H93)))</x:f>
      </x:c>
      <x:c r="O93" t="str">
        <x:f>IF($A93="","",N($M93)+N($N93))</x:f>
      </x:c>
      <x:c r="P93" t="str">
        <x:f>IF($A93="","",IF(AND(N($M93)&gt;0,N($N93)&gt;0),"Mixed",IF(N($M93)&gt;0,"Zakat",IF(N($N93)&gt;0,"Sadaqah",""))))</x:f>
      </x:c>
      <x:c r="R93" t="str">
        <x:f>IF($A93="","",IFS($O93&lt;5000,"Under ₹5,000",$O93&lt;=10000,"₹5,000–₹10,000",$O93&lt;=15000,"₹10,000–₹15,000",$O93&lt;=25000,"₹15,000–₹25,000",$O93&lt;=50000,"₹25,000–₹50,000",TRUE,"₹50,000+"))</x:f>
      </x:c>
    </x:row>
    <x:row r="94">
      <x:c r="G94" t="str">
        <x:f>IF($A94="","",IF($F94="Dec 2025-Apr 2026",2026045,YEAR($H94)*100+MONTH($H94)))</x:f>
      </x:c>
      <x:c r="O94" t="str">
        <x:f>IF($A94="","",N($M94)+N($N94))</x:f>
      </x:c>
      <x:c r="P94" t="str">
        <x:f>IF($A94="","",IF(AND(N($M94)&gt;0,N($N94)&gt;0),"Mixed",IF(N($M94)&gt;0,"Zakat",IF(N($N94)&gt;0,"Sadaqah",""))))</x:f>
      </x:c>
      <x:c r="R94" t="str">
        <x:f>IF($A94="","",IFS($O94&lt;5000,"Under ₹5,000",$O94&lt;=10000,"₹5,000–₹10,000",$O94&lt;=15000,"₹10,000–₹15,000",$O94&lt;=25000,"₹15,000–₹25,000",$O94&lt;=50000,"₹25,000–₹50,000",TRUE,"₹50,000+"))</x:f>
      </x:c>
    </x:row>
    <x:row r="95">
      <x:c r="G95" t="str">
        <x:f>IF($A95="","",IF($F95="Dec 2025-Apr 2026",2026045,YEAR($H95)*100+MONTH($H95)))</x:f>
      </x:c>
      <x:c r="O95" t="str">
        <x:f>IF($A95="","",N($M95)+N($N95))</x:f>
      </x:c>
      <x:c r="P95" t="str">
        <x:f>IF($A95="","",IF(AND(N($M95)&gt;0,N($N95)&gt;0),"Mixed",IF(N($M95)&gt;0,"Zakat",IF(N($N95)&gt;0,"Sadaqah",""))))</x:f>
      </x:c>
      <x:c r="R95" t="str">
        <x:f>IF($A95="","",IFS($O95&lt;5000,"Under ₹5,000",$O95&lt;=10000,"₹5,000–₹10,000",$O95&lt;=15000,"₹10,000–₹15,000",$O95&lt;=25000,"₹15,000–₹25,000",$O95&lt;=50000,"₹25,000–₹50,000",TRUE,"₹50,000+"))</x:f>
      </x:c>
    </x:row>
    <x:row r="96">
      <x:c r="G96" t="str">
        <x:f>IF($A96="","",IF($F96="Dec 2025-Apr 2026",2026045,YEAR($H96)*100+MONTH($H96)))</x:f>
      </x:c>
      <x:c r="O96" t="str">
        <x:f>IF($A96="","",N($M96)+N($N96))</x:f>
      </x:c>
      <x:c r="P96" t="str">
        <x:f>IF($A96="","",IF(AND(N($M96)&gt;0,N($N96)&gt;0),"Mixed",IF(N($M96)&gt;0,"Zakat",IF(N($N96)&gt;0,"Sadaqah",""))))</x:f>
      </x:c>
      <x:c r="R96" t="str">
        <x:f>IF($A96="","",IFS($O96&lt;5000,"Under ₹5,000",$O96&lt;=10000,"₹5,000–₹10,000",$O96&lt;=15000,"₹10,000–₹15,000",$O96&lt;=25000,"₹15,000–₹25,000",$O96&lt;=50000,"₹25,000–₹50,000",TRUE,"₹50,000+"))</x:f>
      </x:c>
    </x:row>
    <x:row r="97">
      <x:c r="G97" t="str">
        <x:f>IF($A97="","",IF($F97="Dec 2025-Apr 2026",2026045,YEAR($H97)*100+MONTH($H97)))</x:f>
      </x:c>
      <x:c r="O97" t="str">
        <x:f>IF($A97="","",N($M97)+N($N97))</x:f>
      </x:c>
      <x:c r="P97" t="str">
        <x:f>IF($A97="","",IF(AND(N($M97)&gt;0,N($N97)&gt;0),"Mixed",IF(N($M97)&gt;0,"Zakat",IF(N($N97)&gt;0,"Sadaqah",""))))</x:f>
      </x:c>
      <x:c r="R97" t="str">
        <x:f>IF($A97="","",IFS($O97&lt;5000,"Under ₹5,000",$O97&lt;=10000,"₹5,000–₹10,000",$O97&lt;=15000,"₹10,000–₹15,000",$O97&lt;=25000,"₹15,000–₹25,000",$O97&lt;=50000,"₹25,000–₹50,000",TRUE,"₹50,000+"))</x:f>
      </x:c>
    </x:row>
    <x:row r="98">
      <x:c r="G98" t="str">
        <x:f>IF($A98="","",IF($F98="Dec 2025-Apr 2026",2026045,YEAR($H98)*100+MONTH($H98)))</x:f>
      </x:c>
      <x:c r="O98" t="str">
        <x:f>IF($A98="","",N($M98)+N($N98))</x:f>
      </x:c>
      <x:c r="P98" t="str">
        <x:f>IF($A98="","",IF(AND(N($M98)&gt;0,N($N98)&gt;0),"Mixed",IF(N($M98)&gt;0,"Zakat",IF(N($N98)&gt;0,"Sadaqah",""))))</x:f>
      </x:c>
      <x:c r="R98" t="str">
        <x:f>IF($A98="","",IFS($O98&lt;5000,"Under ₹5,000",$O98&lt;=10000,"₹5,000–₹10,000",$O98&lt;=15000,"₹10,000–₹15,000",$O98&lt;=25000,"₹15,000–₹25,000",$O98&lt;=50000,"₹25,000–₹50,000",TRUE,"₹50,000+"))</x:f>
      </x:c>
    </x:row>
    <x:row r="99">
      <x:c r="G99" t="str">
        <x:f>IF($A99="","",IF($F99="Dec 2025-Apr 2026",2026045,YEAR($H99)*100+MONTH($H99)))</x:f>
      </x:c>
      <x:c r="O99" t="str">
        <x:f>IF($A99="","",N($M99)+N($N99))</x:f>
      </x:c>
      <x:c r="P99" t="str">
        <x:f>IF($A99="","",IF(AND(N($M99)&gt;0,N($N99)&gt;0),"Mixed",IF(N($M99)&gt;0,"Zakat",IF(N($N99)&gt;0,"Sadaqah",""))))</x:f>
      </x:c>
      <x:c r="R99" t="str">
        <x:f>IF($A99="","",IFS($O99&lt;5000,"Under ₹5,000",$O99&lt;=10000,"₹5,000–₹10,000",$O99&lt;=15000,"₹10,000–₹15,000",$O99&lt;=25000,"₹15,000–₹25,000",$O99&lt;=50000,"₹25,000–₹50,000",TRUE,"₹50,000+"))</x:f>
      </x:c>
    </x:row>
    <x:row r="100">
      <x:c r="G100" t="str">
        <x:f>IF($A100="","",IF($F100="Dec 2025-Apr 2026",2026045,YEAR($H100)*100+MONTH($H100)))</x:f>
      </x:c>
      <x:c r="O100" t="str">
        <x:f>IF($A100="","",N($M100)+N($N100))</x:f>
      </x:c>
      <x:c r="P100" t="str">
        <x:f>IF($A100="","",IF(AND(N($M100)&gt;0,N($N100)&gt;0),"Mixed",IF(N($M100)&gt;0,"Zakat",IF(N($N100)&gt;0,"Sadaqah",""))))</x:f>
      </x:c>
      <x:c r="R100" t="str">
        <x:f>IF($A100="","",IFS($O100&lt;5000,"Under ₹5,000",$O100&lt;=10000,"₹5,000–₹10,000",$O100&lt;=15000,"₹10,000–₹15,000",$O100&lt;=25000,"₹15,000–₹25,000",$O100&lt;=50000,"₹25,000–₹50,000",TRUE,"₹50,000+"))</x:f>
      </x:c>
    </x:row>
    <x:row r="101">
      <x:c r="G101" t="str">
        <x:f>IF($A101="","",IF($F101="Dec 2025-Apr 2026",2026045,YEAR($H101)*100+MONTH($H101)))</x:f>
      </x:c>
      <x:c r="O101" t="str">
        <x:f>IF($A101="","",N($M101)+N($N101))</x:f>
      </x:c>
      <x:c r="P101" t="str">
        <x:f>IF($A101="","",IF(AND(N($M101)&gt;0,N($N101)&gt;0),"Mixed",IF(N($M101)&gt;0,"Zakat",IF(N($N101)&gt;0,"Sadaqah",""))))</x:f>
      </x:c>
      <x:c r="R101" t="str">
        <x:f>IF($A101="","",IFS($O101&lt;5000,"Under ₹5,000",$O101&lt;=10000,"₹5,000–₹10,000",$O101&lt;=15000,"₹10,000–₹15,000",$O101&lt;=25000,"₹15,000–₹25,000",$O101&lt;=50000,"₹25,000–₹50,000",TRUE,"₹50,000+"))</x:f>
      </x:c>
    </x:row>
    <x:row r="102">
      <x:c r="G102" t="str">
        <x:f>IF($A102="","",IF($F102="Dec 2025-Apr 2026",2026045,YEAR($H102)*100+MONTH($H102)))</x:f>
      </x:c>
      <x:c r="O102" t="str">
        <x:f>IF($A102="","",N($M102)+N($N102))</x:f>
      </x:c>
      <x:c r="P102" t="str">
        <x:f>IF($A102="","",IF(AND(N($M102)&gt;0,N($N102)&gt;0),"Mixed",IF(N($M102)&gt;0,"Zakat",IF(N($N102)&gt;0,"Sadaqah",""))))</x:f>
      </x:c>
      <x:c r="R102" t="str">
        <x:f>IF($A102="","",IFS($O102&lt;5000,"Under ₹5,000",$O102&lt;=10000,"₹5,000–₹10,000",$O102&lt;=15000,"₹10,000–₹15,000",$O102&lt;=25000,"₹15,000–₹25,000",$O102&lt;=50000,"₹25,000–₹50,000",TRUE,"₹50,000+"))</x:f>
      </x:c>
    </x:row>
    <x:row r="103">
      <x:c r="G103" t="str">
        <x:f>IF($A103="","",IF($F103="Dec 2025-Apr 2026",2026045,YEAR($H103)*100+MONTH($H103)))</x:f>
      </x:c>
      <x:c r="O103" t="str">
        <x:f>IF($A103="","",N($M103)+N($N103))</x:f>
      </x:c>
      <x:c r="P103" t="str">
        <x:f>IF($A103="","",IF(AND(N($M103)&gt;0,N($N103)&gt;0),"Mixed",IF(N($M103)&gt;0,"Zakat",IF(N($N103)&gt;0,"Sadaqah",""))))</x:f>
      </x:c>
      <x:c r="R103" t="str">
        <x:f>IF($A103="","",IFS($O103&lt;5000,"Under ₹5,000",$O103&lt;=10000,"₹5,000–₹10,000",$O103&lt;=15000,"₹10,000–₹15,000",$O103&lt;=25000,"₹15,000–₹25,000",$O103&lt;=50000,"₹25,000–₹50,000",TRUE,"₹50,000+"))</x:f>
      </x:c>
    </x:row>
    <x:row r="104">
      <x:c r="G104" t="str">
        <x:f>IF($A104="","",IF($F104="Dec 2025-Apr 2026",2026045,YEAR($H104)*100+MONTH($H104)))</x:f>
      </x:c>
      <x:c r="O104" t="str">
        <x:f>IF($A104="","",N($M104)+N($N104))</x:f>
      </x:c>
      <x:c r="P104" t="str">
        <x:f>IF($A104="","",IF(AND(N($M104)&gt;0,N($N104)&gt;0),"Mixed",IF(N($M104)&gt;0,"Zakat",IF(N($N104)&gt;0,"Sadaqah",""))))</x:f>
      </x:c>
      <x:c r="R104" t="str">
        <x:f>IF($A104="","",IFS($O104&lt;5000,"Under ₹5,000",$O104&lt;=10000,"₹5,000–₹10,000",$O104&lt;=15000,"₹10,000–₹15,000",$O104&lt;=25000,"₹15,000–₹25,000",$O104&lt;=50000,"₹25,000–₹50,000",TRUE,"₹50,000+"))</x:f>
      </x:c>
    </x:row>
    <x:row r="105">
      <x:c r="G105" t="str">
        <x:f>IF($A105="","",IF($F105="Dec 2025-Apr 2026",2026045,YEAR($H105)*100+MONTH($H105)))</x:f>
      </x:c>
      <x:c r="O105" t="str">
        <x:f>IF($A105="","",N($M105)+N($N105))</x:f>
      </x:c>
      <x:c r="P105" t="str">
        <x:f>IF($A105="","",IF(AND(N($M105)&gt;0,N($N105)&gt;0),"Mixed",IF(N($M105)&gt;0,"Zakat",IF(N($N105)&gt;0,"Sadaqah",""))))</x:f>
      </x:c>
      <x:c r="R105" t="str">
        <x:f>IF($A105="","",IFS($O105&lt;5000,"Under ₹5,000",$O105&lt;=10000,"₹5,000–₹10,000",$O105&lt;=15000,"₹10,000–₹15,000",$O105&lt;=25000,"₹15,000–₹25,000",$O105&lt;=50000,"₹25,000–₹50,000",TRUE,"₹50,000+"))</x:f>
      </x:c>
    </x:row>
    <x:row r="106">
      <x:c r="G106" t="str">
        <x:f>IF($A106="","",IF($F106="Dec 2025-Apr 2026",2026045,YEAR($H106)*100+MONTH($H106)))</x:f>
      </x:c>
      <x:c r="O106" t="str">
        <x:f>IF($A106="","",N($M106)+N($N106))</x:f>
      </x:c>
      <x:c r="P106" t="str">
        <x:f>IF($A106="","",IF(AND(N($M106)&gt;0,N($N106)&gt;0),"Mixed",IF(N($M106)&gt;0,"Zakat",IF(N($N106)&gt;0,"Sadaqah",""))))</x:f>
      </x:c>
      <x:c r="R106" t="str">
        <x:f>IF($A106="","",IFS($O106&lt;5000,"Under ₹5,000",$O106&lt;=10000,"₹5,000–₹10,000",$O106&lt;=15000,"₹10,000–₹15,000",$O106&lt;=25000,"₹15,000–₹25,000",$O106&lt;=50000,"₹25,000–₹50,000",TRUE,"₹50,000+"))</x:f>
      </x:c>
    </x:row>
    <x:row r="107">
      <x:c r="G107" t="str">
        <x:f>IF($A107="","",IF($F107="Dec 2025-Apr 2026",2026045,YEAR($H107)*100+MONTH($H107)))</x:f>
      </x:c>
      <x:c r="O107" t="str">
        <x:f>IF($A107="","",N($M107)+N($N107))</x:f>
      </x:c>
      <x:c r="P107" t="str">
        <x:f>IF($A107="","",IF(AND(N($M107)&gt;0,N($N107)&gt;0),"Mixed",IF(N($M107)&gt;0,"Zakat",IF(N($N107)&gt;0,"Sadaqah",""))))</x:f>
      </x:c>
      <x:c r="R107" t="str">
        <x:f>IF($A107="","",IFS($O107&lt;5000,"Under ₹5,000",$O107&lt;=10000,"₹5,000–₹10,000",$O107&lt;=15000,"₹10,000–₹15,000",$O107&lt;=25000,"₹15,000–₹25,000",$O107&lt;=50000,"₹25,000–₹50,000",TRUE,"₹50,000+"))</x:f>
      </x:c>
    </x:row>
    <x:row r="108">
      <x:c r="G108" t="str">
        <x:f>IF($A108="","",IF($F108="Dec 2025-Apr 2026",2026045,YEAR($H108)*100+MONTH($H108)))</x:f>
      </x:c>
      <x:c r="O108" t="str">
        <x:f>IF($A108="","",N($M108)+N($N108))</x:f>
      </x:c>
      <x:c r="P108" t="str">
        <x:f>IF($A108="","",IF(AND(N($M108)&gt;0,N($N108)&gt;0),"Mixed",IF(N($M108)&gt;0,"Zakat",IF(N($N108)&gt;0,"Sadaqah",""))))</x:f>
      </x:c>
      <x:c r="R108" t="str">
        <x:f>IF($A108="","",IFS($O108&lt;5000,"Under ₹5,000",$O108&lt;=10000,"₹5,000–₹10,000",$O108&lt;=15000,"₹10,000–₹15,000",$O108&lt;=25000,"₹15,000–₹25,000",$O108&lt;=50000,"₹25,000–₹50,000",TRUE,"₹50,000+"))</x:f>
      </x:c>
    </x:row>
    <x:row r="109">
      <x:c r="G109" t="str">
        <x:f>IF($A109="","",IF($F109="Dec 2025-Apr 2026",2026045,YEAR($H109)*100+MONTH($H109)))</x:f>
      </x:c>
      <x:c r="O109" t="str">
        <x:f>IF($A109="","",N($M109)+N($N109))</x:f>
      </x:c>
      <x:c r="P109" t="str">
        <x:f>IF($A109="","",IF(AND(N($M109)&gt;0,N($N109)&gt;0),"Mixed",IF(N($M109)&gt;0,"Zakat",IF(N($N109)&gt;0,"Sadaqah",""))))</x:f>
      </x:c>
      <x:c r="R109" t="str">
        <x:f>IF($A109="","",IFS($O109&lt;5000,"Under ₹5,000",$O109&lt;=10000,"₹5,000–₹10,000",$O109&lt;=15000,"₹10,000–₹15,000",$O109&lt;=25000,"₹15,000–₹25,000",$O109&lt;=50000,"₹25,000–₹50,000",TRUE,"₹50,000+"))</x:f>
      </x:c>
    </x:row>
    <x:row r="110">
      <x:c r="G110" t="str">
        <x:f>IF($A110="","",IF($F110="Dec 2025-Apr 2026",2026045,YEAR($H110)*100+MONTH($H110)))</x:f>
      </x:c>
      <x:c r="O110" t="str">
        <x:f>IF($A110="","",N($M110)+N($N110))</x:f>
      </x:c>
      <x:c r="P110" t="str">
        <x:f>IF($A110="","",IF(AND(N($M110)&gt;0,N($N110)&gt;0),"Mixed",IF(N($M110)&gt;0,"Zakat",IF(N($N110)&gt;0,"Sadaqah",""))))</x:f>
      </x:c>
      <x:c r="R110" t="str">
        <x:f>IF($A110="","",IFS($O110&lt;5000,"Under ₹5,000",$O110&lt;=10000,"₹5,000–₹10,000",$O110&lt;=15000,"₹10,000–₹15,000",$O110&lt;=25000,"₹15,000–₹25,000",$O110&lt;=50000,"₹25,000–₹50,000",TRUE,"₹50,000+"))</x:f>
      </x:c>
    </x:row>
    <x:row r="111">
      <x:c r="G111" t="str">
        <x:f>IF($A111="","",IF($F111="Dec 2025-Apr 2026",2026045,YEAR($H111)*100+MONTH($H111)))</x:f>
      </x:c>
      <x:c r="O111" t="str">
        <x:f>IF($A111="","",N($M111)+N($N111))</x:f>
      </x:c>
      <x:c r="P111" t="str">
        <x:f>IF($A111="","",IF(AND(N($M111)&gt;0,N($N111)&gt;0),"Mixed",IF(N($M111)&gt;0,"Zakat",IF(N($N111)&gt;0,"Sadaqah",""))))</x:f>
      </x:c>
      <x:c r="R111" t="str">
        <x:f>IF($A111="","",IFS($O111&lt;5000,"Under ₹5,000",$O111&lt;=10000,"₹5,000–₹10,000",$O111&lt;=15000,"₹10,000–₹15,000",$O111&lt;=25000,"₹15,000–₹25,000",$O111&lt;=50000,"₹25,000–₹50,000",TRUE,"₹50,000+"))</x:f>
      </x:c>
    </x:row>
    <x:row r="112">
      <x:c r="G112" t="str">
        <x:f>IF($A112="","",IF($F112="Dec 2025-Apr 2026",2026045,YEAR($H112)*100+MONTH($H112)))</x:f>
      </x:c>
      <x:c r="O112" t="str">
        <x:f>IF($A112="","",N($M112)+N($N112))</x:f>
      </x:c>
      <x:c r="P112" t="str">
        <x:f>IF($A112="","",IF(AND(N($M112)&gt;0,N($N112)&gt;0),"Mixed",IF(N($M112)&gt;0,"Zakat",IF(N($N112)&gt;0,"Sadaqah",""))))</x:f>
      </x:c>
      <x:c r="R112" t="str">
        <x:f>IF($A112="","",IFS($O112&lt;5000,"Under ₹5,000",$O112&lt;=10000,"₹5,000–₹10,000",$O112&lt;=15000,"₹10,000–₹15,000",$O112&lt;=25000,"₹15,000–₹25,000",$O112&lt;=50000,"₹25,000–₹50,000",TRUE,"₹50,000+"))</x:f>
      </x:c>
    </x:row>
    <x:row r="113">
      <x:c r="G113" t="str">
        <x:f>IF($A113="","",IF($F113="Dec 2025-Apr 2026",2026045,YEAR($H113)*100+MONTH($H113)))</x:f>
      </x:c>
      <x:c r="O113" t="str">
        <x:f>IF($A113="","",N($M113)+N($N113))</x:f>
      </x:c>
      <x:c r="P113" t="str">
        <x:f>IF($A113="","",IF(AND(N($M113)&gt;0,N($N113)&gt;0),"Mixed",IF(N($M113)&gt;0,"Zakat",IF(N($N113)&gt;0,"Sadaqah",""))))</x:f>
      </x:c>
      <x:c r="R113" t="str">
        <x:f>IF($A113="","",IFS($O113&lt;5000,"Under ₹5,000",$O113&lt;=10000,"₹5,000–₹10,000",$O113&lt;=15000,"₹10,000–₹15,000",$O113&lt;=25000,"₹15,000–₹25,000",$O113&lt;=50000,"₹25,000–₹50,000",TRUE,"₹50,000+"))</x:f>
      </x:c>
    </x:row>
    <x:row r="114">
      <x:c r="G114" t="str">
        <x:f>IF($A114="","",IF($F114="Dec 2025-Apr 2026",2026045,YEAR($H114)*100+MONTH($H114)))</x:f>
      </x:c>
      <x:c r="O114" t="str">
        <x:f>IF($A114="","",N($M114)+N($N114))</x:f>
      </x:c>
      <x:c r="P114" t="str">
        <x:f>IF($A114="","",IF(AND(N($M114)&gt;0,N($N114)&gt;0),"Mixed",IF(N($M114)&gt;0,"Zakat",IF(N($N114)&gt;0,"Sadaqah",""))))</x:f>
      </x:c>
      <x:c r="R114" t="str">
        <x:f>IF($A114="","",IFS($O114&lt;5000,"Under ₹5,000",$O114&lt;=10000,"₹5,000–₹10,000",$O114&lt;=15000,"₹10,000–₹15,000",$O114&lt;=25000,"₹15,000–₹25,000",$O114&lt;=50000,"₹25,000–₹50,000",TRUE,"₹50,000+"))</x:f>
      </x:c>
    </x:row>
    <x:row r="115">
      <x:c r="G115" t="str">
        <x:f>IF($A115="","",IF($F115="Dec 2025-Apr 2026",2026045,YEAR($H115)*100+MONTH($H115)))</x:f>
      </x:c>
      <x:c r="O115" t="str">
        <x:f>IF($A115="","",N($M115)+N($N115))</x:f>
      </x:c>
      <x:c r="P115" t="str">
        <x:f>IF($A115="","",IF(AND(N($M115)&gt;0,N($N115)&gt;0),"Mixed",IF(N($M115)&gt;0,"Zakat",IF(N($N115)&gt;0,"Sadaqah",""))))</x:f>
      </x:c>
      <x:c r="R115" t="str">
        <x:f>IF($A115="","",IFS($O115&lt;5000,"Under ₹5,000",$O115&lt;=10000,"₹5,000–₹10,000",$O115&lt;=15000,"₹10,000–₹15,000",$O115&lt;=25000,"₹15,000–₹25,000",$O115&lt;=50000,"₹25,000–₹50,000",TRUE,"₹50,000+"))</x:f>
      </x:c>
    </x:row>
    <x:row r="116">
      <x:c r="G116" t="str">
        <x:f>IF($A116="","",IF($F116="Dec 2025-Apr 2026",2026045,YEAR($H116)*100+MONTH($H116)))</x:f>
      </x:c>
      <x:c r="O116" t="str">
        <x:f>IF($A116="","",N($M116)+N($N116))</x:f>
      </x:c>
      <x:c r="P116" t="str">
        <x:f>IF($A116="","",IF(AND(N($M116)&gt;0,N($N116)&gt;0),"Mixed",IF(N($M116)&gt;0,"Zakat",IF(N($N116)&gt;0,"Sadaqah",""))))</x:f>
      </x:c>
      <x:c r="R116" t="str">
        <x:f>IF($A116="","",IFS($O116&lt;5000,"Under ₹5,000",$O116&lt;=10000,"₹5,000–₹10,000",$O116&lt;=15000,"₹10,000–₹15,000",$O116&lt;=25000,"₹15,000–₹25,000",$O116&lt;=50000,"₹25,000–₹50,000",TRUE,"₹50,000+"))</x:f>
      </x:c>
    </x:row>
    <x:row r="117">
      <x:c r="G117" t="str">
        <x:f>IF($A117="","",IF($F117="Dec 2025-Apr 2026",2026045,YEAR($H117)*100+MONTH($H117)))</x:f>
      </x:c>
      <x:c r="O117" t="str">
        <x:f>IF($A117="","",N($M117)+N($N117))</x:f>
      </x:c>
      <x:c r="P117" t="str">
        <x:f>IF($A117="","",IF(AND(N($M117)&gt;0,N($N117)&gt;0),"Mixed",IF(N($M117)&gt;0,"Zakat",IF(N($N117)&gt;0,"Sadaqah",""))))</x:f>
      </x:c>
      <x:c r="R117" t="str">
        <x:f>IF($A117="","",IFS($O117&lt;5000,"Under ₹5,000",$O117&lt;=10000,"₹5,000–₹10,000",$O117&lt;=15000,"₹10,000–₹15,000",$O117&lt;=25000,"₹15,000–₹25,000",$O117&lt;=50000,"₹25,000–₹50,000",TRUE,"₹50,000+"))</x:f>
      </x:c>
    </x:row>
    <x:row r="118">
      <x:c r="G118" t="str">
        <x:f>IF($A118="","",IF($F118="Dec 2025-Apr 2026",2026045,YEAR($H118)*100+MONTH($H118)))</x:f>
      </x:c>
      <x:c r="O118" t="str">
        <x:f>IF($A118="","",N($M118)+N($N118))</x:f>
      </x:c>
      <x:c r="P118" t="str">
        <x:f>IF($A118="","",IF(AND(N($M118)&gt;0,N($N118)&gt;0),"Mixed",IF(N($M118)&gt;0,"Zakat",IF(N($N118)&gt;0,"Sadaqah",""))))</x:f>
      </x:c>
      <x:c r="R118" t="str">
        <x:f>IF($A118="","",IFS($O118&lt;5000,"Under ₹5,000",$O118&lt;=10000,"₹5,000–₹10,000",$O118&lt;=15000,"₹10,000–₹15,000",$O118&lt;=25000,"₹15,000–₹25,000",$O118&lt;=50000,"₹25,000–₹50,000",TRUE,"₹50,000+"))</x:f>
      </x:c>
    </x:row>
    <x:row r="119">
      <x:c r="G119" t="str">
        <x:f>IF($A119="","",IF($F119="Dec 2025-Apr 2026",2026045,YEAR($H119)*100+MONTH($H119)))</x:f>
      </x:c>
      <x:c r="O119" t="str">
        <x:f>IF($A119="","",N($M119)+N($N119))</x:f>
      </x:c>
      <x:c r="P119" t="str">
        <x:f>IF($A119="","",IF(AND(N($M119)&gt;0,N($N119)&gt;0),"Mixed",IF(N($M119)&gt;0,"Zakat",IF(N($N119)&gt;0,"Sadaqah",""))))</x:f>
      </x:c>
      <x:c r="R119" t="str">
        <x:f>IF($A119="","",IFS($O119&lt;5000,"Under ₹5,000",$O119&lt;=10000,"₹5,000–₹10,000",$O119&lt;=15000,"₹10,000–₹15,000",$O119&lt;=25000,"₹15,000–₹25,000",$O119&lt;=50000,"₹25,000–₹50,000",TRUE,"₹50,000+"))</x:f>
      </x:c>
    </x:row>
    <x:row r="120">
      <x:c r="G120" t="str">
        <x:f>IF($A120="","",IF($F120="Dec 2025-Apr 2026",2026045,YEAR($H120)*100+MONTH($H120)))</x:f>
      </x:c>
      <x:c r="O120" t="str">
        <x:f>IF($A120="","",N($M120)+N($N120))</x:f>
      </x:c>
      <x:c r="P120" t="str">
        <x:f>IF($A120="","",IF(AND(N($M120)&gt;0,N($N120)&gt;0),"Mixed",IF(N($M120)&gt;0,"Zakat",IF(N($N120)&gt;0,"Sadaqah",""))))</x:f>
      </x:c>
      <x:c r="R120" t="str">
        <x:f>IF($A120="","",IFS($O120&lt;5000,"Under ₹5,000",$O120&lt;=10000,"₹5,000–₹10,000",$O120&lt;=15000,"₹10,000–₹15,000",$O120&lt;=25000,"₹15,000–₹25,000",$O120&lt;=50000,"₹25,000–₹50,000",TRUE,"₹50,000+"))</x:f>
      </x:c>
    </x:row>
    <x:row r="121">
      <x:c r="G121" t="str">
        <x:f>IF($A121="","",IF($F121="Dec 2025-Apr 2026",2026045,YEAR($H121)*100+MONTH($H121)))</x:f>
      </x:c>
      <x:c r="O121" t="str">
        <x:f>IF($A121="","",N($M121)+N($N121))</x:f>
      </x:c>
      <x:c r="P121" t="str">
        <x:f>IF($A121="","",IF(AND(N($M121)&gt;0,N($N121)&gt;0),"Mixed",IF(N($M121)&gt;0,"Zakat",IF(N($N121)&gt;0,"Sadaqah",""))))</x:f>
      </x:c>
      <x:c r="R121" t="str">
        <x:f>IF($A121="","",IFS($O121&lt;5000,"Under ₹5,000",$O121&lt;=10000,"₹5,000–₹10,000",$O121&lt;=15000,"₹10,000–₹15,000",$O121&lt;=25000,"₹15,000–₹25,000",$O121&lt;=50000,"₹25,000–₹50,000",TRUE,"₹50,000+"))</x:f>
      </x:c>
    </x:row>
    <x:row r="122">
      <x:c r="G122" t="str">
        <x:f>IF($A122="","",IF($F122="Dec 2025-Apr 2026",2026045,YEAR($H122)*100+MONTH($H122)))</x:f>
      </x:c>
      <x:c r="O122" t="str">
        <x:f>IF($A122="","",N($M122)+N($N122))</x:f>
      </x:c>
      <x:c r="P122" t="str">
        <x:f>IF($A122="","",IF(AND(N($M122)&gt;0,N($N122)&gt;0),"Mixed",IF(N($M122)&gt;0,"Zakat",IF(N($N122)&gt;0,"Sadaqah",""))))</x:f>
      </x:c>
      <x:c r="R122" t="str">
        <x:f>IF($A122="","",IFS($O122&lt;5000,"Under ₹5,000",$O122&lt;=10000,"₹5,000–₹10,000",$O122&lt;=15000,"₹10,000–₹15,000",$O122&lt;=25000,"₹15,000–₹25,000",$O122&lt;=50000,"₹25,000–₹50,000",TRUE,"₹50,000+"))</x:f>
      </x:c>
    </x:row>
    <x:row r="123">
      <x:c r="G123" t="str">
        <x:f>IF($A123="","",IF($F123="Dec 2025-Apr 2026",2026045,YEAR($H123)*100+MONTH($H123)))</x:f>
      </x:c>
      <x:c r="O123" t="str">
        <x:f>IF($A123="","",N($M123)+N($N123))</x:f>
      </x:c>
      <x:c r="P123" t="str">
        <x:f>IF($A123="","",IF(AND(N($M123)&gt;0,N($N123)&gt;0),"Mixed",IF(N($M123)&gt;0,"Zakat",IF(N($N123)&gt;0,"Sadaqah",""))))</x:f>
      </x:c>
      <x:c r="R123" t="str">
        <x:f>IF($A123="","",IFS($O123&lt;5000,"Under ₹5,000",$O123&lt;=10000,"₹5,000–₹10,000",$O123&lt;=15000,"₹10,000–₹15,000",$O123&lt;=25000,"₹15,000–₹25,000",$O123&lt;=50000,"₹25,000–₹50,000",TRUE,"₹50,000+"))</x:f>
      </x:c>
    </x:row>
    <x:row r="124">
      <x:c r="G124" t="str">
        <x:f>IF($A124="","",IF($F124="Dec 2025-Apr 2026",2026045,YEAR($H124)*100+MONTH($H124)))</x:f>
      </x:c>
      <x:c r="O124" t="str">
        <x:f>IF($A124="","",N($M124)+N($N124))</x:f>
      </x:c>
      <x:c r="P124" t="str">
        <x:f>IF($A124="","",IF(AND(N($M124)&gt;0,N($N124)&gt;0),"Mixed",IF(N($M124)&gt;0,"Zakat",IF(N($N124)&gt;0,"Sadaqah",""))))</x:f>
      </x:c>
      <x:c r="R124" t="str">
        <x:f>IF($A124="","",IFS($O124&lt;5000,"Under ₹5,000",$O124&lt;=10000,"₹5,000–₹10,000",$O124&lt;=15000,"₹10,000–₹15,000",$O124&lt;=25000,"₹15,000–₹25,000",$O124&lt;=50000,"₹25,000–₹50,000",TRUE,"₹50,000+"))</x:f>
      </x:c>
    </x:row>
    <x:row r="125">
      <x:c r="G125" t="str">
        <x:f>IF($A125="","",IF($F125="Dec 2025-Apr 2026",2026045,YEAR($H125)*100+MONTH($H125)))</x:f>
      </x:c>
      <x:c r="O125" t="str">
        <x:f>IF($A125="","",N($M125)+N($N125))</x:f>
      </x:c>
      <x:c r="P125" t="str">
        <x:f>IF($A125="","",IF(AND(N($M125)&gt;0,N($N125)&gt;0),"Mixed",IF(N($M125)&gt;0,"Zakat",IF(N($N125)&gt;0,"Sadaqah",""))))</x:f>
      </x:c>
      <x:c r="R125" t="str">
        <x:f>IF($A125="","",IFS($O125&lt;5000,"Under ₹5,000",$O125&lt;=10000,"₹5,000–₹10,000",$O125&lt;=15000,"₹10,000–₹15,000",$O125&lt;=25000,"₹15,000–₹25,000",$O125&lt;=50000,"₹25,000–₹50,000",TRUE,"₹50,000+"))</x:f>
      </x:c>
    </x:row>
    <x:row r="126">
      <x:c r="G126" t="str">
        <x:f>IF($A126="","",IF($F126="Dec 2025-Apr 2026",2026045,YEAR($H126)*100+MONTH($H126)))</x:f>
      </x:c>
      <x:c r="O126" t="str">
        <x:f>IF($A126="","",N($M126)+N($N126))</x:f>
      </x:c>
      <x:c r="P126" t="str">
        <x:f>IF($A126="","",IF(AND(N($M126)&gt;0,N($N126)&gt;0),"Mixed",IF(N($M126)&gt;0,"Zakat",IF(N($N126)&gt;0,"Sadaqah",""))))</x:f>
      </x:c>
      <x:c r="R126" t="str">
        <x:f>IF($A126="","",IFS($O126&lt;5000,"Under ₹5,000",$O126&lt;=10000,"₹5,000–₹10,000",$O126&lt;=15000,"₹10,000–₹15,000",$O126&lt;=25000,"₹15,000–₹25,000",$O126&lt;=50000,"₹25,000–₹50,000",TRUE,"₹50,000+"))</x:f>
      </x:c>
    </x:row>
    <x:row r="127">
      <x:c r="G127" t="str">
        <x:f>IF($A127="","",IF($F127="Dec 2025-Apr 2026",2026045,YEAR($H127)*100+MONTH($H127)))</x:f>
      </x:c>
      <x:c r="O127" t="str">
        <x:f>IF($A127="","",N($M127)+N($N127))</x:f>
      </x:c>
      <x:c r="P127" t="str">
        <x:f>IF($A127="","",IF(AND(N($M127)&gt;0,N($N127)&gt;0),"Mixed",IF(N($M127)&gt;0,"Zakat",IF(N($N127)&gt;0,"Sadaqah",""))))</x:f>
      </x:c>
      <x:c r="R127" t="str">
        <x:f>IF($A127="","",IFS($O127&lt;5000,"Under ₹5,000",$O127&lt;=10000,"₹5,000–₹10,000",$O127&lt;=15000,"₹10,000–₹15,000",$O127&lt;=25000,"₹15,000–₹25,000",$O127&lt;=50000,"₹25,000–₹50,000",TRUE,"₹50,000+"))</x:f>
      </x:c>
    </x:row>
    <x:row r="128">
      <x:c r="G128" t="str">
        <x:f>IF($A128="","",IF($F128="Dec 2025-Apr 2026",2026045,YEAR($H128)*100+MONTH($H128)))</x:f>
      </x:c>
      <x:c r="O128" t="str">
        <x:f>IF($A128="","",N($M128)+N($N128))</x:f>
      </x:c>
      <x:c r="P128" t="str">
        <x:f>IF($A128="","",IF(AND(N($M128)&gt;0,N($N128)&gt;0),"Mixed",IF(N($M128)&gt;0,"Zakat",IF(N($N128)&gt;0,"Sadaqah",""))))</x:f>
      </x:c>
      <x:c r="R128" t="str">
        <x:f>IF($A128="","",IFS($O128&lt;5000,"Under ₹5,000",$O128&lt;=10000,"₹5,000–₹10,000",$O128&lt;=15000,"₹10,000–₹15,000",$O128&lt;=25000,"₹15,000–₹25,000",$O128&lt;=50000,"₹25,000–₹50,000",TRUE,"₹50,000+"))</x:f>
      </x:c>
    </x:row>
    <x:row r="129">
      <x:c r="G129" t="str">
        <x:f>IF($A129="","",IF($F129="Dec 2025-Apr 2026",2026045,YEAR($H129)*100+MONTH($H129)))</x:f>
      </x:c>
      <x:c r="O129" t="str">
        <x:f>IF($A129="","",N($M129)+N($N129))</x:f>
      </x:c>
      <x:c r="P129" t="str">
        <x:f>IF($A129="","",IF(AND(N($M129)&gt;0,N($N129)&gt;0),"Mixed",IF(N($M129)&gt;0,"Zakat",IF(N($N129)&gt;0,"Sadaqah",""))))</x:f>
      </x:c>
      <x:c r="R129" t="str">
        <x:f>IF($A129="","",IFS($O129&lt;5000,"Under ₹5,000",$O129&lt;=10000,"₹5,000–₹10,000",$O129&lt;=15000,"₹10,000–₹15,000",$O129&lt;=25000,"₹15,000–₹25,000",$O129&lt;=50000,"₹25,000–₹50,000",TRUE,"₹50,000+"))</x:f>
      </x:c>
    </x:row>
    <x:row r="130">
      <x:c r="G130" t="str">
        <x:f>IF($A130="","",IF($F130="Dec 2025-Apr 2026",2026045,YEAR($H130)*100+MONTH($H130)))</x:f>
      </x:c>
      <x:c r="O130" t="str">
        <x:f>IF($A130="","",N($M130)+N($N130))</x:f>
      </x:c>
      <x:c r="P130" t="str">
        <x:f>IF($A130="","",IF(AND(N($M130)&gt;0,N($N130)&gt;0),"Mixed",IF(N($M130)&gt;0,"Zakat",IF(N($N130)&gt;0,"Sadaqah",""))))</x:f>
      </x:c>
      <x:c r="R130" t="str">
        <x:f>IF($A130="","",IFS($O130&lt;5000,"Under ₹5,000",$O130&lt;=10000,"₹5,000–₹10,000",$O130&lt;=15000,"₹10,000–₹15,000",$O130&lt;=25000,"₹15,000–₹25,000",$O130&lt;=50000,"₹25,000–₹50,000",TRUE,"₹50,000+"))</x:f>
      </x:c>
    </x:row>
    <x:row r="131">
      <x:c r="G131" t="str">
        <x:f>IF($A131="","",IF($F131="Dec 2025-Apr 2026",2026045,YEAR($H131)*100+MONTH($H131)))</x:f>
      </x:c>
      <x:c r="O131" t="str">
        <x:f>IF($A131="","",N($M131)+N($N131))</x:f>
      </x:c>
      <x:c r="P131" t="str">
        <x:f>IF($A131="","",IF(AND(N($M131)&gt;0,N($N131)&gt;0),"Mixed",IF(N($M131)&gt;0,"Zakat",IF(N($N131)&gt;0,"Sadaqah",""))))</x:f>
      </x:c>
      <x:c r="R131" t="str">
        <x:f>IF($A131="","",IFS($O131&lt;5000,"Under ₹5,000",$O131&lt;=10000,"₹5,000–₹10,000",$O131&lt;=15000,"₹10,000–₹15,000",$O131&lt;=25000,"₹15,000–₹25,000",$O131&lt;=50000,"₹25,000–₹50,000",TRUE,"₹50,000+"))</x:f>
      </x:c>
    </x:row>
    <x:row r="132">
      <x:c r="G132" t="str">
        <x:f>IF($A132="","",IF($F132="Dec 2025-Apr 2026",2026045,YEAR($H132)*100+MONTH($H132)))</x:f>
      </x:c>
      <x:c r="O132" t="str">
        <x:f>IF($A132="","",N($M132)+N($N132))</x:f>
      </x:c>
      <x:c r="P132" t="str">
        <x:f>IF($A132="","",IF(AND(N($M132)&gt;0,N($N132)&gt;0),"Mixed",IF(N($M132)&gt;0,"Zakat",IF(N($N132)&gt;0,"Sadaqah",""))))</x:f>
      </x:c>
      <x:c r="R132" t="str">
        <x:f>IF($A132="","",IFS($O132&lt;5000,"Under ₹5,000",$O132&lt;=10000,"₹5,000–₹10,000",$O132&lt;=15000,"₹10,000–₹15,000",$O132&lt;=25000,"₹15,000–₹25,000",$O132&lt;=50000,"₹25,000–₹50,000",TRUE,"₹50,000+"))</x:f>
      </x:c>
    </x:row>
    <x:row r="133">
      <x:c r="G133" t="str">
        <x:f>IF($A133="","",IF($F133="Dec 2025-Apr 2026",2026045,YEAR($H133)*100+MONTH($H133)))</x:f>
      </x:c>
      <x:c r="O133" t="str">
        <x:f>IF($A133="","",N($M133)+N($N133))</x:f>
      </x:c>
      <x:c r="P133" t="str">
        <x:f>IF($A133="","",IF(AND(N($M133)&gt;0,N($N133)&gt;0),"Mixed",IF(N($M133)&gt;0,"Zakat",IF(N($N133)&gt;0,"Sadaqah",""))))</x:f>
      </x:c>
      <x:c r="R133" t="str">
        <x:f>IF($A133="","",IFS($O133&lt;5000,"Under ₹5,000",$O133&lt;=10000,"₹5,000–₹10,000",$O133&lt;=15000,"₹10,000–₹15,000",$O133&lt;=25000,"₹15,000–₹25,000",$O133&lt;=50000,"₹25,000–₹50,000",TRUE,"₹50,000+"))</x:f>
      </x:c>
    </x:row>
    <x:row r="134">
      <x:c r="G134" t="str">
        <x:f>IF($A134="","",IF($F134="Dec 2025-Apr 2026",2026045,YEAR($H134)*100+MONTH($H134)))</x:f>
      </x:c>
      <x:c r="O134" t="str">
        <x:f>IF($A134="","",N($M134)+N($N134))</x:f>
      </x:c>
      <x:c r="P134" t="str">
        <x:f>IF($A134="","",IF(AND(N($M134)&gt;0,N($N134)&gt;0),"Mixed",IF(N($M134)&gt;0,"Zakat",IF(N($N134)&gt;0,"Sadaqah",""))))</x:f>
      </x:c>
      <x:c r="R134" t="str">
        <x:f>IF($A134="","",IFS($O134&lt;5000,"Under ₹5,000",$O134&lt;=10000,"₹5,000–₹10,000",$O134&lt;=15000,"₹10,000–₹15,000",$O134&lt;=25000,"₹15,000–₹25,000",$O134&lt;=50000,"₹25,000–₹50,000",TRUE,"₹50,000+"))</x:f>
      </x:c>
    </x:row>
    <x:row r="135">
      <x:c r="G135" t="str">
        <x:f>IF($A135="","",IF($F135="Dec 2025-Apr 2026",2026045,YEAR($H135)*100+MONTH($H135)))</x:f>
      </x:c>
      <x:c r="O135" t="str">
        <x:f>IF($A135="","",N($M135)+N($N135))</x:f>
      </x:c>
      <x:c r="P135" t="str">
        <x:f>IF($A135="","",IF(AND(N($M135)&gt;0,N($N135)&gt;0),"Mixed",IF(N($M135)&gt;0,"Zakat",IF(N($N135)&gt;0,"Sadaqah",""))))</x:f>
      </x:c>
      <x:c r="R135" t="str">
        <x:f>IF($A135="","",IFS($O135&lt;5000,"Under ₹5,000",$O135&lt;=10000,"₹5,000–₹10,000",$O135&lt;=15000,"₹10,000–₹15,000",$O135&lt;=25000,"₹15,000–₹25,000",$O135&lt;=50000,"₹25,000–₹50,000",TRUE,"₹50,000+"))</x:f>
      </x:c>
    </x:row>
    <x:row r="136">
      <x:c r="G136" t="str">
        <x:f>IF($A136="","",IF($F136="Dec 2025-Apr 2026",2026045,YEAR($H136)*100+MONTH($H136)))</x:f>
      </x:c>
      <x:c r="O136" t="str">
        <x:f>IF($A136="","",N($M136)+N($N136))</x:f>
      </x:c>
      <x:c r="P136" t="str">
        <x:f>IF($A136="","",IF(AND(N($M136)&gt;0,N($N136)&gt;0),"Mixed",IF(N($M136)&gt;0,"Zakat",IF(N($N136)&gt;0,"Sadaqah",""))))</x:f>
      </x:c>
      <x:c r="R136" t="str">
        <x:f>IF($A136="","",IFS($O136&lt;5000,"Under ₹5,000",$O136&lt;=10000,"₹5,000–₹10,000",$O136&lt;=15000,"₹10,000–₹15,000",$O136&lt;=25000,"₹15,000–₹25,000",$O136&lt;=50000,"₹25,000–₹50,000",TRUE,"₹50,000+"))</x:f>
      </x:c>
    </x:row>
    <x:row r="137">
      <x:c r="G137" t="str">
        <x:f>IF($A137="","",IF($F137="Dec 2025-Apr 2026",2026045,YEAR($H137)*100+MONTH($H137)))</x:f>
      </x:c>
      <x:c r="O137" t="str">
        <x:f>IF($A137="","",N($M137)+N($N137))</x:f>
      </x:c>
      <x:c r="P137" t="str">
        <x:f>IF($A137="","",IF(AND(N($M137)&gt;0,N($N137)&gt;0),"Mixed",IF(N($M137)&gt;0,"Zakat",IF(N($N137)&gt;0,"Sadaqah",""))))</x:f>
      </x:c>
      <x:c r="R137" t="str">
        <x:f>IF($A137="","",IFS($O137&lt;5000,"Under ₹5,000",$O137&lt;=10000,"₹5,000–₹10,000",$O137&lt;=15000,"₹10,000–₹15,000",$O137&lt;=25000,"₹15,000–₹25,000",$O137&lt;=50000,"₹25,000–₹50,000",TRUE,"₹50,000+"))</x:f>
      </x:c>
    </x:row>
    <x:row r="138">
      <x:c r="G138" t="str">
        <x:f>IF($A138="","",IF($F138="Dec 2025-Apr 2026",2026045,YEAR($H138)*100+MONTH($H138)))</x:f>
      </x:c>
      <x:c r="O138" t="str">
        <x:f>IF($A138="","",N($M138)+N($N138))</x:f>
      </x:c>
      <x:c r="P138" t="str">
        <x:f>IF($A138="","",IF(AND(N($M138)&gt;0,N($N138)&gt;0),"Mixed",IF(N($M138)&gt;0,"Zakat",IF(N($N138)&gt;0,"Sadaqah",""))))</x:f>
      </x:c>
      <x:c r="R138" t="str">
        <x:f>IF($A138="","",IFS($O138&lt;5000,"Under ₹5,000",$O138&lt;=10000,"₹5,000–₹10,000",$O138&lt;=15000,"₹10,000–₹15,000",$O138&lt;=25000,"₹15,000–₹25,000",$O138&lt;=50000,"₹25,000–₹50,000",TRUE,"₹50,000+"))</x:f>
      </x:c>
    </x:row>
    <x:row r="139">
      <x:c r="G139" t="str">
        <x:f>IF($A139="","",IF($F139="Dec 2025-Apr 2026",2026045,YEAR($H139)*100+MONTH($H139)))</x:f>
      </x:c>
      <x:c r="O139" t="str">
        <x:f>IF($A139="","",N($M139)+N($N139))</x:f>
      </x:c>
      <x:c r="P139" t="str">
        <x:f>IF($A139="","",IF(AND(N($M139)&gt;0,N($N139)&gt;0),"Mixed",IF(N($M139)&gt;0,"Zakat",IF(N($N139)&gt;0,"Sadaqah",""))))</x:f>
      </x:c>
      <x:c r="R139" t="str">
        <x:f>IF($A139="","",IFS($O139&lt;5000,"Under ₹5,000",$O139&lt;=10000,"₹5,000–₹10,000",$O139&lt;=15000,"₹10,000–₹15,000",$O139&lt;=25000,"₹15,000–₹25,000",$O139&lt;=50000,"₹25,000–₹50,000",TRUE,"₹50,000+"))</x:f>
      </x:c>
    </x:row>
    <x:row r="140">
      <x:c r="G140" t="str">
        <x:f>IF($A140="","",IF($F140="Dec 2025-Apr 2026",2026045,YEAR($H140)*100+MONTH($H140)))</x:f>
      </x:c>
      <x:c r="O140" t="str">
        <x:f>IF($A140="","",N($M140)+N($N140))</x:f>
      </x:c>
      <x:c r="P140" t="str">
        <x:f>IF($A140="","",IF(AND(N($M140)&gt;0,N($N140)&gt;0),"Mixed",IF(N($M140)&gt;0,"Zakat",IF(N($N140)&gt;0,"Sadaqah",""))))</x:f>
      </x:c>
      <x:c r="R140" t="str">
        <x:f>IF($A140="","",IFS($O140&lt;5000,"Under ₹5,000",$O140&lt;=10000,"₹5,000–₹10,000",$O140&lt;=15000,"₹10,000–₹15,000",$O140&lt;=25000,"₹15,000–₹25,000",$O140&lt;=50000,"₹25,000–₹50,000",TRUE,"₹50,000+"))</x:f>
      </x:c>
    </x:row>
    <x:row r="141">
      <x:c r="G141" t="str">
        <x:f>IF($A141="","",IF($F141="Dec 2025-Apr 2026",2026045,YEAR($H141)*100+MONTH($H141)))</x:f>
      </x:c>
      <x:c r="O141" t="str">
        <x:f>IF($A141="","",N($M141)+N($N141))</x:f>
      </x:c>
      <x:c r="P141" t="str">
        <x:f>IF($A141="","",IF(AND(N($M141)&gt;0,N($N141)&gt;0),"Mixed",IF(N($M141)&gt;0,"Zakat",IF(N($N141)&gt;0,"Sadaqah",""))))</x:f>
      </x:c>
      <x:c r="R141" t="str">
        <x:f>IF($A141="","",IFS($O141&lt;5000,"Under ₹5,000",$O141&lt;=10000,"₹5,000–₹10,000",$O141&lt;=15000,"₹10,000–₹15,000",$O141&lt;=25000,"₹15,000–₹25,000",$O141&lt;=50000,"₹25,000–₹50,000",TRUE,"₹50,000+"))</x:f>
      </x:c>
    </x:row>
    <x:row r="142">
      <x:c r="G142" t="str">
        <x:f>IF($A142="","",IF($F142="Dec 2025-Apr 2026",2026045,YEAR($H142)*100+MONTH($H142)))</x:f>
      </x:c>
      <x:c r="O142" t="str">
        <x:f>IF($A142="","",N($M142)+N($N142))</x:f>
      </x:c>
      <x:c r="P142" t="str">
        <x:f>IF($A142="","",IF(AND(N($M142)&gt;0,N($N142)&gt;0),"Mixed",IF(N($M142)&gt;0,"Zakat",IF(N($N142)&gt;0,"Sadaqah",""))))</x:f>
      </x:c>
      <x:c r="R142" t="str">
        <x:f>IF($A142="","",IFS($O142&lt;5000,"Under ₹5,000",$O142&lt;=10000,"₹5,000–₹10,000",$O142&lt;=15000,"₹10,000–₹15,000",$O142&lt;=25000,"₹15,000–₹25,000",$O142&lt;=50000,"₹25,000–₹50,000",TRUE,"₹50,000+"))</x:f>
      </x:c>
    </x:row>
    <x:row r="143">
      <x:c r="G143" t="str">
        <x:f>IF($A143="","",IF($F143="Dec 2025-Apr 2026",2026045,YEAR($H143)*100+MONTH($H143)))</x:f>
      </x:c>
      <x:c r="O143" t="str">
        <x:f>IF($A143="","",N($M143)+N($N143))</x:f>
      </x:c>
      <x:c r="P143" t="str">
        <x:f>IF($A143="","",IF(AND(N($M143)&gt;0,N($N143)&gt;0),"Mixed",IF(N($M143)&gt;0,"Zakat",IF(N($N143)&gt;0,"Sadaqah",""))))</x:f>
      </x:c>
      <x:c r="R143" t="str">
        <x:f>IF($A143="","",IFS($O143&lt;5000,"Under ₹5,000",$O143&lt;=10000,"₹5,000–₹10,000",$O143&lt;=15000,"₹10,000–₹15,000",$O143&lt;=25000,"₹15,000–₹25,000",$O143&lt;=50000,"₹25,000–₹50,000",TRUE,"₹50,000+"))</x:f>
      </x:c>
    </x:row>
    <x:row r="144">
      <x:c r="G144" t="str">
        <x:f>IF($A144="","",IF($F144="Dec 2025-Apr 2026",2026045,YEAR($H144)*100+MONTH($H144)))</x:f>
      </x:c>
      <x:c r="O144" t="str">
        <x:f>IF($A144="","",N($M144)+N($N144))</x:f>
      </x:c>
      <x:c r="P144" t="str">
        <x:f>IF($A144="","",IF(AND(N($M144)&gt;0,N($N144)&gt;0),"Mixed",IF(N($M144)&gt;0,"Zakat",IF(N($N144)&gt;0,"Sadaqah",""))))</x:f>
      </x:c>
      <x:c r="R144" t="str">
        <x:f>IF($A144="","",IFS($O144&lt;5000,"Under ₹5,000",$O144&lt;=10000,"₹5,000–₹10,000",$O144&lt;=15000,"₹10,000–₹15,000",$O144&lt;=25000,"₹15,000–₹25,000",$O144&lt;=50000,"₹25,000–₹50,000",TRUE,"₹50,000+"))</x:f>
      </x:c>
    </x:row>
    <x:row r="145">
      <x:c r="G145" t="str">
        <x:f>IF($A145="","",IF($F145="Dec 2025-Apr 2026",2026045,YEAR($H145)*100+MONTH($H145)))</x:f>
      </x:c>
      <x:c r="O145" t="str">
        <x:f>IF($A145="","",N($M145)+N($N145))</x:f>
      </x:c>
      <x:c r="P145" t="str">
        <x:f>IF($A145="","",IF(AND(N($M145)&gt;0,N($N145)&gt;0),"Mixed",IF(N($M145)&gt;0,"Zakat",IF(N($N145)&gt;0,"Sadaqah",""))))</x:f>
      </x:c>
      <x:c r="R145" t="str">
        <x:f>IF($A145="","",IFS($O145&lt;5000,"Under ₹5,000",$O145&lt;=10000,"₹5,000–₹10,000",$O145&lt;=15000,"₹10,000–₹15,000",$O145&lt;=25000,"₹15,000–₹25,000",$O145&lt;=50000,"₹25,000–₹50,000",TRUE,"₹50,000+"))</x:f>
      </x:c>
    </x:row>
    <x:row r="146">
      <x:c r="G146" t="str">
        <x:f>IF($A146="","",IF($F146="Dec 2025-Apr 2026",2026045,YEAR($H146)*100+MONTH($H146)))</x:f>
      </x:c>
      <x:c r="O146" t="str">
        <x:f>IF($A146="","",N($M146)+N($N146))</x:f>
      </x:c>
      <x:c r="P146" t="str">
        <x:f>IF($A146="","",IF(AND(N($M146)&gt;0,N($N146)&gt;0),"Mixed",IF(N($M146)&gt;0,"Zakat",IF(N($N146)&gt;0,"Sadaqah",""))))</x:f>
      </x:c>
      <x:c r="R146" t="str">
        <x:f>IF($A146="","",IFS($O146&lt;5000,"Under ₹5,000",$O146&lt;=10000,"₹5,000–₹10,000",$O146&lt;=15000,"₹10,000–₹15,000",$O146&lt;=25000,"₹15,000–₹25,000",$O146&lt;=50000,"₹25,000–₹50,000",TRUE,"₹50,000+"))</x:f>
      </x:c>
    </x:row>
    <x:row r="147">
      <x:c r="G147" t="str">
        <x:f>IF($A147="","",IF($F147="Dec 2025-Apr 2026",2026045,YEAR($H147)*100+MONTH($H147)))</x:f>
      </x:c>
      <x:c r="O147" t="str">
        <x:f>IF($A147="","",N($M147)+N($N147))</x:f>
      </x:c>
      <x:c r="P147" t="str">
        <x:f>IF($A147="","",IF(AND(N($M147)&gt;0,N($N147)&gt;0),"Mixed",IF(N($M147)&gt;0,"Zakat",IF(N($N147)&gt;0,"Sadaqah",""))))</x:f>
      </x:c>
      <x:c r="R147" t="str">
        <x:f>IF($A147="","",IFS($O147&lt;5000,"Under ₹5,000",$O147&lt;=10000,"₹5,000–₹10,000",$O147&lt;=15000,"₹10,000–₹15,000",$O147&lt;=25000,"₹15,000–₹25,000",$O147&lt;=50000,"₹25,000–₹50,000",TRUE,"₹50,000+"))</x:f>
      </x:c>
    </x:row>
    <x:row r="148">
      <x:c r="G148" t="str">
        <x:f>IF($A148="","",IF($F148="Dec 2025-Apr 2026",2026045,YEAR($H148)*100+MONTH($H148)))</x:f>
      </x:c>
      <x:c r="O148" t="str">
        <x:f>IF($A148="","",N($M148)+N($N148))</x:f>
      </x:c>
      <x:c r="P148" t="str">
        <x:f>IF($A148="","",IF(AND(N($M148)&gt;0,N($N148)&gt;0),"Mixed",IF(N($M148)&gt;0,"Zakat",IF(N($N148)&gt;0,"Sadaqah",""))))</x:f>
      </x:c>
      <x:c r="R148" t="str">
        <x:f>IF($A148="","",IFS($O148&lt;5000,"Under ₹5,000",$O148&lt;=10000,"₹5,000–₹10,000",$O148&lt;=15000,"₹10,000–₹15,000",$O148&lt;=25000,"₹15,000–₹25,000",$O148&lt;=50000,"₹25,000–₹50,000",TRUE,"₹50,000+"))</x:f>
      </x:c>
    </x:row>
    <x:row r="149">
      <x:c r="G149" t="str">
        <x:f>IF($A149="","",IF($F149="Dec 2025-Apr 2026",2026045,YEAR($H149)*100+MONTH($H149)))</x:f>
      </x:c>
      <x:c r="O149" t="str">
        <x:f>IF($A149="","",N($M149)+N($N149))</x:f>
      </x:c>
      <x:c r="P149" t="str">
        <x:f>IF($A149="","",IF(AND(N($M149)&gt;0,N($N149)&gt;0),"Mixed",IF(N($M149)&gt;0,"Zakat",IF(N($N149)&gt;0,"Sadaqah",""))))</x:f>
      </x:c>
      <x:c r="R149" t="str">
        <x:f>IF($A149="","",IFS($O149&lt;5000,"Under ₹5,000",$O149&lt;=10000,"₹5,000–₹10,000",$O149&lt;=15000,"₹10,000–₹15,000",$O149&lt;=25000,"₹15,000–₹25,000",$O149&lt;=50000,"₹25,000–₹50,000",TRUE,"₹50,000+"))</x:f>
      </x:c>
    </x:row>
    <x:row r="150">
      <x:c r="G150" t="str">
        <x:f>IF($A150="","",IF($F150="Dec 2025-Apr 2026",2026045,YEAR($H150)*100+MONTH($H150)))</x:f>
      </x:c>
      <x:c r="O150" t="str">
        <x:f>IF($A150="","",N($M150)+N($N150))</x:f>
      </x:c>
      <x:c r="P150" t="str">
        <x:f>IF($A150="","",IF(AND(N($M150)&gt;0,N($N150)&gt;0),"Mixed",IF(N($M150)&gt;0,"Zakat",IF(N($N150)&gt;0,"Sadaqah",""))))</x:f>
      </x:c>
      <x:c r="R150" t="str">
        <x:f>IF($A150="","",IFS($O150&lt;5000,"Under ₹5,000",$O150&lt;=10000,"₹5,000–₹10,000",$O150&lt;=15000,"₹10,000–₹15,000",$O150&lt;=25000,"₹15,000–₹25,000",$O150&lt;=50000,"₹25,000–₹50,000",TRUE,"₹50,000+"))</x:f>
      </x:c>
    </x:row>
    <x:row r="151">
      <x:c r="G151" t="str">
        <x:f>IF($A151="","",IF($F151="Dec 2025-Apr 2026",2026045,YEAR($H151)*100+MONTH($H151)))</x:f>
      </x:c>
      <x:c r="O151" t="str">
        <x:f>IF($A151="","",N($M151)+N($N151))</x:f>
      </x:c>
      <x:c r="P151" t="str">
        <x:f>IF($A151="","",IF(AND(N($M151)&gt;0,N($N151)&gt;0),"Mixed",IF(N($M151)&gt;0,"Zakat",IF(N($N151)&gt;0,"Sadaqah",""))))</x:f>
      </x:c>
      <x:c r="R151" t="str">
        <x:f>IF($A151="","",IFS($O151&lt;5000,"Under ₹5,000",$O151&lt;=10000,"₹5,000–₹10,000",$O151&lt;=15000,"₹10,000–₹15,000",$O151&lt;=25000,"₹15,000–₹25,000",$O151&lt;=50000,"₹25,000–₹50,000",TRUE,"₹50,000+"))</x:f>
      </x:c>
    </x:row>
    <x:row r="152">
      <x:c r="G152" t="str">
        <x:f>IF($A152="","",IF($F152="Dec 2025-Apr 2026",2026045,YEAR($H152)*100+MONTH($H152)))</x:f>
      </x:c>
      <x:c r="O152" t="str">
        <x:f>IF($A152="","",N($M152)+N($N152))</x:f>
      </x:c>
      <x:c r="P152" t="str">
        <x:f>IF($A152="","",IF(AND(N($M152)&gt;0,N($N152)&gt;0),"Mixed",IF(N($M152)&gt;0,"Zakat",IF(N($N152)&gt;0,"Sadaqah",""))))</x:f>
      </x:c>
      <x:c r="R152" t="str">
        <x:f>IF($A152="","",IFS($O152&lt;5000,"Under ₹5,000",$O152&lt;=10000,"₹5,000–₹10,000",$O152&lt;=15000,"₹10,000–₹15,000",$O152&lt;=25000,"₹15,000–₹25,000",$O152&lt;=50000,"₹25,000–₹50,000",TRUE,"₹50,000+"))</x:f>
      </x:c>
    </x:row>
    <x:row r="153">
      <x:c r="G153" t="str">
        <x:f>IF($A153="","",IF($F153="Dec 2025-Apr 2026",2026045,YEAR($H153)*100+MONTH($H153)))</x:f>
      </x:c>
      <x:c r="O153" t="str">
        <x:f>IF($A153="","",N($M153)+N($N153))</x:f>
      </x:c>
      <x:c r="P153" t="str">
        <x:f>IF($A153="","",IF(AND(N($M153)&gt;0,N($N153)&gt;0),"Mixed",IF(N($M153)&gt;0,"Zakat",IF(N($N153)&gt;0,"Sadaqah",""))))</x:f>
      </x:c>
      <x:c r="R153" t="str">
        <x:f>IF($A153="","",IFS($O153&lt;5000,"Under ₹5,000",$O153&lt;=10000,"₹5,000–₹10,000",$O153&lt;=15000,"₹10,000–₹15,000",$O153&lt;=25000,"₹15,000–₹25,000",$O153&lt;=50000,"₹25,000–₹50,000",TRUE,"₹50,000+"))</x:f>
      </x:c>
    </x:row>
    <x:row r="154">
      <x:c r="G154" t="str">
        <x:f>IF($A154="","",IF($F154="Dec 2025-Apr 2026",2026045,YEAR($H154)*100+MONTH($H154)))</x:f>
      </x:c>
      <x:c r="O154" t="str">
        <x:f>IF($A154="","",N($M154)+N($N154))</x:f>
      </x:c>
      <x:c r="P154" t="str">
        <x:f>IF($A154="","",IF(AND(N($M154)&gt;0,N($N154)&gt;0),"Mixed",IF(N($M154)&gt;0,"Zakat",IF(N($N154)&gt;0,"Sadaqah",""))))</x:f>
      </x:c>
      <x:c r="R154" t="str">
        <x:f>IF($A154="","",IFS($O154&lt;5000,"Under ₹5,000",$O154&lt;=10000,"₹5,000–₹10,000",$O154&lt;=15000,"₹10,000–₹15,000",$O154&lt;=25000,"₹15,000–₹25,000",$O154&lt;=50000,"₹25,000–₹50,000",TRUE,"₹50,000+"))</x:f>
      </x:c>
    </x:row>
    <x:row r="155">
      <x:c r="G155" t="str">
        <x:f>IF($A155="","",IF($F155="Dec 2025-Apr 2026",2026045,YEAR($H155)*100+MONTH($H155)))</x:f>
      </x:c>
      <x:c r="O155" t="str">
        <x:f>IF($A155="","",N($M155)+N($N155))</x:f>
      </x:c>
      <x:c r="P155" t="str">
        <x:f>IF($A155="","",IF(AND(N($M155)&gt;0,N($N155)&gt;0),"Mixed",IF(N($M155)&gt;0,"Zakat",IF(N($N155)&gt;0,"Sadaqah",""))))</x:f>
      </x:c>
      <x:c r="R155" t="str">
        <x:f>IF($A155="","",IFS($O155&lt;5000,"Under ₹5,000",$O155&lt;=10000,"₹5,000–₹10,000",$O155&lt;=15000,"₹10,000–₹15,000",$O155&lt;=25000,"₹15,000–₹25,000",$O155&lt;=50000,"₹25,000–₹50,000",TRUE,"₹50,000+"))</x:f>
      </x:c>
    </x:row>
    <x:row r="156">
      <x:c r="G156" t="str">
        <x:f>IF($A156="","",IF($F156="Dec 2025-Apr 2026",2026045,YEAR($H156)*100+MONTH($H156)))</x:f>
      </x:c>
      <x:c r="O156" t="str">
        <x:f>IF($A156="","",N($M156)+N($N156))</x:f>
      </x:c>
      <x:c r="P156" t="str">
        <x:f>IF($A156="","",IF(AND(N($M156)&gt;0,N($N156)&gt;0),"Mixed",IF(N($M156)&gt;0,"Zakat",IF(N($N156)&gt;0,"Sadaqah",""))))</x:f>
      </x:c>
      <x:c r="R156" t="str">
        <x:f>IF($A156="","",IFS($O156&lt;5000,"Under ₹5,000",$O156&lt;=10000,"₹5,000–₹10,000",$O156&lt;=15000,"₹10,000–₹15,000",$O156&lt;=25000,"₹15,000–₹25,000",$O156&lt;=50000,"₹25,000–₹50,000",TRUE,"₹50,000+"))</x:f>
      </x:c>
    </x:row>
    <x:row r="157">
      <x:c r="G157" t="str">
        <x:f>IF($A157="","",IF($F157="Dec 2025-Apr 2026",2026045,YEAR($H157)*100+MONTH($H157)))</x:f>
      </x:c>
      <x:c r="O157" t="str">
        <x:f>IF($A157="","",N($M157)+N($N157))</x:f>
      </x:c>
      <x:c r="P157" t="str">
        <x:f>IF($A157="","",IF(AND(N($M157)&gt;0,N($N157)&gt;0),"Mixed",IF(N($M157)&gt;0,"Zakat",IF(N($N157)&gt;0,"Sadaqah",""))))</x:f>
      </x:c>
      <x:c r="R157" t="str">
        <x:f>IF($A157="","",IFS($O157&lt;5000,"Under ₹5,000",$O157&lt;=10000,"₹5,000–₹10,000",$O157&lt;=15000,"₹10,000–₹15,000",$O157&lt;=25000,"₹15,000–₹25,000",$O157&lt;=50000,"₹25,000–₹50,000",TRUE,"₹50,000+"))</x:f>
      </x:c>
    </x:row>
    <x:row r="158">
      <x:c r="G158" t="str">
        <x:f>IF($A158="","",IF($F158="Dec 2025-Apr 2026",2026045,YEAR($H158)*100+MONTH($H158)))</x:f>
      </x:c>
      <x:c r="O158" t="str">
        <x:f>IF($A158="","",N($M158)+N($N158))</x:f>
      </x:c>
      <x:c r="P158" t="str">
        <x:f>IF($A158="","",IF(AND(N($M158)&gt;0,N($N158)&gt;0),"Mixed",IF(N($M158)&gt;0,"Zakat",IF(N($N158)&gt;0,"Sadaqah",""))))</x:f>
      </x:c>
      <x:c r="R158" t="str">
        <x:f>IF($A158="","",IFS($O158&lt;5000,"Under ₹5,000",$O158&lt;=10000,"₹5,000–₹10,000",$O158&lt;=15000,"₹10,000–₹15,000",$O158&lt;=25000,"₹15,000–₹25,000",$O158&lt;=50000,"₹25,000–₹50,000",TRUE,"₹50,000+"))</x:f>
      </x:c>
    </x:row>
    <x:row r="159">
      <x:c r="G159" t="str">
        <x:f>IF($A159="","",IF($F159="Dec 2025-Apr 2026",2026045,YEAR($H159)*100+MONTH($H159)))</x:f>
      </x:c>
      <x:c r="O159" t="str">
        <x:f>IF($A159="","",N($M159)+N($N159))</x:f>
      </x:c>
      <x:c r="P159" t="str">
        <x:f>IF($A159="","",IF(AND(N($M159)&gt;0,N($N159)&gt;0),"Mixed",IF(N($M159)&gt;0,"Zakat",IF(N($N159)&gt;0,"Sadaqah",""))))</x:f>
      </x:c>
      <x:c r="R159" t="str">
        <x:f>IF($A159="","",IFS($O159&lt;5000,"Under ₹5,000",$O159&lt;=10000,"₹5,000–₹10,000",$O159&lt;=15000,"₹10,000–₹15,000",$O159&lt;=25000,"₹15,000–₹25,000",$O159&lt;=50000,"₹25,000–₹50,000",TRUE,"₹50,000+"))</x:f>
      </x:c>
    </x:row>
    <x:row r="160">
      <x:c r="G160" t="str">
        <x:f>IF($A160="","",IF($F160="Dec 2025-Apr 2026",2026045,YEAR($H160)*100+MONTH($H160)))</x:f>
      </x:c>
      <x:c r="O160" t="str">
        <x:f>IF($A160="","",N($M160)+N($N160))</x:f>
      </x:c>
      <x:c r="P160" t="str">
        <x:f>IF($A160="","",IF(AND(N($M160)&gt;0,N($N160)&gt;0),"Mixed",IF(N($M160)&gt;0,"Zakat",IF(N($N160)&gt;0,"Sadaqah",""))))</x:f>
      </x:c>
      <x:c r="R160" t="str">
        <x:f>IF($A160="","",IFS($O160&lt;5000,"Under ₹5,000",$O160&lt;=10000,"₹5,000–₹10,000",$O160&lt;=15000,"₹10,000–₹15,000",$O160&lt;=25000,"₹15,000–₹25,000",$O160&lt;=50000,"₹25,000–₹50,000",TRUE,"₹50,000+"))</x:f>
      </x:c>
    </x:row>
    <x:row r="161">
      <x:c r="G161" t="str">
        <x:f>IF($A161="","",IF($F161="Dec 2025-Apr 2026",2026045,YEAR($H161)*100+MONTH($H161)))</x:f>
      </x:c>
      <x:c r="O161" t="str">
        <x:f>IF($A161="","",N($M161)+N($N161))</x:f>
      </x:c>
      <x:c r="P161" t="str">
        <x:f>IF($A161="","",IF(AND(N($M161)&gt;0,N($N161)&gt;0),"Mixed",IF(N($M161)&gt;0,"Zakat",IF(N($N161)&gt;0,"Sadaqah",""))))</x:f>
      </x:c>
      <x:c r="R161" t="str">
        <x:f>IF($A161="","",IFS($O161&lt;5000,"Under ₹5,000",$O161&lt;=10000,"₹5,000–₹10,000",$O161&lt;=15000,"₹10,000–₹15,000",$O161&lt;=25000,"₹15,000–₹25,000",$O161&lt;=50000,"₹25,000–₹50,000",TRUE,"₹50,000+"))</x:f>
      </x:c>
    </x:row>
    <x:row r="162">
      <x:c r="G162" t="str">
        <x:f>IF($A162="","",IF($F162="Dec 2025-Apr 2026",2026045,YEAR($H162)*100+MONTH($H162)))</x:f>
      </x:c>
      <x:c r="O162" t="str">
        <x:f>IF($A162="","",N($M162)+N($N162))</x:f>
      </x:c>
      <x:c r="P162" t="str">
        <x:f>IF($A162="","",IF(AND(N($M162)&gt;0,N($N162)&gt;0),"Mixed",IF(N($M162)&gt;0,"Zakat",IF(N($N162)&gt;0,"Sadaqah",""))))</x:f>
      </x:c>
      <x:c r="R162" t="str">
        <x:f>IF($A162="","",IFS($O162&lt;5000,"Under ₹5,000",$O162&lt;=10000,"₹5,000–₹10,000",$O162&lt;=15000,"₹10,000–₹15,000",$O162&lt;=25000,"₹15,000–₹25,000",$O162&lt;=50000,"₹25,000–₹50,000",TRUE,"₹50,000+"))</x:f>
      </x:c>
    </x:row>
    <x:row r="163">
      <x:c r="G163" t="str">
        <x:f>IF($A163="","",IF($F163="Dec 2025-Apr 2026",2026045,YEAR($H163)*100+MONTH($H163)))</x:f>
      </x:c>
      <x:c r="O163" t="str">
        <x:f>IF($A163="","",N($M163)+N($N163))</x:f>
      </x:c>
      <x:c r="P163" t="str">
        <x:f>IF($A163="","",IF(AND(N($M163)&gt;0,N($N163)&gt;0),"Mixed",IF(N($M163)&gt;0,"Zakat",IF(N($N163)&gt;0,"Sadaqah",""))))</x:f>
      </x:c>
      <x:c r="R163" t="str">
        <x:f>IF($A163="","",IFS($O163&lt;5000,"Under ₹5,000",$O163&lt;=10000,"₹5,000–₹10,000",$O163&lt;=15000,"₹10,000–₹15,000",$O163&lt;=25000,"₹15,000–₹25,000",$O163&lt;=50000,"₹25,000–₹50,000",TRUE,"₹50,000+"))</x:f>
      </x:c>
    </x:row>
    <x:row r="164">
      <x:c r="G164" t="str">
        <x:f>IF($A164="","",IF($F164="Dec 2025-Apr 2026",2026045,YEAR($H164)*100+MONTH($H164)))</x:f>
      </x:c>
      <x:c r="O164" t="str">
        <x:f>IF($A164="","",N($M164)+N($N164))</x:f>
      </x:c>
      <x:c r="P164" t="str">
        <x:f>IF($A164="","",IF(AND(N($M164)&gt;0,N($N164)&gt;0),"Mixed",IF(N($M164)&gt;0,"Zakat",IF(N($N164)&gt;0,"Sadaqah",""))))</x:f>
      </x:c>
      <x:c r="R164" t="str">
        <x:f>IF($A164="","",IFS($O164&lt;5000,"Under ₹5,000",$O164&lt;=10000,"₹5,000–₹10,000",$O164&lt;=15000,"₹10,000–₹15,000",$O164&lt;=25000,"₹15,000–₹25,000",$O164&lt;=50000,"₹25,000–₹50,000",TRUE,"₹50,000+"))</x:f>
      </x:c>
    </x:row>
    <x:row r="165">
      <x:c r="G165" t="str">
        <x:f>IF($A165="","",IF($F165="Dec 2025-Apr 2026",2026045,YEAR($H165)*100+MONTH($H165)))</x:f>
      </x:c>
      <x:c r="O165" t="str">
        <x:f>IF($A165="","",N($M165)+N($N165))</x:f>
      </x:c>
      <x:c r="P165" t="str">
        <x:f>IF($A165="","",IF(AND(N($M165)&gt;0,N($N165)&gt;0),"Mixed",IF(N($M165)&gt;0,"Zakat",IF(N($N165)&gt;0,"Sadaqah",""))))</x:f>
      </x:c>
      <x:c r="R165" t="str">
        <x:f>IF($A165="","",IFS($O165&lt;5000,"Under ₹5,000",$O165&lt;=10000,"₹5,000–₹10,000",$O165&lt;=15000,"₹10,000–₹15,000",$O165&lt;=25000,"₹15,000–₹25,000",$O165&lt;=50000,"₹25,000–₹50,000",TRUE,"₹50,000+"))</x:f>
      </x:c>
    </x:row>
    <x:row r="166">
      <x:c r="G166" t="str">
        <x:f>IF($A166="","",IF($F166="Dec 2025-Apr 2026",2026045,YEAR($H166)*100+MONTH($H166)))</x:f>
      </x:c>
      <x:c r="O166" t="str">
        <x:f>IF($A166="","",N($M166)+N($N166))</x:f>
      </x:c>
      <x:c r="P166" t="str">
        <x:f>IF($A166="","",IF(AND(N($M166)&gt;0,N($N166)&gt;0),"Mixed",IF(N($M166)&gt;0,"Zakat",IF(N($N166)&gt;0,"Sadaqah",""))))</x:f>
      </x:c>
      <x:c r="R166" t="str">
        <x:f>IF($A166="","",IFS($O166&lt;5000,"Under ₹5,000",$O166&lt;=10000,"₹5,000–₹10,000",$O166&lt;=15000,"₹10,000–₹15,000",$O166&lt;=25000,"₹15,000–₹25,000",$O166&lt;=50000,"₹25,000–₹50,000",TRUE,"₹50,000+"))</x:f>
      </x:c>
    </x:row>
    <x:row r="167">
      <x:c r="G167" t="str">
        <x:f>IF($A167="","",IF($F167="Dec 2025-Apr 2026",2026045,YEAR($H167)*100+MONTH($H167)))</x:f>
      </x:c>
      <x:c r="O167" t="str">
        <x:f>IF($A167="","",N($M167)+N($N167))</x:f>
      </x:c>
      <x:c r="P167" t="str">
        <x:f>IF($A167="","",IF(AND(N($M167)&gt;0,N($N167)&gt;0),"Mixed",IF(N($M167)&gt;0,"Zakat",IF(N($N167)&gt;0,"Sadaqah",""))))</x:f>
      </x:c>
      <x:c r="R167" t="str">
        <x:f>IF($A167="","",IFS($O167&lt;5000,"Under ₹5,000",$O167&lt;=10000,"₹5,000–₹10,000",$O167&lt;=15000,"₹10,000–₹15,000",$O167&lt;=25000,"₹15,000–₹25,000",$O167&lt;=50000,"₹25,000–₹50,000",TRUE,"₹50,000+"))</x:f>
      </x:c>
    </x:row>
    <x:row r="168">
      <x:c r="G168" t="str">
        <x:f>IF($A168="","",IF($F168="Dec 2025-Apr 2026",2026045,YEAR($H168)*100+MONTH($H168)))</x:f>
      </x:c>
      <x:c r="O168" t="str">
        <x:f>IF($A168="","",N($M168)+N($N168))</x:f>
      </x:c>
      <x:c r="P168" t="str">
        <x:f>IF($A168="","",IF(AND(N($M168)&gt;0,N($N168)&gt;0),"Mixed",IF(N($M168)&gt;0,"Zakat",IF(N($N168)&gt;0,"Sadaqah",""))))</x:f>
      </x:c>
      <x:c r="R168" t="str">
        <x:f>IF($A168="","",IFS($O168&lt;5000,"Under ₹5,000",$O168&lt;=10000,"₹5,000–₹10,000",$O168&lt;=15000,"₹10,000–₹15,000",$O168&lt;=25000,"₹15,000–₹25,000",$O168&lt;=50000,"₹25,000–₹50,000",TRUE,"₹50,000+"))</x:f>
      </x:c>
    </x:row>
    <x:row r="169">
      <x:c r="G169" t="str">
        <x:f>IF($A169="","",IF($F169="Dec 2025-Apr 2026",2026045,YEAR($H169)*100+MONTH($H169)))</x:f>
      </x:c>
      <x:c r="O169" t="str">
        <x:f>IF($A169="","",N($M169)+N($N169))</x:f>
      </x:c>
      <x:c r="P169" t="str">
        <x:f>IF($A169="","",IF(AND(N($M169)&gt;0,N($N169)&gt;0),"Mixed",IF(N($M169)&gt;0,"Zakat",IF(N($N169)&gt;0,"Sadaqah",""))))</x:f>
      </x:c>
      <x:c r="R169" t="str">
        <x:f>IF($A169="","",IFS($O169&lt;5000,"Under ₹5,000",$O169&lt;=10000,"₹5,000–₹10,000",$O169&lt;=15000,"₹10,000–₹15,000",$O169&lt;=25000,"₹15,000–₹25,000",$O169&lt;=50000,"₹25,000–₹50,000",TRUE,"₹50,000+"))</x:f>
      </x:c>
    </x:row>
    <x:row r="170">
      <x:c r="G170" t="str">
        <x:f>IF($A170="","",IF($F170="Dec 2025-Apr 2026",2026045,YEAR($H170)*100+MONTH($H170)))</x:f>
      </x:c>
      <x:c r="O170" t="str">
        <x:f>IF($A170="","",N($M170)+N($N170))</x:f>
      </x:c>
      <x:c r="P170" t="str">
        <x:f>IF($A170="","",IF(AND(N($M170)&gt;0,N($N170)&gt;0),"Mixed",IF(N($M170)&gt;0,"Zakat",IF(N($N170)&gt;0,"Sadaqah",""))))</x:f>
      </x:c>
      <x:c r="R170" t="str">
        <x:f>IF($A170="","",IFS($O170&lt;5000,"Under ₹5,000",$O170&lt;=10000,"₹5,000–₹10,000",$O170&lt;=15000,"₹10,000–₹15,000",$O170&lt;=25000,"₹15,000–₹25,000",$O170&lt;=50000,"₹25,000–₹50,000",TRUE,"₹50,000+"))</x:f>
      </x:c>
    </x:row>
    <x:row r="171">
      <x:c r="G171" t="str">
        <x:f>IF($A171="","",IF($F171="Dec 2025-Apr 2026",2026045,YEAR($H171)*100+MONTH($H171)))</x:f>
      </x:c>
      <x:c r="O171" t="str">
        <x:f>IF($A171="","",N($M171)+N($N171))</x:f>
      </x:c>
      <x:c r="P171" t="str">
        <x:f>IF($A171="","",IF(AND(N($M171)&gt;0,N($N171)&gt;0),"Mixed",IF(N($M171)&gt;0,"Zakat",IF(N($N171)&gt;0,"Sadaqah",""))))</x:f>
      </x:c>
      <x:c r="R171" t="str">
        <x:f>IF($A171="","",IFS($O171&lt;5000,"Under ₹5,000",$O171&lt;=10000,"₹5,000–₹10,000",$O171&lt;=15000,"₹10,000–₹15,000",$O171&lt;=25000,"₹15,000–₹25,000",$O171&lt;=50000,"₹25,000–₹50,000",TRUE,"₹50,000+"))</x:f>
      </x:c>
    </x:row>
    <x:row r="172">
      <x:c r="G172" t="str">
        <x:f>IF($A172="","",IF($F172="Dec 2025-Apr 2026",2026045,YEAR($H172)*100+MONTH($H172)))</x:f>
      </x:c>
      <x:c r="O172" t="str">
        <x:f>IF($A172="","",N($M172)+N($N172))</x:f>
      </x:c>
      <x:c r="P172" t="str">
        <x:f>IF($A172="","",IF(AND(N($M172)&gt;0,N($N172)&gt;0),"Mixed",IF(N($M172)&gt;0,"Zakat",IF(N($N172)&gt;0,"Sadaqah",""))))</x:f>
      </x:c>
      <x:c r="R172" t="str">
        <x:f>IF($A172="","",IFS($O172&lt;5000,"Under ₹5,000",$O172&lt;=10000,"₹5,000–₹10,000",$O172&lt;=15000,"₹10,000–₹15,000",$O172&lt;=25000,"₹15,000–₹25,000",$O172&lt;=50000,"₹25,000–₹50,000",TRUE,"₹50,000+"))</x:f>
      </x:c>
    </x:row>
    <x:row r="173">
      <x:c r="G173" t="str">
        <x:f>IF($A173="","",IF($F173="Dec 2025-Apr 2026",2026045,YEAR($H173)*100+MONTH($H173)))</x:f>
      </x:c>
      <x:c r="O173" t="str">
        <x:f>IF($A173="","",N($M173)+N($N173))</x:f>
      </x:c>
      <x:c r="P173" t="str">
        <x:f>IF($A173="","",IF(AND(N($M173)&gt;0,N($N173)&gt;0),"Mixed",IF(N($M173)&gt;0,"Zakat",IF(N($N173)&gt;0,"Sadaqah",""))))</x:f>
      </x:c>
      <x:c r="R173" t="str">
        <x:f>IF($A173="","",IFS($O173&lt;5000,"Under ₹5,000",$O173&lt;=10000,"₹5,000–₹10,000",$O173&lt;=15000,"₹10,000–₹15,000",$O173&lt;=25000,"₹15,000–₹25,000",$O173&lt;=50000,"₹25,000–₹50,000",TRUE,"₹50,000+"))</x:f>
      </x:c>
    </x:row>
    <x:row r="174">
      <x:c r="G174" t="str">
        <x:f>IF($A174="","",IF($F174="Dec 2025-Apr 2026",2026045,YEAR($H174)*100+MONTH($H174)))</x:f>
      </x:c>
      <x:c r="O174" t="str">
        <x:f>IF($A174="","",N($M174)+N($N174))</x:f>
      </x:c>
      <x:c r="P174" t="str">
        <x:f>IF($A174="","",IF(AND(N($M174)&gt;0,N($N174)&gt;0),"Mixed",IF(N($M174)&gt;0,"Zakat",IF(N($N174)&gt;0,"Sadaqah",""))))</x:f>
      </x:c>
      <x:c r="R174" t="str">
        <x:f>IF($A174="","",IFS($O174&lt;5000,"Under ₹5,000",$O174&lt;=10000,"₹5,000–₹10,000",$O174&lt;=15000,"₹10,000–₹15,000",$O174&lt;=25000,"₹15,000–₹25,000",$O174&lt;=50000,"₹25,000–₹50,000",TRUE,"₹50,000+"))</x:f>
      </x:c>
    </x:row>
    <x:row r="175">
      <x:c r="G175" t="str">
        <x:f>IF($A175="","",IF($F175="Dec 2025-Apr 2026",2026045,YEAR($H175)*100+MONTH($H175)))</x:f>
      </x:c>
      <x:c r="O175" t="str">
        <x:f>IF($A175="","",N($M175)+N($N175))</x:f>
      </x:c>
      <x:c r="P175" t="str">
        <x:f>IF($A175="","",IF(AND(N($M175)&gt;0,N($N175)&gt;0),"Mixed",IF(N($M175)&gt;0,"Zakat",IF(N($N175)&gt;0,"Sadaqah",""))))</x:f>
      </x:c>
      <x:c r="R175" t="str">
        <x:f>IF($A175="","",IFS($O175&lt;5000,"Under ₹5,000",$O175&lt;=10000,"₹5,000–₹10,000",$O175&lt;=15000,"₹10,000–₹15,000",$O175&lt;=25000,"₹15,000–₹25,000",$O175&lt;=50000,"₹25,000–₹50,000",TRUE,"₹50,000+"))</x:f>
      </x:c>
    </x:row>
    <x:row r="176">
      <x:c r="G176" t="str">
        <x:f>IF($A176="","",IF($F176="Dec 2025-Apr 2026",2026045,YEAR($H176)*100+MONTH($H176)))</x:f>
      </x:c>
      <x:c r="O176" t="str">
        <x:f>IF($A176="","",N($M176)+N($N176))</x:f>
      </x:c>
      <x:c r="P176" t="str">
        <x:f>IF($A176="","",IF(AND(N($M176)&gt;0,N($N176)&gt;0),"Mixed",IF(N($M176)&gt;0,"Zakat",IF(N($N176)&gt;0,"Sadaqah",""))))</x:f>
      </x:c>
      <x:c r="R176" t="str">
        <x:f>IF($A176="","",IFS($O176&lt;5000,"Under ₹5,000",$O176&lt;=10000,"₹5,000–₹10,000",$O176&lt;=15000,"₹10,000–₹15,000",$O176&lt;=25000,"₹15,000–₹25,000",$O176&lt;=50000,"₹25,000–₹50,000",TRUE,"₹50,000+"))</x:f>
      </x:c>
    </x:row>
    <x:row r="177">
      <x:c r="G177" t="str">
        <x:f>IF($A177="","",IF($F177="Dec 2025-Apr 2026",2026045,YEAR($H177)*100+MONTH($H177)))</x:f>
      </x:c>
      <x:c r="O177" t="str">
        <x:f>IF($A177="","",N($M177)+N($N177))</x:f>
      </x:c>
      <x:c r="P177" t="str">
        <x:f>IF($A177="","",IF(AND(N($M177)&gt;0,N($N177)&gt;0),"Mixed",IF(N($M177)&gt;0,"Zakat",IF(N($N177)&gt;0,"Sadaqah",""))))</x:f>
      </x:c>
      <x:c r="R177" t="str">
        <x:f>IF($A177="","",IFS($O177&lt;5000,"Under ₹5,000",$O177&lt;=10000,"₹5,000–₹10,000",$O177&lt;=15000,"₹10,000–₹15,000",$O177&lt;=25000,"₹15,000–₹25,000",$O177&lt;=50000,"₹25,000–₹50,000",TRUE,"₹50,000+"))</x:f>
      </x:c>
    </x:row>
    <x:row r="178">
      <x:c r="G178" t="str">
        <x:f>IF($A178="","",IF($F178="Dec 2025-Apr 2026",2026045,YEAR($H178)*100+MONTH($H178)))</x:f>
      </x:c>
      <x:c r="O178" t="str">
        <x:f>IF($A178="","",N($M178)+N($N178))</x:f>
      </x:c>
      <x:c r="P178" t="str">
        <x:f>IF($A178="","",IF(AND(N($M178)&gt;0,N($N178)&gt;0),"Mixed",IF(N($M178)&gt;0,"Zakat",IF(N($N178)&gt;0,"Sadaqah",""))))</x:f>
      </x:c>
      <x:c r="R178" t="str">
        <x:f>IF($A178="","",IFS($O178&lt;5000,"Under ₹5,000",$O178&lt;=10000,"₹5,000–₹10,000",$O178&lt;=15000,"₹10,000–₹15,000",$O178&lt;=25000,"₹15,000–₹25,000",$O178&lt;=50000,"₹25,000–₹50,000",TRUE,"₹50,000+"))</x:f>
      </x:c>
    </x:row>
    <x:row r="179">
      <x:c r="G179" t="str">
        <x:f>IF($A179="","",IF($F179="Dec 2025-Apr 2026",2026045,YEAR($H179)*100+MONTH($H179)))</x:f>
      </x:c>
      <x:c r="O179" t="str">
        <x:f>IF($A179="","",N($M179)+N($N179))</x:f>
      </x:c>
      <x:c r="P179" t="str">
        <x:f>IF($A179="","",IF(AND(N($M179)&gt;0,N($N179)&gt;0),"Mixed",IF(N($M179)&gt;0,"Zakat",IF(N($N179)&gt;0,"Sadaqah",""))))</x:f>
      </x:c>
      <x:c r="R179" t="str">
        <x:f>IF($A179="","",IFS($O179&lt;5000,"Under ₹5,000",$O179&lt;=10000,"₹5,000–₹10,000",$O179&lt;=15000,"₹10,000–₹15,000",$O179&lt;=25000,"₹15,000–₹25,000",$O179&lt;=50000,"₹25,000–₹50,000",TRUE,"₹50,000+"))</x:f>
      </x:c>
    </x:row>
    <x:row r="180">
      <x:c r="G180" t="str">
        <x:f>IF($A180="","",IF($F180="Dec 2025-Apr 2026",2026045,YEAR($H180)*100+MONTH($H180)))</x:f>
      </x:c>
      <x:c r="O180" t="str">
        <x:f>IF($A180="","",N($M180)+N($N180))</x:f>
      </x:c>
      <x:c r="P180" t="str">
        <x:f>IF($A180="","",IF(AND(N($M180)&gt;0,N($N180)&gt;0),"Mixed",IF(N($M180)&gt;0,"Zakat",IF(N($N180)&gt;0,"Sadaqah",""))))</x:f>
      </x:c>
      <x:c r="R180" t="str">
        <x:f>IF($A180="","",IFS($O180&lt;5000,"Under ₹5,000",$O180&lt;=10000,"₹5,000–₹10,000",$O180&lt;=15000,"₹10,000–₹15,000",$O180&lt;=25000,"₹15,000–₹25,000",$O180&lt;=50000,"₹25,000–₹50,000",TRUE,"₹50,000+"))</x:f>
      </x:c>
    </x:row>
    <x:row r="181">
      <x:c r="G181" t="str">
        <x:f>IF($A181="","",IF($F181="Dec 2025-Apr 2026",2026045,YEAR($H181)*100+MONTH($H181)))</x:f>
      </x:c>
      <x:c r="O181" t="str">
        <x:f>IF($A181="","",N($M181)+N($N181))</x:f>
      </x:c>
      <x:c r="P181" t="str">
        <x:f>IF($A181="","",IF(AND(N($M181)&gt;0,N($N181)&gt;0),"Mixed",IF(N($M181)&gt;0,"Zakat",IF(N($N181)&gt;0,"Sadaqah",""))))</x:f>
      </x:c>
      <x:c r="R181" t="str">
        <x:f>IF($A181="","",IFS($O181&lt;5000,"Under ₹5,000",$O181&lt;=10000,"₹5,000–₹10,000",$O181&lt;=15000,"₹10,000–₹15,000",$O181&lt;=25000,"₹15,000–₹25,000",$O181&lt;=50000,"₹25,000–₹50,000",TRUE,"₹50,000+"))</x:f>
      </x:c>
    </x:row>
    <x:row r="182">
      <x:c r="G182" t="str">
        <x:f>IF($A182="","",IF($F182="Dec 2025-Apr 2026",2026045,YEAR($H182)*100+MONTH($H182)))</x:f>
      </x:c>
      <x:c r="O182" t="str">
        <x:f>IF($A182="","",N($M182)+N($N182))</x:f>
      </x:c>
      <x:c r="P182" t="str">
        <x:f>IF($A182="","",IF(AND(N($M182)&gt;0,N($N182)&gt;0),"Mixed",IF(N($M182)&gt;0,"Zakat",IF(N($N182)&gt;0,"Sadaqah",""))))</x:f>
      </x:c>
      <x:c r="R182" t="str">
        <x:f>IF($A182="","",IFS($O182&lt;5000,"Under ₹5,000",$O182&lt;=10000,"₹5,000–₹10,000",$O182&lt;=15000,"₹10,000–₹15,000",$O182&lt;=25000,"₹15,000–₹25,000",$O182&lt;=50000,"₹25,000–₹50,000",TRUE,"₹50,000+"))</x:f>
      </x:c>
    </x:row>
    <x:row r="183">
      <x:c r="G183" t="str">
        <x:f>IF($A183="","",IF($F183="Dec 2025-Apr 2026",2026045,YEAR($H183)*100+MONTH($H183)))</x:f>
      </x:c>
      <x:c r="O183" t="str">
        <x:f>IF($A183="","",N($M183)+N($N183))</x:f>
      </x:c>
      <x:c r="P183" t="str">
        <x:f>IF($A183="","",IF(AND(N($M183)&gt;0,N($N183)&gt;0),"Mixed",IF(N($M183)&gt;0,"Zakat",IF(N($N183)&gt;0,"Sadaqah",""))))</x:f>
      </x:c>
      <x:c r="R183" t="str">
        <x:f>IF($A183="","",IFS($O183&lt;5000,"Under ₹5,000",$O183&lt;=10000,"₹5,000–₹10,000",$O183&lt;=15000,"₹10,000–₹15,000",$O183&lt;=25000,"₹15,000–₹25,000",$O183&lt;=50000,"₹25,000–₹50,000",TRUE,"₹50,000+"))</x:f>
      </x:c>
    </x:row>
    <x:row r="184">
      <x:c r="G184" t="str">
        <x:f>IF($A184="","",IF($F184="Dec 2025-Apr 2026",2026045,YEAR($H184)*100+MONTH($H184)))</x:f>
      </x:c>
      <x:c r="O184" t="str">
        <x:f>IF($A184="","",N($M184)+N($N184))</x:f>
      </x:c>
      <x:c r="P184" t="str">
        <x:f>IF($A184="","",IF(AND(N($M184)&gt;0,N($N184)&gt;0),"Mixed",IF(N($M184)&gt;0,"Zakat",IF(N($N184)&gt;0,"Sadaqah",""))))</x:f>
      </x:c>
      <x:c r="R184" t="str">
        <x:f>IF($A184="","",IFS($O184&lt;5000,"Under ₹5,000",$O184&lt;=10000,"₹5,000–₹10,000",$O184&lt;=15000,"₹10,000–₹15,000",$O184&lt;=25000,"₹15,000–₹25,000",$O184&lt;=50000,"₹25,000–₹50,000",TRUE,"₹50,000+"))</x:f>
      </x:c>
    </x:row>
    <x:row r="185">
      <x:c r="G185" t="str">
        <x:f>IF($A185="","",IF($F185="Dec 2025-Apr 2026",2026045,YEAR($H185)*100+MONTH($H185)))</x:f>
      </x:c>
      <x:c r="O185" t="str">
        <x:f>IF($A185="","",N($M185)+N($N185))</x:f>
      </x:c>
      <x:c r="P185" t="str">
        <x:f>IF($A185="","",IF(AND(N($M185)&gt;0,N($N185)&gt;0),"Mixed",IF(N($M185)&gt;0,"Zakat",IF(N($N185)&gt;0,"Sadaqah",""))))</x:f>
      </x:c>
      <x:c r="R185" t="str">
        <x:f>IF($A185="","",IFS($O185&lt;5000,"Under ₹5,000",$O185&lt;=10000,"₹5,000–₹10,000",$O185&lt;=15000,"₹10,000–₹15,000",$O185&lt;=25000,"₹15,000–₹25,000",$O185&lt;=50000,"₹25,000–₹50,000",TRUE,"₹50,000+"))</x:f>
      </x:c>
    </x:row>
    <x:row r="186">
      <x:c r="G186" t="str">
        <x:f>IF($A186="","",IF($F186="Dec 2025-Apr 2026",2026045,YEAR($H186)*100+MONTH($H186)))</x:f>
      </x:c>
      <x:c r="O186" t="str">
        <x:f>IF($A186="","",N($M186)+N($N186))</x:f>
      </x:c>
      <x:c r="P186" t="str">
        <x:f>IF($A186="","",IF(AND(N($M186)&gt;0,N($N186)&gt;0),"Mixed",IF(N($M186)&gt;0,"Zakat",IF(N($N186)&gt;0,"Sadaqah",""))))</x:f>
      </x:c>
      <x:c r="R186" t="str">
        <x:f>IF($A186="","",IFS($O186&lt;5000,"Under ₹5,000",$O186&lt;=10000,"₹5,000–₹10,000",$O186&lt;=15000,"₹10,000–₹15,000",$O186&lt;=25000,"₹15,000–₹25,000",$O186&lt;=50000,"₹25,000–₹50,000",TRUE,"₹50,000+"))</x:f>
      </x:c>
    </x:row>
    <x:row r="187">
      <x:c r="G187" t="str">
        <x:f>IF($A187="","",IF($F187="Dec 2025-Apr 2026",2026045,YEAR($H187)*100+MONTH($H187)))</x:f>
      </x:c>
      <x:c r="O187" t="str">
        <x:f>IF($A187="","",N($M187)+N($N187))</x:f>
      </x:c>
      <x:c r="P187" t="str">
        <x:f>IF($A187="","",IF(AND(N($M187)&gt;0,N($N187)&gt;0),"Mixed",IF(N($M187)&gt;0,"Zakat",IF(N($N187)&gt;0,"Sadaqah",""))))</x:f>
      </x:c>
      <x:c r="R187" t="str">
        <x:f>IF($A187="","",IFS($O187&lt;5000,"Under ₹5,000",$O187&lt;=10000,"₹5,000–₹10,000",$O187&lt;=15000,"₹10,000–₹15,000",$O187&lt;=25000,"₹15,000–₹25,000",$O187&lt;=50000,"₹25,000–₹50,000",TRUE,"₹50,000+"))</x:f>
      </x:c>
    </x:row>
    <x:row r="188">
      <x:c r="G188" t="str">
        <x:f>IF($A188="","",IF($F188="Dec 2025-Apr 2026",2026045,YEAR($H188)*100+MONTH($H188)))</x:f>
      </x:c>
      <x:c r="O188" t="str">
        <x:f>IF($A188="","",N($M188)+N($N188))</x:f>
      </x:c>
      <x:c r="P188" t="str">
        <x:f>IF($A188="","",IF(AND(N($M188)&gt;0,N($N188)&gt;0),"Mixed",IF(N($M188)&gt;0,"Zakat",IF(N($N188)&gt;0,"Sadaqah",""))))</x:f>
      </x:c>
      <x:c r="R188" t="str">
        <x:f>IF($A188="","",IFS($O188&lt;5000,"Under ₹5,000",$O188&lt;=10000,"₹5,000–₹10,000",$O188&lt;=15000,"₹10,000–₹15,000",$O188&lt;=25000,"₹15,000–₹25,000",$O188&lt;=50000,"₹25,000–₹50,000",TRUE,"₹50,000+"))</x:f>
      </x:c>
    </x:row>
    <x:row r="189">
      <x:c r="G189" t="str">
        <x:f>IF($A189="","",IF($F189="Dec 2025-Apr 2026",2026045,YEAR($H189)*100+MONTH($H189)))</x:f>
      </x:c>
      <x:c r="O189" t="str">
        <x:f>IF($A189="","",N($M189)+N($N189))</x:f>
      </x:c>
      <x:c r="P189" t="str">
        <x:f>IF($A189="","",IF(AND(N($M189)&gt;0,N($N189)&gt;0),"Mixed",IF(N($M189)&gt;0,"Zakat",IF(N($N189)&gt;0,"Sadaqah",""))))</x:f>
      </x:c>
      <x:c r="R189" t="str">
        <x:f>IF($A189="","",IFS($O189&lt;5000,"Under ₹5,000",$O189&lt;=10000,"₹5,000–₹10,000",$O189&lt;=15000,"₹10,000–₹15,000",$O189&lt;=25000,"₹15,000–₹25,000",$O189&lt;=50000,"₹25,000–₹50,000",TRUE,"₹50,000+"))</x:f>
      </x:c>
    </x:row>
    <x:row r="190">
      <x:c r="G190" t="str">
        <x:f>IF($A190="","",IF($F190="Dec 2025-Apr 2026",2026045,YEAR($H190)*100+MONTH($H190)))</x:f>
      </x:c>
      <x:c r="O190" t="str">
        <x:f>IF($A190="","",N($M190)+N($N190))</x:f>
      </x:c>
      <x:c r="P190" t="str">
        <x:f>IF($A190="","",IF(AND(N($M190)&gt;0,N($N190)&gt;0),"Mixed",IF(N($M190)&gt;0,"Zakat",IF(N($N190)&gt;0,"Sadaqah",""))))</x:f>
      </x:c>
      <x:c r="R190" t="str">
        <x:f>IF($A190="","",IFS($O190&lt;5000,"Under ₹5,000",$O190&lt;=10000,"₹5,000–₹10,000",$O190&lt;=15000,"₹10,000–₹15,000",$O190&lt;=25000,"₹15,000–₹25,000",$O190&lt;=50000,"₹25,000–₹50,000",TRUE,"₹50,000+"))</x:f>
      </x:c>
    </x:row>
    <x:row r="191">
      <x:c r="G191" t="str">
        <x:f>IF($A191="","",IF($F191="Dec 2025-Apr 2026",2026045,YEAR($H191)*100+MONTH($H191)))</x:f>
      </x:c>
      <x:c r="O191" t="str">
        <x:f>IF($A191="","",N($M191)+N($N191))</x:f>
      </x:c>
      <x:c r="P191" t="str">
        <x:f>IF($A191="","",IF(AND(N($M191)&gt;0,N($N191)&gt;0),"Mixed",IF(N($M191)&gt;0,"Zakat",IF(N($N191)&gt;0,"Sadaqah",""))))</x:f>
      </x:c>
      <x:c r="R191" t="str">
        <x:f>IF($A191="","",IFS($O191&lt;5000,"Under ₹5,000",$O191&lt;=10000,"₹5,000–₹10,000",$O191&lt;=15000,"₹10,000–₹15,000",$O191&lt;=25000,"₹15,000–₹25,000",$O191&lt;=50000,"₹25,000–₹50,000",TRUE,"₹50,000+"))</x:f>
      </x:c>
    </x:row>
    <x:row r="192">
      <x:c r="G192" t="str">
        <x:f>IF($A192="","",IF($F192="Dec 2025-Apr 2026",2026045,YEAR($H192)*100+MONTH($H192)))</x:f>
      </x:c>
      <x:c r="O192" t="str">
        <x:f>IF($A192="","",N($M192)+N($N192))</x:f>
      </x:c>
      <x:c r="P192" t="str">
        <x:f>IF($A192="","",IF(AND(N($M192)&gt;0,N($N192)&gt;0),"Mixed",IF(N($M192)&gt;0,"Zakat",IF(N($N192)&gt;0,"Sadaqah",""))))</x:f>
      </x:c>
      <x:c r="R192" t="str">
        <x:f>IF($A192="","",IFS($O192&lt;5000,"Under ₹5,000",$O192&lt;=10000,"₹5,000–₹10,000",$O192&lt;=15000,"₹10,000–₹15,000",$O192&lt;=25000,"₹15,000–₹25,000",$O192&lt;=50000,"₹25,000–₹50,000",TRUE,"₹50,000+"))</x:f>
      </x:c>
    </x:row>
    <x:row r="193">
      <x:c r="G193" t="str">
        <x:f>IF($A193="","",IF($F193="Dec 2025-Apr 2026",2026045,YEAR($H193)*100+MONTH($H193)))</x:f>
      </x:c>
      <x:c r="O193" t="str">
        <x:f>IF($A193="","",N($M193)+N($N193))</x:f>
      </x:c>
      <x:c r="P193" t="str">
        <x:f>IF($A193="","",IF(AND(N($M193)&gt;0,N($N193)&gt;0),"Mixed",IF(N($M193)&gt;0,"Zakat",IF(N($N193)&gt;0,"Sadaqah",""))))</x:f>
      </x:c>
      <x:c r="R193" t="str">
        <x:f>IF($A193="","",IFS($O193&lt;5000,"Under ₹5,000",$O193&lt;=10000,"₹5,000–₹10,000",$O193&lt;=15000,"₹10,000–₹15,000",$O193&lt;=25000,"₹15,000–₹25,000",$O193&lt;=50000,"₹25,000–₹50,000",TRUE,"₹50,000+"))</x:f>
      </x:c>
    </x:row>
    <x:row r="194">
      <x:c r="G194" t="str">
        <x:f>IF($A194="","",IF($F194="Dec 2025-Apr 2026",2026045,YEAR($H194)*100+MONTH($H194)))</x:f>
      </x:c>
      <x:c r="O194" t="str">
        <x:f>IF($A194="","",N($M194)+N($N194))</x:f>
      </x:c>
      <x:c r="P194" t="str">
        <x:f>IF($A194="","",IF(AND(N($M194)&gt;0,N($N194)&gt;0),"Mixed",IF(N($M194)&gt;0,"Zakat",IF(N($N194)&gt;0,"Sadaqah",""))))</x:f>
      </x:c>
      <x:c r="R194" t="str">
        <x:f>IF($A194="","",IFS($O194&lt;5000,"Under ₹5,000",$O194&lt;=10000,"₹5,000–₹10,000",$O194&lt;=15000,"₹10,000–₹15,000",$O194&lt;=25000,"₹15,000–₹25,000",$O194&lt;=50000,"₹25,000–₹50,000",TRUE,"₹50,000+"))</x:f>
      </x:c>
    </x:row>
    <x:row r="195">
      <x:c r="G195" t="str">
        <x:f>IF($A195="","",IF($F195="Dec 2025-Apr 2026",2026045,YEAR($H195)*100+MONTH($H195)))</x:f>
      </x:c>
      <x:c r="O195" t="str">
        <x:f>IF($A195="","",N($M195)+N($N195))</x:f>
      </x:c>
      <x:c r="P195" t="str">
        <x:f>IF($A195="","",IF(AND(N($M195)&gt;0,N($N195)&gt;0),"Mixed",IF(N($M195)&gt;0,"Zakat",IF(N($N195)&gt;0,"Sadaqah",""))))</x:f>
      </x:c>
      <x:c r="R195" t="str">
        <x:f>IF($A195="","",IFS($O195&lt;5000,"Under ₹5,000",$O195&lt;=10000,"₹5,000–₹10,000",$O195&lt;=15000,"₹10,000–₹15,000",$O195&lt;=25000,"₹15,000–₹25,000",$O195&lt;=50000,"₹25,000–₹50,000",TRUE,"₹50,000+"))</x:f>
      </x:c>
    </x:row>
    <x:row r="196">
      <x:c r="G196" t="str">
        <x:f>IF($A196="","",IF($F196="Dec 2025-Apr 2026",2026045,YEAR($H196)*100+MONTH($H196)))</x:f>
      </x:c>
      <x:c r="O196" t="str">
        <x:f>IF($A196="","",N($M196)+N($N196))</x:f>
      </x:c>
      <x:c r="P196" t="str">
        <x:f>IF($A196="","",IF(AND(N($M196)&gt;0,N($N196)&gt;0),"Mixed",IF(N($M196)&gt;0,"Zakat",IF(N($N196)&gt;0,"Sadaqah",""))))</x:f>
      </x:c>
      <x:c r="R196" t="str">
        <x:f>IF($A196="","",IFS($O196&lt;5000,"Under ₹5,000",$O196&lt;=10000,"₹5,000–₹10,000",$O196&lt;=15000,"₹10,000–₹15,000",$O196&lt;=25000,"₹15,000–₹25,000",$O196&lt;=50000,"₹25,000–₹50,000",TRUE,"₹50,000+"))</x:f>
      </x:c>
    </x:row>
    <x:row r="197">
      <x:c r="G197" t="str">
        <x:f>IF($A197="","",IF($F197="Dec 2025-Apr 2026",2026045,YEAR($H197)*100+MONTH($H197)))</x:f>
      </x:c>
      <x:c r="O197" t="str">
        <x:f>IF($A197="","",N($M197)+N($N197))</x:f>
      </x:c>
      <x:c r="P197" t="str">
        <x:f>IF($A197="","",IF(AND(N($M197)&gt;0,N($N197)&gt;0),"Mixed",IF(N($M197)&gt;0,"Zakat",IF(N($N197)&gt;0,"Sadaqah",""))))</x:f>
      </x:c>
      <x:c r="R197" t="str">
        <x:f>IF($A197="","",IFS($O197&lt;5000,"Under ₹5,000",$O197&lt;=10000,"₹5,000–₹10,000",$O197&lt;=15000,"₹10,000–₹15,000",$O197&lt;=25000,"₹15,000–₹25,000",$O197&lt;=50000,"₹25,000–₹50,000",TRUE,"₹50,000+"))</x:f>
      </x:c>
    </x:row>
    <x:row r="198">
      <x:c r="G198" t="str">
        <x:f>IF($A198="","",IF($F198="Dec 2025-Apr 2026",2026045,YEAR($H198)*100+MONTH($H198)))</x:f>
      </x:c>
      <x:c r="O198" t="str">
        <x:f>IF($A198="","",N($M198)+N($N198))</x:f>
      </x:c>
      <x:c r="P198" t="str">
        <x:f>IF($A198="","",IF(AND(N($M198)&gt;0,N($N198)&gt;0),"Mixed",IF(N($M198)&gt;0,"Zakat",IF(N($N198)&gt;0,"Sadaqah",""))))</x:f>
      </x:c>
      <x:c r="R198" t="str">
        <x:f>IF($A198="","",IFS($O198&lt;5000,"Under ₹5,000",$O198&lt;=10000,"₹5,000–₹10,000",$O198&lt;=15000,"₹10,000–₹15,000",$O198&lt;=25000,"₹15,000–₹25,000",$O198&lt;=50000,"₹25,000–₹50,000",TRUE,"₹50,000+"))</x:f>
      </x:c>
    </x:row>
    <x:row r="199">
      <x:c r="G199" t="str">
        <x:f>IF($A199="","",IF($F199="Dec 2025-Apr 2026",2026045,YEAR($H199)*100+MONTH($H199)))</x:f>
      </x:c>
      <x:c r="O199" t="str">
        <x:f>IF($A199="","",N($M199)+N($N199))</x:f>
      </x:c>
      <x:c r="P199" t="str">
        <x:f>IF($A199="","",IF(AND(N($M199)&gt;0,N($N199)&gt;0),"Mixed",IF(N($M199)&gt;0,"Zakat",IF(N($N199)&gt;0,"Sadaqah",""))))</x:f>
      </x:c>
      <x:c r="R199" t="str">
        <x:f>IF($A199="","",IFS($O199&lt;5000,"Under ₹5,000",$O199&lt;=10000,"₹5,000–₹10,000",$O199&lt;=15000,"₹10,000–₹15,000",$O199&lt;=25000,"₹15,000–₹25,000",$O199&lt;=50000,"₹25,000–₹50,000",TRUE,"₹50,000+"))</x:f>
      </x:c>
    </x:row>
    <x:row r="200">
      <x:c r="G200" t="str">
        <x:f>IF($A200="","",IF($F200="Dec 2025-Apr 2026",2026045,YEAR($H200)*100+MONTH($H200)))</x:f>
      </x:c>
      <x:c r="O200" t="str">
        <x:f>IF($A200="","",N($M200)+N($N200))</x:f>
      </x:c>
      <x:c r="P200" t="str">
        <x:f>IF($A200="","",IF(AND(N($M200)&gt;0,N($N200)&gt;0),"Mixed",IF(N($M200)&gt;0,"Zakat",IF(N($N200)&gt;0,"Sadaqah",""))))</x:f>
      </x:c>
      <x:c r="R200" t="str">
        <x:f>IF($A200="","",IFS($O200&lt;5000,"Under ₹5,000",$O200&lt;=10000,"₹5,000–₹10,000",$O200&lt;=15000,"₹10,000–₹15,000",$O200&lt;=25000,"₹15,000–₹25,000",$O200&lt;=50000,"₹25,000–₹50,000",TRUE,"₹50,000+"))</x:f>
      </x:c>
    </x:row>
    <x:row r="201">
      <x:c r="G201" t="str">
        <x:f>IF($A201="","",IF($F201="Dec 2025-Apr 2026",2026045,YEAR($H201)*100+MONTH($H201)))</x:f>
      </x:c>
      <x:c r="O201" t="str">
        <x:f>IF($A201="","",N($M201)+N($N201))</x:f>
      </x:c>
      <x:c r="P201" t="str">
        <x:f>IF($A201="","",IF(AND(N($M201)&gt;0,N($N201)&gt;0),"Mixed",IF(N($M201)&gt;0,"Zakat",IF(N($N201)&gt;0,"Sadaqah",""))))</x:f>
      </x:c>
      <x:c r="R201" t="str">
        <x:f>IF($A201="","",IFS($O201&lt;5000,"Under ₹5,000",$O201&lt;=10000,"₹5,000–₹10,000",$O201&lt;=15000,"₹10,000–₹15,000",$O201&lt;=25000,"₹15,000–₹25,000",$O201&lt;=50000,"₹25,000–₹50,000",TRUE,"₹50,000+"))</x:f>
      </x:c>
    </x:row>
    <x:row r="202">
      <x:c r="G202" t="str">
        <x:f>IF($A202="","",IF($F202="Dec 2025-Apr 2026",2026045,YEAR($H202)*100+MONTH($H202)))</x:f>
      </x:c>
      <x:c r="O202" t="str">
        <x:f>IF($A202="","",N($M202)+N($N202))</x:f>
      </x:c>
      <x:c r="P202" t="str">
        <x:f>IF($A202="","",IF(AND(N($M202)&gt;0,N($N202)&gt;0),"Mixed",IF(N($M202)&gt;0,"Zakat",IF(N($N202)&gt;0,"Sadaqah",""))))</x:f>
      </x:c>
      <x:c r="R202" t="str">
        <x:f>IF($A202="","",IFS($O202&lt;5000,"Under ₹5,000",$O202&lt;=10000,"₹5,000–₹10,000",$O202&lt;=15000,"₹10,000–₹15,000",$O202&lt;=25000,"₹15,000–₹25,000",$O202&lt;=50000,"₹25,000–₹50,000",TRUE,"₹50,000+"))</x:f>
      </x:c>
    </x:row>
    <x:row r="203">
      <x:c r="G203" t="str">
        <x:f>IF($A203="","",IF($F203="Dec 2025-Apr 2026",2026045,YEAR($H203)*100+MONTH($H203)))</x:f>
      </x:c>
      <x:c r="O203" t="str">
        <x:f>IF($A203="","",N($M203)+N($N203))</x:f>
      </x:c>
      <x:c r="P203" t="str">
        <x:f>IF($A203="","",IF(AND(N($M203)&gt;0,N($N203)&gt;0),"Mixed",IF(N($M203)&gt;0,"Zakat",IF(N($N203)&gt;0,"Sadaqah",""))))</x:f>
      </x:c>
      <x:c r="R203" t="str">
        <x:f>IF($A203="","",IFS($O203&lt;5000,"Under ₹5,000",$O203&lt;=10000,"₹5,000–₹10,000",$O203&lt;=15000,"₹10,000–₹15,000",$O203&lt;=25000,"₹15,000–₹25,000",$O203&lt;=50000,"₹25,000–₹50,000",TRUE,"₹50,000+"))</x:f>
      </x:c>
    </x:row>
    <x:row r="204">
      <x:c r="G204" t="str">
        <x:f>IF($A204="","",IF($F204="Dec 2025-Apr 2026",2026045,YEAR($H204)*100+MONTH($H204)))</x:f>
      </x:c>
      <x:c r="O204" t="str">
        <x:f>IF($A204="","",N($M204)+N($N204))</x:f>
      </x:c>
      <x:c r="P204" t="str">
        <x:f>IF($A204="","",IF(AND(N($M204)&gt;0,N($N204)&gt;0),"Mixed",IF(N($M204)&gt;0,"Zakat",IF(N($N204)&gt;0,"Sadaqah",""))))</x:f>
      </x:c>
      <x:c r="R204" t="str">
        <x:f>IF($A204="","",IFS($O204&lt;5000,"Under ₹5,000",$O204&lt;=10000,"₹5,000–₹10,000",$O204&lt;=15000,"₹10,000–₹15,000",$O204&lt;=25000,"₹15,000–₹25,000",$O204&lt;=50000,"₹25,000–₹50,000",TRUE,"₹50,000+"))</x:f>
      </x:c>
    </x:row>
    <x:row r="205">
      <x:c r="G205" t="str">
        <x:f>IF($A205="","",IF($F205="Dec 2025-Apr 2026",2026045,YEAR($H205)*100+MONTH($H205)))</x:f>
      </x:c>
      <x:c r="O205" t="str">
        <x:f>IF($A205="","",N($M205)+N($N205))</x:f>
      </x:c>
      <x:c r="P205" t="str">
        <x:f>IF($A205="","",IF(AND(N($M205)&gt;0,N($N205)&gt;0),"Mixed",IF(N($M205)&gt;0,"Zakat",IF(N($N205)&gt;0,"Sadaqah",""))))</x:f>
      </x:c>
      <x:c r="R205" t="str">
        <x:f>IF($A205="","",IFS($O205&lt;5000,"Under ₹5,000",$O205&lt;=10000,"₹5,000–₹10,000",$O205&lt;=15000,"₹10,000–₹15,000",$O205&lt;=25000,"₹15,000–₹25,000",$O205&lt;=50000,"₹25,000–₹50,000",TRUE,"₹50,000+"))</x:f>
      </x:c>
    </x:row>
    <x:row r="206">
      <x:c r="G206" t="str">
        <x:f>IF($A206="","",IF($F206="Dec 2025-Apr 2026",2026045,YEAR($H206)*100+MONTH($H206)))</x:f>
      </x:c>
      <x:c r="O206" t="str">
        <x:f>IF($A206="","",N($M206)+N($N206))</x:f>
      </x:c>
      <x:c r="P206" t="str">
        <x:f>IF($A206="","",IF(AND(N($M206)&gt;0,N($N206)&gt;0),"Mixed",IF(N($M206)&gt;0,"Zakat",IF(N($N206)&gt;0,"Sadaqah",""))))</x:f>
      </x:c>
      <x:c r="R206" t="str">
        <x:f>IF($A206="","",IFS($O206&lt;5000,"Under ₹5,000",$O206&lt;=10000,"₹5,000–₹10,000",$O206&lt;=15000,"₹10,000–₹15,000",$O206&lt;=25000,"₹15,000–₹25,000",$O206&lt;=50000,"₹25,000–₹50,000",TRUE,"₹50,000+"))</x:f>
      </x:c>
    </x:row>
    <x:row r="207">
      <x:c r="G207" t="str">
        <x:f>IF($A207="","",IF($F207="Dec 2025-Apr 2026",2026045,YEAR($H207)*100+MONTH($H207)))</x:f>
      </x:c>
      <x:c r="O207" t="str">
        <x:f>IF($A207="","",N($M207)+N($N207))</x:f>
      </x:c>
      <x:c r="P207" t="str">
        <x:f>IF($A207="","",IF(AND(N($M207)&gt;0,N($N207)&gt;0),"Mixed",IF(N($M207)&gt;0,"Zakat",IF(N($N207)&gt;0,"Sadaqah",""))))</x:f>
      </x:c>
      <x:c r="R207" t="str">
        <x:f>IF($A207="","",IFS($O207&lt;5000,"Under ₹5,000",$O207&lt;=10000,"₹5,000–₹10,000",$O207&lt;=15000,"₹10,000–₹15,000",$O207&lt;=25000,"₹15,000–₹25,000",$O207&lt;=50000,"₹25,000–₹50,000",TRUE,"₹50,000+"))</x:f>
      </x:c>
    </x:row>
    <x:row r="208">
      <x:c r="G208" t="str">
        <x:f>IF($A208="","",IF($F208="Dec 2025-Apr 2026",2026045,YEAR($H208)*100+MONTH($H208)))</x:f>
      </x:c>
      <x:c r="O208" t="str">
        <x:f>IF($A208="","",N($M208)+N($N208))</x:f>
      </x:c>
      <x:c r="P208" t="str">
        <x:f>IF($A208="","",IF(AND(N($M208)&gt;0,N($N208)&gt;0),"Mixed",IF(N($M208)&gt;0,"Zakat",IF(N($N208)&gt;0,"Sadaqah",""))))</x:f>
      </x:c>
      <x:c r="R208" t="str">
        <x:f>IF($A208="","",IFS($O208&lt;5000,"Under ₹5,000",$O208&lt;=10000,"₹5,000–₹10,000",$O208&lt;=15000,"₹10,000–₹15,000",$O208&lt;=25000,"₹15,000–₹25,000",$O208&lt;=50000,"₹25,000–₹50,000",TRUE,"₹50,000+"))</x:f>
      </x:c>
    </x:row>
    <x:row r="209">
      <x:c r="G209" t="str">
        <x:f>IF($A209="","",IF($F209="Dec 2025-Apr 2026",2026045,YEAR($H209)*100+MONTH($H209)))</x:f>
      </x:c>
      <x:c r="O209" t="str">
        <x:f>IF($A209="","",N($M209)+N($N209))</x:f>
      </x:c>
      <x:c r="P209" t="str">
        <x:f>IF($A209="","",IF(AND(N($M209)&gt;0,N($N209)&gt;0),"Mixed",IF(N($M209)&gt;0,"Zakat",IF(N($N209)&gt;0,"Sadaqah",""))))</x:f>
      </x:c>
      <x:c r="R209" t="str">
        <x:f>IF($A209="","",IFS($O209&lt;5000,"Under ₹5,000",$O209&lt;=10000,"₹5,000–₹10,000",$O209&lt;=15000,"₹10,000–₹15,000",$O209&lt;=25000,"₹15,000–₹25,000",$O209&lt;=50000,"₹25,000–₹50,000",TRUE,"₹50,000+"))</x:f>
      </x:c>
    </x:row>
    <x:row r="210">
      <x:c r="G210" t="str">
        <x:f>IF($A210="","",IF($F210="Dec 2025-Apr 2026",2026045,YEAR($H210)*100+MONTH($H210)))</x:f>
      </x:c>
      <x:c r="O210" t="str">
        <x:f>IF($A210="","",N($M210)+N($N210))</x:f>
      </x:c>
      <x:c r="P210" t="str">
        <x:f>IF($A210="","",IF(AND(N($M210)&gt;0,N($N210)&gt;0),"Mixed",IF(N($M210)&gt;0,"Zakat",IF(N($N210)&gt;0,"Sadaqah",""))))</x:f>
      </x:c>
      <x:c r="R210" t="str">
        <x:f>IF($A210="","",IFS($O210&lt;5000,"Under ₹5,000",$O210&lt;=10000,"₹5,000–₹10,000",$O210&lt;=15000,"₹10,000–₹15,000",$O210&lt;=25000,"₹15,000–₹25,000",$O210&lt;=50000,"₹25,000–₹50,000",TRUE,"₹50,000+"))</x:f>
      </x:c>
    </x:row>
    <x:row r="211">
      <x:c r="G211" t="str">
        <x:f>IF($A211="","",IF($F211="Dec 2025-Apr 2026",2026045,YEAR($H211)*100+MONTH($H211)))</x:f>
      </x:c>
      <x:c r="O211" t="str">
        <x:f>IF($A211="","",N($M211)+N($N211))</x:f>
      </x:c>
      <x:c r="P211" t="str">
        <x:f>IF($A211="","",IF(AND(N($M211)&gt;0,N($N211)&gt;0),"Mixed",IF(N($M211)&gt;0,"Zakat",IF(N($N211)&gt;0,"Sadaqah",""))))</x:f>
      </x:c>
      <x:c r="R211" t="str">
        <x:f>IF($A211="","",IFS($O211&lt;5000,"Under ₹5,000",$O211&lt;=10000,"₹5,000–₹10,000",$O211&lt;=15000,"₹10,000–₹15,000",$O211&lt;=25000,"₹15,000–₹25,000",$O211&lt;=50000,"₹25,000–₹50,000",TRUE,"₹50,000+"))</x:f>
      </x:c>
    </x:row>
    <x:row r="212">
      <x:c r="G212" t="str">
        <x:f>IF($A212="","",IF($F212="Dec 2025-Apr 2026",2026045,YEAR($H212)*100+MONTH($H212)))</x:f>
      </x:c>
      <x:c r="O212" t="str">
        <x:f>IF($A212="","",N($M212)+N($N212))</x:f>
      </x:c>
      <x:c r="P212" t="str">
        <x:f>IF($A212="","",IF(AND(N($M212)&gt;0,N($N212)&gt;0),"Mixed",IF(N($M212)&gt;0,"Zakat",IF(N($N212)&gt;0,"Sadaqah",""))))</x:f>
      </x:c>
      <x:c r="R212" t="str">
        <x:f>IF($A212="","",IFS($O212&lt;5000,"Under ₹5,000",$O212&lt;=10000,"₹5,000–₹10,000",$O212&lt;=15000,"₹10,000–₹15,000",$O212&lt;=25000,"₹15,000–₹25,000",$O212&lt;=50000,"₹25,000–₹50,000",TRUE,"₹50,000+"))</x:f>
      </x:c>
    </x:row>
    <x:row r="213">
      <x:c r="G213" t="str">
        <x:f>IF($A213="","",IF($F213="Dec 2025-Apr 2026",2026045,YEAR($H213)*100+MONTH($H213)))</x:f>
      </x:c>
      <x:c r="O213" t="str">
        <x:f>IF($A213="","",N($M213)+N($N213))</x:f>
      </x:c>
      <x:c r="P213" t="str">
        <x:f>IF($A213="","",IF(AND(N($M213)&gt;0,N($N213)&gt;0),"Mixed",IF(N($M213)&gt;0,"Zakat",IF(N($N213)&gt;0,"Sadaqah",""))))</x:f>
      </x:c>
      <x:c r="R213" t="str">
        <x:f>IF($A213="","",IFS($O213&lt;5000,"Under ₹5,000",$O213&lt;=10000,"₹5,000–₹10,000",$O213&lt;=15000,"₹10,000–₹15,000",$O213&lt;=25000,"₹15,000–₹25,000",$O213&lt;=50000,"₹25,000–₹50,000",TRUE,"₹50,000+"))</x:f>
      </x:c>
    </x:row>
    <x:row r="214">
      <x:c r="G214" t="str">
        <x:f>IF($A214="","",IF($F214="Dec 2025-Apr 2026",2026045,YEAR($H214)*100+MONTH($H214)))</x:f>
      </x:c>
      <x:c r="O214" t="str">
        <x:f>IF($A214="","",N($M214)+N($N214))</x:f>
      </x:c>
      <x:c r="P214" t="str">
        <x:f>IF($A214="","",IF(AND(N($M214)&gt;0,N($N214)&gt;0),"Mixed",IF(N($M214)&gt;0,"Zakat",IF(N($N214)&gt;0,"Sadaqah",""))))</x:f>
      </x:c>
      <x:c r="R214" t="str">
        <x:f>IF($A214="","",IFS($O214&lt;5000,"Under ₹5,000",$O214&lt;=10000,"₹5,000–₹10,000",$O214&lt;=15000,"₹10,000–₹15,000",$O214&lt;=25000,"₹15,000–₹25,000",$O214&lt;=50000,"₹25,000–₹50,000",TRUE,"₹50,000+"))</x:f>
      </x:c>
    </x:row>
    <x:row r="215">
      <x:c r="G215" t="str">
        <x:f>IF($A215="","",IF($F215="Dec 2025-Apr 2026",2026045,YEAR($H215)*100+MONTH($H215)))</x:f>
      </x:c>
      <x:c r="O215" t="str">
        <x:f>IF($A215="","",N($M215)+N($N215))</x:f>
      </x:c>
      <x:c r="P215" t="str">
        <x:f>IF($A215="","",IF(AND(N($M215)&gt;0,N($N215)&gt;0),"Mixed",IF(N($M215)&gt;0,"Zakat",IF(N($N215)&gt;0,"Sadaqah",""))))</x:f>
      </x:c>
      <x:c r="R215" t="str">
        <x:f>IF($A215="","",IFS($O215&lt;5000,"Under ₹5,000",$O215&lt;=10000,"₹5,000–₹10,000",$O215&lt;=15000,"₹10,000–₹15,000",$O215&lt;=25000,"₹15,000–₹25,000",$O215&lt;=50000,"₹25,000–₹50,000",TRUE,"₹50,000+"))</x:f>
      </x:c>
    </x:row>
    <x:row r="216">
      <x:c r="G216" t="str">
        <x:f>IF($A216="","",IF($F216="Dec 2025-Apr 2026",2026045,YEAR($H216)*100+MONTH($H216)))</x:f>
      </x:c>
      <x:c r="O216" t="str">
        <x:f>IF($A216="","",N($M216)+N($N216))</x:f>
      </x:c>
      <x:c r="P216" t="str">
        <x:f>IF($A216="","",IF(AND(N($M216)&gt;0,N($N216)&gt;0),"Mixed",IF(N($M216)&gt;0,"Zakat",IF(N($N216)&gt;0,"Sadaqah",""))))</x:f>
      </x:c>
      <x:c r="R216" t="str">
        <x:f>IF($A216="","",IFS($O216&lt;5000,"Under ₹5,000",$O216&lt;=10000,"₹5,000–₹10,000",$O216&lt;=15000,"₹10,000–₹15,000",$O216&lt;=25000,"₹15,000–₹25,000",$O216&lt;=50000,"₹25,000–₹50,000",TRUE,"₹50,000+"))</x:f>
      </x:c>
    </x:row>
    <x:row r="217">
      <x:c r="G217" t="str">
        <x:f>IF($A217="","",IF($F217="Dec 2025-Apr 2026",2026045,YEAR($H217)*100+MONTH($H217)))</x:f>
      </x:c>
      <x:c r="O217" t="str">
        <x:f>IF($A217="","",N($M217)+N($N217))</x:f>
      </x:c>
      <x:c r="P217" t="str">
        <x:f>IF($A217="","",IF(AND(N($M217)&gt;0,N($N217)&gt;0),"Mixed",IF(N($M217)&gt;0,"Zakat",IF(N($N217)&gt;0,"Sadaqah",""))))</x:f>
      </x:c>
      <x:c r="R217" t="str">
        <x:f>IF($A217="","",IFS($O217&lt;5000,"Under ₹5,000",$O217&lt;=10000,"₹5,000–₹10,000",$O217&lt;=15000,"₹10,000–₹15,000",$O217&lt;=25000,"₹15,000–₹25,000",$O217&lt;=50000,"₹25,000–₹50,000",TRUE,"₹50,000+"))</x:f>
      </x:c>
    </x:row>
    <x:row r="218">
      <x:c r="G218" t="str">
        <x:f>IF($A218="","",IF($F218="Dec 2025-Apr 2026",2026045,YEAR($H218)*100+MONTH($H218)))</x:f>
      </x:c>
      <x:c r="O218" t="str">
        <x:f>IF($A218="","",N($M218)+N($N218))</x:f>
      </x:c>
      <x:c r="P218" t="str">
        <x:f>IF($A218="","",IF(AND(N($M218)&gt;0,N($N218)&gt;0),"Mixed",IF(N($M218)&gt;0,"Zakat",IF(N($N218)&gt;0,"Sadaqah",""))))</x:f>
      </x:c>
      <x:c r="R218" t="str">
        <x:f>IF($A218="","",IFS($O218&lt;5000,"Under ₹5,000",$O218&lt;=10000,"₹5,000–₹10,000",$O218&lt;=15000,"₹10,000–₹15,000",$O218&lt;=25000,"₹15,000–₹25,000",$O218&lt;=50000,"₹25,000–₹50,000",TRUE,"₹50,000+"))</x:f>
      </x:c>
    </x:row>
    <x:row r="219">
      <x:c r="G219" t="str">
        <x:f>IF($A219="","",IF($F219="Dec 2025-Apr 2026",2026045,YEAR($H219)*100+MONTH($H219)))</x:f>
      </x:c>
      <x:c r="O219" t="str">
        <x:f>IF($A219="","",N($M219)+N($N219))</x:f>
      </x:c>
      <x:c r="P219" t="str">
        <x:f>IF($A219="","",IF(AND(N($M219)&gt;0,N($N219)&gt;0),"Mixed",IF(N($M219)&gt;0,"Zakat",IF(N($N219)&gt;0,"Sadaqah",""))))</x:f>
      </x:c>
      <x:c r="R219" t="str">
        <x:f>IF($A219="","",IFS($O219&lt;5000,"Under ₹5,000",$O219&lt;=10000,"₹5,000–₹10,000",$O219&lt;=15000,"₹10,000–₹15,000",$O219&lt;=25000,"₹15,000–₹25,000",$O219&lt;=50000,"₹25,000–₹50,000",TRUE,"₹50,000+"))</x:f>
      </x:c>
    </x:row>
    <x:row r="220">
      <x:c r="G220" t="str">
        <x:f>IF($A220="","",IF($F220="Dec 2025-Apr 2026",2026045,YEAR($H220)*100+MONTH($H220)))</x:f>
      </x:c>
      <x:c r="O220" t="str">
        <x:f>IF($A220="","",N($M220)+N($N220))</x:f>
      </x:c>
      <x:c r="P220" t="str">
        <x:f>IF($A220="","",IF(AND(N($M220)&gt;0,N($N220)&gt;0),"Mixed",IF(N($M220)&gt;0,"Zakat",IF(N($N220)&gt;0,"Sadaqah",""))))</x:f>
      </x:c>
      <x:c r="R220" t="str">
        <x:f>IF($A220="","",IFS($O220&lt;5000,"Under ₹5,000",$O220&lt;=10000,"₹5,000–₹10,000",$O220&lt;=15000,"₹10,000–₹15,000",$O220&lt;=25000,"₹15,000–₹25,000",$O220&lt;=50000,"₹25,000–₹50,000",TRUE,"₹50,000+"))</x:f>
      </x:c>
    </x:row>
    <x:row r="221">
      <x:c r="G221" t="str">
        <x:f>IF($A221="","",IF($F221="Dec 2025-Apr 2026",2026045,YEAR($H221)*100+MONTH($H221)))</x:f>
      </x:c>
      <x:c r="O221" t="str">
        <x:f>IF($A221="","",N($M221)+N($N221))</x:f>
      </x:c>
      <x:c r="P221" t="str">
        <x:f>IF($A221="","",IF(AND(N($M221)&gt;0,N($N221)&gt;0),"Mixed",IF(N($M221)&gt;0,"Zakat",IF(N($N221)&gt;0,"Sadaqah",""))))</x:f>
      </x:c>
      <x:c r="R221" t="str">
        <x:f>IF($A221="","",IFS($O221&lt;5000,"Under ₹5,000",$O221&lt;=10000,"₹5,000–₹10,000",$O221&lt;=15000,"₹10,000–₹15,000",$O221&lt;=25000,"₹15,000–₹25,000",$O221&lt;=50000,"₹25,000–₹50,000",TRUE,"₹50,000+"))</x:f>
      </x:c>
    </x:row>
    <x:row r="222">
      <x:c r="G222" t="str">
        <x:f>IF($A222="","",IF($F222="Dec 2025-Apr 2026",2026045,YEAR($H222)*100+MONTH($H222)))</x:f>
      </x:c>
      <x:c r="O222" t="str">
        <x:f>IF($A222="","",N($M222)+N($N222))</x:f>
      </x:c>
      <x:c r="P222" t="str">
        <x:f>IF($A222="","",IF(AND(N($M222)&gt;0,N($N222)&gt;0),"Mixed",IF(N($M222)&gt;0,"Zakat",IF(N($N222)&gt;0,"Sadaqah",""))))</x:f>
      </x:c>
      <x:c r="R222" t="str">
        <x:f>IF($A222="","",IFS($O222&lt;5000,"Under ₹5,000",$O222&lt;=10000,"₹5,000–₹10,000",$O222&lt;=15000,"₹10,000–₹15,000",$O222&lt;=25000,"₹15,000–₹25,000",$O222&lt;=50000,"₹25,000–₹50,000",TRUE,"₹50,000+"))</x:f>
      </x:c>
    </x:row>
    <x:row r="223">
      <x:c r="G223" t="str">
        <x:f>IF($A223="","",IF($F223="Dec 2025-Apr 2026",2026045,YEAR($H223)*100+MONTH($H223)))</x:f>
      </x:c>
      <x:c r="O223" t="str">
        <x:f>IF($A223="","",N($M223)+N($N223))</x:f>
      </x:c>
      <x:c r="P223" t="str">
        <x:f>IF($A223="","",IF(AND(N($M223)&gt;0,N($N223)&gt;0),"Mixed",IF(N($M223)&gt;0,"Zakat",IF(N($N223)&gt;0,"Sadaqah",""))))</x:f>
      </x:c>
      <x:c r="R223" t="str">
        <x:f>IF($A223="","",IFS($O223&lt;5000,"Under ₹5,000",$O223&lt;=10000,"₹5,000–₹10,000",$O223&lt;=15000,"₹10,000–₹15,000",$O223&lt;=25000,"₹15,000–₹25,000",$O223&lt;=50000,"₹25,000–₹50,000",TRUE,"₹50,000+"))</x:f>
      </x:c>
    </x:row>
    <x:row r="224">
      <x:c r="G224" t="str">
        <x:f>IF($A224="","",IF($F224="Dec 2025-Apr 2026",2026045,YEAR($H224)*100+MONTH($H224)))</x:f>
      </x:c>
      <x:c r="O224" t="str">
        <x:f>IF($A224="","",N($M224)+N($N224))</x:f>
      </x:c>
      <x:c r="P224" t="str">
        <x:f>IF($A224="","",IF(AND(N($M224)&gt;0,N($N224)&gt;0),"Mixed",IF(N($M224)&gt;0,"Zakat",IF(N($N224)&gt;0,"Sadaqah",""))))</x:f>
      </x:c>
      <x:c r="R224" t="str">
        <x:f>IF($A224="","",IFS($O224&lt;5000,"Under ₹5,000",$O224&lt;=10000,"₹5,000–₹10,000",$O224&lt;=15000,"₹10,000–₹15,000",$O224&lt;=25000,"₹15,000–₹25,000",$O224&lt;=50000,"₹25,000–₹50,000",TRUE,"₹50,000+"))</x:f>
      </x:c>
    </x:row>
    <x:row r="225">
      <x:c r="G225" t="str">
        <x:f>IF($A225="","",IF($F225="Dec 2025-Apr 2026",2026045,YEAR($H225)*100+MONTH($H225)))</x:f>
      </x:c>
      <x:c r="O225" t="str">
        <x:f>IF($A225="","",N($M225)+N($N225))</x:f>
      </x:c>
      <x:c r="P225" t="str">
        <x:f>IF($A225="","",IF(AND(N($M225)&gt;0,N($N225)&gt;0),"Mixed",IF(N($M225)&gt;0,"Zakat",IF(N($N225)&gt;0,"Sadaqah",""))))</x:f>
      </x:c>
      <x:c r="R225" t="str">
        <x:f>IF($A225="","",IFS($O225&lt;5000,"Under ₹5,000",$O225&lt;=10000,"₹5,000–₹10,000",$O225&lt;=15000,"₹10,000–₹15,000",$O225&lt;=25000,"₹15,000–₹25,000",$O225&lt;=50000,"₹25,000–₹50,000",TRUE,"₹50,000+"))</x:f>
      </x:c>
    </x:row>
    <x:row r="226">
      <x:c r="G226" t="str">
        <x:f>IF($A226="","",IF($F226="Dec 2025-Apr 2026",2026045,YEAR($H226)*100+MONTH($H226)))</x:f>
      </x:c>
      <x:c r="O226" t="str">
        <x:f>IF($A226="","",N($M226)+N($N226))</x:f>
      </x:c>
      <x:c r="P226" t="str">
        <x:f>IF($A226="","",IF(AND(N($M226)&gt;0,N($N226)&gt;0),"Mixed",IF(N($M226)&gt;0,"Zakat",IF(N($N226)&gt;0,"Sadaqah",""))))</x:f>
      </x:c>
      <x:c r="R226" t="str">
        <x:f>IF($A226="","",IFS($O226&lt;5000,"Under ₹5,000",$O226&lt;=10000,"₹5,000–₹10,000",$O226&lt;=15000,"₹10,000–₹15,000",$O226&lt;=25000,"₹15,000–₹25,000",$O226&lt;=50000,"₹25,000–₹50,000",TRUE,"₹50,000+"))</x:f>
      </x:c>
    </x:row>
    <x:row r="227">
      <x:c r="G227" t="str">
        <x:f>IF($A227="","",IF($F227="Dec 2025-Apr 2026",2026045,YEAR($H227)*100+MONTH($H227)))</x:f>
      </x:c>
      <x:c r="O227" t="str">
        <x:f>IF($A227="","",N($M227)+N($N227))</x:f>
      </x:c>
      <x:c r="P227" t="str">
        <x:f>IF($A227="","",IF(AND(N($M227)&gt;0,N($N227)&gt;0),"Mixed",IF(N($M227)&gt;0,"Zakat",IF(N($N227)&gt;0,"Sadaqah",""))))</x:f>
      </x:c>
      <x:c r="R227" t="str">
        <x:f>IF($A227="","",IFS($O227&lt;5000,"Under ₹5,000",$O227&lt;=10000,"₹5,000–₹10,000",$O227&lt;=15000,"₹10,000–₹15,000",$O227&lt;=25000,"₹15,000–₹25,000",$O227&lt;=50000,"₹25,000–₹50,000",TRUE,"₹50,000+"))</x:f>
      </x:c>
    </x:row>
    <x:row r="228">
      <x:c r="G228" t="str">
        <x:f>IF($A228="","",IF($F228="Dec 2025-Apr 2026",2026045,YEAR($H228)*100+MONTH($H228)))</x:f>
      </x:c>
      <x:c r="O228" t="str">
        <x:f>IF($A228="","",N($M228)+N($N228))</x:f>
      </x:c>
      <x:c r="P228" t="str">
        <x:f>IF($A228="","",IF(AND(N($M228)&gt;0,N($N228)&gt;0),"Mixed",IF(N($M228)&gt;0,"Zakat",IF(N($N228)&gt;0,"Sadaqah",""))))</x:f>
      </x:c>
      <x:c r="R228" t="str">
        <x:f>IF($A228="","",IFS($O228&lt;5000,"Under ₹5,000",$O228&lt;=10000,"₹5,000–₹10,000",$O228&lt;=15000,"₹10,000–₹15,000",$O228&lt;=25000,"₹15,000–₹25,000",$O228&lt;=50000,"₹25,000–₹50,000",TRUE,"₹50,000+"))</x:f>
      </x:c>
    </x:row>
    <x:row r="229">
      <x:c r="G229" t="str">
        <x:f>IF($A229="","",IF($F229="Dec 2025-Apr 2026",2026045,YEAR($H229)*100+MONTH($H229)))</x:f>
      </x:c>
      <x:c r="O229" t="str">
        <x:f>IF($A229="","",N($M229)+N($N229))</x:f>
      </x:c>
      <x:c r="P229" t="str">
        <x:f>IF($A229="","",IF(AND(N($M229)&gt;0,N($N229)&gt;0),"Mixed",IF(N($M229)&gt;0,"Zakat",IF(N($N229)&gt;0,"Sadaqah",""))))</x:f>
      </x:c>
      <x:c r="R229" t="str">
        <x:f>IF($A229="","",IFS($O229&lt;5000,"Under ₹5,000",$O229&lt;=10000,"₹5,000–₹10,000",$O229&lt;=15000,"₹10,000–₹15,000",$O229&lt;=25000,"₹15,000–₹25,000",$O229&lt;=50000,"₹25,000–₹50,000",TRUE,"₹50,000+"))</x:f>
      </x:c>
    </x:row>
    <x:row r="230">
      <x:c r="G230" t="str">
        <x:f>IF($A230="","",IF($F230="Dec 2025-Apr 2026",2026045,YEAR($H230)*100+MONTH($H230)))</x:f>
      </x:c>
      <x:c r="O230" t="str">
        <x:f>IF($A230="","",N($M230)+N($N230))</x:f>
      </x:c>
      <x:c r="P230" t="str">
        <x:f>IF($A230="","",IF(AND(N($M230)&gt;0,N($N230)&gt;0),"Mixed",IF(N($M230)&gt;0,"Zakat",IF(N($N230)&gt;0,"Sadaqah",""))))</x:f>
      </x:c>
      <x:c r="R230" t="str">
        <x:f>IF($A230="","",IFS($O230&lt;5000,"Under ₹5,000",$O230&lt;=10000,"₹5,000–₹10,000",$O230&lt;=15000,"₹10,000–₹15,000",$O230&lt;=25000,"₹15,000–₹25,000",$O230&lt;=50000,"₹25,000–₹50,000",TRUE,"₹50,000+"))</x:f>
      </x:c>
    </x:row>
    <x:row r="231">
      <x:c r="G231" t="str">
        <x:f>IF($A231="","",IF($F231="Dec 2025-Apr 2026",2026045,YEAR($H231)*100+MONTH($H231)))</x:f>
      </x:c>
      <x:c r="O231" t="str">
        <x:f>IF($A231="","",N($M231)+N($N231))</x:f>
      </x:c>
      <x:c r="P231" t="str">
        <x:f>IF($A231="","",IF(AND(N($M231)&gt;0,N($N231)&gt;0),"Mixed",IF(N($M231)&gt;0,"Zakat",IF(N($N231)&gt;0,"Sadaqah",""))))</x:f>
      </x:c>
      <x:c r="R231" t="str">
        <x:f>IF($A231="","",IFS($O231&lt;5000,"Under ₹5,000",$O231&lt;=10000,"₹5,000–₹10,000",$O231&lt;=15000,"₹10,000–₹15,000",$O231&lt;=25000,"₹15,000–₹25,000",$O231&lt;=50000,"₹25,000–₹50,000",TRUE,"₹50,000+"))</x:f>
      </x:c>
    </x:row>
    <x:row r="232">
      <x:c r="G232" t="str">
        <x:f>IF($A232="","",IF($F232="Dec 2025-Apr 2026",2026045,YEAR($H232)*100+MONTH($H232)))</x:f>
      </x:c>
      <x:c r="O232" t="str">
        <x:f>IF($A232="","",N($M232)+N($N232))</x:f>
      </x:c>
      <x:c r="P232" t="str">
        <x:f>IF($A232="","",IF(AND(N($M232)&gt;0,N($N232)&gt;0),"Mixed",IF(N($M232)&gt;0,"Zakat",IF(N($N232)&gt;0,"Sadaqah",""))))</x:f>
      </x:c>
      <x:c r="R232" t="str">
        <x:f>IF($A232="","",IFS($O232&lt;5000,"Under ₹5,000",$O232&lt;=10000,"₹5,000–₹10,000",$O232&lt;=15000,"₹10,000–₹15,000",$O232&lt;=25000,"₹15,000–₹25,000",$O232&lt;=50000,"₹25,000–₹50,000",TRUE,"₹50,000+"))</x:f>
      </x:c>
    </x:row>
    <x:row r="233">
      <x:c r="G233" t="str">
        <x:f>IF($A233="","",IF($F233="Dec 2025-Apr 2026",2026045,YEAR($H233)*100+MONTH($H233)))</x:f>
      </x:c>
      <x:c r="O233" t="str">
        <x:f>IF($A233="","",N($M233)+N($N233))</x:f>
      </x:c>
      <x:c r="P233" t="str">
        <x:f>IF($A233="","",IF(AND(N($M233)&gt;0,N($N233)&gt;0),"Mixed",IF(N($M233)&gt;0,"Zakat",IF(N($N233)&gt;0,"Sadaqah",""))))</x:f>
      </x:c>
      <x:c r="R233" t="str">
        <x:f>IF($A233="","",IFS($O233&lt;5000,"Under ₹5,000",$O233&lt;=10000,"₹5,000–₹10,000",$O233&lt;=15000,"₹10,000–₹15,000",$O233&lt;=25000,"₹15,000–₹25,000",$O233&lt;=50000,"₹25,000–₹50,000",TRUE,"₹50,000+"))</x:f>
      </x:c>
    </x:row>
    <x:row r="234">
      <x:c r="G234" t="str">
        <x:f>IF($A234="","",IF($F234="Dec 2025-Apr 2026",2026045,YEAR($H234)*100+MONTH($H234)))</x:f>
      </x:c>
      <x:c r="O234" t="str">
        <x:f>IF($A234="","",N($M234)+N($N234))</x:f>
      </x:c>
      <x:c r="P234" t="str">
        <x:f>IF($A234="","",IF(AND(N($M234)&gt;0,N($N234)&gt;0),"Mixed",IF(N($M234)&gt;0,"Zakat",IF(N($N234)&gt;0,"Sadaqah",""))))</x:f>
      </x:c>
      <x:c r="R234" t="str">
        <x:f>IF($A234="","",IFS($O234&lt;5000,"Under ₹5,000",$O234&lt;=10000,"₹5,000–₹10,000",$O234&lt;=15000,"₹10,000–₹15,000",$O234&lt;=25000,"₹15,000–₹25,000",$O234&lt;=50000,"₹25,000–₹50,000",TRUE,"₹50,000+"))</x:f>
      </x:c>
    </x:row>
    <x:row r="235">
      <x:c r="G235" t="str">
        <x:f>IF($A235="","",IF($F235="Dec 2025-Apr 2026",2026045,YEAR($H235)*100+MONTH($H235)))</x:f>
      </x:c>
      <x:c r="O235" t="str">
        <x:f>IF($A235="","",N($M235)+N($N235))</x:f>
      </x:c>
      <x:c r="P235" t="str">
        <x:f>IF($A235="","",IF(AND(N($M235)&gt;0,N($N235)&gt;0),"Mixed",IF(N($M235)&gt;0,"Zakat",IF(N($N235)&gt;0,"Sadaqah",""))))</x:f>
      </x:c>
      <x:c r="R235" t="str">
        <x:f>IF($A235="","",IFS($O235&lt;5000,"Under ₹5,000",$O235&lt;=10000,"₹5,000–₹10,000",$O235&lt;=15000,"₹10,000–₹15,000",$O235&lt;=25000,"₹15,000–₹25,000",$O235&lt;=50000,"₹25,000–₹50,000",TRUE,"₹50,000+"))</x:f>
      </x:c>
    </x:row>
    <x:row r="236">
      <x:c r="G236" t="str">
        <x:f>IF($A236="","",IF($F236="Dec 2025-Apr 2026",2026045,YEAR($H236)*100+MONTH($H236)))</x:f>
      </x:c>
      <x:c r="O236" t="str">
        <x:f>IF($A236="","",N($M236)+N($N236))</x:f>
      </x:c>
      <x:c r="P236" t="str">
        <x:f>IF($A236="","",IF(AND(N($M236)&gt;0,N($N236)&gt;0),"Mixed",IF(N($M236)&gt;0,"Zakat",IF(N($N236)&gt;0,"Sadaqah",""))))</x:f>
      </x:c>
      <x:c r="R236" t="str">
        <x:f>IF($A236="","",IFS($O236&lt;5000,"Under ₹5,000",$O236&lt;=10000,"₹5,000–₹10,000",$O236&lt;=15000,"₹10,000–₹15,000",$O236&lt;=25000,"₹15,000–₹25,000",$O236&lt;=50000,"₹25,000–₹50,000",TRUE,"₹50,000+"))</x:f>
      </x:c>
    </x:row>
    <x:row r="237">
      <x:c r="G237" t="str">
        <x:f>IF($A237="","",IF($F237="Dec 2025-Apr 2026",2026045,YEAR($H237)*100+MONTH($H237)))</x:f>
      </x:c>
      <x:c r="O237" t="str">
        <x:f>IF($A237="","",N($M237)+N($N237))</x:f>
      </x:c>
      <x:c r="P237" t="str">
        <x:f>IF($A237="","",IF(AND(N($M237)&gt;0,N($N237)&gt;0),"Mixed",IF(N($M237)&gt;0,"Zakat",IF(N($N237)&gt;0,"Sadaqah",""))))</x:f>
      </x:c>
      <x:c r="R237" t="str">
        <x:f>IF($A237="","",IFS($O237&lt;5000,"Under ₹5,000",$O237&lt;=10000,"₹5,000–₹10,000",$O237&lt;=15000,"₹10,000–₹15,000",$O237&lt;=25000,"₹15,000–₹25,000",$O237&lt;=50000,"₹25,000–₹50,000",TRUE,"₹50,000+"))</x:f>
      </x:c>
    </x:row>
    <x:row r="238">
      <x:c r="G238" t="str">
        <x:f>IF($A238="","",IF($F238="Dec 2025-Apr 2026",2026045,YEAR($H238)*100+MONTH($H238)))</x:f>
      </x:c>
      <x:c r="O238" t="str">
        <x:f>IF($A238="","",N($M238)+N($N238))</x:f>
      </x:c>
      <x:c r="P238" t="str">
        <x:f>IF($A238="","",IF(AND(N($M238)&gt;0,N($N238)&gt;0),"Mixed",IF(N($M238)&gt;0,"Zakat",IF(N($N238)&gt;0,"Sadaqah",""))))</x:f>
      </x:c>
      <x:c r="R238" t="str">
        <x:f>IF($A238="","",IFS($O238&lt;5000,"Under ₹5,000",$O238&lt;=10000,"₹5,000–₹10,000",$O238&lt;=15000,"₹10,000–₹15,000",$O238&lt;=25000,"₹15,000–₹25,000",$O238&lt;=50000,"₹25,000–₹50,000",TRUE,"₹50,000+"))</x:f>
      </x:c>
    </x:row>
    <x:row r="239">
      <x:c r="G239" t="str">
        <x:f>IF($A239="","",IF($F239="Dec 2025-Apr 2026",2026045,YEAR($H239)*100+MONTH($H239)))</x:f>
      </x:c>
      <x:c r="O239" t="str">
        <x:f>IF($A239="","",N($M239)+N($N239))</x:f>
      </x:c>
      <x:c r="P239" t="str">
        <x:f>IF($A239="","",IF(AND(N($M239)&gt;0,N($N239)&gt;0),"Mixed",IF(N($M239)&gt;0,"Zakat",IF(N($N239)&gt;0,"Sadaqah",""))))</x:f>
      </x:c>
      <x:c r="R239" t="str">
        <x:f>IF($A239="","",IFS($O239&lt;5000,"Under ₹5,000",$O239&lt;=10000,"₹5,000–₹10,000",$O239&lt;=15000,"₹10,000–₹15,000",$O239&lt;=25000,"₹15,000–₹25,000",$O239&lt;=50000,"₹25,000–₹50,000",TRUE,"₹50,000+"))</x:f>
      </x:c>
    </x:row>
    <x:row r="240">
      <x:c r="G240" t="str">
        <x:f>IF($A240="","",IF($F240="Dec 2025-Apr 2026",2026045,YEAR($H240)*100+MONTH($H240)))</x:f>
      </x:c>
      <x:c r="O240" t="str">
        <x:f>IF($A240="","",N($M240)+N($N240))</x:f>
      </x:c>
      <x:c r="P240" t="str">
        <x:f>IF($A240="","",IF(AND(N($M240)&gt;0,N($N240)&gt;0),"Mixed",IF(N($M240)&gt;0,"Zakat",IF(N($N240)&gt;0,"Sadaqah",""))))</x:f>
      </x:c>
      <x:c r="R240" t="str">
        <x:f>IF($A240="","",IFS($O240&lt;5000,"Under ₹5,000",$O240&lt;=10000,"₹5,000–₹10,000",$O240&lt;=15000,"₹10,000–₹15,000",$O240&lt;=25000,"₹15,000–₹25,000",$O240&lt;=50000,"₹25,000–₹50,000",TRUE,"₹50,000+"))</x:f>
      </x:c>
    </x:row>
    <x:row r="241">
      <x:c r="G241" t="str">
        <x:f>IF($A241="","",IF($F241="Dec 2025-Apr 2026",2026045,YEAR($H241)*100+MONTH($H241)))</x:f>
      </x:c>
      <x:c r="O241" t="str">
        <x:f>IF($A241="","",N($M241)+N($N241))</x:f>
      </x:c>
      <x:c r="P241" t="str">
        <x:f>IF($A241="","",IF(AND(N($M241)&gt;0,N($N241)&gt;0),"Mixed",IF(N($M241)&gt;0,"Zakat",IF(N($N241)&gt;0,"Sadaqah",""))))</x:f>
      </x:c>
      <x:c r="R241" t="str">
        <x:f>IF($A241="","",IFS($O241&lt;5000,"Under ₹5,000",$O241&lt;=10000,"₹5,000–₹10,000",$O241&lt;=15000,"₹10,000–₹15,000",$O241&lt;=25000,"₹15,000–₹25,000",$O241&lt;=50000,"₹25,000–₹50,000",TRUE,"₹50,000+"))</x:f>
      </x:c>
    </x:row>
    <x:row r="242">
      <x:c r="G242" t="str">
        <x:f>IF($A242="","",IF($F242="Dec 2025-Apr 2026",2026045,YEAR($H242)*100+MONTH($H242)))</x:f>
      </x:c>
      <x:c r="O242" t="str">
        <x:f>IF($A242="","",N($M242)+N($N242))</x:f>
      </x:c>
      <x:c r="P242" t="str">
        <x:f>IF($A242="","",IF(AND(N($M242)&gt;0,N($N242)&gt;0),"Mixed",IF(N($M242)&gt;0,"Zakat",IF(N($N242)&gt;0,"Sadaqah",""))))</x:f>
      </x:c>
      <x:c r="R242" t="str">
        <x:f>IF($A242="","",IFS($O242&lt;5000,"Under ₹5,000",$O242&lt;=10000,"₹5,000–₹10,000",$O242&lt;=15000,"₹10,000–₹15,000",$O242&lt;=25000,"₹15,000–₹25,000",$O242&lt;=50000,"₹25,000–₹50,000",TRUE,"₹50,000+"))</x:f>
      </x:c>
    </x:row>
    <x:row r="243">
      <x:c r="G243" t="str">
        <x:f>IF($A243="","",IF($F243="Dec 2025-Apr 2026",2026045,YEAR($H243)*100+MONTH($H243)))</x:f>
      </x:c>
      <x:c r="O243" t="str">
        <x:f>IF($A243="","",N($M243)+N($N243))</x:f>
      </x:c>
      <x:c r="P243" t="str">
        <x:f>IF($A243="","",IF(AND(N($M243)&gt;0,N($N243)&gt;0),"Mixed",IF(N($M243)&gt;0,"Zakat",IF(N($N243)&gt;0,"Sadaqah",""))))</x:f>
      </x:c>
      <x:c r="R243" t="str">
        <x:f>IF($A243="","",IFS($O243&lt;5000,"Under ₹5,000",$O243&lt;=10000,"₹5,000–₹10,000",$O243&lt;=15000,"₹10,000–₹15,000",$O243&lt;=25000,"₹15,000–₹25,000",$O243&lt;=50000,"₹25,000–₹50,000",TRUE,"₹50,000+"))</x:f>
      </x:c>
    </x:row>
    <x:row r="244">
      <x:c r="G244" t="str">
        <x:f>IF($A244="","",IF($F244="Dec 2025-Apr 2026",2026045,YEAR($H244)*100+MONTH($H244)))</x:f>
      </x:c>
      <x:c r="O244" t="str">
        <x:f>IF($A244="","",N($M244)+N($N244))</x:f>
      </x:c>
      <x:c r="P244" t="str">
        <x:f>IF($A244="","",IF(AND(N($M244)&gt;0,N($N244)&gt;0),"Mixed",IF(N($M244)&gt;0,"Zakat",IF(N($N244)&gt;0,"Sadaqah",""))))</x:f>
      </x:c>
      <x:c r="R244" t="str">
        <x:f>IF($A244="","",IFS($O244&lt;5000,"Under ₹5,000",$O244&lt;=10000,"₹5,000–₹10,000",$O244&lt;=15000,"₹10,000–₹15,000",$O244&lt;=25000,"₹15,000–₹25,000",$O244&lt;=50000,"₹25,000–₹50,000",TRUE,"₹50,000+"))</x:f>
      </x:c>
    </x:row>
    <x:row r="245">
      <x:c r="G245" t="str">
        <x:f>IF($A245="","",IF($F245="Dec 2025-Apr 2026",2026045,YEAR($H245)*100+MONTH($H245)))</x:f>
      </x:c>
      <x:c r="O245" t="str">
        <x:f>IF($A245="","",N($M245)+N($N245))</x:f>
      </x:c>
      <x:c r="P245" t="str">
        <x:f>IF($A245="","",IF(AND(N($M245)&gt;0,N($N245)&gt;0),"Mixed",IF(N($M245)&gt;0,"Zakat",IF(N($N245)&gt;0,"Sadaqah",""))))</x:f>
      </x:c>
      <x:c r="R245" t="str">
        <x:f>IF($A245="","",IFS($O245&lt;5000,"Under ₹5,000",$O245&lt;=10000,"₹5,000–₹10,000",$O245&lt;=15000,"₹10,000–₹15,000",$O245&lt;=25000,"₹15,000–₹25,000",$O245&lt;=50000,"₹25,000–₹50,000",TRUE,"₹50,000+"))</x:f>
      </x:c>
    </x:row>
    <x:row r="246">
      <x:c r="G246" t="str">
        <x:f>IF($A246="","",IF($F246="Dec 2025-Apr 2026",2026045,YEAR($H246)*100+MONTH($H246)))</x:f>
      </x:c>
      <x:c r="O246" t="str">
        <x:f>IF($A246="","",N($M246)+N($N246))</x:f>
      </x:c>
      <x:c r="P246" t="str">
        <x:f>IF($A246="","",IF(AND(N($M246)&gt;0,N($N246)&gt;0),"Mixed",IF(N($M246)&gt;0,"Zakat",IF(N($N246)&gt;0,"Sadaqah",""))))</x:f>
      </x:c>
      <x:c r="R246" t="str">
        <x:f>IF($A246="","",IFS($O246&lt;5000,"Under ₹5,000",$O246&lt;=10000,"₹5,000–₹10,000",$O246&lt;=15000,"₹10,000–₹15,000",$O246&lt;=25000,"₹15,000–₹25,000",$O246&lt;=50000,"₹25,000–₹50,000",TRUE,"₹50,000+"))</x:f>
      </x:c>
    </x:row>
    <x:row r="247">
      <x:c r="G247" t="str">
        <x:f>IF($A247="","",IF($F247="Dec 2025-Apr 2026",2026045,YEAR($H247)*100+MONTH($H247)))</x:f>
      </x:c>
      <x:c r="O247" t="str">
        <x:f>IF($A247="","",N($M247)+N($N247))</x:f>
      </x:c>
      <x:c r="P247" t="str">
        <x:f>IF($A247="","",IF(AND(N($M247)&gt;0,N($N247)&gt;0),"Mixed",IF(N($M247)&gt;0,"Zakat",IF(N($N247)&gt;0,"Sadaqah",""))))</x:f>
      </x:c>
      <x:c r="R247" t="str">
        <x:f>IF($A247="","",IFS($O247&lt;5000,"Under ₹5,000",$O247&lt;=10000,"₹5,000–₹10,000",$O247&lt;=15000,"₹10,000–₹15,000",$O247&lt;=25000,"₹15,000–₹25,000",$O247&lt;=50000,"₹25,000–₹50,000",TRUE,"₹50,000+"))</x:f>
      </x:c>
    </x:row>
    <x:row r="248">
      <x:c r="G248" t="str">
        <x:f>IF($A248="","",IF($F248="Dec 2025-Apr 2026",2026045,YEAR($H248)*100+MONTH($H248)))</x:f>
      </x:c>
      <x:c r="O248" t="str">
        <x:f>IF($A248="","",N($M248)+N($N248))</x:f>
      </x:c>
      <x:c r="P248" t="str">
        <x:f>IF($A248="","",IF(AND(N($M248)&gt;0,N($N248)&gt;0),"Mixed",IF(N($M248)&gt;0,"Zakat",IF(N($N248)&gt;0,"Sadaqah",""))))</x:f>
      </x:c>
      <x:c r="R248" t="str">
        <x:f>IF($A248="","",IFS($O248&lt;5000,"Under ₹5,000",$O248&lt;=10000,"₹5,000–₹10,000",$O248&lt;=15000,"₹10,000–₹15,000",$O248&lt;=25000,"₹15,000–₹25,000",$O248&lt;=50000,"₹25,000–₹50,000",TRUE,"₹50,000+"))</x:f>
      </x:c>
    </x:row>
    <x:row r="249">
      <x:c r="G249" t="str">
        <x:f>IF($A249="","",IF($F249="Dec 2025-Apr 2026",2026045,YEAR($H249)*100+MONTH($H249)))</x:f>
      </x:c>
      <x:c r="O249" t="str">
        <x:f>IF($A249="","",N($M249)+N($N249))</x:f>
      </x:c>
      <x:c r="P249" t="str">
        <x:f>IF($A249="","",IF(AND(N($M249)&gt;0,N($N249)&gt;0),"Mixed",IF(N($M249)&gt;0,"Zakat",IF(N($N249)&gt;0,"Sadaqah",""))))</x:f>
      </x:c>
      <x:c r="R249" t="str">
        <x:f>IF($A249="","",IFS($O249&lt;5000,"Under ₹5,000",$O249&lt;=10000,"₹5,000–₹10,000",$O249&lt;=15000,"₹10,000–₹15,000",$O249&lt;=25000,"₹15,000–₹25,000",$O249&lt;=50000,"₹25,000–₹50,000",TRUE,"₹50,000+"))</x:f>
      </x:c>
    </x:row>
    <x:row r="250">
      <x:c r="G250" t="str">
        <x:f>IF($A250="","",IF($F250="Dec 2025-Apr 2026",2026045,YEAR($H250)*100+MONTH($H250)))</x:f>
      </x:c>
      <x:c r="O250" t="str">
        <x:f>IF($A250="","",N($M250)+N($N250))</x:f>
      </x:c>
      <x:c r="P250" t="str">
        <x:f>IF($A250="","",IF(AND(N($M250)&gt;0,N($N250)&gt;0),"Mixed",IF(N($M250)&gt;0,"Zakat",IF(N($N250)&gt;0,"Sadaqah",""))))</x:f>
      </x:c>
      <x:c r="R250" t="str">
        <x:f>IF($A250="","",IFS($O250&lt;5000,"Under ₹5,000",$O250&lt;=10000,"₹5,000–₹10,000",$O250&lt;=15000,"₹10,000–₹15,000",$O250&lt;=25000,"₹15,000–₹25,000",$O250&lt;=50000,"₹25,000–₹50,000",TRUE,"₹50,000+"))</x:f>
      </x:c>
    </x:row>
    <x:row r="251">
      <x:c r="G251" t="str">
        <x:f>IF($A251="","",IF($F251="Dec 2025-Apr 2026",2026045,YEAR($H251)*100+MONTH($H251)))</x:f>
      </x:c>
      <x:c r="O251" t="str">
        <x:f>IF($A251="","",N($M251)+N($N251))</x:f>
      </x:c>
      <x:c r="P251" t="str">
        <x:f>IF($A251="","",IF(AND(N($M251)&gt;0,N($N251)&gt;0),"Mixed",IF(N($M251)&gt;0,"Zakat",IF(N($N251)&gt;0,"Sadaqah",""))))</x:f>
      </x:c>
      <x:c r="R251" t="str">
        <x:f>IF($A251="","",IFS($O251&lt;5000,"Under ₹5,000",$O251&lt;=10000,"₹5,000–₹10,000",$O251&lt;=15000,"₹10,000–₹15,000",$O251&lt;=25000,"₹15,000–₹25,000",$O251&lt;=50000,"₹25,000–₹50,000",TRUE,"₹50,000+"))</x:f>
      </x:c>
    </x:row>
    <x:row r="252">
      <x:c r="G252" t="str">
        <x:f>IF($A252="","",IF($F252="Dec 2025-Apr 2026",2026045,YEAR($H252)*100+MONTH($H252)))</x:f>
      </x:c>
      <x:c r="O252" t="str">
        <x:f>IF($A252="","",N($M252)+N($N252))</x:f>
      </x:c>
      <x:c r="P252" t="str">
        <x:f>IF($A252="","",IF(AND(N($M252)&gt;0,N($N252)&gt;0),"Mixed",IF(N($M252)&gt;0,"Zakat",IF(N($N252)&gt;0,"Sadaqah",""))))</x:f>
      </x:c>
      <x:c r="R252" t="str">
        <x:f>IF($A252="","",IFS($O252&lt;5000,"Under ₹5,000",$O252&lt;=10000,"₹5,000–₹10,000",$O252&lt;=15000,"₹10,000–₹15,000",$O252&lt;=25000,"₹15,000–₹25,000",$O252&lt;=50000,"₹25,000–₹50,000",TRUE,"₹50,000+"))</x:f>
      </x:c>
    </x:row>
    <x:row r="253">
      <x:c r="G253" t="str">
        <x:f>IF($A253="","",IF($F253="Dec 2025-Apr 2026",2026045,YEAR($H253)*100+MONTH($H253)))</x:f>
      </x:c>
      <x:c r="O253" t="str">
        <x:f>IF($A253="","",N($M253)+N($N253))</x:f>
      </x:c>
      <x:c r="P253" t="str">
        <x:f>IF($A253="","",IF(AND(N($M253)&gt;0,N($N253)&gt;0),"Mixed",IF(N($M253)&gt;0,"Zakat",IF(N($N253)&gt;0,"Sadaqah",""))))</x:f>
      </x:c>
      <x:c r="R253" t="str">
        <x:f>IF($A253="","",IFS($O253&lt;5000,"Under ₹5,000",$O253&lt;=10000,"₹5,000–₹10,000",$O253&lt;=15000,"₹10,000–₹15,000",$O253&lt;=25000,"₹15,000–₹25,000",$O253&lt;=50000,"₹25,000–₹50,000",TRUE,"₹50,000+"))</x:f>
      </x:c>
    </x:row>
    <x:row r="254">
      <x:c r="G254" t="str">
        <x:f>IF($A254="","",IF($F254="Dec 2025-Apr 2026",2026045,YEAR($H254)*100+MONTH($H254)))</x:f>
      </x:c>
      <x:c r="O254" t="str">
        <x:f>IF($A254="","",N($M254)+N($N254))</x:f>
      </x:c>
      <x:c r="P254" t="str">
        <x:f>IF($A254="","",IF(AND(N($M254)&gt;0,N($N254)&gt;0),"Mixed",IF(N($M254)&gt;0,"Zakat",IF(N($N254)&gt;0,"Sadaqah",""))))</x:f>
      </x:c>
      <x:c r="R254" t="str">
        <x:f>IF($A254="","",IFS($O254&lt;5000,"Under ₹5,000",$O254&lt;=10000,"₹5,000–₹10,000",$O254&lt;=15000,"₹10,000–₹15,000",$O254&lt;=25000,"₹15,000–₹25,000",$O254&lt;=50000,"₹25,000–₹50,000",TRUE,"₹50,000+"))</x:f>
      </x:c>
    </x:row>
    <x:row r="255">
      <x:c r="G255" t="str">
        <x:f>IF($A255="","",IF($F255="Dec 2025-Apr 2026",2026045,YEAR($H255)*100+MONTH($H255)))</x:f>
      </x:c>
      <x:c r="O255" t="str">
        <x:f>IF($A255="","",N($M255)+N($N255))</x:f>
      </x:c>
      <x:c r="P255" t="str">
        <x:f>IF($A255="","",IF(AND(N($M255)&gt;0,N($N255)&gt;0),"Mixed",IF(N($M255)&gt;0,"Zakat",IF(N($N255)&gt;0,"Sadaqah",""))))</x:f>
      </x:c>
      <x:c r="R255" t="str">
        <x:f>IF($A255="","",IFS($O255&lt;5000,"Under ₹5,000",$O255&lt;=10000,"₹5,000–₹10,000",$O255&lt;=15000,"₹10,000–₹15,000",$O255&lt;=25000,"₹15,000–₹25,000",$O255&lt;=50000,"₹25,000–₹50,000",TRUE,"₹50,000+"))</x:f>
      </x:c>
    </x:row>
    <x:row r="256">
      <x:c r="G256" t="str">
        <x:f>IF($A256="","",IF($F256="Dec 2025-Apr 2026",2026045,YEAR($H256)*100+MONTH($H256)))</x:f>
      </x:c>
      <x:c r="O256" t="str">
        <x:f>IF($A256="","",N($M256)+N($N256))</x:f>
      </x:c>
      <x:c r="P256" t="str">
        <x:f>IF($A256="","",IF(AND(N($M256)&gt;0,N($N256)&gt;0),"Mixed",IF(N($M256)&gt;0,"Zakat",IF(N($N256)&gt;0,"Sadaqah",""))))</x:f>
      </x:c>
      <x:c r="R256" t="str">
        <x:f>IF($A256="","",IFS($O256&lt;5000,"Under ₹5,000",$O256&lt;=10000,"₹5,000–₹10,000",$O256&lt;=15000,"₹10,000–₹15,000",$O256&lt;=25000,"₹15,000–₹25,000",$O256&lt;=50000,"₹25,000–₹50,000",TRUE,"₹50,000+"))</x:f>
      </x:c>
    </x:row>
    <x:row r="257">
      <x:c r="G257" t="str">
        <x:f>IF($A257="","",IF($F257="Dec 2025-Apr 2026",2026045,YEAR($H257)*100+MONTH($H257)))</x:f>
      </x:c>
      <x:c r="O257" t="str">
        <x:f>IF($A257="","",N($M257)+N($N257))</x:f>
      </x:c>
      <x:c r="P257" t="str">
        <x:f>IF($A257="","",IF(AND(N($M257)&gt;0,N($N257)&gt;0),"Mixed",IF(N($M257)&gt;0,"Zakat",IF(N($N257)&gt;0,"Sadaqah",""))))</x:f>
      </x:c>
      <x:c r="R257" t="str">
        <x:f>IF($A257="","",IFS($O257&lt;5000,"Under ₹5,000",$O257&lt;=10000,"₹5,000–₹10,000",$O257&lt;=15000,"₹10,000–₹15,000",$O257&lt;=25000,"₹15,000–₹25,000",$O257&lt;=50000,"₹25,000–₹50,000",TRUE,"₹50,000+"))</x:f>
      </x:c>
    </x:row>
    <x:row r="258">
      <x:c r="G258" t="str">
        <x:f>IF($A258="","",IF($F258="Dec 2025-Apr 2026",2026045,YEAR($H258)*100+MONTH($H258)))</x:f>
      </x:c>
      <x:c r="O258" t="str">
        <x:f>IF($A258="","",N($M258)+N($N258))</x:f>
      </x:c>
      <x:c r="P258" t="str">
        <x:f>IF($A258="","",IF(AND(N($M258)&gt;0,N($N258)&gt;0),"Mixed",IF(N($M258)&gt;0,"Zakat",IF(N($N258)&gt;0,"Sadaqah",""))))</x:f>
      </x:c>
      <x:c r="R258" t="str">
        <x:f>IF($A258="","",IFS($O258&lt;5000,"Under ₹5,000",$O258&lt;=10000,"₹5,000–₹10,000",$O258&lt;=15000,"₹10,000–₹15,000",$O258&lt;=25000,"₹15,000–₹25,000",$O258&lt;=50000,"₹25,000–₹50,000",TRUE,"₹50,000+"))</x:f>
      </x:c>
    </x:row>
    <x:row r="259">
      <x:c r="G259" t="str">
        <x:f>IF($A259="","",IF($F259="Dec 2025-Apr 2026",2026045,YEAR($H259)*100+MONTH($H259)))</x:f>
      </x:c>
      <x:c r="O259" t="str">
        <x:f>IF($A259="","",N($M259)+N($N259))</x:f>
      </x:c>
      <x:c r="P259" t="str">
        <x:f>IF($A259="","",IF(AND(N($M259)&gt;0,N($N259)&gt;0),"Mixed",IF(N($M259)&gt;0,"Zakat",IF(N($N259)&gt;0,"Sadaqah",""))))</x:f>
      </x:c>
      <x:c r="R259" t="str">
        <x:f>IF($A259="","",IFS($O259&lt;5000,"Under ₹5,000",$O259&lt;=10000,"₹5,000–₹10,000",$O259&lt;=15000,"₹10,000–₹15,000",$O259&lt;=25000,"₹15,000–₹25,000",$O259&lt;=50000,"₹25,000–₹50,000",TRUE,"₹50,000+"))</x:f>
      </x:c>
    </x:row>
    <x:row r="260">
      <x:c r="G260" t="str">
        <x:f>IF($A260="","",IF($F260="Dec 2025-Apr 2026",2026045,YEAR($H260)*100+MONTH($H260)))</x:f>
      </x:c>
      <x:c r="O260" t="str">
        <x:f>IF($A260="","",N($M260)+N($N260))</x:f>
      </x:c>
      <x:c r="P260" t="str">
        <x:f>IF($A260="","",IF(AND(N($M260)&gt;0,N($N260)&gt;0),"Mixed",IF(N($M260)&gt;0,"Zakat",IF(N($N260)&gt;0,"Sadaqah",""))))</x:f>
      </x:c>
      <x:c r="R260" t="str">
        <x:f>IF($A260="","",IFS($O260&lt;5000,"Under ₹5,000",$O260&lt;=10000,"₹5,000–₹10,000",$O260&lt;=15000,"₹10,000–₹15,000",$O260&lt;=25000,"₹15,000–₹25,000",$O260&lt;=50000,"₹25,000–₹50,000",TRUE,"₹50,000+"))</x:f>
      </x:c>
    </x:row>
    <x:row r="261">
      <x:c r="G261" t="str">
        <x:f>IF($A261="","",IF($F261="Dec 2025-Apr 2026",2026045,YEAR($H261)*100+MONTH($H261)))</x:f>
      </x:c>
      <x:c r="O261" t="str">
        <x:f>IF($A261="","",N($M261)+N($N261))</x:f>
      </x:c>
      <x:c r="P261" t="str">
        <x:f>IF($A261="","",IF(AND(N($M261)&gt;0,N($N261)&gt;0),"Mixed",IF(N($M261)&gt;0,"Zakat",IF(N($N261)&gt;0,"Sadaqah",""))))</x:f>
      </x:c>
      <x:c r="R261" t="str">
        <x:f>IF($A261="","",IFS($O261&lt;5000,"Under ₹5,000",$O261&lt;=10000,"₹5,000–₹10,000",$O261&lt;=15000,"₹10,000–₹15,000",$O261&lt;=25000,"₹15,000–₹25,000",$O261&lt;=50000,"₹25,000–₹50,000",TRUE,"₹50,000+"))</x:f>
      </x:c>
    </x:row>
    <x:row r="262">
      <x:c r="G262" t="str">
        <x:f>IF($A262="","",IF($F262="Dec 2025-Apr 2026",2026045,YEAR($H262)*100+MONTH($H262)))</x:f>
      </x:c>
      <x:c r="O262" t="str">
        <x:f>IF($A262="","",N($M262)+N($N262))</x:f>
      </x:c>
      <x:c r="P262" t="str">
        <x:f>IF($A262="","",IF(AND(N($M262)&gt;0,N($N262)&gt;0),"Mixed",IF(N($M262)&gt;0,"Zakat",IF(N($N262)&gt;0,"Sadaqah",""))))</x:f>
      </x:c>
      <x:c r="R262" t="str">
        <x:f>IF($A262="","",IFS($O262&lt;5000,"Under ₹5,000",$O262&lt;=10000,"₹5,000–₹10,000",$O262&lt;=15000,"₹10,000–₹15,000",$O262&lt;=25000,"₹15,000–₹25,000",$O262&lt;=50000,"₹25,000–₹50,000",TRUE,"₹50,000+"))</x:f>
      </x:c>
    </x:row>
    <x:row r="263">
      <x:c r="G263" t="str">
        <x:f>IF($A263="","",IF($F263="Dec 2025-Apr 2026",2026045,YEAR($H263)*100+MONTH($H263)))</x:f>
      </x:c>
      <x:c r="O263" t="str">
        <x:f>IF($A263="","",N($M263)+N($N263))</x:f>
      </x:c>
      <x:c r="P263" t="str">
        <x:f>IF($A263="","",IF(AND(N($M263)&gt;0,N($N263)&gt;0),"Mixed",IF(N($M263)&gt;0,"Zakat",IF(N($N263)&gt;0,"Sadaqah",""))))</x:f>
      </x:c>
      <x:c r="R263" t="str">
        <x:f>IF($A263="","",IFS($O263&lt;5000,"Under ₹5,000",$O263&lt;=10000,"₹5,000–₹10,000",$O263&lt;=15000,"₹10,000–₹15,000",$O263&lt;=25000,"₹15,000–₹25,000",$O263&lt;=50000,"₹25,000–₹50,000",TRUE,"₹50,000+"))</x:f>
      </x:c>
    </x:row>
    <x:row r="264">
      <x:c r="G264" t="str">
        <x:f>IF($A264="","",IF($F264="Dec 2025-Apr 2026",2026045,YEAR($H264)*100+MONTH($H264)))</x:f>
      </x:c>
      <x:c r="O264" t="str">
        <x:f>IF($A264="","",N($M264)+N($N264))</x:f>
      </x:c>
      <x:c r="P264" t="str">
        <x:f>IF($A264="","",IF(AND(N($M264)&gt;0,N($N264)&gt;0),"Mixed",IF(N($M264)&gt;0,"Zakat",IF(N($N264)&gt;0,"Sadaqah",""))))</x:f>
      </x:c>
      <x:c r="R264" t="str">
        <x:f>IF($A264="","",IFS($O264&lt;5000,"Under ₹5,000",$O264&lt;=10000,"₹5,000–₹10,000",$O264&lt;=15000,"₹10,000–₹15,000",$O264&lt;=25000,"₹15,000–₹25,000",$O264&lt;=50000,"₹25,000–₹50,000",TRUE,"₹50,000+"))</x:f>
      </x:c>
    </x:row>
    <x:row r="265">
      <x:c r="G265" t="str">
        <x:f>IF($A265="","",IF($F265="Dec 2025-Apr 2026",2026045,YEAR($H265)*100+MONTH($H265)))</x:f>
      </x:c>
      <x:c r="O265" t="str">
        <x:f>IF($A265="","",N($M265)+N($N265))</x:f>
      </x:c>
      <x:c r="P265" t="str">
        <x:f>IF($A265="","",IF(AND(N($M265)&gt;0,N($N265)&gt;0),"Mixed",IF(N($M265)&gt;0,"Zakat",IF(N($N265)&gt;0,"Sadaqah",""))))</x:f>
      </x:c>
      <x:c r="R265" t="str">
        <x:f>IF($A265="","",IFS($O265&lt;5000,"Under ₹5,000",$O265&lt;=10000,"₹5,000–₹10,000",$O265&lt;=15000,"₹10,000–₹15,000",$O265&lt;=25000,"₹15,000–₹25,000",$O265&lt;=50000,"₹25,000–₹50,000",TRUE,"₹50,000+"))</x:f>
      </x:c>
    </x:row>
    <x:row r="266">
      <x:c r="G266" t="str">
        <x:f>IF($A266="","",IF($F266="Dec 2025-Apr 2026",2026045,YEAR($H266)*100+MONTH($H266)))</x:f>
      </x:c>
      <x:c r="O266" t="str">
        <x:f>IF($A266="","",N($M266)+N($N266))</x:f>
      </x:c>
      <x:c r="P266" t="str">
        <x:f>IF($A266="","",IF(AND(N($M266)&gt;0,N($N266)&gt;0),"Mixed",IF(N($M266)&gt;0,"Zakat",IF(N($N266)&gt;0,"Sadaqah",""))))</x:f>
      </x:c>
      <x:c r="R266" t="str">
        <x:f>IF($A266="","",IFS($O266&lt;5000,"Under ₹5,000",$O266&lt;=10000,"₹5,000–₹10,000",$O266&lt;=15000,"₹10,000–₹15,000",$O266&lt;=25000,"₹15,000–₹25,000",$O266&lt;=50000,"₹25,000–₹50,000",TRUE,"₹50,000+"))</x:f>
      </x:c>
    </x:row>
    <x:row r="267">
      <x:c r="G267" t="str">
        <x:f>IF($A267="","",IF($F267="Dec 2025-Apr 2026",2026045,YEAR($H267)*100+MONTH($H267)))</x:f>
      </x:c>
      <x:c r="O267" t="str">
        <x:f>IF($A267="","",N($M267)+N($N267))</x:f>
      </x:c>
      <x:c r="P267" t="str">
        <x:f>IF($A267="","",IF(AND(N($M267)&gt;0,N($N267)&gt;0),"Mixed",IF(N($M267)&gt;0,"Zakat",IF(N($N267)&gt;0,"Sadaqah",""))))</x:f>
      </x:c>
      <x:c r="R267" t="str">
        <x:f>IF($A267="","",IFS($O267&lt;5000,"Under ₹5,000",$O267&lt;=10000,"₹5,000–₹10,000",$O267&lt;=15000,"₹10,000–₹15,000",$O267&lt;=25000,"₹15,000–₹25,000",$O267&lt;=50000,"₹25,000–₹50,000",TRUE,"₹50,000+"))</x:f>
      </x:c>
    </x:row>
    <x:row r="268">
      <x:c r="G268" t="str">
        <x:f>IF($A268="","",IF($F268="Dec 2025-Apr 2026",2026045,YEAR($H268)*100+MONTH($H268)))</x:f>
      </x:c>
      <x:c r="O268" t="str">
        <x:f>IF($A268="","",N($M268)+N($N268))</x:f>
      </x:c>
      <x:c r="P268" t="str">
        <x:f>IF($A268="","",IF(AND(N($M268)&gt;0,N($N268)&gt;0),"Mixed",IF(N($M268)&gt;0,"Zakat",IF(N($N268)&gt;0,"Sadaqah",""))))</x:f>
      </x:c>
      <x:c r="R268" t="str">
        <x:f>IF($A268="","",IFS($O268&lt;5000,"Under ₹5,000",$O268&lt;=10000,"₹5,000–₹10,000",$O268&lt;=15000,"₹10,000–₹15,000",$O268&lt;=25000,"₹15,000–₹25,000",$O268&lt;=50000,"₹25,000–₹50,000",TRUE,"₹50,000+"))</x:f>
      </x:c>
    </x:row>
    <x:row r="269">
      <x:c r="G269" t="str">
        <x:f>IF($A269="","",IF($F269="Dec 2025-Apr 2026",2026045,YEAR($H269)*100+MONTH($H269)))</x:f>
      </x:c>
      <x:c r="O269" t="str">
        <x:f>IF($A269="","",N($M269)+N($N269))</x:f>
      </x:c>
      <x:c r="P269" t="str">
        <x:f>IF($A269="","",IF(AND(N($M269)&gt;0,N($N269)&gt;0),"Mixed",IF(N($M269)&gt;0,"Zakat",IF(N($N269)&gt;0,"Sadaqah",""))))</x:f>
      </x:c>
      <x:c r="R269" t="str">
        <x:f>IF($A269="","",IFS($O269&lt;5000,"Under ₹5,000",$O269&lt;=10000,"₹5,000–₹10,000",$O269&lt;=15000,"₹10,000–₹15,000",$O269&lt;=25000,"₹15,000–₹25,000",$O269&lt;=50000,"₹25,000–₹50,000",TRUE,"₹50,000+"))</x:f>
      </x:c>
    </x:row>
    <x:row r="270">
      <x:c r="G270" t="str">
        <x:f>IF($A270="","",IF($F270="Dec 2025-Apr 2026",2026045,YEAR($H270)*100+MONTH($H270)))</x:f>
      </x:c>
      <x:c r="O270" t="str">
        <x:f>IF($A270="","",N($M270)+N($N270))</x:f>
      </x:c>
      <x:c r="P270" t="str">
        <x:f>IF($A270="","",IF(AND(N($M270)&gt;0,N($N270)&gt;0),"Mixed",IF(N($M270)&gt;0,"Zakat",IF(N($N270)&gt;0,"Sadaqah",""))))</x:f>
      </x:c>
      <x:c r="R270" t="str">
        <x:f>IF($A270="","",IFS($O270&lt;5000,"Under ₹5,000",$O270&lt;=10000,"₹5,000–₹10,000",$O270&lt;=15000,"₹10,000–₹15,000",$O270&lt;=25000,"₹15,000–₹25,000",$O270&lt;=50000,"₹25,000–₹50,000",TRUE,"₹50,000+"))</x:f>
      </x:c>
    </x:row>
    <x:row r="271">
      <x:c r="G271" t="str">
        <x:f>IF($A271="","",IF($F271="Dec 2025-Apr 2026",2026045,YEAR($H271)*100+MONTH($H271)))</x:f>
      </x:c>
      <x:c r="O271" t="str">
        <x:f>IF($A271="","",N($M271)+N($N271))</x:f>
      </x:c>
      <x:c r="P271" t="str">
        <x:f>IF($A271="","",IF(AND(N($M271)&gt;0,N($N271)&gt;0),"Mixed",IF(N($M271)&gt;0,"Zakat",IF(N($N271)&gt;0,"Sadaqah",""))))</x:f>
      </x:c>
      <x:c r="R271" t="str">
        <x:f>IF($A271="","",IFS($O271&lt;5000,"Under ₹5,000",$O271&lt;=10000,"₹5,000–₹10,000",$O271&lt;=15000,"₹10,000–₹15,000",$O271&lt;=25000,"₹15,000–₹25,000",$O271&lt;=50000,"₹25,000–₹50,000",TRUE,"₹50,000+"))</x:f>
      </x:c>
    </x:row>
    <x:row r="272">
      <x:c r="G272" t="str">
        <x:f>IF($A272="","",IF($F272="Dec 2025-Apr 2026",2026045,YEAR($H272)*100+MONTH($H272)))</x:f>
      </x:c>
      <x:c r="O272" t="str">
        <x:f>IF($A272="","",N($M272)+N($N272))</x:f>
      </x:c>
      <x:c r="P272" t="str">
        <x:f>IF($A272="","",IF(AND(N($M272)&gt;0,N($N272)&gt;0),"Mixed",IF(N($M272)&gt;0,"Zakat",IF(N($N272)&gt;0,"Sadaqah",""))))</x:f>
      </x:c>
      <x:c r="R272" t="str">
        <x:f>IF($A272="","",IFS($O272&lt;5000,"Under ₹5,000",$O272&lt;=10000,"₹5,000–₹10,000",$O272&lt;=15000,"₹10,000–₹15,000",$O272&lt;=25000,"₹15,000–₹25,000",$O272&lt;=50000,"₹25,000–₹50,000",TRUE,"₹50,000+"))</x:f>
      </x:c>
    </x:row>
    <x:row r="273">
      <x:c r="G273" t="str">
        <x:f>IF($A273="","",IF($F273="Dec 2025-Apr 2026",2026045,YEAR($H273)*100+MONTH($H273)))</x:f>
      </x:c>
      <x:c r="O273" t="str">
        <x:f>IF($A273="","",N($M273)+N($N273))</x:f>
      </x:c>
      <x:c r="P273" t="str">
        <x:f>IF($A273="","",IF(AND(N($M273)&gt;0,N($N273)&gt;0),"Mixed",IF(N($M273)&gt;0,"Zakat",IF(N($N273)&gt;0,"Sadaqah",""))))</x:f>
      </x:c>
      <x:c r="R273" t="str">
        <x:f>IF($A273="","",IFS($O273&lt;5000,"Under ₹5,000",$O273&lt;=10000,"₹5,000–₹10,000",$O273&lt;=15000,"₹10,000–₹15,000",$O273&lt;=25000,"₹15,000–₹25,000",$O273&lt;=50000,"₹25,000–₹50,000",TRUE,"₹50,000+"))</x:f>
      </x:c>
    </x:row>
    <x:row r="274">
      <x:c r="G274" t="str">
        <x:f>IF($A274="","",IF($F274="Dec 2025-Apr 2026",2026045,YEAR($H274)*100+MONTH($H274)))</x:f>
      </x:c>
      <x:c r="O274" t="str">
        <x:f>IF($A274="","",N($M274)+N($N274))</x:f>
      </x:c>
      <x:c r="P274" t="str">
        <x:f>IF($A274="","",IF(AND(N($M274)&gt;0,N($N274)&gt;0),"Mixed",IF(N($M274)&gt;0,"Zakat",IF(N($N274)&gt;0,"Sadaqah",""))))</x:f>
      </x:c>
      <x:c r="R274" t="str">
        <x:f>IF($A274="","",IFS($O274&lt;5000,"Under ₹5,000",$O274&lt;=10000,"₹5,000–₹10,000",$O274&lt;=15000,"₹10,000–₹15,000",$O274&lt;=25000,"₹15,000–₹25,000",$O274&lt;=50000,"₹25,000–₹50,000",TRUE,"₹50,000+"))</x:f>
      </x:c>
    </x:row>
    <x:row r="275">
      <x:c r="G275" t="str">
        <x:f>IF($A275="","",IF($F275="Dec 2025-Apr 2026",2026045,YEAR($H275)*100+MONTH($H275)))</x:f>
      </x:c>
      <x:c r="O275" t="str">
        <x:f>IF($A275="","",N($M275)+N($N275))</x:f>
      </x:c>
      <x:c r="P275" t="str">
        <x:f>IF($A275="","",IF(AND(N($M275)&gt;0,N($N275)&gt;0),"Mixed",IF(N($M275)&gt;0,"Zakat",IF(N($N275)&gt;0,"Sadaqah",""))))</x:f>
      </x:c>
      <x:c r="R275" t="str">
        <x:f>IF($A275="","",IFS($O275&lt;5000,"Under ₹5,000",$O275&lt;=10000,"₹5,000–₹10,000",$O275&lt;=15000,"₹10,000–₹15,000",$O275&lt;=25000,"₹15,000–₹25,000",$O275&lt;=50000,"₹25,000–₹50,000",TRUE,"₹50,000+"))</x:f>
      </x:c>
    </x:row>
    <x:row r="276">
      <x:c r="G276" t="str">
        <x:f>IF($A276="","",IF($F276="Dec 2025-Apr 2026",2026045,YEAR($H276)*100+MONTH($H276)))</x:f>
      </x:c>
      <x:c r="O276" t="str">
        <x:f>IF($A276="","",N($M276)+N($N276))</x:f>
      </x:c>
      <x:c r="P276" t="str">
        <x:f>IF($A276="","",IF(AND(N($M276)&gt;0,N($N276)&gt;0),"Mixed",IF(N($M276)&gt;0,"Zakat",IF(N($N276)&gt;0,"Sadaqah",""))))</x:f>
      </x:c>
      <x:c r="R276" t="str">
        <x:f>IF($A276="","",IFS($O276&lt;5000,"Under ₹5,000",$O276&lt;=10000,"₹5,000–₹10,000",$O276&lt;=15000,"₹10,000–₹15,000",$O276&lt;=25000,"₹15,000–₹25,000",$O276&lt;=50000,"₹25,000–₹50,000",TRUE,"₹50,000+"))</x:f>
      </x:c>
    </x:row>
    <x:row r="277">
      <x:c r="G277" t="str">
        <x:f>IF($A277="","",IF($F277="Dec 2025-Apr 2026",2026045,YEAR($H277)*100+MONTH($H277)))</x:f>
      </x:c>
      <x:c r="O277" t="str">
        <x:f>IF($A277="","",N($M277)+N($N277))</x:f>
      </x:c>
      <x:c r="P277" t="str">
        <x:f>IF($A277="","",IF(AND(N($M277)&gt;0,N($N277)&gt;0),"Mixed",IF(N($M277)&gt;0,"Zakat",IF(N($N277)&gt;0,"Sadaqah",""))))</x:f>
      </x:c>
      <x:c r="R277" t="str">
        <x:f>IF($A277="","",IFS($O277&lt;5000,"Under ₹5,000",$O277&lt;=10000,"₹5,000–₹10,000",$O277&lt;=15000,"₹10,000–₹15,000",$O277&lt;=25000,"₹15,000–₹25,000",$O277&lt;=50000,"₹25,000–₹50,000",TRUE,"₹50,000+"))</x:f>
      </x:c>
    </x:row>
    <x:row r="278">
      <x:c r="G278" t="str">
        <x:f>IF($A278="","",IF($F278="Dec 2025-Apr 2026",2026045,YEAR($H278)*100+MONTH($H278)))</x:f>
      </x:c>
      <x:c r="O278" t="str">
        <x:f>IF($A278="","",N($M278)+N($N278))</x:f>
      </x:c>
      <x:c r="P278" t="str">
        <x:f>IF($A278="","",IF(AND(N($M278)&gt;0,N($N278)&gt;0),"Mixed",IF(N($M278)&gt;0,"Zakat",IF(N($N278)&gt;0,"Sadaqah",""))))</x:f>
      </x:c>
      <x:c r="R278" t="str">
        <x:f>IF($A278="","",IFS($O278&lt;5000,"Under ₹5,000",$O278&lt;=10000,"₹5,000–₹10,000",$O278&lt;=15000,"₹10,000–₹15,000",$O278&lt;=25000,"₹15,000–₹25,000",$O278&lt;=50000,"₹25,000–₹50,000",TRUE,"₹50,000+"))</x:f>
      </x:c>
    </x:row>
    <x:row r="279">
      <x:c r="G279" t="str">
        <x:f>IF($A279="","",IF($F279="Dec 2025-Apr 2026",2026045,YEAR($H279)*100+MONTH($H279)))</x:f>
      </x:c>
      <x:c r="O279" t="str">
        <x:f>IF($A279="","",N($M279)+N($N279))</x:f>
      </x:c>
      <x:c r="P279" t="str">
        <x:f>IF($A279="","",IF(AND(N($M279)&gt;0,N($N279)&gt;0),"Mixed",IF(N($M279)&gt;0,"Zakat",IF(N($N279)&gt;0,"Sadaqah",""))))</x:f>
      </x:c>
      <x:c r="R279" t="str">
        <x:f>IF($A279="","",IFS($O279&lt;5000,"Under ₹5,000",$O279&lt;=10000,"₹5,000–₹10,000",$O279&lt;=15000,"₹10,000–₹15,000",$O279&lt;=25000,"₹15,000–₹25,000",$O279&lt;=50000,"₹25,000–₹50,000",TRUE,"₹50,000+"))</x:f>
      </x:c>
    </x:row>
    <x:row r="280">
      <x:c r="G280" t="str">
        <x:f>IF($A280="","",IF($F280="Dec 2025-Apr 2026",2026045,YEAR($H280)*100+MONTH($H280)))</x:f>
      </x:c>
      <x:c r="O280" t="str">
        <x:f>IF($A280="","",N($M280)+N($N280))</x:f>
      </x:c>
      <x:c r="P280" t="str">
        <x:f>IF($A280="","",IF(AND(N($M280)&gt;0,N($N280)&gt;0),"Mixed",IF(N($M280)&gt;0,"Zakat",IF(N($N280)&gt;0,"Sadaqah",""))))</x:f>
      </x:c>
      <x:c r="R280" t="str">
        <x:f>IF($A280="","",IFS($O280&lt;5000,"Under ₹5,000",$O280&lt;=10000,"₹5,000–₹10,000",$O280&lt;=15000,"₹10,000–₹15,000",$O280&lt;=25000,"₹15,000–₹25,000",$O280&lt;=50000,"₹25,000–₹50,000",TRUE,"₹50,000+"))</x:f>
      </x:c>
    </x:row>
    <x:row r="281">
      <x:c r="G281" t="str">
        <x:f>IF($A281="","",IF($F281="Dec 2025-Apr 2026",2026045,YEAR($H281)*100+MONTH($H281)))</x:f>
      </x:c>
      <x:c r="O281" t="str">
        <x:f>IF($A281="","",N($M281)+N($N281))</x:f>
      </x:c>
      <x:c r="P281" t="str">
        <x:f>IF($A281="","",IF(AND(N($M281)&gt;0,N($N281)&gt;0),"Mixed",IF(N($M281)&gt;0,"Zakat",IF(N($N281)&gt;0,"Sadaqah",""))))</x:f>
      </x:c>
      <x:c r="R281" t="str">
        <x:f>IF($A281="","",IFS($O281&lt;5000,"Under ₹5,000",$O281&lt;=10000,"₹5,000–₹10,000",$O281&lt;=15000,"₹10,000–₹15,000",$O281&lt;=25000,"₹15,000–₹25,000",$O281&lt;=50000,"₹25,000–₹50,000",TRUE,"₹50,000+"))</x:f>
      </x:c>
    </x:row>
    <x:row r="282">
      <x:c r="G282" t="str">
        <x:f>IF($A282="","",IF($F282="Dec 2025-Apr 2026",2026045,YEAR($H282)*100+MONTH($H282)))</x:f>
      </x:c>
      <x:c r="O282" t="str">
        <x:f>IF($A282="","",N($M282)+N($N282))</x:f>
      </x:c>
      <x:c r="P282" t="str">
        <x:f>IF($A282="","",IF(AND(N($M282)&gt;0,N($N282)&gt;0),"Mixed",IF(N($M282)&gt;0,"Zakat",IF(N($N282)&gt;0,"Sadaqah",""))))</x:f>
      </x:c>
      <x:c r="R282" t="str">
        <x:f>IF($A282="","",IFS($O282&lt;5000,"Under ₹5,000",$O282&lt;=10000,"₹5,000–₹10,000",$O282&lt;=15000,"₹10,000–₹15,000",$O282&lt;=25000,"₹15,000–₹25,000",$O282&lt;=50000,"₹25,000–₹50,000",TRUE,"₹50,000+"))</x:f>
      </x:c>
    </x:row>
    <x:row r="283">
      <x:c r="G283" t="str">
        <x:f>IF($A283="","",IF($F283="Dec 2025-Apr 2026",2026045,YEAR($H283)*100+MONTH($H283)))</x:f>
      </x:c>
      <x:c r="O283" t="str">
        <x:f>IF($A283="","",N($M283)+N($N283))</x:f>
      </x:c>
      <x:c r="P283" t="str">
        <x:f>IF($A283="","",IF(AND(N($M283)&gt;0,N($N283)&gt;0),"Mixed",IF(N($M283)&gt;0,"Zakat",IF(N($N283)&gt;0,"Sadaqah",""))))</x:f>
      </x:c>
      <x:c r="R283" t="str">
        <x:f>IF($A283="","",IFS($O283&lt;5000,"Under ₹5,000",$O283&lt;=10000,"₹5,000–₹10,000",$O283&lt;=15000,"₹10,000–₹15,000",$O283&lt;=25000,"₹15,000–₹25,000",$O283&lt;=50000,"₹25,000–₹50,000",TRUE,"₹50,000+"))</x:f>
      </x:c>
    </x:row>
    <x:row r="284">
      <x:c r="G284" t="str">
        <x:f>IF($A284="","",IF($F284="Dec 2025-Apr 2026",2026045,YEAR($H284)*100+MONTH($H284)))</x:f>
      </x:c>
      <x:c r="O284" t="str">
        <x:f>IF($A284="","",N($M284)+N($N284))</x:f>
      </x:c>
      <x:c r="P284" t="str">
        <x:f>IF($A284="","",IF(AND(N($M284)&gt;0,N($N284)&gt;0),"Mixed",IF(N($M284)&gt;0,"Zakat",IF(N($N284)&gt;0,"Sadaqah",""))))</x:f>
      </x:c>
      <x:c r="R284" t="str">
        <x:f>IF($A284="","",IFS($O284&lt;5000,"Under ₹5,000",$O284&lt;=10000,"₹5,000–₹10,000",$O284&lt;=15000,"₹10,000–₹15,000",$O284&lt;=25000,"₹15,000–₹25,000",$O284&lt;=50000,"₹25,000–₹50,000",TRUE,"₹50,000+"))</x:f>
      </x:c>
    </x:row>
    <x:row r="285">
      <x:c r="G285" t="str">
        <x:f>IF($A285="","",IF($F285="Dec 2025-Apr 2026",2026045,YEAR($H285)*100+MONTH($H285)))</x:f>
      </x:c>
      <x:c r="O285" t="str">
        <x:f>IF($A285="","",N($M285)+N($N285))</x:f>
      </x:c>
      <x:c r="P285" t="str">
        <x:f>IF($A285="","",IF(AND(N($M285)&gt;0,N($N285)&gt;0),"Mixed",IF(N($M285)&gt;0,"Zakat",IF(N($N285)&gt;0,"Sadaqah",""))))</x:f>
      </x:c>
      <x:c r="R285" t="str">
        <x:f>IF($A285="","",IFS($O285&lt;5000,"Under ₹5,000",$O285&lt;=10000,"₹5,000–₹10,000",$O285&lt;=15000,"₹10,000–₹15,000",$O285&lt;=25000,"₹15,000–₹25,000",$O285&lt;=50000,"₹25,000–₹50,000",TRUE,"₹50,000+"))</x:f>
      </x:c>
    </x:row>
    <x:row r="286">
      <x:c r="G286" t="str">
        <x:f>IF($A286="","",IF($F286="Dec 2025-Apr 2026",2026045,YEAR($H286)*100+MONTH($H286)))</x:f>
      </x:c>
      <x:c r="O286" t="str">
        <x:f>IF($A286="","",N($M286)+N($N286))</x:f>
      </x:c>
      <x:c r="P286" t="str">
        <x:f>IF($A286="","",IF(AND(N($M286)&gt;0,N($N286)&gt;0),"Mixed",IF(N($M286)&gt;0,"Zakat",IF(N($N286)&gt;0,"Sadaqah",""))))</x:f>
      </x:c>
      <x:c r="R286" t="str">
        <x:f>IF($A286="","",IFS($O286&lt;5000,"Under ₹5,000",$O286&lt;=10000,"₹5,000–₹10,000",$O286&lt;=15000,"₹10,000–₹15,000",$O286&lt;=25000,"₹15,000–₹25,000",$O286&lt;=50000,"₹25,000–₹50,000",TRUE,"₹50,000+"))</x:f>
      </x:c>
    </x:row>
    <x:row r="287">
      <x:c r="G287" t="str">
        <x:f>IF($A287="","",IF($F287="Dec 2025-Apr 2026",2026045,YEAR($H287)*100+MONTH($H287)))</x:f>
      </x:c>
      <x:c r="O287" t="str">
        <x:f>IF($A287="","",N($M287)+N($N287))</x:f>
      </x:c>
      <x:c r="P287" t="str">
        <x:f>IF($A287="","",IF(AND(N($M287)&gt;0,N($N287)&gt;0),"Mixed",IF(N($M287)&gt;0,"Zakat",IF(N($N287)&gt;0,"Sadaqah",""))))</x:f>
      </x:c>
      <x:c r="R287" t="str">
        <x:f>IF($A287="","",IFS($O287&lt;5000,"Under ₹5,000",$O287&lt;=10000,"₹5,000–₹10,000",$O287&lt;=15000,"₹10,000–₹15,000",$O287&lt;=25000,"₹15,000–₹25,000",$O287&lt;=50000,"₹25,000–₹50,000",TRUE,"₹50,000+"))</x:f>
      </x:c>
    </x:row>
    <x:row r="288">
      <x:c r="G288" t="str">
        <x:f>IF($A288="","",IF($F288="Dec 2025-Apr 2026",2026045,YEAR($H288)*100+MONTH($H288)))</x:f>
      </x:c>
      <x:c r="O288" t="str">
        <x:f>IF($A288="","",N($M288)+N($N288))</x:f>
      </x:c>
      <x:c r="P288" t="str">
        <x:f>IF($A288="","",IF(AND(N($M288)&gt;0,N($N288)&gt;0),"Mixed",IF(N($M288)&gt;0,"Zakat",IF(N($N288)&gt;0,"Sadaqah",""))))</x:f>
      </x:c>
      <x:c r="R288" t="str">
        <x:f>IF($A288="","",IFS($O288&lt;5000,"Under ₹5,000",$O288&lt;=10000,"₹5,000–₹10,000",$O288&lt;=15000,"₹10,000–₹15,000",$O288&lt;=25000,"₹15,000–₹25,000",$O288&lt;=50000,"₹25,000–₹50,000",TRUE,"₹50,000+"))</x:f>
      </x:c>
    </x:row>
    <x:row r="289">
      <x:c r="G289" t="str">
        <x:f>IF($A289="","",IF($F289="Dec 2025-Apr 2026",2026045,YEAR($H289)*100+MONTH($H289)))</x:f>
      </x:c>
      <x:c r="O289" t="str">
        <x:f>IF($A289="","",N($M289)+N($N289))</x:f>
      </x:c>
      <x:c r="P289" t="str">
        <x:f>IF($A289="","",IF(AND(N($M289)&gt;0,N($N289)&gt;0),"Mixed",IF(N($M289)&gt;0,"Zakat",IF(N($N289)&gt;0,"Sadaqah",""))))</x:f>
      </x:c>
      <x:c r="R289" t="str">
        <x:f>IF($A289="","",IFS($O289&lt;5000,"Under ₹5,000",$O289&lt;=10000,"₹5,000–₹10,000",$O289&lt;=15000,"₹10,000–₹15,000",$O289&lt;=25000,"₹15,000–₹25,000",$O289&lt;=50000,"₹25,000–₹50,000",TRUE,"₹50,000+"))</x:f>
      </x:c>
    </x:row>
    <x:row r="290">
      <x:c r="G290" t="str">
        <x:f>IF($A290="","",IF($F290="Dec 2025-Apr 2026",2026045,YEAR($H290)*100+MONTH($H290)))</x:f>
      </x:c>
      <x:c r="O290" t="str">
        <x:f>IF($A290="","",N($M290)+N($N290))</x:f>
      </x:c>
      <x:c r="P290" t="str">
        <x:f>IF($A290="","",IF(AND(N($M290)&gt;0,N($N290)&gt;0),"Mixed",IF(N($M290)&gt;0,"Zakat",IF(N($N290)&gt;0,"Sadaqah",""))))</x:f>
      </x:c>
      <x:c r="R290" t="str">
        <x:f>IF($A290="","",IFS($O290&lt;5000,"Under ₹5,000",$O290&lt;=10000,"₹5,000–₹10,000",$O290&lt;=15000,"₹10,000–₹15,000",$O290&lt;=25000,"₹15,000–₹25,000",$O290&lt;=50000,"₹25,000–₹50,000",TRUE,"₹50,000+"))</x:f>
      </x:c>
    </x:row>
    <x:row r="291">
      <x:c r="G291" t="str">
        <x:f>IF($A291="","",IF($F291="Dec 2025-Apr 2026",2026045,YEAR($H291)*100+MONTH($H291)))</x:f>
      </x:c>
      <x:c r="O291" t="str">
        <x:f>IF($A291="","",N($M291)+N($N291))</x:f>
      </x:c>
      <x:c r="P291" t="str">
        <x:f>IF($A291="","",IF(AND(N($M291)&gt;0,N($N291)&gt;0),"Mixed",IF(N($M291)&gt;0,"Zakat",IF(N($N291)&gt;0,"Sadaqah",""))))</x:f>
      </x:c>
      <x:c r="R291" t="str">
        <x:f>IF($A291="","",IFS($O291&lt;5000,"Under ₹5,000",$O291&lt;=10000,"₹5,000–₹10,000",$O291&lt;=15000,"₹10,000–₹15,000",$O291&lt;=25000,"₹15,000–₹25,000",$O291&lt;=50000,"₹25,000–₹50,000",TRUE,"₹50,000+"))</x:f>
      </x:c>
    </x:row>
    <x:row r="292">
      <x:c r="G292" t="str">
        <x:f>IF($A292="","",IF($F292="Dec 2025-Apr 2026",2026045,YEAR($H292)*100+MONTH($H292)))</x:f>
      </x:c>
      <x:c r="O292" t="str">
        <x:f>IF($A292="","",N($M292)+N($N292))</x:f>
      </x:c>
      <x:c r="P292" t="str">
        <x:f>IF($A292="","",IF(AND(N($M292)&gt;0,N($N292)&gt;0),"Mixed",IF(N($M292)&gt;0,"Zakat",IF(N($N292)&gt;0,"Sadaqah",""))))</x:f>
      </x:c>
      <x:c r="R292" t="str">
        <x:f>IF($A292="","",IFS($O292&lt;5000,"Under ₹5,000",$O292&lt;=10000,"₹5,000–₹10,000",$O292&lt;=15000,"₹10,000–₹15,000",$O292&lt;=25000,"₹15,000–₹25,000",$O292&lt;=50000,"₹25,000–₹50,000",TRUE,"₹50,000+"))</x:f>
      </x:c>
    </x:row>
    <x:row r="293">
      <x:c r="G293" t="str">
        <x:f>IF($A293="","",IF($F293="Dec 2025-Apr 2026",2026045,YEAR($H293)*100+MONTH($H293)))</x:f>
      </x:c>
      <x:c r="O293" t="str">
        <x:f>IF($A293="","",N($M293)+N($N293))</x:f>
      </x:c>
      <x:c r="P293" t="str">
        <x:f>IF($A293="","",IF(AND(N($M293)&gt;0,N($N293)&gt;0),"Mixed",IF(N($M293)&gt;0,"Zakat",IF(N($N293)&gt;0,"Sadaqah",""))))</x:f>
      </x:c>
      <x:c r="R293" t="str">
        <x:f>IF($A293="","",IFS($O293&lt;5000,"Under ₹5,000",$O293&lt;=10000,"₹5,000–₹10,000",$O293&lt;=15000,"₹10,000–₹15,000",$O293&lt;=25000,"₹15,000–₹25,000",$O293&lt;=50000,"₹25,000–₹50,000",TRUE,"₹50,000+"))</x:f>
      </x:c>
    </x:row>
    <x:row r="294">
      <x:c r="G294" t="str">
        <x:f>IF($A294="","",IF($F294="Dec 2025-Apr 2026",2026045,YEAR($H294)*100+MONTH($H294)))</x:f>
      </x:c>
      <x:c r="O294" t="str">
        <x:f>IF($A294="","",N($M294)+N($N294))</x:f>
      </x:c>
      <x:c r="P294" t="str">
        <x:f>IF($A294="","",IF(AND(N($M294)&gt;0,N($N294)&gt;0),"Mixed",IF(N($M294)&gt;0,"Zakat",IF(N($N294)&gt;0,"Sadaqah",""))))</x:f>
      </x:c>
      <x:c r="R294" t="str">
        <x:f>IF($A294="","",IFS($O294&lt;5000,"Under ₹5,000",$O294&lt;=10000,"₹5,000–₹10,000",$O294&lt;=15000,"₹10,000–₹15,000",$O294&lt;=25000,"₹15,000–₹25,000",$O294&lt;=50000,"₹25,000–₹50,000",TRUE,"₹50,000+"))</x:f>
      </x:c>
    </x:row>
    <x:row r="295">
      <x:c r="G295" t="str">
        <x:f>IF($A295="","",IF($F295="Dec 2025-Apr 2026",2026045,YEAR($H295)*100+MONTH($H295)))</x:f>
      </x:c>
      <x:c r="O295" t="str">
        <x:f>IF($A295="","",N($M295)+N($N295))</x:f>
      </x:c>
      <x:c r="P295" t="str">
        <x:f>IF($A295="","",IF(AND(N($M295)&gt;0,N($N295)&gt;0),"Mixed",IF(N($M295)&gt;0,"Zakat",IF(N($N295)&gt;0,"Sadaqah",""))))</x:f>
      </x:c>
      <x:c r="R295" t="str">
        <x:f>IF($A295="","",IFS($O295&lt;5000,"Under ₹5,000",$O295&lt;=10000,"₹5,000–₹10,000",$O295&lt;=15000,"₹10,000–₹15,000",$O295&lt;=25000,"₹15,000–₹25,000",$O295&lt;=50000,"₹25,000–₹50,000",TRUE,"₹50,000+"))</x:f>
      </x:c>
    </x:row>
    <x:row r="296">
      <x:c r="G296" t="str">
        <x:f>IF($A296="","",IF($F296="Dec 2025-Apr 2026",2026045,YEAR($H296)*100+MONTH($H296)))</x:f>
      </x:c>
      <x:c r="O296" t="str">
        <x:f>IF($A296="","",N($M296)+N($N296))</x:f>
      </x:c>
      <x:c r="P296" t="str">
        <x:f>IF($A296="","",IF(AND(N($M296)&gt;0,N($N296)&gt;0),"Mixed",IF(N($M296)&gt;0,"Zakat",IF(N($N296)&gt;0,"Sadaqah",""))))</x:f>
      </x:c>
      <x:c r="R296" t="str">
        <x:f>IF($A296="","",IFS($O296&lt;5000,"Under ₹5,000",$O296&lt;=10000,"₹5,000–₹10,000",$O296&lt;=15000,"₹10,000–₹15,000",$O296&lt;=25000,"₹15,000–₹25,000",$O296&lt;=50000,"₹25,000–₹50,000",TRUE,"₹50,000+"))</x:f>
      </x:c>
    </x:row>
    <x:row r="297">
      <x:c r="G297" t="str">
        <x:f>IF($A297="","",IF($F297="Dec 2025-Apr 2026",2026045,YEAR($H297)*100+MONTH($H297)))</x:f>
      </x:c>
      <x:c r="O297" t="str">
        <x:f>IF($A297="","",N($M297)+N($N297))</x:f>
      </x:c>
      <x:c r="P297" t="str">
        <x:f>IF($A297="","",IF(AND(N($M297)&gt;0,N($N297)&gt;0),"Mixed",IF(N($M297)&gt;0,"Zakat",IF(N($N297)&gt;0,"Sadaqah",""))))</x:f>
      </x:c>
      <x:c r="R297" t="str">
        <x:f>IF($A297="","",IFS($O297&lt;5000,"Under ₹5,000",$O297&lt;=10000,"₹5,000–₹10,000",$O297&lt;=15000,"₹10,000–₹15,000",$O297&lt;=25000,"₹15,000–₹25,000",$O297&lt;=50000,"₹25,000–₹50,000",TRUE,"₹50,000+"))</x:f>
      </x:c>
    </x:row>
    <x:row r="298">
      <x:c r="G298" t="str">
        <x:f>IF($A298="","",IF($F298="Dec 2025-Apr 2026",2026045,YEAR($H298)*100+MONTH($H298)))</x:f>
      </x:c>
      <x:c r="O298" t="str">
        <x:f>IF($A298="","",N($M298)+N($N298))</x:f>
      </x:c>
      <x:c r="P298" t="str">
        <x:f>IF($A298="","",IF(AND(N($M298)&gt;0,N($N298)&gt;0),"Mixed",IF(N($M298)&gt;0,"Zakat",IF(N($N298)&gt;0,"Sadaqah",""))))</x:f>
      </x:c>
      <x:c r="R298" t="str">
        <x:f>IF($A298="","",IFS($O298&lt;5000,"Under ₹5,000",$O298&lt;=10000,"₹5,000–₹10,000",$O298&lt;=15000,"₹10,000–₹15,000",$O298&lt;=25000,"₹15,000–₹25,000",$O298&lt;=50000,"₹25,000–₹50,000",TRUE,"₹50,000+"))</x:f>
      </x:c>
    </x:row>
    <x:row r="299">
      <x:c r="G299" t="str">
        <x:f>IF($A299="","",IF($F299="Dec 2025-Apr 2026",2026045,YEAR($H299)*100+MONTH($H299)))</x:f>
      </x:c>
      <x:c r="O299" t="str">
        <x:f>IF($A299="","",N($M299)+N($N299))</x:f>
      </x:c>
      <x:c r="P299" t="str">
        <x:f>IF($A299="","",IF(AND(N($M299)&gt;0,N($N299)&gt;0),"Mixed",IF(N($M299)&gt;0,"Zakat",IF(N($N299)&gt;0,"Sadaqah",""))))</x:f>
      </x:c>
      <x:c r="R299" t="str">
        <x:f>IF($A299="","",IFS($O299&lt;5000,"Under ₹5,000",$O299&lt;=10000,"₹5,000–₹10,000",$O299&lt;=15000,"₹10,000–₹15,000",$O299&lt;=25000,"₹15,000–₹25,000",$O299&lt;=50000,"₹25,000–₹50,000",TRUE,"₹50,000+"))</x:f>
      </x:c>
    </x:row>
    <x:row r="300">
      <x:c r="G300" t="str">
        <x:f>IF($A300="","",IF($F300="Dec 2025-Apr 2026",2026045,YEAR($H300)*100+MONTH($H300)))</x:f>
      </x:c>
      <x:c r="O300" t="str">
        <x:f>IF($A300="","",N($M300)+N($N300))</x:f>
      </x:c>
      <x:c r="P300" t="str">
        <x:f>IF($A300="","",IF(AND(N($M300)&gt;0,N($N300)&gt;0),"Mixed",IF(N($M300)&gt;0,"Zakat",IF(N($N300)&gt;0,"Sadaqah",""))))</x:f>
      </x:c>
      <x:c r="R300" t="str">
        <x:f>IF($A300="","",IFS($O300&lt;5000,"Under ₹5,000",$O300&lt;=10000,"₹5,000–₹10,000",$O300&lt;=15000,"₹10,000–₹15,000",$O300&lt;=25000,"₹15,000–₹25,000",$O300&lt;=50000,"₹25,000–₹50,000",TRUE,"₹50,000+"))</x:f>
      </x:c>
    </x:row>
    <x:row r="301">
      <x:c r="G301" t="str">
        <x:f>IF($A301="","",IF($F301="Dec 2025-Apr 2026",2026045,YEAR($H301)*100+MONTH($H301)))</x:f>
      </x:c>
      <x:c r="O301" t="str">
        <x:f>IF($A301="","",N($M301)+N($N301))</x:f>
      </x:c>
      <x:c r="P301" t="str">
        <x:f>IF($A301="","",IF(AND(N($M301)&gt;0,N($N301)&gt;0),"Mixed",IF(N($M301)&gt;0,"Zakat",IF(N($N301)&gt;0,"Sadaqah",""))))</x:f>
      </x:c>
      <x:c r="R301" t="str">
        <x:f>IF($A301="","",IFS($O301&lt;5000,"Under ₹5,000",$O301&lt;=10000,"₹5,000–₹10,000",$O301&lt;=15000,"₹10,000–₹15,000",$O301&lt;=25000,"₹15,000–₹25,000",$O301&lt;=50000,"₹25,000–₹50,000",TRUE,"₹50,000+"))</x:f>
      </x:c>
    </x:row>
    <x:row r="302">
      <x:c r="G302" t="str">
        <x:f>IF($A302="","",IF($F302="Dec 2025-Apr 2026",2026045,YEAR($H302)*100+MONTH($H302)))</x:f>
      </x:c>
      <x:c r="O302" t="str">
        <x:f>IF($A302="","",N($M302)+N($N302))</x:f>
      </x:c>
      <x:c r="P302" t="str">
        <x:f>IF($A302="","",IF(AND(N($M302)&gt;0,N($N302)&gt;0),"Mixed",IF(N($M302)&gt;0,"Zakat",IF(N($N302)&gt;0,"Sadaqah",""))))</x:f>
      </x:c>
      <x:c r="R302" t="str">
        <x:f>IF($A302="","",IFS($O302&lt;5000,"Under ₹5,000",$O302&lt;=10000,"₹5,000–₹10,000",$O302&lt;=15000,"₹10,000–₹15,000",$O302&lt;=25000,"₹15,000–₹25,000",$O302&lt;=50000,"₹25,000–₹50,000",TRUE,"₹50,000+"))</x:f>
      </x:c>
    </x:row>
    <x:row r="303">
      <x:c r="G303" t="str">
        <x:f>IF($A303="","",IF($F303="Dec 2025-Apr 2026",2026045,YEAR($H303)*100+MONTH($H303)))</x:f>
      </x:c>
      <x:c r="O303" t="str">
        <x:f>IF($A303="","",N($M303)+N($N303))</x:f>
      </x:c>
      <x:c r="P303" t="str">
        <x:f>IF($A303="","",IF(AND(N($M303)&gt;0,N($N303)&gt;0),"Mixed",IF(N($M303)&gt;0,"Zakat",IF(N($N303)&gt;0,"Sadaqah",""))))</x:f>
      </x:c>
      <x:c r="R303" t="str">
        <x:f>IF($A303="","",IFS($O303&lt;5000,"Under ₹5,000",$O303&lt;=10000,"₹5,000–₹10,000",$O303&lt;=15000,"₹10,000–₹15,000",$O303&lt;=25000,"₹15,000–₹25,000",$O303&lt;=50000,"₹25,000–₹50,000",TRUE,"₹50,000+"))</x:f>
      </x:c>
    </x:row>
    <x:row r="304">
      <x:c r="G304" t="str">
        <x:f>IF($A304="","",IF($F304="Dec 2025-Apr 2026",2026045,YEAR($H304)*100+MONTH($H304)))</x:f>
      </x:c>
      <x:c r="O304" t="str">
        <x:f>IF($A304="","",N($M304)+N($N304))</x:f>
      </x:c>
      <x:c r="P304" t="str">
        <x:f>IF($A304="","",IF(AND(N($M304)&gt;0,N($N304)&gt;0),"Mixed",IF(N($M304)&gt;0,"Zakat",IF(N($N304)&gt;0,"Sadaqah",""))))</x:f>
      </x:c>
      <x:c r="R304" t="str">
        <x:f>IF($A304="","",IFS($O304&lt;5000,"Under ₹5,000",$O304&lt;=10000,"₹5,000–₹10,000",$O304&lt;=15000,"₹10,000–₹15,000",$O304&lt;=25000,"₹15,000–₹25,000",$O304&lt;=50000,"₹25,000–₹50,000",TRUE,"₹50,000+"))</x:f>
      </x:c>
    </x:row>
    <x:row r="305">
      <x:c r="G305" t="str">
        <x:f>IF($A305="","",IF($F305="Dec 2025-Apr 2026",2026045,YEAR($H305)*100+MONTH($H305)))</x:f>
      </x:c>
      <x:c r="O305" t="str">
        <x:f>IF($A305="","",N($M305)+N($N305))</x:f>
      </x:c>
      <x:c r="P305" t="str">
        <x:f>IF($A305="","",IF(AND(N($M305)&gt;0,N($N305)&gt;0),"Mixed",IF(N($M305)&gt;0,"Zakat",IF(N($N305)&gt;0,"Sadaqah",""))))</x:f>
      </x:c>
      <x:c r="R305" t="str">
        <x:f>IF($A305="","",IFS($O305&lt;5000,"Under ₹5,000",$O305&lt;=10000,"₹5,000–₹10,000",$O305&lt;=15000,"₹10,000–₹15,000",$O305&lt;=25000,"₹15,000–₹25,000",$O305&lt;=50000,"₹25,000–₹50,000",TRUE,"₹50,000+"))</x:f>
      </x:c>
    </x:row>
    <x:row r="306">
      <x:c r="G306" t="str">
        <x:f>IF($A306="","",IF($F306="Dec 2025-Apr 2026",2026045,YEAR($H306)*100+MONTH($H306)))</x:f>
      </x:c>
      <x:c r="O306" t="str">
        <x:f>IF($A306="","",N($M306)+N($N306))</x:f>
      </x:c>
      <x:c r="P306" t="str">
        <x:f>IF($A306="","",IF(AND(N($M306)&gt;0,N($N306)&gt;0),"Mixed",IF(N($M306)&gt;0,"Zakat",IF(N($N306)&gt;0,"Sadaqah",""))))</x:f>
      </x:c>
      <x:c r="R306" t="str">
        <x:f>IF($A306="","",IFS($O306&lt;5000,"Under ₹5,000",$O306&lt;=10000,"₹5,000–₹10,000",$O306&lt;=15000,"₹10,000–₹15,000",$O306&lt;=25000,"₹15,000–₹25,000",$O306&lt;=50000,"₹25,000–₹50,000",TRUE,"₹50,000+"))</x:f>
      </x:c>
    </x:row>
    <x:row r="307">
      <x:c r="G307" t="str">
        <x:f>IF($A307="","",IF($F307="Dec 2025-Apr 2026",2026045,YEAR($H307)*100+MONTH($H307)))</x:f>
      </x:c>
      <x:c r="O307" t="str">
        <x:f>IF($A307="","",N($M307)+N($N307))</x:f>
      </x:c>
      <x:c r="P307" t="str">
        <x:f>IF($A307="","",IF(AND(N($M307)&gt;0,N($N307)&gt;0),"Mixed",IF(N($M307)&gt;0,"Zakat",IF(N($N307)&gt;0,"Sadaqah",""))))</x:f>
      </x:c>
      <x:c r="R307" t="str">
        <x:f>IF($A307="","",IFS($O307&lt;5000,"Under ₹5,000",$O307&lt;=10000,"₹5,000–₹10,000",$O307&lt;=15000,"₹10,000–₹15,000",$O307&lt;=25000,"₹15,000–₹25,000",$O307&lt;=50000,"₹25,000–₹50,000",TRUE,"₹50,000+"))</x:f>
      </x:c>
    </x:row>
    <x:row r="308">
      <x:c r="G308" t="str">
        <x:f>IF($A308="","",IF($F308="Dec 2025-Apr 2026",2026045,YEAR($H308)*100+MONTH($H308)))</x:f>
      </x:c>
      <x:c r="O308" t="str">
        <x:f>IF($A308="","",N($M308)+N($N308))</x:f>
      </x:c>
      <x:c r="P308" t="str">
        <x:f>IF($A308="","",IF(AND(N($M308)&gt;0,N($N308)&gt;0),"Mixed",IF(N($M308)&gt;0,"Zakat",IF(N($N308)&gt;0,"Sadaqah",""))))</x:f>
      </x:c>
      <x:c r="R308" t="str">
        <x:f>IF($A308="","",IFS($O308&lt;5000,"Under ₹5,000",$O308&lt;=10000,"₹5,000–₹10,000",$O308&lt;=15000,"₹10,000–₹15,000",$O308&lt;=25000,"₹15,000–₹25,000",$O308&lt;=50000,"₹25,000–₹50,000",TRUE,"₹50,000+"))</x:f>
      </x:c>
    </x:row>
    <x:row r="309">
      <x:c r="G309" t="str">
        <x:f>IF($A309="","",IF($F309="Dec 2025-Apr 2026",2026045,YEAR($H309)*100+MONTH($H309)))</x:f>
      </x:c>
      <x:c r="O309" t="str">
        <x:f>IF($A309="","",N($M309)+N($N309))</x:f>
      </x:c>
      <x:c r="P309" t="str">
        <x:f>IF($A309="","",IF(AND(N($M309)&gt;0,N($N309)&gt;0),"Mixed",IF(N($M309)&gt;0,"Zakat",IF(N($N309)&gt;0,"Sadaqah",""))))</x:f>
      </x:c>
      <x:c r="R309" t="str">
        <x:f>IF($A309="","",IFS($O309&lt;5000,"Under ₹5,000",$O309&lt;=10000,"₹5,000–₹10,000",$O309&lt;=15000,"₹10,000–₹15,000",$O309&lt;=25000,"₹15,000–₹25,000",$O309&lt;=50000,"₹25,000–₹50,000",TRUE,"₹50,000+"))</x:f>
      </x:c>
    </x:row>
    <x:row r="310">
      <x:c r="G310" t="str">
        <x:f>IF($A310="","",IF($F310="Dec 2025-Apr 2026",2026045,YEAR($H310)*100+MONTH($H310)))</x:f>
      </x:c>
      <x:c r="O310" t="str">
        <x:f>IF($A310="","",N($M310)+N($N310))</x:f>
      </x:c>
      <x:c r="P310" t="str">
        <x:f>IF($A310="","",IF(AND(N($M310)&gt;0,N($N310)&gt;0),"Mixed",IF(N($M310)&gt;0,"Zakat",IF(N($N310)&gt;0,"Sadaqah",""))))</x:f>
      </x:c>
      <x:c r="R310" t="str">
        <x:f>IF($A310="","",IFS($O310&lt;5000,"Under ₹5,000",$O310&lt;=10000,"₹5,000–₹10,000",$O310&lt;=15000,"₹10,000–₹15,000",$O310&lt;=25000,"₹15,000–₹25,000",$O310&lt;=50000,"₹25,000–₹50,000",TRUE,"₹50,000+"))</x:f>
      </x:c>
    </x:row>
    <x:row r="311">
      <x:c r="G311" t="str">
        <x:f>IF($A311="","",IF($F311="Dec 2025-Apr 2026",2026045,YEAR($H311)*100+MONTH($H311)))</x:f>
      </x:c>
      <x:c r="O311" t="str">
        <x:f>IF($A311="","",N($M311)+N($N311))</x:f>
      </x:c>
      <x:c r="P311" t="str">
        <x:f>IF($A311="","",IF(AND(N($M311)&gt;0,N($N311)&gt;0),"Mixed",IF(N($M311)&gt;0,"Zakat",IF(N($N311)&gt;0,"Sadaqah",""))))</x:f>
      </x:c>
      <x:c r="R311" t="str">
        <x:f>IF($A311="","",IFS($O311&lt;5000,"Under ₹5,000",$O311&lt;=10000,"₹5,000–₹10,000",$O311&lt;=15000,"₹10,000–₹15,000",$O311&lt;=25000,"₹15,000–₹25,000",$O311&lt;=50000,"₹25,000–₹50,000",TRUE,"₹50,000+"))</x:f>
      </x:c>
    </x:row>
    <x:row r="312">
      <x:c r="G312" t="str">
        <x:f>IF($A312="","",IF($F312="Dec 2025-Apr 2026",2026045,YEAR($H312)*100+MONTH($H312)))</x:f>
      </x:c>
      <x:c r="O312" t="str">
        <x:f>IF($A312="","",N($M312)+N($N312))</x:f>
      </x:c>
      <x:c r="P312" t="str">
        <x:f>IF($A312="","",IF(AND(N($M312)&gt;0,N($N312)&gt;0),"Mixed",IF(N($M312)&gt;0,"Zakat",IF(N($N312)&gt;0,"Sadaqah",""))))</x:f>
      </x:c>
      <x:c r="R312" t="str">
        <x:f>IF($A312="","",IFS($O312&lt;5000,"Under ₹5,000",$O312&lt;=10000,"₹5,000–₹10,000",$O312&lt;=15000,"₹10,000–₹15,000",$O312&lt;=25000,"₹15,000–₹25,000",$O312&lt;=50000,"₹25,000–₹50,000",TRUE,"₹50,000+"))</x:f>
      </x:c>
    </x:row>
    <x:row r="313">
      <x:c r="G313" t="str">
        <x:f>IF($A313="","",IF($F313="Dec 2025-Apr 2026",2026045,YEAR($H313)*100+MONTH($H313)))</x:f>
      </x:c>
      <x:c r="O313" t="str">
        <x:f>IF($A313="","",N($M313)+N($N313))</x:f>
      </x:c>
      <x:c r="P313" t="str">
        <x:f>IF($A313="","",IF(AND(N($M313)&gt;0,N($N313)&gt;0),"Mixed",IF(N($M313)&gt;0,"Zakat",IF(N($N313)&gt;0,"Sadaqah",""))))</x:f>
      </x:c>
      <x:c r="R313" t="str">
        <x:f>IF($A313="","",IFS($O313&lt;5000,"Under ₹5,000",$O313&lt;=10000,"₹5,000–₹10,000",$O313&lt;=15000,"₹10,000–₹15,000",$O313&lt;=25000,"₹15,000–₹25,000",$O313&lt;=50000,"₹25,000–₹50,000",TRUE,"₹50,000+"))</x:f>
      </x:c>
    </x:row>
    <x:row r="314">
      <x:c r="G314" t="str">
        <x:f>IF($A314="","",IF($F314="Dec 2025-Apr 2026",2026045,YEAR($H314)*100+MONTH($H314)))</x:f>
      </x:c>
      <x:c r="O314" t="str">
        <x:f>IF($A314="","",N($M314)+N($N314))</x:f>
      </x:c>
      <x:c r="P314" t="str">
        <x:f>IF($A314="","",IF(AND(N($M314)&gt;0,N($N314)&gt;0),"Mixed",IF(N($M314)&gt;0,"Zakat",IF(N($N314)&gt;0,"Sadaqah",""))))</x:f>
      </x:c>
      <x:c r="R314" t="str">
        <x:f>IF($A314="","",IFS($O314&lt;5000,"Under ₹5,000",$O314&lt;=10000,"₹5,000–₹10,000",$O314&lt;=15000,"₹10,000–₹15,000",$O314&lt;=25000,"₹15,000–₹25,000",$O314&lt;=50000,"₹25,000–₹50,000",TRUE,"₹50,000+"))</x:f>
      </x:c>
    </x:row>
    <x:row r="315">
      <x:c r="G315" t="str">
        <x:f>IF($A315="","",IF($F315="Dec 2025-Apr 2026",2026045,YEAR($H315)*100+MONTH($H315)))</x:f>
      </x:c>
      <x:c r="O315" t="str">
        <x:f>IF($A315="","",N($M315)+N($N315))</x:f>
      </x:c>
      <x:c r="P315" t="str">
        <x:f>IF($A315="","",IF(AND(N($M315)&gt;0,N($N315)&gt;0),"Mixed",IF(N($M315)&gt;0,"Zakat",IF(N($N315)&gt;0,"Sadaqah",""))))</x:f>
      </x:c>
      <x:c r="R315" t="str">
        <x:f>IF($A315="","",IFS($O315&lt;5000,"Under ₹5,000",$O315&lt;=10000,"₹5,000–₹10,000",$O315&lt;=15000,"₹10,000–₹15,000",$O315&lt;=25000,"₹15,000–₹25,000",$O315&lt;=50000,"₹25,000–₹50,000",TRUE,"₹50,000+"))</x:f>
      </x:c>
    </x:row>
    <x:row r="316">
      <x:c r="G316" t="str">
        <x:f>IF($A316="","",IF($F316="Dec 2025-Apr 2026",2026045,YEAR($H316)*100+MONTH($H316)))</x:f>
      </x:c>
      <x:c r="O316" t="str">
        <x:f>IF($A316="","",N($M316)+N($N316))</x:f>
      </x:c>
      <x:c r="P316" t="str">
        <x:f>IF($A316="","",IF(AND(N($M316)&gt;0,N($N316)&gt;0),"Mixed",IF(N($M316)&gt;0,"Zakat",IF(N($N316)&gt;0,"Sadaqah",""))))</x:f>
      </x:c>
      <x:c r="R316" t="str">
        <x:f>IF($A316="","",IFS($O316&lt;5000,"Under ₹5,000",$O316&lt;=10000,"₹5,000–₹10,000",$O316&lt;=15000,"₹10,000–₹15,000",$O316&lt;=25000,"₹15,000–₹25,000",$O316&lt;=50000,"₹25,000–₹50,000",TRUE,"₹50,000+"))</x:f>
      </x:c>
    </x:row>
    <x:row r="317">
      <x:c r="G317" t="str">
        <x:f>IF($A317="","",IF($F317="Dec 2025-Apr 2026",2026045,YEAR($H317)*100+MONTH($H317)))</x:f>
      </x:c>
      <x:c r="O317" t="str">
        <x:f>IF($A317="","",N($M317)+N($N317))</x:f>
      </x:c>
      <x:c r="P317" t="str">
        <x:f>IF($A317="","",IF(AND(N($M317)&gt;0,N($N317)&gt;0),"Mixed",IF(N($M317)&gt;0,"Zakat",IF(N($N317)&gt;0,"Sadaqah",""))))</x:f>
      </x:c>
      <x:c r="R317" t="str">
        <x:f>IF($A317="","",IFS($O317&lt;5000,"Under ₹5,000",$O317&lt;=10000,"₹5,000–₹10,000",$O317&lt;=15000,"₹10,000–₹15,000",$O317&lt;=25000,"₹15,000–₹25,000",$O317&lt;=50000,"₹25,000–₹50,000",TRUE,"₹50,000+"))</x:f>
      </x:c>
    </x:row>
    <x:row r="318">
      <x:c r="G318" t="str">
        <x:f>IF($A318="","",IF($F318="Dec 2025-Apr 2026",2026045,YEAR($H318)*100+MONTH($H318)))</x:f>
      </x:c>
      <x:c r="O318" t="str">
        <x:f>IF($A318="","",N($M318)+N($N318))</x:f>
      </x:c>
      <x:c r="P318" t="str">
        <x:f>IF($A318="","",IF(AND(N($M318)&gt;0,N($N318)&gt;0),"Mixed",IF(N($M318)&gt;0,"Zakat",IF(N($N318)&gt;0,"Sadaqah",""))))</x:f>
      </x:c>
      <x:c r="R318" t="str">
        <x:f>IF($A318="","",IFS($O318&lt;5000,"Under ₹5,000",$O318&lt;=10000,"₹5,000–₹10,000",$O318&lt;=15000,"₹10,000–₹15,000",$O318&lt;=25000,"₹15,000–₹25,000",$O318&lt;=50000,"₹25,000–₹50,000",TRUE,"₹50,000+"))</x:f>
      </x:c>
    </x:row>
    <x:row r="319">
      <x:c r="G319" t="str">
        <x:f>IF($A319="","",IF($F319="Dec 2025-Apr 2026",2026045,YEAR($H319)*100+MONTH($H319)))</x:f>
      </x:c>
      <x:c r="O319" t="str">
        <x:f>IF($A319="","",N($M319)+N($N319))</x:f>
      </x:c>
      <x:c r="P319" t="str">
        <x:f>IF($A319="","",IF(AND(N($M319)&gt;0,N($N319)&gt;0),"Mixed",IF(N($M319)&gt;0,"Zakat",IF(N($N319)&gt;0,"Sadaqah",""))))</x:f>
      </x:c>
      <x:c r="R319" t="str">
        <x:f>IF($A319="","",IFS($O319&lt;5000,"Under ₹5,000",$O319&lt;=10000,"₹5,000–₹10,000",$O319&lt;=15000,"₹10,000–₹15,000",$O319&lt;=25000,"₹15,000–₹25,000",$O319&lt;=50000,"₹25,000–₹50,000",TRUE,"₹50,000+"))</x:f>
      </x:c>
    </x:row>
    <x:row r="320">
      <x:c r="G320" t="str">
        <x:f>IF($A320="","",IF($F320="Dec 2025-Apr 2026",2026045,YEAR($H320)*100+MONTH($H320)))</x:f>
      </x:c>
      <x:c r="O320" t="str">
        <x:f>IF($A320="","",N($M320)+N($N320))</x:f>
      </x:c>
      <x:c r="P320" t="str">
        <x:f>IF($A320="","",IF(AND(N($M320)&gt;0,N($N320)&gt;0),"Mixed",IF(N($M320)&gt;0,"Zakat",IF(N($N320)&gt;0,"Sadaqah",""))))</x:f>
      </x:c>
      <x:c r="R320" t="str">
        <x:f>IF($A320="","",IFS($O320&lt;5000,"Under ₹5,000",$O320&lt;=10000,"₹5,000–₹10,000",$O320&lt;=15000,"₹10,000–₹15,000",$O320&lt;=25000,"₹15,000–₹25,000",$O320&lt;=50000,"₹25,000–₹50,000",TRUE,"₹50,000+"))</x:f>
      </x:c>
    </x:row>
    <x:row r="321">
      <x:c r="G321" t="str">
        <x:f>IF($A321="","",IF($F321="Dec 2025-Apr 2026",2026045,YEAR($H321)*100+MONTH($H321)))</x:f>
      </x:c>
      <x:c r="O321" t="str">
        <x:f>IF($A321="","",N($M321)+N($N321))</x:f>
      </x:c>
      <x:c r="P321" t="str">
        <x:f>IF($A321="","",IF(AND(N($M321)&gt;0,N($N321)&gt;0),"Mixed",IF(N($M321)&gt;0,"Zakat",IF(N($N321)&gt;0,"Sadaqah",""))))</x:f>
      </x:c>
      <x:c r="R321" t="str">
        <x:f>IF($A321="","",IFS($O321&lt;5000,"Under ₹5,000",$O321&lt;=10000,"₹5,000–₹10,000",$O321&lt;=15000,"₹10,000–₹15,000",$O321&lt;=25000,"₹15,000–₹25,000",$O321&lt;=50000,"₹25,000–₹50,000",TRUE,"₹50,000+"))</x:f>
      </x:c>
    </x:row>
    <x:row r="322">
      <x:c r="G322" t="str">
        <x:f>IF($A322="","",IF($F322="Dec 2025-Apr 2026",2026045,YEAR($H322)*100+MONTH($H322)))</x:f>
      </x:c>
      <x:c r="O322" t="str">
        <x:f>IF($A322="","",N($M322)+N($N322))</x:f>
      </x:c>
      <x:c r="P322" t="str">
        <x:f>IF($A322="","",IF(AND(N($M322)&gt;0,N($N322)&gt;0),"Mixed",IF(N($M322)&gt;0,"Zakat",IF(N($N322)&gt;0,"Sadaqah",""))))</x:f>
      </x:c>
      <x:c r="R322" t="str">
        <x:f>IF($A322="","",IFS($O322&lt;5000,"Under ₹5,000",$O322&lt;=10000,"₹5,000–₹10,000",$O322&lt;=15000,"₹10,000–₹15,000",$O322&lt;=25000,"₹15,000–₹25,000",$O322&lt;=50000,"₹25,000–₹50,000",TRUE,"₹50,000+"))</x:f>
      </x:c>
    </x:row>
    <x:row r="323">
      <x:c r="G323" t="str">
        <x:f>IF($A323="","",IF($F323="Dec 2025-Apr 2026",2026045,YEAR($H323)*100+MONTH($H323)))</x:f>
      </x:c>
      <x:c r="O323" t="str">
        <x:f>IF($A323="","",N($M323)+N($N323))</x:f>
      </x:c>
      <x:c r="P323" t="str">
        <x:f>IF($A323="","",IF(AND(N($M323)&gt;0,N($N323)&gt;0),"Mixed",IF(N($M323)&gt;0,"Zakat",IF(N($N323)&gt;0,"Sadaqah",""))))</x:f>
      </x:c>
      <x:c r="R323" t="str">
        <x:f>IF($A323="","",IFS($O323&lt;5000,"Under ₹5,000",$O323&lt;=10000,"₹5,000–₹10,000",$O323&lt;=15000,"₹10,000–₹15,000",$O323&lt;=25000,"₹15,000–₹25,000",$O323&lt;=50000,"₹25,000–₹50,000",TRUE,"₹50,000+"))</x:f>
      </x:c>
    </x:row>
    <x:row r="324">
      <x:c r="G324" t="str">
        <x:f>IF($A324="","",IF($F324="Dec 2025-Apr 2026",2026045,YEAR($H324)*100+MONTH($H324)))</x:f>
      </x:c>
      <x:c r="O324" t="str">
        <x:f>IF($A324="","",N($M324)+N($N324))</x:f>
      </x:c>
      <x:c r="P324" t="str">
        <x:f>IF($A324="","",IF(AND(N($M324)&gt;0,N($N324)&gt;0),"Mixed",IF(N($M324)&gt;0,"Zakat",IF(N($N324)&gt;0,"Sadaqah",""))))</x:f>
      </x:c>
      <x:c r="R324" t="str">
        <x:f>IF($A324="","",IFS($O324&lt;5000,"Under ₹5,000",$O324&lt;=10000,"₹5,000–₹10,000",$O324&lt;=15000,"₹10,000–₹15,000",$O324&lt;=25000,"₹15,000–₹25,000",$O324&lt;=50000,"₹25,000–₹50,000",TRUE,"₹50,000+"))</x:f>
      </x:c>
    </x:row>
    <x:row r="325">
      <x:c r="G325" t="str">
        <x:f>IF($A325="","",IF($F325="Dec 2025-Apr 2026",2026045,YEAR($H325)*100+MONTH($H325)))</x:f>
      </x:c>
      <x:c r="O325" t="str">
        <x:f>IF($A325="","",N($M325)+N($N325))</x:f>
      </x:c>
      <x:c r="P325" t="str">
        <x:f>IF($A325="","",IF(AND(N($M325)&gt;0,N($N325)&gt;0),"Mixed",IF(N($M325)&gt;0,"Zakat",IF(N($N325)&gt;0,"Sadaqah",""))))</x:f>
      </x:c>
      <x:c r="R325" t="str">
        <x:f>IF($A325="","",IFS($O325&lt;5000,"Under ₹5,000",$O325&lt;=10000,"₹5,000–₹10,000",$O325&lt;=15000,"₹10,000–₹15,000",$O325&lt;=25000,"₹15,000–₹25,000",$O325&lt;=50000,"₹25,000–₹50,000",TRUE,"₹50,000+"))</x:f>
      </x:c>
    </x:row>
    <x:row r="326">
      <x:c r="G326" t="str">
        <x:f>IF($A326="","",IF($F326="Dec 2025-Apr 2026",2026045,YEAR($H326)*100+MONTH($H326)))</x:f>
      </x:c>
      <x:c r="O326" t="str">
        <x:f>IF($A326="","",N($M326)+N($N326))</x:f>
      </x:c>
      <x:c r="P326" t="str">
        <x:f>IF($A326="","",IF(AND(N($M326)&gt;0,N($N326)&gt;0),"Mixed",IF(N($M326)&gt;0,"Zakat",IF(N($N326)&gt;0,"Sadaqah",""))))</x:f>
      </x:c>
      <x:c r="R326" t="str">
        <x:f>IF($A326="","",IFS($O326&lt;5000,"Under ₹5,000",$O326&lt;=10000,"₹5,000–₹10,000",$O326&lt;=15000,"₹10,000–₹15,000",$O326&lt;=25000,"₹15,000–₹25,000",$O326&lt;=50000,"₹25,000–₹50,000",TRUE,"₹50,000+"))</x:f>
      </x:c>
    </x:row>
    <x:row r="327">
      <x:c r="G327" t="str">
        <x:f>IF($A327="","",IF($F327="Dec 2025-Apr 2026",2026045,YEAR($H327)*100+MONTH($H327)))</x:f>
      </x:c>
      <x:c r="O327" t="str">
        <x:f>IF($A327="","",N($M327)+N($N327))</x:f>
      </x:c>
      <x:c r="P327" t="str">
        <x:f>IF($A327="","",IF(AND(N($M327)&gt;0,N($N327)&gt;0),"Mixed",IF(N($M327)&gt;0,"Zakat",IF(N($N327)&gt;0,"Sadaqah",""))))</x:f>
      </x:c>
      <x:c r="R327" t="str">
        <x:f>IF($A327="","",IFS($O327&lt;5000,"Under ₹5,000",$O327&lt;=10000,"₹5,000–₹10,000",$O327&lt;=15000,"₹10,000–₹15,000",$O327&lt;=25000,"₹15,000–₹25,000",$O327&lt;=50000,"₹25,000–₹50,000",TRUE,"₹50,000+"))</x:f>
      </x:c>
    </x:row>
    <x:row r="328">
      <x:c r="G328" t="str">
        <x:f>IF($A328="","",IF($F328="Dec 2025-Apr 2026",2026045,YEAR($H328)*100+MONTH($H328)))</x:f>
      </x:c>
      <x:c r="O328" t="str">
        <x:f>IF($A328="","",N($M328)+N($N328))</x:f>
      </x:c>
      <x:c r="P328" t="str">
        <x:f>IF($A328="","",IF(AND(N($M328)&gt;0,N($N328)&gt;0),"Mixed",IF(N($M328)&gt;0,"Zakat",IF(N($N328)&gt;0,"Sadaqah",""))))</x:f>
      </x:c>
      <x:c r="R328" t="str">
        <x:f>IF($A328="","",IFS($O328&lt;5000,"Under ₹5,000",$O328&lt;=10000,"₹5,000–₹10,000",$O328&lt;=15000,"₹10,000–₹15,000",$O328&lt;=25000,"₹15,000–₹25,000",$O328&lt;=50000,"₹25,000–₹50,000",TRUE,"₹50,000+"))</x:f>
      </x:c>
    </x:row>
    <x:row r="329">
      <x:c r="G329" t="str">
        <x:f>IF($A329="","",IF($F329="Dec 2025-Apr 2026",2026045,YEAR($H329)*100+MONTH($H329)))</x:f>
      </x:c>
      <x:c r="O329" t="str">
        <x:f>IF($A329="","",N($M329)+N($N329))</x:f>
      </x:c>
      <x:c r="P329" t="str">
        <x:f>IF($A329="","",IF(AND(N($M329)&gt;0,N($N329)&gt;0),"Mixed",IF(N($M329)&gt;0,"Zakat",IF(N($N329)&gt;0,"Sadaqah",""))))</x:f>
      </x:c>
      <x:c r="R329" t="str">
        <x:f>IF($A329="","",IFS($O329&lt;5000,"Under ₹5,000",$O329&lt;=10000,"₹5,000–₹10,000",$O329&lt;=15000,"₹10,000–₹15,000",$O329&lt;=25000,"₹15,000–₹25,000",$O329&lt;=50000,"₹25,000–₹50,000",TRUE,"₹50,000+"))</x:f>
      </x:c>
    </x:row>
    <x:row r="330">
      <x:c r="G330" t="str">
        <x:f>IF($A330="","",IF($F330="Dec 2025-Apr 2026",2026045,YEAR($H330)*100+MONTH($H330)))</x:f>
      </x:c>
      <x:c r="O330" t="str">
        <x:f>IF($A330="","",N($M330)+N($N330))</x:f>
      </x:c>
      <x:c r="P330" t="str">
        <x:f>IF($A330="","",IF(AND(N($M330)&gt;0,N($N330)&gt;0),"Mixed",IF(N($M330)&gt;0,"Zakat",IF(N($N330)&gt;0,"Sadaqah",""))))</x:f>
      </x:c>
      <x:c r="R330" t="str">
        <x:f>IF($A330="","",IFS($O330&lt;5000,"Under ₹5,000",$O330&lt;=10000,"₹5,000–₹10,000",$O330&lt;=15000,"₹10,000–₹15,000",$O330&lt;=25000,"₹15,000–₹25,000",$O330&lt;=50000,"₹25,000–₹50,000",TRUE,"₹50,000+"))</x:f>
      </x:c>
    </x:row>
    <x:row r="331">
      <x:c r="G331" t="str">
        <x:f>IF($A331="","",IF($F331="Dec 2025-Apr 2026",2026045,YEAR($H331)*100+MONTH($H331)))</x:f>
      </x:c>
      <x:c r="O331" t="str">
        <x:f>IF($A331="","",N($M331)+N($N331))</x:f>
      </x:c>
      <x:c r="P331" t="str">
        <x:f>IF($A331="","",IF(AND(N($M331)&gt;0,N($N331)&gt;0),"Mixed",IF(N($M331)&gt;0,"Zakat",IF(N($N331)&gt;0,"Sadaqah",""))))</x:f>
      </x:c>
      <x:c r="R331" t="str">
        <x:f>IF($A331="","",IFS($O331&lt;5000,"Under ₹5,000",$O331&lt;=10000,"₹5,000–₹10,000",$O331&lt;=15000,"₹10,000–₹15,000",$O331&lt;=25000,"₹15,000–₹25,000",$O331&lt;=50000,"₹25,000–₹50,000",TRUE,"₹50,000+"))</x:f>
      </x:c>
    </x:row>
    <x:row r="332">
      <x:c r="G332" t="str">
        <x:f>IF($A332="","",IF($F332="Dec 2025-Apr 2026",2026045,YEAR($H332)*100+MONTH($H332)))</x:f>
      </x:c>
      <x:c r="O332" t="str">
        <x:f>IF($A332="","",N($M332)+N($N332))</x:f>
      </x:c>
      <x:c r="P332" t="str">
        <x:f>IF($A332="","",IF(AND(N($M332)&gt;0,N($N332)&gt;0),"Mixed",IF(N($M332)&gt;0,"Zakat",IF(N($N332)&gt;0,"Sadaqah",""))))</x:f>
      </x:c>
      <x:c r="R332" t="str">
        <x:f>IF($A332="","",IFS($O332&lt;5000,"Under ₹5,000",$O332&lt;=10000,"₹5,000–₹10,000",$O332&lt;=15000,"₹10,000–₹15,000",$O332&lt;=25000,"₹15,000–₹25,000",$O332&lt;=50000,"₹25,000–₹50,000",TRUE,"₹50,000+"))</x:f>
      </x:c>
    </x:row>
    <x:row r="333">
      <x:c r="G333" t="str">
        <x:f>IF($A333="","",IF($F333="Dec 2025-Apr 2026",2026045,YEAR($H333)*100+MONTH($H333)))</x:f>
      </x:c>
      <x:c r="O333" t="str">
        <x:f>IF($A333="","",N($M333)+N($N333))</x:f>
      </x:c>
      <x:c r="P333" t="str">
        <x:f>IF($A333="","",IF(AND(N($M333)&gt;0,N($N333)&gt;0),"Mixed",IF(N($M333)&gt;0,"Zakat",IF(N($N333)&gt;0,"Sadaqah",""))))</x:f>
      </x:c>
      <x:c r="R333" t="str">
        <x:f>IF($A333="","",IFS($O333&lt;5000,"Under ₹5,000",$O333&lt;=10000,"₹5,000–₹10,000",$O333&lt;=15000,"₹10,000–₹15,000",$O333&lt;=25000,"₹15,000–₹25,000",$O333&lt;=50000,"₹25,000–₹50,000",TRUE,"₹50,000+"))</x:f>
      </x:c>
    </x:row>
    <x:row r="334">
      <x:c r="G334" t="str">
        <x:f>IF($A334="","",IF($F334="Dec 2025-Apr 2026",2026045,YEAR($H334)*100+MONTH($H334)))</x:f>
      </x:c>
      <x:c r="O334" t="str">
        <x:f>IF($A334="","",N($M334)+N($N334))</x:f>
      </x:c>
      <x:c r="P334" t="str">
        <x:f>IF($A334="","",IF(AND(N($M334)&gt;0,N($N334)&gt;0),"Mixed",IF(N($M334)&gt;0,"Zakat",IF(N($N334)&gt;0,"Sadaqah",""))))</x:f>
      </x:c>
      <x:c r="R334" t="str">
        <x:f>IF($A334="","",IFS($O334&lt;5000,"Under ₹5,000",$O334&lt;=10000,"₹5,000–₹10,000",$O334&lt;=15000,"₹10,000–₹15,000",$O334&lt;=25000,"₹15,000–₹25,000",$O334&lt;=50000,"₹25,000–₹50,000",TRUE,"₹50,000+"))</x:f>
      </x:c>
    </x:row>
    <x:row r="335">
      <x:c r="G335" t="str">
        <x:f>IF($A335="","",IF($F335="Dec 2025-Apr 2026",2026045,YEAR($H335)*100+MONTH($H335)))</x:f>
      </x:c>
      <x:c r="O335" t="str">
        <x:f>IF($A335="","",N($M335)+N($N335))</x:f>
      </x:c>
      <x:c r="P335" t="str">
        <x:f>IF($A335="","",IF(AND(N($M335)&gt;0,N($N335)&gt;0),"Mixed",IF(N($M335)&gt;0,"Zakat",IF(N($N335)&gt;0,"Sadaqah",""))))</x:f>
      </x:c>
      <x:c r="R335" t="str">
        <x:f>IF($A335="","",IFS($O335&lt;5000,"Under ₹5,000",$O335&lt;=10000,"₹5,000–₹10,000",$O335&lt;=15000,"₹10,000–₹15,000",$O335&lt;=25000,"₹15,000–₹25,000",$O335&lt;=50000,"₹25,000–₹50,000",TRUE,"₹50,000+"))</x:f>
      </x:c>
    </x:row>
    <x:row r="336">
      <x:c r="G336" t="str">
        <x:f>IF($A336="","",IF($F336="Dec 2025-Apr 2026",2026045,YEAR($H336)*100+MONTH($H336)))</x:f>
      </x:c>
      <x:c r="O336" t="str">
        <x:f>IF($A336="","",N($M336)+N($N336))</x:f>
      </x:c>
      <x:c r="P336" t="str">
        <x:f>IF($A336="","",IF(AND(N($M336)&gt;0,N($N336)&gt;0),"Mixed",IF(N($M336)&gt;0,"Zakat",IF(N($N336)&gt;0,"Sadaqah",""))))</x:f>
      </x:c>
      <x:c r="R336" t="str">
        <x:f>IF($A336="","",IFS($O336&lt;5000,"Under ₹5,000",$O336&lt;=10000,"₹5,000–₹10,000",$O336&lt;=15000,"₹10,000–₹15,000",$O336&lt;=25000,"₹15,000–₹25,000",$O336&lt;=50000,"₹25,000–₹50,000",TRUE,"₹50,000+"))</x:f>
      </x:c>
    </x:row>
    <x:row r="337">
      <x:c r="G337" t="str">
        <x:f>IF($A337="","",IF($F337="Dec 2025-Apr 2026",2026045,YEAR($H337)*100+MONTH($H337)))</x:f>
      </x:c>
      <x:c r="O337" t="str">
        <x:f>IF($A337="","",N($M337)+N($N337))</x:f>
      </x:c>
      <x:c r="P337" t="str">
        <x:f>IF($A337="","",IF(AND(N($M337)&gt;0,N($N337)&gt;0),"Mixed",IF(N($M337)&gt;0,"Zakat",IF(N($N337)&gt;0,"Sadaqah",""))))</x:f>
      </x:c>
      <x:c r="R337" t="str">
        <x:f>IF($A337="","",IFS($O337&lt;5000,"Under ₹5,000",$O337&lt;=10000,"₹5,000–₹10,000",$O337&lt;=15000,"₹10,000–₹15,000",$O337&lt;=25000,"₹15,000–₹25,000",$O337&lt;=50000,"₹25,000–₹50,000",TRUE,"₹50,000+"))</x:f>
      </x:c>
    </x:row>
    <x:row r="338">
      <x:c r="G338" t="str">
        <x:f>IF($A338="","",IF($F338="Dec 2025-Apr 2026",2026045,YEAR($H338)*100+MONTH($H338)))</x:f>
      </x:c>
      <x:c r="O338" t="str">
        <x:f>IF($A338="","",N($M338)+N($N338))</x:f>
      </x:c>
      <x:c r="P338" t="str">
        <x:f>IF($A338="","",IF(AND(N($M338)&gt;0,N($N338)&gt;0),"Mixed",IF(N($M338)&gt;0,"Zakat",IF(N($N338)&gt;0,"Sadaqah",""))))</x:f>
      </x:c>
      <x:c r="R338" t="str">
        <x:f>IF($A338="","",IFS($O338&lt;5000,"Under ₹5,000",$O338&lt;=10000,"₹5,000–₹10,000",$O338&lt;=15000,"₹10,000–₹15,000",$O338&lt;=25000,"₹15,000–₹25,000",$O338&lt;=50000,"₹25,000–₹50,000",TRUE,"₹50,000+"))</x:f>
      </x:c>
    </x:row>
    <x:row r="339">
      <x:c r="G339" t="str">
        <x:f>IF($A339="","",IF($F339="Dec 2025-Apr 2026",2026045,YEAR($H339)*100+MONTH($H339)))</x:f>
      </x:c>
      <x:c r="O339" t="str">
        <x:f>IF($A339="","",N($M339)+N($N339))</x:f>
      </x:c>
      <x:c r="P339" t="str">
        <x:f>IF($A339="","",IF(AND(N($M339)&gt;0,N($N339)&gt;0),"Mixed",IF(N($M339)&gt;0,"Zakat",IF(N($N339)&gt;0,"Sadaqah",""))))</x:f>
      </x:c>
      <x:c r="R339" t="str">
        <x:f>IF($A339="","",IFS($O339&lt;5000,"Under ₹5,000",$O339&lt;=10000,"₹5,000–₹10,000",$O339&lt;=15000,"₹10,000–₹15,000",$O339&lt;=25000,"₹15,000–₹25,000",$O339&lt;=50000,"₹25,000–₹50,000",TRUE,"₹50,000+"))</x:f>
      </x:c>
    </x:row>
    <x:row r="340">
      <x:c r="G340" t="str">
        <x:f>IF($A340="","",IF($F340="Dec 2025-Apr 2026",2026045,YEAR($H340)*100+MONTH($H340)))</x:f>
      </x:c>
      <x:c r="O340" t="str">
        <x:f>IF($A340="","",N($M340)+N($N340))</x:f>
      </x:c>
      <x:c r="P340" t="str">
        <x:f>IF($A340="","",IF(AND(N($M340)&gt;0,N($N340)&gt;0),"Mixed",IF(N($M340)&gt;0,"Zakat",IF(N($N340)&gt;0,"Sadaqah",""))))</x:f>
      </x:c>
      <x:c r="R340" t="str">
        <x:f>IF($A340="","",IFS($O340&lt;5000,"Under ₹5,000",$O340&lt;=10000,"₹5,000–₹10,000",$O340&lt;=15000,"₹10,000–₹15,000",$O340&lt;=25000,"₹15,000–₹25,000",$O340&lt;=50000,"₹25,000–₹50,000",TRUE,"₹50,000+"))</x:f>
      </x:c>
    </x:row>
    <x:row r="341">
      <x:c r="G341" t="str">
        <x:f>IF($A341="","",IF($F341="Dec 2025-Apr 2026",2026045,YEAR($H341)*100+MONTH($H341)))</x:f>
      </x:c>
      <x:c r="O341" t="str">
        <x:f>IF($A341="","",N($M341)+N($N341))</x:f>
      </x:c>
      <x:c r="P341" t="str">
        <x:f>IF($A341="","",IF(AND(N($M341)&gt;0,N($N341)&gt;0),"Mixed",IF(N($M341)&gt;0,"Zakat",IF(N($N341)&gt;0,"Sadaqah",""))))</x:f>
      </x:c>
      <x:c r="R341" t="str">
        <x:f>IF($A341="","",IFS($O341&lt;5000,"Under ₹5,000",$O341&lt;=10000,"₹5,000–₹10,000",$O341&lt;=15000,"₹10,000–₹15,000",$O341&lt;=25000,"₹15,000–₹25,000",$O341&lt;=50000,"₹25,000–₹50,000",TRUE,"₹50,000+"))</x:f>
      </x:c>
    </x:row>
    <x:row r="342">
      <x:c r="G342" t="str">
        <x:f>IF($A342="","",IF($F342="Dec 2025-Apr 2026",2026045,YEAR($H342)*100+MONTH($H342)))</x:f>
      </x:c>
      <x:c r="O342" t="str">
        <x:f>IF($A342="","",N($M342)+N($N342))</x:f>
      </x:c>
      <x:c r="P342" t="str">
        <x:f>IF($A342="","",IF(AND(N($M342)&gt;0,N($N342)&gt;0),"Mixed",IF(N($M342)&gt;0,"Zakat",IF(N($N342)&gt;0,"Sadaqah",""))))</x:f>
      </x:c>
      <x:c r="R342" t="str">
        <x:f>IF($A342="","",IFS($O342&lt;5000,"Under ₹5,000",$O342&lt;=10000,"₹5,000–₹10,000",$O342&lt;=15000,"₹10,000–₹15,000",$O342&lt;=25000,"₹15,000–₹25,000",$O342&lt;=50000,"₹25,000–₹50,000",TRUE,"₹50,000+"))</x:f>
      </x:c>
    </x:row>
    <x:row r="343">
      <x:c r="G343" t="str">
        <x:f>IF($A343="","",IF($F343="Dec 2025-Apr 2026",2026045,YEAR($H343)*100+MONTH($H343)))</x:f>
      </x:c>
      <x:c r="O343" t="str">
        <x:f>IF($A343="","",N($M343)+N($N343))</x:f>
      </x:c>
      <x:c r="P343" t="str">
        <x:f>IF($A343="","",IF(AND(N($M343)&gt;0,N($N343)&gt;0),"Mixed",IF(N($M343)&gt;0,"Zakat",IF(N($N343)&gt;0,"Sadaqah",""))))</x:f>
      </x:c>
      <x:c r="R343" t="str">
        <x:f>IF($A343="","",IFS($O343&lt;5000,"Under ₹5,000",$O343&lt;=10000,"₹5,000–₹10,000",$O343&lt;=15000,"₹10,000–₹15,000",$O343&lt;=25000,"₹15,000–₹25,000",$O343&lt;=50000,"₹25,000–₹50,000",TRUE,"₹50,000+"))</x:f>
      </x:c>
    </x:row>
    <x:row r="344">
      <x:c r="G344" t="str">
        <x:f>IF($A344="","",IF($F344="Dec 2025-Apr 2026",2026045,YEAR($H344)*100+MONTH($H344)))</x:f>
      </x:c>
      <x:c r="O344" t="str">
        <x:f>IF($A344="","",N($M344)+N($N344))</x:f>
      </x:c>
      <x:c r="P344" t="str">
        <x:f>IF($A344="","",IF(AND(N($M344)&gt;0,N($N344)&gt;0),"Mixed",IF(N($M344)&gt;0,"Zakat",IF(N($N344)&gt;0,"Sadaqah",""))))</x:f>
      </x:c>
      <x:c r="R344" t="str">
        <x:f>IF($A344="","",IFS($O344&lt;5000,"Under ₹5,000",$O344&lt;=10000,"₹5,000–₹10,000",$O344&lt;=15000,"₹10,000–₹15,000",$O344&lt;=25000,"₹15,000–₹25,000",$O344&lt;=50000,"₹25,000–₹50,000",TRUE,"₹50,000+"))</x:f>
      </x:c>
    </x:row>
    <x:row r="345">
      <x:c r="G345" t="str">
        <x:f>IF($A345="","",IF($F345="Dec 2025-Apr 2026",2026045,YEAR($H345)*100+MONTH($H345)))</x:f>
      </x:c>
      <x:c r="O345" t="str">
        <x:f>IF($A345="","",N($M345)+N($N345))</x:f>
      </x:c>
      <x:c r="P345" t="str">
        <x:f>IF($A345="","",IF(AND(N($M345)&gt;0,N($N345)&gt;0),"Mixed",IF(N($M345)&gt;0,"Zakat",IF(N($N345)&gt;0,"Sadaqah",""))))</x:f>
      </x:c>
      <x:c r="R345" t="str">
        <x:f>IF($A345="","",IFS($O345&lt;5000,"Under ₹5,000",$O345&lt;=10000,"₹5,000–₹10,000",$O345&lt;=15000,"₹10,000–₹15,000",$O345&lt;=25000,"₹15,000–₹25,000",$O345&lt;=50000,"₹25,000–₹50,000",TRUE,"₹50,000+"))</x:f>
      </x:c>
    </x:row>
    <x:row r="346">
      <x:c r="G346" t="str">
        <x:f>IF($A346="","",IF($F346="Dec 2025-Apr 2026",2026045,YEAR($H346)*100+MONTH($H346)))</x:f>
      </x:c>
      <x:c r="O346" t="str">
        <x:f>IF($A346="","",N($M346)+N($N346))</x:f>
      </x:c>
      <x:c r="P346" t="str">
        <x:f>IF($A346="","",IF(AND(N($M346)&gt;0,N($N346)&gt;0),"Mixed",IF(N($M346)&gt;0,"Zakat",IF(N($N346)&gt;0,"Sadaqah",""))))</x:f>
      </x:c>
      <x:c r="R346" t="str">
        <x:f>IF($A346="","",IFS($O346&lt;5000,"Under ₹5,000",$O346&lt;=10000,"₹5,000–₹10,000",$O346&lt;=15000,"₹10,000–₹15,000",$O346&lt;=25000,"₹15,000–₹25,000",$O346&lt;=50000,"₹25,000–₹50,000",TRUE,"₹50,000+"))</x:f>
      </x:c>
    </x:row>
    <x:row r="347">
      <x:c r="G347" t="str">
        <x:f>IF($A347="","",IF($F347="Dec 2025-Apr 2026",2026045,YEAR($H347)*100+MONTH($H347)))</x:f>
      </x:c>
      <x:c r="O347" t="str">
        <x:f>IF($A347="","",N($M347)+N($N347))</x:f>
      </x:c>
      <x:c r="P347" t="str">
        <x:f>IF($A347="","",IF(AND(N($M347)&gt;0,N($N347)&gt;0),"Mixed",IF(N($M347)&gt;0,"Zakat",IF(N($N347)&gt;0,"Sadaqah",""))))</x:f>
      </x:c>
      <x:c r="R347" t="str">
        <x:f>IF($A347="","",IFS($O347&lt;5000,"Under ₹5,000",$O347&lt;=10000,"₹5,000–₹10,000",$O347&lt;=15000,"₹10,000–₹15,000",$O347&lt;=25000,"₹15,000–₹25,000",$O347&lt;=50000,"₹25,000–₹50,000",TRUE,"₹50,000+"))</x:f>
      </x:c>
    </x:row>
    <x:row r="348">
      <x:c r="G348" t="str">
        <x:f>IF($A348="","",IF($F348="Dec 2025-Apr 2026",2026045,YEAR($H348)*100+MONTH($H348)))</x:f>
      </x:c>
      <x:c r="O348" t="str">
        <x:f>IF($A348="","",N($M348)+N($N348))</x:f>
      </x:c>
      <x:c r="P348" t="str">
        <x:f>IF($A348="","",IF(AND(N($M348)&gt;0,N($N348)&gt;0),"Mixed",IF(N($M348)&gt;0,"Zakat",IF(N($N348)&gt;0,"Sadaqah",""))))</x:f>
      </x:c>
      <x:c r="R348" t="str">
        <x:f>IF($A348="","",IFS($O348&lt;5000,"Under ₹5,000",$O348&lt;=10000,"₹5,000–₹10,000",$O348&lt;=15000,"₹10,000–₹15,000",$O348&lt;=25000,"₹15,000–₹25,000",$O348&lt;=50000,"₹25,000–₹50,000",TRUE,"₹50,000+"))</x:f>
      </x:c>
    </x:row>
    <x:row r="349">
      <x:c r="G349" t="str">
        <x:f>IF($A349="","",IF($F349="Dec 2025-Apr 2026",2026045,YEAR($H349)*100+MONTH($H349)))</x:f>
      </x:c>
      <x:c r="O349" t="str">
        <x:f>IF($A349="","",N($M349)+N($N349))</x:f>
      </x:c>
      <x:c r="P349" t="str">
        <x:f>IF($A349="","",IF(AND(N($M349)&gt;0,N($N349)&gt;0),"Mixed",IF(N($M349)&gt;0,"Zakat",IF(N($N349)&gt;0,"Sadaqah",""))))</x:f>
      </x:c>
      <x:c r="R349" t="str">
        <x:f>IF($A349="","",IFS($O349&lt;5000,"Under ₹5,000",$O349&lt;=10000,"₹5,000–₹10,000",$O349&lt;=15000,"₹10,000–₹15,000",$O349&lt;=25000,"₹15,000–₹25,000",$O349&lt;=50000,"₹25,000–₹50,000",TRUE,"₹50,000+"))</x:f>
      </x:c>
    </x:row>
    <x:row r="350">
      <x:c r="G350" t="str">
        <x:f>IF($A350="","",IF($F350="Dec 2025-Apr 2026",2026045,YEAR($H350)*100+MONTH($H350)))</x:f>
      </x:c>
      <x:c r="O350" t="str">
        <x:f>IF($A350="","",N($M350)+N($N350))</x:f>
      </x:c>
      <x:c r="P350" t="str">
        <x:f>IF($A350="","",IF(AND(N($M350)&gt;0,N($N350)&gt;0),"Mixed",IF(N($M350)&gt;0,"Zakat",IF(N($N350)&gt;0,"Sadaqah",""))))</x:f>
      </x:c>
      <x:c r="R350" t="str">
        <x:f>IF($A350="","",IFS($O350&lt;5000,"Under ₹5,000",$O350&lt;=10000,"₹5,000–₹10,000",$O350&lt;=15000,"₹10,000–₹15,000",$O350&lt;=25000,"₹15,000–₹25,000",$O350&lt;=50000,"₹25,000–₹50,000",TRUE,"₹50,000+"))</x:f>
      </x:c>
    </x:row>
    <x:row r="351">
      <x:c r="G351" t="str">
        <x:f>IF($A351="","",IF($F351="Dec 2025-Apr 2026",2026045,YEAR($H351)*100+MONTH($H351)))</x:f>
      </x:c>
      <x:c r="O351" t="str">
        <x:f>IF($A351="","",N($M351)+N($N351))</x:f>
      </x:c>
      <x:c r="P351" t="str">
        <x:f>IF($A351="","",IF(AND(N($M351)&gt;0,N($N351)&gt;0),"Mixed",IF(N($M351)&gt;0,"Zakat",IF(N($N351)&gt;0,"Sadaqah",""))))</x:f>
      </x:c>
      <x:c r="R351" t="str">
        <x:f>IF($A351="","",IFS($O351&lt;5000,"Under ₹5,000",$O351&lt;=10000,"₹5,000–₹10,000",$O351&lt;=15000,"₹10,000–₹15,000",$O351&lt;=25000,"₹15,000–₹25,000",$O351&lt;=50000,"₹25,000–₹50,000",TRUE,"₹50,000+"))</x:f>
      </x:c>
    </x:row>
    <x:row r="352">
      <x:c r="G352" t="str">
        <x:f>IF($A352="","",IF($F352="Dec 2025-Apr 2026",2026045,YEAR($H352)*100+MONTH($H352)))</x:f>
      </x:c>
      <x:c r="O352" t="str">
        <x:f>IF($A352="","",N($M352)+N($N352))</x:f>
      </x:c>
      <x:c r="P352" t="str">
        <x:f>IF($A352="","",IF(AND(N($M352)&gt;0,N($N352)&gt;0),"Mixed",IF(N($M352)&gt;0,"Zakat",IF(N($N352)&gt;0,"Sadaqah",""))))</x:f>
      </x:c>
      <x:c r="R352" t="str">
        <x:f>IF($A352="","",IFS($O352&lt;5000,"Under ₹5,000",$O352&lt;=10000,"₹5,000–₹10,000",$O352&lt;=15000,"₹10,000–₹15,000",$O352&lt;=25000,"₹15,000–₹25,000",$O352&lt;=50000,"₹25,000–₹50,000",TRUE,"₹50,000+"))</x:f>
      </x:c>
    </x:row>
    <x:row r="353">
      <x:c r="G353" t="str">
        <x:f>IF($A353="","",IF($F353="Dec 2025-Apr 2026",2026045,YEAR($H353)*100+MONTH($H353)))</x:f>
      </x:c>
      <x:c r="O353" t="str">
        <x:f>IF($A353="","",N($M353)+N($N353))</x:f>
      </x:c>
      <x:c r="P353" t="str">
        <x:f>IF($A353="","",IF(AND(N($M353)&gt;0,N($N353)&gt;0),"Mixed",IF(N($M353)&gt;0,"Zakat",IF(N($N353)&gt;0,"Sadaqah",""))))</x:f>
      </x:c>
      <x:c r="R353" t="str">
        <x:f>IF($A353="","",IFS($O353&lt;5000,"Under ₹5,000",$O353&lt;=10000,"₹5,000–₹10,000",$O353&lt;=15000,"₹10,000–₹15,000",$O353&lt;=25000,"₹15,000–₹25,000",$O353&lt;=50000,"₹25,000–₹50,000",TRUE,"₹50,000+"))</x:f>
      </x:c>
    </x:row>
    <x:row r="354">
      <x:c r="G354" t="str">
        <x:f>IF($A354="","",IF($F354="Dec 2025-Apr 2026",2026045,YEAR($H354)*100+MONTH($H354)))</x:f>
      </x:c>
      <x:c r="O354" t="str">
        <x:f>IF($A354="","",N($M354)+N($N354))</x:f>
      </x:c>
      <x:c r="P354" t="str">
        <x:f>IF($A354="","",IF(AND(N($M354)&gt;0,N($N354)&gt;0),"Mixed",IF(N($M354)&gt;0,"Zakat",IF(N($N354)&gt;0,"Sadaqah",""))))</x:f>
      </x:c>
      <x:c r="R354" t="str">
        <x:f>IF($A354="","",IFS($O354&lt;5000,"Under ₹5,000",$O354&lt;=10000,"₹5,000–₹10,000",$O354&lt;=15000,"₹10,000–₹15,000",$O354&lt;=25000,"₹15,000–₹25,000",$O354&lt;=50000,"₹25,000–₹50,000",TRUE,"₹50,000+"))</x:f>
      </x:c>
    </x:row>
    <x:row r="355">
      <x:c r="G355" t="str">
        <x:f>IF($A355="","",IF($F355="Dec 2025-Apr 2026",2026045,YEAR($H355)*100+MONTH($H355)))</x:f>
      </x:c>
      <x:c r="O355" t="str">
        <x:f>IF($A355="","",N($M355)+N($N355))</x:f>
      </x:c>
      <x:c r="P355" t="str">
        <x:f>IF($A355="","",IF(AND(N($M355)&gt;0,N($N355)&gt;0),"Mixed",IF(N($M355)&gt;0,"Zakat",IF(N($N355)&gt;0,"Sadaqah",""))))</x:f>
      </x:c>
      <x:c r="R355" t="str">
        <x:f>IF($A355="","",IFS($O355&lt;5000,"Under ₹5,000",$O355&lt;=10000,"₹5,000–₹10,000",$O355&lt;=15000,"₹10,000–₹15,000",$O355&lt;=25000,"₹15,000–₹25,000",$O355&lt;=50000,"₹25,000–₹50,000",TRUE,"₹50,000+"))</x:f>
      </x:c>
    </x:row>
    <x:row r="356">
      <x:c r="G356" t="str">
        <x:f>IF($A356="","",IF($F356="Dec 2025-Apr 2026",2026045,YEAR($H356)*100+MONTH($H356)))</x:f>
      </x:c>
      <x:c r="O356" t="str">
        <x:f>IF($A356="","",N($M356)+N($N356))</x:f>
      </x:c>
      <x:c r="P356" t="str">
        <x:f>IF($A356="","",IF(AND(N($M356)&gt;0,N($N356)&gt;0),"Mixed",IF(N($M356)&gt;0,"Zakat",IF(N($N356)&gt;0,"Sadaqah",""))))</x:f>
      </x:c>
      <x:c r="R356" t="str">
        <x:f>IF($A356="","",IFS($O356&lt;5000,"Under ₹5,000",$O356&lt;=10000,"₹5,000–₹10,000",$O356&lt;=15000,"₹10,000–₹15,000",$O356&lt;=25000,"₹15,000–₹25,000",$O356&lt;=50000,"₹25,000–₹50,000",TRUE,"₹50,000+"))</x:f>
      </x:c>
    </x:row>
    <x:row r="357">
      <x:c r="G357" t="str">
        <x:f>IF($A357="","",IF($F357="Dec 2025-Apr 2026",2026045,YEAR($H357)*100+MONTH($H357)))</x:f>
      </x:c>
      <x:c r="O357" t="str">
        <x:f>IF($A357="","",N($M357)+N($N357))</x:f>
      </x:c>
      <x:c r="P357" t="str">
        <x:f>IF($A357="","",IF(AND(N($M357)&gt;0,N($N357)&gt;0),"Mixed",IF(N($M357)&gt;0,"Zakat",IF(N($N357)&gt;0,"Sadaqah",""))))</x:f>
      </x:c>
      <x:c r="R357" t="str">
        <x:f>IF($A357="","",IFS($O357&lt;5000,"Under ₹5,000",$O357&lt;=10000,"₹5,000–₹10,000",$O357&lt;=15000,"₹10,000–₹15,000",$O357&lt;=25000,"₹15,000–₹25,000",$O357&lt;=50000,"₹25,000–₹50,000",TRUE,"₹50,000+"))</x:f>
      </x:c>
    </x:row>
    <x:row r="358">
      <x:c r="G358" t="str">
        <x:f>IF($A358="","",IF($F358="Dec 2025-Apr 2026",2026045,YEAR($H358)*100+MONTH($H358)))</x:f>
      </x:c>
      <x:c r="O358" t="str">
        <x:f>IF($A358="","",N($M358)+N($N358))</x:f>
      </x:c>
      <x:c r="P358" t="str">
        <x:f>IF($A358="","",IF(AND(N($M358)&gt;0,N($N358)&gt;0),"Mixed",IF(N($M358)&gt;0,"Zakat",IF(N($N358)&gt;0,"Sadaqah",""))))</x:f>
      </x:c>
      <x:c r="R358" t="str">
        <x:f>IF($A358="","",IFS($O358&lt;5000,"Under ₹5,000",$O358&lt;=10000,"₹5,000–₹10,000",$O358&lt;=15000,"₹10,000–₹15,000",$O358&lt;=25000,"₹15,000–₹25,000",$O358&lt;=50000,"₹25,000–₹50,000",TRUE,"₹50,000+"))</x:f>
      </x:c>
    </x:row>
    <x:row r="359">
      <x:c r="G359" t="str">
        <x:f>IF($A359="","",IF($F359="Dec 2025-Apr 2026",2026045,YEAR($H359)*100+MONTH($H359)))</x:f>
      </x:c>
      <x:c r="O359" t="str">
        <x:f>IF($A359="","",N($M359)+N($N359))</x:f>
      </x:c>
      <x:c r="P359" t="str">
        <x:f>IF($A359="","",IF(AND(N($M359)&gt;0,N($N359)&gt;0),"Mixed",IF(N($M359)&gt;0,"Zakat",IF(N($N359)&gt;0,"Sadaqah",""))))</x:f>
      </x:c>
      <x:c r="R359" t="str">
        <x:f>IF($A359="","",IFS($O359&lt;5000,"Under ₹5,000",$O359&lt;=10000,"₹5,000–₹10,000",$O359&lt;=15000,"₹10,000–₹15,000",$O359&lt;=25000,"₹15,000–₹25,000",$O359&lt;=50000,"₹25,000–₹50,000",TRUE,"₹50,000+"))</x:f>
      </x:c>
    </x:row>
    <x:row r="360">
      <x:c r="G360" t="str">
        <x:f>IF($A360="","",IF($F360="Dec 2025-Apr 2026",2026045,YEAR($H360)*100+MONTH($H360)))</x:f>
      </x:c>
      <x:c r="O360" t="str">
        <x:f>IF($A360="","",N($M360)+N($N360))</x:f>
      </x:c>
      <x:c r="P360" t="str">
        <x:f>IF($A360="","",IF(AND(N($M360)&gt;0,N($N360)&gt;0),"Mixed",IF(N($M360)&gt;0,"Zakat",IF(N($N360)&gt;0,"Sadaqah",""))))</x:f>
      </x:c>
      <x:c r="R360" t="str">
        <x:f>IF($A360="","",IFS($O360&lt;5000,"Under ₹5,000",$O360&lt;=10000,"₹5,000–₹10,000",$O360&lt;=15000,"₹10,000–₹15,000",$O360&lt;=25000,"₹15,000–₹25,000",$O360&lt;=50000,"₹25,000–₹50,000",TRUE,"₹50,000+"))</x:f>
      </x:c>
    </x:row>
    <x:row r="361">
      <x:c r="G361" t="str">
        <x:f>IF($A361="","",IF($F361="Dec 2025-Apr 2026",2026045,YEAR($H361)*100+MONTH($H361)))</x:f>
      </x:c>
      <x:c r="O361" t="str">
        <x:f>IF($A361="","",N($M361)+N($N361))</x:f>
      </x:c>
      <x:c r="P361" t="str">
        <x:f>IF($A361="","",IF(AND(N($M361)&gt;0,N($N361)&gt;0),"Mixed",IF(N($M361)&gt;0,"Zakat",IF(N($N361)&gt;0,"Sadaqah",""))))</x:f>
      </x:c>
      <x:c r="R361" t="str">
        <x:f>IF($A361="","",IFS($O361&lt;5000,"Under ₹5,000",$O361&lt;=10000,"₹5,000–₹10,000",$O361&lt;=15000,"₹10,000–₹15,000",$O361&lt;=25000,"₹15,000–₹25,000",$O361&lt;=50000,"₹25,000–₹50,000",TRUE,"₹50,000+"))</x:f>
      </x:c>
    </x:row>
    <x:row r="362">
      <x:c r="G362" t="str">
        <x:f>IF($A362="","",IF($F362="Dec 2025-Apr 2026",2026045,YEAR($H362)*100+MONTH($H362)))</x:f>
      </x:c>
      <x:c r="O362" t="str">
        <x:f>IF($A362="","",N($M362)+N($N362))</x:f>
      </x:c>
      <x:c r="P362" t="str">
        <x:f>IF($A362="","",IF(AND(N($M362)&gt;0,N($N362)&gt;0),"Mixed",IF(N($M362)&gt;0,"Zakat",IF(N($N362)&gt;0,"Sadaqah",""))))</x:f>
      </x:c>
      <x:c r="R362" t="str">
        <x:f>IF($A362="","",IFS($O362&lt;5000,"Under ₹5,000",$O362&lt;=10000,"₹5,000–₹10,000",$O362&lt;=15000,"₹10,000–₹15,000",$O362&lt;=25000,"₹15,000–₹25,000",$O362&lt;=50000,"₹25,000–₹50,000",TRUE,"₹50,000+"))</x:f>
      </x:c>
    </x:row>
    <x:row r="363">
      <x:c r="G363" t="str">
        <x:f>IF($A363="","",IF($F363="Dec 2025-Apr 2026",2026045,YEAR($H363)*100+MONTH($H363)))</x:f>
      </x:c>
      <x:c r="O363" t="str">
        <x:f>IF($A363="","",N($M363)+N($N363))</x:f>
      </x:c>
      <x:c r="P363" t="str">
        <x:f>IF($A363="","",IF(AND(N($M363)&gt;0,N($N363)&gt;0),"Mixed",IF(N($M363)&gt;0,"Zakat",IF(N($N363)&gt;0,"Sadaqah",""))))</x:f>
      </x:c>
      <x:c r="R363" t="str">
        <x:f>IF($A363="","",IFS($O363&lt;5000,"Under ₹5,000",$O363&lt;=10000,"₹5,000–₹10,000",$O363&lt;=15000,"₹10,000–₹15,000",$O363&lt;=25000,"₹15,000–₹25,000",$O363&lt;=50000,"₹25,000–₹50,000",TRUE,"₹50,000+"))</x:f>
      </x:c>
    </x:row>
    <x:row r="364">
      <x:c r="G364" t="str">
        <x:f>IF($A364="","",IF($F364="Dec 2025-Apr 2026",2026045,YEAR($H364)*100+MONTH($H364)))</x:f>
      </x:c>
      <x:c r="O364" t="str">
        <x:f>IF($A364="","",N($M364)+N($N364))</x:f>
      </x:c>
      <x:c r="P364" t="str">
        <x:f>IF($A364="","",IF(AND(N($M364)&gt;0,N($N364)&gt;0),"Mixed",IF(N($M364)&gt;0,"Zakat",IF(N($N364)&gt;0,"Sadaqah",""))))</x:f>
      </x:c>
      <x:c r="R364" t="str">
        <x:f>IF($A364="","",IFS($O364&lt;5000,"Under ₹5,000",$O364&lt;=10000,"₹5,000–₹10,000",$O364&lt;=15000,"₹10,000–₹15,000",$O364&lt;=25000,"₹15,000–₹25,000",$O364&lt;=50000,"₹25,000–₹50,000",TRUE,"₹50,000+"))</x:f>
      </x:c>
    </x:row>
    <x:row r="365">
      <x:c r="G365" t="str">
        <x:f>IF($A365="","",IF($F365="Dec 2025-Apr 2026",2026045,YEAR($H365)*100+MONTH($H365)))</x:f>
      </x:c>
      <x:c r="O365" t="str">
        <x:f>IF($A365="","",N($M365)+N($N365))</x:f>
      </x:c>
      <x:c r="P365" t="str">
        <x:f>IF($A365="","",IF(AND(N($M365)&gt;0,N($N365)&gt;0),"Mixed",IF(N($M365)&gt;0,"Zakat",IF(N($N365)&gt;0,"Sadaqah",""))))</x:f>
      </x:c>
      <x:c r="R365" t="str">
        <x:f>IF($A365="","",IFS($O365&lt;5000,"Under ₹5,000",$O365&lt;=10000,"₹5,000–₹10,000",$O365&lt;=15000,"₹10,000–₹15,000",$O365&lt;=25000,"₹15,000–₹25,000",$O365&lt;=50000,"₹25,000–₹50,000",TRUE,"₹50,000+"))</x:f>
      </x:c>
    </x:row>
    <x:row r="366">
      <x:c r="G366" t="str">
        <x:f>IF($A366="","",IF($F366="Dec 2025-Apr 2026",2026045,YEAR($H366)*100+MONTH($H366)))</x:f>
      </x:c>
      <x:c r="O366" t="str">
        <x:f>IF($A366="","",N($M366)+N($N366))</x:f>
      </x:c>
      <x:c r="P366" t="str">
        <x:f>IF($A366="","",IF(AND(N($M366)&gt;0,N($N366)&gt;0),"Mixed",IF(N($M366)&gt;0,"Zakat",IF(N($N366)&gt;0,"Sadaqah",""))))</x:f>
      </x:c>
      <x:c r="R366" t="str">
        <x:f>IF($A366="","",IFS($O366&lt;5000,"Under ₹5,000",$O366&lt;=10000,"₹5,000–₹10,000",$O366&lt;=15000,"₹10,000–₹15,000",$O366&lt;=25000,"₹15,000–₹25,000",$O366&lt;=50000,"₹25,000–₹50,000",TRUE,"₹50,000+"))</x:f>
      </x:c>
    </x:row>
    <x:row r="367">
      <x:c r="G367" t="str">
        <x:f>IF($A367="","",IF($F367="Dec 2025-Apr 2026",2026045,YEAR($H367)*100+MONTH($H367)))</x:f>
      </x:c>
      <x:c r="O367" t="str">
        <x:f>IF($A367="","",N($M367)+N($N367))</x:f>
      </x:c>
      <x:c r="P367" t="str">
        <x:f>IF($A367="","",IF(AND(N($M367)&gt;0,N($N367)&gt;0),"Mixed",IF(N($M367)&gt;0,"Zakat",IF(N($N367)&gt;0,"Sadaqah",""))))</x:f>
      </x:c>
      <x:c r="R367" t="str">
        <x:f>IF($A367="","",IFS($O367&lt;5000,"Under ₹5,000",$O367&lt;=10000,"₹5,000–₹10,000",$O367&lt;=15000,"₹10,000–₹15,000",$O367&lt;=25000,"₹15,000–₹25,000",$O367&lt;=50000,"₹25,000–₹50,000",TRUE,"₹50,000+"))</x:f>
      </x:c>
    </x:row>
    <x:row r="368">
      <x:c r="G368" t="str">
        <x:f>IF($A368="","",IF($F368="Dec 2025-Apr 2026",2026045,YEAR($H368)*100+MONTH($H368)))</x:f>
      </x:c>
      <x:c r="O368" t="str">
        <x:f>IF($A368="","",N($M368)+N($N368))</x:f>
      </x:c>
      <x:c r="P368" t="str">
        <x:f>IF($A368="","",IF(AND(N($M368)&gt;0,N($N368)&gt;0),"Mixed",IF(N($M368)&gt;0,"Zakat",IF(N($N368)&gt;0,"Sadaqah",""))))</x:f>
      </x:c>
      <x:c r="R368" t="str">
        <x:f>IF($A368="","",IFS($O368&lt;5000,"Under ₹5,000",$O368&lt;=10000,"₹5,000–₹10,000",$O368&lt;=15000,"₹10,000–₹15,000",$O368&lt;=25000,"₹15,000–₹25,000",$O368&lt;=50000,"₹25,000–₹50,000",TRUE,"₹50,000+"))</x:f>
      </x:c>
    </x:row>
    <x:row r="369">
      <x:c r="G369" t="str">
        <x:f>IF($A369="","",IF($F369="Dec 2025-Apr 2026",2026045,YEAR($H369)*100+MONTH($H369)))</x:f>
      </x:c>
      <x:c r="O369" t="str">
        <x:f>IF($A369="","",N($M369)+N($N369))</x:f>
      </x:c>
      <x:c r="P369" t="str">
        <x:f>IF($A369="","",IF(AND(N($M369)&gt;0,N($N369)&gt;0),"Mixed",IF(N($M369)&gt;0,"Zakat",IF(N($N369)&gt;0,"Sadaqah",""))))</x:f>
      </x:c>
      <x:c r="R369" t="str">
        <x:f>IF($A369="","",IFS($O369&lt;5000,"Under ₹5,000",$O369&lt;=10000,"₹5,000–₹10,000",$O369&lt;=15000,"₹10,000–₹15,000",$O369&lt;=25000,"₹15,000–₹25,000",$O369&lt;=50000,"₹25,000–₹50,000",TRUE,"₹50,000+"))</x:f>
      </x:c>
    </x:row>
    <x:row r="370">
      <x:c r="G370" t="str">
        <x:f>IF($A370="","",IF($F370="Dec 2025-Apr 2026",2026045,YEAR($H370)*100+MONTH($H370)))</x:f>
      </x:c>
      <x:c r="O370" t="str">
        <x:f>IF($A370="","",N($M370)+N($N370))</x:f>
      </x:c>
      <x:c r="P370" t="str">
        <x:f>IF($A370="","",IF(AND(N($M370)&gt;0,N($N370)&gt;0),"Mixed",IF(N($M370)&gt;0,"Zakat",IF(N($N370)&gt;0,"Sadaqah",""))))</x:f>
      </x:c>
      <x:c r="R370" t="str">
        <x:f>IF($A370="","",IFS($O370&lt;5000,"Under ₹5,000",$O370&lt;=10000,"₹5,000–₹10,000",$O370&lt;=15000,"₹10,000–₹15,000",$O370&lt;=25000,"₹15,000–₹25,000",$O370&lt;=50000,"₹25,000–₹50,000",TRUE,"₹50,000+"))</x:f>
      </x:c>
    </x:row>
    <x:row r="371">
      <x:c r="G371" t="str">
        <x:f>IF($A371="","",IF($F371="Dec 2025-Apr 2026",2026045,YEAR($H371)*100+MONTH($H371)))</x:f>
      </x:c>
      <x:c r="O371" t="str">
        <x:f>IF($A371="","",N($M371)+N($N371))</x:f>
      </x:c>
      <x:c r="P371" t="str">
        <x:f>IF($A371="","",IF(AND(N($M371)&gt;0,N($N371)&gt;0),"Mixed",IF(N($M371)&gt;0,"Zakat",IF(N($N371)&gt;0,"Sadaqah",""))))</x:f>
      </x:c>
      <x:c r="R371" t="str">
        <x:f>IF($A371="","",IFS($O371&lt;5000,"Under ₹5,000",$O371&lt;=10000,"₹5,000–₹10,000",$O371&lt;=15000,"₹10,000–₹15,000",$O371&lt;=25000,"₹15,000–₹25,000",$O371&lt;=50000,"₹25,000–₹50,000",TRUE,"₹50,000+"))</x:f>
      </x:c>
    </x:row>
    <x:row r="372">
      <x:c r="G372" t="str">
        <x:f>IF($A372="","",IF($F372="Dec 2025-Apr 2026",2026045,YEAR($H372)*100+MONTH($H372)))</x:f>
      </x:c>
      <x:c r="O372" t="str">
        <x:f>IF($A372="","",N($M372)+N($N372))</x:f>
      </x:c>
      <x:c r="P372" t="str">
        <x:f>IF($A372="","",IF(AND(N($M372)&gt;0,N($N372)&gt;0),"Mixed",IF(N($M372)&gt;0,"Zakat",IF(N($N372)&gt;0,"Sadaqah",""))))</x:f>
      </x:c>
      <x:c r="R372" t="str">
        <x:f>IF($A372="","",IFS($O372&lt;5000,"Under ₹5,000",$O372&lt;=10000,"₹5,000–₹10,000",$O372&lt;=15000,"₹10,000–₹15,000",$O372&lt;=25000,"₹15,000–₹25,000",$O372&lt;=50000,"₹25,000–₹50,000",TRUE,"₹50,000+"))</x:f>
      </x:c>
    </x:row>
    <x:row r="373">
      <x:c r="G373" t="str">
        <x:f>IF($A373="","",IF($F373="Dec 2025-Apr 2026",2026045,YEAR($H373)*100+MONTH($H373)))</x:f>
      </x:c>
      <x:c r="O373" t="str">
        <x:f>IF($A373="","",N($M373)+N($N373))</x:f>
      </x:c>
      <x:c r="P373" t="str">
        <x:f>IF($A373="","",IF(AND(N($M373)&gt;0,N($N373)&gt;0),"Mixed",IF(N($M373)&gt;0,"Zakat",IF(N($N373)&gt;0,"Sadaqah",""))))</x:f>
      </x:c>
      <x:c r="R373" t="str">
        <x:f>IF($A373="","",IFS($O373&lt;5000,"Under ₹5,000",$O373&lt;=10000,"₹5,000–₹10,000",$O373&lt;=15000,"₹10,000–₹15,000",$O373&lt;=25000,"₹15,000–₹25,000",$O373&lt;=50000,"₹25,000–₹50,000",TRUE,"₹50,000+"))</x:f>
      </x:c>
    </x:row>
    <x:row r="374">
      <x:c r="G374" t="str">
        <x:f>IF($A374="","",IF($F374="Dec 2025-Apr 2026",2026045,YEAR($H374)*100+MONTH($H374)))</x:f>
      </x:c>
      <x:c r="O374" t="str">
        <x:f>IF($A374="","",N($M374)+N($N374))</x:f>
      </x:c>
      <x:c r="P374" t="str">
        <x:f>IF($A374="","",IF(AND(N($M374)&gt;0,N($N374)&gt;0),"Mixed",IF(N($M374)&gt;0,"Zakat",IF(N($N374)&gt;0,"Sadaqah",""))))</x:f>
      </x:c>
      <x:c r="R374" t="str">
        <x:f>IF($A374="","",IFS($O374&lt;5000,"Under ₹5,000",$O374&lt;=10000,"₹5,000–₹10,000",$O374&lt;=15000,"₹10,000–₹15,000",$O374&lt;=25000,"₹15,000–₹25,000",$O374&lt;=50000,"₹25,000–₹50,000",TRUE,"₹50,000+"))</x:f>
      </x:c>
    </x:row>
    <x:row r="375">
      <x:c r="G375" t="str">
        <x:f>IF($A375="","",IF($F375="Dec 2025-Apr 2026",2026045,YEAR($H375)*100+MONTH($H375)))</x:f>
      </x:c>
      <x:c r="O375" t="str">
        <x:f>IF($A375="","",N($M375)+N($N375))</x:f>
      </x:c>
      <x:c r="P375" t="str">
        <x:f>IF($A375="","",IF(AND(N($M375)&gt;0,N($N375)&gt;0),"Mixed",IF(N($M375)&gt;0,"Zakat",IF(N($N375)&gt;0,"Sadaqah",""))))</x:f>
      </x:c>
      <x:c r="R375" t="str">
        <x:f>IF($A375="","",IFS($O375&lt;5000,"Under ₹5,000",$O375&lt;=10000,"₹5,000–₹10,000",$O375&lt;=15000,"₹10,000–₹15,000",$O375&lt;=25000,"₹15,000–₹25,000",$O375&lt;=50000,"₹25,000–₹50,000",TRUE,"₹50,000+"))</x:f>
      </x:c>
    </x:row>
    <x:row r="376">
      <x:c r="G376" t="str">
        <x:f>IF($A376="","",IF($F376="Dec 2025-Apr 2026",2026045,YEAR($H376)*100+MONTH($H376)))</x:f>
      </x:c>
      <x:c r="O376" t="str">
        <x:f>IF($A376="","",N($M376)+N($N376))</x:f>
      </x:c>
      <x:c r="P376" t="str">
        <x:f>IF($A376="","",IF(AND(N($M376)&gt;0,N($N376)&gt;0),"Mixed",IF(N($M376)&gt;0,"Zakat",IF(N($N376)&gt;0,"Sadaqah",""))))</x:f>
      </x:c>
      <x:c r="R376" t="str">
        <x:f>IF($A376="","",IFS($O376&lt;5000,"Under ₹5,000",$O376&lt;=10000,"₹5,000–₹10,000",$O376&lt;=15000,"₹10,000–₹15,000",$O376&lt;=25000,"₹15,000–₹25,000",$O376&lt;=50000,"₹25,000–₹50,000",TRUE,"₹50,000+"))</x:f>
      </x:c>
    </x:row>
    <x:row r="377">
      <x:c r="G377" t="str">
        <x:f>IF($A377="","",IF($F377="Dec 2025-Apr 2026",2026045,YEAR($H377)*100+MONTH($H377)))</x:f>
      </x:c>
      <x:c r="O377" t="str">
        <x:f>IF($A377="","",N($M377)+N($N377))</x:f>
      </x:c>
      <x:c r="P377" t="str">
        <x:f>IF($A377="","",IF(AND(N($M377)&gt;0,N($N377)&gt;0),"Mixed",IF(N($M377)&gt;0,"Zakat",IF(N($N377)&gt;0,"Sadaqah",""))))</x:f>
      </x:c>
      <x:c r="R377" t="str">
        <x:f>IF($A377="","",IFS($O377&lt;5000,"Under ₹5,000",$O377&lt;=10000,"₹5,000–₹10,000",$O377&lt;=15000,"₹10,000–₹15,000",$O377&lt;=25000,"₹15,000–₹25,000",$O377&lt;=50000,"₹25,000–₹50,000",TRUE,"₹50,000+"))</x:f>
      </x:c>
    </x:row>
    <x:row r="378">
      <x:c r="G378" t="str">
        <x:f>IF($A378="","",IF($F378="Dec 2025-Apr 2026",2026045,YEAR($H378)*100+MONTH($H378)))</x:f>
      </x:c>
      <x:c r="O378" t="str">
        <x:f>IF($A378="","",N($M378)+N($N378))</x:f>
      </x:c>
      <x:c r="P378" t="str">
        <x:f>IF($A378="","",IF(AND(N($M378)&gt;0,N($N378)&gt;0),"Mixed",IF(N($M378)&gt;0,"Zakat",IF(N($N378)&gt;0,"Sadaqah",""))))</x:f>
      </x:c>
      <x:c r="R378" t="str">
        <x:f>IF($A378="","",IFS($O378&lt;5000,"Under ₹5,000",$O378&lt;=10000,"₹5,000–₹10,000",$O378&lt;=15000,"₹10,000–₹15,000",$O378&lt;=25000,"₹15,000–₹25,000",$O378&lt;=50000,"₹25,000–₹50,000",TRUE,"₹50,000+"))</x:f>
      </x:c>
    </x:row>
    <x:row r="379">
      <x:c r="G379" t="str">
        <x:f>IF($A379="","",IF($F379="Dec 2025-Apr 2026",2026045,YEAR($H379)*100+MONTH($H379)))</x:f>
      </x:c>
      <x:c r="O379" t="str">
        <x:f>IF($A379="","",N($M379)+N($N379))</x:f>
      </x:c>
      <x:c r="P379" t="str">
        <x:f>IF($A379="","",IF(AND(N($M379)&gt;0,N($N379)&gt;0),"Mixed",IF(N($M379)&gt;0,"Zakat",IF(N($N379)&gt;0,"Sadaqah",""))))</x:f>
      </x:c>
      <x:c r="R379" t="str">
        <x:f>IF($A379="","",IFS($O379&lt;5000,"Under ₹5,000",$O379&lt;=10000,"₹5,000–₹10,000",$O379&lt;=15000,"₹10,000–₹15,000",$O379&lt;=25000,"₹15,000–₹25,000",$O379&lt;=50000,"₹25,000–₹50,000",TRUE,"₹50,000+"))</x:f>
      </x:c>
    </x:row>
    <x:row r="380">
      <x:c r="G380" t="str">
        <x:f>IF($A380="","",IF($F380="Dec 2025-Apr 2026",2026045,YEAR($H380)*100+MONTH($H380)))</x:f>
      </x:c>
      <x:c r="O380" t="str">
        <x:f>IF($A380="","",N($M380)+N($N380))</x:f>
      </x:c>
      <x:c r="P380" t="str">
        <x:f>IF($A380="","",IF(AND(N($M380)&gt;0,N($N380)&gt;0),"Mixed",IF(N($M380)&gt;0,"Zakat",IF(N($N380)&gt;0,"Sadaqah",""))))</x:f>
      </x:c>
      <x:c r="R380" t="str">
        <x:f>IF($A380="","",IFS($O380&lt;5000,"Under ₹5,000",$O380&lt;=10000,"₹5,000–₹10,000",$O380&lt;=15000,"₹10,000–₹15,000",$O380&lt;=25000,"₹15,000–₹25,000",$O380&lt;=50000,"₹25,000–₹50,000",TRUE,"₹50,000+"))</x:f>
      </x:c>
    </x:row>
    <x:row r="381">
      <x:c r="G381" t="str">
        <x:f>IF($A381="","",IF($F381="Dec 2025-Apr 2026",2026045,YEAR($H381)*100+MONTH($H381)))</x:f>
      </x:c>
      <x:c r="O381" t="str">
        <x:f>IF($A381="","",N($M381)+N($N381))</x:f>
      </x:c>
      <x:c r="P381" t="str">
        <x:f>IF($A381="","",IF(AND(N($M381)&gt;0,N($N381)&gt;0),"Mixed",IF(N($M381)&gt;0,"Zakat",IF(N($N381)&gt;0,"Sadaqah",""))))</x:f>
      </x:c>
      <x:c r="R381" t="str">
        <x:f>IF($A381="","",IFS($O381&lt;5000,"Under ₹5,000",$O381&lt;=10000,"₹5,000–₹10,000",$O381&lt;=15000,"₹10,000–₹15,000",$O381&lt;=25000,"₹15,000–₹25,000",$O381&lt;=50000,"₹25,000–₹50,000",TRUE,"₹50,000+"))</x:f>
      </x:c>
    </x:row>
    <x:row r="382">
      <x:c r="G382" t="str">
        <x:f>IF($A382="","",IF($F382="Dec 2025-Apr 2026",2026045,YEAR($H382)*100+MONTH($H382)))</x:f>
      </x:c>
      <x:c r="O382" t="str">
        <x:f>IF($A382="","",N($M382)+N($N382))</x:f>
      </x:c>
      <x:c r="P382" t="str">
        <x:f>IF($A382="","",IF(AND(N($M382)&gt;0,N($N382)&gt;0),"Mixed",IF(N($M382)&gt;0,"Zakat",IF(N($N382)&gt;0,"Sadaqah",""))))</x:f>
      </x:c>
      <x:c r="R382" t="str">
        <x:f>IF($A382="","",IFS($O382&lt;5000,"Under ₹5,000",$O382&lt;=10000,"₹5,000–₹10,000",$O382&lt;=15000,"₹10,000–₹15,000",$O382&lt;=25000,"₹15,000–₹25,000",$O382&lt;=50000,"₹25,000–₹50,000",TRUE,"₹50,000+"))</x:f>
      </x:c>
    </x:row>
    <x:row r="383">
      <x:c r="G383" t="str">
        <x:f>IF($A383="","",IF($F383="Dec 2025-Apr 2026",2026045,YEAR($H383)*100+MONTH($H383)))</x:f>
      </x:c>
      <x:c r="O383" t="str">
        <x:f>IF($A383="","",N($M383)+N($N383))</x:f>
      </x:c>
      <x:c r="P383" t="str">
        <x:f>IF($A383="","",IF(AND(N($M383)&gt;0,N($N383)&gt;0),"Mixed",IF(N($M383)&gt;0,"Zakat",IF(N($N383)&gt;0,"Sadaqah",""))))</x:f>
      </x:c>
      <x:c r="R383" t="str">
        <x:f>IF($A383="","",IFS($O383&lt;5000,"Under ₹5,000",$O383&lt;=10000,"₹5,000–₹10,000",$O383&lt;=15000,"₹10,000–₹15,000",$O383&lt;=25000,"₹15,000–₹25,000",$O383&lt;=50000,"₹25,000–₹50,000",TRUE,"₹50,000+"))</x:f>
      </x:c>
    </x:row>
    <x:row r="384">
      <x:c r="G384" t="str">
        <x:f>IF($A384="","",IF($F384="Dec 2025-Apr 2026",2026045,YEAR($H384)*100+MONTH($H384)))</x:f>
      </x:c>
      <x:c r="O384" t="str">
        <x:f>IF($A384="","",N($M384)+N($N384))</x:f>
      </x:c>
      <x:c r="P384" t="str">
        <x:f>IF($A384="","",IF(AND(N($M384)&gt;0,N($N384)&gt;0),"Mixed",IF(N($M384)&gt;0,"Zakat",IF(N($N384)&gt;0,"Sadaqah",""))))</x:f>
      </x:c>
      <x:c r="R384" t="str">
        <x:f>IF($A384="","",IFS($O384&lt;5000,"Under ₹5,000",$O384&lt;=10000,"₹5,000–₹10,000",$O384&lt;=15000,"₹10,000–₹15,000",$O384&lt;=25000,"₹15,000–₹25,000",$O384&lt;=50000,"₹25,000–₹50,000",TRUE,"₹50,000+"))</x:f>
      </x:c>
    </x:row>
    <x:row r="385">
      <x:c r="G385" t="str">
        <x:f>IF($A385="","",IF($F385="Dec 2025-Apr 2026",2026045,YEAR($H385)*100+MONTH($H385)))</x:f>
      </x:c>
      <x:c r="O385" t="str">
        <x:f>IF($A385="","",N($M385)+N($N385))</x:f>
      </x:c>
      <x:c r="P385" t="str">
        <x:f>IF($A385="","",IF(AND(N($M385)&gt;0,N($N385)&gt;0),"Mixed",IF(N($M385)&gt;0,"Zakat",IF(N($N385)&gt;0,"Sadaqah",""))))</x:f>
      </x:c>
      <x:c r="R385" t="str">
        <x:f>IF($A385="","",IFS($O385&lt;5000,"Under ₹5,000",$O385&lt;=10000,"₹5,000–₹10,000",$O385&lt;=15000,"₹10,000–₹15,000",$O385&lt;=25000,"₹15,000–₹25,000",$O385&lt;=50000,"₹25,000–₹50,000",TRUE,"₹50,000+"))</x:f>
      </x:c>
    </x:row>
    <x:row r="386">
      <x:c r="G386" t="str">
        <x:f>IF($A386="","",IF($F386="Dec 2025-Apr 2026",2026045,YEAR($H386)*100+MONTH($H386)))</x:f>
      </x:c>
      <x:c r="O386" t="str">
        <x:f>IF($A386="","",N($M386)+N($N386))</x:f>
      </x:c>
      <x:c r="P386" t="str">
        <x:f>IF($A386="","",IF(AND(N($M386)&gt;0,N($N386)&gt;0),"Mixed",IF(N($M386)&gt;0,"Zakat",IF(N($N386)&gt;0,"Sadaqah",""))))</x:f>
      </x:c>
      <x:c r="R386" t="str">
        <x:f>IF($A386="","",IFS($O386&lt;5000,"Under ₹5,000",$O386&lt;=10000,"₹5,000–₹10,000",$O386&lt;=15000,"₹10,000–₹15,000",$O386&lt;=25000,"₹15,000–₹25,000",$O386&lt;=50000,"₹25,000–₹50,000",TRUE,"₹50,000+"))</x:f>
      </x:c>
    </x:row>
    <x:row r="387">
      <x:c r="G387" t="str">
        <x:f>IF($A387="","",IF($F387="Dec 2025-Apr 2026",2026045,YEAR($H387)*100+MONTH($H387)))</x:f>
      </x:c>
      <x:c r="O387" t="str">
        <x:f>IF($A387="","",N($M387)+N($N387))</x:f>
      </x:c>
      <x:c r="P387" t="str">
        <x:f>IF($A387="","",IF(AND(N($M387)&gt;0,N($N387)&gt;0),"Mixed",IF(N($M387)&gt;0,"Zakat",IF(N($N387)&gt;0,"Sadaqah",""))))</x:f>
      </x:c>
      <x:c r="R387" t="str">
        <x:f>IF($A387="","",IFS($O387&lt;5000,"Under ₹5,000",$O387&lt;=10000,"₹5,000–₹10,000",$O387&lt;=15000,"₹10,000–₹15,000",$O387&lt;=25000,"₹15,000–₹25,000",$O387&lt;=50000,"₹25,000–₹50,000",TRUE,"₹50,000+"))</x:f>
      </x:c>
    </x:row>
    <x:row r="388">
      <x:c r="G388" t="str">
        <x:f>IF($A388="","",IF($F388="Dec 2025-Apr 2026",2026045,YEAR($H388)*100+MONTH($H388)))</x:f>
      </x:c>
      <x:c r="O388" t="str">
        <x:f>IF($A388="","",N($M388)+N($N388))</x:f>
      </x:c>
      <x:c r="P388" t="str">
        <x:f>IF($A388="","",IF(AND(N($M388)&gt;0,N($N388)&gt;0),"Mixed",IF(N($M388)&gt;0,"Zakat",IF(N($N388)&gt;0,"Sadaqah",""))))</x:f>
      </x:c>
      <x:c r="R388" t="str">
        <x:f>IF($A388="","",IFS($O388&lt;5000,"Under ₹5,000",$O388&lt;=10000,"₹5,000–₹10,000",$O388&lt;=15000,"₹10,000–₹15,000",$O388&lt;=25000,"₹15,000–₹25,000",$O388&lt;=50000,"₹25,000–₹50,000",TRUE,"₹50,000+"))</x:f>
      </x:c>
    </x:row>
    <x:row r="389">
      <x:c r="G389" t="str">
        <x:f>IF($A389="","",IF($F389="Dec 2025-Apr 2026",2026045,YEAR($H389)*100+MONTH($H389)))</x:f>
      </x:c>
      <x:c r="O389" t="str">
        <x:f>IF($A389="","",N($M389)+N($N389))</x:f>
      </x:c>
      <x:c r="P389" t="str">
        <x:f>IF($A389="","",IF(AND(N($M389)&gt;0,N($N389)&gt;0),"Mixed",IF(N($M389)&gt;0,"Zakat",IF(N($N389)&gt;0,"Sadaqah",""))))</x:f>
      </x:c>
      <x:c r="R389" t="str">
        <x:f>IF($A389="","",IFS($O389&lt;5000,"Under ₹5,000",$O389&lt;=10000,"₹5,000–₹10,000",$O389&lt;=15000,"₹10,000–₹15,000",$O389&lt;=25000,"₹15,000–₹25,000",$O389&lt;=50000,"₹25,000–₹50,000",TRUE,"₹50,000+"))</x:f>
      </x:c>
    </x:row>
    <x:row r="390">
      <x:c r="G390" t="str">
        <x:f>IF($A390="","",IF($F390="Dec 2025-Apr 2026",2026045,YEAR($H390)*100+MONTH($H390)))</x:f>
      </x:c>
      <x:c r="O390" t="str">
        <x:f>IF($A390="","",N($M390)+N($N390))</x:f>
      </x:c>
      <x:c r="P390" t="str">
        <x:f>IF($A390="","",IF(AND(N($M390)&gt;0,N($N390)&gt;0),"Mixed",IF(N($M390)&gt;0,"Zakat",IF(N($N390)&gt;0,"Sadaqah",""))))</x:f>
      </x:c>
      <x:c r="R390" t="str">
        <x:f>IF($A390="","",IFS($O390&lt;5000,"Under ₹5,000",$O390&lt;=10000,"₹5,000–₹10,000",$O390&lt;=15000,"₹10,000–₹15,000",$O390&lt;=25000,"₹15,000–₹25,000",$O390&lt;=50000,"₹25,000–₹50,000",TRUE,"₹50,000+"))</x:f>
      </x:c>
    </x:row>
    <x:row r="391">
      <x:c r="G391" t="str">
        <x:f>IF($A391="","",IF($F391="Dec 2025-Apr 2026",2026045,YEAR($H391)*100+MONTH($H391)))</x:f>
      </x:c>
      <x:c r="O391" t="str">
        <x:f>IF($A391="","",N($M391)+N($N391))</x:f>
      </x:c>
      <x:c r="P391" t="str">
        <x:f>IF($A391="","",IF(AND(N($M391)&gt;0,N($N391)&gt;0),"Mixed",IF(N($M391)&gt;0,"Zakat",IF(N($N391)&gt;0,"Sadaqah",""))))</x:f>
      </x:c>
      <x:c r="R391" t="str">
        <x:f>IF($A391="","",IFS($O391&lt;5000,"Under ₹5,000",$O391&lt;=10000,"₹5,000–₹10,000",$O391&lt;=15000,"₹10,000–₹15,000",$O391&lt;=25000,"₹15,000–₹25,000",$O391&lt;=50000,"₹25,000–₹50,000",TRUE,"₹50,000+"))</x:f>
      </x:c>
    </x:row>
    <x:row r="392">
      <x:c r="G392" t="str">
        <x:f>IF($A392="","",IF($F392="Dec 2025-Apr 2026",2026045,YEAR($H392)*100+MONTH($H392)))</x:f>
      </x:c>
      <x:c r="O392" t="str">
        <x:f>IF($A392="","",N($M392)+N($N392))</x:f>
      </x:c>
      <x:c r="P392" t="str">
        <x:f>IF($A392="","",IF(AND(N($M392)&gt;0,N($N392)&gt;0),"Mixed",IF(N($M392)&gt;0,"Zakat",IF(N($N392)&gt;0,"Sadaqah",""))))</x:f>
      </x:c>
      <x:c r="R392" t="str">
        <x:f>IF($A392="","",IFS($O392&lt;5000,"Under ₹5,000",$O392&lt;=10000,"₹5,000–₹10,000",$O392&lt;=15000,"₹10,000–₹15,000",$O392&lt;=25000,"₹15,000–₹25,000",$O392&lt;=50000,"₹25,000–₹50,000",TRUE,"₹50,000+"))</x:f>
      </x:c>
    </x:row>
    <x:row r="393">
      <x:c r="G393" t="str">
        <x:f>IF($A393="","",IF($F393="Dec 2025-Apr 2026",2026045,YEAR($H393)*100+MONTH($H393)))</x:f>
      </x:c>
      <x:c r="O393" t="str">
        <x:f>IF($A393="","",N($M393)+N($N393))</x:f>
      </x:c>
      <x:c r="P393" t="str">
        <x:f>IF($A393="","",IF(AND(N($M393)&gt;0,N($N393)&gt;0),"Mixed",IF(N($M393)&gt;0,"Zakat",IF(N($N393)&gt;0,"Sadaqah",""))))</x:f>
      </x:c>
      <x:c r="R393" t="str">
        <x:f>IF($A393="","",IFS($O393&lt;5000,"Under ₹5,000",$O393&lt;=10000,"₹5,000–₹10,000",$O393&lt;=15000,"₹10,000–₹15,000",$O393&lt;=25000,"₹15,000–₹25,000",$O393&lt;=50000,"₹25,000–₹50,000",TRUE,"₹50,000+"))</x:f>
      </x:c>
    </x:row>
    <x:row r="394">
      <x:c r="G394" t="str">
        <x:f>IF($A394="","",IF($F394="Dec 2025-Apr 2026",2026045,YEAR($H394)*100+MONTH($H394)))</x:f>
      </x:c>
      <x:c r="O394" t="str">
        <x:f>IF($A394="","",N($M394)+N($N394))</x:f>
      </x:c>
      <x:c r="P394" t="str">
        <x:f>IF($A394="","",IF(AND(N($M394)&gt;0,N($N394)&gt;0),"Mixed",IF(N($M394)&gt;0,"Zakat",IF(N($N394)&gt;0,"Sadaqah",""))))</x:f>
      </x:c>
      <x:c r="R394" t="str">
        <x:f>IF($A394="","",IFS($O394&lt;5000,"Under ₹5,000",$O394&lt;=10000,"₹5,000–₹10,000",$O394&lt;=15000,"₹10,000–₹15,000",$O394&lt;=25000,"₹15,000–₹25,000",$O394&lt;=50000,"₹25,000–₹50,000",TRUE,"₹50,000+"))</x:f>
      </x:c>
    </x:row>
    <x:row r="395">
      <x:c r="G395" t="str">
        <x:f>IF($A395="","",IF($F395="Dec 2025-Apr 2026",2026045,YEAR($H395)*100+MONTH($H395)))</x:f>
      </x:c>
      <x:c r="O395" t="str">
        <x:f>IF($A395="","",N($M395)+N($N395))</x:f>
      </x:c>
      <x:c r="P395" t="str">
        <x:f>IF($A395="","",IF(AND(N($M395)&gt;0,N($N395)&gt;0),"Mixed",IF(N($M395)&gt;0,"Zakat",IF(N($N395)&gt;0,"Sadaqah",""))))</x:f>
      </x:c>
      <x:c r="R395" t="str">
        <x:f>IF($A395="","",IFS($O395&lt;5000,"Under ₹5,000",$O395&lt;=10000,"₹5,000–₹10,000",$O395&lt;=15000,"₹10,000–₹15,000",$O395&lt;=25000,"₹15,000–₹25,000",$O395&lt;=50000,"₹25,000–₹50,000",TRUE,"₹50,000+"))</x:f>
      </x:c>
    </x:row>
    <x:row r="396">
      <x:c r="G396" t="str">
        <x:f>IF($A396="","",IF($F396="Dec 2025-Apr 2026",2026045,YEAR($H396)*100+MONTH($H396)))</x:f>
      </x:c>
      <x:c r="O396" t="str">
        <x:f>IF($A396="","",N($M396)+N($N396))</x:f>
      </x:c>
      <x:c r="P396" t="str">
        <x:f>IF($A396="","",IF(AND(N($M396)&gt;0,N($N396)&gt;0),"Mixed",IF(N($M396)&gt;0,"Zakat",IF(N($N396)&gt;0,"Sadaqah",""))))</x:f>
      </x:c>
      <x:c r="R396" t="str">
        <x:f>IF($A396="","",IFS($O396&lt;5000,"Under ₹5,000",$O396&lt;=10000,"₹5,000–₹10,000",$O396&lt;=15000,"₹10,000–₹15,000",$O396&lt;=25000,"₹15,000–₹25,000",$O396&lt;=50000,"₹25,000–₹50,000",TRUE,"₹50,000+"))</x:f>
      </x:c>
    </x:row>
    <x:row r="397">
      <x:c r="G397" t="str">
        <x:f>IF($A397="","",IF($F397="Dec 2025-Apr 2026",2026045,YEAR($H397)*100+MONTH($H397)))</x:f>
      </x:c>
      <x:c r="O397" t="str">
        <x:f>IF($A397="","",N($M397)+N($N397))</x:f>
      </x:c>
      <x:c r="P397" t="str">
        <x:f>IF($A397="","",IF(AND(N($M397)&gt;0,N($N397)&gt;0),"Mixed",IF(N($M397)&gt;0,"Zakat",IF(N($N397)&gt;0,"Sadaqah",""))))</x:f>
      </x:c>
      <x:c r="R397" t="str">
        <x:f>IF($A397="","",IFS($O397&lt;5000,"Under ₹5,000",$O397&lt;=10000,"₹5,000–₹10,000",$O397&lt;=15000,"₹10,000–₹15,000",$O397&lt;=25000,"₹15,000–₹25,000",$O397&lt;=50000,"₹25,000–₹50,000",TRUE,"₹50,000+"))</x:f>
      </x:c>
    </x:row>
    <x:row r="398">
      <x:c r="G398" t="str">
        <x:f>IF($A398="","",IF($F398="Dec 2025-Apr 2026",2026045,YEAR($H398)*100+MONTH($H398)))</x:f>
      </x:c>
      <x:c r="O398" t="str">
        <x:f>IF($A398="","",N($M398)+N($N398))</x:f>
      </x:c>
      <x:c r="P398" t="str">
        <x:f>IF($A398="","",IF(AND(N($M398)&gt;0,N($N398)&gt;0),"Mixed",IF(N($M398)&gt;0,"Zakat",IF(N($N398)&gt;0,"Sadaqah",""))))</x:f>
      </x:c>
      <x:c r="R398" t="str">
        <x:f>IF($A398="","",IFS($O398&lt;5000,"Under ₹5,000",$O398&lt;=10000,"₹5,000–₹10,000",$O398&lt;=15000,"₹10,000–₹15,000",$O398&lt;=25000,"₹15,000–₹25,000",$O398&lt;=50000,"₹25,000–₹50,000",TRUE,"₹50,000+"))</x:f>
      </x:c>
    </x:row>
    <x:row r="399">
      <x:c r="G399" t="str">
        <x:f>IF($A399="","",IF($F399="Dec 2025-Apr 2026",2026045,YEAR($H399)*100+MONTH($H399)))</x:f>
      </x:c>
      <x:c r="O399" t="str">
        <x:f>IF($A399="","",N($M399)+N($N399))</x:f>
      </x:c>
      <x:c r="P399" t="str">
        <x:f>IF($A399="","",IF(AND(N($M399)&gt;0,N($N399)&gt;0),"Mixed",IF(N($M399)&gt;0,"Zakat",IF(N($N399)&gt;0,"Sadaqah",""))))</x:f>
      </x:c>
      <x:c r="R399" t="str">
        <x:f>IF($A399="","",IFS($O399&lt;5000,"Under ₹5,000",$O399&lt;=10000,"₹5,000–₹10,000",$O399&lt;=15000,"₹10,000–₹15,000",$O399&lt;=25000,"₹15,000–₹25,000",$O399&lt;=50000,"₹25,000–₹50,000",TRUE,"₹50,000+"))</x:f>
      </x:c>
    </x:row>
    <x:row r="400">
      <x:c r="G400" t="str">
        <x:f>IF($A400="","",IF($F400="Dec 2025-Apr 2026",2026045,YEAR($H400)*100+MONTH($H400)))</x:f>
      </x:c>
      <x:c r="O400" t="str">
        <x:f>IF($A400="","",N($M400)+N($N400))</x:f>
      </x:c>
      <x:c r="P400" t="str">
        <x:f>IF($A400="","",IF(AND(N($M400)&gt;0,N($N400)&gt;0),"Mixed",IF(N($M400)&gt;0,"Zakat",IF(N($N400)&gt;0,"Sadaqah",""))))</x:f>
      </x:c>
      <x:c r="R400" t="str">
        <x:f>IF($A400="","",IFS($O400&lt;5000,"Under ₹5,000",$O400&lt;=10000,"₹5,000–₹10,000",$O400&lt;=15000,"₹10,000–₹15,000",$O400&lt;=25000,"₹15,000–₹25,000",$O400&lt;=50000,"₹25,000–₹50,000",TRUE,"₹50,000+"))</x:f>
      </x:c>
    </x:row>
    <x:row r="401">
      <x:c r="G401" t="str">
        <x:f>IF($A401="","",IF($F401="Dec 2025-Apr 2026",2026045,YEAR($H401)*100+MONTH($H401)))</x:f>
      </x:c>
      <x:c r="O401" t="str">
        <x:f>IF($A401="","",N($M401)+N($N401))</x:f>
      </x:c>
      <x:c r="P401" t="str">
        <x:f>IF($A401="","",IF(AND(N($M401)&gt;0,N($N401)&gt;0),"Mixed",IF(N($M401)&gt;0,"Zakat",IF(N($N401)&gt;0,"Sadaqah",""))))</x:f>
      </x:c>
      <x:c r="R401" t="str">
        <x:f>IF($A401="","",IFS($O401&lt;5000,"Under ₹5,000",$O401&lt;=10000,"₹5,000–₹10,000",$O401&lt;=15000,"₹10,000–₹15,000",$O401&lt;=25000,"₹15,000–₹25,000",$O401&lt;=50000,"₹25,000–₹50,000",TRUE,"₹50,000+"))</x:f>
      </x:c>
    </x:row>
    <x:row r="402">
      <x:c r="G402" t="str">
        <x:f>IF($A402="","",IF($F402="Dec 2025-Apr 2026",2026045,YEAR($H402)*100+MONTH($H402)))</x:f>
      </x:c>
      <x:c r="O402" t="str">
        <x:f>IF($A402="","",N($M402)+N($N402))</x:f>
      </x:c>
      <x:c r="P402" t="str">
        <x:f>IF($A402="","",IF(AND(N($M402)&gt;0,N($N402)&gt;0),"Mixed",IF(N($M402)&gt;0,"Zakat",IF(N($N402)&gt;0,"Sadaqah",""))))</x:f>
      </x:c>
      <x:c r="R402" t="str">
        <x:f>IF($A402="","",IFS($O402&lt;5000,"Under ₹5,000",$O402&lt;=10000,"₹5,000–₹10,000",$O402&lt;=15000,"₹10,000–₹15,000",$O402&lt;=25000,"₹15,000–₹25,000",$O402&lt;=50000,"₹25,000–₹50,000",TRUE,"₹50,000+"))</x:f>
      </x:c>
    </x:row>
    <x:row r="403">
      <x:c r="G403" t="str">
        <x:f>IF($A403="","",IF($F403="Dec 2025-Apr 2026",2026045,YEAR($H403)*100+MONTH($H403)))</x:f>
      </x:c>
      <x:c r="O403" t="str">
        <x:f>IF($A403="","",N($M403)+N($N403))</x:f>
      </x:c>
      <x:c r="P403" t="str">
        <x:f>IF($A403="","",IF(AND(N($M403)&gt;0,N($N403)&gt;0),"Mixed",IF(N($M403)&gt;0,"Zakat",IF(N($N403)&gt;0,"Sadaqah",""))))</x:f>
      </x:c>
      <x:c r="R403" t="str">
        <x:f>IF($A403="","",IFS($O403&lt;5000,"Under ₹5,000",$O403&lt;=10000,"₹5,000–₹10,000",$O403&lt;=15000,"₹10,000–₹15,000",$O403&lt;=25000,"₹15,000–₹25,000",$O403&lt;=50000,"₹25,000–₹50,000",TRUE,"₹50,000+"))</x:f>
      </x:c>
    </x:row>
    <x:row r="404">
      <x:c r="G404" t="str">
        <x:f>IF($A404="","",IF($F404="Dec 2025-Apr 2026",2026045,YEAR($H404)*100+MONTH($H404)))</x:f>
      </x:c>
      <x:c r="O404" t="str">
        <x:f>IF($A404="","",N($M404)+N($N404))</x:f>
      </x:c>
      <x:c r="P404" t="str">
        <x:f>IF($A404="","",IF(AND(N($M404)&gt;0,N($N404)&gt;0),"Mixed",IF(N($M404)&gt;0,"Zakat",IF(N($N404)&gt;0,"Sadaqah",""))))</x:f>
      </x:c>
      <x:c r="R404" t="str">
        <x:f>IF($A404="","",IFS($O404&lt;5000,"Under ₹5,000",$O404&lt;=10000,"₹5,000–₹10,000",$O404&lt;=15000,"₹10,000–₹15,000",$O404&lt;=25000,"₹15,000–₹25,000",$O404&lt;=50000,"₹25,000–₹50,000",TRUE,"₹50,000+"))</x:f>
      </x:c>
    </x:row>
    <x:row r="405">
      <x:c r="G405" t="str">
        <x:f>IF($A405="","",IF($F405="Dec 2025-Apr 2026",2026045,YEAR($H405)*100+MONTH($H405)))</x:f>
      </x:c>
      <x:c r="O405" t="str">
        <x:f>IF($A405="","",N($M405)+N($N405))</x:f>
      </x:c>
      <x:c r="P405" t="str">
        <x:f>IF($A405="","",IF(AND(N($M405)&gt;0,N($N405)&gt;0),"Mixed",IF(N($M405)&gt;0,"Zakat",IF(N($N405)&gt;0,"Sadaqah",""))))</x:f>
      </x:c>
      <x:c r="R405" t="str">
        <x:f>IF($A405="","",IFS($O405&lt;5000,"Under ₹5,000",$O405&lt;=10000,"₹5,000–₹10,000",$O405&lt;=15000,"₹10,000–₹15,000",$O405&lt;=25000,"₹15,000–₹25,000",$O405&lt;=50000,"₹25,000–₹50,000",TRUE,"₹50,000+"))</x:f>
      </x:c>
    </x:row>
    <x:row r="406">
      <x:c r="G406" t="str">
        <x:f>IF($A406="","",IF($F406="Dec 2025-Apr 2026",2026045,YEAR($H406)*100+MONTH($H406)))</x:f>
      </x:c>
      <x:c r="O406" t="str">
        <x:f>IF($A406="","",N($M406)+N($N406))</x:f>
      </x:c>
      <x:c r="P406" t="str">
        <x:f>IF($A406="","",IF(AND(N($M406)&gt;0,N($N406)&gt;0),"Mixed",IF(N($M406)&gt;0,"Zakat",IF(N($N406)&gt;0,"Sadaqah",""))))</x:f>
      </x:c>
      <x:c r="R406" t="str">
        <x:f>IF($A406="","",IFS($O406&lt;5000,"Under ₹5,000",$O406&lt;=10000,"₹5,000–₹10,000",$O406&lt;=15000,"₹10,000–₹15,000",$O406&lt;=25000,"₹15,000–₹25,000",$O406&lt;=50000,"₹25,000–₹50,000",TRUE,"₹50,000+"))</x:f>
      </x:c>
    </x:row>
    <x:row r="407">
      <x:c r="G407" t="str">
        <x:f>IF($A407="","",IF($F407="Dec 2025-Apr 2026",2026045,YEAR($H407)*100+MONTH($H407)))</x:f>
      </x:c>
      <x:c r="O407" t="str">
        <x:f>IF($A407="","",N($M407)+N($N407))</x:f>
      </x:c>
      <x:c r="P407" t="str">
        <x:f>IF($A407="","",IF(AND(N($M407)&gt;0,N($N407)&gt;0),"Mixed",IF(N($M407)&gt;0,"Zakat",IF(N($N407)&gt;0,"Sadaqah",""))))</x:f>
      </x:c>
      <x:c r="R407" t="str">
        <x:f>IF($A407="","",IFS($O407&lt;5000,"Under ₹5,000",$O407&lt;=10000,"₹5,000–₹10,000",$O407&lt;=15000,"₹10,000–₹15,000",$O407&lt;=25000,"₹15,000–₹25,000",$O407&lt;=50000,"₹25,000–₹50,000",TRUE,"₹50,000+"))</x:f>
      </x:c>
    </x:row>
    <x:row r="408">
      <x:c r="G408" t="str">
        <x:f>IF($A408="","",IF($F408="Dec 2025-Apr 2026",2026045,YEAR($H408)*100+MONTH($H408)))</x:f>
      </x:c>
      <x:c r="O408" t="str">
        <x:f>IF($A408="","",N($M408)+N($N408))</x:f>
      </x:c>
      <x:c r="P408" t="str">
        <x:f>IF($A408="","",IF(AND(N($M408)&gt;0,N($N408)&gt;0),"Mixed",IF(N($M408)&gt;0,"Zakat",IF(N($N408)&gt;0,"Sadaqah",""))))</x:f>
      </x:c>
      <x:c r="R408" t="str">
        <x:f>IF($A408="","",IFS($O408&lt;5000,"Under ₹5,000",$O408&lt;=10000,"₹5,000–₹10,000",$O408&lt;=15000,"₹10,000–₹15,000",$O408&lt;=25000,"₹15,000–₹25,000",$O408&lt;=50000,"₹25,000–₹50,000",TRUE,"₹50,000+"))</x:f>
      </x:c>
    </x:row>
    <x:row r="409">
      <x:c r="G409" t="str">
        <x:f>IF($A409="","",IF($F409="Dec 2025-Apr 2026",2026045,YEAR($H409)*100+MONTH($H409)))</x:f>
      </x:c>
      <x:c r="O409" t="str">
        <x:f>IF($A409="","",N($M409)+N($N409))</x:f>
      </x:c>
      <x:c r="P409" t="str">
        <x:f>IF($A409="","",IF(AND(N($M409)&gt;0,N($N409)&gt;0),"Mixed",IF(N($M409)&gt;0,"Zakat",IF(N($N409)&gt;0,"Sadaqah",""))))</x:f>
      </x:c>
      <x:c r="R409" t="str">
        <x:f>IF($A409="","",IFS($O409&lt;5000,"Under ₹5,000",$O409&lt;=10000,"₹5,000–₹10,000",$O409&lt;=15000,"₹10,000–₹15,000",$O409&lt;=25000,"₹15,000–₹25,000",$O409&lt;=50000,"₹25,000–₹50,000",TRUE,"₹50,000+"))</x:f>
      </x:c>
    </x:row>
    <x:row r="410">
      <x:c r="G410" t="str">
        <x:f>IF($A410="","",IF($F410="Dec 2025-Apr 2026",2026045,YEAR($H410)*100+MONTH($H410)))</x:f>
      </x:c>
      <x:c r="O410" t="str">
        <x:f>IF($A410="","",N($M410)+N($N410))</x:f>
      </x:c>
      <x:c r="P410" t="str">
        <x:f>IF($A410="","",IF(AND(N($M410)&gt;0,N($N410)&gt;0),"Mixed",IF(N($M410)&gt;0,"Zakat",IF(N($N410)&gt;0,"Sadaqah",""))))</x:f>
      </x:c>
      <x:c r="R410" t="str">
        <x:f>IF($A410="","",IFS($O410&lt;5000,"Under ₹5,000",$O410&lt;=10000,"₹5,000–₹10,000",$O410&lt;=15000,"₹10,000–₹15,000",$O410&lt;=25000,"₹15,000–₹25,000",$O410&lt;=50000,"₹25,000–₹50,000",TRUE,"₹50,000+"))</x:f>
      </x:c>
    </x:row>
    <x:row r="411">
      <x:c r="G411" t="str">
        <x:f>IF($A411="","",IF($F411="Dec 2025-Apr 2026",2026045,YEAR($H411)*100+MONTH($H411)))</x:f>
      </x:c>
      <x:c r="O411" t="str">
        <x:f>IF($A411="","",N($M411)+N($N411))</x:f>
      </x:c>
      <x:c r="P411" t="str">
        <x:f>IF($A411="","",IF(AND(N($M411)&gt;0,N($N411)&gt;0),"Mixed",IF(N($M411)&gt;0,"Zakat",IF(N($N411)&gt;0,"Sadaqah",""))))</x:f>
      </x:c>
      <x:c r="R411" t="str">
        <x:f>IF($A411="","",IFS($O411&lt;5000,"Under ₹5,000",$O411&lt;=10000,"₹5,000–₹10,000",$O411&lt;=15000,"₹10,000–₹15,000",$O411&lt;=25000,"₹15,000–₹25,000",$O411&lt;=50000,"₹25,000–₹50,000",TRUE,"₹50,000+"))</x:f>
      </x:c>
    </x:row>
    <x:row r="412">
      <x:c r="G412" t="str">
        <x:f>IF($A412="","",IF($F412="Dec 2025-Apr 2026",2026045,YEAR($H412)*100+MONTH($H412)))</x:f>
      </x:c>
      <x:c r="O412" t="str">
        <x:f>IF($A412="","",N($M412)+N($N412))</x:f>
      </x:c>
      <x:c r="P412" t="str">
        <x:f>IF($A412="","",IF(AND(N($M412)&gt;0,N($N412)&gt;0),"Mixed",IF(N($M412)&gt;0,"Zakat",IF(N($N412)&gt;0,"Sadaqah",""))))</x:f>
      </x:c>
      <x:c r="R412" t="str">
        <x:f>IF($A412="","",IFS($O412&lt;5000,"Under ₹5,000",$O412&lt;=10000,"₹5,000–₹10,000",$O412&lt;=15000,"₹10,000–₹15,000",$O412&lt;=25000,"₹15,000–₹25,000",$O412&lt;=50000,"₹25,000–₹50,000",TRUE,"₹50,000+"))</x:f>
      </x:c>
    </x:row>
    <x:row r="413">
      <x:c r="G413" t="str">
        <x:f>IF($A413="","",IF($F413="Dec 2025-Apr 2026",2026045,YEAR($H413)*100+MONTH($H413)))</x:f>
      </x:c>
      <x:c r="O413" t="str">
        <x:f>IF($A413="","",N($M413)+N($N413))</x:f>
      </x:c>
      <x:c r="P413" t="str">
        <x:f>IF($A413="","",IF(AND(N($M413)&gt;0,N($N413)&gt;0),"Mixed",IF(N($M413)&gt;0,"Zakat",IF(N($N413)&gt;0,"Sadaqah",""))))</x:f>
      </x:c>
      <x:c r="R413" t="str">
        <x:f>IF($A413="","",IFS($O413&lt;5000,"Under ₹5,000",$O413&lt;=10000,"₹5,000–₹10,000",$O413&lt;=15000,"₹10,000–₹15,000",$O413&lt;=25000,"₹15,000–₹25,000",$O413&lt;=50000,"₹25,000–₹50,000",TRUE,"₹50,000+"))</x:f>
      </x:c>
    </x:row>
    <x:row r="414">
      <x:c r="G414" t="str">
        <x:f>IF($A414="","",IF($F414="Dec 2025-Apr 2026",2026045,YEAR($H414)*100+MONTH($H414)))</x:f>
      </x:c>
      <x:c r="O414" t="str">
        <x:f>IF($A414="","",N($M414)+N($N414))</x:f>
      </x:c>
      <x:c r="P414" t="str">
        <x:f>IF($A414="","",IF(AND(N($M414)&gt;0,N($N414)&gt;0),"Mixed",IF(N($M414)&gt;0,"Zakat",IF(N($N414)&gt;0,"Sadaqah",""))))</x:f>
      </x:c>
      <x:c r="R414" t="str">
        <x:f>IF($A414="","",IFS($O414&lt;5000,"Under ₹5,000",$O414&lt;=10000,"₹5,000–₹10,000",$O414&lt;=15000,"₹10,000–₹15,000",$O414&lt;=25000,"₹15,000–₹25,000",$O414&lt;=50000,"₹25,000–₹50,000",TRUE,"₹50,000+"))</x:f>
      </x:c>
    </x:row>
    <x:row r="415">
      <x:c r="G415" t="str">
        <x:f>IF($A415="","",IF($F415="Dec 2025-Apr 2026",2026045,YEAR($H415)*100+MONTH($H415)))</x:f>
      </x:c>
      <x:c r="O415" t="str">
        <x:f>IF($A415="","",N($M415)+N($N415))</x:f>
      </x:c>
      <x:c r="P415" t="str">
        <x:f>IF($A415="","",IF(AND(N($M415)&gt;0,N($N415)&gt;0),"Mixed",IF(N($M415)&gt;0,"Zakat",IF(N($N415)&gt;0,"Sadaqah",""))))</x:f>
      </x:c>
      <x:c r="R415" t="str">
        <x:f>IF($A415="","",IFS($O415&lt;5000,"Under ₹5,000",$O415&lt;=10000,"₹5,000–₹10,000",$O415&lt;=15000,"₹10,000–₹15,000",$O415&lt;=25000,"₹15,000–₹25,000",$O415&lt;=50000,"₹25,000–₹50,000",TRUE,"₹50,000+"))</x:f>
      </x:c>
    </x:row>
    <x:row r="416">
      <x:c r="G416" t="str">
        <x:f>IF($A416="","",IF($F416="Dec 2025-Apr 2026",2026045,YEAR($H416)*100+MONTH($H416)))</x:f>
      </x:c>
      <x:c r="O416" t="str">
        <x:f>IF($A416="","",N($M416)+N($N416))</x:f>
      </x:c>
      <x:c r="P416" t="str">
        <x:f>IF($A416="","",IF(AND(N($M416)&gt;0,N($N416)&gt;0),"Mixed",IF(N($M416)&gt;0,"Zakat",IF(N($N416)&gt;0,"Sadaqah",""))))</x:f>
      </x:c>
      <x:c r="R416" t="str">
        <x:f>IF($A416="","",IFS($O416&lt;5000,"Under ₹5,000",$O416&lt;=10000,"₹5,000–₹10,000",$O416&lt;=15000,"₹10,000–₹15,000",$O416&lt;=25000,"₹15,000–₹25,000",$O416&lt;=50000,"₹25,000–₹50,000",TRUE,"₹50,000+"))</x:f>
      </x:c>
    </x:row>
    <x:row r="417">
      <x:c r="G417" t="str">
        <x:f>IF($A417="","",IF($F417="Dec 2025-Apr 2026",2026045,YEAR($H417)*100+MONTH($H417)))</x:f>
      </x:c>
      <x:c r="O417" t="str">
        <x:f>IF($A417="","",N($M417)+N($N417))</x:f>
      </x:c>
      <x:c r="P417" t="str">
        <x:f>IF($A417="","",IF(AND(N($M417)&gt;0,N($N417)&gt;0),"Mixed",IF(N($M417)&gt;0,"Zakat",IF(N($N417)&gt;0,"Sadaqah",""))))</x:f>
      </x:c>
      <x:c r="R417" t="str">
        <x:f>IF($A417="","",IFS($O417&lt;5000,"Under ₹5,000",$O417&lt;=10000,"₹5,000–₹10,000",$O417&lt;=15000,"₹10,000–₹15,000",$O417&lt;=25000,"₹15,000–₹25,000",$O417&lt;=50000,"₹25,000–₹50,000",TRUE,"₹50,000+"))</x:f>
      </x:c>
    </x:row>
    <x:row r="418">
      <x:c r="G418" t="str">
        <x:f>IF($A418="","",IF($F418="Dec 2025-Apr 2026",2026045,YEAR($H418)*100+MONTH($H418)))</x:f>
      </x:c>
      <x:c r="O418" t="str">
        <x:f>IF($A418="","",N($M418)+N($N418))</x:f>
      </x:c>
      <x:c r="P418" t="str">
        <x:f>IF($A418="","",IF(AND(N($M418)&gt;0,N($N418)&gt;0),"Mixed",IF(N($M418)&gt;0,"Zakat",IF(N($N418)&gt;0,"Sadaqah",""))))</x:f>
      </x:c>
      <x:c r="R418" t="str">
        <x:f>IF($A418="","",IFS($O418&lt;5000,"Under ₹5,000",$O418&lt;=10000,"₹5,000–₹10,000",$O418&lt;=15000,"₹10,000–₹15,000",$O418&lt;=25000,"₹15,000–₹25,000",$O418&lt;=50000,"₹25,000–₹50,000",TRUE,"₹50,000+"))</x:f>
      </x:c>
    </x:row>
    <x:row r="419">
      <x:c r="G419" t="str">
        <x:f>IF($A419="","",IF($F419="Dec 2025-Apr 2026",2026045,YEAR($H419)*100+MONTH($H419)))</x:f>
      </x:c>
      <x:c r="O419" t="str">
        <x:f>IF($A419="","",N($M419)+N($N419))</x:f>
      </x:c>
      <x:c r="P419" t="str">
        <x:f>IF($A419="","",IF(AND(N($M419)&gt;0,N($N419)&gt;0),"Mixed",IF(N($M419)&gt;0,"Zakat",IF(N($N419)&gt;0,"Sadaqah",""))))</x:f>
      </x:c>
      <x:c r="R419" t="str">
        <x:f>IF($A419="","",IFS($O419&lt;5000,"Under ₹5,000",$O419&lt;=10000,"₹5,000–₹10,000",$O419&lt;=15000,"₹10,000–₹15,000",$O419&lt;=25000,"₹15,000–₹25,000",$O419&lt;=50000,"₹25,000–₹50,000",TRUE,"₹50,000+"))</x:f>
      </x:c>
    </x:row>
    <x:row r="420">
      <x:c r="G420" t="str">
        <x:f>IF($A420="","",IF($F420="Dec 2025-Apr 2026",2026045,YEAR($H420)*100+MONTH($H420)))</x:f>
      </x:c>
      <x:c r="O420" t="str">
        <x:f>IF($A420="","",N($M420)+N($N420))</x:f>
      </x:c>
      <x:c r="P420" t="str">
        <x:f>IF($A420="","",IF(AND(N($M420)&gt;0,N($N420)&gt;0),"Mixed",IF(N($M420)&gt;0,"Zakat",IF(N($N420)&gt;0,"Sadaqah",""))))</x:f>
      </x:c>
      <x:c r="R420" t="str">
        <x:f>IF($A420="","",IFS($O420&lt;5000,"Under ₹5,000",$O420&lt;=10000,"₹5,000–₹10,000",$O420&lt;=15000,"₹10,000–₹15,000",$O420&lt;=25000,"₹15,000–₹25,000",$O420&lt;=50000,"₹25,000–₹50,000",TRUE,"₹50,000+"))</x:f>
      </x:c>
    </x:row>
    <x:row r="421">
      <x:c r="G421" t="str">
        <x:f>IF($A421="","",IF($F421="Dec 2025-Apr 2026",2026045,YEAR($H421)*100+MONTH($H421)))</x:f>
      </x:c>
      <x:c r="O421" t="str">
        <x:f>IF($A421="","",N($M421)+N($N421))</x:f>
      </x:c>
      <x:c r="P421" t="str">
        <x:f>IF($A421="","",IF(AND(N($M421)&gt;0,N($N421)&gt;0),"Mixed",IF(N($M421)&gt;0,"Zakat",IF(N($N421)&gt;0,"Sadaqah",""))))</x:f>
      </x:c>
      <x:c r="R421" t="str">
        <x:f>IF($A421="","",IFS($O421&lt;5000,"Under ₹5,000",$O421&lt;=10000,"₹5,000–₹10,000",$O421&lt;=15000,"₹10,000–₹15,000",$O421&lt;=25000,"₹15,000–₹25,000",$O421&lt;=50000,"₹25,000–₹50,000",TRUE,"₹50,000+"))</x:f>
      </x:c>
    </x:row>
    <x:row r="422">
      <x:c r="G422" t="str">
        <x:f>IF($A422="","",IF($F422="Dec 2025-Apr 2026",2026045,YEAR($H422)*100+MONTH($H422)))</x:f>
      </x:c>
      <x:c r="O422" t="str">
        <x:f>IF($A422="","",N($M422)+N($N422))</x:f>
      </x:c>
      <x:c r="P422" t="str">
        <x:f>IF($A422="","",IF(AND(N($M422)&gt;0,N($N422)&gt;0),"Mixed",IF(N($M422)&gt;0,"Zakat",IF(N($N422)&gt;0,"Sadaqah",""))))</x:f>
      </x:c>
      <x:c r="R422" t="str">
        <x:f>IF($A422="","",IFS($O422&lt;5000,"Under ₹5,000",$O422&lt;=10000,"₹5,000–₹10,000",$O422&lt;=15000,"₹10,000–₹15,000",$O422&lt;=25000,"₹15,000–₹25,000",$O422&lt;=50000,"₹25,000–₹50,000",TRUE,"₹50,000+"))</x:f>
      </x:c>
    </x:row>
    <x:row r="423">
      <x:c r="G423" t="str">
        <x:f>IF($A423="","",IF($F423="Dec 2025-Apr 2026",2026045,YEAR($H423)*100+MONTH($H423)))</x:f>
      </x:c>
      <x:c r="O423" t="str">
        <x:f>IF($A423="","",N($M423)+N($N423))</x:f>
      </x:c>
      <x:c r="P423" t="str">
        <x:f>IF($A423="","",IF(AND(N($M423)&gt;0,N($N423)&gt;0),"Mixed",IF(N($M423)&gt;0,"Zakat",IF(N($N423)&gt;0,"Sadaqah",""))))</x:f>
      </x:c>
      <x:c r="R423" t="str">
        <x:f>IF($A423="","",IFS($O423&lt;5000,"Under ₹5,000",$O423&lt;=10000,"₹5,000–₹10,000",$O423&lt;=15000,"₹10,000–₹15,000",$O423&lt;=25000,"₹15,000–₹25,000",$O423&lt;=50000,"₹25,000–₹50,000",TRUE,"₹50,000+"))</x:f>
      </x:c>
    </x:row>
    <x:row r="424">
      <x:c r="G424" t="str">
        <x:f>IF($A424="","",IF($F424="Dec 2025-Apr 2026",2026045,YEAR($H424)*100+MONTH($H424)))</x:f>
      </x:c>
      <x:c r="O424" t="str">
        <x:f>IF($A424="","",N($M424)+N($N424))</x:f>
      </x:c>
      <x:c r="P424" t="str">
        <x:f>IF($A424="","",IF(AND(N($M424)&gt;0,N($N424)&gt;0),"Mixed",IF(N($M424)&gt;0,"Zakat",IF(N($N424)&gt;0,"Sadaqah",""))))</x:f>
      </x:c>
      <x:c r="R424" t="str">
        <x:f>IF($A424="","",IFS($O424&lt;5000,"Under ₹5,000",$O424&lt;=10000,"₹5,000–₹10,000",$O424&lt;=15000,"₹10,000–₹15,000",$O424&lt;=25000,"₹15,000–₹25,000",$O424&lt;=50000,"₹25,000–₹50,000",TRUE,"₹50,000+"))</x:f>
      </x:c>
    </x:row>
    <x:row r="425">
      <x:c r="G425" t="str">
        <x:f>IF($A425="","",IF($F425="Dec 2025-Apr 2026",2026045,YEAR($H425)*100+MONTH($H425)))</x:f>
      </x:c>
      <x:c r="O425" t="str">
        <x:f>IF($A425="","",N($M425)+N($N425))</x:f>
      </x:c>
      <x:c r="P425" t="str">
        <x:f>IF($A425="","",IF(AND(N($M425)&gt;0,N($N425)&gt;0),"Mixed",IF(N($M425)&gt;0,"Zakat",IF(N($N425)&gt;0,"Sadaqah",""))))</x:f>
      </x:c>
      <x:c r="R425" t="str">
        <x:f>IF($A425="","",IFS($O425&lt;5000,"Under ₹5,000",$O425&lt;=10000,"₹5,000–₹10,000",$O425&lt;=15000,"₹10,000–₹15,000",$O425&lt;=25000,"₹15,000–₹25,000",$O425&lt;=50000,"₹25,000–₹50,000",TRUE,"₹50,000+"))</x:f>
      </x:c>
    </x:row>
    <x:row r="426">
      <x:c r="G426" t="str">
        <x:f>IF($A426="","",IF($F426="Dec 2025-Apr 2026",2026045,YEAR($H426)*100+MONTH($H426)))</x:f>
      </x:c>
      <x:c r="O426" t="str">
        <x:f>IF($A426="","",N($M426)+N($N426))</x:f>
      </x:c>
      <x:c r="P426" t="str">
        <x:f>IF($A426="","",IF(AND(N($M426)&gt;0,N($N426)&gt;0),"Mixed",IF(N($M426)&gt;0,"Zakat",IF(N($N426)&gt;0,"Sadaqah",""))))</x:f>
      </x:c>
      <x:c r="R426" t="str">
        <x:f>IF($A426="","",IFS($O426&lt;5000,"Under ₹5,000",$O426&lt;=10000,"₹5,000–₹10,000",$O426&lt;=15000,"₹10,000–₹15,000",$O426&lt;=25000,"₹15,000–₹25,000",$O426&lt;=50000,"₹25,000–₹50,000",TRUE,"₹50,000+"))</x:f>
      </x:c>
    </x:row>
    <x:row r="427">
      <x:c r="G427" t="str">
        <x:f>IF($A427="","",IF($F427="Dec 2025-Apr 2026",2026045,YEAR($H427)*100+MONTH($H427)))</x:f>
      </x:c>
      <x:c r="O427" t="str">
        <x:f>IF($A427="","",N($M427)+N($N427))</x:f>
      </x:c>
      <x:c r="P427" t="str">
        <x:f>IF($A427="","",IF(AND(N($M427)&gt;0,N($N427)&gt;0),"Mixed",IF(N($M427)&gt;0,"Zakat",IF(N($N427)&gt;0,"Sadaqah",""))))</x:f>
      </x:c>
      <x:c r="R427" t="str">
        <x:f>IF($A427="","",IFS($O427&lt;5000,"Under ₹5,000",$O427&lt;=10000,"₹5,000–₹10,000",$O427&lt;=15000,"₹10,000–₹15,000",$O427&lt;=25000,"₹15,000–₹25,000",$O427&lt;=50000,"₹25,000–₹50,000",TRUE,"₹50,000+"))</x:f>
      </x:c>
    </x:row>
    <x:row r="428">
      <x:c r="G428" t="str">
        <x:f>IF($A428="","",IF($F428="Dec 2025-Apr 2026",2026045,YEAR($H428)*100+MONTH($H428)))</x:f>
      </x:c>
      <x:c r="O428" t="str">
        <x:f>IF($A428="","",N($M428)+N($N428))</x:f>
      </x:c>
      <x:c r="P428" t="str">
        <x:f>IF($A428="","",IF(AND(N($M428)&gt;0,N($N428)&gt;0),"Mixed",IF(N($M428)&gt;0,"Zakat",IF(N($N428)&gt;0,"Sadaqah",""))))</x:f>
      </x:c>
      <x:c r="R428" t="str">
        <x:f>IF($A428="","",IFS($O428&lt;5000,"Under ₹5,000",$O428&lt;=10000,"₹5,000–₹10,000",$O428&lt;=15000,"₹10,000–₹15,000",$O428&lt;=25000,"₹15,000–₹25,000",$O428&lt;=50000,"₹25,000–₹50,000",TRUE,"₹50,000+"))</x:f>
      </x:c>
    </x:row>
    <x:row r="429">
      <x:c r="G429" t="str">
        <x:f>IF($A429="","",IF($F429="Dec 2025-Apr 2026",2026045,YEAR($H429)*100+MONTH($H429)))</x:f>
      </x:c>
      <x:c r="O429" t="str">
        <x:f>IF($A429="","",N($M429)+N($N429))</x:f>
      </x:c>
      <x:c r="P429" t="str">
        <x:f>IF($A429="","",IF(AND(N($M429)&gt;0,N($N429)&gt;0),"Mixed",IF(N($M429)&gt;0,"Zakat",IF(N($N429)&gt;0,"Sadaqah",""))))</x:f>
      </x:c>
      <x:c r="R429" t="str">
        <x:f>IF($A429="","",IFS($O429&lt;5000,"Under ₹5,000",$O429&lt;=10000,"₹5,000–₹10,000",$O429&lt;=15000,"₹10,000–₹15,000",$O429&lt;=25000,"₹15,000–₹25,000",$O429&lt;=50000,"₹25,000–₹50,000",TRUE,"₹50,000+"))</x:f>
      </x:c>
    </x:row>
    <x:row r="430">
      <x:c r="G430" t="str">
        <x:f>IF($A430="","",IF($F430="Dec 2025-Apr 2026",2026045,YEAR($H430)*100+MONTH($H430)))</x:f>
      </x:c>
      <x:c r="O430" t="str">
        <x:f>IF($A430="","",N($M430)+N($N430))</x:f>
      </x:c>
      <x:c r="P430" t="str">
        <x:f>IF($A430="","",IF(AND(N($M430)&gt;0,N($N430)&gt;0),"Mixed",IF(N($M430)&gt;0,"Zakat",IF(N($N430)&gt;0,"Sadaqah",""))))</x:f>
      </x:c>
      <x:c r="R430" t="str">
        <x:f>IF($A430="","",IFS($O430&lt;5000,"Under ₹5,000",$O430&lt;=10000,"₹5,000–₹10,000",$O430&lt;=15000,"₹10,000–₹15,000",$O430&lt;=25000,"₹15,000–₹25,000",$O430&lt;=50000,"₹25,000–₹50,000",TRUE,"₹50,000+"))</x:f>
      </x:c>
    </x:row>
    <x:row r="431">
      <x:c r="G431" t="str">
        <x:f>IF($A431="","",IF($F431="Dec 2025-Apr 2026",2026045,YEAR($H431)*100+MONTH($H431)))</x:f>
      </x:c>
      <x:c r="O431" t="str">
        <x:f>IF($A431="","",N($M431)+N($N431))</x:f>
      </x:c>
      <x:c r="P431" t="str">
        <x:f>IF($A431="","",IF(AND(N($M431)&gt;0,N($N431)&gt;0),"Mixed",IF(N($M431)&gt;0,"Zakat",IF(N($N431)&gt;0,"Sadaqah",""))))</x:f>
      </x:c>
      <x:c r="R431" t="str">
        <x:f>IF($A431="","",IFS($O431&lt;5000,"Under ₹5,000",$O431&lt;=10000,"₹5,000–₹10,000",$O431&lt;=15000,"₹10,000–₹15,000",$O431&lt;=25000,"₹15,000–₹25,000",$O431&lt;=50000,"₹25,000–₹50,000",TRUE,"₹50,000+"))</x:f>
      </x:c>
    </x:row>
    <x:row r="432">
      <x:c r="G432" t="str">
        <x:f>IF($A432="","",IF($F432="Dec 2025-Apr 2026",2026045,YEAR($H432)*100+MONTH($H432)))</x:f>
      </x:c>
      <x:c r="O432" t="str">
        <x:f>IF($A432="","",N($M432)+N($N432))</x:f>
      </x:c>
      <x:c r="P432" t="str">
        <x:f>IF($A432="","",IF(AND(N($M432)&gt;0,N($N432)&gt;0),"Mixed",IF(N($M432)&gt;0,"Zakat",IF(N($N432)&gt;0,"Sadaqah",""))))</x:f>
      </x:c>
      <x:c r="R432" t="str">
        <x:f>IF($A432="","",IFS($O432&lt;5000,"Under ₹5,000",$O432&lt;=10000,"₹5,000–₹10,000",$O432&lt;=15000,"₹10,000–₹15,000",$O432&lt;=25000,"₹15,000–₹25,000",$O432&lt;=50000,"₹25,000–₹50,000",TRUE,"₹50,000+"))</x:f>
      </x:c>
    </x:row>
    <x:row r="433">
      <x:c r="G433" t="str">
        <x:f>IF($A433="","",IF($F433="Dec 2025-Apr 2026",2026045,YEAR($H433)*100+MONTH($H433)))</x:f>
      </x:c>
      <x:c r="O433" t="str">
        <x:f>IF($A433="","",N($M433)+N($N433))</x:f>
      </x:c>
      <x:c r="P433" t="str">
        <x:f>IF($A433="","",IF(AND(N($M433)&gt;0,N($N433)&gt;0),"Mixed",IF(N($M433)&gt;0,"Zakat",IF(N($N433)&gt;0,"Sadaqah",""))))</x:f>
      </x:c>
      <x:c r="R433" t="str">
        <x:f>IF($A433="","",IFS($O433&lt;5000,"Under ₹5,000",$O433&lt;=10000,"₹5,000–₹10,000",$O433&lt;=15000,"₹10,000–₹15,000",$O433&lt;=25000,"₹15,000–₹25,000",$O433&lt;=50000,"₹25,000–₹50,000",TRUE,"₹50,000+"))</x:f>
      </x:c>
    </x:row>
    <x:row r="434">
      <x:c r="G434" t="str">
        <x:f>IF($A434="","",IF($F434="Dec 2025-Apr 2026",2026045,YEAR($H434)*100+MONTH($H434)))</x:f>
      </x:c>
      <x:c r="O434" t="str">
        <x:f>IF($A434="","",N($M434)+N($N434))</x:f>
      </x:c>
      <x:c r="P434" t="str">
        <x:f>IF($A434="","",IF(AND(N($M434)&gt;0,N($N434)&gt;0),"Mixed",IF(N($M434)&gt;0,"Zakat",IF(N($N434)&gt;0,"Sadaqah",""))))</x:f>
      </x:c>
      <x:c r="R434" t="str">
        <x:f>IF($A434="","",IFS($O434&lt;5000,"Under ₹5,000",$O434&lt;=10000,"₹5,000–₹10,000",$O434&lt;=15000,"₹10,000–₹15,000",$O434&lt;=25000,"₹15,000–₹25,000",$O434&lt;=50000,"₹25,000–₹50,000",TRUE,"₹50,000+"))</x:f>
      </x:c>
    </x:row>
    <x:row r="435">
      <x:c r="G435" t="str">
        <x:f>IF($A435="","",IF($F435="Dec 2025-Apr 2026",2026045,YEAR($H435)*100+MONTH($H435)))</x:f>
      </x:c>
      <x:c r="O435" t="str">
        <x:f>IF($A435="","",N($M435)+N($N435))</x:f>
      </x:c>
      <x:c r="P435" t="str">
        <x:f>IF($A435="","",IF(AND(N($M435)&gt;0,N($N435)&gt;0),"Mixed",IF(N($M435)&gt;0,"Zakat",IF(N($N435)&gt;0,"Sadaqah",""))))</x:f>
      </x:c>
      <x:c r="R435" t="str">
        <x:f>IF($A435="","",IFS($O435&lt;5000,"Under ₹5,000",$O435&lt;=10000,"₹5,000–₹10,000",$O435&lt;=15000,"₹10,000–₹15,000",$O435&lt;=25000,"₹15,000–₹25,000",$O435&lt;=50000,"₹25,000–₹50,000",TRUE,"₹50,000+"))</x:f>
      </x:c>
    </x:row>
    <x:row r="436">
      <x:c r="G436" t="str">
        <x:f>IF($A436="","",IF($F436="Dec 2025-Apr 2026",2026045,YEAR($H436)*100+MONTH($H436)))</x:f>
      </x:c>
      <x:c r="O436" t="str">
        <x:f>IF($A436="","",N($M436)+N($N436))</x:f>
      </x:c>
      <x:c r="P436" t="str">
        <x:f>IF($A436="","",IF(AND(N($M436)&gt;0,N($N436)&gt;0),"Mixed",IF(N($M436)&gt;0,"Zakat",IF(N($N436)&gt;0,"Sadaqah",""))))</x:f>
      </x:c>
      <x:c r="R436" t="str">
        <x:f>IF($A436="","",IFS($O436&lt;5000,"Under ₹5,000",$O436&lt;=10000,"₹5,000–₹10,000",$O436&lt;=15000,"₹10,000–₹15,000",$O436&lt;=25000,"₹15,000–₹25,000",$O436&lt;=50000,"₹25,000–₹50,000",TRUE,"₹50,000+"))</x:f>
      </x:c>
    </x:row>
    <x:row r="437">
      <x:c r="G437" t="str">
        <x:f>IF($A437="","",IF($F437="Dec 2025-Apr 2026",2026045,YEAR($H437)*100+MONTH($H437)))</x:f>
      </x:c>
      <x:c r="O437" t="str">
        <x:f>IF($A437="","",N($M437)+N($N437))</x:f>
      </x:c>
      <x:c r="P437" t="str">
        <x:f>IF($A437="","",IF(AND(N($M437)&gt;0,N($N437)&gt;0),"Mixed",IF(N($M437)&gt;0,"Zakat",IF(N($N437)&gt;0,"Sadaqah",""))))</x:f>
      </x:c>
      <x:c r="R437" t="str">
        <x:f>IF($A437="","",IFS($O437&lt;5000,"Under ₹5,000",$O437&lt;=10000,"₹5,000–₹10,000",$O437&lt;=15000,"₹10,000–₹15,000",$O437&lt;=25000,"₹15,000–₹25,000",$O437&lt;=50000,"₹25,000–₹50,000",TRUE,"₹50,000+"))</x:f>
      </x:c>
    </x:row>
    <x:row r="438">
      <x:c r="G438" t="str">
        <x:f>IF($A438="","",IF($F438="Dec 2025-Apr 2026",2026045,YEAR($H438)*100+MONTH($H438)))</x:f>
      </x:c>
      <x:c r="O438" t="str">
        <x:f>IF($A438="","",N($M438)+N($N438))</x:f>
      </x:c>
      <x:c r="P438" t="str">
        <x:f>IF($A438="","",IF(AND(N($M438)&gt;0,N($N438)&gt;0),"Mixed",IF(N($M438)&gt;0,"Zakat",IF(N($N438)&gt;0,"Sadaqah",""))))</x:f>
      </x:c>
      <x:c r="R438" t="str">
        <x:f>IF($A438="","",IFS($O438&lt;5000,"Under ₹5,000",$O438&lt;=10000,"₹5,000–₹10,000",$O438&lt;=15000,"₹10,000–₹15,000",$O438&lt;=25000,"₹15,000–₹25,000",$O438&lt;=50000,"₹25,000–₹50,000",TRUE,"₹50,000+"))</x:f>
      </x:c>
    </x:row>
    <x:row r="439">
      <x:c r="G439" t="str">
        <x:f>IF($A439="","",IF($F439="Dec 2025-Apr 2026",2026045,YEAR($H439)*100+MONTH($H439)))</x:f>
      </x:c>
      <x:c r="O439" t="str">
        <x:f>IF($A439="","",N($M439)+N($N439))</x:f>
      </x:c>
      <x:c r="P439" t="str">
        <x:f>IF($A439="","",IF(AND(N($M439)&gt;0,N($N439)&gt;0),"Mixed",IF(N($M439)&gt;0,"Zakat",IF(N($N439)&gt;0,"Sadaqah",""))))</x:f>
      </x:c>
      <x:c r="R439" t="str">
        <x:f>IF($A439="","",IFS($O439&lt;5000,"Under ₹5,000",$O439&lt;=10000,"₹5,000–₹10,000",$O439&lt;=15000,"₹10,000–₹15,000",$O439&lt;=25000,"₹15,000–₹25,000",$O439&lt;=50000,"₹25,000–₹50,000",TRUE,"₹50,000+"))</x:f>
      </x:c>
    </x:row>
    <x:row r="440">
      <x:c r="G440" t="str">
        <x:f>IF($A440="","",IF($F440="Dec 2025-Apr 2026",2026045,YEAR($H440)*100+MONTH($H440)))</x:f>
      </x:c>
      <x:c r="O440" t="str">
        <x:f>IF($A440="","",N($M440)+N($N440))</x:f>
      </x:c>
      <x:c r="P440" t="str">
        <x:f>IF($A440="","",IF(AND(N($M440)&gt;0,N($N440)&gt;0),"Mixed",IF(N($M440)&gt;0,"Zakat",IF(N($N440)&gt;0,"Sadaqah",""))))</x:f>
      </x:c>
      <x:c r="R440" t="str">
        <x:f>IF($A440="","",IFS($O440&lt;5000,"Under ₹5,000",$O440&lt;=10000,"₹5,000–₹10,000",$O440&lt;=15000,"₹10,000–₹15,000",$O440&lt;=25000,"₹15,000–₹25,000",$O440&lt;=50000,"₹25,000–₹50,000",TRUE,"₹50,000+"))</x:f>
      </x:c>
    </x:row>
    <x:row r="441">
      <x:c r="G441" t="str">
        <x:f>IF($A441="","",IF($F441="Dec 2025-Apr 2026",2026045,YEAR($H441)*100+MONTH($H441)))</x:f>
      </x:c>
      <x:c r="O441" t="str">
        <x:f>IF($A441="","",N($M441)+N($N441))</x:f>
      </x:c>
      <x:c r="P441" t="str">
        <x:f>IF($A441="","",IF(AND(N($M441)&gt;0,N($N441)&gt;0),"Mixed",IF(N($M441)&gt;0,"Zakat",IF(N($N441)&gt;0,"Sadaqah",""))))</x:f>
      </x:c>
      <x:c r="R441" t="str">
        <x:f>IF($A441="","",IFS($O441&lt;5000,"Under ₹5,000",$O441&lt;=10000,"₹5,000–₹10,000",$O441&lt;=15000,"₹10,000–₹15,000",$O441&lt;=25000,"₹15,000–₹25,000",$O441&lt;=50000,"₹25,000–₹50,000",TRUE,"₹50,000+"))</x:f>
      </x:c>
    </x:row>
    <x:row r="442">
      <x:c r="G442" t="str">
        <x:f>IF($A442="","",IF($F442="Dec 2025-Apr 2026",2026045,YEAR($H442)*100+MONTH($H442)))</x:f>
      </x:c>
      <x:c r="O442" t="str">
        <x:f>IF($A442="","",N($M442)+N($N442))</x:f>
      </x:c>
      <x:c r="P442" t="str">
        <x:f>IF($A442="","",IF(AND(N($M442)&gt;0,N($N442)&gt;0),"Mixed",IF(N($M442)&gt;0,"Zakat",IF(N($N442)&gt;0,"Sadaqah",""))))</x:f>
      </x:c>
      <x:c r="R442" t="str">
        <x:f>IF($A442="","",IFS($O442&lt;5000,"Under ₹5,000",$O442&lt;=10000,"₹5,000–₹10,000",$O442&lt;=15000,"₹10,000–₹15,000",$O442&lt;=25000,"₹15,000–₹25,000",$O442&lt;=50000,"₹25,000–₹50,000",TRUE,"₹50,000+"))</x:f>
      </x:c>
    </x:row>
    <x:row r="443">
      <x:c r="G443" t="str">
        <x:f>IF($A443="","",IF($F443="Dec 2025-Apr 2026",2026045,YEAR($H443)*100+MONTH($H443)))</x:f>
      </x:c>
      <x:c r="O443" t="str">
        <x:f>IF($A443="","",N($M443)+N($N443))</x:f>
      </x:c>
      <x:c r="P443" t="str">
        <x:f>IF($A443="","",IF(AND(N($M443)&gt;0,N($N443)&gt;0),"Mixed",IF(N($M443)&gt;0,"Zakat",IF(N($N443)&gt;0,"Sadaqah",""))))</x:f>
      </x:c>
      <x:c r="R443" t="str">
        <x:f>IF($A443="","",IFS($O443&lt;5000,"Under ₹5,000",$O443&lt;=10000,"₹5,000–₹10,000",$O443&lt;=15000,"₹10,000–₹15,000",$O443&lt;=25000,"₹15,000–₹25,000",$O443&lt;=50000,"₹25,000–₹50,000",TRUE,"₹50,000+"))</x:f>
      </x:c>
    </x:row>
    <x:row r="444">
      <x:c r="G444" t="str">
        <x:f>IF($A444="","",IF($F444="Dec 2025-Apr 2026",2026045,YEAR($H444)*100+MONTH($H444)))</x:f>
      </x:c>
      <x:c r="O444" t="str">
        <x:f>IF($A444="","",N($M444)+N($N444))</x:f>
      </x:c>
      <x:c r="P444" t="str">
        <x:f>IF($A444="","",IF(AND(N($M444)&gt;0,N($N444)&gt;0),"Mixed",IF(N($M444)&gt;0,"Zakat",IF(N($N444)&gt;0,"Sadaqah",""))))</x:f>
      </x:c>
      <x:c r="R444" t="str">
        <x:f>IF($A444="","",IFS($O444&lt;5000,"Under ₹5,000",$O444&lt;=10000,"₹5,000–₹10,000",$O444&lt;=15000,"₹10,000–₹15,000",$O444&lt;=25000,"₹15,000–₹25,000",$O444&lt;=50000,"₹25,000–₹50,000",TRUE,"₹50,000+"))</x:f>
      </x:c>
    </x:row>
    <x:row r="445">
      <x:c r="G445" t="str">
        <x:f>IF($A445="","",IF($F445="Dec 2025-Apr 2026",2026045,YEAR($H445)*100+MONTH($H445)))</x:f>
      </x:c>
      <x:c r="O445" t="str">
        <x:f>IF($A445="","",N($M445)+N($N445))</x:f>
      </x:c>
      <x:c r="P445" t="str">
        <x:f>IF($A445="","",IF(AND(N($M445)&gt;0,N($N445)&gt;0),"Mixed",IF(N($M445)&gt;0,"Zakat",IF(N($N445)&gt;0,"Sadaqah",""))))</x:f>
      </x:c>
      <x:c r="R445" t="str">
        <x:f>IF($A445="","",IFS($O445&lt;5000,"Under ₹5,000",$O445&lt;=10000,"₹5,000–₹10,000",$O445&lt;=15000,"₹10,000–₹15,000",$O445&lt;=25000,"₹15,000–₹25,000",$O445&lt;=50000,"₹25,000–₹50,000",TRUE,"₹50,000+"))</x:f>
      </x:c>
    </x:row>
    <x:row r="446">
      <x:c r="G446" t="str">
        <x:f>IF($A446="","",IF($F446="Dec 2025-Apr 2026",2026045,YEAR($H446)*100+MONTH($H446)))</x:f>
      </x:c>
      <x:c r="O446" t="str">
        <x:f>IF($A446="","",N($M446)+N($N446))</x:f>
      </x:c>
      <x:c r="P446" t="str">
        <x:f>IF($A446="","",IF(AND(N($M446)&gt;0,N($N446)&gt;0),"Mixed",IF(N($M446)&gt;0,"Zakat",IF(N($N446)&gt;0,"Sadaqah",""))))</x:f>
      </x:c>
      <x:c r="R446" t="str">
        <x:f>IF($A446="","",IFS($O446&lt;5000,"Under ₹5,000",$O446&lt;=10000,"₹5,000–₹10,000",$O446&lt;=15000,"₹10,000–₹15,000",$O446&lt;=25000,"₹15,000–₹25,000",$O446&lt;=50000,"₹25,000–₹50,000",TRUE,"₹50,000+"))</x:f>
      </x:c>
    </x:row>
    <x:row r="447">
      <x:c r="G447" t="str">
        <x:f>IF($A447="","",IF($F447="Dec 2025-Apr 2026",2026045,YEAR($H447)*100+MONTH($H447)))</x:f>
      </x:c>
      <x:c r="O447" t="str">
        <x:f>IF($A447="","",N($M447)+N($N447))</x:f>
      </x:c>
      <x:c r="P447" t="str">
        <x:f>IF($A447="","",IF(AND(N($M447)&gt;0,N($N447)&gt;0),"Mixed",IF(N($M447)&gt;0,"Zakat",IF(N($N447)&gt;0,"Sadaqah",""))))</x:f>
      </x:c>
      <x:c r="R447" t="str">
        <x:f>IF($A447="","",IFS($O447&lt;5000,"Under ₹5,000",$O447&lt;=10000,"₹5,000–₹10,000",$O447&lt;=15000,"₹10,000–₹15,000",$O447&lt;=25000,"₹15,000–₹25,000",$O447&lt;=50000,"₹25,000–₹50,000",TRUE,"₹50,000+"))</x:f>
      </x:c>
    </x:row>
    <x:row r="448">
      <x:c r="G448" t="str">
        <x:f>IF($A448="","",IF($F448="Dec 2025-Apr 2026",2026045,YEAR($H448)*100+MONTH($H448)))</x:f>
      </x:c>
      <x:c r="O448" t="str">
        <x:f>IF($A448="","",N($M448)+N($N448))</x:f>
      </x:c>
      <x:c r="P448" t="str">
        <x:f>IF($A448="","",IF(AND(N($M448)&gt;0,N($N448)&gt;0),"Mixed",IF(N($M448)&gt;0,"Zakat",IF(N($N448)&gt;0,"Sadaqah",""))))</x:f>
      </x:c>
      <x:c r="R448" t="str">
        <x:f>IF($A448="","",IFS($O448&lt;5000,"Under ₹5,000",$O448&lt;=10000,"₹5,000–₹10,000",$O448&lt;=15000,"₹10,000–₹15,000",$O448&lt;=25000,"₹15,000–₹25,000",$O448&lt;=50000,"₹25,000–₹50,000",TRUE,"₹50,000+"))</x:f>
      </x:c>
    </x:row>
    <x:row r="449">
      <x:c r="G449" t="str">
        <x:f>IF($A449="","",IF($F449="Dec 2025-Apr 2026",2026045,YEAR($H449)*100+MONTH($H449)))</x:f>
      </x:c>
      <x:c r="O449" t="str">
        <x:f>IF($A449="","",N($M449)+N($N449))</x:f>
      </x:c>
      <x:c r="P449" t="str">
        <x:f>IF($A449="","",IF(AND(N($M449)&gt;0,N($N449)&gt;0),"Mixed",IF(N($M449)&gt;0,"Zakat",IF(N($N449)&gt;0,"Sadaqah",""))))</x:f>
      </x:c>
      <x:c r="R449" t="str">
        <x:f>IF($A449="","",IFS($O449&lt;5000,"Under ₹5,000",$O449&lt;=10000,"₹5,000–₹10,000",$O449&lt;=15000,"₹10,000–₹15,000",$O449&lt;=25000,"₹15,000–₹25,000",$O449&lt;=50000,"₹25,000–₹50,000",TRUE,"₹50,000+"))</x:f>
      </x:c>
    </x:row>
    <x:row r="450">
      <x:c r="G450" t="str">
        <x:f>IF($A450="","",IF($F450="Dec 2025-Apr 2026",2026045,YEAR($H450)*100+MONTH($H450)))</x:f>
      </x:c>
      <x:c r="O450" t="str">
        <x:f>IF($A450="","",N($M450)+N($N450))</x:f>
      </x:c>
      <x:c r="P450" t="str">
        <x:f>IF($A450="","",IF(AND(N($M450)&gt;0,N($N450)&gt;0),"Mixed",IF(N($M450)&gt;0,"Zakat",IF(N($N450)&gt;0,"Sadaqah",""))))</x:f>
      </x:c>
      <x:c r="R450" t="str">
        <x:f>IF($A450="","",IFS($O450&lt;5000,"Under ₹5,000",$O450&lt;=10000,"₹5,000–₹10,000",$O450&lt;=15000,"₹10,000–₹15,000",$O450&lt;=25000,"₹15,000–₹25,000",$O450&lt;=50000,"₹25,000–₹50,000",TRUE,"₹50,000+"))</x:f>
      </x:c>
    </x:row>
    <x:row r="451">
      <x:c r="G451" t="str">
        <x:f>IF($A451="","",IF($F451="Dec 2025-Apr 2026",2026045,YEAR($H451)*100+MONTH($H451)))</x:f>
      </x:c>
      <x:c r="O451" t="str">
        <x:f>IF($A451="","",N($M451)+N($N451))</x:f>
      </x:c>
      <x:c r="P451" t="str">
        <x:f>IF($A451="","",IF(AND(N($M451)&gt;0,N($N451)&gt;0),"Mixed",IF(N($M451)&gt;0,"Zakat",IF(N($N451)&gt;0,"Sadaqah",""))))</x:f>
      </x:c>
      <x:c r="R451" t="str">
        <x:f>IF($A451="","",IFS($O451&lt;5000,"Under ₹5,000",$O451&lt;=10000,"₹5,000–₹10,000",$O451&lt;=15000,"₹10,000–₹15,000",$O451&lt;=25000,"₹15,000–₹25,000",$O451&lt;=50000,"₹25,000–₹50,000",TRUE,"₹50,000+"))</x:f>
      </x:c>
    </x:row>
    <x:row r="452">
      <x:c r="G452" t="str">
        <x:f>IF($A452="","",IF($F452="Dec 2025-Apr 2026",2026045,YEAR($H452)*100+MONTH($H452)))</x:f>
      </x:c>
      <x:c r="O452" t="str">
        <x:f>IF($A452="","",N($M452)+N($N452))</x:f>
      </x:c>
      <x:c r="P452" t="str">
        <x:f>IF($A452="","",IF(AND(N($M452)&gt;0,N($N452)&gt;0),"Mixed",IF(N($M452)&gt;0,"Zakat",IF(N($N452)&gt;0,"Sadaqah",""))))</x:f>
      </x:c>
      <x:c r="R452" t="str">
        <x:f>IF($A452="","",IFS($O452&lt;5000,"Under ₹5,000",$O452&lt;=10000,"₹5,000–₹10,000",$O452&lt;=15000,"₹10,000–₹15,000",$O452&lt;=25000,"₹15,000–₹25,000",$O452&lt;=50000,"₹25,000–₹50,000",TRUE,"₹50,000+"))</x:f>
      </x:c>
    </x:row>
    <x:row r="453">
      <x:c r="G453" t="str">
        <x:f>IF($A453="","",IF($F453="Dec 2025-Apr 2026",2026045,YEAR($H453)*100+MONTH($H453)))</x:f>
      </x:c>
      <x:c r="O453" t="str">
        <x:f>IF($A453="","",N($M453)+N($N453))</x:f>
      </x:c>
      <x:c r="P453" t="str">
        <x:f>IF($A453="","",IF(AND(N($M453)&gt;0,N($N453)&gt;0),"Mixed",IF(N($M453)&gt;0,"Zakat",IF(N($N453)&gt;0,"Sadaqah",""))))</x:f>
      </x:c>
      <x:c r="R453" t="str">
        <x:f>IF($A453="","",IFS($O453&lt;5000,"Under ₹5,000",$O453&lt;=10000,"₹5,000–₹10,000",$O453&lt;=15000,"₹10,000–₹15,000",$O453&lt;=25000,"₹15,000–₹25,000",$O453&lt;=50000,"₹25,000–₹50,000",TRUE,"₹50,000+"))</x:f>
      </x:c>
    </x:row>
    <x:row r="454">
      <x:c r="G454" t="str">
        <x:f>IF($A454="","",IF($F454="Dec 2025-Apr 2026",2026045,YEAR($H454)*100+MONTH($H454)))</x:f>
      </x:c>
      <x:c r="O454" t="str">
        <x:f>IF($A454="","",N($M454)+N($N454))</x:f>
      </x:c>
      <x:c r="P454" t="str">
        <x:f>IF($A454="","",IF(AND(N($M454)&gt;0,N($N454)&gt;0),"Mixed",IF(N($M454)&gt;0,"Zakat",IF(N($N454)&gt;0,"Sadaqah",""))))</x:f>
      </x:c>
      <x:c r="R454" t="str">
        <x:f>IF($A454="","",IFS($O454&lt;5000,"Under ₹5,000",$O454&lt;=10000,"₹5,000–₹10,000",$O454&lt;=15000,"₹10,000–₹15,000",$O454&lt;=25000,"₹15,000–₹25,000",$O454&lt;=50000,"₹25,000–₹50,000",TRUE,"₹50,000+"))</x:f>
      </x:c>
    </x:row>
    <x:row r="455">
      <x:c r="G455" t="str">
        <x:f>IF($A455="","",IF($F455="Dec 2025-Apr 2026",2026045,YEAR($H455)*100+MONTH($H455)))</x:f>
      </x:c>
      <x:c r="O455" t="str">
        <x:f>IF($A455="","",N($M455)+N($N455))</x:f>
      </x:c>
      <x:c r="P455" t="str">
        <x:f>IF($A455="","",IF(AND(N($M455)&gt;0,N($N455)&gt;0),"Mixed",IF(N($M455)&gt;0,"Zakat",IF(N($N455)&gt;0,"Sadaqah",""))))</x:f>
      </x:c>
      <x:c r="R455" t="str">
        <x:f>IF($A455="","",IFS($O455&lt;5000,"Under ₹5,000",$O455&lt;=10000,"₹5,000–₹10,000",$O455&lt;=15000,"₹10,000–₹15,000",$O455&lt;=25000,"₹15,000–₹25,000",$O455&lt;=50000,"₹25,000–₹50,000",TRUE,"₹50,000+"))</x:f>
      </x:c>
    </x:row>
    <x:row r="456">
      <x:c r="G456" t="str">
        <x:f>IF($A456="","",IF($F456="Dec 2025-Apr 2026",2026045,YEAR($H456)*100+MONTH($H456)))</x:f>
      </x:c>
      <x:c r="O456" t="str">
        <x:f>IF($A456="","",N($M456)+N($N456))</x:f>
      </x:c>
      <x:c r="P456" t="str">
        <x:f>IF($A456="","",IF(AND(N($M456)&gt;0,N($N456)&gt;0),"Mixed",IF(N($M456)&gt;0,"Zakat",IF(N($N456)&gt;0,"Sadaqah",""))))</x:f>
      </x:c>
      <x:c r="R456" t="str">
        <x:f>IF($A456="","",IFS($O456&lt;5000,"Under ₹5,000",$O456&lt;=10000,"₹5,000–₹10,000",$O456&lt;=15000,"₹10,000–₹15,000",$O456&lt;=25000,"₹15,000–₹25,000",$O456&lt;=50000,"₹25,000–₹50,000",TRUE,"₹50,000+"))</x:f>
      </x:c>
    </x:row>
    <x:row r="457">
      <x:c r="G457" t="str">
        <x:f>IF($A457="","",IF($F457="Dec 2025-Apr 2026",2026045,YEAR($H457)*100+MONTH($H457)))</x:f>
      </x:c>
      <x:c r="O457" t="str">
        <x:f>IF($A457="","",N($M457)+N($N457))</x:f>
      </x:c>
      <x:c r="P457" t="str">
        <x:f>IF($A457="","",IF(AND(N($M457)&gt;0,N($N457)&gt;0),"Mixed",IF(N($M457)&gt;0,"Zakat",IF(N($N457)&gt;0,"Sadaqah",""))))</x:f>
      </x:c>
      <x:c r="R457" t="str">
        <x:f>IF($A457="","",IFS($O457&lt;5000,"Under ₹5,000",$O457&lt;=10000,"₹5,000–₹10,000",$O457&lt;=15000,"₹10,000–₹15,000",$O457&lt;=25000,"₹15,000–₹25,000",$O457&lt;=50000,"₹25,000–₹50,000",TRUE,"₹50,000+"))</x:f>
      </x:c>
    </x:row>
    <x:row r="458">
      <x:c r="G458" t="str">
        <x:f>IF($A458="","",IF($F458="Dec 2025-Apr 2026",2026045,YEAR($H458)*100+MONTH($H458)))</x:f>
      </x:c>
      <x:c r="O458" t="str">
        <x:f>IF($A458="","",N($M458)+N($N458))</x:f>
      </x:c>
      <x:c r="P458" t="str">
        <x:f>IF($A458="","",IF(AND(N($M458)&gt;0,N($N458)&gt;0),"Mixed",IF(N($M458)&gt;0,"Zakat",IF(N($N458)&gt;0,"Sadaqah",""))))</x:f>
      </x:c>
      <x:c r="R458" t="str">
        <x:f>IF($A458="","",IFS($O458&lt;5000,"Under ₹5,000",$O458&lt;=10000,"₹5,000–₹10,000",$O458&lt;=15000,"₹10,000–₹15,000",$O458&lt;=25000,"₹15,000–₹25,000",$O458&lt;=50000,"₹25,000–₹50,000",TRUE,"₹50,000+"))</x:f>
      </x:c>
    </x:row>
    <x:row r="459">
      <x:c r="G459" t="str">
        <x:f>IF($A459="","",IF($F459="Dec 2025-Apr 2026",2026045,YEAR($H459)*100+MONTH($H459)))</x:f>
      </x:c>
      <x:c r="O459" t="str">
        <x:f>IF($A459="","",N($M459)+N($N459))</x:f>
      </x:c>
      <x:c r="P459" t="str">
        <x:f>IF($A459="","",IF(AND(N($M459)&gt;0,N($N459)&gt;0),"Mixed",IF(N($M459)&gt;0,"Zakat",IF(N($N459)&gt;0,"Sadaqah",""))))</x:f>
      </x:c>
      <x:c r="R459" t="str">
        <x:f>IF($A459="","",IFS($O459&lt;5000,"Under ₹5,000",$O459&lt;=10000,"₹5,000–₹10,000",$O459&lt;=15000,"₹10,000–₹15,000",$O459&lt;=25000,"₹15,000–₹25,000",$O459&lt;=50000,"₹25,000–₹50,000",TRUE,"₹50,000+"))</x:f>
      </x:c>
    </x:row>
    <x:row r="460">
      <x:c r="G460" t="str">
        <x:f>IF($A460="","",IF($F460="Dec 2025-Apr 2026",2026045,YEAR($H460)*100+MONTH($H460)))</x:f>
      </x:c>
      <x:c r="O460" t="str">
        <x:f>IF($A460="","",N($M460)+N($N460))</x:f>
      </x:c>
      <x:c r="P460" t="str">
        <x:f>IF($A460="","",IF(AND(N($M460)&gt;0,N($N460)&gt;0),"Mixed",IF(N($M460)&gt;0,"Zakat",IF(N($N460)&gt;0,"Sadaqah",""))))</x:f>
      </x:c>
      <x:c r="R460" t="str">
        <x:f>IF($A460="","",IFS($O460&lt;5000,"Under ₹5,000",$O460&lt;=10000,"₹5,000–₹10,000",$O460&lt;=15000,"₹10,000–₹15,000",$O460&lt;=25000,"₹15,000–₹25,000",$O460&lt;=50000,"₹25,000–₹50,000",TRUE,"₹50,000+"))</x:f>
      </x:c>
    </x:row>
    <x:row r="461">
      <x:c r="G461" t="str">
        <x:f>IF($A461="","",IF($F461="Dec 2025-Apr 2026",2026045,YEAR($H461)*100+MONTH($H461)))</x:f>
      </x:c>
      <x:c r="O461" t="str">
        <x:f>IF($A461="","",N($M461)+N($N461))</x:f>
      </x:c>
      <x:c r="P461" t="str">
        <x:f>IF($A461="","",IF(AND(N($M461)&gt;0,N($N461)&gt;0),"Mixed",IF(N($M461)&gt;0,"Zakat",IF(N($N461)&gt;0,"Sadaqah",""))))</x:f>
      </x:c>
      <x:c r="R461" t="str">
        <x:f>IF($A461="","",IFS($O461&lt;5000,"Under ₹5,000",$O461&lt;=10000,"₹5,000–₹10,000",$O461&lt;=15000,"₹10,000–₹15,000",$O461&lt;=25000,"₹15,000–₹25,000",$O461&lt;=50000,"₹25,000–₹50,000",TRUE,"₹50,000+"))</x:f>
      </x:c>
    </x:row>
    <x:row r="462">
      <x:c r="G462" t="str">
        <x:f>IF($A462="","",IF($F462="Dec 2025-Apr 2026",2026045,YEAR($H462)*100+MONTH($H462)))</x:f>
      </x:c>
      <x:c r="O462" t="str">
        <x:f>IF($A462="","",N($M462)+N($N462))</x:f>
      </x:c>
      <x:c r="P462" t="str">
        <x:f>IF($A462="","",IF(AND(N($M462)&gt;0,N($N462)&gt;0),"Mixed",IF(N($M462)&gt;0,"Zakat",IF(N($N462)&gt;0,"Sadaqah",""))))</x:f>
      </x:c>
      <x:c r="R462" t="str">
        <x:f>IF($A462="","",IFS($O462&lt;5000,"Under ₹5,000",$O462&lt;=10000,"₹5,000–₹10,000",$O462&lt;=15000,"₹10,000–₹15,000",$O462&lt;=25000,"₹15,000–₹25,000",$O462&lt;=50000,"₹25,000–₹50,000",TRUE,"₹50,000+"))</x:f>
      </x:c>
    </x:row>
    <x:row r="463">
      <x:c r="G463" t="str">
        <x:f>IF($A463="","",IF($F463="Dec 2025-Apr 2026",2026045,YEAR($H463)*100+MONTH($H463)))</x:f>
      </x:c>
      <x:c r="O463" t="str">
        <x:f>IF($A463="","",N($M463)+N($N463))</x:f>
      </x:c>
      <x:c r="P463" t="str">
        <x:f>IF($A463="","",IF(AND(N($M463)&gt;0,N($N463)&gt;0),"Mixed",IF(N($M463)&gt;0,"Zakat",IF(N($N463)&gt;0,"Sadaqah",""))))</x:f>
      </x:c>
      <x:c r="R463" t="str">
        <x:f>IF($A463="","",IFS($O463&lt;5000,"Under ₹5,000",$O463&lt;=10000,"₹5,000–₹10,000",$O463&lt;=15000,"₹10,000–₹15,000",$O463&lt;=25000,"₹15,000–₹25,000",$O463&lt;=50000,"₹25,000–₹50,000",TRUE,"₹50,000+"))</x:f>
      </x:c>
    </x:row>
    <x:row r="464">
      <x:c r="G464" t="str">
        <x:f>IF($A464="","",IF($F464="Dec 2025-Apr 2026",2026045,YEAR($H464)*100+MONTH($H464)))</x:f>
      </x:c>
      <x:c r="O464" t="str">
        <x:f>IF($A464="","",N($M464)+N($N464))</x:f>
      </x:c>
      <x:c r="P464" t="str">
        <x:f>IF($A464="","",IF(AND(N($M464)&gt;0,N($N464)&gt;0),"Mixed",IF(N($M464)&gt;0,"Zakat",IF(N($N464)&gt;0,"Sadaqah",""))))</x:f>
      </x:c>
      <x:c r="R464" t="str">
        <x:f>IF($A464="","",IFS($O464&lt;5000,"Under ₹5,000",$O464&lt;=10000,"₹5,000–₹10,000",$O464&lt;=15000,"₹10,000–₹15,000",$O464&lt;=25000,"₹15,000–₹25,000",$O464&lt;=50000,"₹25,000–₹50,000",TRUE,"₹50,000+"))</x:f>
      </x:c>
    </x:row>
    <x:row r="465">
      <x:c r="G465" t="str">
        <x:f>IF($A465="","",IF($F465="Dec 2025-Apr 2026",2026045,YEAR($H465)*100+MONTH($H465)))</x:f>
      </x:c>
      <x:c r="O465" t="str">
        <x:f>IF($A465="","",N($M465)+N($N465))</x:f>
      </x:c>
      <x:c r="P465" t="str">
        <x:f>IF($A465="","",IF(AND(N($M465)&gt;0,N($N465)&gt;0),"Mixed",IF(N($M465)&gt;0,"Zakat",IF(N($N465)&gt;0,"Sadaqah",""))))</x:f>
      </x:c>
      <x:c r="R465" t="str">
        <x:f>IF($A465="","",IFS($O465&lt;5000,"Under ₹5,000",$O465&lt;=10000,"₹5,000–₹10,000",$O465&lt;=15000,"₹10,000–₹15,000",$O465&lt;=25000,"₹15,000–₹25,000",$O465&lt;=50000,"₹25,000–₹50,000",TRUE,"₹50,000+"))</x:f>
      </x:c>
    </x:row>
    <x:row r="466">
      <x:c r="G466" t="str">
        <x:f>IF($A466="","",IF($F466="Dec 2025-Apr 2026",2026045,YEAR($H466)*100+MONTH($H466)))</x:f>
      </x:c>
      <x:c r="O466" t="str">
        <x:f>IF($A466="","",N($M466)+N($N466))</x:f>
      </x:c>
      <x:c r="P466" t="str">
        <x:f>IF($A466="","",IF(AND(N($M466)&gt;0,N($N466)&gt;0),"Mixed",IF(N($M466)&gt;0,"Zakat",IF(N($N466)&gt;0,"Sadaqah",""))))</x:f>
      </x:c>
      <x:c r="R466" t="str">
        <x:f>IF($A466="","",IFS($O466&lt;5000,"Under ₹5,000",$O466&lt;=10000,"₹5,000–₹10,000",$O466&lt;=15000,"₹10,000–₹15,000",$O466&lt;=25000,"₹15,000–₹25,000",$O466&lt;=50000,"₹25,000–₹50,000",TRUE,"₹50,000+"))</x:f>
      </x:c>
    </x:row>
    <x:row r="467">
      <x:c r="G467" t="str">
        <x:f>IF($A467="","",IF($F467="Dec 2025-Apr 2026",2026045,YEAR($H467)*100+MONTH($H467)))</x:f>
      </x:c>
      <x:c r="O467" t="str">
        <x:f>IF($A467="","",N($M467)+N($N467))</x:f>
      </x:c>
      <x:c r="P467" t="str">
        <x:f>IF($A467="","",IF(AND(N($M467)&gt;0,N($N467)&gt;0),"Mixed",IF(N($M467)&gt;0,"Zakat",IF(N($N467)&gt;0,"Sadaqah",""))))</x:f>
      </x:c>
      <x:c r="R467" t="str">
        <x:f>IF($A467="","",IFS($O467&lt;5000,"Under ₹5,000",$O467&lt;=10000,"₹5,000–₹10,000",$O467&lt;=15000,"₹10,000–₹15,000",$O467&lt;=25000,"₹15,000–₹25,000",$O467&lt;=50000,"₹25,000–₹50,000",TRUE,"₹50,000+"))</x:f>
      </x:c>
    </x:row>
    <x:row r="468">
      <x:c r="G468" t="str">
        <x:f>IF($A468="","",IF($F468="Dec 2025-Apr 2026",2026045,YEAR($H468)*100+MONTH($H468)))</x:f>
      </x:c>
      <x:c r="O468" t="str">
        <x:f>IF($A468="","",N($M468)+N($N468))</x:f>
      </x:c>
      <x:c r="P468" t="str">
        <x:f>IF($A468="","",IF(AND(N($M468)&gt;0,N($N468)&gt;0),"Mixed",IF(N($M468)&gt;0,"Zakat",IF(N($N468)&gt;0,"Sadaqah",""))))</x:f>
      </x:c>
      <x:c r="R468" t="str">
        <x:f>IF($A468="","",IFS($O468&lt;5000,"Under ₹5,000",$O468&lt;=10000,"₹5,000–₹10,000",$O468&lt;=15000,"₹10,000–₹15,000",$O468&lt;=25000,"₹15,000–₹25,000",$O468&lt;=50000,"₹25,000–₹50,000",TRUE,"₹50,000+"))</x:f>
      </x:c>
    </x:row>
    <x:row r="469">
      <x:c r="G469" t="str">
        <x:f>IF($A469="","",IF($F469="Dec 2025-Apr 2026",2026045,YEAR($H469)*100+MONTH($H469)))</x:f>
      </x:c>
      <x:c r="O469" t="str">
        <x:f>IF($A469="","",N($M469)+N($N469))</x:f>
      </x:c>
      <x:c r="P469" t="str">
        <x:f>IF($A469="","",IF(AND(N($M469)&gt;0,N($N469)&gt;0),"Mixed",IF(N($M469)&gt;0,"Zakat",IF(N($N469)&gt;0,"Sadaqah",""))))</x:f>
      </x:c>
      <x:c r="R469" t="str">
        <x:f>IF($A469="","",IFS($O469&lt;5000,"Under ₹5,000",$O469&lt;=10000,"₹5,000–₹10,000",$O469&lt;=15000,"₹10,000–₹15,000",$O469&lt;=25000,"₹15,000–₹25,000",$O469&lt;=50000,"₹25,000–₹50,000",TRUE,"₹50,000+"))</x:f>
      </x:c>
    </x:row>
    <x:row r="470">
      <x:c r="G470" t="str">
        <x:f>IF($A470="","",IF($F470="Dec 2025-Apr 2026",2026045,YEAR($H470)*100+MONTH($H470)))</x:f>
      </x:c>
      <x:c r="O470" t="str">
        <x:f>IF($A470="","",N($M470)+N($N470))</x:f>
      </x:c>
      <x:c r="P470" t="str">
        <x:f>IF($A470="","",IF(AND(N($M470)&gt;0,N($N470)&gt;0),"Mixed",IF(N($M470)&gt;0,"Zakat",IF(N($N470)&gt;0,"Sadaqah",""))))</x:f>
      </x:c>
      <x:c r="R470" t="str">
        <x:f>IF($A470="","",IFS($O470&lt;5000,"Under ₹5,000",$O470&lt;=10000,"₹5,000–₹10,000",$O470&lt;=15000,"₹10,000–₹15,000",$O470&lt;=25000,"₹15,000–₹25,000",$O470&lt;=50000,"₹25,000–₹50,000",TRUE,"₹50,000+"))</x:f>
      </x:c>
    </x:row>
    <x:row r="471">
      <x:c r="G471" t="str">
        <x:f>IF($A471="","",IF($F471="Dec 2025-Apr 2026",2026045,YEAR($H471)*100+MONTH($H471)))</x:f>
      </x:c>
      <x:c r="O471" t="str">
        <x:f>IF($A471="","",N($M471)+N($N471))</x:f>
      </x:c>
      <x:c r="P471" t="str">
        <x:f>IF($A471="","",IF(AND(N($M471)&gt;0,N($N471)&gt;0),"Mixed",IF(N($M471)&gt;0,"Zakat",IF(N($N471)&gt;0,"Sadaqah",""))))</x:f>
      </x:c>
      <x:c r="R471" t="str">
        <x:f>IF($A471="","",IFS($O471&lt;5000,"Under ₹5,000",$O471&lt;=10000,"₹5,000–₹10,000",$O471&lt;=15000,"₹10,000–₹15,000",$O471&lt;=25000,"₹15,000–₹25,000",$O471&lt;=50000,"₹25,000–₹50,000",TRUE,"₹50,000+"))</x:f>
      </x:c>
    </x:row>
    <x:row r="472">
      <x:c r="G472" t="str">
        <x:f>IF($A472="","",IF($F472="Dec 2025-Apr 2026",2026045,YEAR($H472)*100+MONTH($H472)))</x:f>
      </x:c>
      <x:c r="O472" t="str">
        <x:f>IF($A472="","",N($M472)+N($N472))</x:f>
      </x:c>
      <x:c r="P472" t="str">
        <x:f>IF($A472="","",IF(AND(N($M472)&gt;0,N($N472)&gt;0),"Mixed",IF(N($M472)&gt;0,"Zakat",IF(N($N472)&gt;0,"Sadaqah",""))))</x:f>
      </x:c>
      <x:c r="R472" t="str">
        <x:f>IF($A472="","",IFS($O472&lt;5000,"Under ₹5,000",$O472&lt;=10000,"₹5,000–₹10,000",$O472&lt;=15000,"₹10,000–₹15,000",$O472&lt;=25000,"₹15,000–₹25,000",$O472&lt;=50000,"₹25,000–₹50,000",TRUE,"₹50,000+"))</x:f>
      </x:c>
    </x:row>
    <x:row r="473">
      <x:c r="G473" t="str">
        <x:f>IF($A473="","",IF($F473="Dec 2025-Apr 2026",2026045,YEAR($H473)*100+MONTH($H473)))</x:f>
      </x:c>
      <x:c r="O473" t="str">
        <x:f>IF($A473="","",N($M473)+N($N473))</x:f>
      </x:c>
      <x:c r="P473" t="str">
        <x:f>IF($A473="","",IF(AND(N($M473)&gt;0,N($N473)&gt;0),"Mixed",IF(N($M473)&gt;0,"Zakat",IF(N($N473)&gt;0,"Sadaqah",""))))</x:f>
      </x:c>
      <x:c r="R473" t="str">
        <x:f>IF($A473="","",IFS($O473&lt;5000,"Under ₹5,000",$O473&lt;=10000,"₹5,000–₹10,000",$O473&lt;=15000,"₹10,000–₹15,000",$O473&lt;=25000,"₹15,000–₹25,000",$O473&lt;=50000,"₹25,000–₹50,000",TRUE,"₹50,000+"))</x:f>
      </x:c>
    </x:row>
    <x:row r="474">
      <x:c r="G474" t="str">
        <x:f>IF($A474="","",IF($F474="Dec 2025-Apr 2026",2026045,YEAR($H474)*100+MONTH($H474)))</x:f>
      </x:c>
      <x:c r="O474" t="str">
        <x:f>IF($A474="","",N($M474)+N($N474))</x:f>
      </x:c>
      <x:c r="P474" t="str">
        <x:f>IF($A474="","",IF(AND(N($M474)&gt;0,N($N474)&gt;0),"Mixed",IF(N($M474)&gt;0,"Zakat",IF(N($N474)&gt;0,"Sadaqah",""))))</x:f>
      </x:c>
      <x:c r="R474" t="str">
        <x:f>IF($A474="","",IFS($O474&lt;5000,"Under ₹5,000",$O474&lt;=10000,"₹5,000–₹10,000",$O474&lt;=15000,"₹10,000–₹15,000",$O474&lt;=25000,"₹15,000–₹25,000",$O474&lt;=50000,"₹25,000–₹50,000",TRUE,"₹50,000+"))</x:f>
      </x:c>
    </x:row>
    <x:row r="475">
      <x:c r="G475" t="str">
        <x:f>IF($A475="","",IF($F475="Dec 2025-Apr 2026",2026045,YEAR($H475)*100+MONTH($H475)))</x:f>
      </x:c>
      <x:c r="O475" t="str">
        <x:f>IF($A475="","",N($M475)+N($N475))</x:f>
      </x:c>
      <x:c r="P475" t="str">
        <x:f>IF($A475="","",IF(AND(N($M475)&gt;0,N($N475)&gt;0),"Mixed",IF(N($M475)&gt;0,"Zakat",IF(N($N475)&gt;0,"Sadaqah",""))))</x:f>
      </x:c>
      <x:c r="R475" t="str">
        <x:f>IF($A475="","",IFS($O475&lt;5000,"Under ₹5,000",$O475&lt;=10000,"₹5,000–₹10,000",$O475&lt;=15000,"₹10,000–₹15,000",$O475&lt;=25000,"₹15,000–₹25,000",$O475&lt;=50000,"₹25,000–₹50,000",TRUE,"₹50,000+"))</x:f>
      </x:c>
    </x:row>
    <x:row r="476">
      <x:c r="G476" t="str">
        <x:f>IF($A476="","",IF($F476="Dec 2025-Apr 2026",2026045,YEAR($H476)*100+MONTH($H476)))</x:f>
      </x:c>
      <x:c r="O476" t="str">
        <x:f>IF($A476="","",N($M476)+N($N476))</x:f>
      </x:c>
      <x:c r="P476" t="str">
        <x:f>IF($A476="","",IF(AND(N($M476)&gt;0,N($N476)&gt;0),"Mixed",IF(N($M476)&gt;0,"Zakat",IF(N($N476)&gt;0,"Sadaqah",""))))</x:f>
      </x:c>
      <x:c r="R476" t="str">
        <x:f>IF($A476="","",IFS($O476&lt;5000,"Under ₹5,000",$O476&lt;=10000,"₹5,000–₹10,000",$O476&lt;=15000,"₹10,000–₹15,000",$O476&lt;=25000,"₹15,000–₹25,000",$O476&lt;=50000,"₹25,000–₹50,000",TRUE,"₹50,000+"))</x:f>
      </x:c>
    </x:row>
    <x:row r="477">
      <x:c r="G477" t="str">
        <x:f>IF($A477="","",IF($F477="Dec 2025-Apr 2026",2026045,YEAR($H477)*100+MONTH($H477)))</x:f>
      </x:c>
      <x:c r="O477" t="str">
        <x:f>IF($A477="","",N($M477)+N($N477))</x:f>
      </x:c>
      <x:c r="P477" t="str">
        <x:f>IF($A477="","",IF(AND(N($M477)&gt;0,N($N477)&gt;0),"Mixed",IF(N($M477)&gt;0,"Zakat",IF(N($N477)&gt;0,"Sadaqah",""))))</x:f>
      </x:c>
      <x:c r="R477" t="str">
        <x:f>IF($A477="","",IFS($O477&lt;5000,"Under ₹5,000",$O477&lt;=10000,"₹5,000–₹10,000",$O477&lt;=15000,"₹10,000–₹15,000",$O477&lt;=25000,"₹15,000–₹25,000",$O477&lt;=50000,"₹25,000–₹50,000",TRUE,"₹50,000+"))</x:f>
      </x:c>
    </x:row>
    <x:row r="478">
      <x:c r="G478" t="str">
        <x:f>IF($A478="","",IF($F478="Dec 2025-Apr 2026",2026045,YEAR($H478)*100+MONTH($H478)))</x:f>
      </x:c>
      <x:c r="O478" t="str">
        <x:f>IF($A478="","",N($M478)+N($N478))</x:f>
      </x:c>
      <x:c r="P478" t="str">
        <x:f>IF($A478="","",IF(AND(N($M478)&gt;0,N($N478)&gt;0),"Mixed",IF(N($M478)&gt;0,"Zakat",IF(N($N478)&gt;0,"Sadaqah",""))))</x:f>
      </x:c>
      <x:c r="R478" t="str">
        <x:f>IF($A478="","",IFS($O478&lt;5000,"Under ₹5,000",$O478&lt;=10000,"₹5,000–₹10,000",$O478&lt;=15000,"₹10,000–₹15,000",$O478&lt;=25000,"₹15,000–₹25,000",$O478&lt;=50000,"₹25,000–₹50,000",TRUE,"₹50,000+"))</x:f>
      </x:c>
    </x:row>
    <x:row r="479">
      <x:c r="G479" t="str">
        <x:f>IF($A479="","",IF($F479="Dec 2025-Apr 2026",2026045,YEAR($H479)*100+MONTH($H479)))</x:f>
      </x:c>
      <x:c r="O479" t="str">
        <x:f>IF($A479="","",N($M479)+N($N479))</x:f>
      </x:c>
      <x:c r="P479" t="str">
        <x:f>IF($A479="","",IF(AND(N($M479)&gt;0,N($N479)&gt;0),"Mixed",IF(N($M479)&gt;0,"Zakat",IF(N($N479)&gt;0,"Sadaqah",""))))</x:f>
      </x:c>
      <x:c r="R479" t="str">
        <x:f>IF($A479="","",IFS($O479&lt;5000,"Under ₹5,000",$O479&lt;=10000,"₹5,000–₹10,000",$O479&lt;=15000,"₹10,000–₹15,000",$O479&lt;=25000,"₹15,000–₹25,000",$O479&lt;=50000,"₹25,000–₹50,000",TRUE,"₹50,000+"))</x:f>
      </x:c>
    </x:row>
    <x:row r="480">
      <x:c r="G480" t="str">
        <x:f>IF($A480="","",IF($F480="Dec 2025-Apr 2026",2026045,YEAR($H480)*100+MONTH($H480)))</x:f>
      </x:c>
      <x:c r="O480" t="str">
        <x:f>IF($A480="","",N($M480)+N($N480))</x:f>
      </x:c>
      <x:c r="P480" t="str">
        <x:f>IF($A480="","",IF(AND(N($M480)&gt;0,N($N480)&gt;0),"Mixed",IF(N($M480)&gt;0,"Zakat",IF(N($N480)&gt;0,"Sadaqah",""))))</x:f>
      </x:c>
      <x:c r="R480" t="str">
        <x:f>IF($A480="","",IFS($O480&lt;5000,"Under ₹5,000",$O480&lt;=10000,"₹5,000–₹10,000",$O480&lt;=15000,"₹10,000–₹15,000",$O480&lt;=25000,"₹15,000–₹25,000",$O480&lt;=50000,"₹25,000–₹50,000",TRUE,"₹50,000+"))</x:f>
      </x:c>
    </x:row>
    <x:row r="481">
      <x:c r="G481" t="str">
        <x:f>IF($A481="","",IF($F481="Dec 2025-Apr 2026",2026045,YEAR($H481)*100+MONTH($H481)))</x:f>
      </x:c>
      <x:c r="O481" t="str">
        <x:f>IF($A481="","",N($M481)+N($N481))</x:f>
      </x:c>
      <x:c r="P481" t="str">
        <x:f>IF($A481="","",IF(AND(N($M481)&gt;0,N($N481)&gt;0),"Mixed",IF(N($M481)&gt;0,"Zakat",IF(N($N481)&gt;0,"Sadaqah",""))))</x:f>
      </x:c>
      <x:c r="R481" t="str">
        <x:f>IF($A481="","",IFS($O481&lt;5000,"Under ₹5,000",$O481&lt;=10000,"₹5,000–₹10,000",$O481&lt;=15000,"₹10,000–₹15,000",$O481&lt;=25000,"₹15,000–₹25,000",$O481&lt;=50000,"₹25,000–₹50,000",TRUE,"₹50,000+"))</x:f>
      </x:c>
    </x:row>
    <x:row r="482">
      <x:c r="G482" t="str">
        <x:f>IF($A482="","",IF($F482="Dec 2025-Apr 2026",2026045,YEAR($H482)*100+MONTH($H482)))</x:f>
      </x:c>
      <x:c r="O482" t="str">
        <x:f>IF($A482="","",N($M482)+N($N482))</x:f>
      </x:c>
      <x:c r="P482" t="str">
        <x:f>IF($A482="","",IF(AND(N($M482)&gt;0,N($N482)&gt;0),"Mixed",IF(N($M482)&gt;0,"Zakat",IF(N($N482)&gt;0,"Sadaqah",""))))</x:f>
      </x:c>
      <x:c r="R482" t="str">
        <x:f>IF($A482="","",IFS($O482&lt;5000,"Under ₹5,000",$O482&lt;=10000,"₹5,000–₹10,000",$O482&lt;=15000,"₹10,000–₹15,000",$O482&lt;=25000,"₹15,000–₹25,000",$O482&lt;=50000,"₹25,000–₹50,000",TRUE,"₹50,000+"))</x:f>
      </x:c>
    </x:row>
    <x:row r="483">
      <x:c r="G483" t="str">
        <x:f>IF($A483="","",IF($F483="Dec 2025-Apr 2026",2026045,YEAR($H483)*100+MONTH($H483)))</x:f>
      </x:c>
      <x:c r="O483" t="str">
        <x:f>IF($A483="","",N($M483)+N($N483))</x:f>
      </x:c>
      <x:c r="P483" t="str">
        <x:f>IF($A483="","",IF(AND(N($M483)&gt;0,N($N483)&gt;0),"Mixed",IF(N($M483)&gt;0,"Zakat",IF(N($N483)&gt;0,"Sadaqah",""))))</x:f>
      </x:c>
      <x:c r="R483" t="str">
        <x:f>IF($A483="","",IFS($O483&lt;5000,"Under ₹5,000",$O483&lt;=10000,"₹5,000–₹10,000",$O483&lt;=15000,"₹10,000–₹15,000",$O483&lt;=25000,"₹15,000–₹25,000",$O483&lt;=50000,"₹25,000–₹50,000",TRUE,"₹50,000+"))</x:f>
      </x:c>
    </x:row>
    <x:row r="484">
      <x:c r="G484" t="str">
        <x:f>IF($A484="","",IF($F484="Dec 2025-Apr 2026",2026045,YEAR($H484)*100+MONTH($H484)))</x:f>
      </x:c>
      <x:c r="O484" t="str">
        <x:f>IF($A484="","",N($M484)+N($N484))</x:f>
      </x:c>
      <x:c r="P484" t="str">
        <x:f>IF($A484="","",IF(AND(N($M484)&gt;0,N($N484)&gt;0),"Mixed",IF(N($M484)&gt;0,"Zakat",IF(N($N484)&gt;0,"Sadaqah",""))))</x:f>
      </x:c>
      <x:c r="R484" t="str">
        <x:f>IF($A484="","",IFS($O484&lt;5000,"Under ₹5,000",$O484&lt;=10000,"₹5,000–₹10,000",$O484&lt;=15000,"₹10,000–₹15,000",$O484&lt;=25000,"₹15,000–₹25,000",$O484&lt;=50000,"₹25,000–₹50,000",TRUE,"₹50,000+"))</x:f>
      </x:c>
    </x:row>
    <x:row r="485">
      <x:c r="G485" t="str">
        <x:f>IF($A485="","",IF($F485="Dec 2025-Apr 2026",2026045,YEAR($H485)*100+MONTH($H485)))</x:f>
      </x:c>
      <x:c r="O485" t="str">
        <x:f>IF($A485="","",N($M485)+N($N485))</x:f>
      </x:c>
      <x:c r="P485" t="str">
        <x:f>IF($A485="","",IF(AND(N($M485)&gt;0,N($N485)&gt;0),"Mixed",IF(N($M485)&gt;0,"Zakat",IF(N($N485)&gt;0,"Sadaqah",""))))</x:f>
      </x:c>
      <x:c r="R485" t="str">
        <x:f>IF($A485="","",IFS($O485&lt;5000,"Under ₹5,000",$O485&lt;=10000,"₹5,000–₹10,000",$O485&lt;=15000,"₹10,000–₹15,000",$O485&lt;=25000,"₹15,000–₹25,000",$O485&lt;=50000,"₹25,000–₹50,000",TRUE,"₹50,000+"))</x:f>
      </x:c>
    </x:row>
    <x:row r="486">
      <x:c r="G486" t="str">
        <x:f>IF($A486="","",IF($F486="Dec 2025-Apr 2026",2026045,YEAR($H486)*100+MONTH($H486)))</x:f>
      </x:c>
      <x:c r="O486" t="str">
        <x:f>IF($A486="","",N($M486)+N($N486))</x:f>
      </x:c>
      <x:c r="P486" t="str">
        <x:f>IF($A486="","",IF(AND(N($M486)&gt;0,N($N486)&gt;0),"Mixed",IF(N($M486)&gt;0,"Zakat",IF(N($N486)&gt;0,"Sadaqah",""))))</x:f>
      </x:c>
      <x:c r="R486" t="str">
        <x:f>IF($A486="","",IFS($O486&lt;5000,"Under ₹5,000",$O486&lt;=10000,"₹5,000–₹10,000",$O486&lt;=15000,"₹10,000–₹15,000",$O486&lt;=25000,"₹15,000–₹25,000",$O486&lt;=50000,"₹25,000–₹50,000",TRUE,"₹50,000+"))</x:f>
      </x:c>
    </x:row>
    <x:row r="487">
      <x:c r="G487" t="str">
        <x:f>IF($A487="","",IF($F487="Dec 2025-Apr 2026",2026045,YEAR($H487)*100+MONTH($H487)))</x:f>
      </x:c>
      <x:c r="O487" t="str">
        <x:f>IF($A487="","",N($M487)+N($N487))</x:f>
      </x:c>
      <x:c r="P487" t="str">
        <x:f>IF($A487="","",IF(AND(N($M487)&gt;0,N($N487)&gt;0),"Mixed",IF(N($M487)&gt;0,"Zakat",IF(N($N487)&gt;0,"Sadaqah",""))))</x:f>
      </x:c>
      <x:c r="R487" t="str">
        <x:f>IF($A487="","",IFS($O487&lt;5000,"Under ₹5,000",$O487&lt;=10000,"₹5,000–₹10,000",$O487&lt;=15000,"₹10,000–₹15,000",$O487&lt;=25000,"₹15,000–₹25,000",$O487&lt;=50000,"₹25,000–₹50,000",TRUE,"₹50,000+"))</x:f>
      </x:c>
    </x:row>
    <x:row r="488">
      <x:c r="G488" t="str">
        <x:f>IF($A488="","",IF($F488="Dec 2025-Apr 2026",2026045,YEAR($H488)*100+MONTH($H488)))</x:f>
      </x:c>
      <x:c r="O488" t="str">
        <x:f>IF($A488="","",N($M488)+N($N488))</x:f>
      </x:c>
      <x:c r="P488" t="str">
        <x:f>IF($A488="","",IF(AND(N($M488)&gt;0,N($N488)&gt;0),"Mixed",IF(N($M488)&gt;0,"Zakat",IF(N($N488)&gt;0,"Sadaqah",""))))</x:f>
      </x:c>
      <x:c r="R488" t="str">
        <x:f>IF($A488="","",IFS($O488&lt;5000,"Under ₹5,000",$O488&lt;=10000,"₹5,000–₹10,000",$O488&lt;=15000,"₹10,000–₹15,000",$O488&lt;=25000,"₹15,000–₹25,000",$O488&lt;=50000,"₹25,000–₹50,000",TRUE,"₹50,000+"))</x:f>
      </x:c>
    </x:row>
    <x:row r="489">
      <x:c r="G489" t="str">
        <x:f>IF($A489="","",IF($F489="Dec 2025-Apr 2026",2026045,YEAR($H489)*100+MONTH($H489)))</x:f>
      </x:c>
      <x:c r="O489" t="str">
        <x:f>IF($A489="","",N($M489)+N($N489))</x:f>
      </x:c>
      <x:c r="P489" t="str">
        <x:f>IF($A489="","",IF(AND(N($M489)&gt;0,N($N489)&gt;0),"Mixed",IF(N($M489)&gt;0,"Zakat",IF(N($N489)&gt;0,"Sadaqah",""))))</x:f>
      </x:c>
      <x:c r="R489" t="str">
        <x:f>IF($A489="","",IFS($O489&lt;5000,"Under ₹5,000",$O489&lt;=10000,"₹5,000–₹10,000",$O489&lt;=15000,"₹10,000–₹15,000",$O489&lt;=25000,"₹15,000–₹25,000",$O489&lt;=50000,"₹25,000–₹50,000",TRUE,"₹50,000+"))</x:f>
      </x:c>
    </x:row>
    <x:row r="490">
      <x:c r="G490" t="str">
        <x:f>IF($A490="","",IF($F490="Dec 2025-Apr 2026",2026045,YEAR($H490)*100+MONTH($H490)))</x:f>
      </x:c>
      <x:c r="O490" t="str">
        <x:f>IF($A490="","",N($M490)+N($N490))</x:f>
      </x:c>
      <x:c r="P490" t="str">
        <x:f>IF($A490="","",IF(AND(N($M490)&gt;0,N($N490)&gt;0),"Mixed",IF(N($M490)&gt;0,"Zakat",IF(N($N490)&gt;0,"Sadaqah",""))))</x:f>
      </x:c>
      <x:c r="R490" t="str">
        <x:f>IF($A490="","",IFS($O490&lt;5000,"Under ₹5,000",$O490&lt;=10000,"₹5,000–₹10,000",$O490&lt;=15000,"₹10,000–₹15,000",$O490&lt;=25000,"₹15,000–₹25,000",$O490&lt;=50000,"₹25,000–₹50,000",TRUE,"₹50,000+"))</x:f>
      </x:c>
    </x:row>
    <x:row r="491">
      <x:c r="G491" t="str">
        <x:f>IF($A491="","",IF($F491="Dec 2025-Apr 2026",2026045,YEAR($H491)*100+MONTH($H491)))</x:f>
      </x:c>
      <x:c r="O491" t="str">
        <x:f>IF($A491="","",N($M491)+N($N491))</x:f>
      </x:c>
      <x:c r="P491" t="str">
        <x:f>IF($A491="","",IF(AND(N($M491)&gt;0,N($N491)&gt;0),"Mixed",IF(N($M491)&gt;0,"Zakat",IF(N($N491)&gt;0,"Sadaqah",""))))</x:f>
      </x:c>
      <x:c r="R491" t="str">
        <x:f>IF($A491="","",IFS($O491&lt;5000,"Under ₹5,000",$O491&lt;=10000,"₹5,000–₹10,000",$O491&lt;=15000,"₹10,000–₹15,000",$O491&lt;=25000,"₹15,000–₹25,000",$O491&lt;=50000,"₹25,000–₹50,000",TRUE,"₹50,000+"))</x:f>
      </x:c>
    </x:row>
    <x:row r="492">
      <x:c r="G492" t="str">
        <x:f>IF($A492="","",IF($F492="Dec 2025-Apr 2026",2026045,YEAR($H492)*100+MONTH($H492)))</x:f>
      </x:c>
      <x:c r="O492" t="str">
        <x:f>IF($A492="","",N($M492)+N($N492))</x:f>
      </x:c>
      <x:c r="P492" t="str">
        <x:f>IF($A492="","",IF(AND(N($M492)&gt;0,N($N492)&gt;0),"Mixed",IF(N($M492)&gt;0,"Zakat",IF(N($N492)&gt;0,"Sadaqah",""))))</x:f>
      </x:c>
      <x:c r="R492" t="str">
        <x:f>IF($A492="","",IFS($O492&lt;5000,"Under ₹5,000",$O492&lt;=10000,"₹5,000–₹10,000",$O492&lt;=15000,"₹10,000–₹15,000",$O492&lt;=25000,"₹15,000–₹25,000",$O492&lt;=50000,"₹25,000–₹50,000",TRUE,"₹50,000+"))</x:f>
      </x:c>
    </x:row>
    <x:row r="493">
      <x:c r="G493" t="str">
        <x:f>IF($A493="","",IF($F493="Dec 2025-Apr 2026",2026045,YEAR($H493)*100+MONTH($H493)))</x:f>
      </x:c>
      <x:c r="O493" t="str">
        <x:f>IF($A493="","",N($M493)+N($N493))</x:f>
      </x:c>
      <x:c r="P493" t="str">
        <x:f>IF($A493="","",IF(AND(N($M493)&gt;0,N($N493)&gt;0),"Mixed",IF(N($M493)&gt;0,"Zakat",IF(N($N493)&gt;0,"Sadaqah",""))))</x:f>
      </x:c>
      <x:c r="R493" t="str">
        <x:f>IF($A493="","",IFS($O493&lt;5000,"Under ₹5,000",$O493&lt;=10000,"₹5,000–₹10,000",$O493&lt;=15000,"₹10,000–₹15,000",$O493&lt;=25000,"₹15,000–₹25,000",$O493&lt;=50000,"₹25,000–₹50,000",TRUE,"₹50,000+"))</x:f>
      </x:c>
    </x:row>
    <x:row r="494">
      <x:c r="G494" t="str">
        <x:f>IF($A494="","",IF($F494="Dec 2025-Apr 2026",2026045,YEAR($H494)*100+MONTH($H494)))</x:f>
      </x:c>
      <x:c r="O494" t="str">
        <x:f>IF($A494="","",N($M494)+N($N494))</x:f>
      </x:c>
      <x:c r="P494" t="str">
        <x:f>IF($A494="","",IF(AND(N($M494)&gt;0,N($N494)&gt;0),"Mixed",IF(N($M494)&gt;0,"Zakat",IF(N($N494)&gt;0,"Sadaqah",""))))</x:f>
      </x:c>
      <x:c r="R494" t="str">
        <x:f>IF($A494="","",IFS($O494&lt;5000,"Under ₹5,000",$O494&lt;=10000,"₹5,000–₹10,000",$O494&lt;=15000,"₹10,000–₹15,000",$O494&lt;=25000,"₹15,000–₹25,000",$O494&lt;=50000,"₹25,000–₹50,000",TRUE,"₹50,000+"))</x:f>
      </x:c>
    </x:row>
    <x:row r="495">
      <x:c r="G495" t="str">
        <x:f>IF($A495="","",IF($F495="Dec 2025-Apr 2026",2026045,YEAR($H495)*100+MONTH($H495)))</x:f>
      </x:c>
      <x:c r="O495" t="str">
        <x:f>IF($A495="","",N($M495)+N($N495))</x:f>
      </x:c>
      <x:c r="P495" t="str">
        <x:f>IF($A495="","",IF(AND(N($M495)&gt;0,N($N495)&gt;0),"Mixed",IF(N($M495)&gt;0,"Zakat",IF(N($N495)&gt;0,"Sadaqah",""))))</x:f>
      </x:c>
      <x:c r="R495" t="str">
        <x:f>IF($A495="","",IFS($O495&lt;5000,"Under ₹5,000",$O495&lt;=10000,"₹5,000–₹10,000",$O495&lt;=15000,"₹10,000–₹15,000",$O495&lt;=25000,"₹15,000–₹25,000",$O495&lt;=50000,"₹25,000–₹50,000",TRUE,"₹50,000+"))</x:f>
      </x:c>
    </x:row>
    <x:row r="496">
      <x:c r="G496" t="str">
        <x:f>IF($A496="","",IF($F496="Dec 2025-Apr 2026",2026045,YEAR($H496)*100+MONTH($H496)))</x:f>
      </x:c>
      <x:c r="O496" t="str">
        <x:f>IF($A496="","",N($M496)+N($N496))</x:f>
      </x:c>
      <x:c r="P496" t="str">
        <x:f>IF($A496="","",IF(AND(N($M496)&gt;0,N($N496)&gt;0),"Mixed",IF(N($M496)&gt;0,"Zakat",IF(N($N496)&gt;0,"Sadaqah",""))))</x:f>
      </x:c>
      <x:c r="R496" t="str">
        <x:f>IF($A496="","",IFS($O496&lt;5000,"Under ₹5,000",$O496&lt;=10000,"₹5,000–₹10,000",$O496&lt;=15000,"₹10,000–₹15,000",$O496&lt;=25000,"₹15,000–₹25,000",$O496&lt;=50000,"₹25,000–₹50,000",TRUE,"₹50,000+"))</x:f>
      </x:c>
    </x:row>
    <x:row r="497">
      <x:c r="G497" t="str">
        <x:f>IF($A497="","",IF($F497="Dec 2025-Apr 2026",2026045,YEAR($H497)*100+MONTH($H497)))</x:f>
      </x:c>
      <x:c r="O497" t="str">
        <x:f>IF($A497="","",N($M497)+N($N497))</x:f>
      </x:c>
      <x:c r="P497" t="str">
        <x:f>IF($A497="","",IF(AND(N($M497)&gt;0,N($N497)&gt;0),"Mixed",IF(N($M497)&gt;0,"Zakat",IF(N($N497)&gt;0,"Sadaqah",""))))</x:f>
      </x:c>
      <x:c r="R497" t="str">
        <x:f>IF($A497="","",IFS($O497&lt;5000,"Under ₹5,000",$O497&lt;=10000,"₹5,000–₹10,000",$O497&lt;=15000,"₹10,000–₹15,000",$O497&lt;=25000,"₹15,000–₹25,000",$O497&lt;=50000,"₹25,000–₹50,000",TRUE,"₹50,000+"))</x:f>
      </x:c>
    </x:row>
    <x:row r="498">
      <x:c r="G498" t="str">
        <x:f>IF($A498="","",IF($F498="Dec 2025-Apr 2026",2026045,YEAR($H498)*100+MONTH($H498)))</x:f>
      </x:c>
      <x:c r="O498" t="str">
        <x:f>IF($A498="","",N($M498)+N($N498))</x:f>
      </x:c>
      <x:c r="P498" t="str">
        <x:f>IF($A498="","",IF(AND(N($M498)&gt;0,N($N498)&gt;0),"Mixed",IF(N($M498)&gt;0,"Zakat",IF(N($N498)&gt;0,"Sadaqah",""))))</x:f>
      </x:c>
      <x:c r="R498" t="str">
        <x:f>IF($A498="","",IFS($O498&lt;5000,"Under ₹5,000",$O498&lt;=10000,"₹5,000–₹10,000",$O498&lt;=15000,"₹10,000–₹15,000",$O498&lt;=25000,"₹15,000–₹25,000",$O498&lt;=50000,"₹25,000–₹50,000",TRUE,"₹50,000+"))</x:f>
      </x:c>
    </x:row>
    <x:row r="499">
      <x:c r="G499" t="str">
        <x:f>IF($A499="","",IF($F499="Dec 2025-Apr 2026",2026045,YEAR($H499)*100+MONTH($H499)))</x:f>
      </x:c>
      <x:c r="O499" t="str">
        <x:f>IF($A499="","",N($M499)+N($N499))</x:f>
      </x:c>
      <x:c r="P499" t="str">
        <x:f>IF($A499="","",IF(AND(N($M499)&gt;0,N($N499)&gt;0),"Mixed",IF(N($M499)&gt;0,"Zakat",IF(N($N499)&gt;0,"Sadaqah",""))))</x:f>
      </x:c>
      <x:c r="R499" t="str">
        <x:f>IF($A499="","",IFS($O499&lt;5000,"Under ₹5,000",$O499&lt;=10000,"₹5,000–₹10,000",$O499&lt;=15000,"₹10,000–₹15,000",$O499&lt;=25000,"₹15,000–₹25,000",$O499&lt;=50000,"₹25,000–₹50,000",TRUE,"₹50,000+"))</x:f>
      </x:c>
    </x:row>
    <x:row r="500">
      <x:c r="G500" t="str">
        <x:f>IF($A500="","",IF($F500="Dec 2025-Apr 2026",2026045,YEAR($H500)*100+MONTH($H500)))</x:f>
      </x:c>
      <x:c r="O500" t="str">
        <x:f>IF($A500="","",N($M500)+N($N500))</x:f>
      </x:c>
      <x:c r="P500" t="str">
        <x:f>IF($A500="","",IF(AND(N($M500)&gt;0,N($N500)&gt;0),"Mixed",IF(N($M500)&gt;0,"Zakat",IF(N($N500)&gt;0,"Sadaqah",""))))</x:f>
      </x:c>
      <x:c r="R500" t="str">
        <x:f>IF($A500="","",IFS($O500&lt;5000,"Under ₹5,000",$O500&lt;=10000,"₹5,000–₹10,000",$O500&lt;=15000,"₹10,000–₹15,000",$O500&lt;=25000,"₹15,000–₹25,000",$O500&lt;=50000,"₹25,000–₹50,000",TRUE,"₹50,000+"))</x:f>
      </x:c>
    </x:row>
  </x:sheetData>
  <x:conditionalFormatting sqref="C2:C500">
    <x:cfRule type="expression" dxfId="0" priority="1">
      <x:formula>$C2="Yes"</x:formula>
    </x:cfRule>
  </x:conditionalFormatting>
  <x:conditionalFormatting sqref="D2:D500">
    <x:cfRule type="expression" dxfId="1" priority="2">
      <x:formula>$D2="Publish"</x:formula>
    </x:cfRule>
  </x:conditionalFormatting>
  <x:conditionalFormatting sqref="AH2:AH500">
    <x:cfRule type="expression" dxfId="2" priority="3">
      <x:formula>$AH2="Consent received"</x:formula>
    </x:cfRule>
  </x:conditionalFormatting>
  <x:dataValidations count="7">
    <x:dataValidation type="list" sqref="B2:B500">
      <x:formula1>Lists!$A$2:$A$3</x:formula1>
    </x:dataValidation>
    <x:dataValidation type="list" sqref="C2:C500">
      <x:formula1>Lists!$B$2:$B$3</x:formula1>
    </x:dataValidation>
    <x:dataValidation type="list" sqref="D2:D500">
      <x:formula1>Lists!$C$2:$C$4</x:formula1>
    </x:dataValidation>
    <x:dataValidation type="list" sqref="E2:E500">
      <x:formula1>Lists!$D$2:$D$3</x:formula1>
    </x:dataValidation>
    <x:dataValidation type="list" sqref="K2:K500">
      <x:formula1>Lists!$E$2:$E$5</x:formula1>
    </x:dataValidation>
    <x:dataValidation type="list" sqref="L2:L500">
      <x:formula1>Lists!$F$2:$F$11</x:formula1>
    </x:dataValidation>
    <x:dataValidation type="list" sqref="AH2:AH500">
      <x:formula1>Lists!$G$2:$G$4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8" hidden="0" customWidth="1"/>
    <x:col min="5" max="5" width="18" hidden="0" customWidth="1"/>
    <x:col min="6" max="6" width="20" hidden="0" customWidth="1"/>
    <x:col min="7" max="7" width="60" hidden="0" customWidth="1"/>
  </x:cols>
  <x:sheetData>
    <x:row r="1" ht="24" customHeight="1">
      <x:c r="A1" s="32" t="str">
        <x:v>period_label</x:v>
      </x:c>
      <x:c r="B1" s="32" t="str">
        <x:v>period_sort</x:v>
      </x:c>
      <x:c r="C1" s="36" t="str">
        <x:v>month_start</x:v>
      </x:c>
      <x:c r="D1" s="34" t="str">
        <x:v>donations_general</x:v>
      </x:c>
      <x:c r="E1" s="34" t="str">
        <x:v>donations_zakat</x:v>
      </x:c>
      <x:c r="F1" s="34" t="str">
        <x:v>closing_balance_general</x:v>
      </x:c>
      <x:c r="G1" s="32" t="str">
        <x:v>finance_notes</x:v>
      </x:c>
    </x:row>
    <x:row r="2">
      <x:c r="A2" t="str">
        <x:v>Aug 2024</x:v>
      </x:c>
      <x:c r="B2" t="n">
        <x:v>202408</x:v>
      </x:c>
      <x:c r="C2" t="str">
        <x:v>2024-08-01</x:v>
      </x:c>
      <x:c r="D2" t="n">
        <x:v>20631</x:v>
      </x:c>
      <x:c r="E2"/>
      <x:c r="F2"/>
      <x:c r="G2" t="str">
        <x:v>Optional helper: edit only if you want donation/balance columns in public reports.</x:v>
      </x:c>
    </x:row>
    <x:row r="3">
      <x:c r="A3" t="str">
        <x:v>Sep 2024</x:v>
      </x:c>
      <x:c r="B3" t="n">
        <x:v>202409</x:v>
      </x:c>
      <x:c r="C3" t="str">
        <x:v>2024-09-01</x:v>
      </x:c>
      <x:c r="D3" t="n">
        <x:v>25187</x:v>
      </x:c>
      <x:c r="E3"/>
      <x:c r="F3" t="n">
        <x:v>13445</x:v>
      </x:c>
      <x:c r="G3" t="str">
        <x:v>Optional helper: edit only if you want donation/balance columns in public reports.</x:v>
      </x:c>
    </x:row>
    <x:row r="4">
      <x:c r="A4" t="str">
        <x:v>Oct 2024</x:v>
      </x:c>
      <x:c r="B4" t="n">
        <x:v>202410</x:v>
      </x:c>
      <x:c r="C4" t="str">
        <x:v>2024-10-01</x:v>
      </x:c>
      <x:c r="D4" t="n">
        <x:v>11100</x:v>
      </x:c>
      <x:c r="E4"/>
      <x:c r="F4" t="n">
        <x:v>14705</x:v>
      </x:c>
      <x:c r="G4" t="str">
        <x:v>Optional helper: edit only if you want donation/balance columns in public reports.</x:v>
      </x:c>
    </x:row>
    <x:row r="5">
      <x:c r="A5" t="str">
        <x:v>Nov 2024</x:v>
      </x:c>
      <x:c r="B5" t="n">
        <x:v>202411</x:v>
      </x:c>
      <x:c r="C5" t="str">
        <x:v>2024-11-01</x:v>
      </x:c>
      <x:c r="D5" t="n">
        <x:v>13900</x:v>
      </x:c>
      <x:c r="E5"/>
      <x:c r="F5" t="n">
        <x:v>13605</x:v>
      </x:c>
      <x:c r="G5" t="str">
        <x:v>Optional helper: edit only if you want donation/balance columns in public reports.</x:v>
      </x:c>
    </x:row>
    <x:row r="6">
      <x:c r="A6" t="str">
        <x:v>Dec 2024</x:v>
      </x:c>
      <x:c r="B6" t="n">
        <x:v>202412</x:v>
      </x:c>
      <x:c r="C6" t="str">
        <x:v>2024-12-01</x:v>
      </x:c>
      <x:c r="D6" t="n">
        <x:v>39300</x:v>
      </x:c>
      <x:c r="E6"/>
      <x:c r="F6" t="n">
        <x:v>1075</x:v>
      </x:c>
      <x:c r="G6" t="str">
        <x:v>Optional helper: edit only if you want donation/balance columns in public reports.</x:v>
      </x:c>
    </x:row>
    <x:row r="7">
      <x:c r="A7" t="str">
        <x:v>Jan 2025</x:v>
      </x:c>
      <x:c r="B7" t="n">
        <x:v>202501</x:v>
      </x:c>
      <x:c r="C7" t="str">
        <x:v>2025-01-01</x:v>
      </x:c>
      <x:c r="D7" t="n">
        <x:v>26500</x:v>
      </x:c>
      <x:c r="E7" t="n">
        <x:v>8000</x:v>
      </x:c>
      <x:c r="F7" t="n">
        <x:v>575</x:v>
      </x:c>
      <x:c r="G7" t="str">
        <x:v>Optional helper: edit only if you want donation/balance columns in public reports.</x:v>
      </x:c>
    </x:row>
    <x:row r="8">
      <x:c r="A8" t="str">
        <x:v>Feb 2025</x:v>
      </x:c>
      <x:c r="B8" t="n">
        <x:v>202502</x:v>
      </x:c>
      <x:c r="C8" t="str">
        <x:v>2025-02-01</x:v>
      </x:c>
      <x:c r="D8" t="n">
        <x:v>14600</x:v>
      </x:c>
      <x:c r="E8" t="n">
        <x:v>28000</x:v>
      </x:c>
      <x:c r="F8" t="n">
        <x:v>3175</x:v>
      </x:c>
      <x:c r="G8" t="str">
        <x:v>Optional helper: edit only if you want donation/balance columns in public reports.</x:v>
      </x:c>
    </x:row>
    <x:row r="9">
      <x:c r="A9" t="str">
        <x:v>Mar 2025</x:v>
      </x:c>
      <x:c r="B9" t="n">
        <x:v>202503</x:v>
      </x:c>
      <x:c r="C9" t="str">
        <x:v>2025-03-01</x:v>
      </x:c>
      <x:c r="D9" t="n">
        <x:v>37350</x:v>
      </x:c>
      <x:c r="E9" t="n">
        <x:v>100000</x:v>
      </x:c>
      <x:c r="F9" t="n">
        <x:v>525</x:v>
      </x:c>
      <x:c r="G9" t="str">
        <x:v>Optional helper: edit only if you want donation/balance columns in public reports.</x:v>
      </x:c>
    </x:row>
    <x:row r="10">
      <x:c r="A10" t="str">
        <x:v>Apr 2025</x:v>
      </x:c>
      <x:c r="B10" t="n">
        <x:v>202504</x:v>
      </x:c>
      <x:c r="C10" t="str">
        <x:v>2025-04-01</x:v>
      </x:c>
      <x:c r="D10" t="n">
        <x:v>12200</x:v>
      </x:c>
      <x:c r="E10"/>
      <x:c r="F10" t="n">
        <x:v>4525</x:v>
      </x:c>
      <x:c r="G10" t="str">
        <x:v>Optional helper: edit only if you want donation/balance columns in public reports.</x:v>
      </x:c>
    </x:row>
    <x:row r="11">
      <x:c r="A11" t="str">
        <x:v>May 2025</x:v>
      </x:c>
      <x:c r="B11" t="n">
        <x:v>202505</x:v>
      </x:c>
      <x:c r="C11" t="str">
        <x:v>2025-05-01</x:v>
      </x:c>
      <x:c r="D11" t="n">
        <x:v>42500</x:v>
      </x:c>
      <x:c r="E11" t="n">
        <x:v>41200</x:v>
      </x:c>
      <x:c r="F11" t="n">
        <x:v>1225</x:v>
      </x:c>
      <x:c r="G11" t="str">
        <x:v>Optional helper: edit only if you want donation/balance columns in public reports.</x:v>
      </x:c>
    </x:row>
    <x:row r="12">
      <x:c r="A12" t="str">
        <x:v>Jun 2025</x:v>
      </x:c>
      <x:c r="B12" t="n">
        <x:v>202506</x:v>
      </x:c>
      <x:c r="C12" t="str">
        <x:v>2025-06-01</x:v>
      </x:c>
      <x:c r="D12" t="n">
        <x:v>6800</x:v>
      </x:c>
      <x:c r="E12" t="n">
        <x:v>12600</x:v>
      </x:c>
      <x:c r="F12" t="n">
        <x:v>625</x:v>
      </x:c>
      <x:c r="G12" t="str">
        <x:v>Optional helper: edit only if you want donation/balance columns in public reports.</x:v>
      </x:c>
    </x:row>
    <x:row r="13">
      <x:c r="A13" t="str">
        <x:v>Jul 2025</x:v>
      </x:c>
      <x:c r="B13" t="n">
        <x:v>202507</x:v>
      </x:c>
      <x:c r="C13" t="str">
        <x:v>2025-07-01</x:v>
      </x:c>
      <x:c r="D13" t="n">
        <x:v>20300</x:v>
      </x:c>
      <x:c r="E13"/>
      <x:c r="F13" t="n">
        <x:v>14925</x:v>
      </x:c>
      <x:c r="G13" t="str">
        <x:v>Optional helper: edit only if you want donation/balance columns in public reports.</x:v>
      </x:c>
    </x:row>
    <x:row r="14">
      <x:c r="A14" t="str">
        <x:v>Aug 2025</x:v>
      </x:c>
      <x:c r="B14" t="n">
        <x:v>202508</x:v>
      </x:c>
      <x:c r="C14" t="str">
        <x:v>2025-08-01</x:v>
      </x:c>
      <x:c r="D14" t="n">
        <x:v>36300</x:v>
      </x:c>
      <x:c r="E14"/>
      <x:c r="F14" t="n">
        <x:v>1225</x:v>
      </x:c>
      <x:c r="G14" t="str">
        <x:v>Optional helper: edit only if you want donation/balance columns in public reports.</x:v>
      </x:c>
    </x:row>
    <x:row r="15">
      <x:c r="A15" t="str">
        <x:v>Sep 2025</x:v>
      </x:c>
      <x:c r="B15" t="n">
        <x:v>202509</x:v>
      </x:c>
      <x:c r="C15" t="str">
        <x:v>2025-09-01</x:v>
      </x:c>
      <x:c r="D15" t="n">
        <x:v>73038</x:v>
      </x:c>
      <x:c r="E15" t="n">
        <x:v>14900</x:v>
      </x:c>
      <x:c r="F15" t="n">
        <x:v>363</x:v>
      </x:c>
      <x:c r="G15" t="str">
        <x:v>Optional helper: edit only if you want donation/balance columns in public reports.</x:v>
      </x:c>
    </x:row>
    <x:row r="16">
      <x:c r="A16" t="str">
        <x:v>Oct 2025</x:v>
      </x:c>
      <x:c r="B16" t="n">
        <x:v>202510</x:v>
      </x:c>
      <x:c r="C16" t="str">
        <x:v>2025-10-01</x:v>
      </x:c>
      <x:c r="D16" t="n">
        <x:v>20400</x:v>
      </x:c>
      <x:c r="E16"/>
      <x:c r="F16" t="n">
        <x:v>20763</x:v>
      </x:c>
      <x:c r="G16" t="str">
        <x:v>Optional helper: edit only if you want donation/balance columns in public reports.</x:v>
      </x:c>
    </x:row>
    <x:row r="17">
      <x:c r="A17" t="str">
        <x:v>Nov 2025</x:v>
      </x:c>
      <x:c r="B17" t="n">
        <x:v>202511</x:v>
      </x:c>
      <x:c r="C17" t="str">
        <x:v>2025-11-01</x:v>
      </x:c>
      <x:c r="D17" t="n">
        <x:v>10000</x:v>
      </x:c>
      <x:c r="E17"/>
      <x:c r="F17" t="n">
        <x:v>30763</x:v>
      </x:c>
      <x:c r="G17" t="str">
        <x:v>Optional helper: edit only if you want donation/balance columns in public reports.</x:v>
      </x:c>
    </x:row>
    <x:row r="18">
      <x:c r="A18" t="str">
        <x:v>Dec 2025</x:v>
      </x:c>
      <x:c r="B18" t="n">
        <x:v>202512</x:v>
      </x:c>
      <x:c r="C18" t="str">
        <x:v>2025-12-01</x:v>
      </x:c>
      <x:c r="D18" t="n">
        <x:v>800</x:v>
      </x:c>
      <x:c r="E18"/>
      <x:c r="F18" t="n">
        <x:v>31563</x:v>
      </x:c>
      <x:c r="G18" t="str">
        <x:v>Optional helper: edit only if you want donation/balance columns in public reports.</x:v>
      </x:c>
    </x:row>
    <x:row r="19">
      <x:c r="A19" t="str">
        <x:v>Jan 2026</x:v>
      </x:c>
      <x:c r="B19" t="n">
        <x:v>202601</x:v>
      </x:c>
      <x:c r="C19" t="str">
        <x:v>2026-01-01</x:v>
      </x:c>
      <x:c r="D19" t="n">
        <x:v>2600</x:v>
      </x:c>
      <x:c r="E19"/>
      <x:c r="F19" t="n">
        <x:v>3149</x:v>
      </x:c>
      <x:c r="G19" t="str">
        <x:v>Optional helper: edit only if you want donation/balance columns in public reports.</x:v>
      </x:c>
    </x:row>
    <x:row r="20">
      <x:c r="A20" t="str">
        <x:v>Feb 2026</x:v>
      </x:c>
      <x:c r="B20" t="n">
        <x:v>202602</x:v>
      </x:c>
      <x:c r="C20" t="str">
        <x:v>2026-02-01</x:v>
      </x:c>
      <x:c r="D20" t="n">
        <x:v>2400</x:v>
      </x:c>
      <x:c r="E20"/>
      <x:c r="F20" t="n">
        <x:v>5549</x:v>
      </x:c>
      <x:c r="G20" t="str">
        <x:v>Optional helper: edit only if you want donation/balance columns in public reports.</x:v>
      </x:c>
    </x:row>
    <x:row r="21">
      <x:c r="A21" t="str">
        <x:v>Mar 2026</x:v>
      </x:c>
      <x:c r="B21" t="n">
        <x:v>202603</x:v>
      </x:c>
      <x:c r="C21" t="str">
        <x:v>2026-03-01</x:v>
      </x:c>
      <x:c r="D21" t="n">
        <x:v>70325</x:v>
      </x:c>
      <x:c r="E21"/>
      <x:c r="F21" t="n">
        <x:v>1874</x:v>
      </x:c>
      <x:c r="G21" t="str">
        <x:v>Optional helper: edit only if you want donation/balance columns in public reports.</x:v>
      </x:c>
    </x:row>
    <x:row r="22">
      <x:c r="A22" t="str">
        <x:v>Apr 2026</x:v>
      </x:c>
      <x:c r="B22" t="n">
        <x:v>202604</x:v>
      </x:c>
      <x:c r="C22" t="str">
        <x:v>2026-04-01</x:v>
      </x:c>
      <x:c r="D22" t="n">
        <x:v>5500</x:v>
      </x:c>
      <x:c r="E22"/>
      <x:c r="F22" t="n">
        <x:v>2874</x:v>
      </x:c>
      <x:c r="G22" t="str">
        <x:v>Optional helper: edit only if you want donation/balance columns in public reports.</x:v>
      </x:c>
    </x:row>
    <x:row r="23">
      <x:c r="A23" t="str">
        <x:v>Dec 2025-Apr 2026</x:v>
      </x:c>
      <x:c r="B23" t="n">
        <x:v>2026045</x:v>
      </x:c>
      <x:c r="C23" t="str">
        <x:v>2026-04-30</x:v>
      </x:c>
      <x:c r="D23"/>
      <x:c r="E23"/>
      <x:c r="F23"/>
      <x:c r="G23" t="str">
        <x:v>Optional helper: edit only if you want donation/balance columns in public reports.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48" hidden="0" customWidth="1"/>
    <x:col min="20" max="20" width="16" hidden="0" customWidth="1"/>
  </x:cols>
  <x:sheetData>
    <x:row r="1" ht="24" customHeight="1">
      <x:c r="A1" s="32" t="str">
        <x:v>period_label</x:v>
      </x:c>
      <x:c r="B1" s="32" t="str">
        <x:v>period_sort</x:v>
      </x:c>
      <x:c r="C1" s="36" t="str">
        <x:v>month_start</x:v>
      </x:c>
      <x:c r="D1" s="32" t="str">
        <x:v>total_cases</x:v>
      </x:c>
      <x:c r="E1" s="32" t="str">
        <x:v>zakat_cases</x:v>
      </x:c>
      <x:c r="F1" s="32" t="str">
        <x:v>sadaqah_cases</x:v>
      </x:c>
      <x:c r="G1" s="32" t="str">
        <x:v>mixed_cases</x:v>
      </x:c>
      <x:c r="H1" s="32" t="str">
        <x:v>livelihood_cases</x:v>
      </x:c>
      <x:c r="I1" s="32" t="str">
        <x:v>skill_cases</x:v>
      </x:c>
      <x:c r="J1" s="32" t="str">
        <x:v>emergency_cases</x:v>
      </x:c>
      <x:c r="K1" s="32" t="str">
        <x:v>community_cases</x:v>
      </x:c>
      <x:c r="L1" s="34" t="str">
        <x:v>amount_zakat</x:v>
      </x:c>
      <x:c r="M1" s="34" t="str">
        <x:v>amount_sadaqah</x:v>
      </x:c>
      <x:c r="N1" s="34" t="str">
        <x:v>amount_mixed</x:v>
      </x:c>
      <x:c r="O1" s="34" t="str">
        <x:v>total_amount</x:v>
      </x:c>
      <x:c r="P1" s="34" t="str">
        <x:v>donations_general</x:v>
      </x:c>
      <x:c r="Q1" s="34" t="str">
        <x:v>donations_zakat</x:v>
      </x:c>
      <x:c r="R1" s="34" t="str">
        <x:v>closing_balance_general</x:v>
      </x:c>
      <x:c r="S1" s="32" t="str">
        <x:v>source_notes</x:v>
      </x:c>
      <x:c r="T1" s="32" t="str">
        <x:v>include_in_public</x:v>
      </x:c>
    </x:row>
    <x:row r="2">
      <x:c r="A2" t="str">
        <x:f>IFERROR(SORT(UNIQUE(FILTER({CaseLedger!F2:F,CaseLedger!G2:G,CaseLedger!H2:H},CaseLedger!B2:B="TRUE",CaseLedger!A2:A&lt;&gt;"")),2,TRUE),"")</x:f>
      </x:c>
      <x:c r="D2" t="str">
        <x:f>IF($A2="","",COUNTIFS(CaseLedger!$F:$F,$A2,CaseLedger!$B:$B,"TRUE"))</x:f>
      </x:c>
      <x:c r="E2" t="str">
        <x:f>IF($A2="","",COUNTIFS(CaseLedger!$F:$F,$A2,CaseLedger!$B:$B,"TRUE",CaseLedger!$P:$P,"Zakat"))</x:f>
      </x:c>
      <x:c r="F2" t="str">
        <x:f>IF($A2="","",COUNTIFS(CaseLedger!$F:$F,$A2,CaseLedger!$B:$B,"TRUE",CaseLedger!$P:$P,"Sadaqah"))</x:f>
      </x:c>
      <x:c r="G2" t="str">
        <x:f>IF($A2="","",COUNTIFS(CaseLedger!$F:$F,$A2,CaseLedger!$B:$B,"TRUE",CaseLedger!$P:$P,"Mixed"))</x:f>
      </x:c>
      <x:c r="H2" t="str">
        <x:f>IF($A2="","",COUNTIFS(CaseLedger!$F:$F,$A2,CaseLedger!$B:$B,"TRUE",CaseLedger!$K:$K,"Livelihood"))</x:f>
      </x:c>
      <x:c r="I2" t="str">
        <x:f>IF($A2="","",COUNTIFS(CaseLedger!$F:$F,$A2,CaseLedger!$B:$B,"TRUE",CaseLedger!$K:$K,"Skill Sponsorship"))</x:f>
      </x:c>
      <x:c r="J2" t="str">
        <x:f>IF($A2="","",COUNTIFS(CaseLedger!$F:$F,$A2,CaseLedger!$B:$B,"TRUE",CaseLedger!$K:$K,"Emergency Support"))</x:f>
      </x:c>
      <x:c r="K2" t="str">
        <x:f>IF($A2="","",COUNTIFS(CaseLedger!$F:$F,$A2,CaseLedger!$B:$B,"TRUE",CaseLedger!$K:$K,"Community Support"))</x:f>
      </x:c>
      <x:c r="L2" t="str">
        <x:f>IF($A2="","",SUMIFS(CaseLedger!$M:$M,CaseLedger!$F:$F,$A2,CaseLedger!$B:$B,"TRUE"))</x:f>
      </x:c>
      <x:c r="M2" t="str">
        <x:f>IF($A2="","",SUMIFS(CaseLedger!$N:$N,CaseLedger!$F:$F,$A2,CaseLedger!$B:$B,"TRUE"))</x:f>
      </x:c>
      <x:c r="N2" t="str">
        <x:f>IF($A2="","",0)</x:f>
      </x:c>
      <x:c r="O2" t="str">
        <x:f>IF($A2="","",SUMIFS(CaseLedger!$O:$O,CaseLedger!$F:$F,$A2,CaseLedger!$B:$B,"TRUE"))</x:f>
      </x:c>
      <x:c r="P2" t="str">
        <x:f>IF($A2="","",IFERROR(VLOOKUP($A2,MonthlyFinance!$A:$G,4,FALSE),""))</x:f>
      </x:c>
      <x:c r="Q2" t="str">
        <x:f>IF($A2="","",IFERROR(VLOOKUP($A2,MonthlyFinance!$A:$G,5,FALSE),""))</x:f>
      </x:c>
      <x:c r="R2" t="str">
        <x:f>IF($A2="","",IFERROR(VLOOKUP($A2,MonthlyFinance!$A:$G,6,FALSE),""))</x:f>
      </x:c>
      <x:c r="S2" t="str">
        <x:f>IF($A2="","","Formula-linked from CaseLedger; finance fields from MonthlyFinance.")</x:f>
      </x:c>
      <x:c r="T2" t="str">
        <x:f>IF($A2="","","TRUE")</x:f>
      </x:c>
    </x:row>
    <x:row r="3">
      <x:c r="D3" t="str">
        <x:f>IF($A3="","",COUNTIFS(CaseLedger!$F:$F,$A3,CaseLedger!$B:$B,"TRUE"))</x:f>
      </x:c>
      <x:c r="E3" t="str">
        <x:f>IF($A3="","",COUNTIFS(CaseLedger!$F:$F,$A3,CaseLedger!$B:$B,"TRUE",CaseLedger!$P:$P,"Zakat"))</x:f>
      </x:c>
      <x:c r="F3" t="str">
        <x:f>IF($A3="","",COUNTIFS(CaseLedger!$F:$F,$A3,CaseLedger!$B:$B,"TRUE",CaseLedger!$P:$P,"Sadaqah"))</x:f>
      </x:c>
      <x:c r="G3" t="str">
        <x:f>IF($A3="","",COUNTIFS(CaseLedger!$F:$F,$A3,CaseLedger!$B:$B,"TRUE",CaseLedger!$P:$P,"Mixed"))</x:f>
      </x:c>
      <x:c r="H3" t="str">
        <x:f>IF($A3="","",COUNTIFS(CaseLedger!$F:$F,$A3,CaseLedger!$B:$B,"TRUE",CaseLedger!$K:$K,"Livelihood"))</x:f>
      </x:c>
      <x:c r="I3" t="str">
        <x:f>IF($A3="","",COUNTIFS(CaseLedger!$F:$F,$A3,CaseLedger!$B:$B,"TRUE",CaseLedger!$K:$K,"Skill Sponsorship"))</x:f>
      </x:c>
      <x:c r="J3" t="str">
        <x:f>IF($A3="","",COUNTIFS(CaseLedger!$F:$F,$A3,CaseLedger!$B:$B,"TRUE",CaseLedger!$K:$K,"Emergency Support"))</x:f>
      </x:c>
      <x:c r="K3" t="str">
        <x:f>IF($A3="","",COUNTIFS(CaseLedger!$F:$F,$A3,CaseLedger!$B:$B,"TRUE",CaseLedger!$K:$K,"Community Support"))</x:f>
      </x:c>
      <x:c r="L3" t="str">
        <x:f>IF($A3="","",SUMIFS(CaseLedger!$M:$M,CaseLedger!$F:$F,$A3,CaseLedger!$B:$B,"TRUE"))</x:f>
      </x:c>
      <x:c r="M3" t="str">
        <x:f>IF($A3="","",SUMIFS(CaseLedger!$N:$N,CaseLedger!$F:$F,$A3,CaseLedger!$B:$B,"TRUE"))</x:f>
      </x:c>
      <x:c r="N3" t="str">
        <x:f>IF($A3="","",0)</x:f>
      </x:c>
      <x:c r="O3" t="str">
        <x:f>IF($A3="","",SUMIFS(CaseLedger!$O:$O,CaseLedger!$F:$F,$A3,CaseLedger!$B:$B,"TRUE"))</x:f>
      </x:c>
      <x:c r="P3" t="str">
        <x:f>IF($A3="","",IFERROR(VLOOKUP($A3,MonthlyFinance!$A:$G,4,FALSE),""))</x:f>
      </x:c>
      <x:c r="Q3" t="str">
        <x:f>IF($A3="","",IFERROR(VLOOKUP($A3,MonthlyFinance!$A:$G,5,FALSE),""))</x:f>
      </x:c>
      <x:c r="R3" t="str">
        <x:f>IF($A3="","",IFERROR(VLOOKUP($A3,MonthlyFinance!$A:$G,6,FALSE),""))</x:f>
      </x:c>
      <x:c r="S3" t="str">
        <x:f>IF($A3="","","Formula-linked from CaseLedger; finance fields from MonthlyFinance.")</x:f>
      </x:c>
      <x:c r="T3" t="str">
        <x:f>IF($A3="","","TRUE")</x:f>
      </x:c>
    </x:row>
    <x:row r="4">
      <x:c r="D4" t="str">
        <x:f>IF($A4="","",COUNTIFS(CaseLedger!$F:$F,$A4,CaseLedger!$B:$B,"TRUE"))</x:f>
      </x:c>
      <x:c r="E4" t="str">
        <x:f>IF($A4="","",COUNTIFS(CaseLedger!$F:$F,$A4,CaseLedger!$B:$B,"TRUE",CaseLedger!$P:$P,"Zakat"))</x:f>
      </x:c>
      <x:c r="F4" t="str">
        <x:f>IF($A4="","",COUNTIFS(CaseLedger!$F:$F,$A4,CaseLedger!$B:$B,"TRUE",CaseLedger!$P:$P,"Sadaqah"))</x:f>
      </x:c>
      <x:c r="G4" t="str">
        <x:f>IF($A4="","",COUNTIFS(CaseLedger!$F:$F,$A4,CaseLedger!$B:$B,"TRUE",CaseLedger!$P:$P,"Mixed"))</x:f>
      </x:c>
      <x:c r="H4" t="str">
        <x:f>IF($A4="","",COUNTIFS(CaseLedger!$F:$F,$A4,CaseLedger!$B:$B,"TRUE",CaseLedger!$K:$K,"Livelihood"))</x:f>
      </x:c>
      <x:c r="I4" t="str">
        <x:f>IF($A4="","",COUNTIFS(CaseLedger!$F:$F,$A4,CaseLedger!$B:$B,"TRUE",CaseLedger!$K:$K,"Skill Sponsorship"))</x:f>
      </x:c>
      <x:c r="J4" t="str">
        <x:f>IF($A4="","",COUNTIFS(CaseLedger!$F:$F,$A4,CaseLedger!$B:$B,"TRUE",CaseLedger!$K:$K,"Emergency Support"))</x:f>
      </x:c>
      <x:c r="K4" t="str">
        <x:f>IF($A4="","",COUNTIFS(CaseLedger!$F:$F,$A4,CaseLedger!$B:$B,"TRUE",CaseLedger!$K:$K,"Community Support"))</x:f>
      </x:c>
      <x:c r="L4" t="str">
        <x:f>IF($A4="","",SUMIFS(CaseLedger!$M:$M,CaseLedger!$F:$F,$A4,CaseLedger!$B:$B,"TRUE"))</x:f>
      </x:c>
      <x:c r="M4" t="str">
        <x:f>IF($A4="","",SUMIFS(CaseLedger!$N:$N,CaseLedger!$F:$F,$A4,CaseLedger!$B:$B,"TRUE"))</x:f>
      </x:c>
      <x:c r="N4" t="str">
        <x:f>IF($A4="","",0)</x:f>
      </x:c>
      <x:c r="O4" t="str">
        <x:f>IF($A4="","",SUMIFS(CaseLedger!$O:$O,CaseLedger!$F:$F,$A4,CaseLedger!$B:$B,"TRUE"))</x:f>
      </x:c>
      <x:c r="P4" t="str">
        <x:f>IF($A4="","",IFERROR(VLOOKUP($A4,MonthlyFinance!$A:$G,4,FALSE),""))</x:f>
      </x:c>
      <x:c r="Q4" t="str">
        <x:f>IF($A4="","",IFERROR(VLOOKUP($A4,MonthlyFinance!$A:$G,5,FALSE),""))</x:f>
      </x:c>
      <x:c r="R4" t="str">
        <x:f>IF($A4="","",IFERROR(VLOOKUP($A4,MonthlyFinance!$A:$G,6,FALSE),""))</x:f>
      </x:c>
      <x:c r="S4" t="str">
        <x:f>IF($A4="","","Formula-linked from CaseLedger; finance fields from MonthlyFinance.")</x:f>
      </x:c>
      <x:c r="T4" t="str">
        <x:f>IF($A4="","","TRUE")</x:f>
      </x:c>
    </x:row>
    <x:row r="5">
      <x:c r="D5" t="str">
        <x:f>IF($A5="","",COUNTIFS(CaseLedger!$F:$F,$A5,CaseLedger!$B:$B,"TRUE"))</x:f>
      </x:c>
      <x:c r="E5" t="str">
        <x:f>IF($A5="","",COUNTIFS(CaseLedger!$F:$F,$A5,CaseLedger!$B:$B,"TRUE",CaseLedger!$P:$P,"Zakat"))</x:f>
      </x:c>
      <x:c r="F5" t="str">
        <x:f>IF($A5="","",COUNTIFS(CaseLedger!$F:$F,$A5,CaseLedger!$B:$B,"TRUE",CaseLedger!$P:$P,"Sadaqah"))</x:f>
      </x:c>
      <x:c r="G5" t="str">
        <x:f>IF($A5="","",COUNTIFS(CaseLedger!$F:$F,$A5,CaseLedger!$B:$B,"TRUE",CaseLedger!$P:$P,"Mixed"))</x:f>
      </x:c>
      <x:c r="H5" t="str">
        <x:f>IF($A5="","",COUNTIFS(CaseLedger!$F:$F,$A5,CaseLedger!$B:$B,"TRUE",CaseLedger!$K:$K,"Livelihood"))</x:f>
      </x:c>
      <x:c r="I5" t="str">
        <x:f>IF($A5="","",COUNTIFS(CaseLedger!$F:$F,$A5,CaseLedger!$B:$B,"TRUE",CaseLedger!$K:$K,"Skill Sponsorship"))</x:f>
      </x:c>
      <x:c r="J5" t="str">
        <x:f>IF($A5="","",COUNTIFS(CaseLedger!$F:$F,$A5,CaseLedger!$B:$B,"TRUE",CaseLedger!$K:$K,"Emergency Support"))</x:f>
      </x:c>
      <x:c r="K5" t="str">
        <x:f>IF($A5="","",COUNTIFS(CaseLedger!$F:$F,$A5,CaseLedger!$B:$B,"TRUE",CaseLedger!$K:$K,"Community Support"))</x:f>
      </x:c>
      <x:c r="L5" t="str">
        <x:f>IF($A5="","",SUMIFS(CaseLedger!$M:$M,CaseLedger!$F:$F,$A5,CaseLedger!$B:$B,"TRUE"))</x:f>
      </x:c>
      <x:c r="M5" t="str">
        <x:f>IF($A5="","",SUMIFS(CaseLedger!$N:$N,CaseLedger!$F:$F,$A5,CaseLedger!$B:$B,"TRUE"))</x:f>
      </x:c>
      <x:c r="N5" t="str">
        <x:f>IF($A5="","",0)</x:f>
      </x:c>
      <x:c r="O5" t="str">
        <x:f>IF($A5="","",SUMIFS(CaseLedger!$O:$O,CaseLedger!$F:$F,$A5,CaseLedger!$B:$B,"TRUE"))</x:f>
      </x:c>
      <x:c r="P5" t="str">
        <x:f>IF($A5="","",IFERROR(VLOOKUP($A5,MonthlyFinance!$A:$G,4,FALSE),""))</x:f>
      </x:c>
      <x:c r="Q5" t="str">
        <x:f>IF($A5="","",IFERROR(VLOOKUP($A5,MonthlyFinance!$A:$G,5,FALSE),""))</x:f>
      </x:c>
      <x:c r="R5" t="str">
        <x:f>IF($A5="","",IFERROR(VLOOKUP($A5,MonthlyFinance!$A:$G,6,FALSE),""))</x:f>
      </x:c>
      <x:c r="S5" t="str">
        <x:f>IF($A5="","","Formula-linked from CaseLedger; finance fields from MonthlyFinance.")</x:f>
      </x:c>
      <x:c r="T5" t="str">
        <x:f>IF($A5="","","TRUE")</x:f>
      </x:c>
    </x:row>
    <x:row r="6">
      <x:c r="D6" t="str">
        <x:f>IF($A6="","",COUNTIFS(CaseLedger!$F:$F,$A6,CaseLedger!$B:$B,"TRUE"))</x:f>
      </x:c>
      <x:c r="E6" t="str">
        <x:f>IF($A6="","",COUNTIFS(CaseLedger!$F:$F,$A6,CaseLedger!$B:$B,"TRUE",CaseLedger!$P:$P,"Zakat"))</x:f>
      </x:c>
      <x:c r="F6" t="str">
        <x:f>IF($A6="","",COUNTIFS(CaseLedger!$F:$F,$A6,CaseLedger!$B:$B,"TRUE",CaseLedger!$P:$P,"Sadaqah"))</x:f>
      </x:c>
      <x:c r="G6" t="str">
        <x:f>IF($A6="","",COUNTIFS(CaseLedger!$F:$F,$A6,CaseLedger!$B:$B,"TRUE",CaseLedger!$P:$P,"Mixed"))</x:f>
      </x:c>
      <x:c r="H6" t="str">
        <x:f>IF($A6="","",COUNTIFS(CaseLedger!$F:$F,$A6,CaseLedger!$B:$B,"TRUE",CaseLedger!$K:$K,"Livelihood"))</x:f>
      </x:c>
      <x:c r="I6" t="str">
        <x:f>IF($A6="","",COUNTIFS(CaseLedger!$F:$F,$A6,CaseLedger!$B:$B,"TRUE",CaseLedger!$K:$K,"Skill Sponsorship"))</x:f>
      </x:c>
      <x:c r="J6" t="str">
        <x:f>IF($A6="","",COUNTIFS(CaseLedger!$F:$F,$A6,CaseLedger!$B:$B,"TRUE",CaseLedger!$K:$K,"Emergency Support"))</x:f>
      </x:c>
      <x:c r="K6" t="str">
        <x:f>IF($A6="","",COUNTIFS(CaseLedger!$F:$F,$A6,CaseLedger!$B:$B,"TRUE",CaseLedger!$K:$K,"Community Support"))</x:f>
      </x:c>
      <x:c r="L6" t="str">
        <x:f>IF($A6="","",SUMIFS(CaseLedger!$M:$M,CaseLedger!$F:$F,$A6,CaseLedger!$B:$B,"TRUE"))</x:f>
      </x:c>
      <x:c r="M6" t="str">
        <x:f>IF($A6="","",SUMIFS(CaseLedger!$N:$N,CaseLedger!$F:$F,$A6,CaseLedger!$B:$B,"TRUE"))</x:f>
      </x:c>
      <x:c r="N6" t="str">
        <x:f>IF($A6="","",0)</x:f>
      </x:c>
      <x:c r="O6" t="str">
        <x:f>IF($A6="","",SUMIFS(CaseLedger!$O:$O,CaseLedger!$F:$F,$A6,CaseLedger!$B:$B,"TRUE"))</x:f>
      </x:c>
      <x:c r="P6" t="str">
        <x:f>IF($A6="","",IFERROR(VLOOKUP($A6,MonthlyFinance!$A:$G,4,FALSE),""))</x:f>
      </x:c>
      <x:c r="Q6" t="str">
        <x:f>IF($A6="","",IFERROR(VLOOKUP($A6,MonthlyFinance!$A:$G,5,FALSE),""))</x:f>
      </x:c>
      <x:c r="R6" t="str">
        <x:f>IF($A6="","",IFERROR(VLOOKUP($A6,MonthlyFinance!$A:$G,6,FALSE),""))</x:f>
      </x:c>
      <x:c r="S6" t="str">
        <x:f>IF($A6="","","Formula-linked from CaseLedger; finance fields from MonthlyFinance.")</x:f>
      </x:c>
      <x:c r="T6" t="str">
        <x:f>IF($A6="","","TRUE")</x:f>
      </x:c>
    </x:row>
    <x:row r="7">
      <x:c r="D7" t="str">
        <x:f>IF($A7="","",COUNTIFS(CaseLedger!$F:$F,$A7,CaseLedger!$B:$B,"TRUE"))</x:f>
      </x:c>
      <x:c r="E7" t="str">
        <x:f>IF($A7="","",COUNTIFS(CaseLedger!$F:$F,$A7,CaseLedger!$B:$B,"TRUE",CaseLedger!$P:$P,"Zakat"))</x:f>
      </x:c>
      <x:c r="F7" t="str">
        <x:f>IF($A7="","",COUNTIFS(CaseLedger!$F:$F,$A7,CaseLedger!$B:$B,"TRUE",CaseLedger!$P:$P,"Sadaqah"))</x:f>
      </x:c>
      <x:c r="G7" t="str">
        <x:f>IF($A7="","",COUNTIFS(CaseLedger!$F:$F,$A7,CaseLedger!$B:$B,"TRUE",CaseLedger!$P:$P,"Mixed"))</x:f>
      </x:c>
      <x:c r="H7" t="str">
        <x:f>IF($A7="","",COUNTIFS(CaseLedger!$F:$F,$A7,CaseLedger!$B:$B,"TRUE",CaseLedger!$K:$K,"Livelihood"))</x:f>
      </x:c>
      <x:c r="I7" t="str">
        <x:f>IF($A7="","",COUNTIFS(CaseLedger!$F:$F,$A7,CaseLedger!$B:$B,"TRUE",CaseLedger!$K:$K,"Skill Sponsorship"))</x:f>
      </x:c>
      <x:c r="J7" t="str">
        <x:f>IF($A7="","",COUNTIFS(CaseLedger!$F:$F,$A7,CaseLedger!$B:$B,"TRUE",CaseLedger!$K:$K,"Emergency Support"))</x:f>
      </x:c>
      <x:c r="K7" t="str">
        <x:f>IF($A7="","",COUNTIFS(CaseLedger!$F:$F,$A7,CaseLedger!$B:$B,"TRUE",CaseLedger!$K:$K,"Community Support"))</x:f>
      </x:c>
      <x:c r="L7" t="str">
        <x:f>IF($A7="","",SUMIFS(CaseLedger!$M:$M,CaseLedger!$F:$F,$A7,CaseLedger!$B:$B,"TRUE"))</x:f>
      </x:c>
      <x:c r="M7" t="str">
        <x:f>IF($A7="","",SUMIFS(CaseLedger!$N:$N,CaseLedger!$F:$F,$A7,CaseLedger!$B:$B,"TRUE"))</x:f>
      </x:c>
      <x:c r="N7" t="str">
        <x:f>IF($A7="","",0)</x:f>
      </x:c>
      <x:c r="O7" t="str">
        <x:f>IF($A7="","",SUMIFS(CaseLedger!$O:$O,CaseLedger!$F:$F,$A7,CaseLedger!$B:$B,"TRUE"))</x:f>
      </x:c>
      <x:c r="P7" t="str">
        <x:f>IF($A7="","",IFERROR(VLOOKUP($A7,MonthlyFinance!$A:$G,4,FALSE),""))</x:f>
      </x:c>
      <x:c r="Q7" t="str">
        <x:f>IF($A7="","",IFERROR(VLOOKUP($A7,MonthlyFinance!$A:$G,5,FALSE),""))</x:f>
      </x:c>
      <x:c r="R7" t="str">
        <x:f>IF($A7="","",IFERROR(VLOOKUP($A7,MonthlyFinance!$A:$G,6,FALSE),""))</x:f>
      </x:c>
      <x:c r="S7" t="str">
        <x:f>IF($A7="","","Formula-linked from CaseLedger; finance fields from MonthlyFinance.")</x:f>
      </x:c>
      <x:c r="T7" t="str">
        <x:f>IF($A7="","","TRUE")</x:f>
      </x:c>
    </x:row>
    <x:row r="8">
      <x:c r="D8" t="str">
        <x:f>IF($A8="","",COUNTIFS(CaseLedger!$F:$F,$A8,CaseLedger!$B:$B,"TRUE"))</x:f>
      </x:c>
      <x:c r="E8" t="str">
        <x:f>IF($A8="","",COUNTIFS(CaseLedger!$F:$F,$A8,CaseLedger!$B:$B,"TRUE",CaseLedger!$P:$P,"Zakat"))</x:f>
      </x:c>
      <x:c r="F8" t="str">
        <x:f>IF($A8="","",COUNTIFS(CaseLedger!$F:$F,$A8,CaseLedger!$B:$B,"TRUE",CaseLedger!$P:$P,"Sadaqah"))</x:f>
      </x:c>
      <x:c r="G8" t="str">
        <x:f>IF($A8="","",COUNTIFS(CaseLedger!$F:$F,$A8,CaseLedger!$B:$B,"TRUE",CaseLedger!$P:$P,"Mixed"))</x:f>
      </x:c>
      <x:c r="H8" t="str">
        <x:f>IF($A8="","",COUNTIFS(CaseLedger!$F:$F,$A8,CaseLedger!$B:$B,"TRUE",CaseLedger!$K:$K,"Livelihood"))</x:f>
      </x:c>
      <x:c r="I8" t="str">
        <x:f>IF($A8="","",COUNTIFS(CaseLedger!$F:$F,$A8,CaseLedger!$B:$B,"TRUE",CaseLedger!$K:$K,"Skill Sponsorship"))</x:f>
      </x:c>
      <x:c r="J8" t="str">
        <x:f>IF($A8="","",COUNTIFS(CaseLedger!$F:$F,$A8,CaseLedger!$B:$B,"TRUE",CaseLedger!$K:$K,"Emergency Support"))</x:f>
      </x:c>
      <x:c r="K8" t="str">
        <x:f>IF($A8="","",COUNTIFS(CaseLedger!$F:$F,$A8,CaseLedger!$B:$B,"TRUE",CaseLedger!$K:$K,"Community Support"))</x:f>
      </x:c>
      <x:c r="L8" t="str">
        <x:f>IF($A8="","",SUMIFS(CaseLedger!$M:$M,CaseLedger!$F:$F,$A8,CaseLedger!$B:$B,"TRUE"))</x:f>
      </x:c>
      <x:c r="M8" t="str">
        <x:f>IF($A8="","",SUMIFS(CaseLedger!$N:$N,CaseLedger!$F:$F,$A8,CaseLedger!$B:$B,"TRUE"))</x:f>
      </x:c>
      <x:c r="N8" t="str">
        <x:f>IF($A8="","",0)</x:f>
      </x:c>
      <x:c r="O8" t="str">
        <x:f>IF($A8="","",SUMIFS(CaseLedger!$O:$O,CaseLedger!$F:$F,$A8,CaseLedger!$B:$B,"TRUE"))</x:f>
      </x:c>
      <x:c r="P8" t="str">
        <x:f>IF($A8="","",IFERROR(VLOOKUP($A8,MonthlyFinance!$A:$G,4,FALSE),""))</x:f>
      </x:c>
      <x:c r="Q8" t="str">
        <x:f>IF($A8="","",IFERROR(VLOOKUP($A8,MonthlyFinance!$A:$G,5,FALSE),""))</x:f>
      </x:c>
      <x:c r="R8" t="str">
        <x:f>IF($A8="","",IFERROR(VLOOKUP($A8,MonthlyFinance!$A:$G,6,FALSE),""))</x:f>
      </x:c>
      <x:c r="S8" t="str">
        <x:f>IF($A8="","","Formula-linked from CaseLedger; finance fields from MonthlyFinance.")</x:f>
      </x:c>
      <x:c r="T8" t="str">
        <x:f>IF($A8="","","TRUE")</x:f>
      </x:c>
    </x:row>
    <x:row r="9">
      <x:c r="D9" t="str">
        <x:f>IF($A9="","",COUNTIFS(CaseLedger!$F:$F,$A9,CaseLedger!$B:$B,"TRUE"))</x:f>
      </x:c>
      <x:c r="E9" t="str">
        <x:f>IF($A9="","",COUNTIFS(CaseLedger!$F:$F,$A9,CaseLedger!$B:$B,"TRUE",CaseLedger!$P:$P,"Zakat"))</x:f>
      </x:c>
      <x:c r="F9" t="str">
        <x:f>IF($A9="","",COUNTIFS(CaseLedger!$F:$F,$A9,CaseLedger!$B:$B,"TRUE",CaseLedger!$P:$P,"Sadaqah"))</x:f>
      </x:c>
      <x:c r="G9" t="str">
        <x:f>IF($A9="","",COUNTIFS(CaseLedger!$F:$F,$A9,CaseLedger!$B:$B,"TRUE",CaseLedger!$P:$P,"Mixed"))</x:f>
      </x:c>
      <x:c r="H9" t="str">
        <x:f>IF($A9="","",COUNTIFS(CaseLedger!$F:$F,$A9,CaseLedger!$B:$B,"TRUE",CaseLedger!$K:$K,"Livelihood"))</x:f>
      </x:c>
      <x:c r="I9" t="str">
        <x:f>IF($A9="","",COUNTIFS(CaseLedger!$F:$F,$A9,CaseLedger!$B:$B,"TRUE",CaseLedger!$K:$K,"Skill Sponsorship"))</x:f>
      </x:c>
      <x:c r="J9" t="str">
        <x:f>IF($A9="","",COUNTIFS(CaseLedger!$F:$F,$A9,CaseLedger!$B:$B,"TRUE",CaseLedger!$K:$K,"Emergency Support"))</x:f>
      </x:c>
      <x:c r="K9" t="str">
        <x:f>IF($A9="","",COUNTIFS(CaseLedger!$F:$F,$A9,CaseLedger!$B:$B,"TRUE",CaseLedger!$K:$K,"Community Support"))</x:f>
      </x:c>
      <x:c r="L9" t="str">
        <x:f>IF($A9="","",SUMIFS(CaseLedger!$M:$M,CaseLedger!$F:$F,$A9,CaseLedger!$B:$B,"TRUE"))</x:f>
      </x:c>
      <x:c r="M9" t="str">
        <x:f>IF($A9="","",SUMIFS(CaseLedger!$N:$N,CaseLedger!$F:$F,$A9,CaseLedger!$B:$B,"TRUE"))</x:f>
      </x:c>
      <x:c r="N9" t="str">
        <x:f>IF($A9="","",0)</x:f>
      </x:c>
      <x:c r="O9" t="str">
        <x:f>IF($A9="","",SUMIFS(CaseLedger!$O:$O,CaseLedger!$F:$F,$A9,CaseLedger!$B:$B,"TRUE"))</x:f>
      </x:c>
      <x:c r="P9" t="str">
        <x:f>IF($A9="","",IFERROR(VLOOKUP($A9,MonthlyFinance!$A:$G,4,FALSE),""))</x:f>
      </x:c>
      <x:c r="Q9" t="str">
        <x:f>IF($A9="","",IFERROR(VLOOKUP($A9,MonthlyFinance!$A:$G,5,FALSE),""))</x:f>
      </x:c>
      <x:c r="R9" t="str">
        <x:f>IF($A9="","",IFERROR(VLOOKUP($A9,MonthlyFinance!$A:$G,6,FALSE),""))</x:f>
      </x:c>
      <x:c r="S9" t="str">
        <x:f>IF($A9="","","Formula-linked from CaseLedger; finance fields from MonthlyFinance.")</x:f>
      </x:c>
      <x:c r="T9" t="str">
        <x:f>IF($A9="","","TRUE")</x:f>
      </x:c>
    </x:row>
    <x:row r="10">
      <x:c r="D10" t="str">
        <x:f>IF($A10="","",COUNTIFS(CaseLedger!$F:$F,$A10,CaseLedger!$B:$B,"TRUE"))</x:f>
      </x:c>
      <x:c r="E10" t="str">
        <x:f>IF($A10="","",COUNTIFS(CaseLedger!$F:$F,$A10,CaseLedger!$B:$B,"TRUE",CaseLedger!$P:$P,"Zakat"))</x:f>
      </x:c>
      <x:c r="F10" t="str">
        <x:f>IF($A10="","",COUNTIFS(CaseLedger!$F:$F,$A10,CaseLedger!$B:$B,"TRUE",CaseLedger!$P:$P,"Sadaqah"))</x:f>
      </x:c>
      <x:c r="G10" t="str">
        <x:f>IF($A10="","",COUNTIFS(CaseLedger!$F:$F,$A10,CaseLedger!$B:$B,"TRUE",CaseLedger!$P:$P,"Mixed"))</x:f>
      </x:c>
      <x:c r="H10" t="str">
        <x:f>IF($A10="","",COUNTIFS(CaseLedger!$F:$F,$A10,CaseLedger!$B:$B,"TRUE",CaseLedger!$K:$K,"Livelihood"))</x:f>
      </x:c>
      <x:c r="I10" t="str">
        <x:f>IF($A10="","",COUNTIFS(CaseLedger!$F:$F,$A10,CaseLedger!$B:$B,"TRUE",CaseLedger!$K:$K,"Skill Sponsorship"))</x:f>
      </x:c>
      <x:c r="J10" t="str">
        <x:f>IF($A10="","",COUNTIFS(CaseLedger!$F:$F,$A10,CaseLedger!$B:$B,"TRUE",CaseLedger!$K:$K,"Emergency Support"))</x:f>
      </x:c>
      <x:c r="K10" t="str">
        <x:f>IF($A10="","",COUNTIFS(CaseLedger!$F:$F,$A10,CaseLedger!$B:$B,"TRUE",CaseLedger!$K:$K,"Community Support"))</x:f>
      </x:c>
      <x:c r="L10" t="str">
        <x:f>IF($A10="","",SUMIFS(CaseLedger!$M:$M,CaseLedger!$F:$F,$A10,CaseLedger!$B:$B,"TRUE"))</x:f>
      </x:c>
      <x:c r="M10" t="str">
        <x:f>IF($A10="","",SUMIFS(CaseLedger!$N:$N,CaseLedger!$F:$F,$A10,CaseLedger!$B:$B,"TRUE"))</x:f>
      </x:c>
      <x:c r="N10" t="str">
        <x:f>IF($A10="","",0)</x:f>
      </x:c>
      <x:c r="O10" t="str">
        <x:f>IF($A10="","",SUMIFS(CaseLedger!$O:$O,CaseLedger!$F:$F,$A10,CaseLedger!$B:$B,"TRUE"))</x:f>
      </x:c>
      <x:c r="P10" t="str">
        <x:f>IF($A10="","",IFERROR(VLOOKUP($A10,MonthlyFinance!$A:$G,4,FALSE),""))</x:f>
      </x:c>
      <x:c r="Q10" t="str">
        <x:f>IF($A10="","",IFERROR(VLOOKUP($A10,MonthlyFinance!$A:$G,5,FALSE),""))</x:f>
      </x:c>
      <x:c r="R10" t="str">
        <x:f>IF($A10="","",IFERROR(VLOOKUP($A10,MonthlyFinance!$A:$G,6,FALSE),""))</x:f>
      </x:c>
      <x:c r="S10" t="str">
        <x:f>IF($A10="","","Formula-linked from CaseLedger; finance fields from MonthlyFinance.")</x:f>
      </x:c>
      <x:c r="T10" t="str">
        <x:f>IF($A10="","","TRUE")</x:f>
      </x:c>
    </x:row>
    <x:row r="11">
      <x:c r="D11" t="str">
        <x:f>IF($A11="","",COUNTIFS(CaseLedger!$F:$F,$A11,CaseLedger!$B:$B,"TRUE"))</x:f>
      </x:c>
      <x:c r="E11" t="str">
        <x:f>IF($A11="","",COUNTIFS(CaseLedger!$F:$F,$A11,CaseLedger!$B:$B,"TRUE",CaseLedger!$P:$P,"Zakat"))</x:f>
      </x:c>
      <x:c r="F11" t="str">
        <x:f>IF($A11="","",COUNTIFS(CaseLedger!$F:$F,$A11,CaseLedger!$B:$B,"TRUE",CaseLedger!$P:$P,"Sadaqah"))</x:f>
      </x:c>
      <x:c r="G11" t="str">
        <x:f>IF($A11="","",COUNTIFS(CaseLedger!$F:$F,$A11,CaseLedger!$B:$B,"TRUE",CaseLedger!$P:$P,"Mixed"))</x:f>
      </x:c>
      <x:c r="H11" t="str">
        <x:f>IF($A11="","",COUNTIFS(CaseLedger!$F:$F,$A11,CaseLedger!$B:$B,"TRUE",CaseLedger!$K:$K,"Livelihood"))</x:f>
      </x:c>
      <x:c r="I11" t="str">
        <x:f>IF($A11="","",COUNTIFS(CaseLedger!$F:$F,$A11,CaseLedger!$B:$B,"TRUE",CaseLedger!$K:$K,"Skill Sponsorship"))</x:f>
      </x:c>
      <x:c r="J11" t="str">
        <x:f>IF($A11="","",COUNTIFS(CaseLedger!$F:$F,$A11,CaseLedger!$B:$B,"TRUE",CaseLedger!$K:$K,"Emergency Support"))</x:f>
      </x:c>
      <x:c r="K11" t="str">
        <x:f>IF($A11="","",COUNTIFS(CaseLedger!$F:$F,$A11,CaseLedger!$B:$B,"TRUE",CaseLedger!$K:$K,"Community Support"))</x:f>
      </x:c>
      <x:c r="L11" t="str">
        <x:f>IF($A11="","",SUMIFS(CaseLedger!$M:$M,CaseLedger!$F:$F,$A11,CaseLedger!$B:$B,"TRUE"))</x:f>
      </x:c>
      <x:c r="M11" t="str">
        <x:f>IF($A11="","",SUMIFS(CaseLedger!$N:$N,CaseLedger!$F:$F,$A11,CaseLedger!$B:$B,"TRUE"))</x:f>
      </x:c>
      <x:c r="N11" t="str">
        <x:f>IF($A11="","",0)</x:f>
      </x:c>
      <x:c r="O11" t="str">
        <x:f>IF($A11="","",SUMIFS(CaseLedger!$O:$O,CaseLedger!$F:$F,$A11,CaseLedger!$B:$B,"TRUE"))</x:f>
      </x:c>
      <x:c r="P11" t="str">
        <x:f>IF($A11="","",IFERROR(VLOOKUP($A11,MonthlyFinance!$A:$G,4,FALSE),""))</x:f>
      </x:c>
      <x:c r="Q11" t="str">
        <x:f>IF($A11="","",IFERROR(VLOOKUP($A11,MonthlyFinance!$A:$G,5,FALSE),""))</x:f>
      </x:c>
      <x:c r="R11" t="str">
        <x:f>IF($A11="","",IFERROR(VLOOKUP($A11,MonthlyFinance!$A:$G,6,FALSE),""))</x:f>
      </x:c>
      <x:c r="S11" t="str">
        <x:f>IF($A11="","","Formula-linked from CaseLedger; finance fields from MonthlyFinance.")</x:f>
      </x:c>
      <x:c r="T11" t="str">
        <x:f>IF($A11="","","TRUE")</x:f>
      </x:c>
    </x:row>
    <x:row r="12">
      <x:c r="D12" t="str">
        <x:f>IF($A12="","",COUNTIFS(CaseLedger!$F:$F,$A12,CaseLedger!$B:$B,"TRUE"))</x:f>
      </x:c>
      <x:c r="E12" t="str">
        <x:f>IF($A12="","",COUNTIFS(CaseLedger!$F:$F,$A12,CaseLedger!$B:$B,"TRUE",CaseLedger!$P:$P,"Zakat"))</x:f>
      </x:c>
      <x:c r="F12" t="str">
        <x:f>IF($A12="","",COUNTIFS(CaseLedger!$F:$F,$A12,CaseLedger!$B:$B,"TRUE",CaseLedger!$P:$P,"Sadaqah"))</x:f>
      </x:c>
      <x:c r="G12" t="str">
        <x:f>IF($A12="","",COUNTIFS(CaseLedger!$F:$F,$A12,CaseLedger!$B:$B,"TRUE",CaseLedger!$P:$P,"Mixed"))</x:f>
      </x:c>
      <x:c r="H12" t="str">
        <x:f>IF($A12="","",COUNTIFS(CaseLedger!$F:$F,$A12,CaseLedger!$B:$B,"TRUE",CaseLedger!$K:$K,"Livelihood"))</x:f>
      </x:c>
      <x:c r="I12" t="str">
        <x:f>IF($A12="","",COUNTIFS(CaseLedger!$F:$F,$A12,CaseLedger!$B:$B,"TRUE",CaseLedger!$K:$K,"Skill Sponsorship"))</x:f>
      </x:c>
      <x:c r="J12" t="str">
        <x:f>IF($A12="","",COUNTIFS(CaseLedger!$F:$F,$A12,CaseLedger!$B:$B,"TRUE",CaseLedger!$K:$K,"Emergency Support"))</x:f>
      </x:c>
      <x:c r="K12" t="str">
        <x:f>IF($A12="","",COUNTIFS(CaseLedger!$F:$F,$A12,CaseLedger!$B:$B,"TRUE",CaseLedger!$K:$K,"Community Support"))</x:f>
      </x:c>
      <x:c r="L12" t="str">
        <x:f>IF($A12="","",SUMIFS(CaseLedger!$M:$M,CaseLedger!$F:$F,$A12,CaseLedger!$B:$B,"TRUE"))</x:f>
      </x:c>
      <x:c r="M12" t="str">
        <x:f>IF($A12="","",SUMIFS(CaseLedger!$N:$N,CaseLedger!$F:$F,$A12,CaseLedger!$B:$B,"TRUE"))</x:f>
      </x:c>
      <x:c r="N12" t="str">
        <x:f>IF($A12="","",0)</x:f>
      </x:c>
      <x:c r="O12" t="str">
        <x:f>IF($A12="","",SUMIFS(CaseLedger!$O:$O,CaseLedger!$F:$F,$A12,CaseLedger!$B:$B,"TRUE"))</x:f>
      </x:c>
      <x:c r="P12" t="str">
        <x:f>IF($A12="","",IFERROR(VLOOKUP($A12,MonthlyFinance!$A:$G,4,FALSE),""))</x:f>
      </x:c>
      <x:c r="Q12" t="str">
        <x:f>IF($A12="","",IFERROR(VLOOKUP($A12,MonthlyFinance!$A:$G,5,FALSE),""))</x:f>
      </x:c>
      <x:c r="R12" t="str">
        <x:f>IF($A12="","",IFERROR(VLOOKUP($A12,MonthlyFinance!$A:$G,6,FALSE),""))</x:f>
      </x:c>
      <x:c r="S12" t="str">
        <x:f>IF($A12="","","Formula-linked from CaseLedger; finance fields from MonthlyFinance.")</x:f>
      </x:c>
      <x:c r="T12" t="str">
        <x:f>IF($A12="","","TRUE")</x:f>
      </x:c>
    </x:row>
    <x:row r="13">
      <x:c r="D13" t="str">
        <x:f>IF($A13="","",COUNTIFS(CaseLedger!$F:$F,$A13,CaseLedger!$B:$B,"TRUE"))</x:f>
      </x:c>
      <x:c r="E13" t="str">
        <x:f>IF($A13="","",COUNTIFS(CaseLedger!$F:$F,$A13,CaseLedger!$B:$B,"TRUE",CaseLedger!$P:$P,"Zakat"))</x:f>
      </x:c>
      <x:c r="F13" t="str">
        <x:f>IF($A13="","",COUNTIFS(CaseLedger!$F:$F,$A13,CaseLedger!$B:$B,"TRUE",CaseLedger!$P:$P,"Sadaqah"))</x:f>
      </x:c>
      <x:c r="G13" t="str">
        <x:f>IF($A13="","",COUNTIFS(CaseLedger!$F:$F,$A13,CaseLedger!$B:$B,"TRUE",CaseLedger!$P:$P,"Mixed"))</x:f>
      </x:c>
      <x:c r="H13" t="str">
        <x:f>IF($A13="","",COUNTIFS(CaseLedger!$F:$F,$A13,CaseLedger!$B:$B,"TRUE",CaseLedger!$K:$K,"Livelihood"))</x:f>
      </x:c>
      <x:c r="I13" t="str">
        <x:f>IF($A13="","",COUNTIFS(CaseLedger!$F:$F,$A13,CaseLedger!$B:$B,"TRUE",CaseLedger!$K:$K,"Skill Sponsorship"))</x:f>
      </x:c>
      <x:c r="J13" t="str">
        <x:f>IF($A13="","",COUNTIFS(CaseLedger!$F:$F,$A13,CaseLedger!$B:$B,"TRUE",CaseLedger!$K:$K,"Emergency Support"))</x:f>
      </x:c>
      <x:c r="K13" t="str">
        <x:f>IF($A13="","",COUNTIFS(CaseLedger!$F:$F,$A13,CaseLedger!$B:$B,"TRUE",CaseLedger!$K:$K,"Community Support"))</x:f>
      </x:c>
      <x:c r="L13" t="str">
        <x:f>IF($A13="","",SUMIFS(CaseLedger!$M:$M,CaseLedger!$F:$F,$A13,CaseLedger!$B:$B,"TRUE"))</x:f>
      </x:c>
      <x:c r="M13" t="str">
        <x:f>IF($A13="","",SUMIFS(CaseLedger!$N:$N,CaseLedger!$F:$F,$A13,CaseLedger!$B:$B,"TRUE"))</x:f>
      </x:c>
      <x:c r="N13" t="str">
        <x:f>IF($A13="","",0)</x:f>
      </x:c>
      <x:c r="O13" t="str">
        <x:f>IF($A13="","",SUMIFS(CaseLedger!$O:$O,CaseLedger!$F:$F,$A13,CaseLedger!$B:$B,"TRUE"))</x:f>
      </x:c>
      <x:c r="P13" t="str">
        <x:f>IF($A13="","",IFERROR(VLOOKUP($A13,MonthlyFinance!$A:$G,4,FALSE),""))</x:f>
      </x:c>
      <x:c r="Q13" t="str">
        <x:f>IF($A13="","",IFERROR(VLOOKUP($A13,MonthlyFinance!$A:$G,5,FALSE),""))</x:f>
      </x:c>
      <x:c r="R13" t="str">
        <x:f>IF($A13="","",IFERROR(VLOOKUP($A13,MonthlyFinance!$A:$G,6,FALSE),""))</x:f>
      </x:c>
      <x:c r="S13" t="str">
        <x:f>IF($A13="","","Formula-linked from CaseLedger; finance fields from MonthlyFinance.")</x:f>
      </x:c>
      <x:c r="T13" t="str">
        <x:f>IF($A13="","","TRUE")</x:f>
      </x:c>
    </x:row>
    <x:row r="14">
      <x:c r="D14" t="str">
        <x:f>IF($A14="","",COUNTIFS(CaseLedger!$F:$F,$A14,CaseLedger!$B:$B,"TRUE"))</x:f>
      </x:c>
      <x:c r="E14" t="str">
        <x:f>IF($A14="","",COUNTIFS(CaseLedger!$F:$F,$A14,CaseLedger!$B:$B,"TRUE",CaseLedger!$P:$P,"Zakat"))</x:f>
      </x:c>
      <x:c r="F14" t="str">
        <x:f>IF($A14="","",COUNTIFS(CaseLedger!$F:$F,$A14,CaseLedger!$B:$B,"TRUE",CaseLedger!$P:$P,"Sadaqah"))</x:f>
      </x:c>
      <x:c r="G14" t="str">
        <x:f>IF($A14="","",COUNTIFS(CaseLedger!$F:$F,$A14,CaseLedger!$B:$B,"TRUE",CaseLedger!$P:$P,"Mixed"))</x:f>
      </x:c>
      <x:c r="H14" t="str">
        <x:f>IF($A14="","",COUNTIFS(CaseLedger!$F:$F,$A14,CaseLedger!$B:$B,"TRUE",CaseLedger!$K:$K,"Livelihood"))</x:f>
      </x:c>
      <x:c r="I14" t="str">
        <x:f>IF($A14="","",COUNTIFS(CaseLedger!$F:$F,$A14,CaseLedger!$B:$B,"TRUE",CaseLedger!$K:$K,"Skill Sponsorship"))</x:f>
      </x:c>
      <x:c r="J14" t="str">
        <x:f>IF($A14="","",COUNTIFS(CaseLedger!$F:$F,$A14,CaseLedger!$B:$B,"TRUE",CaseLedger!$K:$K,"Emergency Support"))</x:f>
      </x:c>
      <x:c r="K14" t="str">
        <x:f>IF($A14="","",COUNTIFS(CaseLedger!$F:$F,$A14,CaseLedger!$B:$B,"TRUE",CaseLedger!$K:$K,"Community Support"))</x:f>
      </x:c>
      <x:c r="L14" t="str">
        <x:f>IF($A14="","",SUMIFS(CaseLedger!$M:$M,CaseLedger!$F:$F,$A14,CaseLedger!$B:$B,"TRUE"))</x:f>
      </x:c>
      <x:c r="M14" t="str">
        <x:f>IF($A14="","",SUMIFS(CaseLedger!$N:$N,CaseLedger!$F:$F,$A14,CaseLedger!$B:$B,"TRUE"))</x:f>
      </x:c>
      <x:c r="N14" t="str">
        <x:f>IF($A14="","",0)</x:f>
      </x:c>
      <x:c r="O14" t="str">
        <x:f>IF($A14="","",SUMIFS(CaseLedger!$O:$O,CaseLedger!$F:$F,$A14,CaseLedger!$B:$B,"TRUE"))</x:f>
      </x:c>
      <x:c r="P14" t="str">
        <x:f>IF($A14="","",IFERROR(VLOOKUP($A14,MonthlyFinance!$A:$G,4,FALSE),""))</x:f>
      </x:c>
      <x:c r="Q14" t="str">
        <x:f>IF($A14="","",IFERROR(VLOOKUP($A14,MonthlyFinance!$A:$G,5,FALSE),""))</x:f>
      </x:c>
      <x:c r="R14" t="str">
        <x:f>IF($A14="","",IFERROR(VLOOKUP($A14,MonthlyFinance!$A:$G,6,FALSE),""))</x:f>
      </x:c>
      <x:c r="S14" t="str">
        <x:f>IF($A14="","","Formula-linked from CaseLedger; finance fields from MonthlyFinance.")</x:f>
      </x:c>
      <x:c r="T14" t="str">
        <x:f>IF($A14="","","TRUE")</x:f>
      </x:c>
    </x:row>
    <x:row r="15">
      <x:c r="D15" t="str">
        <x:f>IF($A15="","",COUNTIFS(CaseLedger!$F:$F,$A15,CaseLedger!$B:$B,"TRUE"))</x:f>
      </x:c>
      <x:c r="E15" t="str">
        <x:f>IF($A15="","",COUNTIFS(CaseLedger!$F:$F,$A15,CaseLedger!$B:$B,"TRUE",CaseLedger!$P:$P,"Zakat"))</x:f>
      </x:c>
      <x:c r="F15" t="str">
        <x:f>IF($A15="","",COUNTIFS(CaseLedger!$F:$F,$A15,CaseLedger!$B:$B,"TRUE",CaseLedger!$P:$P,"Sadaqah"))</x:f>
      </x:c>
      <x:c r="G15" t="str">
        <x:f>IF($A15="","",COUNTIFS(CaseLedger!$F:$F,$A15,CaseLedger!$B:$B,"TRUE",CaseLedger!$P:$P,"Mixed"))</x:f>
      </x:c>
      <x:c r="H15" t="str">
        <x:f>IF($A15="","",COUNTIFS(CaseLedger!$F:$F,$A15,CaseLedger!$B:$B,"TRUE",CaseLedger!$K:$K,"Livelihood"))</x:f>
      </x:c>
      <x:c r="I15" t="str">
        <x:f>IF($A15="","",COUNTIFS(CaseLedger!$F:$F,$A15,CaseLedger!$B:$B,"TRUE",CaseLedger!$K:$K,"Skill Sponsorship"))</x:f>
      </x:c>
      <x:c r="J15" t="str">
        <x:f>IF($A15="","",COUNTIFS(CaseLedger!$F:$F,$A15,CaseLedger!$B:$B,"TRUE",CaseLedger!$K:$K,"Emergency Support"))</x:f>
      </x:c>
      <x:c r="K15" t="str">
        <x:f>IF($A15="","",COUNTIFS(CaseLedger!$F:$F,$A15,CaseLedger!$B:$B,"TRUE",CaseLedger!$K:$K,"Community Support"))</x:f>
      </x:c>
      <x:c r="L15" t="str">
        <x:f>IF($A15="","",SUMIFS(CaseLedger!$M:$M,CaseLedger!$F:$F,$A15,CaseLedger!$B:$B,"TRUE"))</x:f>
      </x:c>
      <x:c r="M15" t="str">
        <x:f>IF($A15="","",SUMIFS(CaseLedger!$N:$N,CaseLedger!$F:$F,$A15,CaseLedger!$B:$B,"TRUE"))</x:f>
      </x:c>
      <x:c r="N15" t="str">
        <x:f>IF($A15="","",0)</x:f>
      </x:c>
      <x:c r="O15" t="str">
        <x:f>IF($A15="","",SUMIFS(CaseLedger!$O:$O,CaseLedger!$F:$F,$A15,CaseLedger!$B:$B,"TRUE"))</x:f>
      </x:c>
      <x:c r="P15" t="str">
        <x:f>IF($A15="","",IFERROR(VLOOKUP($A15,MonthlyFinance!$A:$G,4,FALSE),""))</x:f>
      </x:c>
      <x:c r="Q15" t="str">
        <x:f>IF($A15="","",IFERROR(VLOOKUP($A15,MonthlyFinance!$A:$G,5,FALSE),""))</x:f>
      </x:c>
      <x:c r="R15" t="str">
        <x:f>IF($A15="","",IFERROR(VLOOKUP($A15,MonthlyFinance!$A:$G,6,FALSE),""))</x:f>
      </x:c>
      <x:c r="S15" t="str">
        <x:f>IF($A15="","","Formula-linked from CaseLedger; finance fields from MonthlyFinance.")</x:f>
      </x:c>
      <x:c r="T15" t="str">
        <x:f>IF($A15="","","TRUE")</x:f>
      </x:c>
    </x:row>
    <x:row r="16">
      <x:c r="D16" t="str">
        <x:f>IF($A16="","",COUNTIFS(CaseLedger!$F:$F,$A16,CaseLedger!$B:$B,"TRUE"))</x:f>
      </x:c>
      <x:c r="E16" t="str">
        <x:f>IF($A16="","",COUNTIFS(CaseLedger!$F:$F,$A16,CaseLedger!$B:$B,"TRUE",CaseLedger!$P:$P,"Zakat"))</x:f>
      </x:c>
      <x:c r="F16" t="str">
        <x:f>IF($A16="","",COUNTIFS(CaseLedger!$F:$F,$A16,CaseLedger!$B:$B,"TRUE",CaseLedger!$P:$P,"Sadaqah"))</x:f>
      </x:c>
      <x:c r="G16" t="str">
        <x:f>IF($A16="","",COUNTIFS(CaseLedger!$F:$F,$A16,CaseLedger!$B:$B,"TRUE",CaseLedger!$P:$P,"Mixed"))</x:f>
      </x:c>
      <x:c r="H16" t="str">
        <x:f>IF($A16="","",COUNTIFS(CaseLedger!$F:$F,$A16,CaseLedger!$B:$B,"TRUE",CaseLedger!$K:$K,"Livelihood"))</x:f>
      </x:c>
      <x:c r="I16" t="str">
        <x:f>IF($A16="","",COUNTIFS(CaseLedger!$F:$F,$A16,CaseLedger!$B:$B,"TRUE",CaseLedger!$K:$K,"Skill Sponsorship"))</x:f>
      </x:c>
      <x:c r="J16" t="str">
        <x:f>IF($A16="","",COUNTIFS(CaseLedger!$F:$F,$A16,CaseLedger!$B:$B,"TRUE",CaseLedger!$K:$K,"Emergency Support"))</x:f>
      </x:c>
      <x:c r="K16" t="str">
        <x:f>IF($A16="","",COUNTIFS(CaseLedger!$F:$F,$A16,CaseLedger!$B:$B,"TRUE",CaseLedger!$K:$K,"Community Support"))</x:f>
      </x:c>
      <x:c r="L16" t="str">
        <x:f>IF($A16="","",SUMIFS(CaseLedger!$M:$M,CaseLedger!$F:$F,$A16,CaseLedger!$B:$B,"TRUE"))</x:f>
      </x:c>
      <x:c r="M16" t="str">
        <x:f>IF($A16="","",SUMIFS(CaseLedger!$N:$N,CaseLedger!$F:$F,$A16,CaseLedger!$B:$B,"TRUE"))</x:f>
      </x:c>
      <x:c r="N16" t="str">
        <x:f>IF($A16="","",0)</x:f>
      </x:c>
      <x:c r="O16" t="str">
        <x:f>IF($A16="","",SUMIFS(CaseLedger!$O:$O,CaseLedger!$F:$F,$A16,CaseLedger!$B:$B,"TRUE"))</x:f>
      </x:c>
      <x:c r="P16" t="str">
        <x:f>IF($A16="","",IFERROR(VLOOKUP($A16,MonthlyFinance!$A:$G,4,FALSE),""))</x:f>
      </x:c>
      <x:c r="Q16" t="str">
        <x:f>IF($A16="","",IFERROR(VLOOKUP($A16,MonthlyFinance!$A:$G,5,FALSE),""))</x:f>
      </x:c>
      <x:c r="R16" t="str">
        <x:f>IF($A16="","",IFERROR(VLOOKUP($A16,MonthlyFinance!$A:$G,6,FALSE),""))</x:f>
      </x:c>
      <x:c r="S16" t="str">
        <x:f>IF($A16="","","Formula-linked from CaseLedger; finance fields from MonthlyFinance.")</x:f>
      </x:c>
      <x:c r="T16" t="str">
        <x:f>IF($A16="","","TRUE")</x:f>
      </x:c>
    </x:row>
    <x:row r="17">
      <x:c r="D17" t="str">
        <x:f>IF($A17="","",COUNTIFS(CaseLedger!$F:$F,$A17,CaseLedger!$B:$B,"TRUE"))</x:f>
      </x:c>
      <x:c r="E17" t="str">
        <x:f>IF($A17="","",COUNTIFS(CaseLedger!$F:$F,$A17,CaseLedger!$B:$B,"TRUE",CaseLedger!$P:$P,"Zakat"))</x:f>
      </x:c>
      <x:c r="F17" t="str">
        <x:f>IF($A17="","",COUNTIFS(CaseLedger!$F:$F,$A17,CaseLedger!$B:$B,"TRUE",CaseLedger!$P:$P,"Sadaqah"))</x:f>
      </x:c>
      <x:c r="G17" t="str">
        <x:f>IF($A17="","",COUNTIFS(CaseLedger!$F:$F,$A17,CaseLedger!$B:$B,"TRUE",CaseLedger!$P:$P,"Mixed"))</x:f>
      </x:c>
      <x:c r="H17" t="str">
        <x:f>IF($A17="","",COUNTIFS(CaseLedger!$F:$F,$A17,CaseLedger!$B:$B,"TRUE",CaseLedger!$K:$K,"Livelihood"))</x:f>
      </x:c>
      <x:c r="I17" t="str">
        <x:f>IF($A17="","",COUNTIFS(CaseLedger!$F:$F,$A17,CaseLedger!$B:$B,"TRUE",CaseLedger!$K:$K,"Skill Sponsorship"))</x:f>
      </x:c>
      <x:c r="J17" t="str">
        <x:f>IF($A17="","",COUNTIFS(CaseLedger!$F:$F,$A17,CaseLedger!$B:$B,"TRUE",CaseLedger!$K:$K,"Emergency Support"))</x:f>
      </x:c>
      <x:c r="K17" t="str">
        <x:f>IF($A17="","",COUNTIFS(CaseLedger!$F:$F,$A17,CaseLedger!$B:$B,"TRUE",CaseLedger!$K:$K,"Community Support"))</x:f>
      </x:c>
      <x:c r="L17" t="str">
        <x:f>IF($A17="","",SUMIFS(CaseLedger!$M:$M,CaseLedger!$F:$F,$A17,CaseLedger!$B:$B,"TRUE"))</x:f>
      </x:c>
      <x:c r="M17" t="str">
        <x:f>IF($A17="","",SUMIFS(CaseLedger!$N:$N,CaseLedger!$F:$F,$A17,CaseLedger!$B:$B,"TRUE"))</x:f>
      </x:c>
      <x:c r="N17" t="str">
        <x:f>IF($A17="","",0)</x:f>
      </x:c>
      <x:c r="O17" t="str">
        <x:f>IF($A17="","",SUMIFS(CaseLedger!$O:$O,CaseLedger!$F:$F,$A17,CaseLedger!$B:$B,"TRUE"))</x:f>
      </x:c>
      <x:c r="P17" t="str">
        <x:f>IF($A17="","",IFERROR(VLOOKUP($A17,MonthlyFinance!$A:$G,4,FALSE),""))</x:f>
      </x:c>
      <x:c r="Q17" t="str">
        <x:f>IF($A17="","",IFERROR(VLOOKUP($A17,MonthlyFinance!$A:$G,5,FALSE),""))</x:f>
      </x:c>
      <x:c r="R17" t="str">
        <x:f>IF($A17="","",IFERROR(VLOOKUP($A17,MonthlyFinance!$A:$G,6,FALSE),""))</x:f>
      </x:c>
      <x:c r="S17" t="str">
        <x:f>IF($A17="","","Formula-linked from CaseLedger; finance fields from MonthlyFinance.")</x:f>
      </x:c>
      <x:c r="T17" t="str">
        <x:f>IF($A17="","","TRUE")</x:f>
      </x:c>
    </x:row>
    <x:row r="18">
      <x:c r="D18" t="str">
        <x:f>IF($A18="","",COUNTIFS(CaseLedger!$F:$F,$A18,CaseLedger!$B:$B,"TRUE"))</x:f>
      </x:c>
      <x:c r="E18" t="str">
        <x:f>IF($A18="","",COUNTIFS(CaseLedger!$F:$F,$A18,CaseLedger!$B:$B,"TRUE",CaseLedger!$P:$P,"Zakat"))</x:f>
      </x:c>
      <x:c r="F18" t="str">
        <x:f>IF($A18="","",COUNTIFS(CaseLedger!$F:$F,$A18,CaseLedger!$B:$B,"TRUE",CaseLedger!$P:$P,"Sadaqah"))</x:f>
      </x:c>
      <x:c r="G18" t="str">
        <x:f>IF($A18="","",COUNTIFS(CaseLedger!$F:$F,$A18,CaseLedger!$B:$B,"TRUE",CaseLedger!$P:$P,"Mixed"))</x:f>
      </x:c>
      <x:c r="H18" t="str">
        <x:f>IF($A18="","",COUNTIFS(CaseLedger!$F:$F,$A18,CaseLedger!$B:$B,"TRUE",CaseLedger!$K:$K,"Livelihood"))</x:f>
      </x:c>
      <x:c r="I18" t="str">
        <x:f>IF($A18="","",COUNTIFS(CaseLedger!$F:$F,$A18,CaseLedger!$B:$B,"TRUE",CaseLedger!$K:$K,"Skill Sponsorship"))</x:f>
      </x:c>
      <x:c r="J18" t="str">
        <x:f>IF($A18="","",COUNTIFS(CaseLedger!$F:$F,$A18,CaseLedger!$B:$B,"TRUE",CaseLedger!$K:$K,"Emergency Support"))</x:f>
      </x:c>
      <x:c r="K18" t="str">
        <x:f>IF($A18="","",COUNTIFS(CaseLedger!$F:$F,$A18,CaseLedger!$B:$B,"TRUE",CaseLedger!$K:$K,"Community Support"))</x:f>
      </x:c>
      <x:c r="L18" t="str">
        <x:f>IF($A18="","",SUMIFS(CaseLedger!$M:$M,CaseLedger!$F:$F,$A18,CaseLedger!$B:$B,"TRUE"))</x:f>
      </x:c>
      <x:c r="M18" t="str">
        <x:f>IF($A18="","",SUMIFS(CaseLedger!$N:$N,CaseLedger!$F:$F,$A18,CaseLedger!$B:$B,"TRUE"))</x:f>
      </x:c>
      <x:c r="N18" t="str">
        <x:f>IF($A18="","",0)</x:f>
      </x:c>
      <x:c r="O18" t="str">
        <x:f>IF($A18="","",SUMIFS(CaseLedger!$O:$O,CaseLedger!$F:$F,$A18,CaseLedger!$B:$B,"TRUE"))</x:f>
      </x:c>
      <x:c r="P18" t="str">
        <x:f>IF($A18="","",IFERROR(VLOOKUP($A18,MonthlyFinance!$A:$G,4,FALSE),""))</x:f>
      </x:c>
      <x:c r="Q18" t="str">
        <x:f>IF($A18="","",IFERROR(VLOOKUP($A18,MonthlyFinance!$A:$G,5,FALSE),""))</x:f>
      </x:c>
      <x:c r="R18" t="str">
        <x:f>IF($A18="","",IFERROR(VLOOKUP($A18,MonthlyFinance!$A:$G,6,FALSE),""))</x:f>
      </x:c>
      <x:c r="S18" t="str">
        <x:f>IF($A18="","","Formula-linked from CaseLedger; finance fields from MonthlyFinance.")</x:f>
      </x:c>
      <x:c r="T18" t="str">
        <x:f>IF($A18="","","TRUE")</x:f>
      </x:c>
    </x:row>
    <x:row r="19">
      <x:c r="D19" t="str">
        <x:f>IF($A19="","",COUNTIFS(CaseLedger!$F:$F,$A19,CaseLedger!$B:$B,"TRUE"))</x:f>
      </x:c>
      <x:c r="E19" t="str">
        <x:f>IF($A19="","",COUNTIFS(CaseLedger!$F:$F,$A19,CaseLedger!$B:$B,"TRUE",CaseLedger!$P:$P,"Zakat"))</x:f>
      </x:c>
      <x:c r="F19" t="str">
        <x:f>IF($A19="","",COUNTIFS(CaseLedger!$F:$F,$A19,CaseLedger!$B:$B,"TRUE",CaseLedger!$P:$P,"Sadaqah"))</x:f>
      </x:c>
      <x:c r="G19" t="str">
        <x:f>IF($A19="","",COUNTIFS(CaseLedger!$F:$F,$A19,CaseLedger!$B:$B,"TRUE",CaseLedger!$P:$P,"Mixed"))</x:f>
      </x:c>
      <x:c r="H19" t="str">
        <x:f>IF($A19="","",COUNTIFS(CaseLedger!$F:$F,$A19,CaseLedger!$B:$B,"TRUE",CaseLedger!$K:$K,"Livelihood"))</x:f>
      </x:c>
      <x:c r="I19" t="str">
        <x:f>IF($A19="","",COUNTIFS(CaseLedger!$F:$F,$A19,CaseLedger!$B:$B,"TRUE",CaseLedger!$K:$K,"Skill Sponsorship"))</x:f>
      </x:c>
      <x:c r="J19" t="str">
        <x:f>IF($A19="","",COUNTIFS(CaseLedger!$F:$F,$A19,CaseLedger!$B:$B,"TRUE",CaseLedger!$K:$K,"Emergency Support"))</x:f>
      </x:c>
      <x:c r="K19" t="str">
        <x:f>IF($A19="","",COUNTIFS(CaseLedger!$F:$F,$A19,CaseLedger!$B:$B,"TRUE",CaseLedger!$K:$K,"Community Support"))</x:f>
      </x:c>
      <x:c r="L19" t="str">
        <x:f>IF($A19="","",SUMIFS(CaseLedger!$M:$M,CaseLedger!$F:$F,$A19,CaseLedger!$B:$B,"TRUE"))</x:f>
      </x:c>
      <x:c r="M19" t="str">
        <x:f>IF($A19="","",SUMIFS(CaseLedger!$N:$N,CaseLedger!$F:$F,$A19,CaseLedger!$B:$B,"TRUE"))</x:f>
      </x:c>
      <x:c r="N19" t="str">
        <x:f>IF($A19="","",0)</x:f>
      </x:c>
      <x:c r="O19" t="str">
        <x:f>IF($A19="","",SUMIFS(CaseLedger!$O:$O,CaseLedger!$F:$F,$A19,CaseLedger!$B:$B,"TRUE"))</x:f>
      </x:c>
      <x:c r="P19" t="str">
        <x:f>IF($A19="","",IFERROR(VLOOKUP($A19,MonthlyFinance!$A:$G,4,FALSE),""))</x:f>
      </x:c>
      <x:c r="Q19" t="str">
        <x:f>IF($A19="","",IFERROR(VLOOKUP($A19,MonthlyFinance!$A:$G,5,FALSE),""))</x:f>
      </x:c>
      <x:c r="R19" t="str">
        <x:f>IF($A19="","",IFERROR(VLOOKUP($A19,MonthlyFinance!$A:$G,6,FALSE),""))</x:f>
      </x:c>
      <x:c r="S19" t="str">
        <x:f>IF($A19="","","Formula-linked from CaseLedger; finance fields from MonthlyFinance.")</x:f>
      </x:c>
      <x:c r="T19" t="str">
        <x:f>IF($A19="","","TRUE")</x:f>
      </x:c>
    </x:row>
    <x:row r="20">
      <x:c r="D20" t="str">
        <x:f>IF($A20="","",COUNTIFS(CaseLedger!$F:$F,$A20,CaseLedger!$B:$B,"TRUE"))</x:f>
      </x:c>
      <x:c r="E20" t="str">
        <x:f>IF($A20="","",COUNTIFS(CaseLedger!$F:$F,$A20,CaseLedger!$B:$B,"TRUE",CaseLedger!$P:$P,"Zakat"))</x:f>
      </x:c>
      <x:c r="F20" t="str">
        <x:f>IF($A20="","",COUNTIFS(CaseLedger!$F:$F,$A20,CaseLedger!$B:$B,"TRUE",CaseLedger!$P:$P,"Sadaqah"))</x:f>
      </x:c>
      <x:c r="G20" t="str">
        <x:f>IF($A20="","",COUNTIFS(CaseLedger!$F:$F,$A20,CaseLedger!$B:$B,"TRUE",CaseLedger!$P:$P,"Mixed"))</x:f>
      </x:c>
      <x:c r="H20" t="str">
        <x:f>IF($A20="","",COUNTIFS(CaseLedger!$F:$F,$A20,CaseLedger!$B:$B,"TRUE",CaseLedger!$K:$K,"Livelihood"))</x:f>
      </x:c>
      <x:c r="I20" t="str">
        <x:f>IF($A20="","",COUNTIFS(CaseLedger!$F:$F,$A20,CaseLedger!$B:$B,"TRUE",CaseLedger!$K:$K,"Skill Sponsorship"))</x:f>
      </x:c>
      <x:c r="J20" t="str">
        <x:f>IF($A20="","",COUNTIFS(CaseLedger!$F:$F,$A20,CaseLedger!$B:$B,"TRUE",CaseLedger!$K:$K,"Emergency Support"))</x:f>
      </x:c>
      <x:c r="K20" t="str">
        <x:f>IF($A20="","",COUNTIFS(CaseLedger!$F:$F,$A20,CaseLedger!$B:$B,"TRUE",CaseLedger!$K:$K,"Community Support"))</x:f>
      </x:c>
      <x:c r="L20" t="str">
        <x:f>IF($A20="","",SUMIFS(CaseLedger!$M:$M,CaseLedger!$F:$F,$A20,CaseLedger!$B:$B,"TRUE"))</x:f>
      </x:c>
      <x:c r="M20" t="str">
        <x:f>IF($A20="","",SUMIFS(CaseLedger!$N:$N,CaseLedger!$F:$F,$A20,CaseLedger!$B:$B,"TRUE"))</x:f>
      </x:c>
      <x:c r="N20" t="str">
        <x:f>IF($A20="","",0)</x:f>
      </x:c>
      <x:c r="O20" t="str">
        <x:f>IF($A20="","",SUMIFS(CaseLedger!$O:$O,CaseLedger!$F:$F,$A20,CaseLedger!$B:$B,"TRUE"))</x:f>
      </x:c>
      <x:c r="P20" t="str">
        <x:f>IF($A20="","",IFERROR(VLOOKUP($A20,MonthlyFinance!$A:$G,4,FALSE),""))</x:f>
      </x:c>
      <x:c r="Q20" t="str">
        <x:f>IF($A20="","",IFERROR(VLOOKUP($A20,MonthlyFinance!$A:$G,5,FALSE),""))</x:f>
      </x:c>
      <x:c r="R20" t="str">
        <x:f>IF($A20="","",IFERROR(VLOOKUP($A20,MonthlyFinance!$A:$G,6,FALSE),""))</x:f>
      </x:c>
      <x:c r="S20" t="str">
        <x:f>IF($A20="","","Formula-linked from CaseLedger; finance fields from MonthlyFinance.")</x:f>
      </x:c>
      <x:c r="T20" t="str">
        <x:f>IF($A20="","","TRUE")</x:f>
      </x:c>
    </x:row>
    <x:row r="21">
      <x:c r="D21" t="str">
        <x:f>IF($A21="","",COUNTIFS(CaseLedger!$F:$F,$A21,CaseLedger!$B:$B,"TRUE"))</x:f>
      </x:c>
      <x:c r="E21" t="str">
        <x:f>IF($A21="","",COUNTIFS(CaseLedger!$F:$F,$A21,CaseLedger!$B:$B,"TRUE",CaseLedger!$P:$P,"Zakat"))</x:f>
      </x:c>
      <x:c r="F21" t="str">
        <x:f>IF($A21="","",COUNTIFS(CaseLedger!$F:$F,$A21,CaseLedger!$B:$B,"TRUE",CaseLedger!$P:$P,"Sadaqah"))</x:f>
      </x:c>
      <x:c r="G21" t="str">
        <x:f>IF($A21="","",COUNTIFS(CaseLedger!$F:$F,$A21,CaseLedger!$B:$B,"TRUE",CaseLedger!$P:$P,"Mixed"))</x:f>
      </x:c>
      <x:c r="H21" t="str">
        <x:f>IF($A21="","",COUNTIFS(CaseLedger!$F:$F,$A21,CaseLedger!$B:$B,"TRUE",CaseLedger!$K:$K,"Livelihood"))</x:f>
      </x:c>
      <x:c r="I21" t="str">
        <x:f>IF($A21="","",COUNTIFS(CaseLedger!$F:$F,$A21,CaseLedger!$B:$B,"TRUE",CaseLedger!$K:$K,"Skill Sponsorship"))</x:f>
      </x:c>
      <x:c r="J21" t="str">
        <x:f>IF($A21="","",COUNTIFS(CaseLedger!$F:$F,$A21,CaseLedger!$B:$B,"TRUE",CaseLedger!$K:$K,"Emergency Support"))</x:f>
      </x:c>
      <x:c r="K21" t="str">
        <x:f>IF($A21="","",COUNTIFS(CaseLedger!$F:$F,$A21,CaseLedger!$B:$B,"TRUE",CaseLedger!$K:$K,"Community Support"))</x:f>
      </x:c>
      <x:c r="L21" t="str">
        <x:f>IF($A21="","",SUMIFS(CaseLedger!$M:$M,CaseLedger!$F:$F,$A21,CaseLedger!$B:$B,"TRUE"))</x:f>
      </x:c>
      <x:c r="M21" t="str">
        <x:f>IF($A21="","",SUMIFS(CaseLedger!$N:$N,CaseLedger!$F:$F,$A21,CaseLedger!$B:$B,"TRUE"))</x:f>
      </x:c>
      <x:c r="N21" t="str">
        <x:f>IF($A21="","",0)</x:f>
      </x:c>
      <x:c r="O21" t="str">
        <x:f>IF($A21="","",SUMIFS(CaseLedger!$O:$O,CaseLedger!$F:$F,$A21,CaseLedger!$B:$B,"TRUE"))</x:f>
      </x:c>
      <x:c r="P21" t="str">
        <x:f>IF($A21="","",IFERROR(VLOOKUP($A21,MonthlyFinance!$A:$G,4,FALSE),""))</x:f>
      </x:c>
      <x:c r="Q21" t="str">
        <x:f>IF($A21="","",IFERROR(VLOOKUP($A21,MonthlyFinance!$A:$G,5,FALSE),""))</x:f>
      </x:c>
      <x:c r="R21" t="str">
        <x:f>IF($A21="","",IFERROR(VLOOKUP($A21,MonthlyFinance!$A:$G,6,FALSE),""))</x:f>
      </x:c>
      <x:c r="S21" t="str">
        <x:f>IF($A21="","","Formula-linked from CaseLedger; finance fields from MonthlyFinance.")</x:f>
      </x:c>
      <x:c r="T21" t="str">
        <x:f>IF($A21="","","TRUE")</x:f>
      </x:c>
    </x:row>
    <x:row r="22">
      <x:c r="D22" t="str">
        <x:f>IF($A22="","",COUNTIFS(CaseLedger!$F:$F,$A22,CaseLedger!$B:$B,"TRUE"))</x:f>
      </x:c>
      <x:c r="E22" t="str">
        <x:f>IF($A22="","",COUNTIFS(CaseLedger!$F:$F,$A22,CaseLedger!$B:$B,"TRUE",CaseLedger!$P:$P,"Zakat"))</x:f>
      </x:c>
      <x:c r="F22" t="str">
        <x:f>IF($A22="","",COUNTIFS(CaseLedger!$F:$F,$A22,CaseLedger!$B:$B,"TRUE",CaseLedger!$P:$P,"Sadaqah"))</x:f>
      </x:c>
      <x:c r="G22" t="str">
        <x:f>IF($A22="","",COUNTIFS(CaseLedger!$F:$F,$A22,CaseLedger!$B:$B,"TRUE",CaseLedger!$P:$P,"Mixed"))</x:f>
      </x:c>
      <x:c r="H22" t="str">
        <x:f>IF($A22="","",COUNTIFS(CaseLedger!$F:$F,$A22,CaseLedger!$B:$B,"TRUE",CaseLedger!$K:$K,"Livelihood"))</x:f>
      </x:c>
      <x:c r="I22" t="str">
        <x:f>IF($A22="","",COUNTIFS(CaseLedger!$F:$F,$A22,CaseLedger!$B:$B,"TRUE",CaseLedger!$K:$K,"Skill Sponsorship"))</x:f>
      </x:c>
      <x:c r="J22" t="str">
        <x:f>IF($A22="","",COUNTIFS(CaseLedger!$F:$F,$A22,CaseLedger!$B:$B,"TRUE",CaseLedger!$K:$K,"Emergency Support"))</x:f>
      </x:c>
      <x:c r="K22" t="str">
        <x:f>IF($A22="","",COUNTIFS(CaseLedger!$F:$F,$A22,CaseLedger!$B:$B,"TRUE",CaseLedger!$K:$K,"Community Support"))</x:f>
      </x:c>
      <x:c r="L22" t="str">
        <x:f>IF($A22="","",SUMIFS(CaseLedger!$M:$M,CaseLedger!$F:$F,$A22,CaseLedger!$B:$B,"TRUE"))</x:f>
      </x:c>
      <x:c r="M22" t="str">
        <x:f>IF($A22="","",SUMIFS(CaseLedger!$N:$N,CaseLedger!$F:$F,$A22,CaseLedger!$B:$B,"TRUE"))</x:f>
      </x:c>
      <x:c r="N22" t="str">
        <x:f>IF($A22="","",0)</x:f>
      </x:c>
      <x:c r="O22" t="str">
        <x:f>IF($A22="","",SUMIFS(CaseLedger!$O:$O,CaseLedger!$F:$F,$A22,CaseLedger!$B:$B,"TRUE"))</x:f>
      </x:c>
      <x:c r="P22" t="str">
        <x:f>IF($A22="","",IFERROR(VLOOKUP($A22,MonthlyFinance!$A:$G,4,FALSE),""))</x:f>
      </x:c>
      <x:c r="Q22" t="str">
        <x:f>IF($A22="","",IFERROR(VLOOKUP($A22,MonthlyFinance!$A:$G,5,FALSE),""))</x:f>
      </x:c>
      <x:c r="R22" t="str">
        <x:f>IF($A22="","",IFERROR(VLOOKUP($A22,MonthlyFinance!$A:$G,6,FALSE),""))</x:f>
      </x:c>
      <x:c r="S22" t="str">
        <x:f>IF($A22="","","Formula-linked from CaseLedger; finance fields from MonthlyFinance.")</x:f>
      </x:c>
      <x:c r="T22" t="str">
        <x:f>IF($A22="","","TRUE")</x:f>
      </x:c>
    </x:row>
    <x:row r="23">
      <x:c r="D23" t="str">
        <x:f>IF($A23="","",COUNTIFS(CaseLedger!$F:$F,$A23,CaseLedger!$B:$B,"TRUE"))</x:f>
      </x:c>
      <x:c r="E23" t="str">
        <x:f>IF($A23="","",COUNTIFS(CaseLedger!$F:$F,$A23,CaseLedger!$B:$B,"TRUE",CaseLedger!$P:$P,"Zakat"))</x:f>
      </x:c>
      <x:c r="F23" t="str">
        <x:f>IF($A23="","",COUNTIFS(CaseLedger!$F:$F,$A23,CaseLedger!$B:$B,"TRUE",CaseLedger!$P:$P,"Sadaqah"))</x:f>
      </x:c>
      <x:c r="G23" t="str">
        <x:f>IF($A23="","",COUNTIFS(CaseLedger!$F:$F,$A23,CaseLedger!$B:$B,"TRUE",CaseLedger!$P:$P,"Mixed"))</x:f>
      </x:c>
      <x:c r="H23" t="str">
        <x:f>IF($A23="","",COUNTIFS(CaseLedger!$F:$F,$A23,CaseLedger!$B:$B,"TRUE",CaseLedger!$K:$K,"Livelihood"))</x:f>
      </x:c>
      <x:c r="I23" t="str">
        <x:f>IF($A23="","",COUNTIFS(CaseLedger!$F:$F,$A23,CaseLedger!$B:$B,"TRUE",CaseLedger!$K:$K,"Skill Sponsorship"))</x:f>
      </x:c>
      <x:c r="J23" t="str">
        <x:f>IF($A23="","",COUNTIFS(CaseLedger!$F:$F,$A23,CaseLedger!$B:$B,"TRUE",CaseLedger!$K:$K,"Emergency Support"))</x:f>
      </x:c>
      <x:c r="K23" t="str">
        <x:f>IF($A23="","",COUNTIFS(CaseLedger!$F:$F,$A23,CaseLedger!$B:$B,"TRUE",CaseLedger!$K:$K,"Community Support"))</x:f>
      </x:c>
      <x:c r="L23" t="str">
        <x:f>IF($A23="","",SUMIFS(CaseLedger!$M:$M,CaseLedger!$F:$F,$A23,CaseLedger!$B:$B,"TRUE"))</x:f>
      </x:c>
      <x:c r="M23" t="str">
        <x:f>IF($A23="","",SUMIFS(CaseLedger!$N:$N,CaseLedger!$F:$F,$A23,CaseLedger!$B:$B,"TRUE"))</x:f>
      </x:c>
      <x:c r="N23" t="str">
        <x:f>IF($A23="","",0)</x:f>
      </x:c>
      <x:c r="O23" t="str">
        <x:f>IF($A23="","",SUMIFS(CaseLedger!$O:$O,CaseLedger!$F:$F,$A23,CaseLedger!$B:$B,"TRUE"))</x:f>
      </x:c>
      <x:c r="P23" t="str">
        <x:f>IF($A23="","",IFERROR(VLOOKUP($A23,MonthlyFinance!$A:$G,4,FALSE),""))</x:f>
      </x:c>
      <x:c r="Q23" t="str">
        <x:f>IF($A23="","",IFERROR(VLOOKUP($A23,MonthlyFinance!$A:$G,5,FALSE),""))</x:f>
      </x:c>
      <x:c r="R23" t="str">
        <x:f>IF($A23="","",IFERROR(VLOOKUP($A23,MonthlyFinance!$A:$G,6,FALSE),""))</x:f>
      </x:c>
      <x:c r="S23" t="str">
        <x:f>IF($A23="","","Formula-linked from CaseLedger; finance fields from MonthlyFinance.")</x:f>
      </x:c>
      <x:c r="T23" t="str">
        <x:f>IF($A23="","","TRUE")</x:f>
      </x:c>
    </x:row>
    <x:row r="24">
      <x:c r="D24" t="str">
        <x:f>IF($A24="","",COUNTIFS(CaseLedger!$F:$F,$A24,CaseLedger!$B:$B,"TRUE"))</x:f>
      </x:c>
      <x:c r="E24" t="str">
        <x:f>IF($A24="","",COUNTIFS(CaseLedger!$F:$F,$A24,CaseLedger!$B:$B,"TRUE",CaseLedger!$P:$P,"Zakat"))</x:f>
      </x:c>
      <x:c r="F24" t="str">
        <x:f>IF($A24="","",COUNTIFS(CaseLedger!$F:$F,$A24,CaseLedger!$B:$B,"TRUE",CaseLedger!$P:$P,"Sadaqah"))</x:f>
      </x:c>
      <x:c r="G24" t="str">
        <x:f>IF($A24="","",COUNTIFS(CaseLedger!$F:$F,$A24,CaseLedger!$B:$B,"TRUE",CaseLedger!$P:$P,"Mixed"))</x:f>
      </x:c>
      <x:c r="H24" t="str">
        <x:f>IF($A24="","",COUNTIFS(CaseLedger!$F:$F,$A24,CaseLedger!$B:$B,"TRUE",CaseLedger!$K:$K,"Livelihood"))</x:f>
      </x:c>
      <x:c r="I24" t="str">
        <x:f>IF($A24="","",COUNTIFS(CaseLedger!$F:$F,$A24,CaseLedger!$B:$B,"TRUE",CaseLedger!$K:$K,"Skill Sponsorship"))</x:f>
      </x:c>
      <x:c r="J24" t="str">
        <x:f>IF($A24="","",COUNTIFS(CaseLedger!$F:$F,$A24,CaseLedger!$B:$B,"TRUE",CaseLedger!$K:$K,"Emergency Support"))</x:f>
      </x:c>
      <x:c r="K24" t="str">
        <x:f>IF($A24="","",COUNTIFS(CaseLedger!$F:$F,$A24,CaseLedger!$B:$B,"TRUE",CaseLedger!$K:$K,"Community Support"))</x:f>
      </x:c>
      <x:c r="L24" t="str">
        <x:f>IF($A24="","",SUMIFS(CaseLedger!$M:$M,CaseLedger!$F:$F,$A24,CaseLedger!$B:$B,"TRUE"))</x:f>
      </x:c>
      <x:c r="M24" t="str">
        <x:f>IF($A24="","",SUMIFS(CaseLedger!$N:$N,CaseLedger!$F:$F,$A24,CaseLedger!$B:$B,"TRUE"))</x:f>
      </x:c>
      <x:c r="N24" t="str">
        <x:f>IF($A24="","",0)</x:f>
      </x:c>
      <x:c r="O24" t="str">
        <x:f>IF($A24="","",SUMIFS(CaseLedger!$O:$O,CaseLedger!$F:$F,$A24,CaseLedger!$B:$B,"TRUE"))</x:f>
      </x:c>
      <x:c r="P24" t="str">
        <x:f>IF($A24="","",IFERROR(VLOOKUP($A24,MonthlyFinance!$A:$G,4,FALSE),""))</x:f>
      </x:c>
      <x:c r="Q24" t="str">
        <x:f>IF($A24="","",IFERROR(VLOOKUP($A24,MonthlyFinance!$A:$G,5,FALSE),""))</x:f>
      </x:c>
      <x:c r="R24" t="str">
        <x:f>IF($A24="","",IFERROR(VLOOKUP($A24,MonthlyFinance!$A:$G,6,FALSE),""))</x:f>
      </x:c>
      <x:c r="S24" t="str">
        <x:f>IF($A24="","","Formula-linked from CaseLedger; finance fields from MonthlyFinance.")</x:f>
      </x:c>
      <x:c r="T24" t="str">
        <x:f>IF($A24="","","TRUE")</x:f>
      </x:c>
    </x:row>
    <x:row r="25">
      <x:c r="D25" t="str">
        <x:f>IF($A25="","",COUNTIFS(CaseLedger!$F:$F,$A25,CaseLedger!$B:$B,"TRUE"))</x:f>
      </x:c>
      <x:c r="E25" t="str">
        <x:f>IF($A25="","",COUNTIFS(CaseLedger!$F:$F,$A25,CaseLedger!$B:$B,"TRUE",CaseLedger!$P:$P,"Zakat"))</x:f>
      </x:c>
      <x:c r="F25" t="str">
        <x:f>IF($A25="","",COUNTIFS(CaseLedger!$F:$F,$A25,CaseLedger!$B:$B,"TRUE",CaseLedger!$P:$P,"Sadaqah"))</x:f>
      </x:c>
      <x:c r="G25" t="str">
        <x:f>IF($A25="","",COUNTIFS(CaseLedger!$F:$F,$A25,CaseLedger!$B:$B,"TRUE",CaseLedger!$P:$P,"Mixed"))</x:f>
      </x:c>
      <x:c r="H25" t="str">
        <x:f>IF($A25="","",COUNTIFS(CaseLedger!$F:$F,$A25,CaseLedger!$B:$B,"TRUE",CaseLedger!$K:$K,"Livelihood"))</x:f>
      </x:c>
      <x:c r="I25" t="str">
        <x:f>IF($A25="","",COUNTIFS(CaseLedger!$F:$F,$A25,CaseLedger!$B:$B,"TRUE",CaseLedger!$K:$K,"Skill Sponsorship"))</x:f>
      </x:c>
      <x:c r="J25" t="str">
        <x:f>IF($A25="","",COUNTIFS(CaseLedger!$F:$F,$A25,CaseLedger!$B:$B,"TRUE",CaseLedger!$K:$K,"Emergency Support"))</x:f>
      </x:c>
      <x:c r="K25" t="str">
        <x:f>IF($A25="","",COUNTIFS(CaseLedger!$F:$F,$A25,CaseLedger!$B:$B,"TRUE",CaseLedger!$K:$K,"Community Support"))</x:f>
      </x:c>
      <x:c r="L25" t="str">
        <x:f>IF($A25="","",SUMIFS(CaseLedger!$M:$M,CaseLedger!$F:$F,$A25,CaseLedger!$B:$B,"TRUE"))</x:f>
      </x:c>
      <x:c r="M25" t="str">
        <x:f>IF($A25="","",SUMIFS(CaseLedger!$N:$N,CaseLedger!$F:$F,$A25,CaseLedger!$B:$B,"TRUE"))</x:f>
      </x:c>
      <x:c r="N25" t="str">
        <x:f>IF($A25="","",0)</x:f>
      </x:c>
      <x:c r="O25" t="str">
        <x:f>IF($A25="","",SUMIFS(CaseLedger!$O:$O,CaseLedger!$F:$F,$A25,CaseLedger!$B:$B,"TRUE"))</x:f>
      </x:c>
      <x:c r="P25" t="str">
        <x:f>IF($A25="","",IFERROR(VLOOKUP($A25,MonthlyFinance!$A:$G,4,FALSE),""))</x:f>
      </x:c>
      <x:c r="Q25" t="str">
        <x:f>IF($A25="","",IFERROR(VLOOKUP($A25,MonthlyFinance!$A:$G,5,FALSE),""))</x:f>
      </x:c>
      <x:c r="R25" t="str">
        <x:f>IF($A25="","",IFERROR(VLOOKUP($A25,MonthlyFinance!$A:$G,6,FALSE),""))</x:f>
      </x:c>
      <x:c r="S25" t="str">
        <x:f>IF($A25="","","Formula-linked from CaseLedger; finance fields from MonthlyFinance.")</x:f>
      </x:c>
      <x:c r="T25" t="str">
        <x:f>IF($A25="","","TRUE")</x:f>
      </x:c>
    </x:row>
    <x:row r="26">
      <x:c r="D26" t="str">
        <x:f>IF($A26="","",COUNTIFS(CaseLedger!$F:$F,$A26,CaseLedger!$B:$B,"TRUE"))</x:f>
      </x:c>
      <x:c r="E26" t="str">
        <x:f>IF($A26="","",COUNTIFS(CaseLedger!$F:$F,$A26,CaseLedger!$B:$B,"TRUE",CaseLedger!$P:$P,"Zakat"))</x:f>
      </x:c>
      <x:c r="F26" t="str">
        <x:f>IF($A26="","",COUNTIFS(CaseLedger!$F:$F,$A26,CaseLedger!$B:$B,"TRUE",CaseLedger!$P:$P,"Sadaqah"))</x:f>
      </x:c>
      <x:c r="G26" t="str">
        <x:f>IF($A26="","",COUNTIFS(CaseLedger!$F:$F,$A26,CaseLedger!$B:$B,"TRUE",CaseLedger!$P:$P,"Mixed"))</x:f>
      </x:c>
      <x:c r="H26" t="str">
        <x:f>IF($A26="","",COUNTIFS(CaseLedger!$F:$F,$A26,CaseLedger!$B:$B,"TRUE",CaseLedger!$K:$K,"Livelihood"))</x:f>
      </x:c>
      <x:c r="I26" t="str">
        <x:f>IF($A26="","",COUNTIFS(CaseLedger!$F:$F,$A26,CaseLedger!$B:$B,"TRUE",CaseLedger!$K:$K,"Skill Sponsorship"))</x:f>
      </x:c>
      <x:c r="J26" t="str">
        <x:f>IF($A26="","",COUNTIFS(CaseLedger!$F:$F,$A26,CaseLedger!$B:$B,"TRUE",CaseLedger!$K:$K,"Emergency Support"))</x:f>
      </x:c>
      <x:c r="K26" t="str">
        <x:f>IF($A26="","",COUNTIFS(CaseLedger!$F:$F,$A26,CaseLedger!$B:$B,"TRUE",CaseLedger!$K:$K,"Community Support"))</x:f>
      </x:c>
      <x:c r="L26" t="str">
        <x:f>IF($A26="","",SUMIFS(CaseLedger!$M:$M,CaseLedger!$F:$F,$A26,CaseLedger!$B:$B,"TRUE"))</x:f>
      </x:c>
      <x:c r="M26" t="str">
        <x:f>IF($A26="","",SUMIFS(CaseLedger!$N:$N,CaseLedger!$F:$F,$A26,CaseLedger!$B:$B,"TRUE"))</x:f>
      </x:c>
      <x:c r="N26" t="str">
        <x:f>IF($A26="","",0)</x:f>
      </x:c>
      <x:c r="O26" t="str">
        <x:f>IF($A26="","",SUMIFS(CaseLedger!$O:$O,CaseLedger!$F:$F,$A26,CaseLedger!$B:$B,"TRUE"))</x:f>
      </x:c>
      <x:c r="P26" t="str">
        <x:f>IF($A26="","",IFERROR(VLOOKUP($A26,MonthlyFinance!$A:$G,4,FALSE),""))</x:f>
      </x:c>
      <x:c r="Q26" t="str">
        <x:f>IF($A26="","",IFERROR(VLOOKUP($A26,MonthlyFinance!$A:$G,5,FALSE),""))</x:f>
      </x:c>
      <x:c r="R26" t="str">
        <x:f>IF($A26="","",IFERROR(VLOOKUP($A26,MonthlyFinance!$A:$G,6,FALSE),""))</x:f>
      </x:c>
      <x:c r="S26" t="str">
        <x:f>IF($A26="","","Formula-linked from CaseLedger; finance fields from MonthlyFinance.")</x:f>
      </x:c>
      <x:c r="T26" t="str">
        <x:f>IF($A26="","","TRUE")</x:f>
      </x:c>
    </x:row>
    <x:row r="27">
      <x:c r="D27" t="str">
        <x:f>IF($A27="","",COUNTIFS(CaseLedger!$F:$F,$A27,CaseLedger!$B:$B,"TRUE"))</x:f>
      </x:c>
      <x:c r="E27" t="str">
        <x:f>IF($A27="","",COUNTIFS(CaseLedger!$F:$F,$A27,CaseLedger!$B:$B,"TRUE",CaseLedger!$P:$P,"Zakat"))</x:f>
      </x:c>
      <x:c r="F27" t="str">
        <x:f>IF($A27="","",COUNTIFS(CaseLedger!$F:$F,$A27,CaseLedger!$B:$B,"TRUE",CaseLedger!$P:$P,"Sadaqah"))</x:f>
      </x:c>
      <x:c r="G27" t="str">
        <x:f>IF($A27="","",COUNTIFS(CaseLedger!$F:$F,$A27,CaseLedger!$B:$B,"TRUE",CaseLedger!$P:$P,"Mixed"))</x:f>
      </x:c>
      <x:c r="H27" t="str">
        <x:f>IF($A27="","",COUNTIFS(CaseLedger!$F:$F,$A27,CaseLedger!$B:$B,"TRUE",CaseLedger!$K:$K,"Livelihood"))</x:f>
      </x:c>
      <x:c r="I27" t="str">
        <x:f>IF($A27="","",COUNTIFS(CaseLedger!$F:$F,$A27,CaseLedger!$B:$B,"TRUE",CaseLedger!$K:$K,"Skill Sponsorship"))</x:f>
      </x:c>
      <x:c r="J27" t="str">
        <x:f>IF($A27="","",COUNTIFS(CaseLedger!$F:$F,$A27,CaseLedger!$B:$B,"TRUE",CaseLedger!$K:$K,"Emergency Support"))</x:f>
      </x:c>
      <x:c r="K27" t="str">
        <x:f>IF($A27="","",COUNTIFS(CaseLedger!$F:$F,$A27,CaseLedger!$B:$B,"TRUE",CaseLedger!$K:$K,"Community Support"))</x:f>
      </x:c>
      <x:c r="L27" t="str">
        <x:f>IF($A27="","",SUMIFS(CaseLedger!$M:$M,CaseLedger!$F:$F,$A27,CaseLedger!$B:$B,"TRUE"))</x:f>
      </x:c>
      <x:c r="M27" t="str">
        <x:f>IF($A27="","",SUMIFS(CaseLedger!$N:$N,CaseLedger!$F:$F,$A27,CaseLedger!$B:$B,"TRUE"))</x:f>
      </x:c>
      <x:c r="N27" t="str">
        <x:f>IF($A27="","",0)</x:f>
      </x:c>
      <x:c r="O27" t="str">
        <x:f>IF($A27="","",SUMIFS(CaseLedger!$O:$O,CaseLedger!$F:$F,$A27,CaseLedger!$B:$B,"TRUE"))</x:f>
      </x:c>
      <x:c r="P27" t="str">
        <x:f>IF($A27="","",IFERROR(VLOOKUP($A27,MonthlyFinance!$A:$G,4,FALSE),""))</x:f>
      </x:c>
      <x:c r="Q27" t="str">
        <x:f>IF($A27="","",IFERROR(VLOOKUP($A27,MonthlyFinance!$A:$G,5,FALSE),""))</x:f>
      </x:c>
      <x:c r="R27" t="str">
        <x:f>IF($A27="","",IFERROR(VLOOKUP($A27,MonthlyFinance!$A:$G,6,FALSE),""))</x:f>
      </x:c>
      <x:c r="S27" t="str">
        <x:f>IF($A27="","","Formula-linked from CaseLedger; finance fields from MonthlyFinance.")</x:f>
      </x:c>
      <x:c r="T27" t="str">
        <x:f>IF($A27="","","TRUE")</x:f>
      </x:c>
    </x:row>
    <x:row r="28">
      <x:c r="D28" t="str">
        <x:f>IF($A28="","",COUNTIFS(CaseLedger!$F:$F,$A28,CaseLedger!$B:$B,"TRUE"))</x:f>
      </x:c>
      <x:c r="E28" t="str">
        <x:f>IF($A28="","",COUNTIFS(CaseLedger!$F:$F,$A28,CaseLedger!$B:$B,"TRUE",CaseLedger!$P:$P,"Zakat"))</x:f>
      </x:c>
      <x:c r="F28" t="str">
        <x:f>IF($A28="","",COUNTIFS(CaseLedger!$F:$F,$A28,CaseLedger!$B:$B,"TRUE",CaseLedger!$P:$P,"Sadaqah"))</x:f>
      </x:c>
      <x:c r="G28" t="str">
        <x:f>IF($A28="","",COUNTIFS(CaseLedger!$F:$F,$A28,CaseLedger!$B:$B,"TRUE",CaseLedger!$P:$P,"Mixed"))</x:f>
      </x:c>
      <x:c r="H28" t="str">
        <x:f>IF($A28="","",COUNTIFS(CaseLedger!$F:$F,$A28,CaseLedger!$B:$B,"TRUE",CaseLedger!$K:$K,"Livelihood"))</x:f>
      </x:c>
      <x:c r="I28" t="str">
        <x:f>IF($A28="","",COUNTIFS(CaseLedger!$F:$F,$A28,CaseLedger!$B:$B,"TRUE",CaseLedger!$K:$K,"Skill Sponsorship"))</x:f>
      </x:c>
      <x:c r="J28" t="str">
        <x:f>IF($A28="","",COUNTIFS(CaseLedger!$F:$F,$A28,CaseLedger!$B:$B,"TRUE",CaseLedger!$K:$K,"Emergency Support"))</x:f>
      </x:c>
      <x:c r="K28" t="str">
        <x:f>IF($A28="","",COUNTIFS(CaseLedger!$F:$F,$A28,CaseLedger!$B:$B,"TRUE",CaseLedger!$K:$K,"Community Support"))</x:f>
      </x:c>
      <x:c r="L28" t="str">
        <x:f>IF($A28="","",SUMIFS(CaseLedger!$M:$M,CaseLedger!$F:$F,$A28,CaseLedger!$B:$B,"TRUE"))</x:f>
      </x:c>
      <x:c r="M28" t="str">
        <x:f>IF($A28="","",SUMIFS(CaseLedger!$N:$N,CaseLedger!$F:$F,$A28,CaseLedger!$B:$B,"TRUE"))</x:f>
      </x:c>
      <x:c r="N28" t="str">
        <x:f>IF($A28="","",0)</x:f>
      </x:c>
      <x:c r="O28" t="str">
        <x:f>IF($A28="","",SUMIFS(CaseLedger!$O:$O,CaseLedger!$F:$F,$A28,CaseLedger!$B:$B,"TRUE"))</x:f>
      </x:c>
      <x:c r="P28" t="str">
        <x:f>IF($A28="","",IFERROR(VLOOKUP($A28,MonthlyFinance!$A:$G,4,FALSE),""))</x:f>
      </x:c>
      <x:c r="Q28" t="str">
        <x:f>IF($A28="","",IFERROR(VLOOKUP($A28,MonthlyFinance!$A:$G,5,FALSE),""))</x:f>
      </x:c>
      <x:c r="R28" t="str">
        <x:f>IF($A28="","",IFERROR(VLOOKUP($A28,MonthlyFinance!$A:$G,6,FALSE),""))</x:f>
      </x:c>
      <x:c r="S28" t="str">
        <x:f>IF($A28="","","Formula-linked from CaseLedger; finance fields from MonthlyFinance.")</x:f>
      </x:c>
      <x:c r="T28" t="str">
        <x:f>IF($A28="","","TRUE")</x:f>
      </x:c>
    </x:row>
    <x:row r="29">
      <x:c r="D29" t="str">
        <x:f>IF($A29="","",COUNTIFS(CaseLedger!$F:$F,$A29,CaseLedger!$B:$B,"TRUE"))</x:f>
      </x:c>
      <x:c r="E29" t="str">
        <x:f>IF($A29="","",COUNTIFS(CaseLedger!$F:$F,$A29,CaseLedger!$B:$B,"TRUE",CaseLedger!$P:$P,"Zakat"))</x:f>
      </x:c>
      <x:c r="F29" t="str">
        <x:f>IF($A29="","",COUNTIFS(CaseLedger!$F:$F,$A29,CaseLedger!$B:$B,"TRUE",CaseLedger!$P:$P,"Sadaqah"))</x:f>
      </x:c>
      <x:c r="G29" t="str">
        <x:f>IF($A29="","",COUNTIFS(CaseLedger!$F:$F,$A29,CaseLedger!$B:$B,"TRUE",CaseLedger!$P:$P,"Mixed"))</x:f>
      </x:c>
      <x:c r="H29" t="str">
        <x:f>IF($A29="","",COUNTIFS(CaseLedger!$F:$F,$A29,CaseLedger!$B:$B,"TRUE",CaseLedger!$K:$K,"Livelihood"))</x:f>
      </x:c>
      <x:c r="I29" t="str">
        <x:f>IF($A29="","",COUNTIFS(CaseLedger!$F:$F,$A29,CaseLedger!$B:$B,"TRUE",CaseLedger!$K:$K,"Skill Sponsorship"))</x:f>
      </x:c>
      <x:c r="J29" t="str">
        <x:f>IF($A29="","",COUNTIFS(CaseLedger!$F:$F,$A29,CaseLedger!$B:$B,"TRUE",CaseLedger!$K:$K,"Emergency Support"))</x:f>
      </x:c>
      <x:c r="K29" t="str">
        <x:f>IF($A29="","",COUNTIFS(CaseLedger!$F:$F,$A29,CaseLedger!$B:$B,"TRUE",CaseLedger!$K:$K,"Community Support"))</x:f>
      </x:c>
      <x:c r="L29" t="str">
        <x:f>IF($A29="","",SUMIFS(CaseLedger!$M:$M,CaseLedger!$F:$F,$A29,CaseLedger!$B:$B,"TRUE"))</x:f>
      </x:c>
      <x:c r="M29" t="str">
        <x:f>IF($A29="","",SUMIFS(CaseLedger!$N:$N,CaseLedger!$F:$F,$A29,CaseLedger!$B:$B,"TRUE"))</x:f>
      </x:c>
      <x:c r="N29" t="str">
        <x:f>IF($A29="","",0)</x:f>
      </x:c>
      <x:c r="O29" t="str">
        <x:f>IF($A29="","",SUMIFS(CaseLedger!$O:$O,CaseLedger!$F:$F,$A29,CaseLedger!$B:$B,"TRUE"))</x:f>
      </x:c>
      <x:c r="P29" t="str">
        <x:f>IF($A29="","",IFERROR(VLOOKUP($A29,MonthlyFinance!$A:$G,4,FALSE),""))</x:f>
      </x:c>
      <x:c r="Q29" t="str">
        <x:f>IF($A29="","",IFERROR(VLOOKUP($A29,MonthlyFinance!$A:$G,5,FALSE),""))</x:f>
      </x:c>
      <x:c r="R29" t="str">
        <x:f>IF($A29="","",IFERROR(VLOOKUP($A29,MonthlyFinance!$A:$G,6,FALSE),""))</x:f>
      </x:c>
      <x:c r="S29" t="str">
        <x:f>IF($A29="","","Formula-linked from CaseLedger; finance fields from MonthlyFinance.")</x:f>
      </x:c>
      <x:c r="T29" t="str">
        <x:f>IF($A29="","","TRUE")</x:f>
      </x:c>
    </x:row>
    <x:row r="30">
      <x:c r="D30" t="str">
        <x:f>IF($A30="","",COUNTIFS(CaseLedger!$F:$F,$A30,CaseLedger!$B:$B,"TRUE"))</x:f>
      </x:c>
      <x:c r="E30" t="str">
        <x:f>IF($A30="","",COUNTIFS(CaseLedger!$F:$F,$A30,CaseLedger!$B:$B,"TRUE",CaseLedger!$P:$P,"Zakat"))</x:f>
      </x:c>
      <x:c r="F30" t="str">
        <x:f>IF($A30="","",COUNTIFS(CaseLedger!$F:$F,$A30,CaseLedger!$B:$B,"TRUE",CaseLedger!$P:$P,"Sadaqah"))</x:f>
      </x:c>
      <x:c r="G30" t="str">
        <x:f>IF($A30="","",COUNTIFS(CaseLedger!$F:$F,$A30,CaseLedger!$B:$B,"TRUE",CaseLedger!$P:$P,"Mixed"))</x:f>
      </x:c>
      <x:c r="H30" t="str">
        <x:f>IF($A30="","",COUNTIFS(CaseLedger!$F:$F,$A30,CaseLedger!$B:$B,"TRUE",CaseLedger!$K:$K,"Livelihood"))</x:f>
      </x:c>
      <x:c r="I30" t="str">
        <x:f>IF($A30="","",COUNTIFS(CaseLedger!$F:$F,$A30,CaseLedger!$B:$B,"TRUE",CaseLedger!$K:$K,"Skill Sponsorship"))</x:f>
      </x:c>
      <x:c r="J30" t="str">
        <x:f>IF($A30="","",COUNTIFS(CaseLedger!$F:$F,$A30,CaseLedger!$B:$B,"TRUE",CaseLedger!$K:$K,"Emergency Support"))</x:f>
      </x:c>
      <x:c r="K30" t="str">
        <x:f>IF($A30="","",COUNTIFS(CaseLedger!$F:$F,$A30,CaseLedger!$B:$B,"TRUE",CaseLedger!$K:$K,"Community Support"))</x:f>
      </x:c>
      <x:c r="L30" t="str">
        <x:f>IF($A30="","",SUMIFS(CaseLedger!$M:$M,CaseLedger!$F:$F,$A30,CaseLedger!$B:$B,"TRUE"))</x:f>
      </x:c>
      <x:c r="M30" t="str">
        <x:f>IF($A30="","",SUMIFS(CaseLedger!$N:$N,CaseLedger!$F:$F,$A30,CaseLedger!$B:$B,"TRUE"))</x:f>
      </x:c>
      <x:c r="N30" t="str">
        <x:f>IF($A30="","",0)</x:f>
      </x:c>
      <x:c r="O30" t="str">
        <x:f>IF($A30="","",SUMIFS(CaseLedger!$O:$O,CaseLedger!$F:$F,$A30,CaseLedger!$B:$B,"TRUE"))</x:f>
      </x:c>
      <x:c r="P30" t="str">
        <x:f>IF($A30="","",IFERROR(VLOOKUP($A30,MonthlyFinance!$A:$G,4,FALSE),""))</x:f>
      </x:c>
      <x:c r="Q30" t="str">
        <x:f>IF($A30="","",IFERROR(VLOOKUP($A30,MonthlyFinance!$A:$G,5,FALSE),""))</x:f>
      </x:c>
      <x:c r="R30" t="str">
        <x:f>IF($A30="","",IFERROR(VLOOKUP($A30,MonthlyFinance!$A:$G,6,FALSE),""))</x:f>
      </x:c>
      <x:c r="S30" t="str">
        <x:f>IF($A30="","","Formula-linked from CaseLedger; finance fields from MonthlyFinance.")</x:f>
      </x:c>
      <x:c r="T30" t="str">
        <x:f>IF($A30="","","TRUE")</x:f>
      </x:c>
    </x:row>
    <x:row r="31">
      <x:c r="D31" t="str">
        <x:f>IF($A31="","",COUNTIFS(CaseLedger!$F:$F,$A31,CaseLedger!$B:$B,"TRUE"))</x:f>
      </x:c>
      <x:c r="E31" t="str">
        <x:f>IF($A31="","",COUNTIFS(CaseLedger!$F:$F,$A31,CaseLedger!$B:$B,"TRUE",CaseLedger!$P:$P,"Zakat"))</x:f>
      </x:c>
      <x:c r="F31" t="str">
        <x:f>IF($A31="","",COUNTIFS(CaseLedger!$F:$F,$A31,CaseLedger!$B:$B,"TRUE",CaseLedger!$P:$P,"Sadaqah"))</x:f>
      </x:c>
      <x:c r="G31" t="str">
        <x:f>IF($A31="","",COUNTIFS(CaseLedger!$F:$F,$A31,CaseLedger!$B:$B,"TRUE",CaseLedger!$P:$P,"Mixed"))</x:f>
      </x:c>
      <x:c r="H31" t="str">
        <x:f>IF($A31="","",COUNTIFS(CaseLedger!$F:$F,$A31,CaseLedger!$B:$B,"TRUE",CaseLedger!$K:$K,"Livelihood"))</x:f>
      </x:c>
      <x:c r="I31" t="str">
        <x:f>IF($A31="","",COUNTIFS(CaseLedger!$F:$F,$A31,CaseLedger!$B:$B,"TRUE",CaseLedger!$K:$K,"Skill Sponsorship"))</x:f>
      </x:c>
      <x:c r="J31" t="str">
        <x:f>IF($A31="","",COUNTIFS(CaseLedger!$F:$F,$A31,CaseLedger!$B:$B,"TRUE",CaseLedger!$K:$K,"Emergency Support"))</x:f>
      </x:c>
      <x:c r="K31" t="str">
        <x:f>IF($A31="","",COUNTIFS(CaseLedger!$F:$F,$A31,CaseLedger!$B:$B,"TRUE",CaseLedger!$K:$K,"Community Support"))</x:f>
      </x:c>
      <x:c r="L31" t="str">
        <x:f>IF($A31="","",SUMIFS(CaseLedger!$M:$M,CaseLedger!$F:$F,$A31,CaseLedger!$B:$B,"TRUE"))</x:f>
      </x:c>
      <x:c r="M31" t="str">
        <x:f>IF($A31="","",SUMIFS(CaseLedger!$N:$N,CaseLedger!$F:$F,$A31,CaseLedger!$B:$B,"TRUE"))</x:f>
      </x:c>
      <x:c r="N31" t="str">
        <x:f>IF($A31="","",0)</x:f>
      </x:c>
      <x:c r="O31" t="str">
        <x:f>IF($A31="","",SUMIFS(CaseLedger!$O:$O,CaseLedger!$F:$F,$A31,CaseLedger!$B:$B,"TRUE"))</x:f>
      </x:c>
      <x:c r="P31" t="str">
        <x:f>IF($A31="","",IFERROR(VLOOKUP($A31,MonthlyFinance!$A:$G,4,FALSE),""))</x:f>
      </x:c>
      <x:c r="Q31" t="str">
        <x:f>IF($A31="","",IFERROR(VLOOKUP($A31,MonthlyFinance!$A:$G,5,FALSE),""))</x:f>
      </x:c>
      <x:c r="R31" t="str">
        <x:f>IF($A31="","",IFERROR(VLOOKUP($A31,MonthlyFinance!$A:$G,6,FALSE),""))</x:f>
      </x:c>
      <x:c r="S31" t="str">
        <x:f>IF($A31="","","Formula-linked from CaseLedger; finance fields from MonthlyFinance.")</x:f>
      </x:c>
      <x:c r="T31" t="str">
        <x:f>IF($A31="","","TRUE")</x:f>
      </x:c>
    </x:row>
    <x:row r="32">
      <x:c r="D32" t="str">
        <x:f>IF($A32="","",COUNTIFS(CaseLedger!$F:$F,$A32,CaseLedger!$B:$B,"TRUE"))</x:f>
      </x:c>
      <x:c r="E32" t="str">
        <x:f>IF($A32="","",COUNTIFS(CaseLedger!$F:$F,$A32,CaseLedger!$B:$B,"TRUE",CaseLedger!$P:$P,"Zakat"))</x:f>
      </x:c>
      <x:c r="F32" t="str">
        <x:f>IF($A32="","",COUNTIFS(CaseLedger!$F:$F,$A32,CaseLedger!$B:$B,"TRUE",CaseLedger!$P:$P,"Sadaqah"))</x:f>
      </x:c>
      <x:c r="G32" t="str">
        <x:f>IF($A32="","",COUNTIFS(CaseLedger!$F:$F,$A32,CaseLedger!$B:$B,"TRUE",CaseLedger!$P:$P,"Mixed"))</x:f>
      </x:c>
      <x:c r="H32" t="str">
        <x:f>IF($A32="","",COUNTIFS(CaseLedger!$F:$F,$A32,CaseLedger!$B:$B,"TRUE",CaseLedger!$K:$K,"Livelihood"))</x:f>
      </x:c>
      <x:c r="I32" t="str">
        <x:f>IF($A32="","",COUNTIFS(CaseLedger!$F:$F,$A32,CaseLedger!$B:$B,"TRUE",CaseLedger!$K:$K,"Skill Sponsorship"))</x:f>
      </x:c>
      <x:c r="J32" t="str">
        <x:f>IF($A32="","",COUNTIFS(CaseLedger!$F:$F,$A32,CaseLedger!$B:$B,"TRUE",CaseLedger!$K:$K,"Emergency Support"))</x:f>
      </x:c>
      <x:c r="K32" t="str">
        <x:f>IF($A32="","",COUNTIFS(CaseLedger!$F:$F,$A32,CaseLedger!$B:$B,"TRUE",CaseLedger!$K:$K,"Community Support"))</x:f>
      </x:c>
      <x:c r="L32" t="str">
        <x:f>IF($A32="","",SUMIFS(CaseLedger!$M:$M,CaseLedger!$F:$F,$A32,CaseLedger!$B:$B,"TRUE"))</x:f>
      </x:c>
      <x:c r="M32" t="str">
        <x:f>IF($A32="","",SUMIFS(CaseLedger!$N:$N,CaseLedger!$F:$F,$A32,CaseLedger!$B:$B,"TRUE"))</x:f>
      </x:c>
      <x:c r="N32" t="str">
        <x:f>IF($A32="","",0)</x:f>
      </x:c>
      <x:c r="O32" t="str">
        <x:f>IF($A32="","",SUMIFS(CaseLedger!$O:$O,CaseLedger!$F:$F,$A32,CaseLedger!$B:$B,"TRUE"))</x:f>
      </x:c>
      <x:c r="P32" t="str">
        <x:f>IF($A32="","",IFERROR(VLOOKUP($A32,MonthlyFinance!$A:$G,4,FALSE),""))</x:f>
      </x:c>
      <x:c r="Q32" t="str">
        <x:f>IF($A32="","",IFERROR(VLOOKUP($A32,MonthlyFinance!$A:$G,5,FALSE),""))</x:f>
      </x:c>
      <x:c r="R32" t="str">
        <x:f>IF($A32="","",IFERROR(VLOOKUP($A32,MonthlyFinance!$A:$G,6,FALSE),""))</x:f>
      </x:c>
      <x:c r="S32" t="str">
        <x:f>IF($A32="","","Formula-linked from CaseLedger; finance fields from MonthlyFinance.")</x:f>
      </x:c>
      <x:c r="T32" t="str">
        <x:f>IF($A32="","","TRUE")</x:f>
      </x:c>
    </x:row>
    <x:row r="33">
      <x:c r="D33" t="str">
        <x:f>IF($A33="","",COUNTIFS(CaseLedger!$F:$F,$A33,CaseLedger!$B:$B,"TRUE"))</x:f>
      </x:c>
      <x:c r="E33" t="str">
        <x:f>IF($A33="","",COUNTIFS(CaseLedger!$F:$F,$A33,CaseLedger!$B:$B,"TRUE",CaseLedger!$P:$P,"Zakat"))</x:f>
      </x:c>
      <x:c r="F33" t="str">
        <x:f>IF($A33="","",COUNTIFS(CaseLedger!$F:$F,$A33,CaseLedger!$B:$B,"TRUE",CaseLedger!$P:$P,"Sadaqah"))</x:f>
      </x:c>
      <x:c r="G33" t="str">
        <x:f>IF($A33="","",COUNTIFS(CaseLedger!$F:$F,$A33,CaseLedger!$B:$B,"TRUE",CaseLedger!$P:$P,"Mixed"))</x:f>
      </x:c>
      <x:c r="H33" t="str">
        <x:f>IF($A33="","",COUNTIFS(CaseLedger!$F:$F,$A33,CaseLedger!$B:$B,"TRUE",CaseLedger!$K:$K,"Livelihood"))</x:f>
      </x:c>
      <x:c r="I33" t="str">
        <x:f>IF($A33="","",COUNTIFS(CaseLedger!$F:$F,$A33,CaseLedger!$B:$B,"TRUE",CaseLedger!$K:$K,"Skill Sponsorship"))</x:f>
      </x:c>
      <x:c r="J33" t="str">
        <x:f>IF($A33="","",COUNTIFS(CaseLedger!$F:$F,$A33,CaseLedger!$B:$B,"TRUE",CaseLedger!$K:$K,"Emergency Support"))</x:f>
      </x:c>
      <x:c r="K33" t="str">
        <x:f>IF($A33="","",COUNTIFS(CaseLedger!$F:$F,$A33,CaseLedger!$B:$B,"TRUE",CaseLedger!$K:$K,"Community Support"))</x:f>
      </x:c>
      <x:c r="L33" t="str">
        <x:f>IF($A33="","",SUMIFS(CaseLedger!$M:$M,CaseLedger!$F:$F,$A33,CaseLedger!$B:$B,"TRUE"))</x:f>
      </x:c>
      <x:c r="M33" t="str">
        <x:f>IF($A33="","",SUMIFS(CaseLedger!$N:$N,CaseLedger!$F:$F,$A33,CaseLedger!$B:$B,"TRUE"))</x:f>
      </x:c>
      <x:c r="N33" t="str">
        <x:f>IF($A33="","",0)</x:f>
      </x:c>
      <x:c r="O33" t="str">
        <x:f>IF($A33="","",SUMIFS(CaseLedger!$O:$O,CaseLedger!$F:$F,$A33,CaseLedger!$B:$B,"TRUE"))</x:f>
      </x:c>
      <x:c r="P33" t="str">
        <x:f>IF($A33="","",IFERROR(VLOOKUP($A33,MonthlyFinance!$A:$G,4,FALSE),""))</x:f>
      </x:c>
      <x:c r="Q33" t="str">
        <x:f>IF($A33="","",IFERROR(VLOOKUP($A33,MonthlyFinance!$A:$G,5,FALSE),""))</x:f>
      </x:c>
      <x:c r="R33" t="str">
        <x:f>IF($A33="","",IFERROR(VLOOKUP($A33,MonthlyFinance!$A:$G,6,FALSE),""))</x:f>
      </x:c>
      <x:c r="S33" t="str">
        <x:f>IF($A33="","","Formula-linked from CaseLedger; finance fields from MonthlyFinance.")</x:f>
      </x:c>
      <x:c r="T33" t="str">
        <x:f>IF($A33="","","TRUE")</x:f>
      </x:c>
    </x:row>
    <x:row r="34">
      <x:c r="D34" t="str">
        <x:f>IF($A34="","",COUNTIFS(CaseLedger!$F:$F,$A34,CaseLedger!$B:$B,"TRUE"))</x:f>
      </x:c>
      <x:c r="E34" t="str">
        <x:f>IF($A34="","",COUNTIFS(CaseLedger!$F:$F,$A34,CaseLedger!$B:$B,"TRUE",CaseLedger!$P:$P,"Zakat"))</x:f>
      </x:c>
      <x:c r="F34" t="str">
        <x:f>IF($A34="","",COUNTIFS(CaseLedger!$F:$F,$A34,CaseLedger!$B:$B,"TRUE",CaseLedger!$P:$P,"Sadaqah"))</x:f>
      </x:c>
      <x:c r="G34" t="str">
        <x:f>IF($A34="","",COUNTIFS(CaseLedger!$F:$F,$A34,CaseLedger!$B:$B,"TRUE",CaseLedger!$P:$P,"Mixed"))</x:f>
      </x:c>
      <x:c r="H34" t="str">
        <x:f>IF($A34="","",COUNTIFS(CaseLedger!$F:$F,$A34,CaseLedger!$B:$B,"TRUE",CaseLedger!$K:$K,"Livelihood"))</x:f>
      </x:c>
      <x:c r="I34" t="str">
        <x:f>IF($A34="","",COUNTIFS(CaseLedger!$F:$F,$A34,CaseLedger!$B:$B,"TRUE",CaseLedger!$K:$K,"Skill Sponsorship"))</x:f>
      </x:c>
      <x:c r="J34" t="str">
        <x:f>IF($A34="","",COUNTIFS(CaseLedger!$F:$F,$A34,CaseLedger!$B:$B,"TRUE",CaseLedger!$K:$K,"Emergency Support"))</x:f>
      </x:c>
      <x:c r="K34" t="str">
        <x:f>IF($A34="","",COUNTIFS(CaseLedger!$F:$F,$A34,CaseLedger!$B:$B,"TRUE",CaseLedger!$K:$K,"Community Support"))</x:f>
      </x:c>
      <x:c r="L34" t="str">
        <x:f>IF($A34="","",SUMIFS(CaseLedger!$M:$M,CaseLedger!$F:$F,$A34,CaseLedger!$B:$B,"TRUE"))</x:f>
      </x:c>
      <x:c r="M34" t="str">
        <x:f>IF($A34="","",SUMIFS(CaseLedger!$N:$N,CaseLedger!$F:$F,$A34,CaseLedger!$B:$B,"TRUE"))</x:f>
      </x:c>
      <x:c r="N34" t="str">
        <x:f>IF($A34="","",0)</x:f>
      </x:c>
      <x:c r="O34" t="str">
        <x:f>IF($A34="","",SUMIFS(CaseLedger!$O:$O,CaseLedger!$F:$F,$A34,CaseLedger!$B:$B,"TRUE"))</x:f>
      </x:c>
      <x:c r="P34" t="str">
        <x:f>IF($A34="","",IFERROR(VLOOKUP($A34,MonthlyFinance!$A:$G,4,FALSE),""))</x:f>
      </x:c>
      <x:c r="Q34" t="str">
        <x:f>IF($A34="","",IFERROR(VLOOKUP($A34,MonthlyFinance!$A:$G,5,FALSE),""))</x:f>
      </x:c>
      <x:c r="R34" t="str">
        <x:f>IF($A34="","",IFERROR(VLOOKUP($A34,MonthlyFinance!$A:$G,6,FALSE),""))</x:f>
      </x:c>
      <x:c r="S34" t="str">
        <x:f>IF($A34="","","Formula-linked from CaseLedger; finance fields from MonthlyFinance.")</x:f>
      </x:c>
      <x:c r="T34" t="str">
        <x:f>IF($A34="","","TRUE")</x:f>
      </x:c>
    </x:row>
    <x:row r="35">
      <x:c r="D35" t="str">
        <x:f>IF($A35="","",COUNTIFS(CaseLedger!$F:$F,$A35,CaseLedger!$B:$B,"TRUE"))</x:f>
      </x:c>
      <x:c r="E35" t="str">
        <x:f>IF($A35="","",COUNTIFS(CaseLedger!$F:$F,$A35,CaseLedger!$B:$B,"TRUE",CaseLedger!$P:$P,"Zakat"))</x:f>
      </x:c>
      <x:c r="F35" t="str">
        <x:f>IF($A35="","",COUNTIFS(CaseLedger!$F:$F,$A35,CaseLedger!$B:$B,"TRUE",CaseLedger!$P:$P,"Sadaqah"))</x:f>
      </x:c>
      <x:c r="G35" t="str">
        <x:f>IF($A35="","",COUNTIFS(CaseLedger!$F:$F,$A35,CaseLedger!$B:$B,"TRUE",CaseLedger!$P:$P,"Mixed"))</x:f>
      </x:c>
      <x:c r="H35" t="str">
        <x:f>IF($A35="","",COUNTIFS(CaseLedger!$F:$F,$A35,CaseLedger!$B:$B,"TRUE",CaseLedger!$K:$K,"Livelihood"))</x:f>
      </x:c>
      <x:c r="I35" t="str">
        <x:f>IF($A35="","",COUNTIFS(CaseLedger!$F:$F,$A35,CaseLedger!$B:$B,"TRUE",CaseLedger!$K:$K,"Skill Sponsorship"))</x:f>
      </x:c>
      <x:c r="J35" t="str">
        <x:f>IF($A35="","",COUNTIFS(CaseLedger!$F:$F,$A35,CaseLedger!$B:$B,"TRUE",CaseLedger!$K:$K,"Emergency Support"))</x:f>
      </x:c>
      <x:c r="K35" t="str">
        <x:f>IF($A35="","",COUNTIFS(CaseLedger!$F:$F,$A35,CaseLedger!$B:$B,"TRUE",CaseLedger!$K:$K,"Community Support"))</x:f>
      </x:c>
      <x:c r="L35" t="str">
        <x:f>IF($A35="","",SUMIFS(CaseLedger!$M:$M,CaseLedger!$F:$F,$A35,CaseLedger!$B:$B,"TRUE"))</x:f>
      </x:c>
      <x:c r="M35" t="str">
        <x:f>IF($A35="","",SUMIFS(CaseLedger!$N:$N,CaseLedger!$F:$F,$A35,CaseLedger!$B:$B,"TRUE"))</x:f>
      </x:c>
      <x:c r="N35" t="str">
        <x:f>IF($A35="","",0)</x:f>
      </x:c>
      <x:c r="O35" t="str">
        <x:f>IF($A35="","",SUMIFS(CaseLedger!$O:$O,CaseLedger!$F:$F,$A35,CaseLedger!$B:$B,"TRUE"))</x:f>
      </x:c>
      <x:c r="P35" t="str">
        <x:f>IF($A35="","",IFERROR(VLOOKUP($A35,MonthlyFinance!$A:$G,4,FALSE),""))</x:f>
      </x:c>
      <x:c r="Q35" t="str">
        <x:f>IF($A35="","",IFERROR(VLOOKUP($A35,MonthlyFinance!$A:$G,5,FALSE),""))</x:f>
      </x:c>
      <x:c r="R35" t="str">
        <x:f>IF($A35="","",IFERROR(VLOOKUP($A35,MonthlyFinance!$A:$G,6,FALSE),""))</x:f>
      </x:c>
      <x:c r="S35" t="str">
        <x:f>IF($A35="","","Formula-linked from CaseLedger; finance fields from MonthlyFinance.")</x:f>
      </x:c>
      <x:c r="T35" t="str">
        <x:f>IF($A35="","","TRUE")</x:f>
      </x:c>
    </x:row>
    <x:row r="36">
      <x:c r="D36" t="str">
        <x:f>IF($A36="","",COUNTIFS(CaseLedger!$F:$F,$A36,CaseLedger!$B:$B,"TRUE"))</x:f>
      </x:c>
      <x:c r="E36" t="str">
        <x:f>IF($A36="","",COUNTIFS(CaseLedger!$F:$F,$A36,CaseLedger!$B:$B,"TRUE",CaseLedger!$P:$P,"Zakat"))</x:f>
      </x:c>
      <x:c r="F36" t="str">
        <x:f>IF($A36="","",COUNTIFS(CaseLedger!$F:$F,$A36,CaseLedger!$B:$B,"TRUE",CaseLedger!$P:$P,"Sadaqah"))</x:f>
      </x:c>
      <x:c r="G36" t="str">
        <x:f>IF($A36="","",COUNTIFS(CaseLedger!$F:$F,$A36,CaseLedger!$B:$B,"TRUE",CaseLedger!$P:$P,"Mixed"))</x:f>
      </x:c>
      <x:c r="H36" t="str">
        <x:f>IF($A36="","",COUNTIFS(CaseLedger!$F:$F,$A36,CaseLedger!$B:$B,"TRUE",CaseLedger!$K:$K,"Livelihood"))</x:f>
      </x:c>
      <x:c r="I36" t="str">
        <x:f>IF($A36="","",COUNTIFS(CaseLedger!$F:$F,$A36,CaseLedger!$B:$B,"TRUE",CaseLedger!$K:$K,"Skill Sponsorship"))</x:f>
      </x:c>
      <x:c r="J36" t="str">
        <x:f>IF($A36="","",COUNTIFS(CaseLedger!$F:$F,$A36,CaseLedger!$B:$B,"TRUE",CaseLedger!$K:$K,"Emergency Support"))</x:f>
      </x:c>
      <x:c r="K36" t="str">
        <x:f>IF($A36="","",COUNTIFS(CaseLedger!$F:$F,$A36,CaseLedger!$B:$B,"TRUE",CaseLedger!$K:$K,"Community Support"))</x:f>
      </x:c>
      <x:c r="L36" t="str">
        <x:f>IF($A36="","",SUMIFS(CaseLedger!$M:$M,CaseLedger!$F:$F,$A36,CaseLedger!$B:$B,"TRUE"))</x:f>
      </x:c>
      <x:c r="M36" t="str">
        <x:f>IF($A36="","",SUMIFS(CaseLedger!$N:$N,CaseLedger!$F:$F,$A36,CaseLedger!$B:$B,"TRUE"))</x:f>
      </x:c>
      <x:c r="N36" t="str">
        <x:f>IF($A36="","",0)</x:f>
      </x:c>
      <x:c r="O36" t="str">
        <x:f>IF($A36="","",SUMIFS(CaseLedger!$O:$O,CaseLedger!$F:$F,$A36,CaseLedger!$B:$B,"TRUE"))</x:f>
      </x:c>
      <x:c r="P36" t="str">
        <x:f>IF($A36="","",IFERROR(VLOOKUP($A36,MonthlyFinance!$A:$G,4,FALSE),""))</x:f>
      </x:c>
      <x:c r="Q36" t="str">
        <x:f>IF($A36="","",IFERROR(VLOOKUP($A36,MonthlyFinance!$A:$G,5,FALSE),""))</x:f>
      </x:c>
      <x:c r="R36" t="str">
        <x:f>IF($A36="","",IFERROR(VLOOKUP($A36,MonthlyFinance!$A:$G,6,FALSE),""))</x:f>
      </x:c>
      <x:c r="S36" t="str">
        <x:f>IF($A36="","","Formula-linked from CaseLedger; finance fields from MonthlyFinance.")</x:f>
      </x:c>
      <x:c r="T36" t="str">
        <x:f>IF($A36="","","TRUE")</x:f>
      </x:c>
    </x:row>
    <x:row r="37">
      <x:c r="D37" t="str">
        <x:f>IF($A37="","",COUNTIFS(CaseLedger!$F:$F,$A37,CaseLedger!$B:$B,"TRUE"))</x:f>
      </x:c>
      <x:c r="E37" t="str">
        <x:f>IF($A37="","",COUNTIFS(CaseLedger!$F:$F,$A37,CaseLedger!$B:$B,"TRUE",CaseLedger!$P:$P,"Zakat"))</x:f>
      </x:c>
      <x:c r="F37" t="str">
        <x:f>IF($A37="","",COUNTIFS(CaseLedger!$F:$F,$A37,CaseLedger!$B:$B,"TRUE",CaseLedger!$P:$P,"Sadaqah"))</x:f>
      </x:c>
      <x:c r="G37" t="str">
        <x:f>IF($A37="","",COUNTIFS(CaseLedger!$F:$F,$A37,CaseLedger!$B:$B,"TRUE",CaseLedger!$P:$P,"Mixed"))</x:f>
      </x:c>
      <x:c r="H37" t="str">
        <x:f>IF($A37="","",COUNTIFS(CaseLedger!$F:$F,$A37,CaseLedger!$B:$B,"TRUE",CaseLedger!$K:$K,"Livelihood"))</x:f>
      </x:c>
      <x:c r="I37" t="str">
        <x:f>IF($A37="","",COUNTIFS(CaseLedger!$F:$F,$A37,CaseLedger!$B:$B,"TRUE",CaseLedger!$K:$K,"Skill Sponsorship"))</x:f>
      </x:c>
      <x:c r="J37" t="str">
        <x:f>IF($A37="","",COUNTIFS(CaseLedger!$F:$F,$A37,CaseLedger!$B:$B,"TRUE",CaseLedger!$K:$K,"Emergency Support"))</x:f>
      </x:c>
      <x:c r="K37" t="str">
        <x:f>IF($A37="","",COUNTIFS(CaseLedger!$F:$F,$A37,CaseLedger!$B:$B,"TRUE",CaseLedger!$K:$K,"Community Support"))</x:f>
      </x:c>
      <x:c r="L37" t="str">
        <x:f>IF($A37="","",SUMIFS(CaseLedger!$M:$M,CaseLedger!$F:$F,$A37,CaseLedger!$B:$B,"TRUE"))</x:f>
      </x:c>
      <x:c r="M37" t="str">
        <x:f>IF($A37="","",SUMIFS(CaseLedger!$N:$N,CaseLedger!$F:$F,$A37,CaseLedger!$B:$B,"TRUE"))</x:f>
      </x:c>
      <x:c r="N37" t="str">
        <x:f>IF($A37="","",0)</x:f>
      </x:c>
      <x:c r="O37" t="str">
        <x:f>IF($A37="","",SUMIFS(CaseLedger!$O:$O,CaseLedger!$F:$F,$A37,CaseLedger!$B:$B,"TRUE"))</x:f>
      </x:c>
      <x:c r="P37" t="str">
        <x:f>IF($A37="","",IFERROR(VLOOKUP($A37,MonthlyFinance!$A:$G,4,FALSE),""))</x:f>
      </x:c>
      <x:c r="Q37" t="str">
        <x:f>IF($A37="","",IFERROR(VLOOKUP($A37,MonthlyFinance!$A:$G,5,FALSE),""))</x:f>
      </x:c>
      <x:c r="R37" t="str">
        <x:f>IF($A37="","",IFERROR(VLOOKUP($A37,MonthlyFinance!$A:$G,6,FALSE),""))</x:f>
      </x:c>
      <x:c r="S37" t="str">
        <x:f>IF($A37="","","Formula-linked from CaseLedger; finance fields from MonthlyFinance.")</x:f>
      </x:c>
      <x:c r="T37" t="str">
        <x:f>IF($A37="","","TRUE")</x:f>
      </x:c>
    </x:row>
    <x:row r="38">
      <x:c r="D38" t="str">
        <x:f>IF($A38="","",COUNTIFS(CaseLedger!$F:$F,$A38,CaseLedger!$B:$B,"TRUE"))</x:f>
      </x:c>
      <x:c r="E38" t="str">
        <x:f>IF($A38="","",COUNTIFS(CaseLedger!$F:$F,$A38,CaseLedger!$B:$B,"TRUE",CaseLedger!$P:$P,"Zakat"))</x:f>
      </x:c>
      <x:c r="F38" t="str">
        <x:f>IF($A38="","",COUNTIFS(CaseLedger!$F:$F,$A38,CaseLedger!$B:$B,"TRUE",CaseLedger!$P:$P,"Sadaqah"))</x:f>
      </x:c>
      <x:c r="G38" t="str">
        <x:f>IF($A38="","",COUNTIFS(CaseLedger!$F:$F,$A38,CaseLedger!$B:$B,"TRUE",CaseLedger!$P:$P,"Mixed"))</x:f>
      </x:c>
      <x:c r="H38" t="str">
        <x:f>IF($A38="","",COUNTIFS(CaseLedger!$F:$F,$A38,CaseLedger!$B:$B,"TRUE",CaseLedger!$K:$K,"Livelihood"))</x:f>
      </x:c>
      <x:c r="I38" t="str">
        <x:f>IF($A38="","",COUNTIFS(CaseLedger!$F:$F,$A38,CaseLedger!$B:$B,"TRUE",CaseLedger!$K:$K,"Skill Sponsorship"))</x:f>
      </x:c>
      <x:c r="J38" t="str">
        <x:f>IF($A38="","",COUNTIFS(CaseLedger!$F:$F,$A38,CaseLedger!$B:$B,"TRUE",CaseLedger!$K:$K,"Emergency Support"))</x:f>
      </x:c>
      <x:c r="K38" t="str">
        <x:f>IF($A38="","",COUNTIFS(CaseLedger!$F:$F,$A38,CaseLedger!$B:$B,"TRUE",CaseLedger!$K:$K,"Community Support"))</x:f>
      </x:c>
      <x:c r="L38" t="str">
        <x:f>IF($A38="","",SUMIFS(CaseLedger!$M:$M,CaseLedger!$F:$F,$A38,CaseLedger!$B:$B,"TRUE"))</x:f>
      </x:c>
      <x:c r="M38" t="str">
        <x:f>IF($A38="","",SUMIFS(CaseLedger!$N:$N,CaseLedger!$F:$F,$A38,CaseLedger!$B:$B,"TRUE"))</x:f>
      </x:c>
      <x:c r="N38" t="str">
        <x:f>IF($A38="","",0)</x:f>
      </x:c>
      <x:c r="O38" t="str">
        <x:f>IF($A38="","",SUMIFS(CaseLedger!$O:$O,CaseLedger!$F:$F,$A38,CaseLedger!$B:$B,"TRUE"))</x:f>
      </x:c>
      <x:c r="P38" t="str">
        <x:f>IF($A38="","",IFERROR(VLOOKUP($A38,MonthlyFinance!$A:$G,4,FALSE),""))</x:f>
      </x:c>
      <x:c r="Q38" t="str">
        <x:f>IF($A38="","",IFERROR(VLOOKUP($A38,MonthlyFinance!$A:$G,5,FALSE),""))</x:f>
      </x:c>
      <x:c r="R38" t="str">
        <x:f>IF($A38="","",IFERROR(VLOOKUP($A38,MonthlyFinance!$A:$G,6,FALSE),""))</x:f>
      </x:c>
      <x:c r="S38" t="str">
        <x:f>IF($A38="","","Formula-linked from CaseLedger; finance fields from MonthlyFinance.")</x:f>
      </x:c>
      <x:c r="T38" t="str">
        <x:f>IF($A38="","","TRUE")</x:f>
      </x:c>
    </x:row>
    <x:row r="39">
      <x:c r="D39" t="str">
        <x:f>IF($A39="","",COUNTIFS(CaseLedger!$F:$F,$A39,CaseLedger!$B:$B,"TRUE"))</x:f>
      </x:c>
      <x:c r="E39" t="str">
        <x:f>IF($A39="","",COUNTIFS(CaseLedger!$F:$F,$A39,CaseLedger!$B:$B,"TRUE",CaseLedger!$P:$P,"Zakat"))</x:f>
      </x:c>
      <x:c r="F39" t="str">
        <x:f>IF($A39="","",COUNTIFS(CaseLedger!$F:$F,$A39,CaseLedger!$B:$B,"TRUE",CaseLedger!$P:$P,"Sadaqah"))</x:f>
      </x:c>
      <x:c r="G39" t="str">
        <x:f>IF($A39="","",COUNTIFS(CaseLedger!$F:$F,$A39,CaseLedger!$B:$B,"TRUE",CaseLedger!$P:$P,"Mixed"))</x:f>
      </x:c>
      <x:c r="H39" t="str">
        <x:f>IF($A39="","",COUNTIFS(CaseLedger!$F:$F,$A39,CaseLedger!$B:$B,"TRUE",CaseLedger!$K:$K,"Livelihood"))</x:f>
      </x:c>
      <x:c r="I39" t="str">
        <x:f>IF($A39="","",COUNTIFS(CaseLedger!$F:$F,$A39,CaseLedger!$B:$B,"TRUE",CaseLedger!$K:$K,"Skill Sponsorship"))</x:f>
      </x:c>
      <x:c r="J39" t="str">
        <x:f>IF($A39="","",COUNTIFS(CaseLedger!$F:$F,$A39,CaseLedger!$B:$B,"TRUE",CaseLedger!$K:$K,"Emergency Support"))</x:f>
      </x:c>
      <x:c r="K39" t="str">
        <x:f>IF($A39="","",COUNTIFS(CaseLedger!$F:$F,$A39,CaseLedger!$B:$B,"TRUE",CaseLedger!$K:$K,"Community Support"))</x:f>
      </x:c>
      <x:c r="L39" t="str">
        <x:f>IF($A39="","",SUMIFS(CaseLedger!$M:$M,CaseLedger!$F:$F,$A39,CaseLedger!$B:$B,"TRUE"))</x:f>
      </x:c>
      <x:c r="M39" t="str">
        <x:f>IF($A39="","",SUMIFS(CaseLedger!$N:$N,CaseLedger!$F:$F,$A39,CaseLedger!$B:$B,"TRUE"))</x:f>
      </x:c>
      <x:c r="N39" t="str">
        <x:f>IF($A39="","",0)</x:f>
      </x:c>
      <x:c r="O39" t="str">
        <x:f>IF($A39="","",SUMIFS(CaseLedger!$O:$O,CaseLedger!$F:$F,$A39,CaseLedger!$B:$B,"TRUE"))</x:f>
      </x:c>
      <x:c r="P39" t="str">
        <x:f>IF($A39="","",IFERROR(VLOOKUP($A39,MonthlyFinance!$A:$G,4,FALSE),""))</x:f>
      </x:c>
      <x:c r="Q39" t="str">
        <x:f>IF($A39="","",IFERROR(VLOOKUP($A39,MonthlyFinance!$A:$G,5,FALSE),""))</x:f>
      </x:c>
      <x:c r="R39" t="str">
        <x:f>IF($A39="","",IFERROR(VLOOKUP($A39,MonthlyFinance!$A:$G,6,FALSE),""))</x:f>
      </x:c>
      <x:c r="S39" t="str">
        <x:f>IF($A39="","","Formula-linked from CaseLedger; finance fields from MonthlyFinance.")</x:f>
      </x:c>
      <x:c r="T39" t="str">
        <x:f>IF($A39="","","TRUE")</x:f>
      </x:c>
    </x:row>
    <x:row r="40">
      <x:c r="D40" t="str">
        <x:f>IF($A40="","",COUNTIFS(CaseLedger!$F:$F,$A40,CaseLedger!$B:$B,"TRUE"))</x:f>
      </x:c>
      <x:c r="E40" t="str">
        <x:f>IF($A40="","",COUNTIFS(CaseLedger!$F:$F,$A40,CaseLedger!$B:$B,"TRUE",CaseLedger!$P:$P,"Zakat"))</x:f>
      </x:c>
      <x:c r="F40" t="str">
        <x:f>IF($A40="","",COUNTIFS(CaseLedger!$F:$F,$A40,CaseLedger!$B:$B,"TRUE",CaseLedger!$P:$P,"Sadaqah"))</x:f>
      </x:c>
      <x:c r="G40" t="str">
        <x:f>IF($A40="","",COUNTIFS(CaseLedger!$F:$F,$A40,CaseLedger!$B:$B,"TRUE",CaseLedger!$P:$P,"Mixed"))</x:f>
      </x:c>
      <x:c r="H40" t="str">
        <x:f>IF($A40="","",COUNTIFS(CaseLedger!$F:$F,$A40,CaseLedger!$B:$B,"TRUE",CaseLedger!$K:$K,"Livelihood"))</x:f>
      </x:c>
      <x:c r="I40" t="str">
        <x:f>IF($A40="","",COUNTIFS(CaseLedger!$F:$F,$A40,CaseLedger!$B:$B,"TRUE",CaseLedger!$K:$K,"Skill Sponsorship"))</x:f>
      </x:c>
      <x:c r="J40" t="str">
        <x:f>IF($A40="","",COUNTIFS(CaseLedger!$F:$F,$A40,CaseLedger!$B:$B,"TRUE",CaseLedger!$K:$K,"Emergency Support"))</x:f>
      </x:c>
      <x:c r="K40" t="str">
        <x:f>IF($A40="","",COUNTIFS(CaseLedger!$F:$F,$A40,CaseLedger!$B:$B,"TRUE",CaseLedger!$K:$K,"Community Support"))</x:f>
      </x:c>
      <x:c r="L40" t="str">
        <x:f>IF($A40="","",SUMIFS(CaseLedger!$M:$M,CaseLedger!$F:$F,$A40,CaseLedger!$B:$B,"TRUE"))</x:f>
      </x:c>
      <x:c r="M40" t="str">
        <x:f>IF($A40="","",SUMIFS(CaseLedger!$N:$N,CaseLedger!$F:$F,$A40,CaseLedger!$B:$B,"TRUE"))</x:f>
      </x:c>
      <x:c r="N40" t="str">
        <x:f>IF($A40="","",0)</x:f>
      </x:c>
      <x:c r="O40" t="str">
        <x:f>IF($A40="","",SUMIFS(CaseLedger!$O:$O,CaseLedger!$F:$F,$A40,CaseLedger!$B:$B,"TRUE"))</x:f>
      </x:c>
      <x:c r="P40" t="str">
        <x:f>IF($A40="","",IFERROR(VLOOKUP($A40,MonthlyFinance!$A:$G,4,FALSE),""))</x:f>
      </x:c>
      <x:c r="Q40" t="str">
        <x:f>IF($A40="","",IFERROR(VLOOKUP($A40,MonthlyFinance!$A:$G,5,FALSE),""))</x:f>
      </x:c>
      <x:c r="R40" t="str">
        <x:f>IF($A40="","",IFERROR(VLOOKUP($A40,MonthlyFinance!$A:$G,6,FALSE),""))</x:f>
      </x:c>
      <x:c r="S40" t="str">
        <x:f>IF($A40="","","Formula-linked from CaseLedger; finance fields from MonthlyFinance.")</x:f>
      </x:c>
      <x:c r="T40" t="str">
        <x:f>IF($A40="","","TRUE")</x:f>
      </x:c>
    </x:row>
    <x:row r="41">
      <x:c r="D41" t="str">
        <x:f>IF($A41="","",COUNTIFS(CaseLedger!$F:$F,$A41,CaseLedger!$B:$B,"TRUE"))</x:f>
      </x:c>
      <x:c r="E41" t="str">
        <x:f>IF($A41="","",COUNTIFS(CaseLedger!$F:$F,$A41,CaseLedger!$B:$B,"TRUE",CaseLedger!$P:$P,"Zakat"))</x:f>
      </x:c>
      <x:c r="F41" t="str">
        <x:f>IF($A41="","",COUNTIFS(CaseLedger!$F:$F,$A41,CaseLedger!$B:$B,"TRUE",CaseLedger!$P:$P,"Sadaqah"))</x:f>
      </x:c>
      <x:c r="G41" t="str">
        <x:f>IF($A41="","",COUNTIFS(CaseLedger!$F:$F,$A41,CaseLedger!$B:$B,"TRUE",CaseLedger!$P:$P,"Mixed"))</x:f>
      </x:c>
      <x:c r="H41" t="str">
        <x:f>IF($A41="","",COUNTIFS(CaseLedger!$F:$F,$A41,CaseLedger!$B:$B,"TRUE",CaseLedger!$K:$K,"Livelihood"))</x:f>
      </x:c>
      <x:c r="I41" t="str">
        <x:f>IF($A41="","",COUNTIFS(CaseLedger!$F:$F,$A41,CaseLedger!$B:$B,"TRUE",CaseLedger!$K:$K,"Skill Sponsorship"))</x:f>
      </x:c>
      <x:c r="J41" t="str">
        <x:f>IF($A41="","",COUNTIFS(CaseLedger!$F:$F,$A41,CaseLedger!$B:$B,"TRUE",CaseLedger!$K:$K,"Emergency Support"))</x:f>
      </x:c>
      <x:c r="K41" t="str">
        <x:f>IF($A41="","",COUNTIFS(CaseLedger!$F:$F,$A41,CaseLedger!$B:$B,"TRUE",CaseLedger!$K:$K,"Community Support"))</x:f>
      </x:c>
      <x:c r="L41" t="str">
        <x:f>IF($A41="","",SUMIFS(CaseLedger!$M:$M,CaseLedger!$F:$F,$A41,CaseLedger!$B:$B,"TRUE"))</x:f>
      </x:c>
      <x:c r="M41" t="str">
        <x:f>IF($A41="","",SUMIFS(CaseLedger!$N:$N,CaseLedger!$F:$F,$A41,CaseLedger!$B:$B,"TRUE"))</x:f>
      </x:c>
      <x:c r="N41" t="str">
        <x:f>IF($A41="","",0)</x:f>
      </x:c>
      <x:c r="O41" t="str">
        <x:f>IF($A41="","",SUMIFS(CaseLedger!$O:$O,CaseLedger!$F:$F,$A41,CaseLedger!$B:$B,"TRUE"))</x:f>
      </x:c>
      <x:c r="P41" t="str">
        <x:f>IF($A41="","",IFERROR(VLOOKUP($A41,MonthlyFinance!$A:$G,4,FALSE),""))</x:f>
      </x:c>
      <x:c r="Q41" t="str">
        <x:f>IF($A41="","",IFERROR(VLOOKUP($A41,MonthlyFinance!$A:$G,5,FALSE),""))</x:f>
      </x:c>
      <x:c r="R41" t="str">
        <x:f>IF($A41="","",IFERROR(VLOOKUP($A41,MonthlyFinance!$A:$G,6,FALSE),""))</x:f>
      </x:c>
      <x:c r="S41" t="str">
        <x:f>IF($A41="","","Formula-linked from CaseLedger; finance fields from MonthlyFinance.")</x:f>
      </x:c>
      <x:c r="T41" t="str">
        <x:f>IF($A41="","","TRUE")</x:f>
      </x:c>
    </x:row>
    <x:row r="42">
      <x:c r="D42" t="str">
        <x:f>IF($A42="","",COUNTIFS(CaseLedger!$F:$F,$A42,CaseLedger!$B:$B,"TRUE"))</x:f>
      </x:c>
      <x:c r="E42" t="str">
        <x:f>IF($A42="","",COUNTIFS(CaseLedger!$F:$F,$A42,CaseLedger!$B:$B,"TRUE",CaseLedger!$P:$P,"Zakat"))</x:f>
      </x:c>
      <x:c r="F42" t="str">
        <x:f>IF($A42="","",COUNTIFS(CaseLedger!$F:$F,$A42,CaseLedger!$B:$B,"TRUE",CaseLedger!$P:$P,"Sadaqah"))</x:f>
      </x:c>
      <x:c r="G42" t="str">
        <x:f>IF($A42="","",COUNTIFS(CaseLedger!$F:$F,$A42,CaseLedger!$B:$B,"TRUE",CaseLedger!$P:$P,"Mixed"))</x:f>
      </x:c>
      <x:c r="H42" t="str">
        <x:f>IF($A42="","",COUNTIFS(CaseLedger!$F:$F,$A42,CaseLedger!$B:$B,"TRUE",CaseLedger!$K:$K,"Livelihood"))</x:f>
      </x:c>
      <x:c r="I42" t="str">
        <x:f>IF($A42="","",COUNTIFS(CaseLedger!$F:$F,$A42,CaseLedger!$B:$B,"TRUE",CaseLedger!$K:$K,"Skill Sponsorship"))</x:f>
      </x:c>
      <x:c r="J42" t="str">
        <x:f>IF($A42="","",COUNTIFS(CaseLedger!$F:$F,$A42,CaseLedger!$B:$B,"TRUE",CaseLedger!$K:$K,"Emergency Support"))</x:f>
      </x:c>
      <x:c r="K42" t="str">
        <x:f>IF($A42="","",COUNTIFS(CaseLedger!$F:$F,$A42,CaseLedger!$B:$B,"TRUE",CaseLedger!$K:$K,"Community Support"))</x:f>
      </x:c>
      <x:c r="L42" t="str">
        <x:f>IF($A42="","",SUMIFS(CaseLedger!$M:$M,CaseLedger!$F:$F,$A42,CaseLedger!$B:$B,"TRUE"))</x:f>
      </x:c>
      <x:c r="M42" t="str">
        <x:f>IF($A42="","",SUMIFS(CaseLedger!$N:$N,CaseLedger!$F:$F,$A42,CaseLedger!$B:$B,"TRUE"))</x:f>
      </x:c>
      <x:c r="N42" t="str">
        <x:f>IF($A42="","",0)</x:f>
      </x:c>
      <x:c r="O42" t="str">
        <x:f>IF($A42="","",SUMIFS(CaseLedger!$O:$O,CaseLedger!$F:$F,$A42,CaseLedger!$B:$B,"TRUE"))</x:f>
      </x:c>
      <x:c r="P42" t="str">
        <x:f>IF($A42="","",IFERROR(VLOOKUP($A42,MonthlyFinance!$A:$G,4,FALSE),""))</x:f>
      </x:c>
      <x:c r="Q42" t="str">
        <x:f>IF($A42="","",IFERROR(VLOOKUP($A42,MonthlyFinance!$A:$G,5,FALSE),""))</x:f>
      </x:c>
      <x:c r="R42" t="str">
        <x:f>IF($A42="","",IFERROR(VLOOKUP($A42,MonthlyFinance!$A:$G,6,FALSE),""))</x:f>
      </x:c>
      <x:c r="S42" t="str">
        <x:f>IF($A42="","","Formula-linked from CaseLedger; finance fields from MonthlyFinance.")</x:f>
      </x:c>
      <x:c r="T42" t="str">
        <x:f>IF($A42="","","TRUE")</x:f>
      </x:c>
    </x:row>
    <x:row r="43">
      <x:c r="D43" t="str">
        <x:f>IF($A43="","",COUNTIFS(CaseLedger!$F:$F,$A43,CaseLedger!$B:$B,"TRUE"))</x:f>
      </x:c>
      <x:c r="E43" t="str">
        <x:f>IF($A43="","",COUNTIFS(CaseLedger!$F:$F,$A43,CaseLedger!$B:$B,"TRUE",CaseLedger!$P:$P,"Zakat"))</x:f>
      </x:c>
      <x:c r="F43" t="str">
        <x:f>IF($A43="","",COUNTIFS(CaseLedger!$F:$F,$A43,CaseLedger!$B:$B,"TRUE",CaseLedger!$P:$P,"Sadaqah"))</x:f>
      </x:c>
      <x:c r="G43" t="str">
        <x:f>IF($A43="","",COUNTIFS(CaseLedger!$F:$F,$A43,CaseLedger!$B:$B,"TRUE",CaseLedger!$P:$P,"Mixed"))</x:f>
      </x:c>
      <x:c r="H43" t="str">
        <x:f>IF($A43="","",COUNTIFS(CaseLedger!$F:$F,$A43,CaseLedger!$B:$B,"TRUE",CaseLedger!$K:$K,"Livelihood"))</x:f>
      </x:c>
      <x:c r="I43" t="str">
        <x:f>IF($A43="","",COUNTIFS(CaseLedger!$F:$F,$A43,CaseLedger!$B:$B,"TRUE",CaseLedger!$K:$K,"Skill Sponsorship"))</x:f>
      </x:c>
      <x:c r="J43" t="str">
        <x:f>IF($A43="","",COUNTIFS(CaseLedger!$F:$F,$A43,CaseLedger!$B:$B,"TRUE",CaseLedger!$K:$K,"Emergency Support"))</x:f>
      </x:c>
      <x:c r="K43" t="str">
        <x:f>IF($A43="","",COUNTIFS(CaseLedger!$F:$F,$A43,CaseLedger!$B:$B,"TRUE",CaseLedger!$K:$K,"Community Support"))</x:f>
      </x:c>
      <x:c r="L43" t="str">
        <x:f>IF($A43="","",SUMIFS(CaseLedger!$M:$M,CaseLedger!$F:$F,$A43,CaseLedger!$B:$B,"TRUE"))</x:f>
      </x:c>
      <x:c r="M43" t="str">
        <x:f>IF($A43="","",SUMIFS(CaseLedger!$N:$N,CaseLedger!$F:$F,$A43,CaseLedger!$B:$B,"TRUE"))</x:f>
      </x:c>
      <x:c r="N43" t="str">
        <x:f>IF($A43="","",0)</x:f>
      </x:c>
      <x:c r="O43" t="str">
        <x:f>IF($A43="","",SUMIFS(CaseLedger!$O:$O,CaseLedger!$F:$F,$A43,CaseLedger!$B:$B,"TRUE"))</x:f>
      </x:c>
      <x:c r="P43" t="str">
        <x:f>IF($A43="","",IFERROR(VLOOKUP($A43,MonthlyFinance!$A:$G,4,FALSE),""))</x:f>
      </x:c>
      <x:c r="Q43" t="str">
        <x:f>IF($A43="","",IFERROR(VLOOKUP($A43,MonthlyFinance!$A:$G,5,FALSE),""))</x:f>
      </x:c>
      <x:c r="R43" t="str">
        <x:f>IF($A43="","",IFERROR(VLOOKUP($A43,MonthlyFinance!$A:$G,6,FALSE),""))</x:f>
      </x:c>
      <x:c r="S43" t="str">
        <x:f>IF($A43="","","Formula-linked from CaseLedger; finance fields from MonthlyFinance.")</x:f>
      </x:c>
      <x:c r="T43" t="str">
        <x:f>IF($A43="","","TRUE")</x:f>
      </x:c>
    </x:row>
    <x:row r="44">
      <x:c r="D44" t="str">
        <x:f>IF($A44="","",COUNTIFS(CaseLedger!$F:$F,$A44,CaseLedger!$B:$B,"TRUE"))</x:f>
      </x:c>
      <x:c r="E44" t="str">
        <x:f>IF($A44="","",COUNTIFS(CaseLedger!$F:$F,$A44,CaseLedger!$B:$B,"TRUE",CaseLedger!$P:$P,"Zakat"))</x:f>
      </x:c>
      <x:c r="F44" t="str">
        <x:f>IF($A44="","",COUNTIFS(CaseLedger!$F:$F,$A44,CaseLedger!$B:$B,"TRUE",CaseLedger!$P:$P,"Sadaqah"))</x:f>
      </x:c>
      <x:c r="G44" t="str">
        <x:f>IF($A44="","",COUNTIFS(CaseLedger!$F:$F,$A44,CaseLedger!$B:$B,"TRUE",CaseLedger!$P:$P,"Mixed"))</x:f>
      </x:c>
      <x:c r="H44" t="str">
        <x:f>IF($A44="","",COUNTIFS(CaseLedger!$F:$F,$A44,CaseLedger!$B:$B,"TRUE",CaseLedger!$K:$K,"Livelihood"))</x:f>
      </x:c>
      <x:c r="I44" t="str">
        <x:f>IF($A44="","",COUNTIFS(CaseLedger!$F:$F,$A44,CaseLedger!$B:$B,"TRUE",CaseLedger!$K:$K,"Skill Sponsorship"))</x:f>
      </x:c>
      <x:c r="J44" t="str">
        <x:f>IF($A44="","",COUNTIFS(CaseLedger!$F:$F,$A44,CaseLedger!$B:$B,"TRUE",CaseLedger!$K:$K,"Emergency Support"))</x:f>
      </x:c>
      <x:c r="K44" t="str">
        <x:f>IF($A44="","",COUNTIFS(CaseLedger!$F:$F,$A44,CaseLedger!$B:$B,"TRUE",CaseLedger!$K:$K,"Community Support"))</x:f>
      </x:c>
      <x:c r="L44" t="str">
        <x:f>IF($A44="","",SUMIFS(CaseLedger!$M:$M,CaseLedger!$F:$F,$A44,CaseLedger!$B:$B,"TRUE"))</x:f>
      </x:c>
      <x:c r="M44" t="str">
        <x:f>IF($A44="","",SUMIFS(CaseLedger!$N:$N,CaseLedger!$F:$F,$A44,CaseLedger!$B:$B,"TRUE"))</x:f>
      </x:c>
      <x:c r="N44" t="str">
        <x:f>IF($A44="","",0)</x:f>
      </x:c>
      <x:c r="O44" t="str">
        <x:f>IF($A44="","",SUMIFS(CaseLedger!$O:$O,CaseLedger!$F:$F,$A44,CaseLedger!$B:$B,"TRUE"))</x:f>
      </x:c>
      <x:c r="P44" t="str">
        <x:f>IF($A44="","",IFERROR(VLOOKUP($A44,MonthlyFinance!$A:$G,4,FALSE),""))</x:f>
      </x:c>
      <x:c r="Q44" t="str">
        <x:f>IF($A44="","",IFERROR(VLOOKUP($A44,MonthlyFinance!$A:$G,5,FALSE),""))</x:f>
      </x:c>
      <x:c r="R44" t="str">
        <x:f>IF($A44="","",IFERROR(VLOOKUP($A44,MonthlyFinance!$A:$G,6,FALSE),""))</x:f>
      </x:c>
      <x:c r="S44" t="str">
        <x:f>IF($A44="","","Formula-linked from CaseLedger; finance fields from MonthlyFinance.")</x:f>
      </x:c>
      <x:c r="T44" t="str">
        <x:f>IF($A44="","","TRUE")</x:f>
      </x:c>
    </x:row>
    <x:row r="45">
      <x:c r="D45" t="str">
        <x:f>IF($A45="","",COUNTIFS(CaseLedger!$F:$F,$A45,CaseLedger!$B:$B,"TRUE"))</x:f>
      </x:c>
      <x:c r="E45" t="str">
        <x:f>IF($A45="","",COUNTIFS(CaseLedger!$F:$F,$A45,CaseLedger!$B:$B,"TRUE",CaseLedger!$P:$P,"Zakat"))</x:f>
      </x:c>
      <x:c r="F45" t="str">
        <x:f>IF($A45="","",COUNTIFS(CaseLedger!$F:$F,$A45,CaseLedger!$B:$B,"TRUE",CaseLedger!$P:$P,"Sadaqah"))</x:f>
      </x:c>
      <x:c r="G45" t="str">
        <x:f>IF($A45="","",COUNTIFS(CaseLedger!$F:$F,$A45,CaseLedger!$B:$B,"TRUE",CaseLedger!$P:$P,"Mixed"))</x:f>
      </x:c>
      <x:c r="H45" t="str">
        <x:f>IF($A45="","",COUNTIFS(CaseLedger!$F:$F,$A45,CaseLedger!$B:$B,"TRUE",CaseLedger!$K:$K,"Livelihood"))</x:f>
      </x:c>
      <x:c r="I45" t="str">
        <x:f>IF($A45="","",COUNTIFS(CaseLedger!$F:$F,$A45,CaseLedger!$B:$B,"TRUE",CaseLedger!$K:$K,"Skill Sponsorship"))</x:f>
      </x:c>
      <x:c r="J45" t="str">
        <x:f>IF($A45="","",COUNTIFS(CaseLedger!$F:$F,$A45,CaseLedger!$B:$B,"TRUE",CaseLedger!$K:$K,"Emergency Support"))</x:f>
      </x:c>
      <x:c r="K45" t="str">
        <x:f>IF($A45="","",COUNTIFS(CaseLedger!$F:$F,$A45,CaseLedger!$B:$B,"TRUE",CaseLedger!$K:$K,"Community Support"))</x:f>
      </x:c>
      <x:c r="L45" t="str">
        <x:f>IF($A45="","",SUMIFS(CaseLedger!$M:$M,CaseLedger!$F:$F,$A45,CaseLedger!$B:$B,"TRUE"))</x:f>
      </x:c>
      <x:c r="M45" t="str">
        <x:f>IF($A45="","",SUMIFS(CaseLedger!$N:$N,CaseLedger!$F:$F,$A45,CaseLedger!$B:$B,"TRUE"))</x:f>
      </x:c>
      <x:c r="N45" t="str">
        <x:f>IF($A45="","",0)</x:f>
      </x:c>
      <x:c r="O45" t="str">
        <x:f>IF($A45="","",SUMIFS(CaseLedger!$O:$O,CaseLedger!$F:$F,$A45,CaseLedger!$B:$B,"TRUE"))</x:f>
      </x:c>
      <x:c r="P45" t="str">
        <x:f>IF($A45="","",IFERROR(VLOOKUP($A45,MonthlyFinance!$A:$G,4,FALSE),""))</x:f>
      </x:c>
      <x:c r="Q45" t="str">
        <x:f>IF($A45="","",IFERROR(VLOOKUP($A45,MonthlyFinance!$A:$G,5,FALSE),""))</x:f>
      </x:c>
      <x:c r="R45" t="str">
        <x:f>IF($A45="","",IFERROR(VLOOKUP($A45,MonthlyFinance!$A:$G,6,FALSE),""))</x:f>
      </x:c>
      <x:c r="S45" t="str">
        <x:f>IF($A45="","","Formula-linked from CaseLedger; finance fields from MonthlyFinance.")</x:f>
      </x:c>
      <x:c r="T45" t="str">
        <x:f>IF($A45="","","TRUE")</x:f>
      </x:c>
    </x:row>
    <x:row r="46">
      <x:c r="D46" t="str">
        <x:f>IF($A46="","",COUNTIFS(CaseLedger!$F:$F,$A46,CaseLedger!$B:$B,"TRUE"))</x:f>
      </x:c>
      <x:c r="E46" t="str">
        <x:f>IF($A46="","",COUNTIFS(CaseLedger!$F:$F,$A46,CaseLedger!$B:$B,"TRUE",CaseLedger!$P:$P,"Zakat"))</x:f>
      </x:c>
      <x:c r="F46" t="str">
        <x:f>IF($A46="","",COUNTIFS(CaseLedger!$F:$F,$A46,CaseLedger!$B:$B,"TRUE",CaseLedger!$P:$P,"Sadaqah"))</x:f>
      </x:c>
      <x:c r="G46" t="str">
        <x:f>IF($A46="","",COUNTIFS(CaseLedger!$F:$F,$A46,CaseLedger!$B:$B,"TRUE",CaseLedger!$P:$P,"Mixed"))</x:f>
      </x:c>
      <x:c r="H46" t="str">
        <x:f>IF($A46="","",COUNTIFS(CaseLedger!$F:$F,$A46,CaseLedger!$B:$B,"TRUE",CaseLedger!$K:$K,"Livelihood"))</x:f>
      </x:c>
      <x:c r="I46" t="str">
        <x:f>IF($A46="","",COUNTIFS(CaseLedger!$F:$F,$A46,CaseLedger!$B:$B,"TRUE",CaseLedger!$K:$K,"Skill Sponsorship"))</x:f>
      </x:c>
      <x:c r="J46" t="str">
        <x:f>IF($A46="","",COUNTIFS(CaseLedger!$F:$F,$A46,CaseLedger!$B:$B,"TRUE",CaseLedger!$K:$K,"Emergency Support"))</x:f>
      </x:c>
      <x:c r="K46" t="str">
        <x:f>IF($A46="","",COUNTIFS(CaseLedger!$F:$F,$A46,CaseLedger!$B:$B,"TRUE",CaseLedger!$K:$K,"Community Support"))</x:f>
      </x:c>
      <x:c r="L46" t="str">
        <x:f>IF($A46="","",SUMIFS(CaseLedger!$M:$M,CaseLedger!$F:$F,$A46,CaseLedger!$B:$B,"TRUE"))</x:f>
      </x:c>
      <x:c r="M46" t="str">
        <x:f>IF($A46="","",SUMIFS(CaseLedger!$N:$N,CaseLedger!$F:$F,$A46,CaseLedger!$B:$B,"TRUE"))</x:f>
      </x:c>
      <x:c r="N46" t="str">
        <x:f>IF($A46="","",0)</x:f>
      </x:c>
      <x:c r="O46" t="str">
        <x:f>IF($A46="","",SUMIFS(CaseLedger!$O:$O,CaseLedger!$F:$F,$A46,CaseLedger!$B:$B,"TRUE"))</x:f>
      </x:c>
      <x:c r="P46" t="str">
        <x:f>IF($A46="","",IFERROR(VLOOKUP($A46,MonthlyFinance!$A:$G,4,FALSE),""))</x:f>
      </x:c>
      <x:c r="Q46" t="str">
        <x:f>IF($A46="","",IFERROR(VLOOKUP($A46,MonthlyFinance!$A:$G,5,FALSE),""))</x:f>
      </x:c>
      <x:c r="R46" t="str">
        <x:f>IF($A46="","",IFERROR(VLOOKUP($A46,MonthlyFinance!$A:$G,6,FALSE),""))</x:f>
      </x:c>
      <x:c r="S46" t="str">
        <x:f>IF($A46="","","Formula-linked from CaseLedger; finance fields from MonthlyFinance.")</x:f>
      </x:c>
      <x:c r="T46" t="str">
        <x:f>IF($A46="","","TRUE")</x:f>
      </x:c>
    </x:row>
    <x:row r="47">
      <x:c r="D47" t="str">
        <x:f>IF($A47="","",COUNTIFS(CaseLedger!$F:$F,$A47,CaseLedger!$B:$B,"TRUE"))</x:f>
      </x:c>
      <x:c r="E47" t="str">
        <x:f>IF($A47="","",COUNTIFS(CaseLedger!$F:$F,$A47,CaseLedger!$B:$B,"TRUE",CaseLedger!$P:$P,"Zakat"))</x:f>
      </x:c>
      <x:c r="F47" t="str">
        <x:f>IF($A47="","",COUNTIFS(CaseLedger!$F:$F,$A47,CaseLedger!$B:$B,"TRUE",CaseLedger!$P:$P,"Sadaqah"))</x:f>
      </x:c>
      <x:c r="G47" t="str">
        <x:f>IF($A47="","",COUNTIFS(CaseLedger!$F:$F,$A47,CaseLedger!$B:$B,"TRUE",CaseLedger!$P:$P,"Mixed"))</x:f>
      </x:c>
      <x:c r="H47" t="str">
        <x:f>IF($A47="","",COUNTIFS(CaseLedger!$F:$F,$A47,CaseLedger!$B:$B,"TRUE",CaseLedger!$K:$K,"Livelihood"))</x:f>
      </x:c>
      <x:c r="I47" t="str">
        <x:f>IF($A47="","",COUNTIFS(CaseLedger!$F:$F,$A47,CaseLedger!$B:$B,"TRUE",CaseLedger!$K:$K,"Skill Sponsorship"))</x:f>
      </x:c>
      <x:c r="J47" t="str">
        <x:f>IF($A47="","",COUNTIFS(CaseLedger!$F:$F,$A47,CaseLedger!$B:$B,"TRUE",CaseLedger!$K:$K,"Emergency Support"))</x:f>
      </x:c>
      <x:c r="K47" t="str">
        <x:f>IF($A47="","",COUNTIFS(CaseLedger!$F:$F,$A47,CaseLedger!$B:$B,"TRUE",CaseLedger!$K:$K,"Community Support"))</x:f>
      </x:c>
      <x:c r="L47" t="str">
        <x:f>IF($A47="","",SUMIFS(CaseLedger!$M:$M,CaseLedger!$F:$F,$A47,CaseLedger!$B:$B,"TRUE"))</x:f>
      </x:c>
      <x:c r="M47" t="str">
        <x:f>IF($A47="","",SUMIFS(CaseLedger!$N:$N,CaseLedger!$F:$F,$A47,CaseLedger!$B:$B,"TRUE"))</x:f>
      </x:c>
      <x:c r="N47" t="str">
        <x:f>IF($A47="","",0)</x:f>
      </x:c>
      <x:c r="O47" t="str">
        <x:f>IF($A47="","",SUMIFS(CaseLedger!$O:$O,CaseLedger!$F:$F,$A47,CaseLedger!$B:$B,"TRUE"))</x:f>
      </x:c>
      <x:c r="P47" t="str">
        <x:f>IF($A47="","",IFERROR(VLOOKUP($A47,MonthlyFinance!$A:$G,4,FALSE),""))</x:f>
      </x:c>
      <x:c r="Q47" t="str">
        <x:f>IF($A47="","",IFERROR(VLOOKUP($A47,MonthlyFinance!$A:$G,5,FALSE),""))</x:f>
      </x:c>
      <x:c r="R47" t="str">
        <x:f>IF($A47="","",IFERROR(VLOOKUP($A47,MonthlyFinance!$A:$G,6,FALSE),""))</x:f>
      </x:c>
      <x:c r="S47" t="str">
        <x:f>IF($A47="","","Formula-linked from CaseLedger; finance fields from MonthlyFinance.")</x:f>
      </x:c>
      <x:c r="T47" t="str">
        <x:f>IF($A47="","","TRUE")</x:f>
      </x:c>
    </x:row>
    <x:row r="48">
      <x:c r="D48" t="str">
        <x:f>IF($A48="","",COUNTIFS(CaseLedger!$F:$F,$A48,CaseLedger!$B:$B,"TRUE"))</x:f>
      </x:c>
      <x:c r="E48" t="str">
        <x:f>IF($A48="","",COUNTIFS(CaseLedger!$F:$F,$A48,CaseLedger!$B:$B,"TRUE",CaseLedger!$P:$P,"Zakat"))</x:f>
      </x:c>
      <x:c r="F48" t="str">
        <x:f>IF($A48="","",COUNTIFS(CaseLedger!$F:$F,$A48,CaseLedger!$B:$B,"TRUE",CaseLedger!$P:$P,"Sadaqah"))</x:f>
      </x:c>
      <x:c r="G48" t="str">
        <x:f>IF($A48="","",COUNTIFS(CaseLedger!$F:$F,$A48,CaseLedger!$B:$B,"TRUE",CaseLedger!$P:$P,"Mixed"))</x:f>
      </x:c>
      <x:c r="H48" t="str">
        <x:f>IF($A48="","",COUNTIFS(CaseLedger!$F:$F,$A48,CaseLedger!$B:$B,"TRUE",CaseLedger!$K:$K,"Livelihood"))</x:f>
      </x:c>
      <x:c r="I48" t="str">
        <x:f>IF($A48="","",COUNTIFS(CaseLedger!$F:$F,$A48,CaseLedger!$B:$B,"TRUE",CaseLedger!$K:$K,"Skill Sponsorship"))</x:f>
      </x:c>
      <x:c r="J48" t="str">
        <x:f>IF($A48="","",COUNTIFS(CaseLedger!$F:$F,$A48,CaseLedger!$B:$B,"TRUE",CaseLedger!$K:$K,"Emergency Support"))</x:f>
      </x:c>
      <x:c r="K48" t="str">
        <x:f>IF($A48="","",COUNTIFS(CaseLedger!$F:$F,$A48,CaseLedger!$B:$B,"TRUE",CaseLedger!$K:$K,"Community Support"))</x:f>
      </x:c>
      <x:c r="L48" t="str">
        <x:f>IF($A48="","",SUMIFS(CaseLedger!$M:$M,CaseLedger!$F:$F,$A48,CaseLedger!$B:$B,"TRUE"))</x:f>
      </x:c>
      <x:c r="M48" t="str">
        <x:f>IF($A48="","",SUMIFS(CaseLedger!$N:$N,CaseLedger!$F:$F,$A48,CaseLedger!$B:$B,"TRUE"))</x:f>
      </x:c>
      <x:c r="N48" t="str">
        <x:f>IF($A48="","",0)</x:f>
      </x:c>
      <x:c r="O48" t="str">
        <x:f>IF($A48="","",SUMIFS(CaseLedger!$O:$O,CaseLedger!$F:$F,$A48,CaseLedger!$B:$B,"TRUE"))</x:f>
      </x:c>
      <x:c r="P48" t="str">
        <x:f>IF($A48="","",IFERROR(VLOOKUP($A48,MonthlyFinance!$A:$G,4,FALSE),""))</x:f>
      </x:c>
      <x:c r="Q48" t="str">
        <x:f>IF($A48="","",IFERROR(VLOOKUP($A48,MonthlyFinance!$A:$G,5,FALSE),""))</x:f>
      </x:c>
      <x:c r="R48" t="str">
        <x:f>IF($A48="","",IFERROR(VLOOKUP($A48,MonthlyFinance!$A:$G,6,FALSE),""))</x:f>
      </x:c>
      <x:c r="S48" t="str">
        <x:f>IF($A48="","","Formula-linked from CaseLedger; finance fields from MonthlyFinance.")</x:f>
      </x:c>
      <x:c r="T48" t="str">
        <x:f>IF($A48="","","TRUE")</x:f>
      </x:c>
    </x:row>
    <x:row r="49">
      <x:c r="D49" t="str">
        <x:f>IF($A49="","",COUNTIFS(CaseLedger!$F:$F,$A49,CaseLedger!$B:$B,"TRUE"))</x:f>
      </x:c>
      <x:c r="E49" t="str">
        <x:f>IF($A49="","",COUNTIFS(CaseLedger!$F:$F,$A49,CaseLedger!$B:$B,"TRUE",CaseLedger!$P:$P,"Zakat"))</x:f>
      </x:c>
      <x:c r="F49" t="str">
        <x:f>IF($A49="","",COUNTIFS(CaseLedger!$F:$F,$A49,CaseLedger!$B:$B,"TRUE",CaseLedger!$P:$P,"Sadaqah"))</x:f>
      </x:c>
      <x:c r="G49" t="str">
        <x:f>IF($A49="","",COUNTIFS(CaseLedger!$F:$F,$A49,CaseLedger!$B:$B,"TRUE",CaseLedger!$P:$P,"Mixed"))</x:f>
      </x:c>
      <x:c r="H49" t="str">
        <x:f>IF($A49="","",COUNTIFS(CaseLedger!$F:$F,$A49,CaseLedger!$B:$B,"TRUE",CaseLedger!$K:$K,"Livelihood"))</x:f>
      </x:c>
      <x:c r="I49" t="str">
        <x:f>IF($A49="","",COUNTIFS(CaseLedger!$F:$F,$A49,CaseLedger!$B:$B,"TRUE",CaseLedger!$K:$K,"Skill Sponsorship"))</x:f>
      </x:c>
      <x:c r="J49" t="str">
        <x:f>IF($A49="","",COUNTIFS(CaseLedger!$F:$F,$A49,CaseLedger!$B:$B,"TRUE",CaseLedger!$K:$K,"Emergency Support"))</x:f>
      </x:c>
      <x:c r="K49" t="str">
        <x:f>IF($A49="","",COUNTIFS(CaseLedger!$F:$F,$A49,CaseLedger!$B:$B,"TRUE",CaseLedger!$K:$K,"Community Support"))</x:f>
      </x:c>
      <x:c r="L49" t="str">
        <x:f>IF($A49="","",SUMIFS(CaseLedger!$M:$M,CaseLedger!$F:$F,$A49,CaseLedger!$B:$B,"TRUE"))</x:f>
      </x:c>
      <x:c r="M49" t="str">
        <x:f>IF($A49="","",SUMIFS(CaseLedger!$N:$N,CaseLedger!$F:$F,$A49,CaseLedger!$B:$B,"TRUE"))</x:f>
      </x:c>
      <x:c r="N49" t="str">
        <x:f>IF($A49="","",0)</x:f>
      </x:c>
      <x:c r="O49" t="str">
        <x:f>IF($A49="","",SUMIFS(CaseLedger!$O:$O,CaseLedger!$F:$F,$A49,CaseLedger!$B:$B,"TRUE"))</x:f>
      </x:c>
      <x:c r="P49" t="str">
        <x:f>IF($A49="","",IFERROR(VLOOKUP($A49,MonthlyFinance!$A:$G,4,FALSE),""))</x:f>
      </x:c>
      <x:c r="Q49" t="str">
        <x:f>IF($A49="","",IFERROR(VLOOKUP($A49,MonthlyFinance!$A:$G,5,FALSE),""))</x:f>
      </x:c>
      <x:c r="R49" t="str">
        <x:f>IF($A49="","",IFERROR(VLOOKUP($A49,MonthlyFinance!$A:$G,6,FALSE),""))</x:f>
      </x:c>
      <x:c r="S49" t="str">
        <x:f>IF($A49="","","Formula-linked from CaseLedger; finance fields from MonthlyFinance.")</x:f>
      </x:c>
      <x:c r="T49" t="str">
        <x:f>IF($A49="","","TRUE")</x:f>
      </x:c>
    </x:row>
    <x:row r="50">
      <x:c r="D50" t="str">
        <x:f>IF($A50="","",COUNTIFS(CaseLedger!$F:$F,$A50,CaseLedger!$B:$B,"TRUE"))</x:f>
      </x:c>
      <x:c r="E50" t="str">
        <x:f>IF($A50="","",COUNTIFS(CaseLedger!$F:$F,$A50,CaseLedger!$B:$B,"TRUE",CaseLedger!$P:$P,"Zakat"))</x:f>
      </x:c>
      <x:c r="F50" t="str">
        <x:f>IF($A50="","",COUNTIFS(CaseLedger!$F:$F,$A50,CaseLedger!$B:$B,"TRUE",CaseLedger!$P:$P,"Sadaqah"))</x:f>
      </x:c>
      <x:c r="G50" t="str">
        <x:f>IF($A50="","",COUNTIFS(CaseLedger!$F:$F,$A50,CaseLedger!$B:$B,"TRUE",CaseLedger!$P:$P,"Mixed"))</x:f>
      </x:c>
      <x:c r="H50" t="str">
        <x:f>IF($A50="","",COUNTIFS(CaseLedger!$F:$F,$A50,CaseLedger!$B:$B,"TRUE",CaseLedger!$K:$K,"Livelihood"))</x:f>
      </x:c>
      <x:c r="I50" t="str">
        <x:f>IF($A50="","",COUNTIFS(CaseLedger!$F:$F,$A50,CaseLedger!$B:$B,"TRUE",CaseLedger!$K:$K,"Skill Sponsorship"))</x:f>
      </x:c>
      <x:c r="J50" t="str">
        <x:f>IF($A50="","",COUNTIFS(CaseLedger!$F:$F,$A50,CaseLedger!$B:$B,"TRUE",CaseLedger!$K:$K,"Emergency Support"))</x:f>
      </x:c>
      <x:c r="K50" t="str">
        <x:f>IF($A50="","",COUNTIFS(CaseLedger!$F:$F,$A50,CaseLedger!$B:$B,"TRUE",CaseLedger!$K:$K,"Community Support"))</x:f>
      </x:c>
      <x:c r="L50" t="str">
        <x:f>IF($A50="","",SUMIFS(CaseLedger!$M:$M,CaseLedger!$F:$F,$A50,CaseLedger!$B:$B,"TRUE"))</x:f>
      </x:c>
      <x:c r="M50" t="str">
        <x:f>IF($A50="","",SUMIFS(CaseLedger!$N:$N,CaseLedger!$F:$F,$A50,CaseLedger!$B:$B,"TRUE"))</x:f>
      </x:c>
      <x:c r="N50" t="str">
        <x:f>IF($A50="","",0)</x:f>
      </x:c>
      <x:c r="O50" t="str">
        <x:f>IF($A50="","",SUMIFS(CaseLedger!$O:$O,CaseLedger!$F:$F,$A50,CaseLedger!$B:$B,"TRUE"))</x:f>
      </x:c>
      <x:c r="P50" t="str">
        <x:f>IF($A50="","",IFERROR(VLOOKUP($A50,MonthlyFinance!$A:$G,4,FALSE),""))</x:f>
      </x:c>
      <x:c r="Q50" t="str">
        <x:f>IF($A50="","",IFERROR(VLOOKUP($A50,MonthlyFinance!$A:$G,5,FALSE),""))</x:f>
      </x:c>
      <x:c r="R50" t="str">
        <x:f>IF($A50="","",IFERROR(VLOOKUP($A50,MonthlyFinance!$A:$G,6,FALSE),""))</x:f>
      </x:c>
      <x:c r="S50" t="str">
        <x:f>IF($A50="","","Formula-linked from CaseLedger; finance fields from MonthlyFinance.")</x:f>
      </x:c>
      <x:c r="T50" t="str">
        <x:f>IF($A50="","","TRUE")</x:f>
      </x:c>
    </x:row>
    <x:row r="51">
      <x:c r="D51" t="str">
        <x:f>IF($A51="","",COUNTIFS(CaseLedger!$F:$F,$A51,CaseLedger!$B:$B,"TRUE"))</x:f>
      </x:c>
      <x:c r="E51" t="str">
        <x:f>IF($A51="","",COUNTIFS(CaseLedger!$F:$F,$A51,CaseLedger!$B:$B,"TRUE",CaseLedger!$P:$P,"Zakat"))</x:f>
      </x:c>
      <x:c r="F51" t="str">
        <x:f>IF($A51="","",COUNTIFS(CaseLedger!$F:$F,$A51,CaseLedger!$B:$B,"TRUE",CaseLedger!$P:$P,"Sadaqah"))</x:f>
      </x:c>
      <x:c r="G51" t="str">
        <x:f>IF($A51="","",COUNTIFS(CaseLedger!$F:$F,$A51,CaseLedger!$B:$B,"TRUE",CaseLedger!$P:$P,"Mixed"))</x:f>
      </x:c>
      <x:c r="H51" t="str">
        <x:f>IF($A51="","",COUNTIFS(CaseLedger!$F:$F,$A51,CaseLedger!$B:$B,"TRUE",CaseLedger!$K:$K,"Livelihood"))</x:f>
      </x:c>
      <x:c r="I51" t="str">
        <x:f>IF($A51="","",COUNTIFS(CaseLedger!$F:$F,$A51,CaseLedger!$B:$B,"TRUE",CaseLedger!$K:$K,"Skill Sponsorship"))</x:f>
      </x:c>
      <x:c r="J51" t="str">
        <x:f>IF($A51="","",COUNTIFS(CaseLedger!$F:$F,$A51,CaseLedger!$B:$B,"TRUE",CaseLedger!$K:$K,"Emergency Support"))</x:f>
      </x:c>
      <x:c r="K51" t="str">
        <x:f>IF($A51="","",COUNTIFS(CaseLedger!$F:$F,$A51,CaseLedger!$B:$B,"TRUE",CaseLedger!$K:$K,"Community Support"))</x:f>
      </x:c>
      <x:c r="L51" t="str">
        <x:f>IF($A51="","",SUMIFS(CaseLedger!$M:$M,CaseLedger!$F:$F,$A51,CaseLedger!$B:$B,"TRUE"))</x:f>
      </x:c>
      <x:c r="M51" t="str">
        <x:f>IF($A51="","",SUMIFS(CaseLedger!$N:$N,CaseLedger!$F:$F,$A51,CaseLedger!$B:$B,"TRUE"))</x:f>
      </x:c>
      <x:c r="N51" t="str">
        <x:f>IF($A51="","",0)</x:f>
      </x:c>
      <x:c r="O51" t="str">
        <x:f>IF($A51="","",SUMIFS(CaseLedger!$O:$O,CaseLedger!$F:$F,$A51,CaseLedger!$B:$B,"TRUE"))</x:f>
      </x:c>
      <x:c r="P51" t="str">
        <x:f>IF($A51="","",IFERROR(VLOOKUP($A51,MonthlyFinance!$A:$G,4,FALSE),""))</x:f>
      </x:c>
      <x:c r="Q51" t="str">
        <x:f>IF($A51="","",IFERROR(VLOOKUP($A51,MonthlyFinance!$A:$G,5,FALSE),""))</x:f>
      </x:c>
      <x:c r="R51" t="str">
        <x:f>IF($A51="","",IFERROR(VLOOKUP($A51,MonthlyFinance!$A:$G,6,FALSE),""))</x:f>
      </x:c>
      <x:c r="S51" t="str">
        <x:f>IF($A51="","","Formula-linked from CaseLedger; finance fields from MonthlyFinance.")</x:f>
      </x:c>
      <x:c r="T51" t="str">
        <x:f>IF($A51="","","TRUE")</x:f>
      </x:c>
    </x:row>
    <x:row r="52">
      <x:c r="D52" t="str">
        <x:f>IF($A52="","",COUNTIFS(CaseLedger!$F:$F,$A52,CaseLedger!$B:$B,"TRUE"))</x:f>
      </x:c>
      <x:c r="E52" t="str">
        <x:f>IF($A52="","",COUNTIFS(CaseLedger!$F:$F,$A52,CaseLedger!$B:$B,"TRUE",CaseLedger!$P:$P,"Zakat"))</x:f>
      </x:c>
      <x:c r="F52" t="str">
        <x:f>IF($A52="","",COUNTIFS(CaseLedger!$F:$F,$A52,CaseLedger!$B:$B,"TRUE",CaseLedger!$P:$P,"Sadaqah"))</x:f>
      </x:c>
      <x:c r="G52" t="str">
        <x:f>IF($A52="","",COUNTIFS(CaseLedger!$F:$F,$A52,CaseLedger!$B:$B,"TRUE",CaseLedger!$P:$P,"Mixed"))</x:f>
      </x:c>
      <x:c r="H52" t="str">
        <x:f>IF($A52="","",COUNTIFS(CaseLedger!$F:$F,$A52,CaseLedger!$B:$B,"TRUE",CaseLedger!$K:$K,"Livelihood"))</x:f>
      </x:c>
      <x:c r="I52" t="str">
        <x:f>IF($A52="","",COUNTIFS(CaseLedger!$F:$F,$A52,CaseLedger!$B:$B,"TRUE",CaseLedger!$K:$K,"Skill Sponsorship"))</x:f>
      </x:c>
      <x:c r="J52" t="str">
        <x:f>IF($A52="","",COUNTIFS(CaseLedger!$F:$F,$A52,CaseLedger!$B:$B,"TRUE",CaseLedger!$K:$K,"Emergency Support"))</x:f>
      </x:c>
      <x:c r="K52" t="str">
        <x:f>IF($A52="","",COUNTIFS(CaseLedger!$F:$F,$A52,CaseLedger!$B:$B,"TRUE",CaseLedger!$K:$K,"Community Support"))</x:f>
      </x:c>
      <x:c r="L52" t="str">
        <x:f>IF($A52="","",SUMIFS(CaseLedger!$M:$M,CaseLedger!$F:$F,$A52,CaseLedger!$B:$B,"TRUE"))</x:f>
      </x:c>
      <x:c r="M52" t="str">
        <x:f>IF($A52="","",SUMIFS(CaseLedger!$N:$N,CaseLedger!$F:$F,$A52,CaseLedger!$B:$B,"TRUE"))</x:f>
      </x:c>
      <x:c r="N52" t="str">
        <x:f>IF($A52="","",0)</x:f>
      </x:c>
      <x:c r="O52" t="str">
        <x:f>IF($A52="","",SUMIFS(CaseLedger!$O:$O,CaseLedger!$F:$F,$A52,CaseLedger!$B:$B,"TRUE"))</x:f>
      </x:c>
      <x:c r="P52" t="str">
        <x:f>IF($A52="","",IFERROR(VLOOKUP($A52,MonthlyFinance!$A:$G,4,FALSE),""))</x:f>
      </x:c>
      <x:c r="Q52" t="str">
        <x:f>IF($A52="","",IFERROR(VLOOKUP($A52,MonthlyFinance!$A:$G,5,FALSE),""))</x:f>
      </x:c>
      <x:c r="R52" t="str">
        <x:f>IF($A52="","",IFERROR(VLOOKUP($A52,MonthlyFinance!$A:$G,6,FALSE),""))</x:f>
      </x:c>
      <x:c r="S52" t="str">
        <x:f>IF($A52="","","Formula-linked from CaseLedger; finance fields from MonthlyFinance.")</x:f>
      </x:c>
      <x:c r="T52" t="str">
        <x:f>IF($A52="","","TRUE")</x:f>
      </x:c>
    </x:row>
    <x:row r="53">
      <x:c r="D53" t="str">
        <x:f>IF($A53="","",COUNTIFS(CaseLedger!$F:$F,$A53,CaseLedger!$B:$B,"TRUE"))</x:f>
      </x:c>
      <x:c r="E53" t="str">
        <x:f>IF($A53="","",COUNTIFS(CaseLedger!$F:$F,$A53,CaseLedger!$B:$B,"TRUE",CaseLedger!$P:$P,"Zakat"))</x:f>
      </x:c>
      <x:c r="F53" t="str">
        <x:f>IF($A53="","",COUNTIFS(CaseLedger!$F:$F,$A53,CaseLedger!$B:$B,"TRUE",CaseLedger!$P:$P,"Sadaqah"))</x:f>
      </x:c>
      <x:c r="G53" t="str">
        <x:f>IF($A53="","",COUNTIFS(CaseLedger!$F:$F,$A53,CaseLedger!$B:$B,"TRUE",CaseLedger!$P:$P,"Mixed"))</x:f>
      </x:c>
      <x:c r="H53" t="str">
        <x:f>IF($A53="","",COUNTIFS(CaseLedger!$F:$F,$A53,CaseLedger!$B:$B,"TRUE",CaseLedger!$K:$K,"Livelihood"))</x:f>
      </x:c>
      <x:c r="I53" t="str">
        <x:f>IF($A53="","",COUNTIFS(CaseLedger!$F:$F,$A53,CaseLedger!$B:$B,"TRUE",CaseLedger!$K:$K,"Skill Sponsorship"))</x:f>
      </x:c>
      <x:c r="J53" t="str">
        <x:f>IF($A53="","",COUNTIFS(CaseLedger!$F:$F,$A53,CaseLedger!$B:$B,"TRUE",CaseLedger!$K:$K,"Emergency Support"))</x:f>
      </x:c>
      <x:c r="K53" t="str">
        <x:f>IF($A53="","",COUNTIFS(CaseLedger!$F:$F,$A53,CaseLedger!$B:$B,"TRUE",CaseLedger!$K:$K,"Community Support"))</x:f>
      </x:c>
      <x:c r="L53" t="str">
        <x:f>IF($A53="","",SUMIFS(CaseLedger!$M:$M,CaseLedger!$F:$F,$A53,CaseLedger!$B:$B,"TRUE"))</x:f>
      </x:c>
      <x:c r="M53" t="str">
        <x:f>IF($A53="","",SUMIFS(CaseLedger!$N:$N,CaseLedger!$F:$F,$A53,CaseLedger!$B:$B,"TRUE"))</x:f>
      </x:c>
      <x:c r="N53" t="str">
        <x:f>IF($A53="","",0)</x:f>
      </x:c>
      <x:c r="O53" t="str">
        <x:f>IF($A53="","",SUMIFS(CaseLedger!$O:$O,CaseLedger!$F:$F,$A53,CaseLedger!$B:$B,"TRUE"))</x:f>
      </x:c>
      <x:c r="P53" t="str">
        <x:f>IF($A53="","",IFERROR(VLOOKUP($A53,MonthlyFinance!$A:$G,4,FALSE),""))</x:f>
      </x:c>
      <x:c r="Q53" t="str">
        <x:f>IF($A53="","",IFERROR(VLOOKUP($A53,MonthlyFinance!$A:$G,5,FALSE),""))</x:f>
      </x:c>
      <x:c r="R53" t="str">
        <x:f>IF($A53="","",IFERROR(VLOOKUP($A53,MonthlyFinance!$A:$G,6,FALSE),""))</x:f>
      </x:c>
      <x:c r="S53" t="str">
        <x:f>IF($A53="","","Formula-linked from CaseLedger; finance fields from MonthlyFinance.")</x:f>
      </x:c>
      <x:c r="T53" t="str">
        <x:f>IF($A53="","","TRUE")</x:f>
      </x:c>
    </x:row>
    <x:row r="54">
      <x:c r="D54" t="str">
        <x:f>IF($A54="","",COUNTIFS(CaseLedger!$F:$F,$A54,CaseLedger!$B:$B,"TRUE"))</x:f>
      </x:c>
      <x:c r="E54" t="str">
        <x:f>IF($A54="","",COUNTIFS(CaseLedger!$F:$F,$A54,CaseLedger!$B:$B,"TRUE",CaseLedger!$P:$P,"Zakat"))</x:f>
      </x:c>
      <x:c r="F54" t="str">
        <x:f>IF($A54="","",COUNTIFS(CaseLedger!$F:$F,$A54,CaseLedger!$B:$B,"TRUE",CaseLedger!$P:$P,"Sadaqah"))</x:f>
      </x:c>
      <x:c r="G54" t="str">
        <x:f>IF($A54="","",COUNTIFS(CaseLedger!$F:$F,$A54,CaseLedger!$B:$B,"TRUE",CaseLedger!$P:$P,"Mixed"))</x:f>
      </x:c>
      <x:c r="H54" t="str">
        <x:f>IF($A54="","",COUNTIFS(CaseLedger!$F:$F,$A54,CaseLedger!$B:$B,"TRUE",CaseLedger!$K:$K,"Livelihood"))</x:f>
      </x:c>
      <x:c r="I54" t="str">
        <x:f>IF($A54="","",COUNTIFS(CaseLedger!$F:$F,$A54,CaseLedger!$B:$B,"TRUE",CaseLedger!$K:$K,"Skill Sponsorship"))</x:f>
      </x:c>
      <x:c r="J54" t="str">
        <x:f>IF($A54="","",COUNTIFS(CaseLedger!$F:$F,$A54,CaseLedger!$B:$B,"TRUE",CaseLedger!$K:$K,"Emergency Support"))</x:f>
      </x:c>
      <x:c r="K54" t="str">
        <x:f>IF($A54="","",COUNTIFS(CaseLedger!$F:$F,$A54,CaseLedger!$B:$B,"TRUE",CaseLedger!$K:$K,"Community Support"))</x:f>
      </x:c>
      <x:c r="L54" t="str">
        <x:f>IF($A54="","",SUMIFS(CaseLedger!$M:$M,CaseLedger!$F:$F,$A54,CaseLedger!$B:$B,"TRUE"))</x:f>
      </x:c>
      <x:c r="M54" t="str">
        <x:f>IF($A54="","",SUMIFS(CaseLedger!$N:$N,CaseLedger!$F:$F,$A54,CaseLedger!$B:$B,"TRUE"))</x:f>
      </x:c>
      <x:c r="N54" t="str">
        <x:f>IF($A54="","",0)</x:f>
      </x:c>
      <x:c r="O54" t="str">
        <x:f>IF($A54="","",SUMIFS(CaseLedger!$O:$O,CaseLedger!$F:$F,$A54,CaseLedger!$B:$B,"TRUE"))</x:f>
      </x:c>
      <x:c r="P54" t="str">
        <x:f>IF($A54="","",IFERROR(VLOOKUP($A54,MonthlyFinance!$A:$G,4,FALSE),""))</x:f>
      </x:c>
      <x:c r="Q54" t="str">
        <x:f>IF($A54="","",IFERROR(VLOOKUP($A54,MonthlyFinance!$A:$G,5,FALSE),""))</x:f>
      </x:c>
      <x:c r="R54" t="str">
        <x:f>IF($A54="","",IFERROR(VLOOKUP($A54,MonthlyFinance!$A:$G,6,FALSE),""))</x:f>
      </x:c>
      <x:c r="S54" t="str">
        <x:f>IF($A54="","","Formula-linked from CaseLedger; finance fields from MonthlyFinance.")</x:f>
      </x:c>
      <x:c r="T54" t="str">
        <x:f>IF($A54="","","TRUE")</x:f>
      </x:c>
    </x:row>
    <x:row r="55">
      <x:c r="D55" t="str">
        <x:f>IF($A55="","",COUNTIFS(CaseLedger!$F:$F,$A55,CaseLedger!$B:$B,"TRUE"))</x:f>
      </x:c>
      <x:c r="E55" t="str">
        <x:f>IF($A55="","",COUNTIFS(CaseLedger!$F:$F,$A55,CaseLedger!$B:$B,"TRUE",CaseLedger!$P:$P,"Zakat"))</x:f>
      </x:c>
      <x:c r="F55" t="str">
        <x:f>IF($A55="","",COUNTIFS(CaseLedger!$F:$F,$A55,CaseLedger!$B:$B,"TRUE",CaseLedger!$P:$P,"Sadaqah"))</x:f>
      </x:c>
      <x:c r="G55" t="str">
        <x:f>IF($A55="","",COUNTIFS(CaseLedger!$F:$F,$A55,CaseLedger!$B:$B,"TRUE",CaseLedger!$P:$P,"Mixed"))</x:f>
      </x:c>
      <x:c r="H55" t="str">
        <x:f>IF($A55="","",COUNTIFS(CaseLedger!$F:$F,$A55,CaseLedger!$B:$B,"TRUE",CaseLedger!$K:$K,"Livelihood"))</x:f>
      </x:c>
      <x:c r="I55" t="str">
        <x:f>IF($A55="","",COUNTIFS(CaseLedger!$F:$F,$A55,CaseLedger!$B:$B,"TRUE",CaseLedger!$K:$K,"Skill Sponsorship"))</x:f>
      </x:c>
      <x:c r="J55" t="str">
        <x:f>IF($A55="","",COUNTIFS(CaseLedger!$F:$F,$A55,CaseLedger!$B:$B,"TRUE",CaseLedger!$K:$K,"Emergency Support"))</x:f>
      </x:c>
      <x:c r="K55" t="str">
        <x:f>IF($A55="","",COUNTIFS(CaseLedger!$F:$F,$A55,CaseLedger!$B:$B,"TRUE",CaseLedger!$K:$K,"Community Support"))</x:f>
      </x:c>
      <x:c r="L55" t="str">
        <x:f>IF($A55="","",SUMIFS(CaseLedger!$M:$M,CaseLedger!$F:$F,$A55,CaseLedger!$B:$B,"TRUE"))</x:f>
      </x:c>
      <x:c r="M55" t="str">
        <x:f>IF($A55="","",SUMIFS(CaseLedger!$N:$N,CaseLedger!$F:$F,$A55,CaseLedger!$B:$B,"TRUE"))</x:f>
      </x:c>
      <x:c r="N55" t="str">
        <x:f>IF($A55="","",0)</x:f>
      </x:c>
      <x:c r="O55" t="str">
        <x:f>IF($A55="","",SUMIFS(CaseLedger!$O:$O,CaseLedger!$F:$F,$A55,CaseLedger!$B:$B,"TRUE"))</x:f>
      </x:c>
      <x:c r="P55" t="str">
        <x:f>IF($A55="","",IFERROR(VLOOKUP($A55,MonthlyFinance!$A:$G,4,FALSE),""))</x:f>
      </x:c>
      <x:c r="Q55" t="str">
        <x:f>IF($A55="","",IFERROR(VLOOKUP($A55,MonthlyFinance!$A:$G,5,FALSE),""))</x:f>
      </x:c>
      <x:c r="R55" t="str">
        <x:f>IF($A55="","",IFERROR(VLOOKUP($A55,MonthlyFinance!$A:$G,6,FALSE),""))</x:f>
      </x:c>
      <x:c r="S55" t="str">
        <x:f>IF($A55="","","Formula-linked from CaseLedger; finance fields from MonthlyFinance.")</x:f>
      </x:c>
      <x:c r="T55" t="str">
        <x:f>IF($A55="","","TRUE")</x:f>
      </x:c>
    </x:row>
    <x:row r="56">
      <x:c r="D56" t="str">
        <x:f>IF($A56="","",COUNTIFS(CaseLedger!$F:$F,$A56,CaseLedger!$B:$B,"TRUE"))</x:f>
      </x:c>
      <x:c r="E56" t="str">
        <x:f>IF($A56="","",COUNTIFS(CaseLedger!$F:$F,$A56,CaseLedger!$B:$B,"TRUE",CaseLedger!$P:$P,"Zakat"))</x:f>
      </x:c>
      <x:c r="F56" t="str">
        <x:f>IF($A56="","",COUNTIFS(CaseLedger!$F:$F,$A56,CaseLedger!$B:$B,"TRUE",CaseLedger!$P:$P,"Sadaqah"))</x:f>
      </x:c>
      <x:c r="G56" t="str">
        <x:f>IF($A56="","",COUNTIFS(CaseLedger!$F:$F,$A56,CaseLedger!$B:$B,"TRUE",CaseLedger!$P:$P,"Mixed"))</x:f>
      </x:c>
      <x:c r="H56" t="str">
        <x:f>IF($A56="","",COUNTIFS(CaseLedger!$F:$F,$A56,CaseLedger!$B:$B,"TRUE",CaseLedger!$K:$K,"Livelihood"))</x:f>
      </x:c>
      <x:c r="I56" t="str">
        <x:f>IF($A56="","",COUNTIFS(CaseLedger!$F:$F,$A56,CaseLedger!$B:$B,"TRUE",CaseLedger!$K:$K,"Skill Sponsorship"))</x:f>
      </x:c>
      <x:c r="J56" t="str">
        <x:f>IF($A56="","",COUNTIFS(CaseLedger!$F:$F,$A56,CaseLedger!$B:$B,"TRUE",CaseLedger!$K:$K,"Emergency Support"))</x:f>
      </x:c>
      <x:c r="K56" t="str">
        <x:f>IF($A56="","",COUNTIFS(CaseLedger!$F:$F,$A56,CaseLedger!$B:$B,"TRUE",CaseLedger!$K:$K,"Community Support"))</x:f>
      </x:c>
      <x:c r="L56" t="str">
        <x:f>IF($A56="","",SUMIFS(CaseLedger!$M:$M,CaseLedger!$F:$F,$A56,CaseLedger!$B:$B,"TRUE"))</x:f>
      </x:c>
      <x:c r="M56" t="str">
        <x:f>IF($A56="","",SUMIFS(CaseLedger!$N:$N,CaseLedger!$F:$F,$A56,CaseLedger!$B:$B,"TRUE"))</x:f>
      </x:c>
      <x:c r="N56" t="str">
        <x:f>IF($A56="","",0)</x:f>
      </x:c>
      <x:c r="O56" t="str">
        <x:f>IF($A56="","",SUMIFS(CaseLedger!$O:$O,CaseLedger!$F:$F,$A56,CaseLedger!$B:$B,"TRUE"))</x:f>
      </x:c>
      <x:c r="P56" t="str">
        <x:f>IF($A56="","",IFERROR(VLOOKUP($A56,MonthlyFinance!$A:$G,4,FALSE),""))</x:f>
      </x:c>
      <x:c r="Q56" t="str">
        <x:f>IF($A56="","",IFERROR(VLOOKUP($A56,MonthlyFinance!$A:$G,5,FALSE),""))</x:f>
      </x:c>
      <x:c r="R56" t="str">
        <x:f>IF($A56="","",IFERROR(VLOOKUP($A56,MonthlyFinance!$A:$G,6,FALSE),""))</x:f>
      </x:c>
      <x:c r="S56" t="str">
        <x:f>IF($A56="","","Formula-linked from CaseLedger; finance fields from MonthlyFinance.")</x:f>
      </x:c>
      <x:c r="T56" t="str">
        <x:f>IF($A56="","","TRUE")</x:f>
      </x:c>
    </x:row>
    <x:row r="57">
      <x:c r="D57" t="str">
        <x:f>IF($A57="","",COUNTIFS(CaseLedger!$F:$F,$A57,CaseLedger!$B:$B,"TRUE"))</x:f>
      </x:c>
      <x:c r="E57" t="str">
        <x:f>IF($A57="","",COUNTIFS(CaseLedger!$F:$F,$A57,CaseLedger!$B:$B,"TRUE",CaseLedger!$P:$P,"Zakat"))</x:f>
      </x:c>
      <x:c r="F57" t="str">
        <x:f>IF($A57="","",COUNTIFS(CaseLedger!$F:$F,$A57,CaseLedger!$B:$B,"TRUE",CaseLedger!$P:$P,"Sadaqah"))</x:f>
      </x:c>
      <x:c r="G57" t="str">
        <x:f>IF($A57="","",COUNTIFS(CaseLedger!$F:$F,$A57,CaseLedger!$B:$B,"TRUE",CaseLedger!$P:$P,"Mixed"))</x:f>
      </x:c>
      <x:c r="H57" t="str">
        <x:f>IF($A57="","",COUNTIFS(CaseLedger!$F:$F,$A57,CaseLedger!$B:$B,"TRUE",CaseLedger!$K:$K,"Livelihood"))</x:f>
      </x:c>
      <x:c r="I57" t="str">
        <x:f>IF($A57="","",COUNTIFS(CaseLedger!$F:$F,$A57,CaseLedger!$B:$B,"TRUE",CaseLedger!$K:$K,"Skill Sponsorship"))</x:f>
      </x:c>
      <x:c r="J57" t="str">
        <x:f>IF($A57="","",COUNTIFS(CaseLedger!$F:$F,$A57,CaseLedger!$B:$B,"TRUE",CaseLedger!$K:$K,"Emergency Support"))</x:f>
      </x:c>
      <x:c r="K57" t="str">
        <x:f>IF($A57="","",COUNTIFS(CaseLedger!$F:$F,$A57,CaseLedger!$B:$B,"TRUE",CaseLedger!$K:$K,"Community Support"))</x:f>
      </x:c>
      <x:c r="L57" t="str">
        <x:f>IF($A57="","",SUMIFS(CaseLedger!$M:$M,CaseLedger!$F:$F,$A57,CaseLedger!$B:$B,"TRUE"))</x:f>
      </x:c>
      <x:c r="M57" t="str">
        <x:f>IF($A57="","",SUMIFS(CaseLedger!$N:$N,CaseLedger!$F:$F,$A57,CaseLedger!$B:$B,"TRUE"))</x:f>
      </x:c>
      <x:c r="N57" t="str">
        <x:f>IF($A57="","",0)</x:f>
      </x:c>
      <x:c r="O57" t="str">
        <x:f>IF($A57="","",SUMIFS(CaseLedger!$O:$O,CaseLedger!$F:$F,$A57,CaseLedger!$B:$B,"TRUE"))</x:f>
      </x:c>
      <x:c r="P57" t="str">
        <x:f>IF($A57="","",IFERROR(VLOOKUP($A57,MonthlyFinance!$A:$G,4,FALSE),""))</x:f>
      </x:c>
      <x:c r="Q57" t="str">
        <x:f>IF($A57="","",IFERROR(VLOOKUP($A57,MonthlyFinance!$A:$G,5,FALSE),""))</x:f>
      </x:c>
      <x:c r="R57" t="str">
        <x:f>IF($A57="","",IFERROR(VLOOKUP($A57,MonthlyFinance!$A:$G,6,FALSE),""))</x:f>
      </x:c>
      <x:c r="S57" t="str">
        <x:f>IF($A57="","","Formula-linked from CaseLedger; finance fields from MonthlyFinance.")</x:f>
      </x:c>
      <x:c r="T57" t="str">
        <x:f>IF($A57="","","TRUE")</x:f>
      </x:c>
    </x:row>
    <x:row r="58">
      <x:c r="D58" t="str">
        <x:f>IF($A58="","",COUNTIFS(CaseLedger!$F:$F,$A58,CaseLedger!$B:$B,"TRUE"))</x:f>
      </x:c>
      <x:c r="E58" t="str">
        <x:f>IF($A58="","",COUNTIFS(CaseLedger!$F:$F,$A58,CaseLedger!$B:$B,"TRUE",CaseLedger!$P:$P,"Zakat"))</x:f>
      </x:c>
      <x:c r="F58" t="str">
        <x:f>IF($A58="","",COUNTIFS(CaseLedger!$F:$F,$A58,CaseLedger!$B:$B,"TRUE",CaseLedger!$P:$P,"Sadaqah"))</x:f>
      </x:c>
      <x:c r="G58" t="str">
        <x:f>IF($A58="","",COUNTIFS(CaseLedger!$F:$F,$A58,CaseLedger!$B:$B,"TRUE",CaseLedger!$P:$P,"Mixed"))</x:f>
      </x:c>
      <x:c r="H58" t="str">
        <x:f>IF($A58="","",COUNTIFS(CaseLedger!$F:$F,$A58,CaseLedger!$B:$B,"TRUE",CaseLedger!$K:$K,"Livelihood"))</x:f>
      </x:c>
      <x:c r="I58" t="str">
        <x:f>IF($A58="","",COUNTIFS(CaseLedger!$F:$F,$A58,CaseLedger!$B:$B,"TRUE",CaseLedger!$K:$K,"Skill Sponsorship"))</x:f>
      </x:c>
      <x:c r="J58" t="str">
        <x:f>IF($A58="","",COUNTIFS(CaseLedger!$F:$F,$A58,CaseLedger!$B:$B,"TRUE",CaseLedger!$K:$K,"Emergency Support"))</x:f>
      </x:c>
      <x:c r="K58" t="str">
        <x:f>IF($A58="","",COUNTIFS(CaseLedger!$F:$F,$A58,CaseLedger!$B:$B,"TRUE",CaseLedger!$K:$K,"Community Support"))</x:f>
      </x:c>
      <x:c r="L58" t="str">
        <x:f>IF($A58="","",SUMIFS(CaseLedger!$M:$M,CaseLedger!$F:$F,$A58,CaseLedger!$B:$B,"TRUE"))</x:f>
      </x:c>
      <x:c r="M58" t="str">
        <x:f>IF($A58="","",SUMIFS(CaseLedger!$N:$N,CaseLedger!$F:$F,$A58,CaseLedger!$B:$B,"TRUE"))</x:f>
      </x:c>
      <x:c r="N58" t="str">
        <x:f>IF($A58="","",0)</x:f>
      </x:c>
      <x:c r="O58" t="str">
        <x:f>IF($A58="","",SUMIFS(CaseLedger!$O:$O,CaseLedger!$F:$F,$A58,CaseLedger!$B:$B,"TRUE"))</x:f>
      </x:c>
      <x:c r="P58" t="str">
        <x:f>IF($A58="","",IFERROR(VLOOKUP($A58,MonthlyFinance!$A:$G,4,FALSE),""))</x:f>
      </x:c>
      <x:c r="Q58" t="str">
        <x:f>IF($A58="","",IFERROR(VLOOKUP($A58,MonthlyFinance!$A:$G,5,FALSE),""))</x:f>
      </x:c>
      <x:c r="R58" t="str">
        <x:f>IF($A58="","",IFERROR(VLOOKUP($A58,MonthlyFinance!$A:$G,6,FALSE),""))</x:f>
      </x:c>
      <x:c r="S58" t="str">
        <x:f>IF($A58="","","Formula-linked from CaseLedger; finance fields from MonthlyFinance.")</x:f>
      </x:c>
      <x:c r="T58" t="str">
        <x:f>IF($A58="","","TRUE")</x:f>
      </x:c>
    </x:row>
    <x:row r="59">
      <x:c r="D59" t="str">
        <x:f>IF($A59="","",COUNTIFS(CaseLedger!$F:$F,$A59,CaseLedger!$B:$B,"TRUE"))</x:f>
      </x:c>
      <x:c r="E59" t="str">
        <x:f>IF($A59="","",COUNTIFS(CaseLedger!$F:$F,$A59,CaseLedger!$B:$B,"TRUE",CaseLedger!$P:$P,"Zakat"))</x:f>
      </x:c>
      <x:c r="F59" t="str">
        <x:f>IF($A59="","",COUNTIFS(CaseLedger!$F:$F,$A59,CaseLedger!$B:$B,"TRUE",CaseLedger!$P:$P,"Sadaqah"))</x:f>
      </x:c>
      <x:c r="G59" t="str">
        <x:f>IF($A59="","",COUNTIFS(CaseLedger!$F:$F,$A59,CaseLedger!$B:$B,"TRUE",CaseLedger!$P:$P,"Mixed"))</x:f>
      </x:c>
      <x:c r="H59" t="str">
        <x:f>IF($A59="","",COUNTIFS(CaseLedger!$F:$F,$A59,CaseLedger!$B:$B,"TRUE",CaseLedger!$K:$K,"Livelihood"))</x:f>
      </x:c>
      <x:c r="I59" t="str">
        <x:f>IF($A59="","",COUNTIFS(CaseLedger!$F:$F,$A59,CaseLedger!$B:$B,"TRUE",CaseLedger!$K:$K,"Skill Sponsorship"))</x:f>
      </x:c>
      <x:c r="J59" t="str">
        <x:f>IF($A59="","",COUNTIFS(CaseLedger!$F:$F,$A59,CaseLedger!$B:$B,"TRUE",CaseLedger!$K:$K,"Emergency Support"))</x:f>
      </x:c>
      <x:c r="K59" t="str">
        <x:f>IF($A59="","",COUNTIFS(CaseLedger!$F:$F,$A59,CaseLedger!$B:$B,"TRUE",CaseLedger!$K:$K,"Community Support"))</x:f>
      </x:c>
      <x:c r="L59" t="str">
        <x:f>IF($A59="","",SUMIFS(CaseLedger!$M:$M,CaseLedger!$F:$F,$A59,CaseLedger!$B:$B,"TRUE"))</x:f>
      </x:c>
      <x:c r="M59" t="str">
        <x:f>IF($A59="","",SUMIFS(CaseLedger!$N:$N,CaseLedger!$F:$F,$A59,CaseLedger!$B:$B,"TRUE"))</x:f>
      </x:c>
      <x:c r="N59" t="str">
        <x:f>IF($A59="","",0)</x:f>
      </x:c>
      <x:c r="O59" t="str">
        <x:f>IF($A59="","",SUMIFS(CaseLedger!$O:$O,CaseLedger!$F:$F,$A59,CaseLedger!$B:$B,"TRUE"))</x:f>
      </x:c>
      <x:c r="P59" t="str">
        <x:f>IF($A59="","",IFERROR(VLOOKUP($A59,MonthlyFinance!$A:$G,4,FALSE),""))</x:f>
      </x:c>
      <x:c r="Q59" t="str">
        <x:f>IF($A59="","",IFERROR(VLOOKUP($A59,MonthlyFinance!$A:$G,5,FALSE),""))</x:f>
      </x:c>
      <x:c r="R59" t="str">
        <x:f>IF($A59="","",IFERROR(VLOOKUP($A59,MonthlyFinance!$A:$G,6,FALSE),""))</x:f>
      </x:c>
      <x:c r="S59" t="str">
        <x:f>IF($A59="","","Formula-linked from CaseLedger; finance fields from MonthlyFinance.")</x:f>
      </x:c>
      <x:c r="T59" t="str">
        <x:f>IF($A59="","","TRUE")</x:f>
      </x:c>
    </x:row>
    <x:row r="60">
      <x:c r="D60" t="str">
        <x:f>IF($A60="","",COUNTIFS(CaseLedger!$F:$F,$A60,CaseLedger!$B:$B,"TRUE"))</x:f>
      </x:c>
      <x:c r="E60" t="str">
        <x:f>IF($A60="","",COUNTIFS(CaseLedger!$F:$F,$A60,CaseLedger!$B:$B,"TRUE",CaseLedger!$P:$P,"Zakat"))</x:f>
      </x:c>
      <x:c r="F60" t="str">
        <x:f>IF($A60="","",COUNTIFS(CaseLedger!$F:$F,$A60,CaseLedger!$B:$B,"TRUE",CaseLedger!$P:$P,"Sadaqah"))</x:f>
      </x:c>
      <x:c r="G60" t="str">
        <x:f>IF($A60="","",COUNTIFS(CaseLedger!$F:$F,$A60,CaseLedger!$B:$B,"TRUE",CaseLedger!$P:$P,"Mixed"))</x:f>
      </x:c>
      <x:c r="H60" t="str">
        <x:f>IF($A60="","",COUNTIFS(CaseLedger!$F:$F,$A60,CaseLedger!$B:$B,"TRUE",CaseLedger!$K:$K,"Livelihood"))</x:f>
      </x:c>
      <x:c r="I60" t="str">
        <x:f>IF($A60="","",COUNTIFS(CaseLedger!$F:$F,$A60,CaseLedger!$B:$B,"TRUE",CaseLedger!$K:$K,"Skill Sponsorship"))</x:f>
      </x:c>
      <x:c r="J60" t="str">
        <x:f>IF($A60="","",COUNTIFS(CaseLedger!$F:$F,$A60,CaseLedger!$B:$B,"TRUE",CaseLedger!$K:$K,"Emergency Support"))</x:f>
      </x:c>
      <x:c r="K60" t="str">
        <x:f>IF($A60="","",COUNTIFS(CaseLedger!$F:$F,$A60,CaseLedger!$B:$B,"TRUE",CaseLedger!$K:$K,"Community Support"))</x:f>
      </x:c>
      <x:c r="L60" t="str">
        <x:f>IF($A60="","",SUMIFS(CaseLedger!$M:$M,CaseLedger!$F:$F,$A60,CaseLedger!$B:$B,"TRUE"))</x:f>
      </x:c>
      <x:c r="M60" t="str">
        <x:f>IF($A60="","",SUMIFS(CaseLedger!$N:$N,CaseLedger!$F:$F,$A60,CaseLedger!$B:$B,"TRUE"))</x:f>
      </x:c>
      <x:c r="N60" t="str">
        <x:f>IF($A60="","",0)</x:f>
      </x:c>
      <x:c r="O60" t="str">
        <x:f>IF($A60="","",SUMIFS(CaseLedger!$O:$O,CaseLedger!$F:$F,$A60,CaseLedger!$B:$B,"TRUE"))</x:f>
      </x:c>
      <x:c r="P60" t="str">
        <x:f>IF($A60="","",IFERROR(VLOOKUP($A60,MonthlyFinance!$A:$G,4,FALSE),""))</x:f>
      </x:c>
      <x:c r="Q60" t="str">
        <x:f>IF($A60="","",IFERROR(VLOOKUP($A60,MonthlyFinance!$A:$G,5,FALSE),""))</x:f>
      </x:c>
      <x:c r="R60" t="str">
        <x:f>IF($A60="","",IFERROR(VLOOKUP($A60,MonthlyFinance!$A:$G,6,FALSE),""))</x:f>
      </x:c>
      <x:c r="S60" t="str">
        <x:f>IF($A60="","","Formula-linked from CaseLedger; finance fields from MonthlyFinance.")</x:f>
      </x:c>
      <x:c r="T60" t="str">
        <x:f>IF($A60="","","TRUE")</x:f>
      </x:c>
    </x:row>
    <x:row r="61">
      <x:c r="D61" t="str">
        <x:f>IF($A61="","",COUNTIFS(CaseLedger!$F:$F,$A61,CaseLedger!$B:$B,"TRUE"))</x:f>
      </x:c>
      <x:c r="E61" t="str">
        <x:f>IF($A61="","",COUNTIFS(CaseLedger!$F:$F,$A61,CaseLedger!$B:$B,"TRUE",CaseLedger!$P:$P,"Zakat"))</x:f>
      </x:c>
      <x:c r="F61" t="str">
        <x:f>IF($A61="","",COUNTIFS(CaseLedger!$F:$F,$A61,CaseLedger!$B:$B,"TRUE",CaseLedger!$P:$P,"Sadaqah"))</x:f>
      </x:c>
      <x:c r="G61" t="str">
        <x:f>IF($A61="","",COUNTIFS(CaseLedger!$F:$F,$A61,CaseLedger!$B:$B,"TRUE",CaseLedger!$P:$P,"Mixed"))</x:f>
      </x:c>
      <x:c r="H61" t="str">
        <x:f>IF($A61="","",COUNTIFS(CaseLedger!$F:$F,$A61,CaseLedger!$B:$B,"TRUE",CaseLedger!$K:$K,"Livelihood"))</x:f>
      </x:c>
      <x:c r="I61" t="str">
        <x:f>IF($A61="","",COUNTIFS(CaseLedger!$F:$F,$A61,CaseLedger!$B:$B,"TRUE",CaseLedger!$K:$K,"Skill Sponsorship"))</x:f>
      </x:c>
      <x:c r="J61" t="str">
        <x:f>IF($A61="","",COUNTIFS(CaseLedger!$F:$F,$A61,CaseLedger!$B:$B,"TRUE",CaseLedger!$K:$K,"Emergency Support"))</x:f>
      </x:c>
      <x:c r="K61" t="str">
        <x:f>IF($A61="","",COUNTIFS(CaseLedger!$F:$F,$A61,CaseLedger!$B:$B,"TRUE",CaseLedger!$K:$K,"Community Support"))</x:f>
      </x:c>
      <x:c r="L61" t="str">
        <x:f>IF($A61="","",SUMIFS(CaseLedger!$M:$M,CaseLedger!$F:$F,$A61,CaseLedger!$B:$B,"TRUE"))</x:f>
      </x:c>
      <x:c r="M61" t="str">
        <x:f>IF($A61="","",SUMIFS(CaseLedger!$N:$N,CaseLedger!$F:$F,$A61,CaseLedger!$B:$B,"TRUE"))</x:f>
      </x:c>
      <x:c r="N61" t="str">
        <x:f>IF($A61="","",0)</x:f>
      </x:c>
      <x:c r="O61" t="str">
        <x:f>IF($A61="","",SUMIFS(CaseLedger!$O:$O,CaseLedger!$F:$F,$A61,CaseLedger!$B:$B,"TRUE"))</x:f>
      </x:c>
      <x:c r="P61" t="str">
        <x:f>IF($A61="","",IFERROR(VLOOKUP($A61,MonthlyFinance!$A:$G,4,FALSE),""))</x:f>
      </x:c>
      <x:c r="Q61" t="str">
        <x:f>IF($A61="","",IFERROR(VLOOKUP($A61,MonthlyFinance!$A:$G,5,FALSE),""))</x:f>
      </x:c>
      <x:c r="R61" t="str">
        <x:f>IF($A61="","",IFERROR(VLOOKUP($A61,MonthlyFinance!$A:$G,6,FALSE),""))</x:f>
      </x:c>
      <x:c r="S61" t="str">
        <x:f>IF($A61="","","Formula-linked from CaseLedger; finance fields from MonthlyFinance.")</x:f>
      </x:c>
      <x:c r="T61" t="str">
        <x:f>IF($A61="","","TRUE")</x:f>
      </x:c>
    </x:row>
    <x:row r="62">
      <x:c r="D62" t="str">
        <x:f>IF($A62="","",COUNTIFS(CaseLedger!$F:$F,$A62,CaseLedger!$B:$B,"TRUE"))</x:f>
      </x:c>
      <x:c r="E62" t="str">
        <x:f>IF($A62="","",COUNTIFS(CaseLedger!$F:$F,$A62,CaseLedger!$B:$B,"TRUE",CaseLedger!$P:$P,"Zakat"))</x:f>
      </x:c>
      <x:c r="F62" t="str">
        <x:f>IF($A62="","",COUNTIFS(CaseLedger!$F:$F,$A62,CaseLedger!$B:$B,"TRUE",CaseLedger!$P:$P,"Sadaqah"))</x:f>
      </x:c>
      <x:c r="G62" t="str">
        <x:f>IF($A62="","",COUNTIFS(CaseLedger!$F:$F,$A62,CaseLedger!$B:$B,"TRUE",CaseLedger!$P:$P,"Mixed"))</x:f>
      </x:c>
      <x:c r="H62" t="str">
        <x:f>IF($A62="","",COUNTIFS(CaseLedger!$F:$F,$A62,CaseLedger!$B:$B,"TRUE",CaseLedger!$K:$K,"Livelihood"))</x:f>
      </x:c>
      <x:c r="I62" t="str">
        <x:f>IF($A62="","",COUNTIFS(CaseLedger!$F:$F,$A62,CaseLedger!$B:$B,"TRUE",CaseLedger!$K:$K,"Skill Sponsorship"))</x:f>
      </x:c>
      <x:c r="J62" t="str">
        <x:f>IF($A62="","",COUNTIFS(CaseLedger!$F:$F,$A62,CaseLedger!$B:$B,"TRUE",CaseLedger!$K:$K,"Emergency Support"))</x:f>
      </x:c>
      <x:c r="K62" t="str">
        <x:f>IF($A62="","",COUNTIFS(CaseLedger!$F:$F,$A62,CaseLedger!$B:$B,"TRUE",CaseLedger!$K:$K,"Community Support"))</x:f>
      </x:c>
      <x:c r="L62" t="str">
        <x:f>IF($A62="","",SUMIFS(CaseLedger!$M:$M,CaseLedger!$F:$F,$A62,CaseLedger!$B:$B,"TRUE"))</x:f>
      </x:c>
      <x:c r="M62" t="str">
        <x:f>IF($A62="","",SUMIFS(CaseLedger!$N:$N,CaseLedger!$F:$F,$A62,CaseLedger!$B:$B,"TRUE"))</x:f>
      </x:c>
      <x:c r="N62" t="str">
        <x:f>IF($A62="","",0)</x:f>
      </x:c>
      <x:c r="O62" t="str">
        <x:f>IF($A62="","",SUMIFS(CaseLedger!$O:$O,CaseLedger!$F:$F,$A62,CaseLedger!$B:$B,"TRUE"))</x:f>
      </x:c>
      <x:c r="P62" t="str">
        <x:f>IF($A62="","",IFERROR(VLOOKUP($A62,MonthlyFinance!$A:$G,4,FALSE),""))</x:f>
      </x:c>
      <x:c r="Q62" t="str">
        <x:f>IF($A62="","",IFERROR(VLOOKUP($A62,MonthlyFinance!$A:$G,5,FALSE),""))</x:f>
      </x:c>
      <x:c r="R62" t="str">
        <x:f>IF($A62="","",IFERROR(VLOOKUP($A62,MonthlyFinance!$A:$G,6,FALSE),""))</x:f>
      </x:c>
      <x:c r="S62" t="str">
        <x:f>IF($A62="","","Formula-linked from CaseLedger; finance fields from MonthlyFinance.")</x:f>
      </x:c>
      <x:c r="T62" t="str">
        <x:f>IF($A62="","","TRUE")</x:f>
      </x:c>
    </x:row>
    <x:row r="63">
      <x:c r="D63" t="str">
        <x:f>IF($A63="","",COUNTIFS(CaseLedger!$F:$F,$A63,CaseLedger!$B:$B,"TRUE"))</x:f>
      </x:c>
      <x:c r="E63" t="str">
        <x:f>IF($A63="","",COUNTIFS(CaseLedger!$F:$F,$A63,CaseLedger!$B:$B,"TRUE",CaseLedger!$P:$P,"Zakat"))</x:f>
      </x:c>
      <x:c r="F63" t="str">
        <x:f>IF($A63="","",COUNTIFS(CaseLedger!$F:$F,$A63,CaseLedger!$B:$B,"TRUE",CaseLedger!$P:$P,"Sadaqah"))</x:f>
      </x:c>
      <x:c r="G63" t="str">
        <x:f>IF($A63="","",COUNTIFS(CaseLedger!$F:$F,$A63,CaseLedger!$B:$B,"TRUE",CaseLedger!$P:$P,"Mixed"))</x:f>
      </x:c>
      <x:c r="H63" t="str">
        <x:f>IF($A63="","",COUNTIFS(CaseLedger!$F:$F,$A63,CaseLedger!$B:$B,"TRUE",CaseLedger!$K:$K,"Livelihood"))</x:f>
      </x:c>
      <x:c r="I63" t="str">
        <x:f>IF($A63="","",COUNTIFS(CaseLedger!$F:$F,$A63,CaseLedger!$B:$B,"TRUE",CaseLedger!$K:$K,"Skill Sponsorship"))</x:f>
      </x:c>
      <x:c r="J63" t="str">
        <x:f>IF($A63="","",COUNTIFS(CaseLedger!$F:$F,$A63,CaseLedger!$B:$B,"TRUE",CaseLedger!$K:$K,"Emergency Support"))</x:f>
      </x:c>
      <x:c r="K63" t="str">
        <x:f>IF($A63="","",COUNTIFS(CaseLedger!$F:$F,$A63,CaseLedger!$B:$B,"TRUE",CaseLedger!$K:$K,"Community Support"))</x:f>
      </x:c>
      <x:c r="L63" t="str">
        <x:f>IF($A63="","",SUMIFS(CaseLedger!$M:$M,CaseLedger!$F:$F,$A63,CaseLedger!$B:$B,"TRUE"))</x:f>
      </x:c>
      <x:c r="M63" t="str">
        <x:f>IF($A63="","",SUMIFS(CaseLedger!$N:$N,CaseLedger!$F:$F,$A63,CaseLedger!$B:$B,"TRUE"))</x:f>
      </x:c>
      <x:c r="N63" t="str">
        <x:f>IF($A63="","",0)</x:f>
      </x:c>
      <x:c r="O63" t="str">
        <x:f>IF($A63="","",SUMIFS(CaseLedger!$O:$O,CaseLedger!$F:$F,$A63,CaseLedger!$B:$B,"TRUE"))</x:f>
      </x:c>
      <x:c r="P63" t="str">
        <x:f>IF($A63="","",IFERROR(VLOOKUP($A63,MonthlyFinance!$A:$G,4,FALSE),""))</x:f>
      </x:c>
      <x:c r="Q63" t="str">
        <x:f>IF($A63="","",IFERROR(VLOOKUP($A63,MonthlyFinance!$A:$G,5,FALSE),""))</x:f>
      </x:c>
      <x:c r="R63" t="str">
        <x:f>IF($A63="","",IFERROR(VLOOKUP($A63,MonthlyFinance!$A:$G,6,FALSE),""))</x:f>
      </x:c>
      <x:c r="S63" t="str">
        <x:f>IF($A63="","","Formula-linked from CaseLedger; finance fields from MonthlyFinance.")</x:f>
      </x:c>
      <x:c r="T63" t="str">
        <x:f>IF($A63="","","TRUE")</x:f>
      </x:c>
    </x:row>
    <x:row r="64">
      <x:c r="D64" t="str">
        <x:f>IF($A64="","",COUNTIFS(CaseLedger!$F:$F,$A64,CaseLedger!$B:$B,"TRUE"))</x:f>
      </x:c>
      <x:c r="E64" t="str">
        <x:f>IF($A64="","",COUNTIFS(CaseLedger!$F:$F,$A64,CaseLedger!$B:$B,"TRUE",CaseLedger!$P:$P,"Zakat"))</x:f>
      </x:c>
      <x:c r="F64" t="str">
        <x:f>IF($A64="","",COUNTIFS(CaseLedger!$F:$F,$A64,CaseLedger!$B:$B,"TRUE",CaseLedger!$P:$P,"Sadaqah"))</x:f>
      </x:c>
      <x:c r="G64" t="str">
        <x:f>IF($A64="","",COUNTIFS(CaseLedger!$F:$F,$A64,CaseLedger!$B:$B,"TRUE",CaseLedger!$P:$P,"Mixed"))</x:f>
      </x:c>
      <x:c r="H64" t="str">
        <x:f>IF($A64="","",COUNTIFS(CaseLedger!$F:$F,$A64,CaseLedger!$B:$B,"TRUE",CaseLedger!$K:$K,"Livelihood"))</x:f>
      </x:c>
      <x:c r="I64" t="str">
        <x:f>IF($A64="","",COUNTIFS(CaseLedger!$F:$F,$A64,CaseLedger!$B:$B,"TRUE",CaseLedger!$K:$K,"Skill Sponsorship"))</x:f>
      </x:c>
      <x:c r="J64" t="str">
        <x:f>IF($A64="","",COUNTIFS(CaseLedger!$F:$F,$A64,CaseLedger!$B:$B,"TRUE",CaseLedger!$K:$K,"Emergency Support"))</x:f>
      </x:c>
      <x:c r="K64" t="str">
        <x:f>IF($A64="","",COUNTIFS(CaseLedger!$F:$F,$A64,CaseLedger!$B:$B,"TRUE",CaseLedger!$K:$K,"Community Support"))</x:f>
      </x:c>
      <x:c r="L64" t="str">
        <x:f>IF($A64="","",SUMIFS(CaseLedger!$M:$M,CaseLedger!$F:$F,$A64,CaseLedger!$B:$B,"TRUE"))</x:f>
      </x:c>
      <x:c r="M64" t="str">
        <x:f>IF($A64="","",SUMIFS(CaseLedger!$N:$N,CaseLedger!$F:$F,$A64,CaseLedger!$B:$B,"TRUE"))</x:f>
      </x:c>
      <x:c r="N64" t="str">
        <x:f>IF($A64="","",0)</x:f>
      </x:c>
      <x:c r="O64" t="str">
        <x:f>IF($A64="","",SUMIFS(CaseLedger!$O:$O,CaseLedger!$F:$F,$A64,CaseLedger!$B:$B,"TRUE"))</x:f>
      </x:c>
      <x:c r="P64" t="str">
        <x:f>IF($A64="","",IFERROR(VLOOKUP($A64,MonthlyFinance!$A:$G,4,FALSE),""))</x:f>
      </x:c>
      <x:c r="Q64" t="str">
        <x:f>IF($A64="","",IFERROR(VLOOKUP($A64,MonthlyFinance!$A:$G,5,FALSE),""))</x:f>
      </x:c>
      <x:c r="R64" t="str">
        <x:f>IF($A64="","",IFERROR(VLOOKUP($A64,MonthlyFinance!$A:$G,6,FALSE),""))</x:f>
      </x:c>
      <x:c r="S64" t="str">
        <x:f>IF($A64="","","Formula-linked from CaseLedger; finance fields from MonthlyFinance.")</x:f>
      </x:c>
      <x:c r="T64" t="str">
        <x:f>IF($A64="","","TRUE")</x:f>
      </x:c>
    </x:row>
    <x:row r="65">
      <x:c r="D65" t="str">
        <x:f>IF($A65="","",COUNTIFS(CaseLedger!$F:$F,$A65,CaseLedger!$B:$B,"TRUE"))</x:f>
      </x:c>
      <x:c r="E65" t="str">
        <x:f>IF($A65="","",COUNTIFS(CaseLedger!$F:$F,$A65,CaseLedger!$B:$B,"TRUE",CaseLedger!$P:$P,"Zakat"))</x:f>
      </x:c>
      <x:c r="F65" t="str">
        <x:f>IF($A65="","",COUNTIFS(CaseLedger!$F:$F,$A65,CaseLedger!$B:$B,"TRUE",CaseLedger!$P:$P,"Sadaqah"))</x:f>
      </x:c>
      <x:c r="G65" t="str">
        <x:f>IF($A65="","",COUNTIFS(CaseLedger!$F:$F,$A65,CaseLedger!$B:$B,"TRUE",CaseLedger!$P:$P,"Mixed"))</x:f>
      </x:c>
      <x:c r="H65" t="str">
        <x:f>IF($A65="","",COUNTIFS(CaseLedger!$F:$F,$A65,CaseLedger!$B:$B,"TRUE",CaseLedger!$K:$K,"Livelihood"))</x:f>
      </x:c>
      <x:c r="I65" t="str">
        <x:f>IF($A65="","",COUNTIFS(CaseLedger!$F:$F,$A65,CaseLedger!$B:$B,"TRUE",CaseLedger!$K:$K,"Skill Sponsorship"))</x:f>
      </x:c>
      <x:c r="J65" t="str">
        <x:f>IF($A65="","",COUNTIFS(CaseLedger!$F:$F,$A65,CaseLedger!$B:$B,"TRUE",CaseLedger!$K:$K,"Emergency Support"))</x:f>
      </x:c>
      <x:c r="K65" t="str">
        <x:f>IF($A65="","",COUNTIFS(CaseLedger!$F:$F,$A65,CaseLedger!$B:$B,"TRUE",CaseLedger!$K:$K,"Community Support"))</x:f>
      </x:c>
      <x:c r="L65" t="str">
        <x:f>IF($A65="","",SUMIFS(CaseLedger!$M:$M,CaseLedger!$F:$F,$A65,CaseLedger!$B:$B,"TRUE"))</x:f>
      </x:c>
      <x:c r="M65" t="str">
        <x:f>IF($A65="","",SUMIFS(CaseLedger!$N:$N,CaseLedger!$F:$F,$A65,CaseLedger!$B:$B,"TRUE"))</x:f>
      </x:c>
      <x:c r="N65" t="str">
        <x:f>IF($A65="","",0)</x:f>
      </x:c>
      <x:c r="O65" t="str">
        <x:f>IF($A65="","",SUMIFS(CaseLedger!$O:$O,CaseLedger!$F:$F,$A65,CaseLedger!$B:$B,"TRUE"))</x:f>
      </x:c>
      <x:c r="P65" t="str">
        <x:f>IF($A65="","",IFERROR(VLOOKUP($A65,MonthlyFinance!$A:$G,4,FALSE),""))</x:f>
      </x:c>
      <x:c r="Q65" t="str">
        <x:f>IF($A65="","",IFERROR(VLOOKUP($A65,MonthlyFinance!$A:$G,5,FALSE),""))</x:f>
      </x:c>
      <x:c r="R65" t="str">
        <x:f>IF($A65="","",IFERROR(VLOOKUP($A65,MonthlyFinance!$A:$G,6,FALSE),""))</x:f>
      </x:c>
      <x:c r="S65" t="str">
        <x:f>IF($A65="","","Formula-linked from CaseLedger; finance fields from MonthlyFinance.")</x:f>
      </x:c>
      <x:c r="T65" t="str">
        <x:f>IF($A65="","","TRUE")</x:f>
      </x:c>
    </x:row>
    <x:row r="66">
      <x:c r="D66" t="str">
        <x:f>IF($A66="","",COUNTIFS(CaseLedger!$F:$F,$A66,CaseLedger!$B:$B,"TRUE"))</x:f>
      </x:c>
      <x:c r="E66" t="str">
        <x:f>IF($A66="","",COUNTIFS(CaseLedger!$F:$F,$A66,CaseLedger!$B:$B,"TRUE",CaseLedger!$P:$P,"Zakat"))</x:f>
      </x:c>
      <x:c r="F66" t="str">
        <x:f>IF($A66="","",COUNTIFS(CaseLedger!$F:$F,$A66,CaseLedger!$B:$B,"TRUE",CaseLedger!$P:$P,"Sadaqah"))</x:f>
      </x:c>
      <x:c r="G66" t="str">
        <x:f>IF($A66="","",COUNTIFS(CaseLedger!$F:$F,$A66,CaseLedger!$B:$B,"TRUE",CaseLedger!$P:$P,"Mixed"))</x:f>
      </x:c>
      <x:c r="H66" t="str">
        <x:f>IF($A66="","",COUNTIFS(CaseLedger!$F:$F,$A66,CaseLedger!$B:$B,"TRUE",CaseLedger!$K:$K,"Livelihood"))</x:f>
      </x:c>
      <x:c r="I66" t="str">
        <x:f>IF($A66="","",COUNTIFS(CaseLedger!$F:$F,$A66,CaseLedger!$B:$B,"TRUE",CaseLedger!$K:$K,"Skill Sponsorship"))</x:f>
      </x:c>
      <x:c r="J66" t="str">
        <x:f>IF($A66="","",COUNTIFS(CaseLedger!$F:$F,$A66,CaseLedger!$B:$B,"TRUE",CaseLedger!$K:$K,"Emergency Support"))</x:f>
      </x:c>
      <x:c r="K66" t="str">
        <x:f>IF($A66="","",COUNTIFS(CaseLedger!$F:$F,$A66,CaseLedger!$B:$B,"TRUE",CaseLedger!$K:$K,"Community Support"))</x:f>
      </x:c>
      <x:c r="L66" t="str">
        <x:f>IF($A66="","",SUMIFS(CaseLedger!$M:$M,CaseLedger!$F:$F,$A66,CaseLedger!$B:$B,"TRUE"))</x:f>
      </x:c>
      <x:c r="M66" t="str">
        <x:f>IF($A66="","",SUMIFS(CaseLedger!$N:$N,CaseLedger!$F:$F,$A66,CaseLedger!$B:$B,"TRUE"))</x:f>
      </x:c>
      <x:c r="N66" t="str">
        <x:f>IF($A66="","",0)</x:f>
      </x:c>
      <x:c r="O66" t="str">
        <x:f>IF($A66="","",SUMIFS(CaseLedger!$O:$O,CaseLedger!$F:$F,$A66,CaseLedger!$B:$B,"TRUE"))</x:f>
      </x:c>
      <x:c r="P66" t="str">
        <x:f>IF($A66="","",IFERROR(VLOOKUP($A66,MonthlyFinance!$A:$G,4,FALSE),""))</x:f>
      </x:c>
      <x:c r="Q66" t="str">
        <x:f>IF($A66="","",IFERROR(VLOOKUP($A66,MonthlyFinance!$A:$G,5,FALSE),""))</x:f>
      </x:c>
      <x:c r="R66" t="str">
        <x:f>IF($A66="","",IFERROR(VLOOKUP($A66,MonthlyFinance!$A:$G,6,FALSE),""))</x:f>
      </x:c>
      <x:c r="S66" t="str">
        <x:f>IF($A66="","","Formula-linked from CaseLedger; finance fields from MonthlyFinance.")</x:f>
      </x:c>
      <x:c r="T66" t="str">
        <x:f>IF($A66="","","TRUE")</x:f>
      </x:c>
    </x:row>
    <x:row r="67">
      <x:c r="D67" t="str">
        <x:f>IF($A67="","",COUNTIFS(CaseLedger!$F:$F,$A67,CaseLedger!$B:$B,"TRUE"))</x:f>
      </x:c>
      <x:c r="E67" t="str">
        <x:f>IF($A67="","",COUNTIFS(CaseLedger!$F:$F,$A67,CaseLedger!$B:$B,"TRUE",CaseLedger!$P:$P,"Zakat"))</x:f>
      </x:c>
      <x:c r="F67" t="str">
        <x:f>IF($A67="","",COUNTIFS(CaseLedger!$F:$F,$A67,CaseLedger!$B:$B,"TRUE",CaseLedger!$P:$P,"Sadaqah"))</x:f>
      </x:c>
      <x:c r="G67" t="str">
        <x:f>IF($A67="","",COUNTIFS(CaseLedger!$F:$F,$A67,CaseLedger!$B:$B,"TRUE",CaseLedger!$P:$P,"Mixed"))</x:f>
      </x:c>
      <x:c r="H67" t="str">
        <x:f>IF($A67="","",COUNTIFS(CaseLedger!$F:$F,$A67,CaseLedger!$B:$B,"TRUE",CaseLedger!$K:$K,"Livelihood"))</x:f>
      </x:c>
      <x:c r="I67" t="str">
        <x:f>IF($A67="","",COUNTIFS(CaseLedger!$F:$F,$A67,CaseLedger!$B:$B,"TRUE",CaseLedger!$K:$K,"Skill Sponsorship"))</x:f>
      </x:c>
      <x:c r="J67" t="str">
        <x:f>IF($A67="","",COUNTIFS(CaseLedger!$F:$F,$A67,CaseLedger!$B:$B,"TRUE",CaseLedger!$K:$K,"Emergency Support"))</x:f>
      </x:c>
      <x:c r="K67" t="str">
        <x:f>IF($A67="","",COUNTIFS(CaseLedger!$F:$F,$A67,CaseLedger!$B:$B,"TRUE",CaseLedger!$K:$K,"Community Support"))</x:f>
      </x:c>
      <x:c r="L67" t="str">
        <x:f>IF($A67="","",SUMIFS(CaseLedger!$M:$M,CaseLedger!$F:$F,$A67,CaseLedger!$B:$B,"TRUE"))</x:f>
      </x:c>
      <x:c r="M67" t="str">
        <x:f>IF($A67="","",SUMIFS(CaseLedger!$N:$N,CaseLedger!$F:$F,$A67,CaseLedger!$B:$B,"TRUE"))</x:f>
      </x:c>
      <x:c r="N67" t="str">
        <x:f>IF($A67="","",0)</x:f>
      </x:c>
      <x:c r="O67" t="str">
        <x:f>IF($A67="","",SUMIFS(CaseLedger!$O:$O,CaseLedger!$F:$F,$A67,CaseLedger!$B:$B,"TRUE"))</x:f>
      </x:c>
      <x:c r="P67" t="str">
        <x:f>IF($A67="","",IFERROR(VLOOKUP($A67,MonthlyFinance!$A:$G,4,FALSE),""))</x:f>
      </x:c>
      <x:c r="Q67" t="str">
        <x:f>IF($A67="","",IFERROR(VLOOKUP($A67,MonthlyFinance!$A:$G,5,FALSE),""))</x:f>
      </x:c>
      <x:c r="R67" t="str">
        <x:f>IF($A67="","",IFERROR(VLOOKUP($A67,MonthlyFinance!$A:$G,6,FALSE),""))</x:f>
      </x:c>
      <x:c r="S67" t="str">
        <x:f>IF($A67="","","Formula-linked from CaseLedger; finance fields from MonthlyFinance.")</x:f>
      </x:c>
      <x:c r="T67" t="str">
        <x:f>IF($A67="","","TRUE")</x:f>
      </x:c>
    </x:row>
    <x:row r="68">
      <x:c r="D68" t="str">
        <x:f>IF($A68="","",COUNTIFS(CaseLedger!$F:$F,$A68,CaseLedger!$B:$B,"TRUE"))</x:f>
      </x:c>
      <x:c r="E68" t="str">
        <x:f>IF($A68="","",COUNTIFS(CaseLedger!$F:$F,$A68,CaseLedger!$B:$B,"TRUE",CaseLedger!$P:$P,"Zakat"))</x:f>
      </x:c>
      <x:c r="F68" t="str">
        <x:f>IF($A68="","",COUNTIFS(CaseLedger!$F:$F,$A68,CaseLedger!$B:$B,"TRUE",CaseLedger!$P:$P,"Sadaqah"))</x:f>
      </x:c>
      <x:c r="G68" t="str">
        <x:f>IF($A68="","",COUNTIFS(CaseLedger!$F:$F,$A68,CaseLedger!$B:$B,"TRUE",CaseLedger!$P:$P,"Mixed"))</x:f>
      </x:c>
      <x:c r="H68" t="str">
        <x:f>IF($A68="","",COUNTIFS(CaseLedger!$F:$F,$A68,CaseLedger!$B:$B,"TRUE",CaseLedger!$K:$K,"Livelihood"))</x:f>
      </x:c>
      <x:c r="I68" t="str">
        <x:f>IF($A68="","",COUNTIFS(CaseLedger!$F:$F,$A68,CaseLedger!$B:$B,"TRUE",CaseLedger!$K:$K,"Skill Sponsorship"))</x:f>
      </x:c>
      <x:c r="J68" t="str">
        <x:f>IF($A68="","",COUNTIFS(CaseLedger!$F:$F,$A68,CaseLedger!$B:$B,"TRUE",CaseLedger!$K:$K,"Emergency Support"))</x:f>
      </x:c>
      <x:c r="K68" t="str">
        <x:f>IF($A68="","",COUNTIFS(CaseLedger!$F:$F,$A68,CaseLedger!$B:$B,"TRUE",CaseLedger!$K:$K,"Community Support"))</x:f>
      </x:c>
      <x:c r="L68" t="str">
        <x:f>IF($A68="","",SUMIFS(CaseLedger!$M:$M,CaseLedger!$F:$F,$A68,CaseLedger!$B:$B,"TRUE"))</x:f>
      </x:c>
      <x:c r="M68" t="str">
        <x:f>IF($A68="","",SUMIFS(CaseLedger!$N:$N,CaseLedger!$F:$F,$A68,CaseLedger!$B:$B,"TRUE"))</x:f>
      </x:c>
      <x:c r="N68" t="str">
        <x:f>IF($A68="","",0)</x:f>
      </x:c>
      <x:c r="O68" t="str">
        <x:f>IF($A68="","",SUMIFS(CaseLedger!$O:$O,CaseLedger!$F:$F,$A68,CaseLedger!$B:$B,"TRUE"))</x:f>
      </x:c>
      <x:c r="P68" t="str">
        <x:f>IF($A68="","",IFERROR(VLOOKUP($A68,MonthlyFinance!$A:$G,4,FALSE),""))</x:f>
      </x:c>
      <x:c r="Q68" t="str">
        <x:f>IF($A68="","",IFERROR(VLOOKUP($A68,MonthlyFinance!$A:$G,5,FALSE),""))</x:f>
      </x:c>
      <x:c r="R68" t="str">
        <x:f>IF($A68="","",IFERROR(VLOOKUP($A68,MonthlyFinance!$A:$G,6,FALSE),""))</x:f>
      </x:c>
      <x:c r="S68" t="str">
        <x:f>IF($A68="","","Formula-linked from CaseLedger; finance fields from MonthlyFinance.")</x:f>
      </x:c>
      <x:c r="T68" t="str">
        <x:f>IF($A68="","","TRUE")</x:f>
      </x:c>
    </x:row>
    <x:row r="69">
      <x:c r="D69" t="str">
        <x:f>IF($A69="","",COUNTIFS(CaseLedger!$F:$F,$A69,CaseLedger!$B:$B,"TRUE"))</x:f>
      </x:c>
      <x:c r="E69" t="str">
        <x:f>IF($A69="","",COUNTIFS(CaseLedger!$F:$F,$A69,CaseLedger!$B:$B,"TRUE",CaseLedger!$P:$P,"Zakat"))</x:f>
      </x:c>
      <x:c r="F69" t="str">
        <x:f>IF($A69="","",COUNTIFS(CaseLedger!$F:$F,$A69,CaseLedger!$B:$B,"TRUE",CaseLedger!$P:$P,"Sadaqah"))</x:f>
      </x:c>
      <x:c r="G69" t="str">
        <x:f>IF($A69="","",COUNTIFS(CaseLedger!$F:$F,$A69,CaseLedger!$B:$B,"TRUE",CaseLedger!$P:$P,"Mixed"))</x:f>
      </x:c>
      <x:c r="H69" t="str">
        <x:f>IF($A69="","",COUNTIFS(CaseLedger!$F:$F,$A69,CaseLedger!$B:$B,"TRUE",CaseLedger!$K:$K,"Livelihood"))</x:f>
      </x:c>
      <x:c r="I69" t="str">
        <x:f>IF($A69="","",COUNTIFS(CaseLedger!$F:$F,$A69,CaseLedger!$B:$B,"TRUE",CaseLedger!$K:$K,"Skill Sponsorship"))</x:f>
      </x:c>
      <x:c r="J69" t="str">
        <x:f>IF($A69="","",COUNTIFS(CaseLedger!$F:$F,$A69,CaseLedger!$B:$B,"TRUE",CaseLedger!$K:$K,"Emergency Support"))</x:f>
      </x:c>
      <x:c r="K69" t="str">
        <x:f>IF($A69="","",COUNTIFS(CaseLedger!$F:$F,$A69,CaseLedger!$B:$B,"TRUE",CaseLedger!$K:$K,"Community Support"))</x:f>
      </x:c>
      <x:c r="L69" t="str">
        <x:f>IF($A69="","",SUMIFS(CaseLedger!$M:$M,CaseLedger!$F:$F,$A69,CaseLedger!$B:$B,"TRUE"))</x:f>
      </x:c>
      <x:c r="M69" t="str">
        <x:f>IF($A69="","",SUMIFS(CaseLedger!$N:$N,CaseLedger!$F:$F,$A69,CaseLedger!$B:$B,"TRUE"))</x:f>
      </x:c>
      <x:c r="N69" t="str">
        <x:f>IF($A69="","",0)</x:f>
      </x:c>
      <x:c r="O69" t="str">
        <x:f>IF($A69="","",SUMIFS(CaseLedger!$O:$O,CaseLedger!$F:$F,$A69,CaseLedger!$B:$B,"TRUE"))</x:f>
      </x:c>
      <x:c r="P69" t="str">
        <x:f>IF($A69="","",IFERROR(VLOOKUP($A69,MonthlyFinance!$A:$G,4,FALSE),""))</x:f>
      </x:c>
      <x:c r="Q69" t="str">
        <x:f>IF($A69="","",IFERROR(VLOOKUP($A69,MonthlyFinance!$A:$G,5,FALSE),""))</x:f>
      </x:c>
      <x:c r="R69" t="str">
        <x:f>IF($A69="","",IFERROR(VLOOKUP($A69,MonthlyFinance!$A:$G,6,FALSE),""))</x:f>
      </x:c>
      <x:c r="S69" t="str">
        <x:f>IF($A69="","","Formula-linked from CaseLedger; finance fields from MonthlyFinance.")</x:f>
      </x:c>
      <x:c r="T69" t="str">
        <x:f>IF($A69="","","TRUE")</x:f>
      </x:c>
    </x:row>
    <x:row r="70">
      <x:c r="D70" t="str">
        <x:f>IF($A70="","",COUNTIFS(CaseLedger!$F:$F,$A70,CaseLedger!$B:$B,"TRUE"))</x:f>
      </x:c>
      <x:c r="E70" t="str">
        <x:f>IF($A70="","",COUNTIFS(CaseLedger!$F:$F,$A70,CaseLedger!$B:$B,"TRUE",CaseLedger!$P:$P,"Zakat"))</x:f>
      </x:c>
      <x:c r="F70" t="str">
        <x:f>IF($A70="","",COUNTIFS(CaseLedger!$F:$F,$A70,CaseLedger!$B:$B,"TRUE",CaseLedger!$P:$P,"Sadaqah"))</x:f>
      </x:c>
      <x:c r="G70" t="str">
        <x:f>IF($A70="","",COUNTIFS(CaseLedger!$F:$F,$A70,CaseLedger!$B:$B,"TRUE",CaseLedger!$P:$P,"Mixed"))</x:f>
      </x:c>
      <x:c r="H70" t="str">
        <x:f>IF($A70="","",COUNTIFS(CaseLedger!$F:$F,$A70,CaseLedger!$B:$B,"TRUE",CaseLedger!$K:$K,"Livelihood"))</x:f>
      </x:c>
      <x:c r="I70" t="str">
        <x:f>IF($A70="","",COUNTIFS(CaseLedger!$F:$F,$A70,CaseLedger!$B:$B,"TRUE",CaseLedger!$K:$K,"Skill Sponsorship"))</x:f>
      </x:c>
      <x:c r="J70" t="str">
        <x:f>IF($A70="","",COUNTIFS(CaseLedger!$F:$F,$A70,CaseLedger!$B:$B,"TRUE",CaseLedger!$K:$K,"Emergency Support"))</x:f>
      </x:c>
      <x:c r="K70" t="str">
        <x:f>IF($A70="","",COUNTIFS(CaseLedger!$F:$F,$A70,CaseLedger!$B:$B,"TRUE",CaseLedger!$K:$K,"Community Support"))</x:f>
      </x:c>
      <x:c r="L70" t="str">
        <x:f>IF($A70="","",SUMIFS(CaseLedger!$M:$M,CaseLedger!$F:$F,$A70,CaseLedger!$B:$B,"TRUE"))</x:f>
      </x:c>
      <x:c r="M70" t="str">
        <x:f>IF($A70="","",SUMIFS(CaseLedger!$N:$N,CaseLedger!$F:$F,$A70,CaseLedger!$B:$B,"TRUE"))</x:f>
      </x:c>
      <x:c r="N70" t="str">
        <x:f>IF($A70="","",0)</x:f>
      </x:c>
      <x:c r="O70" t="str">
        <x:f>IF($A70="","",SUMIFS(CaseLedger!$O:$O,CaseLedger!$F:$F,$A70,CaseLedger!$B:$B,"TRUE"))</x:f>
      </x:c>
      <x:c r="P70" t="str">
        <x:f>IF($A70="","",IFERROR(VLOOKUP($A70,MonthlyFinance!$A:$G,4,FALSE),""))</x:f>
      </x:c>
      <x:c r="Q70" t="str">
        <x:f>IF($A70="","",IFERROR(VLOOKUP($A70,MonthlyFinance!$A:$G,5,FALSE),""))</x:f>
      </x:c>
      <x:c r="R70" t="str">
        <x:f>IF($A70="","",IFERROR(VLOOKUP($A70,MonthlyFinance!$A:$G,6,FALSE),""))</x:f>
      </x:c>
      <x:c r="S70" t="str">
        <x:f>IF($A70="","","Formula-linked from CaseLedger; finance fields from MonthlyFinance.")</x:f>
      </x:c>
      <x:c r="T70" t="str">
        <x:f>IF($A70="","","TRUE")</x:f>
      </x:c>
    </x:row>
    <x:row r="71">
      <x:c r="D71" t="str">
        <x:f>IF($A71="","",COUNTIFS(CaseLedger!$F:$F,$A71,CaseLedger!$B:$B,"TRUE"))</x:f>
      </x:c>
      <x:c r="E71" t="str">
        <x:f>IF($A71="","",COUNTIFS(CaseLedger!$F:$F,$A71,CaseLedger!$B:$B,"TRUE",CaseLedger!$P:$P,"Zakat"))</x:f>
      </x:c>
      <x:c r="F71" t="str">
        <x:f>IF($A71="","",COUNTIFS(CaseLedger!$F:$F,$A71,CaseLedger!$B:$B,"TRUE",CaseLedger!$P:$P,"Sadaqah"))</x:f>
      </x:c>
      <x:c r="G71" t="str">
        <x:f>IF($A71="","",COUNTIFS(CaseLedger!$F:$F,$A71,CaseLedger!$B:$B,"TRUE",CaseLedger!$P:$P,"Mixed"))</x:f>
      </x:c>
      <x:c r="H71" t="str">
        <x:f>IF($A71="","",COUNTIFS(CaseLedger!$F:$F,$A71,CaseLedger!$B:$B,"TRUE",CaseLedger!$K:$K,"Livelihood"))</x:f>
      </x:c>
      <x:c r="I71" t="str">
        <x:f>IF($A71="","",COUNTIFS(CaseLedger!$F:$F,$A71,CaseLedger!$B:$B,"TRUE",CaseLedger!$K:$K,"Skill Sponsorship"))</x:f>
      </x:c>
      <x:c r="J71" t="str">
        <x:f>IF($A71="","",COUNTIFS(CaseLedger!$F:$F,$A71,CaseLedger!$B:$B,"TRUE",CaseLedger!$K:$K,"Emergency Support"))</x:f>
      </x:c>
      <x:c r="K71" t="str">
        <x:f>IF($A71="","",COUNTIFS(CaseLedger!$F:$F,$A71,CaseLedger!$B:$B,"TRUE",CaseLedger!$K:$K,"Community Support"))</x:f>
      </x:c>
      <x:c r="L71" t="str">
        <x:f>IF($A71="","",SUMIFS(CaseLedger!$M:$M,CaseLedger!$F:$F,$A71,CaseLedger!$B:$B,"TRUE"))</x:f>
      </x:c>
      <x:c r="M71" t="str">
        <x:f>IF($A71="","",SUMIFS(CaseLedger!$N:$N,CaseLedger!$F:$F,$A71,CaseLedger!$B:$B,"TRUE"))</x:f>
      </x:c>
      <x:c r="N71" t="str">
        <x:f>IF($A71="","",0)</x:f>
      </x:c>
      <x:c r="O71" t="str">
        <x:f>IF($A71="","",SUMIFS(CaseLedger!$O:$O,CaseLedger!$F:$F,$A71,CaseLedger!$B:$B,"TRUE"))</x:f>
      </x:c>
      <x:c r="P71" t="str">
        <x:f>IF($A71="","",IFERROR(VLOOKUP($A71,MonthlyFinance!$A:$G,4,FALSE),""))</x:f>
      </x:c>
      <x:c r="Q71" t="str">
        <x:f>IF($A71="","",IFERROR(VLOOKUP($A71,MonthlyFinance!$A:$G,5,FALSE),""))</x:f>
      </x:c>
      <x:c r="R71" t="str">
        <x:f>IF($A71="","",IFERROR(VLOOKUP($A71,MonthlyFinance!$A:$G,6,FALSE),""))</x:f>
      </x:c>
      <x:c r="S71" t="str">
        <x:f>IF($A71="","","Formula-linked from CaseLedger; finance fields from MonthlyFinance.")</x:f>
      </x:c>
      <x:c r="T71" t="str">
        <x:f>IF($A71="","","TRUE")</x:f>
      </x:c>
    </x:row>
    <x:row r="72">
      <x:c r="D72" t="str">
        <x:f>IF($A72="","",COUNTIFS(CaseLedger!$F:$F,$A72,CaseLedger!$B:$B,"TRUE"))</x:f>
      </x:c>
      <x:c r="E72" t="str">
        <x:f>IF($A72="","",COUNTIFS(CaseLedger!$F:$F,$A72,CaseLedger!$B:$B,"TRUE",CaseLedger!$P:$P,"Zakat"))</x:f>
      </x:c>
      <x:c r="F72" t="str">
        <x:f>IF($A72="","",COUNTIFS(CaseLedger!$F:$F,$A72,CaseLedger!$B:$B,"TRUE",CaseLedger!$P:$P,"Sadaqah"))</x:f>
      </x:c>
      <x:c r="G72" t="str">
        <x:f>IF($A72="","",COUNTIFS(CaseLedger!$F:$F,$A72,CaseLedger!$B:$B,"TRUE",CaseLedger!$P:$P,"Mixed"))</x:f>
      </x:c>
      <x:c r="H72" t="str">
        <x:f>IF($A72="","",COUNTIFS(CaseLedger!$F:$F,$A72,CaseLedger!$B:$B,"TRUE",CaseLedger!$K:$K,"Livelihood"))</x:f>
      </x:c>
      <x:c r="I72" t="str">
        <x:f>IF($A72="","",COUNTIFS(CaseLedger!$F:$F,$A72,CaseLedger!$B:$B,"TRUE",CaseLedger!$K:$K,"Skill Sponsorship"))</x:f>
      </x:c>
      <x:c r="J72" t="str">
        <x:f>IF($A72="","",COUNTIFS(CaseLedger!$F:$F,$A72,CaseLedger!$B:$B,"TRUE",CaseLedger!$K:$K,"Emergency Support"))</x:f>
      </x:c>
      <x:c r="K72" t="str">
        <x:f>IF($A72="","",COUNTIFS(CaseLedger!$F:$F,$A72,CaseLedger!$B:$B,"TRUE",CaseLedger!$K:$K,"Community Support"))</x:f>
      </x:c>
      <x:c r="L72" t="str">
        <x:f>IF($A72="","",SUMIFS(CaseLedger!$M:$M,CaseLedger!$F:$F,$A72,CaseLedger!$B:$B,"TRUE"))</x:f>
      </x:c>
      <x:c r="M72" t="str">
        <x:f>IF($A72="","",SUMIFS(CaseLedger!$N:$N,CaseLedger!$F:$F,$A72,CaseLedger!$B:$B,"TRUE"))</x:f>
      </x:c>
      <x:c r="N72" t="str">
        <x:f>IF($A72="","",0)</x:f>
      </x:c>
      <x:c r="O72" t="str">
        <x:f>IF($A72="","",SUMIFS(CaseLedger!$O:$O,CaseLedger!$F:$F,$A72,CaseLedger!$B:$B,"TRUE"))</x:f>
      </x:c>
      <x:c r="P72" t="str">
        <x:f>IF($A72="","",IFERROR(VLOOKUP($A72,MonthlyFinance!$A:$G,4,FALSE),""))</x:f>
      </x:c>
      <x:c r="Q72" t="str">
        <x:f>IF($A72="","",IFERROR(VLOOKUP($A72,MonthlyFinance!$A:$G,5,FALSE),""))</x:f>
      </x:c>
      <x:c r="R72" t="str">
        <x:f>IF($A72="","",IFERROR(VLOOKUP($A72,MonthlyFinance!$A:$G,6,FALSE),""))</x:f>
      </x:c>
      <x:c r="S72" t="str">
        <x:f>IF($A72="","","Formula-linked from CaseLedger; finance fields from MonthlyFinance.")</x:f>
      </x:c>
      <x:c r="T72" t="str">
        <x:f>IF($A72="","","TRUE")</x:f>
      </x:c>
    </x:row>
    <x:row r="73">
      <x:c r="D73" t="str">
        <x:f>IF($A73="","",COUNTIFS(CaseLedger!$F:$F,$A73,CaseLedger!$B:$B,"TRUE"))</x:f>
      </x:c>
      <x:c r="E73" t="str">
        <x:f>IF($A73="","",COUNTIFS(CaseLedger!$F:$F,$A73,CaseLedger!$B:$B,"TRUE",CaseLedger!$P:$P,"Zakat"))</x:f>
      </x:c>
      <x:c r="F73" t="str">
        <x:f>IF($A73="","",COUNTIFS(CaseLedger!$F:$F,$A73,CaseLedger!$B:$B,"TRUE",CaseLedger!$P:$P,"Sadaqah"))</x:f>
      </x:c>
      <x:c r="G73" t="str">
        <x:f>IF($A73="","",COUNTIFS(CaseLedger!$F:$F,$A73,CaseLedger!$B:$B,"TRUE",CaseLedger!$P:$P,"Mixed"))</x:f>
      </x:c>
      <x:c r="H73" t="str">
        <x:f>IF($A73="","",COUNTIFS(CaseLedger!$F:$F,$A73,CaseLedger!$B:$B,"TRUE",CaseLedger!$K:$K,"Livelihood"))</x:f>
      </x:c>
      <x:c r="I73" t="str">
        <x:f>IF($A73="","",COUNTIFS(CaseLedger!$F:$F,$A73,CaseLedger!$B:$B,"TRUE",CaseLedger!$K:$K,"Skill Sponsorship"))</x:f>
      </x:c>
      <x:c r="J73" t="str">
        <x:f>IF($A73="","",COUNTIFS(CaseLedger!$F:$F,$A73,CaseLedger!$B:$B,"TRUE",CaseLedger!$K:$K,"Emergency Support"))</x:f>
      </x:c>
      <x:c r="K73" t="str">
        <x:f>IF($A73="","",COUNTIFS(CaseLedger!$F:$F,$A73,CaseLedger!$B:$B,"TRUE",CaseLedger!$K:$K,"Community Support"))</x:f>
      </x:c>
      <x:c r="L73" t="str">
        <x:f>IF($A73="","",SUMIFS(CaseLedger!$M:$M,CaseLedger!$F:$F,$A73,CaseLedger!$B:$B,"TRUE"))</x:f>
      </x:c>
      <x:c r="M73" t="str">
        <x:f>IF($A73="","",SUMIFS(CaseLedger!$N:$N,CaseLedger!$F:$F,$A73,CaseLedger!$B:$B,"TRUE"))</x:f>
      </x:c>
      <x:c r="N73" t="str">
        <x:f>IF($A73="","",0)</x:f>
      </x:c>
      <x:c r="O73" t="str">
        <x:f>IF($A73="","",SUMIFS(CaseLedger!$O:$O,CaseLedger!$F:$F,$A73,CaseLedger!$B:$B,"TRUE"))</x:f>
      </x:c>
      <x:c r="P73" t="str">
        <x:f>IF($A73="","",IFERROR(VLOOKUP($A73,MonthlyFinance!$A:$G,4,FALSE),""))</x:f>
      </x:c>
      <x:c r="Q73" t="str">
        <x:f>IF($A73="","",IFERROR(VLOOKUP($A73,MonthlyFinance!$A:$G,5,FALSE),""))</x:f>
      </x:c>
      <x:c r="R73" t="str">
        <x:f>IF($A73="","",IFERROR(VLOOKUP($A73,MonthlyFinance!$A:$G,6,FALSE),""))</x:f>
      </x:c>
      <x:c r="S73" t="str">
        <x:f>IF($A73="","","Formula-linked from CaseLedger; finance fields from MonthlyFinance.")</x:f>
      </x:c>
      <x:c r="T73" t="str">
        <x:f>IF($A73="","","TRUE")</x:f>
      </x:c>
    </x:row>
    <x:row r="74">
      <x:c r="D74" t="str">
        <x:f>IF($A74="","",COUNTIFS(CaseLedger!$F:$F,$A74,CaseLedger!$B:$B,"TRUE"))</x:f>
      </x:c>
      <x:c r="E74" t="str">
        <x:f>IF($A74="","",COUNTIFS(CaseLedger!$F:$F,$A74,CaseLedger!$B:$B,"TRUE",CaseLedger!$P:$P,"Zakat"))</x:f>
      </x:c>
      <x:c r="F74" t="str">
        <x:f>IF($A74="","",COUNTIFS(CaseLedger!$F:$F,$A74,CaseLedger!$B:$B,"TRUE",CaseLedger!$P:$P,"Sadaqah"))</x:f>
      </x:c>
      <x:c r="G74" t="str">
        <x:f>IF($A74="","",COUNTIFS(CaseLedger!$F:$F,$A74,CaseLedger!$B:$B,"TRUE",CaseLedger!$P:$P,"Mixed"))</x:f>
      </x:c>
      <x:c r="H74" t="str">
        <x:f>IF($A74="","",COUNTIFS(CaseLedger!$F:$F,$A74,CaseLedger!$B:$B,"TRUE",CaseLedger!$K:$K,"Livelihood"))</x:f>
      </x:c>
      <x:c r="I74" t="str">
        <x:f>IF($A74="","",COUNTIFS(CaseLedger!$F:$F,$A74,CaseLedger!$B:$B,"TRUE",CaseLedger!$K:$K,"Skill Sponsorship"))</x:f>
      </x:c>
      <x:c r="J74" t="str">
        <x:f>IF($A74="","",COUNTIFS(CaseLedger!$F:$F,$A74,CaseLedger!$B:$B,"TRUE",CaseLedger!$K:$K,"Emergency Support"))</x:f>
      </x:c>
      <x:c r="K74" t="str">
        <x:f>IF($A74="","",COUNTIFS(CaseLedger!$F:$F,$A74,CaseLedger!$B:$B,"TRUE",CaseLedger!$K:$K,"Community Support"))</x:f>
      </x:c>
      <x:c r="L74" t="str">
        <x:f>IF($A74="","",SUMIFS(CaseLedger!$M:$M,CaseLedger!$F:$F,$A74,CaseLedger!$B:$B,"TRUE"))</x:f>
      </x:c>
      <x:c r="M74" t="str">
        <x:f>IF($A74="","",SUMIFS(CaseLedger!$N:$N,CaseLedger!$F:$F,$A74,CaseLedger!$B:$B,"TRUE"))</x:f>
      </x:c>
      <x:c r="N74" t="str">
        <x:f>IF($A74="","",0)</x:f>
      </x:c>
      <x:c r="O74" t="str">
        <x:f>IF($A74="","",SUMIFS(CaseLedger!$O:$O,CaseLedger!$F:$F,$A74,CaseLedger!$B:$B,"TRUE"))</x:f>
      </x:c>
      <x:c r="P74" t="str">
        <x:f>IF($A74="","",IFERROR(VLOOKUP($A74,MonthlyFinance!$A:$G,4,FALSE),""))</x:f>
      </x:c>
      <x:c r="Q74" t="str">
        <x:f>IF($A74="","",IFERROR(VLOOKUP($A74,MonthlyFinance!$A:$G,5,FALSE),""))</x:f>
      </x:c>
      <x:c r="R74" t="str">
        <x:f>IF($A74="","",IFERROR(VLOOKUP($A74,MonthlyFinance!$A:$G,6,FALSE),""))</x:f>
      </x:c>
      <x:c r="S74" t="str">
        <x:f>IF($A74="","","Formula-linked from CaseLedger; finance fields from MonthlyFinance.")</x:f>
      </x:c>
      <x:c r="T74" t="str">
        <x:f>IF($A74="","","TRUE")</x:f>
      </x:c>
    </x:row>
    <x:row r="75">
      <x:c r="D75" t="str">
        <x:f>IF($A75="","",COUNTIFS(CaseLedger!$F:$F,$A75,CaseLedger!$B:$B,"TRUE"))</x:f>
      </x:c>
      <x:c r="E75" t="str">
        <x:f>IF($A75="","",COUNTIFS(CaseLedger!$F:$F,$A75,CaseLedger!$B:$B,"TRUE",CaseLedger!$P:$P,"Zakat"))</x:f>
      </x:c>
      <x:c r="F75" t="str">
        <x:f>IF($A75="","",COUNTIFS(CaseLedger!$F:$F,$A75,CaseLedger!$B:$B,"TRUE",CaseLedger!$P:$P,"Sadaqah"))</x:f>
      </x:c>
      <x:c r="G75" t="str">
        <x:f>IF($A75="","",COUNTIFS(CaseLedger!$F:$F,$A75,CaseLedger!$B:$B,"TRUE",CaseLedger!$P:$P,"Mixed"))</x:f>
      </x:c>
      <x:c r="H75" t="str">
        <x:f>IF($A75="","",COUNTIFS(CaseLedger!$F:$F,$A75,CaseLedger!$B:$B,"TRUE",CaseLedger!$K:$K,"Livelihood"))</x:f>
      </x:c>
      <x:c r="I75" t="str">
        <x:f>IF($A75="","",COUNTIFS(CaseLedger!$F:$F,$A75,CaseLedger!$B:$B,"TRUE",CaseLedger!$K:$K,"Skill Sponsorship"))</x:f>
      </x:c>
      <x:c r="J75" t="str">
        <x:f>IF($A75="","",COUNTIFS(CaseLedger!$F:$F,$A75,CaseLedger!$B:$B,"TRUE",CaseLedger!$K:$K,"Emergency Support"))</x:f>
      </x:c>
      <x:c r="K75" t="str">
        <x:f>IF($A75="","",COUNTIFS(CaseLedger!$F:$F,$A75,CaseLedger!$B:$B,"TRUE",CaseLedger!$K:$K,"Community Support"))</x:f>
      </x:c>
      <x:c r="L75" t="str">
        <x:f>IF($A75="","",SUMIFS(CaseLedger!$M:$M,CaseLedger!$F:$F,$A75,CaseLedger!$B:$B,"TRUE"))</x:f>
      </x:c>
      <x:c r="M75" t="str">
        <x:f>IF($A75="","",SUMIFS(CaseLedger!$N:$N,CaseLedger!$F:$F,$A75,CaseLedger!$B:$B,"TRUE"))</x:f>
      </x:c>
      <x:c r="N75" t="str">
        <x:f>IF($A75="","",0)</x:f>
      </x:c>
      <x:c r="O75" t="str">
        <x:f>IF($A75="","",SUMIFS(CaseLedger!$O:$O,CaseLedger!$F:$F,$A75,CaseLedger!$B:$B,"TRUE"))</x:f>
      </x:c>
      <x:c r="P75" t="str">
        <x:f>IF($A75="","",IFERROR(VLOOKUP($A75,MonthlyFinance!$A:$G,4,FALSE),""))</x:f>
      </x:c>
      <x:c r="Q75" t="str">
        <x:f>IF($A75="","",IFERROR(VLOOKUP($A75,MonthlyFinance!$A:$G,5,FALSE),""))</x:f>
      </x:c>
      <x:c r="R75" t="str">
        <x:f>IF($A75="","",IFERROR(VLOOKUP($A75,MonthlyFinance!$A:$G,6,FALSE),""))</x:f>
      </x:c>
      <x:c r="S75" t="str">
        <x:f>IF($A75="","","Formula-linked from CaseLedger; finance fields from MonthlyFinance.")</x:f>
      </x:c>
      <x:c r="T75" t="str">
        <x:f>IF($A75="","","TRUE")</x:f>
      </x:c>
    </x:row>
    <x:row r="76">
      <x:c r="D76" t="str">
        <x:f>IF($A76="","",COUNTIFS(CaseLedger!$F:$F,$A76,CaseLedger!$B:$B,"TRUE"))</x:f>
      </x:c>
      <x:c r="E76" t="str">
        <x:f>IF($A76="","",COUNTIFS(CaseLedger!$F:$F,$A76,CaseLedger!$B:$B,"TRUE",CaseLedger!$P:$P,"Zakat"))</x:f>
      </x:c>
      <x:c r="F76" t="str">
        <x:f>IF($A76="","",COUNTIFS(CaseLedger!$F:$F,$A76,CaseLedger!$B:$B,"TRUE",CaseLedger!$P:$P,"Sadaqah"))</x:f>
      </x:c>
      <x:c r="G76" t="str">
        <x:f>IF($A76="","",COUNTIFS(CaseLedger!$F:$F,$A76,CaseLedger!$B:$B,"TRUE",CaseLedger!$P:$P,"Mixed"))</x:f>
      </x:c>
      <x:c r="H76" t="str">
        <x:f>IF($A76="","",COUNTIFS(CaseLedger!$F:$F,$A76,CaseLedger!$B:$B,"TRUE",CaseLedger!$K:$K,"Livelihood"))</x:f>
      </x:c>
      <x:c r="I76" t="str">
        <x:f>IF($A76="","",COUNTIFS(CaseLedger!$F:$F,$A76,CaseLedger!$B:$B,"TRUE",CaseLedger!$K:$K,"Skill Sponsorship"))</x:f>
      </x:c>
      <x:c r="J76" t="str">
        <x:f>IF($A76="","",COUNTIFS(CaseLedger!$F:$F,$A76,CaseLedger!$B:$B,"TRUE",CaseLedger!$K:$K,"Emergency Support"))</x:f>
      </x:c>
      <x:c r="K76" t="str">
        <x:f>IF($A76="","",COUNTIFS(CaseLedger!$F:$F,$A76,CaseLedger!$B:$B,"TRUE",CaseLedger!$K:$K,"Community Support"))</x:f>
      </x:c>
      <x:c r="L76" t="str">
        <x:f>IF($A76="","",SUMIFS(CaseLedger!$M:$M,CaseLedger!$F:$F,$A76,CaseLedger!$B:$B,"TRUE"))</x:f>
      </x:c>
      <x:c r="M76" t="str">
        <x:f>IF($A76="","",SUMIFS(CaseLedger!$N:$N,CaseLedger!$F:$F,$A76,CaseLedger!$B:$B,"TRUE"))</x:f>
      </x:c>
      <x:c r="N76" t="str">
        <x:f>IF($A76="","",0)</x:f>
      </x:c>
      <x:c r="O76" t="str">
        <x:f>IF($A76="","",SUMIFS(CaseLedger!$O:$O,CaseLedger!$F:$F,$A76,CaseLedger!$B:$B,"TRUE"))</x:f>
      </x:c>
      <x:c r="P76" t="str">
        <x:f>IF($A76="","",IFERROR(VLOOKUP($A76,MonthlyFinance!$A:$G,4,FALSE),""))</x:f>
      </x:c>
      <x:c r="Q76" t="str">
        <x:f>IF($A76="","",IFERROR(VLOOKUP($A76,MonthlyFinance!$A:$G,5,FALSE),""))</x:f>
      </x:c>
      <x:c r="R76" t="str">
        <x:f>IF($A76="","",IFERROR(VLOOKUP($A76,MonthlyFinance!$A:$G,6,FALSE),""))</x:f>
      </x:c>
      <x:c r="S76" t="str">
        <x:f>IF($A76="","","Formula-linked from CaseLedger; finance fields from MonthlyFinance.")</x:f>
      </x:c>
      <x:c r="T76" t="str">
        <x:f>IF($A76="","","TRUE")</x:f>
      </x:c>
    </x:row>
    <x:row r="77">
      <x:c r="D77" t="str">
        <x:f>IF($A77="","",COUNTIFS(CaseLedger!$F:$F,$A77,CaseLedger!$B:$B,"TRUE"))</x:f>
      </x:c>
      <x:c r="E77" t="str">
        <x:f>IF($A77="","",COUNTIFS(CaseLedger!$F:$F,$A77,CaseLedger!$B:$B,"TRUE",CaseLedger!$P:$P,"Zakat"))</x:f>
      </x:c>
      <x:c r="F77" t="str">
        <x:f>IF($A77="","",COUNTIFS(CaseLedger!$F:$F,$A77,CaseLedger!$B:$B,"TRUE",CaseLedger!$P:$P,"Sadaqah"))</x:f>
      </x:c>
      <x:c r="G77" t="str">
        <x:f>IF($A77="","",COUNTIFS(CaseLedger!$F:$F,$A77,CaseLedger!$B:$B,"TRUE",CaseLedger!$P:$P,"Mixed"))</x:f>
      </x:c>
      <x:c r="H77" t="str">
        <x:f>IF($A77="","",COUNTIFS(CaseLedger!$F:$F,$A77,CaseLedger!$B:$B,"TRUE",CaseLedger!$K:$K,"Livelihood"))</x:f>
      </x:c>
      <x:c r="I77" t="str">
        <x:f>IF($A77="","",COUNTIFS(CaseLedger!$F:$F,$A77,CaseLedger!$B:$B,"TRUE",CaseLedger!$K:$K,"Skill Sponsorship"))</x:f>
      </x:c>
      <x:c r="J77" t="str">
        <x:f>IF($A77="","",COUNTIFS(CaseLedger!$F:$F,$A77,CaseLedger!$B:$B,"TRUE",CaseLedger!$K:$K,"Emergency Support"))</x:f>
      </x:c>
      <x:c r="K77" t="str">
        <x:f>IF($A77="","",COUNTIFS(CaseLedger!$F:$F,$A77,CaseLedger!$B:$B,"TRUE",CaseLedger!$K:$K,"Community Support"))</x:f>
      </x:c>
      <x:c r="L77" t="str">
        <x:f>IF($A77="","",SUMIFS(CaseLedger!$M:$M,CaseLedger!$F:$F,$A77,CaseLedger!$B:$B,"TRUE"))</x:f>
      </x:c>
      <x:c r="M77" t="str">
        <x:f>IF($A77="","",SUMIFS(CaseLedger!$N:$N,CaseLedger!$F:$F,$A77,CaseLedger!$B:$B,"TRUE"))</x:f>
      </x:c>
      <x:c r="N77" t="str">
        <x:f>IF($A77="","",0)</x:f>
      </x:c>
      <x:c r="O77" t="str">
        <x:f>IF($A77="","",SUMIFS(CaseLedger!$O:$O,CaseLedger!$F:$F,$A77,CaseLedger!$B:$B,"TRUE"))</x:f>
      </x:c>
      <x:c r="P77" t="str">
        <x:f>IF($A77="","",IFERROR(VLOOKUP($A77,MonthlyFinance!$A:$G,4,FALSE),""))</x:f>
      </x:c>
      <x:c r="Q77" t="str">
        <x:f>IF($A77="","",IFERROR(VLOOKUP($A77,MonthlyFinance!$A:$G,5,FALSE),""))</x:f>
      </x:c>
      <x:c r="R77" t="str">
        <x:f>IF($A77="","",IFERROR(VLOOKUP($A77,MonthlyFinance!$A:$G,6,FALSE),""))</x:f>
      </x:c>
      <x:c r="S77" t="str">
        <x:f>IF($A77="","","Formula-linked from CaseLedger; finance fields from MonthlyFinance.")</x:f>
      </x:c>
      <x:c r="T77" t="str">
        <x:f>IF($A77="","","TRUE")</x:f>
      </x:c>
    </x:row>
    <x:row r="78">
      <x:c r="D78" t="str">
        <x:f>IF($A78="","",COUNTIFS(CaseLedger!$F:$F,$A78,CaseLedger!$B:$B,"TRUE"))</x:f>
      </x:c>
      <x:c r="E78" t="str">
        <x:f>IF($A78="","",COUNTIFS(CaseLedger!$F:$F,$A78,CaseLedger!$B:$B,"TRUE",CaseLedger!$P:$P,"Zakat"))</x:f>
      </x:c>
      <x:c r="F78" t="str">
        <x:f>IF($A78="","",COUNTIFS(CaseLedger!$F:$F,$A78,CaseLedger!$B:$B,"TRUE",CaseLedger!$P:$P,"Sadaqah"))</x:f>
      </x:c>
      <x:c r="G78" t="str">
        <x:f>IF($A78="","",COUNTIFS(CaseLedger!$F:$F,$A78,CaseLedger!$B:$B,"TRUE",CaseLedger!$P:$P,"Mixed"))</x:f>
      </x:c>
      <x:c r="H78" t="str">
        <x:f>IF($A78="","",COUNTIFS(CaseLedger!$F:$F,$A78,CaseLedger!$B:$B,"TRUE",CaseLedger!$K:$K,"Livelihood"))</x:f>
      </x:c>
      <x:c r="I78" t="str">
        <x:f>IF($A78="","",COUNTIFS(CaseLedger!$F:$F,$A78,CaseLedger!$B:$B,"TRUE",CaseLedger!$K:$K,"Skill Sponsorship"))</x:f>
      </x:c>
      <x:c r="J78" t="str">
        <x:f>IF($A78="","",COUNTIFS(CaseLedger!$F:$F,$A78,CaseLedger!$B:$B,"TRUE",CaseLedger!$K:$K,"Emergency Support"))</x:f>
      </x:c>
      <x:c r="K78" t="str">
        <x:f>IF($A78="","",COUNTIFS(CaseLedger!$F:$F,$A78,CaseLedger!$B:$B,"TRUE",CaseLedger!$K:$K,"Community Support"))</x:f>
      </x:c>
      <x:c r="L78" t="str">
        <x:f>IF($A78="","",SUMIFS(CaseLedger!$M:$M,CaseLedger!$F:$F,$A78,CaseLedger!$B:$B,"TRUE"))</x:f>
      </x:c>
      <x:c r="M78" t="str">
        <x:f>IF($A78="","",SUMIFS(CaseLedger!$N:$N,CaseLedger!$F:$F,$A78,CaseLedger!$B:$B,"TRUE"))</x:f>
      </x:c>
      <x:c r="N78" t="str">
        <x:f>IF($A78="","",0)</x:f>
      </x:c>
      <x:c r="O78" t="str">
        <x:f>IF($A78="","",SUMIFS(CaseLedger!$O:$O,CaseLedger!$F:$F,$A78,CaseLedger!$B:$B,"TRUE"))</x:f>
      </x:c>
      <x:c r="P78" t="str">
        <x:f>IF($A78="","",IFERROR(VLOOKUP($A78,MonthlyFinance!$A:$G,4,FALSE),""))</x:f>
      </x:c>
      <x:c r="Q78" t="str">
        <x:f>IF($A78="","",IFERROR(VLOOKUP($A78,MonthlyFinance!$A:$G,5,FALSE),""))</x:f>
      </x:c>
      <x:c r="R78" t="str">
        <x:f>IF($A78="","",IFERROR(VLOOKUP($A78,MonthlyFinance!$A:$G,6,FALSE),""))</x:f>
      </x:c>
      <x:c r="S78" t="str">
        <x:f>IF($A78="","","Formula-linked from CaseLedger; finance fields from MonthlyFinance.")</x:f>
      </x:c>
      <x:c r="T78" t="str">
        <x:f>IF($A78="","","TRUE")</x:f>
      </x:c>
    </x:row>
    <x:row r="79">
      <x:c r="D79" t="str">
        <x:f>IF($A79="","",COUNTIFS(CaseLedger!$F:$F,$A79,CaseLedger!$B:$B,"TRUE"))</x:f>
      </x:c>
      <x:c r="E79" t="str">
        <x:f>IF($A79="","",COUNTIFS(CaseLedger!$F:$F,$A79,CaseLedger!$B:$B,"TRUE",CaseLedger!$P:$P,"Zakat"))</x:f>
      </x:c>
      <x:c r="F79" t="str">
        <x:f>IF($A79="","",COUNTIFS(CaseLedger!$F:$F,$A79,CaseLedger!$B:$B,"TRUE",CaseLedger!$P:$P,"Sadaqah"))</x:f>
      </x:c>
      <x:c r="G79" t="str">
        <x:f>IF($A79="","",COUNTIFS(CaseLedger!$F:$F,$A79,CaseLedger!$B:$B,"TRUE",CaseLedger!$P:$P,"Mixed"))</x:f>
      </x:c>
      <x:c r="H79" t="str">
        <x:f>IF($A79="","",COUNTIFS(CaseLedger!$F:$F,$A79,CaseLedger!$B:$B,"TRUE",CaseLedger!$K:$K,"Livelihood"))</x:f>
      </x:c>
      <x:c r="I79" t="str">
        <x:f>IF($A79="","",COUNTIFS(CaseLedger!$F:$F,$A79,CaseLedger!$B:$B,"TRUE",CaseLedger!$K:$K,"Skill Sponsorship"))</x:f>
      </x:c>
      <x:c r="J79" t="str">
        <x:f>IF($A79="","",COUNTIFS(CaseLedger!$F:$F,$A79,CaseLedger!$B:$B,"TRUE",CaseLedger!$K:$K,"Emergency Support"))</x:f>
      </x:c>
      <x:c r="K79" t="str">
        <x:f>IF($A79="","",COUNTIFS(CaseLedger!$F:$F,$A79,CaseLedger!$B:$B,"TRUE",CaseLedger!$K:$K,"Community Support"))</x:f>
      </x:c>
      <x:c r="L79" t="str">
        <x:f>IF($A79="","",SUMIFS(CaseLedger!$M:$M,CaseLedger!$F:$F,$A79,CaseLedger!$B:$B,"TRUE"))</x:f>
      </x:c>
      <x:c r="M79" t="str">
        <x:f>IF($A79="","",SUMIFS(CaseLedger!$N:$N,CaseLedger!$F:$F,$A79,CaseLedger!$B:$B,"TRUE"))</x:f>
      </x:c>
      <x:c r="N79" t="str">
        <x:f>IF($A79="","",0)</x:f>
      </x:c>
      <x:c r="O79" t="str">
        <x:f>IF($A79="","",SUMIFS(CaseLedger!$O:$O,CaseLedger!$F:$F,$A79,CaseLedger!$B:$B,"TRUE"))</x:f>
      </x:c>
      <x:c r="P79" t="str">
        <x:f>IF($A79="","",IFERROR(VLOOKUP($A79,MonthlyFinance!$A:$G,4,FALSE),""))</x:f>
      </x:c>
      <x:c r="Q79" t="str">
        <x:f>IF($A79="","",IFERROR(VLOOKUP($A79,MonthlyFinance!$A:$G,5,FALSE),""))</x:f>
      </x:c>
      <x:c r="R79" t="str">
        <x:f>IF($A79="","",IFERROR(VLOOKUP($A79,MonthlyFinance!$A:$G,6,FALSE),""))</x:f>
      </x:c>
      <x:c r="S79" t="str">
        <x:f>IF($A79="","","Formula-linked from CaseLedger; finance fields from MonthlyFinance.")</x:f>
      </x:c>
      <x:c r="T79" t="str">
        <x:f>IF($A79="","","TRUE")</x:f>
      </x:c>
    </x:row>
    <x:row r="80">
      <x:c r="D80" t="str">
        <x:f>IF($A80="","",COUNTIFS(CaseLedger!$F:$F,$A80,CaseLedger!$B:$B,"TRUE"))</x:f>
      </x:c>
      <x:c r="E80" t="str">
        <x:f>IF($A80="","",COUNTIFS(CaseLedger!$F:$F,$A80,CaseLedger!$B:$B,"TRUE",CaseLedger!$P:$P,"Zakat"))</x:f>
      </x:c>
      <x:c r="F80" t="str">
        <x:f>IF($A80="","",COUNTIFS(CaseLedger!$F:$F,$A80,CaseLedger!$B:$B,"TRUE",CaseLedger!$P:$P,"Sadaqah"))</x:f>
      </x:c>
      <x:c r="G80" t="str">
        <x:f>IF($A80="","",COUNTIFS(CaseLedger!$F:$F,$A80,CaseLedger!$B:$B,"TRUE",CaseLedger!$P:$P,"Mixed"))</x:f>
      </x:c>
      <x:c r="H80" t="str">
        <x:f>IF($A80="","",COUNTIFS(CaseLedger!$F:$F,$A80,CaseLedger!$B:$B,"TRUE",CaseLedger!$K:$K,"Livelihood"))</x:f>
      </x:c>
      <x:c r="I80" t="str">
        <x:f>IF($A80="","",COUNTIFS(CaseLedger!$F:$F,$A80,CaseLedger!$B:$B,"TRUE",CaseLedger!$K:$K,"Skill Sponsorship"))</x:f>
      </x:c>
      <x:c r="J80" t="str">
        <x:f>IF($A80="","",COUNTIFS(CaseLedger!$F:$F,$A80,CaseLedger!$B:$B,"TRUE",CaseLedger!$K:$K,"Emergency Support"))</x:f>
      </x:c>
      <x:c r="K80" t="str">
        <x:f>IF($A80="","",COUNTIFS(CaseLedger!$F:$F,$A80,CaseLedger!$B:$B,"TRUE",CaseLedger!$K:$K,"Community Support"))</x:f>
      </x:c>
      <x:c r="L80" t="str">
        <x:f>IF($A80="","",SUMIFS(CaseLedger!$M:$M,CaseLedger!$F:$F,$A80,CaseLedger!$B:$B,"TRUE"))</x:f>
      </x:c>
      <x:c r="M80" t="str">
        <x:f>IF($A80="","",SUMIFS(CaseLedger!$N:$N,CaseLedger!$F:$F,$A80,CaseLedger!$B:$B,"TRUE"))</x:f>
      </x:c>
      <x:c r="N80" t="str">
        <x:f>IF($A80="","",0)</x:f>
      </x:c>
      <x:c r="O80" t="str">
        <x:f>IF($A80="","",SUMIFS(CaseLedger!$O:$O,CaseLedger!$F:$F,$A80,CaseLedger!$B:$B,"TRUE"))</x:f>
      </x:c>
      <x:c r="P80" t="str">
        <x:f>IF($A80="","",IFERROR(VLOOKUP($A80,MonthlyFinance!$A:$G,4,FALSE),""))</x:f>
      </x:c>
      <x:c r="Q80" t="str">
        <x:f>IF($A80="","",IFERROR(VLOOKUP($A80,MonthlyFinance!$A:$G,5,FALSE),""))</x:f>
      </x:c>
      <x:c r="R80" t="str">
        <x:f>IF($A80="","",IFERROR(VLOOKUP($A80,MonthlyFinance!$A:$G,6,FALSE),""))</x:f>
      </x:c>
      <x:c r="S80" t="str">
        <x:f>IF($A80="","","Formula-linked from CaseLedger; finance fields from MonthlyFinance.")</x:f>
      </x:c>
      <x:c r="T80" t="str">
        <x:f>IF($A80="","","TRUE")</x:f>
      </x:c>
    </x:row>
    <x:row r="81">
      <x:c r="D81" t="str">
        <x:f>IF($A81="","",COUNTIFS(CaseLedger!$F:$F,$A81,CaseLedger!$B:$B,"TRUE"))</x:f>
      </x:c>
      <x:c r="E81" t="str">
        <x:f>IF($A81="","",COUNTIFS(CaseLedger!$F:$F,$A81,CaseLedger!$B:$B,"TRUE",CaseLedger!$P:$P,"Zakat"))</x:f>
      </x:c>
      <x:c r="F81" t="str">
        <x:f>IF($A81="","",COUNTIFS(CaseLedger!$F:$F,$A81,CaseLedger!$B:$B,"TRUE",CaseLedger!$P:$P,"Sadaqah"))</x:f>
      </x:c>
      <x:c r="G81" t="str">
        <x:f>IF($A81="","",COUNTIFS(CaseLedger!$F:$F,$A81,CaseLedger!$B:$B,"TRUE",CaseLedger!$P:$P,"Mixed"))</x:f>
      </x:c>
      <x:c r="H81" t="str">
        <x:f>IF($A81="","",COUNTIFS(CaseLedger!$F:$F,$A81,CaseLedger!$B:$B,"TRUE",CaseLedger!$K:$K,"Livelihood"))</x:f>
      </x:c>
      <x:c r="I81" t="str">
        <x:f>IF($A81="","",COUNTIFS(CaseLedger!$F:$F,$A81,CaseLedger!$B:$B,"TRUE",CaseLedger!$K:$K,"Skill Sponsorship"))</x:f>
      </x:c>
      <x:c r="J81" t="str">
        <x:f>IF($A81="","",COUNTIFS(CaseLedger!$F:$F,$A81,CaseLedger!$B:$B,"TRUE",CaseLedger!$K:$K,"Emergency Support"))</x:f>
      </x:c>
      <x:c r="K81" t="str">
        <x:f>IF($A81="","",COUNTIFS(CaseLedger!$F:$F,$A81,CaseLedger!$B:$B,"TRUE",CaseLedger!$K:$K,"Community Support"))</x:f>
      </x:c>
      <x:c r="L81" t="str">
        <x:f>IF($A81="","",SUMIFS(CaseLedger!$M:$M,CaseLedger!$F:$F,$A81,CaseLedger!$B:$B,"TRUE"))</x:f>
      </x:c>
      <x:c r="M81" t="str">
        <x:f>IF($A81="","",SUMIFS(CaseLedger!$N:$N,CaseLedger!$F:$F,$A81,CaseLedger!$B:$B,"TRUE"))</x:f>
      </x:c>
      <x:c r="N81" t="str">
        <x:f>IF($A81="","",0)</x:f>
      </x:c>
      <x:c r="O81" t="str">
        <x:f>IF($A81="","",SUMIFS(CaseLedger!$O:$O,CaseLedger!$F:$F,$A81,CaseLedger!$B:$B,"TRUE"))</x:f>
      </x:c>
      <x:c r="P81" t="str">
        <x:f>IF($A81="","",IFERROR(VLOOKUP($A81,MonthlyFinance!$A:$G,4,FALSE),""))</x:f>
      </x:c>
      <x:c r="Q81" t="str">
        <x:f>IF($A81="","",IFERROR(VLOOKUP($A81,MonthlyFinance!$A:$G,5,FALSE),""))</x:f>
      </x:c>
      <x:c r="R81" t="str">
        <x:f>IF($A81="","",IFERROR(VLOOKUP($A81,MonthlyFinance!$A:$G,6,FALSE),""))</x:f>
      </x:c>
      <x:c r="S81" t="str">
        <x:f>IF($A81="","","Formula-linked from CaseLedger; finance fields from MonthlyFinance.")</x:f>
      </x:c>
      <x:c r="T81" t="str">
        <x:f>IF($A81="","","TRUE")</x:f>
      </x:c>
    </x:row>
    <x:row r="82">
      <x:c r="D82" t="str">
        <x:f>IF($A82="","",COUNTIFS(CaseLedger!$F:$F,$A82,CaseLedger!$B:$B,"TRUE"))</x:f>
      </x:c>
      <x:c r="E82" t="str">
        <x:f>IF($A82="","",COUNTIFS(CaseLedger!$F:$F,$A82,CaseLedger!$B:$B,"TRUE",CaseLedger!$P:$P,"Zakat"))</x:f>
      </x:c>
      <x:c r="F82" t="str">
        <x:f>IF($A82="","",COUNTIFS(CaseLedger!$F:$F,$A82,CaseLedger!$B:$B,"TRUE",CaseLedger!$P:$P,"Sadaqah"))</x:f>
      </x:c>
      <x:c r="G82" t="str">
        <x:f>IF($A82="","",COUNTIFS(CaseLedger!$F:$F,$A82,CaseLedger!$B:$B,"TRUE",CaseLedger!$P:$P,"Mixed"))</x:f>
      </x:c>
      <x:c r="H82" t="str">
        <x:f>IF($A82="","",COUNTIFS(CaseLedger!$F:$F,$A82,CaseLedger!$B:$B,"TRUE",CaseLedger!$K:$K,"Livelihood"))</x:f>
      </x:c>
      <x:c r="I82" t="str">
        <x:f>IF($A82="","",COUNTIFS(CaseLedger!$F:$F,$A82,CaseLedger!$B:$B,"TRUE",CaseLedger!$K:$K,"Skill Sponsorship"))</x:f>
      </x:c>
      <x:c r="J82" t="str">
        <x:f>IF($A82="","",COUNTIFS(CaseLedger!$F:$F,$A82,CaseLedger!$B:$B,"TRUE",CaseLedger!$K:$K,"Emergency Support"))</x:f>
      </x:c>
      <x:c r="K82" t="str">
        <x:f>IF($A82="","",COUNTIFS(CaseLedger!$F:$F,$A82,CaseLedger!$B:$B,"TRUE",CaseLedger!$K:$K,"Community Support"))</x:f>
      </x:c>
      <x:c r="L82" t="str">
        <x:f>IF($A82="","",SUMIFS(CaseLedger!$M:$M,CaseLedger!$F:$F,$A82,CaseLedger!$B:$B,"TRUE"))</x:f>
      </x:c>
      <x:c r="M82" t="str">
        <x:f>IF($A82="","",SUMIFS(CaseLedger!$N:$N,CaseLedger!$F:$F,$A82,CaseLedger!$B:$B,"TRUE"))</x:f>
      </x:c>
      <x:c r="N82" t="str">
        <x:f>IF($A82="","",0)</x:f>
      </x:c>
      <x:c r="O82" t="str">
        <x:f>IF($A82="","",SUMIFS(CaseLedger!$O:$O,CaseLedger!$F:$F,$A82,CaseLedger!$B:$B,"TRUE"))</x:f>
      </x:c>
      <x:c r="P82" t="str">
        <x:f>IF($A82="","",IFERROR(VLOOKUP($A82,MonthlyFinance!$A:$G,4,FALSE),""))</x:f>
      </x:c>
      <x:c r="Q82" t="str">
        <x:f>IF($A82="","",IFERROR(VLOOKUP($A82,MonthlyFinance!$A:$G,5,FALSE),""))</x:f>
      </x:c>
      <x:c r="R82" t="str">
        <x:f>IF($A82="","",IFERROR(VLOOKUP($A82,MonthlyFinance!$A:$G,6,FALSE),""))</x:f>
      </x:c>
      <x:c r="S82" t="str">
        <x:f>IF($A82="","","Formula-linked from CaseLedger; finance fields from MonthlyFinance.")</x:f>
      </x:c>
      <x:c r="T82" t="str">
        <x:f>IF($A82="","","TRUE")</x:f>
      </x:c>
    </x:row>
    <x:row r="83">
      <x:c r="D83" t="str">
        <x:f>IF($A83="","",COUNTIFS(CaseLedger!$F:$F,$A83,CaseLedger!$B:$B,"TRUE"))</x:f>
      </x:c>
      <x:c r="E83" t="str">
        <x:f>IF($A83="","",COUNTIFS(CaseLedger!$F:$F,$A83,CaseLedger!$B:$B,"TRUE",CaseLedger!$P:$P,"Zakat"))</x:f>
      </x:c>
      <x:c r="F83" t="str">
        <x:f>IF($A83="","",COUNTIFS(CaseLedger!$F:$F,$A83,CaseLedger!$B:$B,"TRUE",CaseLedger!$P:$P,"Sadaqah"))</x:f>
      </x:c>
      <x:c r="G83" t="str">
        <x:f>IF($A83="","",COUNTIFS(CaseLedger!$F:$F,$A83,CaseLedger!$B:$B,"TRUE",CaseLedger!$P:$P,"Mixed"))</x:f>
      </x:c>
      <x:c r="H83" t="str">
        <x:f>IF($A83="","",COUNTIFS(CaseLedger!$F:$F,$A83,CaseLedger!$B:$B,"TRUE",CaseLedger!$K:$K,"Livelihood"))</x:f>
      </x:c>
      <x:c r="I83" t="str">
        <x:f>IF($A83="","",COUNTIFS(CaseLedger!$F:$F,$A83,CaseLedger!$B:$B,"TRUE",CaseLedger!$K:$K,"Skill Sponsorship"))</x:f>
      </x:c>
      <x:c r="J83" t="str">
        <x:f>IF($A83="","",COUNTIFS(CaseLedger!$F:$F,$A83,CaseLedger!$B:$B,"TRUE",CaseLedger!$K:$K,"Emergency Support"))</x:f>
      </x:c>
      <x:c r="K83" t="str">
        <x:f>IF($A83="","",COUNTIFS(CaseLedger!$F:$F,$A83,CaseLedger!$B:$B,"TRUE",CaseLedger!$K:$K,"Community Support"))</x:f>
      </x:c>
      <x:c r="L83" t="str">
        <x:f>IF($A83="","",SUMIFS(CaseLedger!$M:$M,CaseLedger!$F:$F,$A83,CaseLedger!$B:$B,"TRUE"))</x:f>
      </x:c>
      <x:c r="M83" t="str">
        <x:f>IF($A83="","",SUMIFS(CaseLedger!$N:$N,CaseLedger!$F:$F,$A83,CaseLedger!$B:$B,"TRUE"))</x:f>
      </x:c>
      <x:c r="N83" t="str">
        <x:f>IF($A83="","",0)</x:f>
      </x:c>
      <x:c r="O83" t="str">
        <x:f>IF($A83="","",SUMIFS(CaseLedger!$O:$O,CaseLedger!$F:$F,$A83,CaseLedger!$B:$B,"TRUE"))</x:f>
      </x:c>
      <x:c r="P83" t="str">
        <x:f>IF($A83="","",IFERROR(VLOOKUP($A83,MonthlyFinance!$A:$G,4,FALSE),""))</x:f>
      </x:c>
      <x:c r="Q83" t="str">
        <x:f>IF($A83="","",IFERROR(VLOOKUP($A83,MonthlyFinance!$A:$G,5,FALSE),""))</x:f>
      </x:c>
      <x:c r="R83" t="str">
        <x:f>IF($A83="","",IFERROR(VLOOKUP($A83,MonthlyFinance!$A:$G,6,FALSE),""))</x:f>
      </x:c>
      <x:c r="S83" t="str">
        <x:f>IF($A83="","","Formula-linked from CaseLedger; finance fields from MonthlyFinance.")</x:f>
      </x:c>
      <x:c r="T83" t="str">
        <x:f>IF($A83="","","TRUE")</x:f>
      </x:c>
    </x:row>
    <x:row r="84">
      <x:c r="D84" t="str">
        <x:f>IF($A84="","",COUNTIFS(CaseLedger!$F:$F,$A84,CaseLedger!$B:$B,"TRUE"))</x:f>
      </x:c>
      <x:c r="E84" t="str">
        <x:f>IF($A84="","",COUNTIFS(CaseLedger!$F:$F,$A84,CaseLedger!$B:$B,"TRUE",CaseLedger!$P:$P,"Zakat"))</x:f>
      </x:c>
      <x:c r="F84" t="str">
        <x:f>IF($A84="","",COUNTIFS(CaseLedger!$F:$F,$A84,CaseLedger!$B:$B,"TRUE",CaseLedger!$P:$P,"Sadaqah"))</x:f>
      </x:c>
      <x:c r="G84" t="str">
        <x:f>IF($A84="","",COUNTIFS(CaseLedger!$F:$F,$A84,CaseLedger!$B:$B,"TRUE",CaseLedger!$P:$P,"Mixed"))</x:f>
      </x:c>
      <x:c r="H84" t="str">
        <x:f>IF($A84="","",COUNTIFS(CaseLedger!$F:$F,$A84,CaseLedger!$B:$B,"TRUE",CaseLedger!$K:$K,"Livelihood"))</x:f>
      </x:c>
      <x:c r="I84" t="str">
        <x:f>IF($A84="","",COUNTIFS(CaseLedger!$F:$F,$A84,CaseLedger!$B:$B,"TRUE",CaseLedger!$K:$K,"Skill Sponsorship"))</x:f>
      </x:c>
      <x:c r="J84" t="str">
        <x:f>IF($A84="","",COUNTIFS(CaseLedger!$F:$F,$A84,CaseLedger!$B:$B,"TRUE",CaseLedger!$K:$K,"Emergency Support"))</x:f>
      </x:c>
      <x:c r="K84" t="str">
        <x:f>IF($A84="","",COUNTIFS(CaseLedger!$F:$F,$A84,CaseLedger!$B:$B,"TRUE",CaseLedger!$K:$K,"Community Support"))</x:f>
      </x:c>
      <x:c r="L84" t="str">
        <x:f>IF($A84="","",SUMIFS(CaseLedger!$M:$M,CaseLedger!$F:$F,$A84,CaseLedger!$B:$B,"TRUE"))</x:f>
      </x:c>
      <x:c r="M84" t="str">
        <x:f>IF($A84="","",SUMIFS(CaseLedger!$N:$N,CaseLedger!$F:$F,$A84,CaseLedger!$B:$B,"TRUE"))</x:f>
      </x:c>
      <x:c r="N84" t="str">
        <x:f>IF($A84="","",0)</x:f>
      </x:c>
      <x:c r="O84" t="str">
        <x:f>IF($A84="","",SUMIFS(CaseLedger!$O:$O,CaseLedger!$F:$F,$A84,CaseLedger!$B:$B,"TRUE"))</x:f>
      </x:c>
      <x:c r="P84" t="str">
        <x:f>IF($A84="","",IFERROR(VLOOKUP($A84,MonthlyFinance!$A:$G,4,FALSE),""))</x:f>
      </x:c>
      <x:c r="Q84" t="str">
        <x:f>IF($A84="","",IFERROR(VLOOKUP($A84,MonthlyFinance!$A:$G,5,FALSE),""))</x:f>
      </x:c>
      <x:c r="R84" t="str">
        <x:f>IF($A84="","",IFERROR(VLOOKUP($A84,MonthlyFinance!$A:$G,6,FALSE),""))</x:f>
      </x:c>
      <x:c r="S84" t="str">
        <x:f>IF($A84="","","Formula-linked from CaseLedger; finance fields from MonthlyFinance.")</x:f>
      </x:c>
      <x:c r="T84" t="str">
        <x:f>IF($A84="","","TRUE")</x:f>
      </x:c>
    </x:row>
    <x:row r="85">
      <x:c r="D85" t="str">
        <x:f>IF($A85="","",COUNTIFS(CaseLedger!$F:$F,$A85,CaseLedger!$B:$B,"TRUE"))</x:f>
      </x:c>
      <x:c r="E85" t="str">
        <x:f>IF($A85="","",COUNTIFS(CaseLedger!$F:$F,$A85,CaseLedger!$B:$B,"TRUE",CaseLedger!$P:$P,"Zakat"))</x:f>
      </x:c>
      <x:c r="F85" t="str">
        <x:f>IF($A85="","",COUNTIFS(CaseLedger!$F:$F,$A85,CaseLedger!$B:$B,"TRUE",CaseLedger!$P:$P,"Sadaqah"))</x:f>
      </x:c>
      <x:c r="G85" t="str">
        <x:f>IF($A85="","",COUNTIFS(CaseLedger!$F:$F,$A85,CaseLedger!$B:$B,"TRUE",CaseLedger!$P:$P,"Mixed"))</x:f>
      </x:c>
      <x:c r="H85" t="str">
        <x:f>IF($A85="","",COUNTIFS(CaseLedger!$F:$F,$A85,CaseLedger!$B:$B,"TRUE",CaseLedger!$K:$K,"Livelihood"))</x:f>
      </x:c>
      <x:c r="I85" t="str">
        <x:f>IF($A85="","",COUNTIFS(CaseLedger!$F:$F,$A85,CaseLedger!$B:$B,"TRUE",CaseLedger!$K:$K,"Skill Sponsorship"))</x:f>
      </x:c>
      <x:c r="J85" t="str">
        <x:f>IF($A85="","",COUNTIFS(CaseLedger!$F:$F,$A85,CaseLedger!$B:$B,"TRUE",CaseLedger!$K:$K,"Emergency Support"))</x:f>
      </x:c>
      <x:c r="K85" t="str">
        <x:f>IF($A85="","",COUNTIFS(CaseLedger!$F:$F,$A85,CaseLedger!$B:$B,"TRUE",CaseLedger!$K:$K,"Community Support"))</x:f>
      </x:c>
      <x:c r="L85" t="str">
        <x:f>IF($A85="","",SUMIFS(CaseLedger!$M:$M,CaseLedger!$F:$F,$A85,CaseLedger!$B:$B,"TRUE"))</x:f>
      </x:c>
      <x:c r="M85" t="str">
        <x:f>IF($A85="","",SUMIFS(CaseLedger!$N:$N,CaseLedger!$F:$F,$A85,CaseLedger!$B:$B,"TRUE"))</x:f>
      </x:c>
      <x:c r="N85" t="str">
        <x:f>IF($A85="","",0)</x:f>
      </x:c>
      <x:c r="O85" t="str">
        <x:f>IF($A85="","",SUMIFS(CaseLedger!$O:$O,CaseLedger!$F:$F,$A85,CaseLedger!$B:$B,"TRUE"))</x:f>
      </x:c>
      <x:c r="P85" t="str">
        <x:f>IF($A85="","",IFERROR(VLOOKUP($A85,MonthlyFinance!$A:$G,4,FALSE),""))</x:f>
      </x:c>
      <x:c r="Q85" t="str">
        <x:f>IF($A85="","",IFERROR(VLOOKUP($A85,MonthlyFinance!$A:$G,5,FALSE),""))</x:f>
      </x:c>
      <x:c r="R85" t="str">
        <x:f>IF($A85="","",IFERROR(VLOOKUP($A85,MonthlyFinance!$A:$G,6,FALSE),""))</x:f>
      </x:c>
      <x:c r="S85" t="str">
        <x:f>IF($A85="","","Formula-linked from CaseLedger; finance fields from MonthlyFinance.")</x:f>
      </x:c>
      <x:c r="T85" t="str">
        <x:f>IF($A85="","","TRUE")</x:f>
      </x:c>
    </x:row>
    <x:row r="86">
      <x:c r="D86" t="str">
        <x:f>IF($A86="","",COUNTIFS(CaseLedger!$F:$F,$A86,CaseLedger!$B:$B,"TRUE"))</x:f>
      </x:c>
      <x:c r="E86" t="str">
        <x:f>IF($A86="","",COUNTIFS(CaseLedger!$F:$F,$A86,CaseLedger!$B:$B,"TRUE",CaseLedger!$P:$P,"Zakat"))</x:f>
      </x:c>
      <x:c r="F86" t="str">
        <x:f>IF($A86="","",COUNTIFS(CaseLedger!$F:$F,$A86,CaseLedger!$B:$B,"TRUE",CaseLedger!$P:$P,"Sadaqah"))</x:f>
      </x:c>
      <x:c r="G86" t="str">
        <x:f>IF($A86="","",COUNTIFS(CaseLedger!$F:$F,$A86,CaseLedger!$B:$B,"TRUE",CaseLedger!$P:$P,"Mixed"))</x:f>
      </x:c>
      <x:c r="H86" t="str">
        <x:f>IF($A86="","",COUNTIFS(CaseLedger!$F:$F,$A86,CaseLedger!$B:$B,"TRUE",CaseLedger!$K:$K,"Livelihood"))</x:f>
      </x:c>
      <x:c r="I86" t="str">
        <x:f>IF($A86="","",COUNTIFS(CaseLedger!$F:$F,$A86,CaseLedger!$B:$B,"TRUE",CaseLedger!$K:$K,"Skill Sponsorship"))</x:f>
      </x:c>
      <x:c r="J86" t="str">
        <x:f>IF($A86="","",COUNTIFS(CaseLedger!$F:$F,$A86,CaseLedger!$B:$B,"TRUE",CaseLedger!$K:$K,"Emergency Support"))</x:f>
      </x:c>
      <x:c r="K86" t="str">
        <x:f>IF($A86="","",COUNTIFS(CaseLedger!$F:$F,$A86,CaseLedger!$B:$B,"TRUE",CaseLedger!$K:$K,"Community Support"))</x:f>
      </x:c>
      <x:c r="L86" t="str">
        <x:f>IF($A86="","",SUMIFS(CaseLedger!$M:$M,CaseLedger!$F:$F,$A86,CaseLedger!$B:$B,"TRUE"))</x:f>
      </x:c>
      <x:c r="M86" t="str">
        <x:f>IF($A86="","",SUMIFS(CaseLedger!$N:$N,CaseLedger!$F:$F,$A86,CaseLedger!$B:$B,"TRUE"))</x:f>
      </x:c>
      <x:c r="N86" t="str">
        <x:f>IF($A86="","",0)</x:f>
      </x:c>
      <x:c r="O86" t="str">
        <x:f>IF($A86="","",SUMIFS(CaseLedger!$O:$O,CaseLedger!$F:$F,$A86,CaseLedger!$B:$B,"TRUE"))</x:f>
      </x:c>
      <x:c r="P86" t="str">
        <x:f>IF($A86="","",IFERROR(VLOOKUP($A86,MonthlyFinance!$A:$G,4,FALSE),""))</x:f>
      </x:c>
      <x:c r="Q86" t="str">
        <x:f>IF($A86="","",IFERROR(VLOOKUP($A86,MonthlyFinance!$A:$G,5,FALSE),""))</x:f>
      </x:c>
      <x:c r="R86" t="str">
        <x:f>IF($A86="","",IFERROR(VLOOKUP($A86,MonthlyFinance!$A:$G,6,FALSE),""))</x:f>
      </x:c>
      <x:c r="S86" t="str">
        <x:f>IF($A86="","","Formula-linked from CaseLedger; finance fields from MonthlyFinance.")</x:f>
      </x:c>
      <x:c r="T86" t="str">
        <x:f>IF($A86="","","TRUE")</x:f>
      </x:c>
    </x:row>
    <x:row r="87">
      <x:c r="D87" t="str">
        <x:f>IF($A87="","",COUNTIFS(CaseLedger!$F:$F,$A87,CaseLedger!$B:$B,"TRUE"))</x:f>
      </x:c>
      <x:c r="E87" t="str">
        <x:f>IF($A87="","",COUNTIFS(CaseLedger!$F:$F,$A87,CaseLedger!$B:$B,"TRUE",CaseLedger!$P:$P,"Zakat"))</x:f>
      </x:c>
      <x:c r="F87" t="str">
        <x:f>IF($A87="","",COUNTIFS(CaseLedger!$F:$F,$A87,CaseLedger!$B:$B,"TRUE",CaseLedger!$P:$P,"Sadaqah"))</x:f>
      </x:c>
      <x:c r="G87" t="str">
        <x:f>IF($A87="","",COUNTIFS(CaseLedger!$F:$F,$A87,CaseLedger!$B:$B,"TRUE",CaseLedger!$P:$P,"Mixed"))</x:f>
      </x:c>
      <x:c r="H87" t="str">
        <x:f>IF($A87="","",COUNTIFS(CaseLedger!$F:$F,$A87,CaseLedger!$B:$B,"TRUE",CaseLedger!$K:$K,"Livelihood"))</x:f>
      </x:c>
      <x:c r="I87" t="str">
        <x:f>IF($A87="","",COUNTIFS(CaseLedger!$F:$F,$A87,CaseLedger!$B:$B,"TRUE",CaseLedger!$K:$K,"Skill Sponsorship"))</x:f>
      </x:c>
      <x:c r="J87" t="str">
        <x:f>IF($A87="","",COUNTIFS(CaseLedger!$F:$F,$A87,CaseLedger!$B:$B,"TRUE",CaseLedger!$K:$K,"Emergency Support"))</x:f>
      </x:c>
      <x:c r="K87" t="str">
        <x:f>IF($A87="","",COUNTIFS(CaseLedger!$F:$F,$A87,CaseLedger!$B:$B,"TRUE",CaseLedger!$K:$K,"Community Support"))</x:f>
      </x:c>
      <x:c r="L87" t="str">
        <x:f>IF($A87="","",SUMIFS(CaseLedger!$M:$M,CaseLedger!$F:$F,$A87,CaseLedger!$B:$B,"TRUE"))</x:f>
      </x:c>
      <x:c r="M87" t="str">
        <x:f>IF($A87="","",SUMIFS(CaseLedger!$N:$N,CaseLedger!$F:$F,$A87,CaseLedger!$B:$B,"TRUE"))</x:f>
      </x:c>
      <x:c r="N87" t="str">
        <x:f>IF($A87="","",0)</x:f>
      </x:c>
      <x:c r="O87" t="str">
        <x:f>IF($A87="","",SUMIFS(CaseLedger!$O:$O,CaseLedger!$F:$F,$A87,CaseLedger!$B:$B,"TRUE"))</x:f>
      </x:c>
      <x:c r="P87" t="str">
        <x:f>IF($A87="","",IFERROR(VLOOKUP($A87,MonthlyFinance!$A:$G,4,FALSE),""))</x:f>
      </x:c>
      <x:c r="Q87" t="str">
        <x:f>IF($A87="","",IFERROR(VLOOKUP($A87,MonthlyFinance!$A:$G,5,FALSE),""))</x:f>
      </x:c>
      <x:c r="R87" t="str">
        <x:f>IF($A87="","",IFERROR(VLOOKUP($A87,MonthlyFinance!$A:$G,6,FALSE),""))</x:f>
      </x:c>
      <x:c r="S87" t="str">
        <x:f>IF($A87="","","Formula-linked from CaseLedger; finance fields from MonthlyFinance.")</x:f>
      </x:c>
      <x:c r="T87" t="str">
        <x:f>IF($A87="","","TRUE")</x:f>
      </x:c>
    </x:row>
    <x:row r="88">
      <x:c r="D88" t="str">
        <x:f>IF($A88="","",COUNTIFS(CaseLedger!$F:$F,$A88,CaseLedger!$B:$B,"TRUE"))</x:f>
      </x:c>
      <x:c r="E88" t="str">
        <x:f>IF($A88="","",COUNTIFS(CaseLedger!$F:$F,$A88,CaseLedger!$B:$B,"TRUE",CaseLedger!$P:$P,"Zakat"))</x:f>
      </x:c>
      <x:c r="F88" t="str">
        <x:f>IF($A88="","",COUNTIFS(CaseLedger!$F:$F,$A88,CaseLedger!$B:$B,"TRUE",CaseLedger!$P:$P,"Sadaqah"))</x:f>
      </x:c>
      <x:c r="G88" t="str">
        <x:f>IF($A88="","",COUNTIFS(CaseLedger!$F:$F,$A88,CaseLedger!$B:$B,"TRUE",CaseLedger!$P:$P,"Mixed"))</x:f>
      </x:c>
      <x:c r="H88" t="str">
        <x:f>IF($A88="","",COUNTIFS(CaseLedger!$F:$F,$A88,CaseLedger!$B:$B,"TRUE",CaseLedger!$K:$K,"Livelihood"))</x:f>
      </x:c>
      <x:c r="I88" t="str">
        <x:f>IF($A88="","",COUNTIFS(CaseLedger!$F:$F,$A88,CaseLedger!$B:$B,"TRUE",CaseLedger!$K:$K,"Skill Sponsorship"))</x:f>
      </x:c>
      <x:c r="J88" t="str">
        <x:f>IF($A88="","",COUNTIFS(CaseLedger!$F:$F,$A88,CaseLedger!$B:$B,"TRUE",CaseLedger!$K:$K,"Emergency Support"))</x:f>
      </x:c>
      <x:c r="K88" t="str">
        <x:f>IF($A88="","",COUNTIFS(CaseLedger!$F:$F,$A88,CaseLedger!$B:$B,"TRUE",CaseLedger!$K:$K,"Community Support"))</x:f>
      </x:c>
      <x:c r="L88" t="str">
        <x:f>IF($A88="","",SUMIFS(CaseLedger!$M:$M,CaseLedger!$F:$F,$A88,CaseLedger!$B:$B,"TRUE"))</x:f>
      </x:c>
      <x:c r="M88" t="str">
        <x:f>IF($A88="","",SUMIFS(CaseLedger!$N:$N,CaseLedger!$F:$F,$A88,CaseLedger!$B:$B,"TRUE"))</x:f>
      </x:c>
      <x:c r="N88" t="str">
        <x:f>IF($A88="","",0)</x:f>
      </x:c>
      <x:c r="O88" t="str">
        <x:f>IF($A88="","",SUMIFS(CaseLedger!$O:$O,CaseLedger!$F:$F,$A88,CaseLedger!$B:$B,"TRUE"))</x:f>
      </x:c>
      <x:c r="P88" t="str">
        <x:f>IF($A88="","",IFERROR(VLOOKUP($A88,MonthlyFinance!$A:$G,4,FALSE),""))</x:f>
      </x:c>
      <x:c r="Q88" t="str">
        <x:f>IF($A88="","",IFERROR(VLOOKUP($A88,MonthlyFinance!$A:$G,5,FALSE),""))</x:f>
      </x:c>
      <x:c r="R88" t="str">
        <x:f>IF($A88="","",IFERROR(VLOOKUP($A88,MonthlyFinance!$A:$G,6,FALSE),""))</x:f>
      </x:c>
      <x:c r="S88" t="str">
        <x:f>IF($A88="","","Formula-linked from CaseLedger; finance fields from MonthlyFinance.")</x:f>
      </x:c>
      <x:c r="T88" t="str">
        <x:f>IF($A88="","","TRUE")</x:f>
      </x:c>
    </x:row>
    <x:row r="89">
      <x:c r="D89" t="str">
        <x:f>IF($A89="","",COUNTIFS(CaseLedger!$F:$F,$A89,CaseLedger!$B:$B,"TRUE"))</x:f>
      </x:c>
      <x:c r="E89" t="str">
        <x:f>IF($A89="","",COUNTIFS(CaseLedger!$F:$F,$A89,CaseLedger!$B:$B,"TRUE",CaseLedger!$P:$P,"Zakat"))</x:f>
      </x:c>
      <x:c r="F89" t="str">
        <x:f>IF($A89="","",COUNTIFS(CaseLedger!$F:$F,$A89,CaseLedger!$B:$B,"TRUE",CaseLedger!$P:$P,"Sadaqah"))</x:f>
      </x:c>
      <x:c r="G89" t="str">
        <x:f>IF($A89="","",COUNTIFS(CaseLedger!$F:$F,$A89,CaseLedger!$B:$B,"TRUE",CaseLedger!$P:$P,"Mixed"))</x:f>
      </x:c>
      <x:c r="H89" t="str">
        <x:f>IF($A89="","",COUNTIFS(CaseLedger!$F:$F,$A89,CaseLedger!$B:$B,"TRUE",CaseLedger!$K:$K,"Livelihood"))</x:f>
      </x:c>
      <x:c r="I89" t="str">
        <x:f>IF($A89="","",COUNTIFS(CaseLedger!$F:$F,$A89,CaseLedger!$B:$B,"TRUE",CaseLedger!$K:$K,"Skill Sponsorship"))</x:f>
      </x:c>
      <x:c r="J89" t="str">
        <x:f>IF($A89="","",COUNTIFS(CaseLedger!$F:$F,$A89,CaseLedger!$B:$B,"TRUE",CaseLedger!$K:$K,"Emergency Support"))</x:f>
      </x:c>
      <x:c r="K89" t="str">
        <x:f>IF($A89="","",COUNTIFS(CaseLedger!$F:$F,$A89,CaseLedger!$B:$B,"TRUE",CaseLedger!$K:$K,"Community Support"))</x:f>
      </x:c>
      <x:c r="L89" t="str">
        <x:f>IF($A89="","",SUMIFS(CaseLedger!$M:$M,CaseLedger!$F:$F,$A89,CaseLedger!$B:$B,"TRUE"))</x:f>
      </x:c>
      <x:c r="M89" t="str">
        <x:f>IF($A89="","",SUMIFS(CaseLedger!$N:$N,CaseLedger!$F:$F,$A89,CaseLedger!$B:$B,"TRUE"))</x:f>
      </x:c>
      <x:c r="N89" t="str">
        <x:f>IF($A89="","",0)</x:f>
      </x:c>
      <x:c r="O89" t="str">
        <x:f>IF($A89="","",SUMIFS(CaseLedger!$O:$O,CaseLedger!$F:$F,$A89,CaseLedger!$B:$B,"TRUE"))</x:f>
      </x:c>
      <x:c r="P89" t="str">
        <x:f>IF($A89="","",IFERROR(VLOOKUP($A89,MonthlyFinance!$A:$G,4,FALSE),""))</x:f>
      </x:c>
      <x:c r="Q89" t="str">
        <x:f>IF($A89="","",IFERROR(VLOOKUP($A89,MonthlyFinance!$A:$G,5,FALSE),""))</x:f>
      </x:c>
      <x:c r="R89" t="str">
        <x:f>IF($A89="","",IFERROR(VLOOKUP($A89,MonthlyFinance!$A:$G,6,FALSE),""))</x:f>
      </x:c>
      <x:c r="S89" t="str">
        <x:f>IF($A89="","","Formula-linked from CaseLedger; finance fields from MonthlyFinance.")</x:f>
      </x:c>
      <x:c r="T89" t="str">
        <x:f>IF($A89="","","TRUE")</x:f>
      </x:c>
    </x:row>
    <x:row r="90">
      <x:c r="D90" t="str">
        <x:f>IF($A90="","",COUNTIFS(CaseLedger!$F:$F,$A90,CaseLedger!$B:$B,"TRUE"))</x:f>
      </x:c>
      <x:c r="E90" t="str">
        <x:f>IF($A90="","",COUNTIFS(CaseLedger!$F:$F,$A90,CaseLedger!$B:$B,"TRUE",CaseLedger!$P:$P,"Zakat"))</x:f>
      </x:c>
      <x:c r="F90" t="str">
        <x:f>IF($A90="","",COUNTIFS(CaseLedger!$F:$F,$A90,CaseLedger!$B:$B,"TRUE",CaseLedger!$P:$P,"Sadaqah"))</x:f>
      </x:c>
      <x:c r="G90" t="str">
        <x:f>IF($A90="","",COUNTIFS(CaseLedger!$F:$F,$A90,CaseLedger!$B:$B,"TRUE",CaseLedger!$P:$P,"Mixed"))</x:f>
      </x:c>
      <x:c r="H90" t="str">
        <x:f>IF($A90="","",COUNTIFS(CaseLedger!$F:$F,$A90,CaseLedger!$B:$B,"TRUE",CaseLedger!$K:$K,"Livelihood"))</x:f>
      </x:c>
      <x:c r="I90" t="str">
        <x:f>IF($A90="","",COUNTIFS(CaseLedger!$F:$F,$A90,CaseLedger!$B:$B,"TRUE",CaseLedger!$K:$K,"Skill Sponsorship"))</x:f>
      </x:c>
      <x:c r="J90" t="str">
        <x:f>IF($A90="","",COUNTIFS(CaseLedger!$F:$F,$A90,CaseLedger!$B:$B,"TRUE",CaseLedger!$K:$K,"Emergency Support"))</x:f>
      </x:c>
      <x:c r="K90" t="str">
        <x:f>IF($A90="","",COUNTIFS(CaseLedger!$F:$F,$A90,CaseLedger!$B:$B,"TRUE",CaseLedger!$K:$K,"Community Support"))</x:f>
      </x:c>
      <x:c r="L90" t="str">
        <x:f>IF($A90="","",SUMIFS(CaseLedger!$M:$M,CaseLedger!$F:$F,$A90,CaseLedger!$B:$B,"TRUE"))</x:f>
      </x:c>
      <x:c r="M90" t="str">
        <x:f>IF($A90="","",SUMIFS(CaseLedger!$N:$N,CaseLedger!$F:$F,$A90,CaseLedger!$B:$B,"TRUE"))</x:f>
      </x:c>
      <x:c r="N90" t="str">
        <x:f>IF($A90="","",0)</x:f>
      </x:c>
      <x:c r="O90" t="str">
        <x:f>IF($A90="","",SUMIFS(CaseLedger!$O:$O,CaseLedger!$F:$F,$A90,CaseLedger!$B:$B,"TRUE"))</x:f>
      </x:c>
      <x:c r="P90" t="str">
        <x:f>IF($A90="","",IFERROR(VLOOKUP($A90,MonthlyFinance!$A:$G,4,FALSE),""))</x:f>
      </x:c>
      <x:c r="Q90" t="str">
        <x:f>IF($A90="","",IFERROR(VLOOKUP($A90,MonthlyFinance!$A:$G,5,FALSE),""))</x:f>
      </x:c>
      <x:c r="R90" t="str">
        <x:f>IF($A90="","",IFERROR(VLOOKUP($A90,MonthlyFinance!$A:$G,6,FALSE),""))</x:f>
      </x:c>
      <x:c r="S90" t="str">
        <x:f>IF($A90="","","Formula-linked from CaseLedger; finance fields from MonthlyFinance.")</x:f>
      </x:c>
      <x:c r="T90" t="str">
        <x:f>IF($A90="","","TRUE")</x:f>
      </x:c>
    </x:row>
    <x:row r="91">
      <x:c r="D91" t="str">
        <x:f>IF($A91="","",COUNTIFS(CaseLedger!$F:$F,$A91,CaseLedger!$B:$B,"TRUE"))</x:f>
      </x:c>
      <x:c r="E91" t="str">
        <x:f>IF($A91="","",COUNTIFS(CaseLedger!$F:$F,$A91,CaseLedger!$B:$B,"TRUE",CaseLedger!$P:$P,"Zakat"))</x:f>
      </x:c>
      <x:c r="F91" t="str">
        <x:f>IF($A91="","",COUNTIFS(CaseLedger!$F:$F,$A91,CaseLedger!$B:$B,"TRUE",CaseLedger!$P:$P,"Sadaqah"))</x:f>
      </x:c>
      <x:c r="G91" t="str">
        <x:f>IF($A91="","",COUNTIFS(CaseLedger!$F:$F,$A91,CaseLedger!$B:$B,"TRUE",CaseLedger!$P:$P,"Mixed"))</x:f>
      </x:c>
      <x:c r="H91" t="str">
        <x:f>IF($A91="","",COUNTIFS(CaseLedger!$F:$F,$A91,CaseLedger!$B:$B,"TRUE",CaseLedger!$K:$K,"Livelihood"))</x:f>
      </x:c>
      <x:c r="I91" t="str">
        <x:f>IF($A91="","",COUNTIFS(CaseLedger!$F:$F,$A91,CaseLedger!$B:$B,"TRUE",CaseLedger!$K:$K,"Skill Sponsorship"))</x:f>
      </x:c>
      <x:c r="J91" t="str">
        <x:f>IF($A91="","",COUNTIFS(CaseLedger!$F:$F,$A91,CaseLedger!$B:$B,"TRUE",CaseLedger!$K:$K,"Emergency Support"))</x:f>
      </x:c>
      <x:c r="K91" t="str">
        <x:f>IF($A91="","",COUNTIFS(CaseLedger!$F:$F,$A91,CaseLedger!$B:$B,"TRUE",CaseLedger!$K:$K,"Community Support"))</x:f>
      </x:c>
      <x:c r="L91" t="str">
        <x:f>IF($A91="","",SUMIFS(CaseLedger!$M:$M,CaseLedger!$F:$F,$A91,CaseLedger!$B:$B,"TRUE"))</x:f>
      </x:c>
      <x:c r="M91" t="str">
        <x:f>IF($A91="","",SUMIFS(CaseLedger!$N:$N,CaseLedger!$F:$F,$A91,CaseLedger!$B:$B,"TRUE"))</x:f>
      </x:c>
      <x:c r="N91" t="str">
        <x:f>IF($A91="","",0)</x:f>
      </x:c>
      <x:c r="O91" t="str">
        <x:f>IF($A91="","",SUMIFS(CaseLedger!$O:$O,CaseLedger!$F:$F,$A91,CaseLedger!$B:$B,"TRUE"))</x:f>
      </x:c>
      <x:c r="P91" t="str">
        <x:f>IF($A91="","",IFERROR(VLOOKUP($A91,MonthlyFinance!$A:$G,4,FALSE),""))</x:f>
      </x:c>
      <x:c r="Q91" t="str">
        <x:f>IF($A91="","",IFERROR(VLOOKUP($A91,MonthlyFinance!$A:$G,5,FALSE),""))</x:f>
      </x:c>
      <x:c r="R91" t="str">
        <x:f>IF($A91="","",IFERROR(VLOOKUP($A91,MonthlyFinance!$A:$G,6,FALSE),""))</x:f>
      </x:c>
      <x:c r="S91" t="str">
        <x:f>IF($A91="","","Formula-linked from CaseLedger; finance fields from MonthlyFinance.")</x:f>
      </x:c>
      <x:c r="T91" t="str">
        <x:f>IF($A91="","","TRUE")</x:f>
      </x:c>
    </x:row>
    <x:row r="92">
      <x:c r="D92" t="str">
        <x:f>IF($A92="","",COUNTIFS(CaseLedger!$F:$F,$A92,CaseLedger!$B:$B,"TRUE"))</x:f>
      </x:c>
      <x:c r="E92" t="str">
        <x:f>IF($A92="","",COUNTIFS(CaseLedger!$F:$F,$A92,CaseLedger!$B:$B,"TRUE",CaseLedger!$P:$P,"Zakat"))</x:f>
      </x:c>
      <x:c r="F92" t="str">
        <x:f>IF($A92="","",COUNTIFS(CaseLedger!$F:$F,$A92,CaseLedger!$B:$B,"TRUE",CaseLedger!$P:$P,"Sadaqah"))</x:f>
      </x:c>
      <x:c r="G92" t="str">
        <x:f>IF($A92="","",COUNTIFS(CaseLedger!$F:$F,$A92,CaseLedger!$B:$B,"TRUE",CaseLedger!$P:$P,"Mixed"))</x:f>
      </x:c>
      <x:c r="H92" t="str">
        <x:f>IF($A92="","",COUNTIFS(CaseLedger!$F:$F,$A92,CaseLedger!$B:$B,"TRUE",CaseLedger!$K:$K,"Livelihood"))</x:f>
      </x:c>
      <x:c r="I92" t="str">
        <x:f>IF($A92="","",COUNTIFS(CaseLedger!$F:$F,$A92,CaseLedger!$B:$B,"TRUE",CaseLedger!$K:$K,"Skill Sponsorship"))</x:f>
      </x:c>
      <x:c r="J92" t="str">
        <x:f>IF($A92="","",COUNTIFS(CaseLedger!$F:$F,$A92,CaseLedger!$B:$B,"TRUE",CaseLedger!$K:$K,"Emergency Support"))</x:f>
      </x:c>
      <x:c r="K92" t="str">
        <x:f>IF($A92="","",COUNTIFS(CaseLedger!$F:$F,$A92,CaseLedger!$B:$B,"TRUE",CaseLedger!$K:$K,"Community Support"))</x:f>
      </x:c>
      <x:c r="L92" t="str">
        <x:f>IF($A92="","",SUMIFS(CaseLedger!$M:$M,CaseLedger!$F:$F,$A92,CaseLedger!$B:$B,"TRUE"))</x:f>
      </x:c>
      <x:c r="M92" t="str">
        <x:f>IF($A92="","",SUMIFS(CaseLedger!$N:$N,CaseLedger!$F:$F,$A92,CaseLedger!$B:$B,"TRUE"))</x:f>
      </x:c>
      <x:c r="N92" t="str">
        <x:f>IF($A92="","",0)</x:f>
      </x:c>
      <x:c r="O92" t="str">
        <x:f>IF($A92="","",SUMIFS(CaseLedger!$O:$O,CaseLedger!$F:$F,$A92,CaseLedger!$B:$B,"TRUE"))</x:f>
      </x:c>
      <x:c r="P92" t="str">
        <x:f>IF($A92="","",IFERROR(VLOOKUP($A92,MonthlyFinance!$A:$G,4,FALSE),""))</x:f>
      </x:c>
      <x:c r="Q92" t="str">
        <x:f>IF($A92="","",IFERROR(VLOOKUP($A92,MonthlyFinance!$A:$G,5,FALSE),""))</x:f>
      </x:c>
      <x:c r="R92" t="str">
        <x:f>IF($A92="","",IFERROR(VLOOKUP($A92,MonthlyFinance!$A:$G,6,FALSE),""))</x:f>
      </x:c>
      <x:c r="S92" t="str">
        <x:f>IF($A92="","","Formula-linked from CaseLedger; finance fields from MonthlyFinance.")</x:f>
      </x:c>
      <x:c r="T92" t="str">
        <x:f>IF($A92="","","TRUE")</x:f>
      </x:c>
    </x:row>
    <x:row r="93">
      <x:c r="D93" t="str">
        <x:f>IF($A93="","",COUNTIFS(CaseLedger!$F:$F,$A93,CaseLedger!$B:$B,"TRUE"))</x:f>
      </x:c>
      <x:c r="E93" t="str">
        <x:f>IF($A93="","",COUNTIFS(CaseLedger!$F:$F,$A93,CaseLedger!$B:$B,"TRUE",CaseLedger!$P:$P,"Zakat"))</x:f>
      </x:c>
      <x:c r="F93" t="str">
        <x:f>IF($A93="","",COUNTIFS(CaseLedger!$F:$F,$A93,CaseLedger!$B:$B,"TRUE",CaseLedger!$P:$P,"Sadaqah"))</x:f>
      </x:c>
      <x:c r="G93" t="str">
        <x:f>IF($A93="","",COUNTIFS(CaseLedger!$F:$F,$A93,CaseLedger!$B:$B,"TRUE",CaseLedger!$P:$P,"Mixed"))</x:f>
      </x:c>
      <x:c r="H93" t="str">
        <x:f>IF($A93="","",COUNTIFS(CaseLedger!$F:$F,$A93,CaseLedger!$B:$B,"TRUE",CaseLedger!$K:$K,"Livelihood"))</x:f>
      </x:c>
      <x:c r="I93" t="str">
        <x:f>IF($A93="","",COUNTIFS(CaseLedger!$F:$F,$A93,CaseLedger!$B:$B,"TRUE",CaseLedger!$K:$K,"Skill Sponsorship"))</x:f>
      </x:c>
      <x:c r="J93" t="str">
        <x:f>IF($A93="","",COUNTIFS(CaseLedger!$F:$F,$A93,CaseLedger!$B:$B,"TRUE",CaseLedger!$K:$K,"Emergency Support"))</x:f>
      </x:c>
      <x:c r="K93" t="str">
        <x:f>IF($A93="","",COUNTIFS(CaseLedger!$F:$F,$A93,CaseLedger!$B:$B,"TRUE",CaseLedger!$K:$K,"Community Support"))</x:f>
      </x:c>
      <x:c r="L93" t="str">
        <x:f>IF($A93="","",SUMIFS(CaseLedger!$M:$M,CaseLedger!$F:$F,$A93,CaseLedger!$B:$B,"TRUE"))</x:f>
      </x:c>
      <x:c r="M93" t="str">
        <x:f>IF($A93="","",SUMIFS(CaseLedger!$N:$N,CaseLedger!$F:$F,$A93,CaseLedger!$B:$B,"TRUE"))</x:f>
      </x:c>
      <x:c r="N93" t="str">
        <x:f>IF($A93="","",0)</x:f>
      </x:c>
      <x:c r="O93" t="str">
        <x:f>IF($A93="","",SUMIFS(CaseLedger!$O:$O,CaseLedger!$F:$F,$A93,CaseLedger!$B:$B,"TRUE"))</x:f>
      </x:c>
      <x:c r="P93" t="str">
        <x:f>IF($A93="","",IFERROR(VLOOKUP($A93,MonthlyFinance!$A:$G,4,FALSE),""))</x:f>
      </x:c>
      <x:c r="Q93" t="str">
        <x:f>IF($A93="","",IFERROR(VLOOKUP($A93,MonthlyFinance!$A:$G,5,FALSE),""))</x:f>
      </x:c>
      <x:c r="R93" t="str">
        <x:f>IF($A93="","",IFERROR(VLOOKUP($A93,MonthlyFinance!$A:$G,6,FALSE),""))</x:f>
      </x:c>
      <x:c r="S93" t="str">
        <x:f>IF($A93="","","Formula-linked from CaseLedger; finance fields from MonthlyFinance.")</x:f>
      </x:c>
      <x:c r="T93" t="str">
        <x:f>IF($A93="","","TRUE")</x:f>
      </x:c>
    </x:row>
    <x:row r="94">
      <x:c r="D94" t="str">
        <x:f>IF($A94="","",COUNTIFS(CaseLedger!$F:$F,$A94,CaseLedger!$B:$B,"TRUE"))</x:f>
      </x:c>
      <x:c r="E94" t="str">
        <x:f>IF($A94="","",COUNTIFS(CaseLedger!$F:$F,$A94,CaseLedger!$B:$B,"TRUE",CaseLedger!$P:$P,"Zakat"))</x:f>
      </x:c>
      <x:c r="F94" t="str">
        <x:f>IF($A94="","",COUNTIFS(CaseLedger!$F:$F,$A94,CaseLedger!$B:$B,"TRUE",CaseLedger!$P:$P,"Sadaqah"))</x:f>
      </x:c>
      <x:c r="G94" t="str">
        <x:f>IF($A94="","",COUNTIFS(CaseLedger!$F:$F,$A94,CaseLedger!$B:$B,"TRUE",CaseLedger!$P:$P,"Mixed"))</x:f>
      </x:c>
      <x:c r="H94" t="str">
        <x:f>IF($A94="","",COUNTIFS(CaseLedger!$F:$F,$A94,CaseLedger!$B:$B,"TRUE",CaseLedger!$K:$K,"Livelihood"))</x:f>
      </x:c>
      <x:c r="I94" t="str">
        <x:f>IF($A94="","",COUNTIFS(CaseLedger!$F:$F,$A94,CaseLedger!$B:$B,"TRUE",CaseLedger!$K:$K,"Skill Sponsorship"))</x:f>
      </x:c>
      <x:c r="J94" t="str">
        <x:f>IF($A94="","",COUNTIFS(CaseLedger!$F:$F,$A94,CaseLedger!$B:$B,"TRUE",CaseLedger!$K:$K,"Emergency Support"))</x:f>
      </x:c>
      <x:c r="K94" t="str">
        <x:f>IF($A94="","",COUNTIFS(CaseLedger!$F:$F,$A94,CaseLedger!$B:$B,"TRUE",CaseLedger!$K:$K,"Community Support"))</x:f>
      </x:c>
      <x:c r="L94" t="str">
        <x:f>IF($A94="","",SUMIFS(CaseLedger!$M:$M,CaseLedger!$F:$F,$A94,CaseLedger!$B:$B,"TRUE"))</x:f>
      </x:c>
      <x:c r="M94" t="str">
        <x:f>IF($A94="","",SUMIFS(CaseLedger!$N:$N,CaseLedger!$F:$F,$A94,CaseLedger!$B:$B,"TRUE"))</x:f>
      </x:c>
      <x:c r="N94" t="str">
        <x:f>IF($A94="","",0)</x:f>
      </x:c>
      <x:c r="O94" t="str">
        <x:f>IF($A94="","",SUMIFS(CaseLedger!$O:$O,CaseLedger!$F:$F,$A94,CaseLedger!$B:$B,"TRUE"))</x:f>
      </x:c>
      <x:c r="P94" t="str">
        <x:f>IF($A94="","",IFERROR(VLOOKUP($A94,MonthlyFinance!$A:$G,4,FALSE),""))</x:f>
      </x:c>
      <x:c r="Q94" t="str">
        <x:f>IF($A94="","",IFERROR(VLOOKUP($A94,MonthlyFinance!$A:$G,5,FALSE),""))</x:f>
      </x:c>
      <x:c r="R94" t="str">
        <x:f>IF($A94="","",IFERROR(VLOOKUP($A94,MonthlyFinance!$A:$G,6,FALSE),""))</x:f>
      </x:c>
      <x:c r="S94" t="str">
        <x:f>IF($A94="","","Formula-linked from CaseLedger; finance fields from MonthlyFinance.")</x:f>
      </x:c>
      <x:c r="T94" t="str">
        <x:f>IF($A94="","","TRUE")</x:f>
      </x:c>
    </x:row>
    <x:row r="95">
      <x:c r="D95" t="str">
        <x:f>IF($A95="","",COUNTIFS(CaseLedger!$F:$F,$A95,CaseLedger!$B:$B,"TRUE"))</x:f>
      </x:c>
      <x:c r="E95" t="str">
        <x:f>IF($A95="","",COUNTIFS(CaseLedger!$F:$F,$A95,CaseLedger!$B:$B,"TRUE",CaseLedger!$P:$P,"Zakat"))</x:f>
      </x:c>
      <x:c r="F95" t="str">
        <x:f>IF($A95="","",COUNTIFS(CaseLedger!$F:$F,$A95,CaseLedger!$B:$B,"TRUE",CaseLedger!$P:$P,"Sadaqah"))</x:f>
      </x:c>
      <x:c r="G95" t="str">
        <x:f>IF($A95="","",COUNTIFS(CaseLedger!$F:$F,$A95,CaseLedger!$B:$B,"TRUE",CaseLedger!$P:$P,"Mixed"))</x:f>
      </x:c>
      <x:c r="H95" t="str">
        <x:f>IF($A95="","",COUNTIFS(CaseLedger!$F:$F,$A95,CaseLedger!$B:$B,"TRUE",CaseLedger!$K:$K,"Livelihood"))</x:f>
      </x:c>
      <x:c r="I95" t="str">
        <x:f>IF($A95="","",COUNTIFS(CaseLedger!$F:$F,$A95,CaseLedger!$B:$B,"TRUE",CaseLedger!$K:$K,"Skill Sponsorship"))</x:f>
      </x:c>
      <x:c r="J95" t="str">
        <x:f>IF($A95="","",COUNTIFS(CaseLedger!$F:$F,$A95,CaseLedger!$B:$B,"TRUE",CaseLedger!$K:$K,"Emergency Support"))</x:f>
      </x:c>
      <x:c r="K95" t="str">
        <x:f>IF($A95="","",COUNTIFS(CaseLedger!$F:$F,$A95,CaseLedger!$B:$B,"TRUE",CaseLedger!$K:$K,"Community Support"))</x:f>
      </x:c>
      <x:c r="L95" t="str">
        <x:f>IF($A95="","",SUMIFS(CaseLedger!$M:$M,CaseLedger!$F:$F,$A95,CaseLedger!$B:$B,"TRUE"))</x:f>
      </x:c>
      <x:c r="M95" t="str">
        <x:f>IF($A95="","",SUMIFS(CaseLedger!$N:$N,CaseLedger!$F:$F,$A95,CaseLedger!$B:$B,"TRUE"))</x:f>
      </x:c>
      <x:c r="N95" t="str">
        <x:f>IF($A95="","",0)</x:f>
      </x:c>
      <x:c r="O95" t="str">
        <x:f>IF($A95="","",SUMIFS(CaseLedger!$O:$O,CaseLedger!$F:$F,$A95,CaseLedger!$B:$B,"TRUE"))</x:f>
      </x:c>
      <x:c r="P95" t="str">
        <x:f>IF($A95="","",IFERROR(VLOOKUP($A95,MonthlyFinance!$A:$G,4,FALSE),""))</x:f>
      </x:c>
      <x:c r="Q95" t="str">
        <x:f>IF($A95="","",IFERROR(VLOOKUP($A95,MonthlyFinance!$A:$G,5,FALSE),""))</x:f>
      </x:c>
      <x:c r="R95" t="str">
        <x:f>IF($A95="","",IFERROR(VLOOKUP($A95,MonthlyFinance!$A:$G,6,FALSE),""))</x:f>
      </x:c>
      <x:c r="S95" t="str">
        <x:f>IF($A95="","","Formula-linked from CaseLedger; finance fields from MonthlyFinance.")</x:f>
      </x:c>
      <x:c r="T95" t="str">
        <x:f>IF($A95="","","TRUE")</x:f>
      </x:c>
    </x:row>
    <x:row r="96">
      <x:c r="D96" t="str">
        <x:f>IF($A96="","",COUNTIFS(CaseLedger!$F:$F,$A96,CaseLedger!$B:$B,"TRUE"))</x:f>
      </x:c>
      <x:c r="E96" t="str">
        <x:f>IF($A96="","",COUNTIFS(CaseLedger!$F:$F,$A96,CaseLedger!$B:$B,"TRUE",CaseLedger!$P:$P,"Zakat"))</x:f>
      </x:c>
      <x:c r="F96" t="str">
        <x:f>IF($A96="","",COUNTIFS(CaseLedger!$F:$F,$A96,CaseLedger!$B:$B,"TRUE",CaseLedger!$P:$P,"Sadaqah"))</x:f>
      </x:c>
      <x:c r="G96" t="str">
        <x:f>IF($A96="","",COUNTIFS(CaseLedger!$F:$F,$A96,CaseLedger!$B:$B,"TRUE",CaseLedger!$P:$P,"Mixed"))</x:f>
      </x:c>
      <x:c r="H96" t="str">
        <x:f>IF($A96="","",COUNTIFS(CaseLedger!$F:$F,$A96,CaseLedger!$B:$B,"TRUE",CaseLedger!$K:$K,"Livelihood"))</x:f>
      </x:c>
      <x:c r="I96" t="str">
        <x:f>IF($A96="","",COUNTIFS(CaseLedger!$F:$F,$A96,CaseLedger!$B:$B,"TRUE",CaseLedger!$K:$K,"Skill Sponsorship"))</x:f>
      </x:c>
      <x:c r="J96" t="str">
        <x:f>IF($A96="","",COUNTIFS(CaseLedger!$F:$F,$A96,CaseLedger!$B:$B,"TRUE",CaseLedger!$K:$K,"Emergency Support"))</x:f>
      </x:c>
      <x:c r="K96" t="str">
        <x:f>IF($A96="","",COUNTIFS(CaseLedger!$F:$F,$A96,CaseLedger!$B:$B,"TRUE",CaseLedger!$K:$K,"Community Support"))</x:f>
      </x:c>
      <x:c r="L96" t="str">
        <x:f>IF($A96="","",SUMIFS(CaseLedger!$M:$M,CaseLedger!$F:$F,$A96,CaseLedger!$B:$B,"TRUE"))</x:f>
      </x:c>
      <x:c r="M96" t="str">
        <x:f>IF($A96="","",SUMIFS(CaseLedger!$N:$N,CaseLedger!$F:$F,$A96,CaseLedger!$B:$B,"TRUE"))</x:f>
      </x:c>
      <x:c r="N96" t="str">
        <x:f>IF($A96="","",0)</x:f>
      </x:c>
      <x:c r="O96" t="str">
        <x:f>IF($A96="","",SUMIFS(CaseLedger!$O:$O,CaseLedger!$F:$F,$A96,CaseLedger!$B:$B,"TRUE"))</x:f>
      </x:c>
      <x:c r="P96" t="str">
        <x:f>IF($A96="","",IFERROR(VLOOKUP($A96,MonthlyFinance!$A:$G,4,FALSE),""))</x:f>
      </x:c>
      <x:c r="Q96" t="str">
        <x:f>IF($A96="","",IFERROR(VLOOKUP($A96,MonthlyFinance!$A:$G,5,FALSE),""))</x:f>
      </x:c>
      <x:c r="R96" t="str">
        <x:f>IF($A96="","",IFERROR(VLOOKUP($A96,MonthlyFinance!$A:$G,6,FALSE),""))</x:f>
      </x:c>
      <x:c r="S96" t="str">
        <x:f>IF($A96="","","Formula-linked from CaseLedger; finance fields from MonthlyFinance.")</x:f>
      </x:c>
      <x:c r="T96" t="str">
        <x:f>IF($A96="","","TRUE")</x:f>
      </x:c>
    </x:row>
    <x:row r="97">
      <x:c r="D97" t="str">
        <x:f>IF($A97="","",COUNTIFS(CaseLedger!$F:$F,$A97,CaseLedger!$B:$B,"TRUE"))</x:f>
      </x:c>
      <x:c r="E97" t="str">
        <x:f>IF($A97="","",COUNTIFS(CaseLedger!$F:$F,$A97,CaseLedger!$B:$B,"TRUE",CaseLedger!$P:$P,"Zakat"))</x:f>
      </x:c>
      <x:c r="F97" t="str">
        <x:f>IF($A97="","",COUNTIFS(CaseLedger!$F:$F,$A97,CaseLedger!$B:$B,"TRUE",CaseLedger!$P:$P,"Sadaqah"))</x:f>
      </x:c>
      <x:c r="G97" t="str">
        <x:f>IF($A97="","",COUNTIFS(CaseLedger!$F:$F,$A97,CaseLedger!$B:$B,"TRUE",CaseLedger!$P:$P,"Mixed"))</x:f>
      </x:c>
      <x:c r="H97" t="str">
        <x:f>IF($A97="","",COUNTIFS(CaseLedger!$F:$F,$A97,CaseLedger!$B:$B,"TRUE",CaseLedger!$K:$K,"Livelihood"))</x:f>
      </x:c>
      <x:c r="I97" t="str">
        <x:f>IF($A97="","",COUNTIFS(CaseLedger!$F:$F,$A97,CaseLedger!$B:$B,"TRUE",CaseLedger!$K:$K,"Skill Sponsorship"))</x:f>
      </x:c>
      <x:c r="J97" t="str">
        <x:f>IF($A97="","",COUNTIFS(CaseLedger!$F:$F,$A97,CaseLedger!$B:$B,"TRUE",CaseLedger!$K:$K,"Emergency Support"))</x:f>
      </x:c>
      <x:c r="K97" t="str">
        <x:f>IF($A97="","",COUNTIFS(CaseLedger!$F:$F,$A97,CaseLedger!$B:$B,"TRUE",CaseLedger!$K:$K,"Community Support"))</x:f>
      </x:c>
      <x:c r="L97" t="str">
        <x:f>IF($A97="","",SUMIFS(CaseLedger!$M:$M,CaseLedger!$F:$F,$A97,CaseLedger!$B:$B,"TRUE"))</x:f>
      </x:c>
      <x:c r="M97" t="str">
        <x:f>IF($A97="","",SUMIFS(CaseLedger!$N:$N,CaseLedger!$F:$F,$A97,CaseLedger!$B:$B,"TRUE"))</x:f>
      </x:c>
      <x:c r="N97" t="str">
        <x:f>IF($A97="","",0)</x:f>
      </x:c>
      <x:c r="O97" t="str">
        <x:f>IF($A97="","",SUMIFS(CaseLedger!$O:$O,CaseLedger!$F:$F,$A97,CaseLedger!$B:$B,"TRUE"))</x:f>
      </x:c>
      <x:c r="P97" t="str">
        <x:f>IF($A97="","",IFERROR(VLOOKUP($A97,MonthlyFinance!$A:$G,4,FALSE),""))</x:f>
      </x:c>
      <x:c r="Q97" t="str">
        <x:f>IF($A97="","",IFERROR(VLOOKUP($A97,MonthlyFinance!$A:$G,5,FALSE),""))</x:f>
      </x:c>
      <x:c r="R97" t="str">
        <x:f>IF($A97="","",IFERROR(VLOOKUP($A97,MonthlyFinance!$A:$G,6,FALSE),""))</x:f>
      </x:c>
      <x:c r="S97" t="str">
        <x:f>IF($A97="","","Formula-linked from CaseLedger; finance fields from MonthlyFinance.")</x:f>
      </x:c>
      <x:c r="T97" t="str">
        <x:f>IF($A97="","","TRUE")</x:f>
      </x:c>
    </x:row>
    <x:row r="98">
      <x:c r="D98" t="str">
        <x:f>IF($A98="","",COUNTIFS(CaseLedger!$F:$F,$A98,CaseLedger!$B:$B,"TRUE"))</x:f>
      </x:c>
      <x:c r="E98" t="str">
        <x:f>IF($A98="","",COUNTIFS(CaseLedger!$F:$F,$A98,CaseLedger!$B:$B,"TRUE",CaseLedger!$P:$P,"Zakat"))</x:f>
      </x:c>
      <x:c r="F98" t="str">
        <x:f>IF($A98="","",COUNTIFS(CaseLedger!$F:$F,$A98,CaseLedger!$B:$B,"TRUE",CaseLedger!$P:$P,"Sadaqah"))</x:f>
      </x:c>
      <x:c r="G98" t="str">
        <x:f>IF($A98="","",COUNTIFS(CaseLedger!$F:$F,$A98,CaseLedger!$B:$B,"TRUE",CaseLedger!$P:$P,"Mixed"))</x:f>
      </x:c>
      <x:c r="H98" t="str">
        <x:f>IF($A98="","",COUNTIFS(CaseLedger!$F:$F,$A98,CaseLedger!$B:$B,"TRUE",CaseLedger!$K:$K,"Livelihood"))</x:f>
      </x:c>
      <x:c r="I98" t="str">
        <x:f>IF($A98="","",COUNTIFS(CaseLedger!$F:$F,$A98,CaseLedger!$B:$B,"TRUE",CaseLedger!$K:$K,"Skill Sponsorship"))</x:f>
      </x:c>
      <x:c r="J98" t="str">
        <x:f>IF($A98="","",COUNTIFS(CaseLedger!$F:$F,$A98,CaseLedger!$B:$B,"TRUE",CaseLedger!$K:$K,"Emergency Support"))</x:f>
      </x:c>
      <x:c r="K98" t="str">
        <x:f>IF($A98="","",COUNTIFS(CaseLedger!$F:$F,$A98,CaseLedger!$B:$B,"TRUE",CaseLedger!$K:$K,"Community Support"))</x:f>
      </x:c>
      <x:c r="L98" t="str">
        <x:f>IF($A98="","",SUMIFS(CaseLedger!$M:$M,CaseLedger!$F:$F,$A98,CaseLedger!$B:$B,"TRUE"))</x:f>
      </x:c>
      <x:c r="M98" t="str">
        <x:f>IF($A98="","",SUMIFS(CaseLedger!$N:$N,CaseLedger!$F:$F,$A98,CaseLedger!$B:$B,"TRUE"))</x:f>
      </x:c>
      <x:c r="N98" t="str">
        <x:f>IF($A98="","",0)</x:f>
      </x:c>
      <x:c r="O98" t="str">
        <x:f>IF($A98="","",SUMIFS(CaseLedger!$O:$O,CaseLedger!$F:$F,$A98,CaseLedger!$B:$B,"TRUE"))</x:f>
      </x:c>
      <x:c r="P98" t="str">
        <x:f>IF($A98="","",IFERROR(VLOOKUP($A98,MonthlyFinance!$A:$G,4,FALSE),""))</x:f>
      </x:c>
      <x:c r="Q98" t="str">
        <x:f>IF($A98="","",IFERROR(VLOOKUP($A98,MonthlyFinance!$A:$G,5,FALSE),""))</x:f>
      </x:c>
      <x:c r="R98" t="str">
        <x:f>IF($A98="","",IFERROR(VLOOKUP($A98,MonthlyFinance!$A:$G,6,FALSE),""))</x:f>
      </x:c>
      <x:c r="S98" t="str">
        <x:f>IF($A98="","","Formula-linked from CaseLedger; finance fields from MonthlyFinance.")</x:f>
      </x:c>
      <x:c r="T98" t="str">
        <x:f>IF($A98="","","TRUE")</x:f>
      </x:c>
    </x:row>
    <x:row r="99">
      <x:c r="D99" t="str">
        <x:f>IF($A99="","",COUNTIFS(CaseLedger!$F:$F,$A99,CaseLedger!$B:$B,"TRUE"))</x:f>
      </x:c>
      <x:c r="E99" t="str">
        <x:f>IF($A99="","",COUNTIFS(CaseLedger!$F:$F,$A99,CaseLedger!$B:$B,"TRUE",CaseLedger!$P:$P,"Zakat"))</x:f>
      </x:c>
      <x:c r="F99" t="str">
        <x:f>IF($A99="","",COUNTIFS(CaseLedger!$F:$F,$A99,CaseLedger!$B:$B,"TRUE",CaseLedger!$P:$P,"Sadaqah"))</x:f>
      </x:c>
      <x:c r="G99" t="str">
        <x:f>IF($A99="","",COUNTIFS(CaseLedger!$F:$F,$A99,CaseLedger!$B:$B,"TRUE",CaseLedger!$P:$P,"Mixed"))</x:f>
      </x:c>
      <x:c r="H99" t="str">
        <x:f>IF($A99="","",COUNTIFS(CaseLedger!$F:$F,$A99,CaseLedger!$B:$B,"TRUE",CaseLedger!$K:$K,"Livelihood"))</x:f>
      </x:c>
      <x:c r="I99" t="str">
        <x:f>IF($A99="","",COUNTIFS(CaseLedger!$F:$F,$A99,CaseLedger!$B:$B,"TRUE",CaseLedger!$K:$K,"Skill Sponsorship"))</x:f>
      </x:c>
      <x:c r="J99" t="str">
        <x:f>IF($A99="","",COUNTIFS(CaseLedger!$F:$F,$A99,CaseLedger!$B:$B,"TRUE",CaseLedger!$K:$K,"Emergency Support"))</x:f>
      </x:c>
      <x:c r="K99" t="str">
        <x:f>IF($A99="","",COUNTIFS(CaseLedger!$F:$F,$A99,CaseLedger!$B:$B,"TRUE",CaseLedger!$K:$K,"Community Support"))</x:f>
      </x:c>
      <x:c r="L99" t="str">
        <x:f>IF($A99="","",SUMIFS(CaseLedger!$M:$M,CaseLedger!$F:$F,$A99,CaseLedger!$B:$B,"TRUE"))</x:f>
      </x:c>
      <x:c r="M99" t="str">
        <x:f>IF($A99="","",SUMIFS(CaseLedger!$N:$N,CaseLedger!$F:$F,$A99,CaseLedger!$B:$B,"TRUE"))</x:f>
      </x:c>
      <x:c r="N99" t="str">
        <x:f>IF($A99="","",0)</x:f>
      </x:c>
      <x:c r="O99" t="str">
        <x:f>IF($A99="","",SUMIFS(CaseLedger!$O:$O,CaseLedger!$F:$F,$A99,CaseLedger!$B:$B,"TRUE"))</x:f>
      </x:c>
      <x:c r="P99" t="str">
        <x:f>IF($A99="","",IFERROR(VLOOKUP($A99,MonthlyFinance!$A:$G,4,FALSE),""))</x:f>
      </x:c>
      <x:c r="Q99" t="str">
        <x:f>IF($A99="","",IFERROR(VLOOKUP($A99,MonthlyFinance!$A:$G,5,FALSE),""))</x:f>
      </x:c>
      <x:c r="R99" t="str">
        <x:f>IF($A99="","",IFERROR(VLOOKUP($A99,MonthlyFinance!$A:$G,6,FALSE),""))</x:f>
      </x:c>
      <x:c r="S99" t="str">
        <x:f>IF($A99="","","Formula-linked from CaseLedger; finance fields from MonthlyFinance.")</x:f>
      </x:c>
      <x:c r="T99" t="str">
        <x:f>IF($A99="","","TRUE")</x:f>
      </x:c>
    </x:row>
    <x:row r="100">
      <x:c r="D100" t="str">
        <x:f>IF($A100="","",COUNTIFS(CaseLedger!$F:$F,$A100,CaseLedger!$B:$B,"TRUE"))</x:f>
      </x:c>
      <x:c r="E100" t="str">
        <x:f>IF($A100="","",COUNTIFS(CaseLedger!$F:$F,$A100,CaseLedger!$B:$B,"TRUE",CaseLedger!$P:$P,"Zakat"))</x:f>
      </x:c>
      <x:c r="F100" t="str">
        <x:f>IF($A100="","",COUNTIFS(CaseLedger!$F:$F,$A100,CaseLedger!$B:$B,"TRUE",CaseLedger!$P:$P,"Sadaqah"))</x:f>
      </x:c>
      <x:c r="G100" t="str">
        <x:f>IF($A100="","",COUNTIFS(CaseLedger!$F:$F,$A100,CaseLedger!$B:$B,"TRUE",CaseLedger!$P:$P,"Mixed"))</x:f>
      </x:c>
      <x:c r="H100" t="str">
        <x:f>IF($A100="","",COUNTIFS(CaseLedger!$F:$F,$A100,CaseLedger!$B:$B,"TRUE",CaseLedger!$K:$K,"Livelihood"))</x:f>
      </x:c>
      <x:c r="I100" t="str">
        <x:f>IF($A100="","",COUNTIFS(CaseLedger!$F:$F,$A100,CaseLedger!$B:$B,"TRUE",CaseLedger!$K:$K,"Skill Sponsorship"))</x:f>
      </x:c>
      <x:c r="J100" t="str">
        <x:f>IF($A100="","",COUNTIFS(CaseLedger!$F:$F,$A100,CaseLedger!$B:$B,"TRUE",CaseLedger!$K:$K,"Emergency Support"))</x:f>
      </x:c>
      <x:c r="K100" t="str">
        <x:f>IF($A100="","",COUNTIFS(CaseLedger!$F:$F,$A100,CaseLedger!$B:$B,"TRUE",CaseLedger!$K:$K,"Community Support"))</x:f>
      </x:c>
      <x:c r="L100" t="str">
        <x:f>IF($A100="","",SUMIFS(CaseLedger!$M:$M,CaseLedger!$F:$F,$A100,CaseLedger!$B:$B,"TRUE"))</x:f>
      </x:c>
      <x:c r="M100" t="str">
        <x:f>IF($A100="","",SUMIFS(CaseLedger!$N:$N,CaseLedger!$F:$F,$A100,CaseLedger!$B:$B,"TRUE"))</x:f>
      </x:c>
      <x:c r="N100" t="str">
        <x:f>IF($A100="","",0)</x:f>
      </x:c>
      <x:c r="O100" t="str">
        <x:f>IF($A100="","",SUMIFS(CaseLedger!$O:$O,CaseLedger!$F:$F,$A100,CaseLedger!$B:$B,"TRUE"))</x:f>
      </x:c>
      <x:c r="P100" t="str">
        <x:f>IF($A100="","",IFERROR(VLOOKUP($A100,MonthlyFinance!$A:$G,4,FALSE),""))</x:f>
      </x:c>
      <x:c r="Q100" t="str">
        <x:f>IF($A100="","",IFERROR(VLOOKUP($A100,MonthlyFinance!$A:$G,5,FALSE),""))</x:f>
      </x:c>
      <x:c r="R100" t="str">
        <x:f>IF($A100="","",IFERROR(VLOOKUP($A100,MonthlyFinance!$A:$G,6,FALSE),""))</x:f>
      </x:c>
      <x:c r="S100" t="str">
        <x:f>IF($A100="","","Formula-linked from CaseLedger; finance fields from MonthlyFinance.")</x:f>
      </x:c>
      <x:c r="T100" t="str">
        <x:f>IF($A100="","","TRUE")</x:f>
      </x:c>
    </x:row>
    <x:row r="101">
      <x:c r="D101" t="str">
        <x:f>IF($A101="","",COUNTIFS(CaseLedger!$F:$F,$A101,CaseLedger!$B:$B,"TRUE"))</x:f>
      </x:c>
      <x:c r="E101" t="str">
        <x:f>IF($A101="","",COUNTIFS(CaseLedger!$F:$F,$A101,CaseLedger!$B:$B,"TRUE",CaseLedger!$P:$P,"Zakat"))</x:f>
      </x:c>
      <x:c r="F101" t="str">
        <x:f>IF($A101="","",COUNTIFS(CaseLedger!$F:$F,$A101,CaseLedger!$B:$B,"TRUE",CaseLedger!$P:$P,"Sadaqah"))</x:f>
      </x:c>
      <x:c r="G101" t="str">
        <x:f>IF($A101="","",COUNTIFS(CaseLedger!$F:$F,$A101,CaseLedger!$B:$B,"TRUE",CaseLedger!$P:$P,"Mixed"))</x:f>
      </x:c>
      <x:c r="H101" t="str">
        <x:f>IF($A101="","",COUNTIFS(CaseLedger!$F:$F,$A101,CaseLedger!$B:$B,"TRUE",CaseLedger!$K:$K,"Livelihood"))</x:f>
      </x:c>
      <x:c r="I101" t="str">
        <x:f>IF($A101="","",COUNTIFS(CaseLedger!$F:$F,$A101,CaseLedger!$B:$B,"TRUE",CaseLedger!$K:$K,"Skill Sponsorship"))</x:f>
      </x:c>
      <x:c r="J101" t="str">
        <x:f>IF($A101="","",COUNTIFS(CaseLedger!$F:$F,$A101,CaseLedger!$B:$B,"TRUE",CaseLedger!$K:$K,"Emergency Support"))</x:f>
      </x:c>
      <x:c r="K101" t="str">
        <x:f>IF($A101="","",COUNTIFS(CaseLedger!$F:$F,$A101,CaseLedger!$B:$B,"TRUE",CaseLedger!$K:$K,"Community Support"))</x:f>
      </x:c>
      <x:c r="L101" t="str">
        <x:f>IF($A101="","",SUMIFS(CaseLedger!$M:$M,CaseLedger!$F:$F,$A101,CaseLedger!$B:$B,"TRUE"))</x:f>
      </x:c>
      <x:c r="M101" t="str">
        <x:f>IF($A101="","",SUMIFS(CaseLedger!$N:$N,CaseLedger!$F:$F,$A101,CaseLedger!$B:$B,"TRUE"))</x:f>
      </x:c>
      <x:c r="N101" t="str">
        <x:f>IF($A101="","",0)</x:f>
      </x:c>
      <x:c r="O101" t="str">
        <x:f>IF($A101="","",SUMIFS(CaseLedger!$O:$O,CaseLedger!$F:$F,$A101,CaseLedger!$B:$B,"TRUE"))</x:f>
      </x:c>
      <x:c r="P101" t="str">
        <x:f>IF($A101="","",IFERROR(VLOOKUP($A101,MonthlyFinance!$A:$G,4,FALSE),""))</x:f>
      </x:c>
      <x:c r="Q101" t="str">
        <x:f>IF($A101="","",IFERROR(VLOOKUP($A101,MonthlyFinance!$A:$G,5,FALSE),""))</x:f>
      </x:c>
      <x:c r="R101" t="str">
        <x:f>IF($A101="","",IFERROR(VLOOKUP($A101,MonthlyFinance!$A:$G,6,FALSE),""))</x:f>
      </x:c>
      <x:c r="S101" t="str">
        <x:f>IF($A101="","","Formula-linked from CaseLedger; finance fields from MonthlyFinance.")</x:f>
      </x:c>
      <x:c r="T101" t="str">
        <x:f>IF($A101="","","TRUE")</x:f>
      </x:c>
    </x:row>
    <x:row r="102">
      <x:c r="D102" t="str">
        <x:f>IF($A102="","",COUNTIFS(CaseLedger!$F:$F,$A102,CaseLedger!$B:$B,"TRUE"))</x:f>
      </x:c>
      <x:c r="E102" t="str">
        <x:f>IF($A102="","",COUNTIFS(CaseLedger!$F:$F,$A102,CaseLedger!$B:$B,"TRUE",CaseLedger!$P:$P,"Zakat"))</x:f>
      </x:c>
      <x:c r="F102" t="str">
        <x:f>IF($A102="","",COUNTIFS(CaseLedger!$F:$F,$A102,CaseLedger!$B:$B,"TRUE",CaseLedger!$P:$P,"Sadaqah"))</x:f>
      </x:c>
      <x:c r="G102" t="str">
        <x:f>IF($A102="","",COUNTIFS(CaseLedger!$F:$F,$A102,CaseLedger!$B:$B,"TRUE",CaseLedger!$P:$P,"Mixed"))</x:f>
      </x:c>
      <x:c r="H102" t="str">
        <x:f>IF($A102="","",COUNTIFS(CaseLedger!$F:$F,$A102,CaseLedger!$B:$B,"TRUE",CaseLedger!$K:$K,"Livelihood"))</x:f>
      </x:c>
      <x:c r="I102" t="str">
        <x:f>IF($A102="","",COUNTIFS(CaseLedger!$F:$F,$A102,CaseLedger!$B:$B,"TRUE",CaseLedger!$K:$K,"Skill Sponsorship"))</x:f>
      </x:c>
      <x:c r="J102" t="str">
        <x:f>IF($A102="","",COUNTIFS(CaseLedger!$F:$F,$A102,CaseLedger!$B:$B,"TRUE",CaseLedger!$K:$K,"Emergency Support"))</x:f>
      </x:c>
      <x:c r="K102" t="str">
        <x:f>IF($A102="","",COUNTIFS(CaseLedger!$F:$F,$A102,CaseLedger!$B:$B,"TRUE",CaseLedger!$K:$K,"Community Support"))</x:f>
      </x:c>
      <x:c r="L102" t="str">
        <x:f>IF($A102="","",SUMIFS(CaseLedger!$M:$M,CaseLedger!$F:$F,$A102,CaseLedger!$B:$B,"TRUE"))</x:f>
      </x:c>
      <x:c r="M102" t="str">
        <x:f>IF($A102="","",SUMIFS(CaseLedger!$N:$N,CaseLedger!$F:$F,$A102,CaseLedger!$B:$B,"TRUE"))</x:f>
      </x:c>
      <x:c r="N102" t="str">
        <x:f>IF($A102="","",0)</x:f>
      </x:c>
      <x:c r="O102" t="str">
        <x:f>IF($A102="","",SUMIFS(CaseLedger!$O:$O,CaseLedger!$F:$F,$A102,CaseLedger!$B:$B,"TRUE"))</x:f>
      </x:c>
      <x:c r="P102" t="str">
        <x:f>IF($A102="","",IFERROR(VLOOKUP($A102,MonthlyFinance!$A:$G,4,FALSE),""))</x:f>
      </x:c>
      <x:c r="Q102" t="str">
        <x:f>IF($A102="","",IFERROR(VLOOKUP($A102,MonthlyFinance!$A:$G,5,FALSE),""))</x:f>
      </x:c>
      <x:c r="R102" t="str">
        <x:f>IF($A102="","",IFERROR(VLOOKUP($A102,MonthlyFinance!$A:$G,6,FALSE),""))</x:f>
      </x:c>
      <x:c r="S102" t="str">
        <x:f>IF($A102="","","Formula-linked from CaseLedger; finance fields from MonthlyFinance.")</x:f>
      </x:c>
      <x:c r="T102" t="str">
        <x:f>IF($A102="","","TRUE")</x:f>
      </x:c>
    </x:row>
    <x:row r="103">
      <x:c r="D103" t="str">
        <x:f>IF($A103="","",COUNTIFS(CaseLedger!$F:$F,$A103,CaseLedger!$B:$B,"TRUE"))</x:f>
      </x:c>
      <x:c r="E103" t="str">
        <x:f>IF($A103="","",COUNTIFS(CaseLedger!$F:$F,$A103,CaseLedger!$B:$B,"TRUE",CaseLedger!$P:$P,"Zakat"))</x:f>
      </x:c>
      <x:c r="F103" t="str">
        <x:f>IF($A103="","",COUNTIFS(CaseLedger!$F:$F,$A103,CaseLedger!$B:$B,"TRUE",CaseLedger!$P:$P,"Sadaqah"))</x:f>
      </x:c>
      <x:c r="G103" t="str">
        <x:f>IF($A103="","",COUNTIFS(CaseLedger!$F:$F,$A103,CaseLedger!$B:$B,"TRUE",CaseLedger!$P:$P,"Mixed"))</x:f>
      </x:c>
      <x:c r="H103" t="str">
        <x:f>IF($A103="","",COUNTIFS(CaseLedger!$F:$F,$A103,CaseLedger!$B:$B,"TRUE",CaseLedger!$K:$K,"Livelihood"))</x:f>
      </x:c>
      <x:c r="I103" t="str">
        <x:f>IF($A103="","",COUNTIFS(CaseLedger!$F:$F,$A103,CaseLedger!$B:$B,"TRUE",CaseLedger!$K:$K,"Skill Sponsorship"))</x:f>
      </x:c>
      <x:c r="J103" t="str">
        <x:f>IF($A103="","",COUNTIFS(CaseLedger!$F:$F,$A103,CaseLedger!$B:$B,"TRUE",CaseLedger!$K:$K,"Emergency Support"))</x:f>
      </x:c>
      <x:c r="K103" t="str">
        <x:f>IF($A103="","",COUNTIFS(CaseLedger!$F:$F,$A103,CaseLedger!$B:$B,"TRUE",CaseLedger!$K:$K,"Community Support"))</x:f>
      </x:c>
      <x:c r="L103" t="str">
        <x:f>IF($A103="","",SUMIFS(CaseLedger!$M:$M,CaseLedger!$F:$F,$A103,CaseLedger!$B:$B,"TRUE"))</x:f>
      </x:c>
      <x:c r="M103" t="str">
        <x:f>IF($A103="","",SUMIFS(CaseLedger!$N:$N,CaseLedger!$F:$F,$A103,CaseLedger!$B:$B,"TRUE"))</x:f>
      </x:c>
      <x:c r="N103" t="str">
        <x:f>IF($A103="","",0)</x:f>
      </x:c>
      <x:c r="O103" t="str">
        <x:f>IF($A103="","",SUMIFS(CaseLedger!$O:$O,CaseLedger!$F:$F,$A103,CaseLedger!$B:$B,"TRUE"))</x:f>
      </x:c>
      <x:c r="P103" t="str">
        <x:f>IF($A103="","",IFERROR(VLOOKUP($A103,MonthlyFinance!$A:$G,4,FALSE),""))</x:f>
      </x:c>
      <x:c r="Q103" t="str">
        <x:f>IF($A103="","",IFERROR(VLOOKUP($A103,MonthlyFinance!$A:$G,5,FALSE),""))</x:f>
      </x:c>
      <x:c r="R103" t="str">
        <x:f>IF($A103="","",IFERROR(VLOOKUP($A103,MonthlyFinance!$A:$G,6,FALSE),""))</x:f>
      </x:c>
      <x:c r="S103" t="str">
        <x:f>IF($A103="","","Formula-linked from CaseLedger; finance fields from MonthlyFinance.")</x:f>
      </x:c>
      <x:c r="T103" t="str">
        <x:f>IF($A103="","","TRUE")</x:f>
      </x:c>
    </x:row>
    <x:row r="104">
      <x:c r="D104" t="str">
        <x:f>IF($A104="","",COUNTIFS(CaseLedger!$F:$F,$A104,CaseLedger!$B:$B,"TRUE"))</x:f>
      </x:c>
      <x:c r="E104" t="str">
        <x:f>IF($A104="","",COUNTIFS(CaseLedger!$F:$F,$A104,CaseLedger!$B:$B,"TRUE",CaseLedger!$P:$P,"Zakat"))</x:f>
      </x:c>
      <x:c r="F104" t="str">
        <x:f>IF($A104="","",COUNTIFS(CaseLedger!$F:$F,$A104,CaseLedger!$B:$B,"TRUE",CaseLedger!$P:$P,"Sadaqah"))</x:f>
      </x:c>
      <x:c r="G104" t="str">
        <x:f>IF($A104="","",COUNTIFS(CaseLedger!$F:$F,$A104,CaseLedger!$B:$B,"TRUE",CaseLedger!$P:$P,"Mixed"))</x:f>
      </x:c>
      <x:c r="H104" t="str">
        <x:f>IF($A104="","",COUNTIFS(CaseLedger!$F:$F,$A104,CaseLedger!$B:$B,"TRUE",CaseLedger!$K:$K,"Livelihood"))</x:f>
      </x:c>
      <x:c r="I104" t="str">
        <x:f>IF($A104="","",COUNTIFS(CaseLedger!$F:$F,$A104,CaseLedger!$B:$B,"TRUE",CaseLedger!$K:$K,"Skill Sponsorship"))</x:f>
      </x:c>
      <x:c r="J104" t="str">
        <x:f>IF($A104="","",COUNTIFS(CaseLedger!$F:$F,$A104,CaseLedger!$B:$B,"TRUE",CaseLedger!$K:$K,"Emergency Support"))</x:f>
      </x:c>
      <x:c r="K104" t="str">
        <x:f>IF($A104="","",COUNTIFS(CaseLedger!$F:$F,$A104,CaseLedger!$B:$B,"TRUE",CaseLedger!$K:$K,"Community Support"))</x:f>
      </x:c>
      <x:c r="L104" t="str">
        <x:f>IF($A104="","",SUMIFS(CaseLedger!$M:$M,CaseLedger!$F:$F,$A104,CaseLedger!$B:$B,"TRUE"))</x:f>
      </x:c>
      <x:c r="M104" t="str">
        <x:f>IF($A104="","",SUMIFS(CaseLedger!$N:$N,CaseLedger!$F:$F,$A104,CaseLedger!$B:$B,"TRUE"))</x:f>
      </x:c>
      <x:c r="N104" t="str">
        <x:f>IF($A104="","",0)</x:f>
      </x:c>
      <x:c r="O104" t="str">
        <x:f>IF($A104="","",SUMIFS(CaseLedger!$O:$O,CaseLedger!$F:$F,$A104,CaseLedger!$B:$B,"TRUE"))</x:f>
      </x:c>
      <x:c r="P104" t="str">
        <x:f>IF($A104="","",IFERROR(VLOOKUP($A104,MonthlyFinance!$A:$G,4,FALSE),""))</x:f>
      </x:c>
      <x:c r="Q104" t="str">
        <x:f>IF($A104="","",IFERROR(VLOOKUP($A104,MonthlyFinance!$A:$G,5,FALSE),""))</x:f>
      </x:c>
      <x:c r="R104" t="str">
        <x:f>IF($A104="","",IFERROR(VLOOKUP($A104,MonthlyFinance!$A:$G,6,FALSE),""))</x:f>
      </x:c>
      <x:c r="S104" t="str">
        <x:f>IF($A104="","","Formula-linked from CaseLedger; finance fields from MonthlyFinance.")</x:f>
      </x:c>
      <x:c r="T104" t="str">
        <x:f>IF($A104="","","TRUE")</x:f>
      </x:c>
    </x:row>
    <x:row r="105">
      <x:c r="D105" t="str">
        <x:f>IF($A105="","",COUNTIFS(CaseLedger!$F:$F,$A105,CaseLedger!$B:$B,"TRUE"))</x:f>
      </x:c>
      <x:c r="E105" t="str">
        <x:f>IF($A105="","",COUNTIFS(CaseLedger!$F:$F,$A105,CaseLedger!$B:$B,"TRUE",CaseLedger!$P:$P,"Zakat"))</x:f>
      </x:c>
      <x:c r="F105" t="str">
        <x:f>IF($A105="","",COUNTIFS(CaseLedger!$F:$F,$A105,CaseLedger!$B:$B,"TRUE",CaseLedger!$P:$P,"Sadaqah"))</x:f>
      </x:c>
      <x:c r="G105" t="str">
        <x:f>IF($A105="","",COUNTIFS(CaseLedger!$F:$F,$A105,CaseLedger!$B:$B,"TRUE",CaseLedger!$P:$P,"Mixed"))</x:f>
      </x:c>
      <x:c r="H105" t="str">
        <x:f>IF($A105="","",COUNTIFS(CaseLedger!$F:$F,$A105,CaseLedger!$B:$B,"TRUE",CaseLedger!$K:$K,"Livelihood"))</x:f>
      </x:c>
      <x:c r="I105" t="str">
        <x:f>IF($A105="","",COUNTIFS(CaseLedger!$F:$F,$A105,CaseLedger!$B:$B,"TRUE",CaseLedger!$K:$K,"Skill Sponsorship"))</x:f>
      </x:c>
      <x:c r="J105" t="str">
        <x:f>IF($A105="","",COUNTIFS(CaseLedger!$F:$F,$A105,CaseLedger!$B:$B,"TRUE",CaseLedger!$K:$K,"Emergency Support"))</x:f>
      </x:c>
      <x:c r="K105" t="str">
        <x:f>IF($A105="","",COUNTIFS(CaseLedger!$F:$F,$A105,CaseLedger!$B:$B,"TRUE",CaseLedger!$K:$K,"Community Support"))</x:f>
      </x:c>
      <x:c r="L105" t="str">
        <x:f>IF($A105="","",SUMIFS(CaseLedger!$M:$M,CaseLedger!$F:$F,$A105,CaseLedger!$B:$B,"TRUE"))</x:f>
      </x:c>
      <x:c r="M105" t="str">
        <x:f>IF($A105="","",SUMIFS(CaseLedger!$N:$N,CaseLedger!$F:$F,$A105,CaseLedger!$B:$B,"TRUE"))</x:f>
      </x:c>
      <x:c r="N105" t="str">
        <x:f>IF($A105="","",0)</x:f>
      </x:c>
      <x:c r="O105" t="str">
        <x:f>IF($A105="","",SUMIFS(CaseLedger!$O:$O,CaseLedger!$F:$F,$A105,CaseLedger!$B:$B,"TRUE"))</x:f>
      </x:c>
      <x:c r="P105" t="str">
        <x:f>IF($A105="","",IFERROR(VLOOKUP($A105,MonthlyFinance!$A:$G,4,FALSE),""))</x:f>
      </x:c>
      <x:c r="Q105" t="str">
        <x:f>IF($A105="","",IFERROR(VLOOKUP($A105,MonthlyFinance!$A:$G,5,FALSE),""))</x:f>
      </x:c>
      <x:c r="R105" t="str">
        <x:f>IF($A105="","",IFERROR(VLOOKUP($A105,MonthlyFinance!$A:$G,6,FALSE),""))</x:f>
      </x:c>
      <x:c r="S105" t="str">
        <x:f>IF($A105="","","Formula-linked from CaseLedger; finance fields from MonthlyFinance.")</x:f>
      </x:c>
      <x:c r="T105" t="str">
        <x:f>IF($A105="","","TRUE")</x:f>
      </x:c>
    </x:row>
    <x:row r="106">
      <x:c r="D106" t="str">
        <x:f>IF($A106="","",COUNTIFS(CaseLedger!$F:$F,$A106,CaseLedger!$B:$B,"TRUE"))</x:f>
      </x:c>
      <x:c r="E106" t="str">
        <x:f>IF($A106="","",COUNTIFS(CaseLedger!$F:$F,$A106,CaseLedger!$B:$B,"TRUE",CaseLedger!$P:$P,"Zakat"))</x:f>
      </x:c>
      <x:c r="F106" t="str">
        <x:f>IF($A106="","",COUNTIFS(CaseLedger!$F:$F,$A106,CaseLedger!$B:$B,"TRUE",CaseLedger!$P:$P,"Sadaqah"))</x:f>
      </x:c>
      <x:c r="G106" t="str">
        <x:f>IF($A106="","",COUNTIFS(CaseLedger!$F:$F,$A106,CaseLedger!$B:$B,"TRUE",CaseLedger!$P:$P,"Mixed"))</x:f>
      </x:c>
      <x:c r="H106" t="str">
        <x:f>IF($A106="","",COUNTIFS(CaseLedger!$F:$F,$A106,CaseLedger!$B:$B,"TRUE",CaseLedger!$K:$K,"Livelihood"))</x:f>
      </x:c>
      <x:c r="I106" t="str">
        <x:f>IF($A106="","",COUNTIFS(CaseLedger!$F:$F,$A106,CaseLedger!$B:$B,"TRUE",CaseLedger!$K:$K,"Skill Sponsorship"))</x:f>
      </x:c>
      <x:c r="J106" t="str">
        <x:f>IF($A106="","",COUNTIFS(CaseLedger!$F:$F,$A106,CaseLedger!$B:$B,"TRUE",CaseLedger!$K:$K,"Emergency Support"))</x:f>
      </x:c>
      <x:c r="K106" t="str">
        <x:f>IF($A106="","",COUNTIFS(CaseLedger!$F:$F,$A106,CaseLedger!$B:$B,"TRUE",CaseLedger!$K:$K,"Community Support"))</x:f>
      </x:c>
      <x:c r="L106" t="str">
        <x:f>IF($A106="","",SUMIFS(CaseLedger!$M:$M,CaseLedger!$F:$F,$A106,CaseLedger!$B:$B,"TRUE"))</x:f>
      </x:c>
      <x:c r="M106" t="str">
        <x:f>IF($A106="","",SUMIFS(CaseLedger!$N:$N,CaseLedger!$F:$F,$A106,CaseLedger!$B:$B,"TRUE"))</x:f>
      </x:c>
      <x:c r="N106" t="str">
        <x:f>IF($A106="","",0)</x:f>
      </x:c>
      <x:c r="O106" t="str">
        <x:f>IF($A106="","",SUMIFS(CaseLedger!$O:$O,CaseLedger!$F:$F,$A106,CaseLedger!$B:$B,"TRUE"))</x:f>
      </x:c>
      <x:c r="P106" t="str">
        <x:f>IF($A106="","",IFERROR(VLOOKUP($A106,MonthlyFinance!$A:$G,4,FALSE),""))</x:f>
      </x:c>
      <x:c r="Q106" t="str">
        <x:f>IF($A106="","",IFERROR(VLOOKUP($A106,MonthlyFinance!$A:$G,5,FALSE),""))</x:f>
      </x:c>
      <x:c r="R106" t="str">
        <x:f>IF($A106="","",IFERROR(VLOOKUP($A106,MonthlyFinance!$A:$G,6,FALSE),""))</x:f>
      </x:c>
      <x:c r="S106" t="str">
        <x:f>IF($A106="","","Formula-linked from CaseLedger; finance fields from MonthlyFinance.")</x:f>
      </x:c>
      <x:c r="T106" t="str">
        <x:f>IF($A106="","","TRUE")</x:f>
      </x:c>
    </x:row>
    <x:row r="107">
      <x:c r="D107" t="str">
        <x:f>IF($A107="","",COUNTIFS(CaseLedger!$F:$F,$A107,CaseLedger!$B:$B,"TRUE"))</x:f>
      </x:c>
      <x:c r="E107" t="str">
        <x:f>IF($A107="","",COUNTIFS(CaseLedger!$F:$F,$A107,CaseLedger!$B:$B,"TRUE",CaseLedger!$P:$P,"Zakat"))</x:f>
      </x:c>
      <x:c r="F107" t="str">
        <x:f>IF($A107="","",COUNTIFS(CaseLedger!$F:$F,$A107,CaseLedger!$B:$B,"TRUE",CaseLedger!$P:$P,"Sadaqah"))</x:f>
      </x:c>
      <x:c r="G107" t="str">
        <x:f>IF($A107="","",COUNTIFS(CaseLedger!$F:$F,$A107,CaseLedger!$B:$B,"TRUE",CaseLedger!$P:$P,"Mixed"))</x:f>
      </x:c>
      <x:c r="H107" t="str">
        <x:f>IF($A107="","",COUNTIFS(CaseLedger!$F:$F,$A107,CaseLedger!$B:$B,"TRUE",CaseLedger!$K:$K,"Livelihood"))</x:f>
      </x:c>
      <x:c r="I107" t="str">
        <x:f>IF($A107="","",COUNTIFS(CaseLedger!$F:$F,$A107,CaseLedger!$B:$B,"TRUE",CaseLedger!$K:$K,"Skill Sponsorship"))</x:f>
      </x:c>
      <x:c r="J107" t="str">
        <x:f>IF($A107="","",COUNTIFS(CaseLedger!$F:$F,$A107,CaseLedger!$B:$B,"TRUE",CaseLedger!$K:$K,"Emergency Support"))</x:f>
      </x:c>
      <x:c r="K107" t="str">
        <x:f>IF($A107="","",COUNTIFS(CaseLedger!$F:$F,$A107,CaseLedger!$B:$B,"TRUE",CaseLedger!$K:$K,"Community Support"))</x:f>
      </x:c>
      <x:c r="L107" t="str">
        <x:f>IF($A107="","",SUMIFS(CaseLedger!$M:$M,CaseLedger!$F:$F,$A107,CaseLedger!$B:$B,"TRUE"))</x:f>
      </x:c>
      <x:c r="M107" t="str">
        <x:f>IF($A107="","",SUMIFS(CaseLedger!$N:$N,CaseLedger!$F:$F,$A107,CaseLedger!$B:$B,"TRUE"))</x:f>
      </x:c>
      <x:c r="N107" t="str">
        <x:f>IF($A107="","",0)</x:f>
      </x:c>
      <x:c r="O107" t="str">
        <x:f>IF($A107="","",SUMIFS(CaseLedger!$O:$O,CaseLedger!$F:$F,$A107,CaseLedger!$B:$B,"TRUE"))</x:f>
      </x:c>
      <x:c r="P107" t="str">
        <x:f>IF($A107="","",IFERROR(VLOOKUP($A107,MonthlyFinance!$A:$G,4,FALSE),""))</x:f>
      </x:c>
      <x:c r="Q107" t="str">
        <x:f>IF($A107="","",IFERROR(VLOOKUP($A107,MonthlyFinance!$A:$G,5,FALSE),""))</x:f>
      </x:c>
      <x:c r="R107" t="str">
        <x:f>IF($A107="","",IFERROR(VLOOKUP($A107,MonthlyFinance!$A:$G,6,FALSE),""))</x:f>
      </x:c>
      <x:c r="S107" t="str">
        <x:f>IF($A107="","","Formula-linked from CaseLedger; finance fields from MonthlyFinance.")</x:f>
      </x:c>
      <x:c r="T107" t="str">
        <x:f>IF($A107="","","TRUE")</x:f>
      </x:c>
    </x:row>
    <x:row r="108">
      <x:c r="D108" t="str">
        <x:f>IF($A108="","",COUNTIFS(CaseLedger!$F:$F,$A108,CaseLedger!$B:$B,"TRUE"))</x:f>
      </x:c>
      <x:c r="E108" t="str">
        <x:f>IF($A108="","",COUNTIFS(CaseLedger!$F:$F,$A108,CaseLedger!$B:$B,"TRUE",CaseLedger!$P:$P,"Zakat"))</x:f>
      </x:c>
      <x:c r="F108" t="str">
        <x:f>IF($A108="","",COUNTIFS(CaseLedger!$F:$F,$A108,CaseLedger!$B:$B,"TRUE",CaseLedger!$P:$P,"Sadaqah"))</x:f>
      </x:c>
      <x:c r="G108" t="str">
        <x:f>IF($A108="","",COUNTIFS(CaseLedger!$F:$F,$A108,CaseLedger!$B:$B,"TRUE",CaseLedger!$P:$P,"Mixed"))</x:f>
      </x:c>
      <x:c r="H108" t="str">
        <x:f>IF($A108="","",COUNTIFS(CaseLedger!$F:$F,$A108,CaseLedger!$B:$B,"TRUE",CaseLedger!$K:$K,"Livelihood"))</x:f>
      </x:c>
      <x:c r="I108" t="str">
        <x:f>IF($A108="","",COUNTIFS(CaseLedger!$F:$F,$A108,CaseLedger!$B:$B,"TRUE",CaseLedger!$K:$K,"Skill Sponsorship"))</x:f>
      </x:c>
      <x:c r="J108" t="str">
        <x:f>IF($A108="","",COUNTIFS(CaseLedger!$F:$F,$A108,CaseLedger!$B:$B,"TRUE",CaseLedger!$K:$K,"Emergency Support"))</x:f>
      </x:c>
      <x:c r="K108" t="str">
        <x:f>IF($A108="","",COUNTIFS(CaseLedger!$F:$F,$A108,CaseLedger!$B:$B,"TRUE",CaseLedger!$K:$K,"Community Support"))</x:f>
      </x:c>
      <x:c r="L108" t="str">
        <x:f>IF($A108="","",SUMIFS(CaseLedger!$M:$M,CaseLedger!$F:$F,$A108,CaseLedger!$B:$B,"TRUE"))</x:f>
      </x:c>
      <x:c r="M108" t="str">
        <x:f>IF($A108="","",SUMIFS(CaseLedger!$N:$N,CaseLedger!$F:$F,$A108,CaseLedger!$B:$B,"TRUE"))</x:f>
      </x:c>
      <x:c r="N108" t="str">
        <x:f>IF($A108="","",0)</x:f>
      </x:c>
      <x:c r="O108" t="str">
        <x:f>IF($A108="","",SUMIFS(CaseLedger!$O:$O,CaseLedger!$F:$F,$A108,CaseLedger!$B:$B,"TRUE"))</x:f>
      </x:c>
      <x:c r="P108" t="str">
        <x:f>IF($A108="","",IFERROR(VLOOKUP($A108,MonthlyFinance!$A:$G,4,FALSE),""))</x:f>
      </x:c>
      <x:c r="Q108" t="str">
        <x:f>IF($A108="","",IFERROR(VLOOKUP($A108,MonthlyFinance!$A:$G,5,FALSE),""))</x:f>
      </x:c>
      <x:c r="R108" t="str">
        <x:f>IF($A108="","",IFERROR(VLOOKUP($A108,MonthlyFinance!$A:$G,6,FALSE),""))</x:f>
      </x:c>
      <x:c r="S108" t="str">
        <x:f>IF($A108="","","Formula-linked from CaseLedger; finance fields from MonthlyFinance.")</x:f>
      </x:c>
      <x:c r="T108" t="str">
        <x:f>IF($A108="","","TRUE")</x:f>
      </x:c>
    </x:row>
    <x:row r="109">
      <x:c r="D109" t="str">
        <x:f>IF($A109="","",COUNTIFS(CaseLedger!$F:$F,$A109,CaseLedger!$B:$B,"TRUE"))</x:f>
      </x:c>
      <x:c r="E109" t="str">
        <x:f>IF($A109="","",COUNTIFS(CaseLedger!$F:$F,$A109,CaseLedger!$B:$B,"TRUE",CaseLedger!$P:$P,"Zakat"))</x:f>
      </x:c>
      <x:c r="F109" t="str">
        <x:f>IF($A109="","",COUNTIFS(CaseLedger!$F:$F,$A109,CaseLedger!$B:$B,"TRUE",CaseLedger!$P:$P,"Sadaqah"))</x:f>
      </x:c>
      <x:c r="G109" t="str">
        <x:f>IF($A109="","",COUNTIFS(CaseLedger!$F:$F,$A109,CaseLedger!$B:$B,"TRUE",CaseLedger!$P:$P,"Mixed"))</x:f>
      </x:c>
      <x:c r="H109" t="str">
        <x:f>IF($A109="","",COUNTIFS(CaseLedger!$F:$F,$A109,CaseLedger!$B:$B,"TRUE",CaseLedger!$K:$K,"Livelihood"))</x:f>
      </x:c>
      <x:c r="I109" t="str">
        <x:f>IF($A109="","",COUNTIFS(CaseLedger!$F:$F,$A109,CaseLedger!$B:$B,"TRUE",CaseLedger!$K:$K,"Skill Sponsorship"))</x:f>
      </x:c>
      <x:c r="J109" t="str">
        <x:f>IF($A109="","",COUNTIFS(CaseLedger!$F:$F,$A109,CaseLedger!$B:$B,"TRUE",CaseLedger!$K:$K,"Emergency Support"))</x:f>
      </x:c>
      <x:c r="K109" t="str">
        <x:f>IF($A109="","",COUNTIFS(CaseLedger!$F:$F,$A109,CaseLedger!$B:$B,"TRUE",CaseLedger!$K:$K,"Community Support"))</x:f>
      </x:c>
      <x:c r="L109" t="str">
        <x:f>IF($A109="","",SUMIFS(CaseLedger!$M:$M,CaseLedger!$F:$F,$A109,CaseLedger!$B:$B,"TRUE"))</x:f>
      </x:c>
      <x:c r="M109" t="str">
        <x:f>IF($A109="","",SUMIFS(CaseLedger!$N:$N,CaseLedger!$F:$F,$A109,CaseLedger!$B:$B,"TRUE"))</x:f>
      </x:c>
      <x:c r="N109" t="str">
        <x:f>IF($A109="","",0)</x:f>
      </x:c>
      <x:c r="O109" t="str">
        <x:f>IF($A109="","",SUMIFS(CaseLedger!$O:$O,CaseLedger!$F:$F,$A109,CaseLedger!$B:$B,"TRUE"))</x:f>
      </x:c>
      <x:c r="P109" t="str">
        <x:f>IF($A109="","",IFERROR(VLOOKUP($A109,MonthlyFinance!$A:$G,4,FALSE),""))</x:f>
      </x:c>
      <x:c r="Q109" t="str">
        <x:f>IF($A109="","",IFERROR(VLOOKUP($A109,MonthlyFinance!$A:$G,5,FALSE),""))</x:f>
      </x:c>
      <x:c r="R109" t="str">
        <x:f>IF($A109="","",IFERROR(VLOOKUP($A109,MonthlyFinance!$A:$G,6,FALSE),""))</x:f>
      </x:c>
      <x:c r="S109" t="str">
        <x:f>IF($A109="","","Formula-linked from CaseLedger; finance fields from MonthlyFinance.")</x:f>
      </x:c>
      <x:c r="T109" t="str">
        <x:f>IF($A109="","","TRUE")</x:f>
      </x:c>
    </x:row>
    <x:row r="110">
      <x:c r="D110" t="str">
        <x:f>IF($A110="","",COUNTIFS(CaseLedger!$F:$F,$A110,CaseLedger!$B:$B,"TRUE"))</x:f>
      </x:c>
      <x:c r="E110" t="str">
        <x:f>IF($A110="","",COUNTIFS(CaseLedger!$F:$F,$A110,CaseLedger!$B:$B,"TRUE",CaseLedger!$P:$P,"Zakat"))</x:f>
      </x:c>
      <x:c r="F110" t="str">
        <x:f>IF($A110="","",COUNTIFS(CaseLedger!$F:$F,$A110,CaseLedger!$B:$B,"TRUE",CaseLedger!$P:$P,"Sadaqah"))</x:f>
      </x:c>
      <x:c r="G110" t="str">
        <x:f>IF($A110="","",COUNTIFS(CaseLedger!$F:$F,$A110,CaseLedger!$B:$B,"TRUE",CaseLedger!$P:$P,"Mixed"))</x:f>
      </x:c>
      <x:c r="H110" t="str">
        <x:f>IF($A110="","",COUNTIFS(CaseLedger!$F:$F,$A110,CaseLedger!$B:$B,"TRUE",CaseLedger!$K:$K,"Livelihood"))</x:f>
      </x:c>
      <x:c r="I110" t="str">
        <x:f>IF($A110="","",COUNTIFS(CaseLedger!$F:$F,$A110,CaseLedger!$B:$B,"TRUE",CaseLedger!$K:$K,"Skill Sponsorship"))</x:f>
      </x:c>
      <x:c r="J110" t="str">
        <x:f>IF($A110="","",COUNTIFS(CaseLedger!$F:$F,$A110,CaseLedger!$B:$B,"TRUE",CaseLedger!$K:$K,"Emergency Support"))</x:f>
      </x:c>
      <x:c r="K110" t="str">
        <x:f>IF($A110="","",COUNTIFS(CaseLedger!$F:$F,$A110,CaseLedger!$B:$B,"TRUE",CaseLedger!$K:$K,"Community Support"))</x:f>
      </x:c>
      <x:c r="L110" t="str">
        <x:f>IF($A110="","",SUMIFS(CaseLedger!$M:$M,CaseLedger!$F:$F,$A110,CaseLedger!$B:$B,"TRUE"))</x:f>
      </x:c>
      <x:c r="M110" t="str">
        <x:f>IF($A110="","",SUMIFS(CaseLedger!$N:$N,CaseLedger!$F:$F,$A110,CaseLedger!$B:$B,"TRUE"))</x:f>
      </x:c>
      <x:c r="N110" t="str">
        <x:f>IF($A110="","",0)</x:f>
      </x:c>
      <x:c r="O110" t="str">
        <x:f>IF($A110="","",SUMIFS(CaseLedger!$O:$O,CaseLedger!$F:$F,$A110,CaseLedger!$B:$B,"TRUE"))</x:f>
      </x:c>
      <x:c r="P110" t="str">
        <x:f>IF($A110="","",IFERROR(VLOOKUP($A110,MonthlyFinance!$A:$G,4,FALSE),""))</x:f>
      </x:c>
      <x:c r="Q110" t="str">
        <x:f>IF($A110="","",IFERROR(VLOOKUP($A110,MonthlyFinance!$A:$G,5,FALSE),""))</x:f>
      </x:c>
      <x:c r="R110" t="str">
        <x:f>IF($A110="","",IFERROR(VLOOKUP($A110,MonthlyFinance!$A:$G,6,FALSE),""))</x:f>
      </x:c>
      <x:c r="S110" t="str">
        <x:f>IF($A110="","","Formula-linked from CaseLedger; finance fields from MonthlyFinance.")</x:f>
      </x:c>
      <x:c r="T110" t="str">
        <x:f>IF($A110="","","TRUE")</x:f>
      </x:c>
    </x:row>
    <x:row r="111">
      <x:c r="D111" t="str">
        <x:f>IF($A111="","",COUNTIFS(CaseLedger!$F:$F,$A111,CaseLedger!$B:$B,"TRUE"))</x:f>
      </x:c>
      <x:c r="E111" t="str">
        <x:f>IF($A111="","",COUNTIFS(CaseLedger!$F:$F,$A111,CaseLedger!$B:$B,"TRUE",CaseLedger!$P:$P,"Zakat"))</x:f>
      </x:c>
      <x:c r="F111" t="str">
        <x:f>IF($A111="","",COUNTIFS(CaseLedger!$F:$F,$A111,CaseLedger!$B:$B,"TRUE",CaseLedger!$P:$P,"Sadaqah"))</x:f>
      </x:c>
      <x:c r="G111" t="str">
        <x:f>IF($A111="","",COUNTIFS(CaseLedger!$F:$F,$A111,CaseLedger!$B:$B,"TRUE",CaseLedger!$P:$P,"Mixed"))</x:f>
      </x:c>
      <x:c r="H111" t="str">
        <x:f>IF($A111="","",COUNTIFS(CaseLedger!$F:$F,$A111,CaseLedger!$B:$B,"TRUE",CaseLedger!$K:$K,"Livelihood"))</x:f>
      </x:c>
      <x:c r="I111" t="str">
        <x:f>IF($A111="","",COUNTIFS(CaseLedger!$F:$F,$A111,CaseLedger!$B:$B,"TRUE",CaseLedger!$K:$K,"Skill Sponsorship"))</x:f>
      </x:c>
      <x:c r="J111" t="str">
        <x:f>IF($A111="","",COUNTIFS(CaseLedger!$F:$F,$A111,CaseLedger!$B:$B,"TRUE",CaseLedger!$K:$K,"Emergency Support"))</x:f>
      </x:c>
      <x:c r="K111" t="str">
        <x:f>IF($A111="","",COUNTIFS(CaseLedger!$F:$F,$A111,CaseLedger!$B:$B,"TRUE",CaseLedger!$K:$K,"Community Support"))</x:f>
      </x:c>
      <x:c r="L111" t="str">
        <x:f>IF($A111="","",SUMIFS(CaseLedger!$M:$M,CaseLedger!$F:$F,$A111,CaseLedger!$B:$B,"TRUE"))</x:f>
      </x:c>
      <x:c r="M111" t="str">
        <x:f>IF($A111="","",SUMIFS(CaseLedger!$N:$N,CaseLedger!$F:$F,$A111,CaseLedger!$B:$B,"TRUE"))</x:f>
      </x:c>
      <x:c r="N111" t="str">
        <x:f>IF($A111="","",0)</x:f>
      </x:c>
      <x:c r="O111" t="str">
        <x:f>IF($A111="","",SUMIFS(CaseLedger!$O:$O,CaseLedger!$F:$F,$A111,CaseLedger!$B:$B,"TRUE"))</x:f>
      </x:c>
      <x:c r="P111" t="str">
        <x:f>IF($A111="","",IFERROR(VLOOKUP($A111,MonthlyFinance!$A:$G,4,FALSE),""))</x:f>
      </x:c>
      <x:c r="Q111" t="str">
        <x:f>IF($A111="","",IFERROR(VLOOKUP($A111,MonthlyFinance!$A:$G,5,FALSE),""))</x:f>
      </x:c>
      <x:c r="R111" t="str">
        <x:f>IF($A111="","",IFERROR(VLOOKUP($A111,MonthlyFinance!$A:$G,6,FALSE),""))</x:f>
      </x:c>
      <x:c r="S111" t="str">
        <x:f>IF($A111="","","Formula-linked from CaseLedger; finance fields from MonthlyFinance.")</x:f>
      </x:c>
      <x:c r="T111" t="str">
        <x:f>IF($A111="","","TRUE")</x:f>
      </x:c>
    </x:row>
    <x:row r="112">
      <x:c r="D112" t="str">
        <x:f>IF($A112="","",COUNTIFS(CaseLedger!$F:$F,$A112,CaseLedger!$B:$B,"TRUE"))</x:f>
      </x:c>
      <x:c r="E112" t="str">
        <x:f>IF($A112="","",COUNTIFS(CaseLedger!$F:$F,$A112,CaseLedger!$B:$B,"TRUE",CaseLedger!$P:$P,"Zakat"))</x:f>
      </x:c>
      <x:c r="F112" t="str">
        <x:f>IF($A112="","",COUNTIFS(CaseLedger!$F:$F,$A112,CaseLedger!$B:$B,"TRUE",CaseLedger!$P:$P,"Sadaqah"))</x:f>
      </x:c>
      <x:c r="G112" t="str">
        <x:f>IF($A112="","",COUNTIFS(CaseLedger!$F:$F,$A112,CaseLedger!$B:$B,"TRUE",CaseLedger!$P:$P,"Mixed"))</x:f>
      </x:c>
      <x:c r="H112" t="str">
        <x:f>IF($A112="","",COUNTIFS(CaseLedger!$F:$F,$A112,CaseLedger!$B:$B,"TRUE",CaseLedger!$K:$K,"Livelihood"))</x:f>
      </x:c>
      <x:c r="I112" t="str">
        <x:f>IF($A112="","",COUNTIFS(CaseLedger!$F:$F,$A112,CaseLedger!$B:$B,"TRUE",CaseLedger!$K:$K,"Skill Sponsorship"))</x:f>
      </x:c>
      <x:c r="J112" t="str">
        <x:f>IF($A112="","",COUNTIFS(CaseLedger!$F:$F,$A112,CaseLedger!$B:$B,"TRUE",CaseLedger!$K:$K,"Emergency Support"))</x:f>
      </x:c>
      <x:c r="K112" t="str">
        <x:f>IF($A112="","",COUNTIFS(CaseLedger!$F:$F,$A112,CaseLedger!$B:$B,"TRUE",CaseLedger!$K:$K,"Community Support"))</x:f>
      </x:c>
      <x:c r="L112" t="str">
        <x:f>IF($A112="","",SUMIFS(CaseLedger!$M:$M,CaseLedger!$F:$F,$A112,CaseLedger!$B:$B,"TRUE"))</x:f>
      </x:c>
      <x:c r="M112" t="str">
        <x:f>IF($A112="","",SUMIFS(CaseLedger!$N:$N,CaseLedger!$F:$F,$A112,CaseLedger!$B:$B,"TRUE"))</x:f>
      </x:c>
      <x:c r="N112" t="str">
        <x:f>IF($A112="","",0)</x:f>
      </x:c>
      <x:c r="O112" t="str">
        <x:f>IF($A112="","",SUMIFS(CaseLedger!$O:$O,CaseLedger!$F:$F,$A112,CaseLedger!$B:$B,"TRUE"))</x:f>
      </x:c>
      <x:c r="P112" t="str">
        <x:f>IF($A112="","",IFERROR(VLOOKUP($A112,MonthlyFinance!$A:$G,4,FALSE),""))</x:f>
      </x:c>
      <x:c r="Q112" t="str">
        <x:f>IF($A112="","",IFERROR(VLOOKUP($A112,MonthlyFinance!$A:$G,5,FALSE),""))</x:f>
      </x:c>
      <x:c r="R112" t="str">
        <x:f>IF($A112="","",IFERROR(VLOOKUP($A112,MonthlyFinance!$A:$G,6,FALSE),""))</x:f>
      </x:c>
      <x:c r="S112" t="str">
        <x:f>IF($A112="","","Formula-linked from CaseLedger; finance fields from MonthlyFinance.")</x:f>
      </x:c>
      <x:c r="T112" t="str">
        <x:f>IF($A112="","","TRUE")</x:f>
      </x:c>
    </x:row>
    <x:row r="113">
      <x:c r="D113" t="str">
        <x:f>IF($A113="","",COUNTIFS(CaseLedger!$F:$F,$A113,CaseLedger!$B:$B,"TRUE"))</x:f>
      </x:c>
      <x:c r="E113" t="str">
        <x:f>IF($A113="","",COUNTIFS(CaseLedger!$F:$F,$A113,CaseLedger!$B:$B,"TRUE",CaseLedger!$P:$P,"Zakat"))</x:f>
      </x:c>
      <x:c r="F113" t="str">
        <x:f>IF($A113="","",COUNTIFS(CaseLedger!$F:$F,$A113,CaseLedger!$B:$B,"TRUE",CaseLedger!$P:$P,"Sadaqah"))</x:f>
      </x:c>
      <x:c r="G113" t="str">
        <x:f>IF($A113="","",COUNTIFS(CaseLedger!$F:$F,$A113,CaseLedger!$B:$B,"TRUE",CaseLedger!$P:$P,"Mixed"))</x:f>
      </x:c>
      <x:c r="H113" t="str">
        <x:f>IF($A113="","",COUNTIFS(CaseLedger!$F:$F,$A113,CaseLedger!$B:$B,"TRUE",CaseLedger!$K:$K,"Livelihood"))</x:f>
      </x:c>
      <x:c r="I113" t="str">
        <x:f>IF($A113="","",COUNTIFS(CaseLedger!$F:$F,$A113,CaseLedger!$B:$B,"TRUE",CaseLedger!$K:$K,"Skill Sponsorship"))</x:f>
      </x:c>
      <x:c r="J113" t="str">
        <x:f>IF($A113="","",COUNTIFS(CaseLedger!$F:$F,$A113,CaseLedger!$B:$B,"TRUE",CaseLedger!$K:$K,"Emergency Support"))</x:f>
      </x:c>
      <x:c r="K113" t="str">
        <x:f>IF($A113="","",COUNTIFS(CaseLedger!$F:$F,$A113,CaseLedger!$B:$B,"TRUE",CaseLedger!$K:$K,"Community Support"))</x:f>
      </x:c>
      <x:c r="L113" t="str">
        <x:f>IF($A113="","",SUMIFS(CaseLedger!$M:$M,CaseLedger!$F:$F,$A113,CaseLedger!$B:$B,"TRUE"))</x:f>
      </x:c>
      <x:c r="M113" t="str">
        <x:f>IF($A113="","",SUMIFS(CaseLedger!$N:$N,CaseLedger!$F:$F,$A113,CaseLedger!$B:$B,"TRUE"))</x:f>
      </x:c>
      <x:c r="N113" t="str">
        <x:f>IF($A113="","",0)</x:f>
      </x:c>
      <x:c r="O113" t="str">
        <x:f>IF($A113="","",SUMIFS(CaseLedger!$O:$O,CaseLedger!$F:$F,$A113,CaseLedger!$B:$B,"TRUE"))</x:f>
      </x:c>
      <x:c r="P113" t="str">
        <x:f>IF($A113="","",IFERROR(VLOOKUP($A113,MonthlyFinance!$A:$G,4,FALSE),""))</x:f>
      </x:c>
      <x:c r="Q113" t="str">
        <x:f>IF($A113="","",IFERROR(VLOOKUP($A113,MonthlyFinance!$A:$G,5,FALSE),""))</x:f>
      </x:c>
      <x:c r="R113" t="str">
        <x:f>IF($A113="","",IFERROR(VLOOKUP($A113,MonthlyFinance!$A:$G,6,FALSE),""))</x:f>
      </x:c>
      <x:c r="S113" t="str">
        <x:f>IF($A113="","","Formula-linked from CaseLedger; finance fields from MonthlyFinance.")</x:f>
      </x:c>
      <x:c r="T113" t="str">
        <x:f>IF($A113="","","TRUE")</x:f>
      </x:c>
    </x:row>
    <x:row r="114">
      <x:c r="D114" t="str">
        <x:f>IF($A114="","",COUNTIFS(CaseLedger!$F:$F,$A114,CaseLedger!$B:$B,"TRUE"))</x:f>
      </x:c>
      <x:c r="E114" t="str">
        <x:f>IF($A114="","",COUNTIFS(CaseLedger!$F:$F,$A114,CaseLedger!$B:$B,"TRUE",CaseLedger!$P:$P,"Zakat"))</x:f>
      </x:c>
      <x:c r="F114" t="str">
        <x:f>IF($A114="","",COUNTIFS(CaseLedger!$F:$F,$A114,CaseLedger!$B:$B,"TRUE",CaseLedger!$P:$P,"Sadaqah"))</x:f>
      </x:c>
      <x:c r="G114" t="str">
        <x:f>IF($A114="","",COUNTIFS(CaseLedger!$F:$F,$A114,CaseLedger!$B:$B,"TRUE",CaseLedger!$P:$P,"Mixed"))</x:f>
      </x:c>
      <x:c r="H114" t="str">
        <x:f>IF($A114="","",COUNTIFS(CaseLedger!$F:$F,$A114,CaseLedger!$B:$B,"TRUE",CaseLedger!$K:$K,"Livelihood"))</x:f>
      </x:c>
      <x:c r="I114" t="str">
        <x:f>IF($A114="","",COUNTIFS(CaseLedger!$F:$F,$A114,CaseLedger!$B:$B,"TRUE",CaseLedger!$K:$K,"Skill Sponsorship"))</x:f>
      </x:c>
      <x:c r="J114" t="str">
        <x:f>IF($A114="","",COUNTIFS(CaseLedger!$F:$F,$A114,CaseLedger!$B:$B,"TRUE",CaseLedger!$K:$K,"Emergency Support"))</x:f>
      </x:c>
      <x:c r="K114" t="str">
        <x:f>IF($A114="","",COUNTIFS(CaseLedger!$F:$F,$A114,CaseLedger!$B:$B,"TRUE",CaseLedger!$K:$K,"Community Support"))</x:f>
      </x:c>
      <x:c r="L114" t="str">
        <x:f>IF($A114="","",SUMIFS(CaseLedger!$M:$M,CaseLedger!$F:$F,$A114,CaseLedger!$B:$B,"TRUE"))</x:f>
      </x:c>
      <x:c r="M114" t="str">
        <x:f>IF($A114="","",SUMIFS(CaseLedger!$N:$N,CaseLedger!$F:$F,$A114,CaseLedger!$B:$B,"TRUE"))</x:f>
      </x:c>
      <x:c r="N114" t="str">
        <x:f>IF($A114="","",0)</x:f>
      </x:c>
      <x:c r="O114" t="str">
        <x:f>IF($A114="","",SUMIFS(CaseLedger!$O:$O,CaseLedger!$F:$F,$A114,CaseLedger!$B:$B,"TRUE"))</x:f>
      </x:c>
      <x:c r="P114" t="str">
        <x:f>IF($A114="","",IFERROR(VLOOKUP($A114,MonthlyFinance!$A:$G,4,FALSE),""))</x:f>
      </x:c>
      <x:c r="Q114" t="str">
        <x:f>IF($A114="","",IFERROR(VLOOKUP($A114,MonthlyFinance!$A:$G,5,FALSE),""))</x:f>
      </x:c>
      <x:c r="R114" t="str">
        <x:f>IF($A114="","",IFERROR(VLOOKUP($A114,MonthlyFinance!$A:$G,6,FALSE),""))</x:f>
      </x:c>
      <x:c r="S114" t="str">
        <x:f>IF($A114="","","Formula-linked from CaseLedger; finance fields from MonthlyFinance.")</x:f>
      </x:c>
      <x:c r="T114" t="str">
        <x:f>IF($A114="","","TRUE")</x:f>
      </x:c>
    </x:row>
    <x:row r="115">
      <x:c r="D115" t="str">
        <x:f>IF($A115="","",COUNTIFS(CaseLedger!$F:$F,$A115,CaseLedger!$B:$B,"TRUE"))</x:f>
      </x:c>
      <x:c r="E115" t="str">
        <x:f>IF($A115="","",COUNTIFS(CaseLedger!$F:$F,$A115,CaseLedger!$B:$B,"TRUE",CaseLedger!$P:$P,"Zakat"))</x:f>
      </x:c>
      <x:c r="F115" t="str">
        <x:f>IF($A115="","",COUNTIFS(CaseLedger!$F:$F,$A115,CaseLedger!$B:$B,"TRUE",CaseLedger!$P:$P,"Sadaqah"))</x:f>
      </x:c>
      <x:c r="G115" t="str">
        <x:f>IF($A115="","",COUNTIFS(CaseLedger!$F:$F,$A115,CaseLedger!$B:$B,"TRUE",CaseLedger!$P:$P,"Mixed"))</x:f>
      </x:c>
      <x:c r="H115" t="str">
        <x:f>IF($A115="","",COUNTIFS(CaseLedger!$F:$F,$A115,CaseLedger!$B:$B,"TRUE",CaseLedger!$K:$K,"Livelihood"))</x:f>
      </x:c>
      <x:c r="I115" t="str">
        <x:f>IF($A115="","",COUNTIFS(CaseLedger!$F:$F,$A115,CaseLedger!$B:$B,"TRUE",CaseLedger!$K:$K,"Skill Sponsorship"))</x:f>
      </x:c>
      <x:c r="J115" t="str">
        <x:f>IF($A115="","",COUNTIFS(CaseLedger!$F:$F,$A115,CaseLedger!$B:$B,"TRUE",CaseLedger!$K:$K,"Emergency Support"))</x:f>
      </x:c>
      <x:c r="K115" t="str">
        <x:f>IF($A115="","",COUNTIFS(CaseLedger!$F:$F,$A115,CaseLedger!$B:$B,"TRUE",CaseLedger!$K:$K,"Community Support"))</x:f>
      </x:c>
      <x:c r="L115" t="str">
        <x:f>IF($A115="","",SUMIFS(CaseLedger!$M:$M,CaseLedger!$F:$F,$A115,CaseLedger!$B:$B,"TRUE"))</x:f>
      </x:c>
      <x:c r="M115" t="str">
        <x:f>IF($A115="","",SUMIFS(CaseLedger!$N:$N,CaseLedger!$F:$F,$A115,CaseLedger!$B:$B,"TRUE"))</x:f>
      </x:c>
      <x:c r="N115" t="str">
        <x:f>IF($A115="","",0)</x:f>
      </x:c>
      <x:c r="O115" t="str">
        <x:f>IF($A115="","",SUMIFS(CaseLedger!$O:$O,CaseLedger!$F:$F,$A115,CaseLedger!$B:$B,"TRUE"))</x:f>
      </x:c>
      <x:c r="P115" t="str">
        <x:f>IF($A115="","",IFERROR(VLOOKUP($A115,MonthlyFinance!$A:$G,4,FALSE),""))</x:f>
      </x:c>
      <x:c r="Q115" t="str">
        <x:f>IF($A115="","",IFERROR(VLOOKUP($A115,MonthlyFinance!$A:$G,5,FALSE),""))</x:f>
      </x:c>
      <x:c r="R115" t="str">
        <x:f>IF($A115="","",IFERROR(VLOOKUP($A115,MonthlyFinance!$A:$G,6,FALSE),""))</x:f>
      </x:c>
      <x:c r="S115" t="str">
        <x:f>IF($A115="","","Formula-linked from CaseLedger; finance fields from MonthlyFinance.")</x:f>
      </x:c>
      <x:c r="T115" t="str">
        <x:f>IF($A115="","","TRUE")</x:f>
      </x:c>
    </x:row>
    <x:row r="116">
      <x:c r="D116" t="str">
        <x:f>IF($A116="","",COUNTIFS(CaseLedger!$F:$F,$A116,CaseLedger!$B:$B,"TRUE"))</x:f>
      </x:c>
      <x:c r="E116" t="str">
        <x:f>IF($A116="","",COUNTIFS(CaseLedger!$F:$F,$A116,CaseLedger!$B:$B,"TRUE",CaseLedger!$P:$P,"Zakat"))</x:f>
      </x:c>
      <x:c r="F116" t="str">
        <x:f>IF($A116="","",COUNTIFS(CaseLedger!$F:$F,$A116,CaseLedger!$B:$B,"TRUE",CaseLedger!$P:$P,"Sadaqah"))</x:f>
      </x:c>
      <x:c r="G116" t="str">
        <x:f>IF($A116="","",COUNTIFS(CaseLedger!$F:$F,$A116,CaseLedger!$B:$B,"TRUE",CaseLedger!$P:$P,"Mixed"))</x:f>
      </x:c>
      <x:c r="H116" t="str">
        <x:f>IF($A116="","",COUNTIFS(CaseLedger!$F:$F,$A116,CaseLedger!$B:$B,"TRUE",CaseLedger!$K:$K,"Livelihood"))</x:f>
      </x:c>
      <x:c r="I116" t="str">
        <x:f>IF($A116="","",COUNTIFS(CaseLedger!$F:$F,$A116,CaseLedger!$B:$B,"TRUE",CaseLedger!$K:$K,"Skill Sponsorship"))</x:f>
      </x:c>
      <x:c r="J116" t="str">
        <x:f>IF($A116="","",COUNTIFS(CaseLedger!$F:$F,$A116,CaseLedger!$B:$B,"TRUE",CaseLedger!$K:$K,"Emergency Support"))</x:f>
      </x:c>
      <x:c r="K116" t="str">
        <x:f>IF($A116="","",COUNTIFS(CaseLedger!$F:$F,$A116,CaseLedger!$B:$B,"TRUE",CaseLedger!$K:$K,"Community Support"))</x:f>
      </x:c>
      <x:c r="L116" t="str">
        <x:f>IF($A116="","",SUMIFS(CaseLedger!$M:$M,CaseLedger!$F:$F,$A116,CaseLedger!$B:$B,"TRUE"))</x:f>
      </x:c>
      <x:c r="M116" t="str">
        <x:f>IF($A116="","",SUMIFS(CaseLedger!$N:$N,CaseLedger!$F:$F,$A116,CaseLedger!$B:$B,"TRUE"))</x:f>
      </x:c>
      <x:c r="N116" t="str">
        <x:f>IF($A116="","",0)</x:f>
      </x:c>
      <x:c r="O116" t="str">
        <x:f>IF($A116="","",SUMIFS(CaseLedger!$O:$O,CaseLedger!$F:$F,$A116,CaseLedger!$B:$B,"TRUE"))</x:f>
      </x:c>
      <x:c r="P116" t="str">
        <x:f>IF($A116="","",IFERROR(VLOOKUP($A116,MonthlyFinance!$A:$G,4,FALSE),""))</x:f>
      </x:c>
      <x:c r="Q116" t="str">
        <x:f>IF($A116="","",IFERROR(VLOOKUP($A116,MonthlyFinance!$A:$G,5,FALSE),""))</x:f>
      </x:c>
      <x:c r="R116" t="str">
        <x:f>IF($A116="","",IFERROR(VLOOKUP($A116,MonthlyFinance!$A:$G,6,FALSE),""))</x:f>
      </x:c>
      <x:c r="S116" t="str">
        <x:f>IF($A116="","","Formula-linked from CaseLedger; finance fields from MonthlyFinance.")</x:f>
      </x:c>
      <x:c r="T116" t="str">
        <x:f>IF($A116="","","TRUE")</x:f>
      </x:c>
    </x:row>
    <x:row r="117">
      <x:c r="D117" t="str">
        <x:f>IF($A117="","",COUNTIFS(CaseLedger!$F:$F,$A117,CaseLedger!$B:$B,"TRUE"))</x:f>
      </x:c>
      <x:c r="E117" t="str">
        <x:f>IF($A117="","",COUNTIFS(CaseLedger!$F:$F,$A117,CaseLedger!$B:$B,"TRUE",CaseLedger!$P:$P,"Zakat"))</x:f>
      </x:c>
      <x:c r="F117" t="str">
        <x:f>IF($A117="","",COUNTIFS(CaseLedger!$F:$F,$A117,CaseLedger!$B:$B,"TRUE",CaseLedger!$P:$P,"Sadaqah"))</x:f>
      </x:c>
      <x:c r="G117" t="str">
        <x:f>IF($A117="","",COUNTIFS(CaseLedger!$F:$F,$A117,CaseLedger!$B:$B,"TRUE",CaseLedger!$P:$P,"Mixed"))</x:f>
      </x:c>
      <x:c r="H117" t="str">
        <x:f>IF($A117="","",COUNTIFS(CaseLedger!$F:$F,$A117,CaseLedger!$B:$B,"TRUE",CaseLedger!$K:$K,"Livelihood"))</x:f>
      </x:c>
      <x:c r="I117" t="str">
        <x:f>IF($A117="","",COUNTIFS(CaseLedger!$F:$F,$A117,CaseLedger!$B:$B,"TRUE",CaseLedger!$K:$K,"Skill Sponsorship"))</x:f>
      </x:c>
      <x:c r="J117" t="str">
        <x:f>IF($A117="","",COUNTIFS(CaseLedger!$F:$F,$A117,CaseLedger!$B:$B,"TRUE",CaseLedger!$K:$K,"Emergency Support"))</x:f>
      </x:c>
      <x:c r="K117" t="str">
        <x:f>IF($A117="","",COUNTIFS(CaseLedger!$F:$F,$A117,CaseLedger!$B:$B,"TRUE",CaseLedger!$K:$K,"Community Support"))</x:f>
      </x:c>
      <x:c r="L117" t="str">
        <x:f>IF($A117="","",SUMIFS(CaseLedger!$M:$M,CaseLedger!$F:$F,$A117,CaseLedger!$B:$B,"TRUE"))</x:f>
      </x:c>
      <x:c r="M117" t="str">
        <x:f>IF($A117="","",SUMIFS(CaseLedger!$N:$N,CaseLedger!$F:$F,$A117,CaseLedger!$B:$B,"TRUE"))</x:f>
      </x:c>
      <x:c r="N117" t="str">
        <x:f>IF($A117="","",0)</x:f>
      </x:c>
      <x:c r="O117" t="str">
        <x:f>IF($A117="","",SUMIFS(CaseLedger!$O:$O,CaseLedger!$F:$F,$A117,CaseLedger!$B:$B,"TRUE"))</x:f>
      </x:c>
      <x:c r="P117" t="str">
        <x:f>IF($A117="","",IFERROR(VLOOKUP($A117,MonthlyFinance!$A:$G,4,FALSE),""))</x:f>
      </x:c>
      <x:c r="Q117" t="str">
        <x:f>IF($A117="","",IFERROR(VLOOKUP($A117,MonthlyFinance!$A:$G,5,FALSE),""))</x:f>
      </x:c>
      <x:c r="R117" t="str">
        <x:f>IF($A117="","",IFERROR(VLOOKUP($A117,MonthlyFinance!$A:$G,6,FALSE),""))</x:f>
      </x:c>
      <x:c r="S117" t="str">
        <x:f>IF($A117="","","Formula-linked from CaseLedger; finance fields from MonthlyFinance.")</x:f>
      </x:c>
      <x:c r="T117" t="str">
        <x:f>IF($A117="","","TRUE")</x:f>
      </x:c>
    </x:row>
    <x:row r="118">
      <x:c r="D118" t="str">
        <x:f>IF($A118="","",COUNTIFS(CaseLedger!$F:$F,$A118,CaseLedger!$B:$B,"TRUE"))</x:f>
      </x:c>
      <x:c r="E118" t="str">
        <x:f>IF($A118="","",COUNTIFS(CaseLedger!$F:$F,$A118,CaseLedger!$B:$B,"TRUE",CaseLedger!$P:$P,"Zakat"))</x:f>
      </x:c>
      <x:c r="F118" t="str">
        <x:f>IF($A118="","",COUNTIFS(CaseLedger!$F:$F,$A118,CaseLedger!$B:$B,"TRUE",CaseLedger!$P:$P,"Sadaqah"))</x:f>
      </x:c>
      <x:c r="G118" t="str">
        <x:f>IF($A118="","",COUNTIFS(CaseLedger!$F:$F,$A118,CaseLedger!$B:$B,"TRUE",CaseLedger!$P:$P,"Mixed"))</x:f>
      </x:c>
      <x:c r="H118" t="str">
        <x:f>IF($A118="","",COUNTIFS(CaseLedger!$F:$F,$A118,CaseLedger!$B:$B,"TRUE",CaseLedger!$K:$K,"Livelihood"))</x:f>
      </x:c>
      <x:c r="I118" t="str">
        <x:f>IF($A118="","",COUNTIFS(CaseLedger!$F:$F,$A118,CaseLedger!$B:$B,"TRUE",CaseLedger!$K:$K,"Skill Sponsorship"))</x:f>
      </x:c>
      <x:c r="J118" t="str">
        <x:f>IF($A118="","",COUNTIFS(CaseLedger!$F:$F,$A118,CaseLedger!$B:$B,"TRUE",CaseLedger!$K:$K,"Emergency Support"))</x:f>
      </x:c>
      <x:c r="K118" t="str">
        <x:f>IF($A118="","",COUNTIFS(CaseLedger!$F:$F,$A118,CaseLedger!$B:$B,"TRUE",CaseLedger!$K:$K,"Community Support"))</x:f>
      </x:c>
      <x:c r="L118" t="str">
        <x:f>IF($A118="","",SUMIFS(CaseLedger!$M:$M,CaseLedger!$F:$F,$A118,CaseLedger!$B:$B,"TRUE"))</x:f>
      </x:c>
      <x:c r="M118" t="str">
        <x:f>IF($A118="","",SUMIFS(CaseLedger!$N:$N,CaseLedger!$F:$F,$A118,CaseLedger!$B:$B,"TRUE"))</x:f>
      </x:c>
      <x:c r="N118" t="str">
        <x:f>IF($A118="","",0)</x:f>
      </x:c>
      <x:c r="O118" t="str">
        <x:f>IF($A118="","",SUMIFS(CaseLedger!$O:$O,CaseLedger!$F:$F,$A118,CaseLedger!$B:$B,"TRUE"))</x:f>
      </x:c>
      <x:c r="P118" t="str">
        <x:f>IF($A118="","",IFERROR(VLOOKUP($A118,MonthlyFinance!$A:$G,4,FALSE),""))</x:f>
      </x:c>
      <x:c r="Q118" t="str">
        <x:f>IF($A118="","",IFERROR(VLOOKUP($A118,MonthlyFinance!$A:$G,5,FALSE),""))</x:f>
      </x:c>
      <x:c r="R118" t="str">
        <x:f>IF($A118="","",IFERROR(VLOOKUP($A118,MonthlyFinance!$A:$G,6,FALSE),""))</x:f>
      </x:c>
      <x:c r="S118" t="str">
        <x:f>IF($A118="","","Formula-linked from CaseLedger; finance fields from MonthlyFinance.")</x:f>
      </x:c>
      <x:c r="T118" t="str">
        <x:f>IF($A118="","","TRUE")</x:f>
      </x:c>
    </x:row>
    <x:row r="119">
      <x:c r="D119" t="str">
        <x:f>IF($A119="","",COUNTIFS(CaseLedger!$F:$F,$A119,CaseLedger!$B:$B,"TRUE"))</x:f>
      </x:c>
      <x:c r="E119" t="str">
        <x:f>IF($A119="","",COUNTIFS(CaseLedger!$F:$F,$A119,CaseLedger!$B:$B,"TRUE",CaseLedger!$P:$P,"Zakat"))</x:f>
      </x:c>
      <x:c r="F119" t="str">
        <x:f>IF($A119="","",COUNTIFS(CaseLedger!$F:$F,$A119,CaseLedger!$B:$B,"TRUE",CaseLedger!$P:$P,"Sadaqah"))</x:f>
      </x:c>
      <x:c r="G119" t="str">
        <x:f>IF($A119="","",COUNTIFS(CaseLedger!$F:$F,$A119,CaseLedger!$B:$B,"TRUE",CaseLedger!$P:$P,"Mixed"))</x:f>
      </x:c>
      <x:c r="H119" t="str">
        <x:f>IF($A119="","",COUNTIFS(CaseLedger!$F:$F,$A119,CaseLedger!$B:$B,"TRUE",CaseLedger!$K:$K,"Livelihood"))</x:f>
      </x:c>
      <x:c r="I119" t="str">
        <x:f>IF($A119="","",COUNTIFS(CaseLedger!$F:$F,$A119,CaseLedger!$B:$B,"TRUE",CaseLedger!$K:$K,"Skill Sponsorship"))</x:f>
      </x:c>
      <x:c r="J119" t="str">
        <x:f>IF($A119="","",COUNTIFS(CaseLedger!$F:$F,$A119,CaseLedger!$B:$B,"TRUE",CaseLedger!$K:$K,"Emergency Support"))</x:f>
      </x:c>
      <x:c r="K119" t="str">
        <x:f>IF($A119="","",COUNTIFS(CaseLedger!$F:$F,$A119,CaseLedger!$B:$B,"TRUE",CaseLedger!$K:$K,"Community Support"))</x:f>
      </x:c>
      <x:c r="L119" t="str">
        <x:f>IF($A119="","",SUMIFS(CaseLedger!$M:$M,CaseLedger!$F:$F,$A119,CaseLedger!$B:$B,"TRUE"))</x:f>
      </x:c>
      <x:c r="M119" t="str">
        <x:f>IF($A119="","",SUMIFS(CaseLedger!$N:$N,CaseLedger!$F:$F,$A119,CaseLedger!$B:$B,"TRUE"))</x:f>
      </x:c>
      <x:c r="N119" t="str">
        <x:f>IF($A119="","",0)</x:f>
      </x:c>
      <x:c r="O119" t="str">
        <x:f>IF($A119="","",SUMIFS(CaseLedger!$O:$O,CaseLedger!$F:$F,$A119,CaseLedger!$B:$B,"TRUE"))</x:f>
      </x:c>
      <x:c r="P119" t="str">
        <x:f>IF($A119="","",IFERROR(VLOOKUP($A119,MonthlyFinance!$A:$G,4,FALSE),""))</x:f>
      </x:c>
      <x:c r="Q119" t="str">
        <x:f>IF($A119="","",IFERROR(VLOOKUP($A119,MonthlyFinance!$A:$G,5,FALSE),""))</x:f>
      </x:c>
      <x:c r="R119" t="str">
        <x:f>IF($A119="","",IFERROR(VLOOKUP($A119,MonthlyFinance!$A:$G,6,FALSE),""))</x:f>
      </x:c>
      <x:c r="S119" t="str">
        <x:f>IF($A119="","","Formula-linked from CaseLedger; finance fields from MonthlyFinance.")</x:f>
      </x:c>
      <x:c r="T119" t="str">
        <x:f>IF($A119="","","TRUE")</x:f>
      </x:c>
    </x:row>
    <x:row r="120">
      <x:c r="D120" t="str">
        <x:f>IF($A120="","",COUNTIFS(CaseLedger!$F:$F,$A120,CaseLedger!$B:$B,"TRUE"))</x:f>
      </x:c>
      <x:c r="E120" t="str">
        <x:f>IF($A120="","",COUNTIFS(CaseLedger!$F:$F,$A120,CaseLedger!$B:$B,"TRUE",CaseLedger!$P:$P,"Zakat"))</x:f>
      </x:c>
      <x:c r="F120" t="str">
        <x:f>IF($A120="","",COUNTIFS(CaseLedger!$F:$F,$A120,CaseLedger!$B:$B,"TRUE",CaseLedger!$P:$P,"Sadaqah"))</x:f>
      </x:c>
      <x:c r="G120" t="str">
        <x:f>IF($A120="","",COUNTIFS(CaseLedger!$F:$F,$A120,CaseLedger!$B:$B,"TRUE",CaseLedger!$P:$P,"Mixed"))</x:f>
      </x:c>
      <x:c r="H120" t="str">
        <x:f>IF($A120="","",COUNTIFS(CaseLedger!$F:$F,$A120,CaseLedger!$B:$B,"TRUE",CaseLedger!$K:$K,"Livelihood"))</x:f>
      </x:c>
      <x:c r="I120" t="str">
        <x:f>IF($A120="","",COUNTIFS(CaseLedger!$F:$F,$A120,CaseLedger!$B:$B,"TRUE",CaseLedger!$K:$K,"Skill Sponsorship"))</x:f>
      </x:c>
      <x:c r="J120" t="str">
        <x:f>IF($A120="","",COUNTIFS(CaseLedger!$F:$F,$A120,CaseLedger!$B:$B,"TRUE",CaseLedger!$K:$K,"Emergency Support"))</x:f>
      </x:c>
      <x:c r="K120" t="str">
        <x:f>IF($A120="","",COUNTIFS(CaseLedger!$F:$F,$A120,CaseLedger!$B:$B,"TRUE",CaseLedger!$K:$K,"Community Support"))</x:f>
      </x:c>
      <x:c r="L120" t="str">
        <x:f>IF($A120="","",SUMIFS(CaseLedger!$M:$M,CaseLedger!$F:$F,$A120,CaseLedger!$B:$B,"TRUE"))</x:f>
      </x:c>
      <x:c r="M120" t="str">
        <x:f>IF($A120="","",SUMIFS(CaseLedger!$N:$N,CaseLedger!$F:$F,$A120,CaseLedger!$B:$B,"TRUE"))</x:f>
      </x:c>
      <x:c r="N120" t="str">
        <x:f>IF($A120="","",0)</x:f>
      </x:c>
      <x:c r="O120" t="str">
        <x:f>IF($A120="","",SUMIFS(CaseLedger!$O:$O,CaseLedger!$F:$F,$A120,CaseLedger!$B:$B,"TRUE"))</x:f>
      </x:c>
      <x:c r="P120" t="str">
        <x:f>IF($A120="","",IFERROR(VLOOKUP($A120,MonthlyFinance!$A:$G,4,FALSE),""))</x:f>
      </x:c>
      <x:c r="Q120" t="str">
        <x:f>IF($A120="","",IFERROR(VLOOKUP($A120,MonthlyFinance!$A:$G,5,FALSE),""))</x:f>
      </x:c>
      <x:c r="R120" t="str">
        <x:f>IF($A120="","",IFERROR(VLOOKUP($A120,MonthlyFinance!$A:$G,6,FALSE),""))</x:f>
      </x:c>
      <x:c r="S120" t="str">
        <x:f>IF($A120="","","Formula-linked from CaseLedger; finance fields from MonthlyFinance.")</x:f>
      </x:c>
      <x:c r="T120" t="str">
        <x:f>IF($A120="","","TRUE")</x:f>
      </x:c>
    </x:row>
    <x:row r="121">
      <x:c r="D121" t="str">
        <x:f>IF($A121="","",COUNTIFS(CaseLedger!$F:$F,$A121,CaseLedger!$B:$B,"TRUE"))</x:f>
      </x:c>
      <x:c r="E121" t="str">
        <x:f>IF($A121="","",COUNTIFS(CaseLedger!$F:$F,$A121,CaseLedger!$B:$B,"TRUE",CaseLedger!$P:$P,"Zakat"))</x:f>
      </x:c>
      <x:c r="F121" t="str">
        <x:f>IF($A121="","",COUNTIFS(CaseLedger!$F:$F,$A121,CaseLedger!$B:$B,"TRUE",CaseLedger!$P:$P,"Sadaqah"))</x:f>
      </x:c>
      <x:c r="G121" t="str">
        <x:f>IF($A121="","",COUNTIFS(CaseLedger!$F:$F,$A121,CaseLedger!$B:$B,"TRUE",CaseLedger!$P:$P,"Mixed"))</x:f>
      </x:c>
      <x:c r="H121" t="str">
        <x:f>IF($A121="","",COUNTIFS(CaseLedger!$F:$F,$A121,CaseLedger!$B:$B,"TRUE",CaseLedger!$K:$K,"Livelihood"))</x:f>
      </x:c>
      <x:c r="I121" t="str">
        <x:f>IF($A121="","",COUNTIFS(CaseLedger!$F:$F,$A121,CaseLedger!$B:$B,"TRUE",CaseLedger!$K:$K,"Skill Sponsorship"))</x:f>
      </x:c>
      <x:c r="J121" t="str">
        <x:f>IF($A121="","",COUNTIFS(CaseLedger!$F:$F,$A121,CaseLedger!$B:$B,"TRUE",CaseLedger!$K:$K,"Emergency Support"))</x:f>
      </x:c>
      <x:c r="K121" t="str">
        <x:f>IF($A121="","",COUNTIFS(CaseLedger!$F:$F,$A121,CaseLedger!$B:$B,"TRUE",CaseLedger!$K:$K,"Community Support"))</x:f>
      </x:c>
      <x:c r="L121" t="str">
        <x:f>IF($A121="","",SUMIFS(CaseLedger!$M:$M,CaseLedger!$F:$F,$A121,CaseLedger!$B:$B,"TRUE"))</x:f>
      </x:c>
      <x:c r="M121" t="str">
        <x:f>IF($A121="","",SUMIFS(CaseLedger!$N:$N,CaseLedger!$F:$F,$A121,CaseLedger!$B:$B,"TRUE"))</x:f>
      </x:c>
      <x:c r="N121" t="str">
        <x:f>IF($A121="","",0)</x:f>
      </x:c>
      <x:c r="O121" t="str">
        <x:f>IF($A121="","",SUMIFS(CaseLedger!$O:$O,CaseLedger!$F:$F,$A121,CaseLedger!$B:$B,"TRUE"))</x:f>
      </x:c>
      <x:c r="P121" t="str">
        <x:f>IF($A121="","",IFERROR(VLOOKUP($A121,MonthlyFinance!$A:$G,4,FALSE),""))</x:f>
      </x:c>
      <x:c r="Q121" t="str">
        <x:f>IF($A121="","",IFERROR(VLOOKUP($A121,MonthlyFinance!$A:$G,5,FALSE),""))</x:f>
      </x:c>
      <x:c r="R121" t="str">
        <x:f>IF($A121="","",IFERROR(VLOOKUP($A121,MonthlyFinance!$A:$G,6,FALSE),""))</x:f>
      </x:c>
      <x:c r="S121" t="str">
        <x:f>IF($A121="","","Formula-linked from CaseLedger; finance fields from MonthlyFinance.")</x:f>
      </x:c>
      <x:c r="T121" t="str">
        <x:f>IF($A121="","","TRUE")</x:f>
      </x:c>
    </x:row>
    <x:row r="122">
      <x:c r="D122" t="str">
        <x:f>IF($A122="","",COUNTIFS(CaseLedger!$F:$F,$A122,CaseLedger!$B:$B,"TRUE"))</x:f>
      </x:c>
      <x:c r="E122" t="str">
        <x:f>IF($A122="","",COUNTIFS(CaseLedger!$F:$F,$A122,CaseLedger!$B:$B,"TRUE",CaseLedger!$P:$P,"Zakat"))</x:f>
      </x:c>
      <x:c r="F122" t="str">
        <x:f>IF($A122="","",COUNTIFS(CaseLedger!$F:$F,$A122,CaseLedger!$B:$B,"TRUE",CaseLedger!$P:$P,"Sadaqah"))</x:f>
      </x:c>
      <x:c r="G122" t="str">
        <x:f>IF($A122="","",COUNTIFS(CaseLedger!$F:$F,$A122,CaseLedger!$B:$B,"TRUE",CaseLedger!$P:$P,"Mixed"))</x:f>
      </x:c>
      <x:c r="H122" t="str">
        <x:f>IF($A122="","",COUNTIFS(CaseLedger!$F:$F,$A122,CaseLedger!$B:$B,"TRUE",CaseLedger!$K:$K,"Livelihood"))</x:f>
      </x:c>
      <x:c r="I122" t="str">
        <x:f>IF($A122="","",COUNTIFS(CaseLedger!$F:$F,$A122,CaseLedger!$B:$B,"TRUE",CaseLedger!$K:$K,"Skill Sponsorship"))</x:f>
      </x:c>
      <x:c r="J122" t="str">
        <x:f>IF($A122="","",COUNTIFS(CaseLedger!$F:$F,$A122,CaseLedger!$B:$B,"TRUE",CaseLedger!$K:$K,"Emergency Support"))</x:f>
      </x:c>
      <x:c r="K122" t="str">
        <x:f>IF($A122="","",COUNTIFS(CaseLedger!$F:$F,$A122,CaseLedger!$B:$B,"TRUE",CaseLedger!$K:$K,"Community Support"))</x:f>
      </x:c>
      <x:c r="L122" t="str">
        <x:f>IF($A122="","",SUMIFS(CaseLedger!$M:$M,CaseLedger!$F:$F,$A122,CaseLedger!$B:$B,"TRUE"))</x:f>
      </x:c>
      <x:c r="M122" t="str">
        <x:f>IF($A122="","",SUMIFS(CaseLedger!$N:$N,CaseLedger!$F:$F,$A122,CaseLedger!$B:$B,"TRUE"))</x:f>
      </x:c>
      <x:c r="N122" t="str">
        <x:f>IF($A122="","",0)</x:f>
      </x:c>
      <x:c r="O122" t="str">
        <x:f>IF($A122="","",SUMIFS(CaseLedger!$O:$O,CaseLedger!$F:$F,$A122,CaseLedger!$B:$B,"TRUE"))</x:f>
      </x:c>
      <x:c r="P122" t="str">
        <x:f>IF($A122="","",IFERROR(VLOOKUP($A122,MonthlyFinance!$A:$G,4,FALSE),""))</x:f>
      </x:c>
      <x:c r="Q122" t="str">
        <x:f>IF($A122="","",IFERROR(VLOOKUP($A122,MonthlyFinance!$A:$G,5,FALSE),""))</x:f>
      </x:c>
      <x:c r="R122" t="str">
        <x:f>IF($A122="","",IFERROR(VLOOKUP($A122,MonthlyFinance!$A:$G,6,FALSE),""))</x:f>
      </x:c>
      <x:c r="S122" t="str">
        <x:f>IF($A122="","","Formula-linked from CaseLedger; finance fields from MonthlyFinance.")</x:f>
      </x:c>
      <x:c r="T122" t="str">
        <x:f>IF($A122="","","TRUE")</x:f>
      </x:c>
    </x:row>
    <x:row r="123">
      <x:c r="D123" t="str">
        <x:f>IF($A123="","",COUNTIFS(CaseLedger!$F:$F,$A123,CaseLedger!$B:$B,"TRUE"))</x:f>
      </x:c>
      <x:c r="E123" t="str">
        <x:f>IF($A123="","",COUNTIFS(CaseLedger!$F:$F,$A123,CaseLedger!$B:$B,"TRUE",CaseLedger!$P:$P,"Zakat"))</x:f>
      </x:c>
      <x:c r="F123" t="str">
        <x:f>IF($A123="","",COUNTIFS(CaseLedger!$F:$F,$A123,CaseLedger!$B:$B,"TRUE",CaseLedger!$P:$P,"Sadaqah"))</x:f>
      </x:c>
      <x:c r="G123" t="str">
        <x:f>IF($A123="","",COUNTIFS(CaseLedger!$F:$F,$A123,CaseLedger!$B:$B,"TRUE",CaseLedger!$P:$P,"Mixed"))</x:f>
      </x:c>
      <x:c r="H123" t="str">
        <x:f>IF($A123="","",COUNTIFS(CaseLedger!$F:$F,$A123,CaseLedger!$B:$B,"TRUE",CaseLedger!$K:$K,"Livelihood"))</x:f>
      </x:c>
      <x:c r="I123" t="str">
        <x:f>IF($A123="","",COUNTIFS(CaseLedger!$F:$F,$A123,CaseLedger!$B:$B,"TRUE",CaseLedger!$K:$K,"Skill Sponsorship"))</x:f>
      </x:c>
      <x:c r="J123" t="str">
        <x:f>IF($A123="","",COUNTIFS(CaseLedger!$F:$F,$A123,CaseLedger!$B:$B,"TRUE",CaseLedger!$K:$K,"Emergency Support"))</x:f>
      </x:c>
      <x:c r="K123" t="str">
        <x:f>IF($A123="","",COUNTIFS(CaseLedger!$F:$F,$A123,CaseLedger!$B:$B,"TRUE",CaseLedger!$K:$K,"Community Support"))</x:f>
      </x:c>
      <x:c r="L123" t="str">
        <x:f>IF($A123="","",SUMIFS(CaseLedger!$M:$M,CaseLedger!$F:$F,$A123,CaseLedger!$B:$B,"TRUE"))</x:f>
      </x:c>
      <x:c r="M123" t="str">
        <x:f>IF($A123="","",SUMIFS(CaseLedger!$N:$N,CaseLedger!$F:$F,$A123,CaseLedger!$B:$B,"TRUE"))</x:f>
      </x:c>
      <x:c r="N123" t="str">
        <x:f>IF($A123="","",0)</x:f>
      </x:c>
      <x:c r="O123" t="str">
        <x:f>IF($A123="","",SUMIFS(CaseLedger!$O:$O,CaseLedger!$F:$F,$A123,CaseLedger!$B:$B,"TRUE"))</x:f>
      </x:c>
      <x:c r="P123" t="str">
        <x:f>IF($A123="","",IFERROR(VLOOKUP($A123,MonthlyFinance!$A:$G,4,FALSE),""))</x:f>
      </x:c>
      <x:c r="Q123" t="str">
        <x:f>IF($A123="","",IFERROR(VLOOKUP($A123,MonthlyFinance!$A:$G,5,FALSE),""))</x:f>
      </x:c>
      <x:c r="R123" t="str">
        <x:f>IF($A123="","",IFERROR(VLOOKUP($A123,MonthlyFinance!$A:$G,6,FALSE),""))</x:f>
      </x:c>
      <x:c r="S123" t="str">
        <x:f>IF($A123="","","Formula-linked from CaseLedger; finance fields from MonthlyFinance.")</x:f>
      </x:c>
      <x:c r="T123" t="str">
        <x:f>IF($A123="","","TRUE")</x:f>
      </x:c>
    </x:row>
    <x:row r="124">
      <x:c r="D124" t="str">
        <x:f>IF($A124="","",COUNTIFS(CaseLedger!$F:$F,$A124,CaseLedger!$B:$B,"TRUE"))</x:f>
      </x:c>
      <x:c r="E124" t="str">
        <x:f>IF($A124="","",COUNTIFS(CaseLedger!$F:$F,$A124,CaseLedger!$B:$B,"TRUE",CaseLedger!$P:$P,"Zakat"))</x:f>
      </x:c>
      <x:c r="F124" t="str">
        <x:f>IF($A124="","",COUNTIFS(CaseLedger!$F:$F,$A124,CaseLedger!$B:$B,"TRUE",CaseLedger!$P:$P,"Sadaqah"))</x:f>
      </x:c>
      <x:c r="G124" t="str">
        <x:f>IF($A124="","",COUNTIFS(CaseLedger!$F:$F,$A124,CaseLedger!$B:$B,"TRUE",CaseLedger!$P:$P,"Mixed"))</x:f>
      </x:c>
      <x:c r="H124" t="str">
        <x:f>IF($A124="","",COUNTIFS(CaseLedger!$F:$F,$A124,CaseLedger!$B:$B,"TRUE",CaseLedger!$K:$K,"Livelihood"))</x:f>
      </x:c>
      <x:c r="I124" t="str">
        <x:f>IF($A124="","",COUNTIFS(CaseLedger!$F:$F,$A124,CaseLedger!$B:$B,"TRUE",CaseLedger!$K:$K,"Skill Sponsorship"))</x:f>
      </x:c>
      <x:c r="J124" t="str">
        <x:f>IF($A124="","",COUNTIFS(CaseLedger!$F:$F,$A124,CaseLedger!$B:$B,"TRUE",CaseLedger!$K:$K,"Emergency Support"))</x:f>
      </x:c>
      <x:c r="K124" t="str">
        <x:f>IF($A124="","",COUNTIFS(CaseLedger!$F:$F,$A124,CaseLedger!$B:$B,"TRUE",CaseLedger!$K:$K,"Community Support"))</x:f>
      </x:c>
      <x:c r="L124" t="str">
        <x:f>IF($A124="","",SUMIFS(CaseLedger!$M:$M,CaseLedger!$F:$F,$A124,CaseLedger!$B:$B,"TRUE"))</x:f>
      </x:c>
      <x:c r="M124" t="str">
        <x:f>IF($A124="","",SUMIFS(CaseLedger!$N:$N,CaseLedger!$F:$F,$A124,CaseLedger!$B:$B,"TRUE"))</x:f>
      </x:c>
      <x:c r="N124" t="str">
        <x:f>IF($A124="","",0)</x:f>
      </x:c>
      <x:c r="O124" t="str">
        <x:f>IF($A124="","",SUMIFS(CaseLedger!$O:$O,CaseLedger!$F:$F,$A124,CaseLedger!$B:$B,"TRUE"))</x:f>
      </x:c>
      <x:c r="P124" t="str">
        <x:f>IF($A124="","",IFERROR(VLOOKUP($A124,MonthlyFinance!$A:$G,4,FALSE),""))</x:f>
      </x:c>
      <x:c r="Q124" t="str">
        <x:f>IF($A124="","",IFERROR(VLOOKUP($A124,MonthlyFinance!$A:$G,5,FALSE),""))</x:f>
      </x:c>
      <x:c r="R124" t="str">
        <x:f>IF($A124="","",IFERROR(VLOOKUP($A124,MonthlyFinance!$A:$G,6,FALSE),""))</x:f>
      </x:c>
      <x:c r="S124" t="str">
        <x:f>IF($A124="","","Formula-linked from CaseLedger; finance fields from MonthlyFinance.")</x:f>
      </x:c>
      <x:c r="T124" t="str">
        <x:f>IF($A124="","","TRUE")</x:f>
      </x:c>
    </x:row>
    <x:row r="125">
      <x:c r="D125" t="str">
        <x:f>IF($A125="","",COUNTIFS(CaseLedger!$F:$F,$A125,CaseLedger!$B:$B,"TRUE"))</x:f>
      </x:c>
      <x:c r="E125" t="str">
        <x:f>IF($A125="","",COUNTIFS(CaseLedger!$F:$F,$A125,CaseLedger!$B:$B,"TRUE",CaseLedger!$P:$P,"Zakat"))</x:f>
      </x:c>
      <x:c r="F125" t="str">
        <x:f>IF($A125="","",COUNTIFS(CaseLedger!$F:$F,$A125,CaseLedger!$B:$B,"TRUE",CaseLedger!$P:$P,"Sadaqah"))</x:f>
      </x:c>
      <x:c r="G125" t="str">
        <x:f>IF($A125="","",COUNTIFS(CaseLedger!$F:$F,$A125,CaseLedger!$B:$B,"TRUE",CaseLedger!$P:$P,"Mixed"))</x:f>
      </x:c>
      <x:c r="H125" t="str">
        <x:f>IF($A125="","",COUNTIFS(CaseLedger!$F:$F,$A125,CaseLedger!$B:$B,"TRUE",CaseLedger!$K:$K,"Livelihood"))</x:f>
      </x:c>
      <x:c r="I125" t="str">
        <x:f>IF($A125="","",COUNTIFS(CaseLedger!$F:$F,$A125,CaseLedger!$B:$B,"TRUE",CaseLedger!$K:$K,"Skill Sponsorship"))</x:f>
      </x:c>
      <x:c r="J125" t="str">
        <x:f>IF($A125="","",COUNTIFS(CaseLedger!$F:$F,$A125,CaseLedger!$B:$B,"TRUE",CaseLedger!$K:$K,"Emergency Support"))</x:f>
      </x:c>
      <x:c r="K125" t="str">
        <x:f>IF($A125="","",COUNTIFS(CaseLedger!$F:$F,$A125,CaseLedger!$B:$B,"TRUE",CaseLedger!$K:$K,"Community Support"))</x:f>
      </x:c>
      <x:c r="L125" t="str">
        <x:f>IF($A125="","",SUMIFS(CaseLedger!$M:$M,CaseLedger!$F:$F,$A125,CaseLedger!$B:$B,"TRUE"))</x:f>
      </x:c>
      <x:c r="M125" t="str">
        <x:f>IF($A125="","",SUMIFS(CaseLedger!$N:$N,CaseLedger!$F:$F,$A125,CaseLedger!$B:$B,"TRUE"))</x:f>
      </x:c>
      <x:c r="N125" t="str">
        <x:f>IF($A125="","",0)</x:f>
      </x:c>
      <x:c r="O125" t="str">
        <x:f>IF($A125="","",SUMIFS(CaseLedger!$O:$O,CaseLedger!$F:$F,$A125,CaseLedger!$B:$B,"TRUE"))</x:f>
      </x:c>
      <x:c r="P125" t="str">
        <x:f>IF($A125="","",IFERROR(VLOOKUP($A125,MonthlyFinance!$A:$G,4,FALSE),""))</x:f>
      </x:c>
      <x:c r="Q125" t="str">
        <x:f>IF($A125="","",IFERROR(VLOOKUP($A125,MonthlyFinance!$A:$G,5,FALSE),""))</x:f>
      </x:c>
      <x:c r="R125" t="str">
        <x:f>IF($A125="","",IFERROR(VLOOKUP($A125,MonthlyFinance!$A:$G,6,FALSE),""))</x:f>
      </x:c>
      <x:c r="S125" t="str">
        <x:f>IF($A125="","","Formula-linked from CaseLedger; finance fields from MonthlyFinance.")</x:f>
      </x:c>
      <x:c r="T125" t="str">
        <x:f>IF($A125="","","TRUE")</x:f>
      </x:c>
    </x:row>
    <x:row r="126">
      <x:c r="D126" t="str">
        <x:f>IF($A126="","",COUNTIFS(CaseLedger!$F:$F,$A126,CaseLedger!$B:$B,"TRUE"))</x:f>
      </x:c>
      <x:c r="E126" t="str">
        <x:f>IF($A126="","",COUNTIFS(CaseLedger!$F:$F,$A126,CaseLedger!$B:$B,"TRUE",CaseLedger!$P:$P,"Zakat"))</x:f>
      </x:c>
      <x:c r="F126" t="str">
        <x:f>IF($A126="","",COUNTIFS(CaseLedger!$F:$F,$A126,CaseLedger!$B:$B,"TRUE",CaseLedger!$P:$P,"Sadaqah"))</x:f>
      </x:c>
      <x:c r="G126" t="str">
        <x:f>IF($A126="","",COUNTIFS(CaseLedger!$F:$F,$A126,CaseLedger!$B:$B,"TRUE",CaseLedger!$P:$P,"Mixed"))</x:f>
      </x:c>
      <x:c r="H126" t="str">
        <x:f>IF($A126="","",COUNTIFS(CaseLedger!$F:$F,$A126,CaseLedger!$B:$B,"TRUE",CaseLedger!$K:$K,"Livelihood"))</x:f>
      </x:c>
      <x:c r="I126" t="str">
        <x:f>IF($A126="","",COUNTIFS(CaseLedger!$F:$F,$A126,CaseLedger!$B:$B,"TRUE",CaseLedger!$K:$K,"Skill Sponsorship"))</x:f>
      </x:c>
      <x:c r="J126" t="str">
        <x:f>IF($A126="","",COUNTIFS(CaseLedger!$F:$F,$A126,CaseLedger!$B:$B,"TRUE",CaseLedger!$K:$K,"Emergency Support"))</x:f>
      </x:c>
      <x:c r="K126" t="str">
        <x:f>IF($A126="","",COUNTIFS(CaseLedger!$F:$F,$A126,CaseLedger!$B:$B,"TRUE",CaseLedger!$K:$K,"Community Support"))</x:f>
      </x:c>
      <x:c r="L126" t="str">
        <x:f>IF($A126="","",SUMIFS(CaseLedger!$M:$M,CaseLedger!$F:$F,$A126,CaseLedger!$B:$B,"TRUE"))</x:f>
      </x:c>
      <x:c r="M126" t="str">
        <x:f>IF($A126="","",SUMIFS(CaseLedger!$N:$N,CaseLedger!$F:$F,$A126,CaseLedger!$B:$B,"TRUE"))</x:f>
      </x:c>
      <x:c r="N126" t="str">
        <x:f>IF($A126="","",0)</x:f>
      </x:c>
      <x:c r="O126" t="str">
        <x:f>IF($A126="","",SUMIFS(CaseLedger!$O:$O,CaseLedger!$F:$F,$A126,CaseLedger!$B:$B,"TRUE"))</x:f>
      </x:c>
      <x:c r="P126" t="str">
        <x:f>IF($A126="","",IFERROR(VLOOKUP($A126,MonthlyFinance!$A:$G,4,FALSE),""))</x:f>
      </x:c>
      <x:c r="Q126" t="str">
        <x:f>IF($A126="","",IFERROR(VLOOKUP($A126,MonthlyFinance!$A:$G,5,FALSE),""))</x:f>
      </x:c>
      <x:c r="R126" t="str">
        <x:f>IF($A126="","",IFERROR(VLOOKUP($A126,MonthlyFinance!$A:$G,6,FALSE),""))</x:f>
      </x:c>
      <x:c r="S126" t="str">
        <x:f>IF($A126="","","Formula-linked from CaseLedger; finance fields from MonthlyFinance.")</x:f>
      </x:c>
      <x:c r="T126" t="str">
        <x:f>IF($A126="","","TRUE")</x:f>
      </x:c>
    </x:row>
    <x:row r="127">
      <x:c r="D127" t="str">
        <x:f>IF($A127="","",COUNTIFS(CaseLedger!$F:$F,$A127,CaseLedger!$B:$B,"TRUE"))</x:f>
      </x:c>
      <x:c r="E127" t="str">
        <x:f>IF($A127="","",COUNTIFS(CaseLedger!$F:$F,$A127,CaseLedger!$B:$B,"TRUE",CaseLedger!$P:$P,"Zakat"))</x:f>
      </x:c>
      <x:c r="F127" t="str">
        <x:f>IF($A127="","",COUNTIFS(CaseLedger!$F:$F,$A127,CaseLedger!$B:$B,"TRUE",CaseLedger!$P:$P,"Sadaqah"))</x:f>
      </x:c>
      <x:c r="G127" t="str">
        <x:f>IF($A127="","",COUNTIFS(CaseLedger!$F:$F,$A127,CaseLedger!$B:$B,"TRUE",CaseLedger!$P:$P,"Mixed"))</x:f>
      </x:c>
      <x:c r="H127" t="str">
        <x:f>IF($A127="","",COUNTIFS(CaseLedger!$F:$F,$A127,CaseLedger!$B:$B,"TRUE",CaseLedger!$K:$K,"Livelihood"))</x:f>
      </x:c>
      <x:c r="I127" t="str">
        <x:f>IF($A127="","",COUNTIFS(CaseLedger!$F:$F,$A127,CaseLedger!$B:$B,"TRUE",CaseLedger!$K:$K,"Skill Sponsorship"))</x:f>
      </x:c>
      <x:c r="J127" t="str">
        <x:f>IF($A127="","",COUNTIFS(CaseLedger!$F:$F,$A127,CaseLedger!$B:$B,"TRUE",CaseLedger!$K:$K,"Emergency Support"))</x:f>
      </x:c>
      <x:c r="K127" t="str">
        <x:f>IF($A127="","",COUNTIFS(CaseLedger!$F:$F,$A127,CaseLedger!$B:$B,"TRUE",CaseLedger!$K:$K,"Community Support"))</x:f>
      </x:c>
      <x:c r="L127" t="str">
        <x:f>IF($A127="","",SUMIFS(CaseLedger!$M:$M,CaseLedger!$F:$F,$A127,CaseLedger!$B:$B,"TRUE"))</x:f>
      </x:c>
      <x:c r="M127" t="str">
        <x:f>IF($A127="","",SUMIFS(CaseLedger!$N:$N,CaseLedger!$F:$F,$A127,CaseLedger!$B:$B,"TRUE"))</x:f>
      </x:c>
      <x:c r="N127" t="str">
        <x:f>IF($A127="","",0)</x:f>
      </x:c>
      <x:c r="O127" t="str">
        <x:f>IF($A127="","",SUMIFS(CaseLedger!$O:$O,CaseLedger!$F:$F,$A127,CaseLedger!$B:$B,"TRUE"))</x:f>
      </x:c>
      <x:c r="P127" t="str">
        <x:f>IF($A127="","",IFERROR(VLOOKUP($A127,MonthlyFinance!$A:$G,4,FALSE),""))</x:f>
      </x:c>
      <x:c r="Q127" t="str">
        <x:f>IF($A127="","",IFERROR(VLOOKUP($A127,MonthlyFinance!$A:$G,5,FALSE),""))</x:f>
      </x:c>
      <x:c r="R127" t="str">
        <x:f>IF($A127="","",IFERROR(VLOOKUP($A127,MonthlyFinance!$A:$G,6,FALSE),""))</x:f>
      </x:c>
      <x:c r="S127" t="str">
        <x:f>IF($A127="","","Formula-linked from CaseLedger; finance fields from MonthlyFinance.")</x:f>
      </x:c>
      <x:c r="T127" t="str">
        <x:f>IF($A127="","","TRUE")</x:f>
      </x:c>
    </x:row>
    <x:row r="128">
      <x:c r="D128" t="str">
        <x:f>IF($A128="","",COUNTIFS(CaseLedger!$F:$F,$A128,CaseLedger!$B:$B,"TRUE"))</x:f>
      </x:c>
      <x:c r="E128" t="str">
        <x:f>IF($A128="","",COUNTIFS(CaseLedger!$F:$F,$A128,CaseLedger!$B:$B,"TRUE",CaseLedger!$P:$P,"Zakat"))</x:f>
      </x:c>
      <x:c r="F128" t="str">
        <x:f>IF($A128="","",COUNTIFS(CaseLedger!$F:$F,$A128,CaseLedger!$B:$B,"TRUE",CaseLedger!$P:$P,"Sadaqah"))</x:f>
      </x:c>
      <x:c r="G128" t="str">
        <x:f>IF($A128="","",COUNTIFS(CaseLedger!$F:$F,$A128,CaseLedger!$B:$B,"TRUE",CaseLedger!$P:$P,"Mixed"))</x:f>
      </x:c>
      <x:c r="H128" t="str">
        <x:f>IF($A128="","",COUNTIFS(CaseLedger!$F:$F,$A128,CaseLedger!$B:$B,"TRUE",CaseLedger!$K:$K,"Livelihood"))</x:f>
      </x:c>
      <x:c r="I128" t="str">
        <x:f>IF($A128="","",COUNTIFS(CaseLedger!$F:$F,$A128,CaseLedger!$B:$B,"TRUE",CaseLedger!$K:$K,"Skill Sponsorship"))</x:f>
      </x:c>
      <x:c r="J128" t="str">
        <x:f>IF($A128="","",COUNTIFS(CaseLedger!$F:$F,$A128,CaseLedger!$B:$B,"TRUE",CaseLedger!$K:$K,"Emergency Support"))</x:f>
      </x:c>
      <x:c r="K128" t="str">
        <x:f>IF($A128="","",COUNTIFS(CaseLedger!$F:$F,$A128,CaseLedger!$B:$B,"TRUE",CaseLedger!$K:$K,"Community Support"))</x:f>
      </x:c>
      <x:c r="L128" t="str">
        <x:f>IF($A128="","",SUMIFS(CaseLedger!$M:$M,CaseLedger!$F:$F,$A128,CaseLedger!$B:$B,"TRUE"))</x:f>
      </x:c>
      <x:c r="M128" t="str">
        <x:f>IF($A128="","",SUMIFS(CaseLedger!$N:$N,CaseLedger!$F:$F,$A128,CaseLedger!$B:$B,"TRUE"))</x:f>
      </x:c>
      <x:c r="N128" t="str">
        <x:f>IF($A128="","",0)</x:f>
      </x:c>
      <x:c r="O128" t="str">
        <x:f>IF($A128="","",SUMIFS(CaseLedger!$O:$O,CaseLedger!$F:$F,$A128,CaseLedger!$B:$B,"TRUE"))</x:f>
      </x:c>
      <x:c r="P128" t="str">
        <x:f>IF($A128="","",IFERROR(VLOOKUP($A128,MonthlyFinance!$A:$G,4,FALSE),""))</x:f>
      </x:c>
      <x:c r="Q128" t="str">
        <x:f>IF($A128="","",IFERROR(VLOOKUP($A128,MonthlyFinance!$A:$G,5,FALSE),""))</x:f>
      </x:c>
      <x:c r="R128" t="str">
        <x:f>IF($A128="","",IFERROR(VLOOKUP($A128,MonthlyFinance!$A:$G,6,FALSE),""))</x:f>
      </x:c>
      <x:c r="S128" t="str">
        <x:f>IF($A128="","","Formula-linked from CaseLedger; finance fields from MonthlyFinance.")</x:f>
      </x:c>
      <x:c r="T128" t="str">
        <x:f>IF($A128="","","TRUE")</x:f>
      </x:c>
    </x:row>
    <x:row r="129">
      <x:c r="D129" t="str">
        <x:f>IF($A129="","",COUNTIFS(CaseLedger!$F:$F,$A129,CaseLedger!$B:$B,"TRUE"))</x:f>
      </x:c>
      <x:c r="E129" t="str">
        <x:f>IF($A129="","",COUNTIFS(CaseLedger!$F:$F,$A129,CaseLedger!$B:$B,"TRUE",CaseLedger!$P:$P,"Zakat"))</x:f>
      </x:c>
      <x:c r="F129" t="str">
        <x:f>IF($A129="","",COUNTIFS(CaseLedger!$F:$F,$A129,CaseLedger!$B:$B,"TRUE",CaseLedger!$P:$P,"Sadaqah"))</x:f>
      </x:c>
      <x:c r="G129" t="str">
        <x:f>IF($A129="","",COUNTIFS(CaseLedger!$F:$F,$A129,CaseLedger!$B:$B,"TRUE",CaseLedger!$P:$P,"Mixed"))</x:f>
      </x:c>
      <x:c r="H129" t="str">
        <x:f>IF($A129="","",COUNTIFS(CaseLedger!$F:$F,$A129,CaseLedger!$B:$B,"TRUE",CaseLedger!$K:$K,"Livelihood"))</x:f>
      </x:c>
      <x:c r="I129" t="str">
        <x:f>IF($A129="","",COUNTIFS(CaseLedger!$F:$F,$A129,CaseLedger!$B:$B,"TRUE",CaseLedger!$K:$K,"Skill Sponsorship"))</x:f>
      </x:c>
      <x:c r="J129" t="str">
        <x:f>IF($A129="","",COUNTIFS(CaseLedger!$F:$F,$A129,CaseLedger!$B:$B,"TRUE",CaseLedger!$K:$K,"Emergency Support"))</x:f>
      </x:c>
      <x:c r="K129" t="str">
        <x:f>IF($A129="","",COUNTIFS(CaseLedger!$F:$F,$A129,CaseLedger!$B:$B,"TRUE",CaseLedger!$K:$K,"Community Support"))</x:f>
      </x:c>
      <x:c r="L129" t="str">
        <x:f>IF($A129="","",SUMIFS(CaseLedger!$M:$M,CaseLedger!$F:$F,$A129,CaseLedger!$B:$B,"TRUE"))</x:f>
      </x:c>
      <x:c r="M129" t="str">
        <x:f>IF($A129="","",SUMIFS(CaseLedger!$N:$N,CaseLedger!$F:$F,$A129,CaseLedger!$B:$B,"TRUE"))</x:f>
      </x:c>
      <x:c r="N129" t="str">
        <x:f>IF($A129="","",0)</x:f>
      </x:c>
      <x:c r="O129" t="str">
        <x:f>IF($A129="","",SUMIFS(CaseLedger!$O:$O,CaseLedger!$F:$F,$A129,CaseLedger!$B:$B,"TRUE"))</x:f>
      </x:c>
      <x:c r="P129" t="str">
        <x:f>IF($A129="","",IFERROR(VLOOKUP($A129,MonthlyFinance!$A:$G,4,FALSE),""))</x:f>
      </x:c>
      <x:c r="Q129" t="str">
        <x:f>IF($A129="","",IFERROR(VLOOKUP($A129,MonthlyFinance!$A:$G,5,FALSE),""))</x:f>
      </x:c>
      <x:c r="R129" t="str">
        <x:f>IF($A129="","",IFERROR(VLOOKUP($A129,MonthlyFinance!$A:$G,6,FALSE),""))</x:f>
      </x:c>
      <x:c r="S129" t="str">
        <x:f>IF($A129="","","Formula-linked from CaseLedger; finance fields from MonthlyFinance.")</x:f>
      </x:c>
      <x:c r="T129" t="str">
        <x:f>IF($A129="","","TRUE")</x:f>
      </x:c>
    </x:row>
    <x:row r="130">
      <x:c r="D130" t="str">
        <x:f>IF($A130="","",COUNTIFS(CaseLedger!$F:$F,$A130,CaseLedger!$B:$B,"TRUE"))</x:f>
      </x:c>
      <x:c r="E130" t="str">
        <x:f>IF($A130="","",COUNTIFS(CaseLedger!$F:$F,$A130,CaseLedger!$B:$B,"TRUE",CaseLedger!$P:$P,"Zakat"))</x:f>
      </x:c>
      <x:c r="F130" t="str">
        <x:f>IF($A130="","",COUNTIFS(CaseLedger!$F:$F,$A130,CaseLedger!$B:$B,"TRUE",CaseLedger!$P:$P,"Sadaqah"))</x:f>
      </x:c>
      <x:c r="G130" t="str">
        <x:f>IF($A130="","",COUNTIFS(CaseLedger!$F:$F,$A130,CaseLedger!$B:$B,"TRUE",CaseLedger!$P:$P,"Mixed"))</x:f>
      </x:c>
      <x:c r="H130" t="str">
        <x:f>IF($A130="","",COUNTIFS(CaseLedger!$F:$F,$A130,CaseLedger!$B:$B,"TRUE",CaseLedger!$K:$K,"Livelihood"))</x:f>
      </x:c>
      <x:c r="I130" t="str">
        <x:f>IF($A130="","",COUNTIFS(CaseLedger!$F:$F,$A130,CaseLedger!$B:$B,"TRUE",CaseLedger!$K:$K,"Skill Sponsorship"))</x:f>
      </x:c>
      <x:c r="J130" t="str">
        <x:f>IF($A130="","",COUNTIFS(CaseLedger!$F:$F,$A130,CaseLedger!$B:$B,"TRUE",CaseLedger!$K:$K,"Emergency Support"))</x:f>
      </x:c>
      <x:c r="K130" t="str">
        <x:f>IF($A130="","",COUNTIFS(CaseLedger!$F:$F,$A130,CaseLedger!$B:$B,"TRUE",CaseLedger!$K:$K,"Community Support"))</x:f>
      </x:c>
      <x:c r="L130" t="str">
        <x:f>IF($A130="","",SUMIFS(CaseLedger!$M:$M,CaseLedger!$F:$F,$A130,CaseLedger!$B:$B,"TRUE"))</x:f>
      </x:c>
      <x:c r="M130" t="str">
        <x:f>IF($A130="","",SUMIFS(CaseLedger!$N:$N,CaseLedger!$F:$F,$A130,CaseLedger!$B:$B,"TRUE"))</x:f>
      </x:c>
      <x:c r="N130" t="str">
        <x:f>IF($A130="","",0)</x:f>
      </x:c>
      <x:c r="O130" t="str">
        <x:f>IF($A130="","",SUMIFS(CaseLedger!$O:$O,CaseLedger!$F:$F,$A130,CaseLedger!$B:$B,"TRUE"))</x:f>
      </x:c>
      <x:c r="P130" t="str">
        <x:f>IF($A130="","",IFERROR(VLOOKUP($A130,MonthlyFinance!$A:$G,4,FALSE),""))</x:f>
      </x:c>
      <x:c r="Q130" t="str">
        <x:f>IF($A130="","",IFERROR(VLOOKUP($A130,MonthlyFinance!$A:$G,5,FALSE),""))</x:f>
      </x:c>
      <x:c r="R130" t="str">
        <x:f>IF($A130="","",IFERROR(VLOOKUP($A130,MonthlyFinance!$A:$G,6,FALSE),""))</x:f>
      </x:c>
      <x:c r="S130" t="str">
        <x:f>IF($A130="","","Formula-linked from CaseLedger; finance fields from MonthlyFinance.")</x:f>
      </x:c>
      <x:c r="T130" t="str">
        <x:f>IF($A130="","","TRUE")</x:f>
      </x:c>
    </x:row>
    <x:row r="131">
      <x:c r="D131" t="str">
        <x:f>IF($A131="","",COUNTIFS(CaseLedger!$F:$F,$A131,CaseLedger!$B:$B,"TRUE"))</x:f>
      </x:c>
      <x:c r="E131" t="str">
        <x:f>IF($A131="","",COUNTIFS(CaseLedger!$F:$F,$A131,CaseLedger!$B:$B,"TRUE",CaseLedger!$P:$P,"Zakat"))</x:f>
      </x:c>
      <x:c r="F131" t="str">
        <x:f>IF($A131="","",COUNTIFS(CaseLedger!$F:$F,$A131,CaseLedger!$B:$B,"TRUE",CaseLedger!$P:$P,"Sadaqah"))</x:f>
      </x:c>
      <x:c r="G131" t="str">
        <x:f>IF($A131="","",COUNTIFS(CaseLedger!$F:$F,$A131,CaseLedger!$B:$B,"TRUE",CaseLedger!$P:$P,"Mixed"))</x:f>
      </x:c>
      <x:c r="H131" t="str">
        <x:f>IF($A131="","",COUNTIFS(CaseLedger!$F:$F,$A131,CaseLedger!$B:$B,"TRUE",CaseLedger!$K:$K,"Livelihood"))</x:f>
      </x:c>
      <x:c r="I131" t="str">
        <x:f>IF($A131="","",COUNTIFS(CaseLedger!$F:$F,$A131,CaseLedger!$B:$B,"TRUE",CaseLedger!$K:$K,"Skill Sponsorship"))</x:f>
      </x:c>
      <x:c r="J131" t="str">
        <x:f>IF($A131="","",COUNTIFS(CaseLedger!$F:$F,$A131,CaseLedger!$B:$B,"TRUE",CaseLedger!$K:$K,"Emergency Support"))</x:f>
      </x:c>
      <x:c r="K131" t="str">
        <x:f>IF($A131="","",COUNTIFS(CaseLedger!$F:$F,$A131,CaseLedger!$B:$B,"TRUE",CaseLedger!$K:$K,"Community Support"))</x:f>
      </x:c>
      <x:c r="L131" t="str">
        <x:f>IF($A131="","",SUMIFS(CaseLedger!$M:$M,CaseLedger!$F:$F,$A131,CaseLedger!$B:$B,"TRUE"))</x:f>
      </x:c>
      <x:c r="M131" t="str">
        <x:f>IF($A131="","",SUMIFS(CaseLedger!$N:$N,CaseLedger!$F:$F,$A131,CaseLedger!$B:$B,"TRUE"))</x:f>
      </x:c>
      <x:c r="N131" t="str">
        <x:f>IF($A131="","",0)</x:f>
      </x:c>
      <x:c r="O131" t="str">
        <x:f>IF($A131="","",SUMIFS(CaseLedger!$O:$O,CaseLedger!$F:$F,$A131,CaseLedger!$B:$B,"TRUE"))</x:f>
      </x:c>
      <x:c r="P131" t="str">
        <x:f>IF($A131="","",IFERROR(VLOOKUP($A131,MonthlyFinance!$A:$G,4,FALSE),""))</x:f>
      </x:c>
      <x:c r="Q131" t="str">
        <x:f>IF($A131="","",IFERROR(VLOOKUP($A131,MonthlyFinance!$A:$G,5,FALSE),""))</x:f>
      </x:c>
      <x:c r="R131" t="str">
        <x:f>IF($A131="","",IFERROR(VLOOKUP($A131,MonthlyFinance!$A:$G,6,FALSE),""))</x:f>
      </x:c>
      <x:c r="S131" t="str">
        <x:f>IF($A131="","","Formula-linked from CaseLedger; finance fields from MonthlyFinance.")</x:f>
      </x:c>
      <x:c r="T131" t="str">
        <x:f>IF($A131="","","TRUE")</x:f>
      </x:c>
    </x:row>
    <x:row r="132">
      <x:c r="D132" t="str">
        <x:f>IF($A132="","",COUNTIFS(CaseLedger!$F:$F,$A132,CaseLedger!$B:$B,"TRUE"))</x:f>
      </x:c>
      <x:c r="E132" t="str">
        <x:f>IF($A132="","",COUNTIFS(CaseLedger!$F:$F,$A132,CaseLedger!$B:$B,"TRUE",CaseLedger!$P:$P,"Zakat"))</x:f>
      </x:c>
      <x:c r="F132" t="str">
        <x:f>IF($A132="","",COUNTIFS(CaseLedger!$F:$F,$A132,CaseLedger!$B:$B,"TRUE",CaseLedger!$P:$P,"Sadaqah"))</x:f>
      </x:c>
      <x:c r="G132" t="str">
        <x:f>IF($A132="","",COUNTIFS(CaseLedger!$F:$F,$A132,CaseLedger!$B:$B,"TRUE",CaseLedger!$P:$P,"Mixed"))</x:f>
      </x:c>
      <x:c r="H132" t="str">
        <x:f>IF($A132="","",COUNTIFS(CaseLedger!$F:$F,$A132,CaseLedger!$B:$B,"TRUE",CaseLedger!$K:$K,"Livelihood"))</x:f>
      </x:c>
      <x:c r="I132" t="str">
        <x:f>IF($A132="","",COUNTIFS(CaseLedger!$F:$F,$A132,CaseLedger!$B:$B,"TRUE",CaseLedger!$K:$K,"Skill Sponsorship"))</x:f>
      </x:c>
      <x:c r="J132" t="str">
        <x:f>IF($A132="","",COUNTIFS(CaseLedger!$F:$F,$A132,CaseLedger!$B:$B,"TRUE",CaseLedger!$K:$K,"Emergency Support"))</x:f>
      </x:c>
      <x:c r="K132" t="str">
        <x:f>IF($A132="","",COUNTIFS(CaseLedger!$F:$F,$A132,CaseLedger!$B:$B,"TRUE",CaseLedger!$K:$K,"Community Support"))</x:f>
      </x:c>
      <x:c r="L132" t="str">
        <x:f>IF($A132="","",SUMIFS(CaseLedger!$M:$M,CaseLedger!$F:$F,$A132,CaseLedger!$B:$B,"TRUE"))</x:f>
      </x:c>
      <x:c r="M132" t="str">
        <x:f>IF($A132="","",SUMIFS(CaseLedger!$N:$N,CaseLedger!$F:$F,$A132,CaseLedger!$B:$B,"TRUE"))</x:f>
      </x:c>
      <x:c r="N132" t="str">
        <x:f>IF($A132="","",0)</x:f>
      </x:c>
      <x:c r="O132" t="str">
        <x:f>IF($A132="","",SUMIFS(CaseLedger!$O:$O,CaseLedger!$F:$F,$A132,CaseLedger!$B:$B,"TRUE"))</x:f>
      </x:c>
      <x:c r="P132" t="str">
        <x:f>IF($A132="","",IFERROR(VLOOKUP($A132,MonthlyFinance!$A:$G,4,FALSE),""))</x:f>
      </x:c>
      <x:c r="Q132" t="str">
        <x:f>IF($A132="","",IFERROR(VLOOKUP($A132,MonthlyFinance!$A:$G,5,FALSE),""))</x:f>
      </x:c>
      <x:c r="R132" t="str">
        <x:f>IF($A132="","",IFERROR(VLOOKUP($A132,MonthlyFinance!$A:$G,6,FALSE),""))</x:f>
      </x:c>
      <x:c r="S132" t="str">
        <x:f>IF($A132="","","Formula-linked from CaseLedger; finance fields from MonthlyFinance.")</x:f>
      </x:c>
      <x:c r="T132" t="str">
        <x:f>IF($A132="","","TRUE")</x:f>
      </x:c>
    </x:row>
    <x:row r="133">
      <x:c r="D133" t="str">
        <x:f>IF($A133="","",COUNTIFS(CaseLedger!$F:$F,$A133,CaseLedger!$B:$B,"TRUE"))</x:f>
      </x:c>
      <x:c r="E133" t="str">
        <x:f>IF($A133="","",COUNTIFS(CaseLedger!$F:$F,$A133,CaseLedger!$B:$B,"TRUE",CaseLedger!$P:$P,"Zakat"))</x:f>
      </x:c>
      <x:c r="F133" t="str">
        <x:f>IF($A133="","",COUNTIFS(CaseLedger!$F:$F,$A133,CaseLedger!$B:$B,"TRUE",CaseLedger!$P:$P,"Sadaqah"))</x:f>
      </x:c>
      <x:c r="G133" t="str">
        <x:f>IF($A133="","",COUNTIFS(CaseLedger!$F:$F,$A133,CaseLedger!$B:$B,"TRUE",CaseLedger!$P:$P,"Mixed"))</x:f>
      </x:c>
      <x:c r="H133" t="str">
        <x:f>IF($A133="","",COUNTIFS(CaseLedger!$F:$F,$A133,CaseLedger!$B:$B,"TRUE",CaseLedger!$K:$K,"Livelihood"))</x:f>
      </x:c>
      <x:c r="I133" t="str">
        <x:f>IF($A133="","",COUNTIFS(CaseLedger!$F:$F,$A133,CaseLedger!$B:$B,"TRUE",CaseLedger!$K:$K,"Skill Sponsorship"))</x:f>
      </x:c>
      <x:c r="J133" t="str">
        <x:f>IF($A133="","",COUNTIFS(CaseLedger!$F:$F,$A133,CaseLedger!$B:$B,"TRUE",CaseLedger!$K:$K,"Emergency Support"))</x:f>
      </x:c>
      <x:c r="K133" t="str">
        <x:f>IF($A133="","",COUNTIFS(CaseLedger!$F:$F,$A133,CaseLedger!$B:$B,"TRUE",CaseLedger!$K:$K,"Community Support"))</x:f>
      </x:c>
      <x:c r="L133" t="str">
        <x:f>IF($A133="","",SUMIFS(CaseLedger!$M:$M,CaseLedger!$F:$F,$A133,CaseLedger!$B:$B,"TRUE"))</x:f>
      </x:c>
      <x:c r="M133" t="str">
        <x:f>IF($A133="","",SUMIFS(CaseLedger!$N:$N,CaseLedger!$F:$F,$A133,CaseLedger!$B:$B,"TRUE"))</x:f>
      </x:c>
      <x:c r="N133" t="str">
        <x:f>IF($A133="","",0)</x:f>
      </x:c>
      <x:c r="O133" t="str">
        <x:f>IF($A133="","",SUMIFS(CaseLedger!$O:$O,CaseLedger!$F:$F,$A133,CaseLedger!$B:$B,"TRUE"))</x:f>
      </x:c>
      <x:c r="P133" t="str">
        <x:f>IF($A133="","",IFERROR(VLOOKUP($A133,MonthlyFinance!$A:$G,4,FALSE),""))</x:f>
      </x:c>
      <x:c r="Q133" t="str">
        <x:f>IF($A133="","",IFERROR(VLOOKUP($A133,MonthlyFinance!$A:$G,5,FALSE),""))</x:f>
      </x:c>
      <x:c r="R133" t="str">
        <x:f>IF($A133="","",IFERROR(VLOOKUP($A133,MonthlyFinance!$A:$G,6,FALSE),""))</x:f>
      </x:c>
      <x:c r="S133" t="str">
        <x:f>IF($A133="","","Formula-linked from CaseLedger; finance fields from MonthlyFinance.")</x:f>
      </x:c>
      <x:c r="T133" t="str">
        <x:f>IF($A133="","","TRUE")</x:f>
      </x:c>
    </x:row>
    <x:row r="134">
      <x:c r="D134" t="str">
        <x:f>IF($A134="","",COUNTIFS(CaseLedger!$F:$F,$A134,CaseLedger!$B:$B,"TRUE"))</x:f>
      </x:c>
      <x:c r="E134" t="str">
        <x:f>IF($A134="","",COUNTIFS(CaseLedger!$F:$F,$A134,CaseLedger!$B:$B,"TRUE",CaseLedger!$P:$P,"Zakat"))</x:f>
      </x:c>
      <x:c r="F134" t="str">
        <x:f>IF($A134="","",COUNTIFS(CaseLedger!$F:$F,$A134,CaseLedger!$B:$B,"TRUE",CaseLedger!$P:$P,"Sadaqah"))</x:f>
      </x:c>
      <x:c r="G134" t="str">
        <x:f>IF($A134="","",COUNTIFS(CaseLedger!$F:$F,$A134,CaseLedger!$B:$B,"TRUE",CaseLedger!$P:$P,"Mixed"))</x:f>
      </x:c>
      <x:c r="H134" t="str">
        <x:f>IF($A134="","",COUNTIFS(CaseLedger!$F:$F,$A134,CaseLedger!$B:$B,"TRUE",CaseLedger!$K:$K,"Livelihood"))</x:f>
      </x:c>
      <x:c r="I134" t="str">
        <x:f>IF($A134="","",COUNTIFS(CaseLedger!$F:$F,$A134,CaseLedger!$B:$B,"TRUE",CaseLedger!$K:$K,"Skill Sponsorship"))</x:f>
      </x:c>
      <x:c r="J134" t="str">
        <x:f>IF($A134="","",COUNTIFS(CaseLedger!$F:$F,$A134,CaseLedger!$B:$B,"TRUE",CaseLedger!$K:$K,"Emergency Support"))</x:f>
      </x:c>
      <x:c r="K134" t="str">
        <x:f>IF($A134="","",COUNTIFS(CaseLedger!$F:$F,$A134,CaseLedger!$B:$B,"TRUE",CaseLedger!$K:$K,"Community Support"))</x:f>
      </x:c>
      <x:c r="L134" t="str">
        <x:f>IF($A134="","",SUMIFS(CaseLedger!$M:$M,CaseLedger!$F:$F,$A134,CaseLedger!$B:$B,"TRUE"))</x:f>
      </x:c>
      <x:c r="M134" t="str">
        <x:f>IF($A134="","",SUMIFS(CaseLedger!$N:$N,CaseLedger!$F:$F,$A134,CaseLedger!$B:$B,"TRUE"))</x:f>
      </x:c>
      <x:c r="N134" t="str">
        <x:f>IF($A134="","",0)</x:f>
      </x:c>
      <x:c r="O134" t="str">
        <x:f>IF($A134="","",SUMIFS(CaseLedger!$O:$O,CaseLedger!$F:$F,$A134,CaseLedger!$B:$B,"TRUE"))</x:f>
      </x:c>
      <x:c r="P134" t="str">
        <x:f>IF($A134="","",IFERROR(VLOOKUP($A134,MonthlyFinance!$A:$G,4,FALSE),""))</x:f>
      </x:c>
      <x:c r="Q134" t="str">
        <x:f>IF($A134="","",IFERROR(VLOOKUP($A134,MonthlyFinance!$A:$G,5,FALSE),""))</x:f>
      </x:c>
      <x:c r="R134" t="str">
        <x:f>IF($A134="","",IFERROR(VLOOKUP($A134,MonthlyFinance!$A:$G,6,FALSE),""))</x:f>
      </x:c>
      <x:c r="S134" t="str">
        <x:f>IF($A134="","","Formula-linked from CaseLedger; finance fields from MonthlyFinance.")</x:f>
      </x:c>
      <x:c r="T134" t="str">
        <x:f>IF($A134="","","TRUE")</x:f>
      </x:c>
    </x:row>
    <x:row r="135">
      <x:c r="D135" t="str">
        <x:f>IF($A135="","",COUNTIFS(CaseLedger!$F:$F,$A135,CaseLedger!$B:$B,"TRUE"))</x:f>
      </x:c>
      <x:c r="E135" t="str">
        <x:f>IF($A135="","",COUNTIFS(CaseLedger!$F:$F,$A135,CaseLedger!$B:$B,"TRUE",CaseLedger!$P:$P,"Zakat"))</x:f>
      </x:c>
      <x:c r="F135" t="str">
        <x:f>IF($A135="","",COUNTIFS(CaseLedger!$F:$F,$A135,CaseLedger!$B:$B,"TRUE",CaseLedger!$P:$P,"Sadaqah"))</x:f>
      </x:c>
      <x:c r="G135" t="str">
        <x:f>IF($A135="","",COUNTIFS(CaseLedger!$F:$F,$A135,CaseLedger!$B:$B,"TRUE",CaseLedger!$P:$P,"Mixed"))</x:f>
      </x:c>
      <x:c r="H135" t="str">
        <x:f>IF($A135="","",COUNTIFS(CaseLedger!$F:$F,$A135,CaseLedger!$B:$B,"TRUE",CaseLedger!$K:$K,"Livelihood"))</x:f>
      </x:c>
      <x:c r="I135" t="str">
        <x:f>IF($A135="","",COUNTIFS(CaseLedger!$F:$F,$A135,CaseLedger!$B:$B,"TRUE",CaseLedger!$K:$K,"Skill Sponsorship"))</x:f>
      </x:c>
      <x:c r="J135" t="str">
        <x:f>IF($A135="","",COUNTIFS(CaseLedger!$F:$F,$A135,CaseLedger!$B:$B,"TRUE",CaseLedger!$K:$K,"Emergency Support"))</x:f>
      </x:c>
      <x:c r="K135" t="str">
        <x:f>IF($A135="","",COUNTIFS(CaseLedger!$F:$F,$A135,CaseLedger!$B:$B,"TRUE",CaseLedger!$K:$K,"Community Support"))</x:f>
      </x:c>
      <x:c r="L135" t="str">
        <x:f>IF($A135="","",SUMIFS(CaseLedger!$M:$M,CaseLedger!$F:$F,$A135,CaseLedger!$B:$B,"TRUE"))</x:f>
      </x:c>
      <x:c r="M135" t="str">
        <x:f>IF($A135="","",SUMIFS(CaseLedger!$N:$N,CaseLedger!$F:$F,$A135,CaseLedger!$B:$B,"TRUE"))</x:f>
      </x:c>
      <x:c r="N135" t="str">
        <x:f>IF($A135="","",0)</x:f>
      </x:c>
      <x:c r="O135" t="str">
        <x:f>IF($A135="","",SUMIFS(CaseLedger!$O:$O,CaseLedger!$F:$F,$A135,CaseLedger!$B:$B,"TRUE"))</x:f>
      </x:c>
      <x:c r="P135" t="str">
        <x:f>IF($A135="","",IFERROR(VLOOKUP($A135,MonthlyFinance!$A:$G,4,FALSE),""))</x:f>
      </x:c>
      <x:c r="Q135" t="str">
        <x:f>IF($A135="","",IFERROR(VLOOKUP($A135,MonthlyFinance!$A:$G,5,FALSE),""))</x:f>
      </x:c>
      <x:c r="R135" t="str">
        <x:f>IF($A135="","",IFERROR(VLOOKUP($A135,MonthlyFinance!$A:$G,6,FALSE),""))</x:f>
      </x:c>
      <x:c r="S135" t="str">
        <x:f>IF($A135="","","Formula-linked from CaseLedger; finance fields from MonthlyFinance.")</x:f>
      </x:c>
      <x:c r="T135" t="str">
        <x:f>IF($A135="","","TRUE")</x:f>
      </x:c>
    </x:row>
    <x:row r="136">
      <x:c r="D136" t="str">
        <x:f>IF($A136="","",COUNTIFS(CaseLedger!$F:$F,$A136,CaseLedger!$B:$B,"TRUE"))</x:f>
      </x:c>
      <x:c r="E136" t="str">
        <x:f>IF($A136="","",COUNTIFS(CaseLedger!$F:$F,$A136,CaseLedger!$B:$B,"TRUE",CaseLedger!$P:$P,"Zakat"))</x:f>
      </x:c>
      <x:c r="F136" t="str">
        <x:f>IF($A136="","",COUNTIFS(CaseLedger!$F:$F,$A136,CaseLedger!$B:$B,"TRUE",CaseLedger!$P:$P,"Sadaqah"))</x:f>
      </x:c>
      <x:c r="G136" t="str">
        <x:f>IF($A136="","",COUNTIFS(CaseLedger!$F:$F,$A136,CaseLedger!$B:$B,"TRUE",CaseLedger!$P:$P,"Mixed"))</x:f>
      </x:c>
      <x:c r="H136" t="str">
        <x:f>IF($A136="","",COUNTIFS(CaseLedger!$F:$F,$A136,CaseLedger!$B:$B,"TRUE",CaseLedger!$K:$K,"Livelihood"))</x:f>
      </x:c>
      <x:c r="I136" t="str">
        <x:f>IF($A136="","",COUNTIFS(CaseLedger!$F:$F,$A136,CaseLedger!$B:$B,"TRUE",CaseLedger!$K:$K,"Skill Sponsorship"))</x:f>
      </x:c>
      <x:c r="J136" t="str">
        <x:f>IF($A136="","",COUNTIFS(CaseLedger!$F:$F,$A136,CaseLedger!$B:$B,"TRUE",CaseLedger!$K:$K,"Emergency Support"))</x:f>
      </x:c>
      <x:c r="K136" t="str">
        <x:f>IF($A136="","",COUNTIFS(CaseLedger!$F:$F,$A136,CaseLedger!$B:$B,"TRUE",CaseLedger!$K:$K,"Community Support"))</x:f>
      </x:c>
      <x:c r="L136" t="str">
        <x:f>IF($A136="","",SUMIFS(CaseLedger!$M:$M,CaseLedger!$F:$F,$A136,CaseLedger!$B:$B,"TRUE"))</x:f>
      </x:c>
      <x:c r="M136" t="str">
        <x:f>IF($A136="","",SUMIFS(CaseLedger!$N:$N,CaseLedger!$F:$F,$A136,CaseLedger!$B:$B,"TRUE"))</x:f>
      </x:c>
      <x:c r="N136" t="str">
        <x:f>IF($A136="","",0)</x:f>
      </x:c>
      <x:c r="O136" t="str">
        <x:f>IF($A136="","",SUMIFS(CaseLedger!$O:$O,CaseLedger!$F:$F,$A136,CaseLedger!$B:$B,"TRUE"))</x:f>
      </x:c>
      <x:c r="P136" t="str">
        <x:f>IF($A136="","",IFERROR(VLOOKUP($A136,MonthlyFinance!$A:$G,4,FALSE),""))</x:f>
      </x:c>
      <x:c r="Q136" t="str">
        <x:f>IF($A136="","",IFERROR(VLOOKUP($A136,MonthlyFinance!$A:$G,5,FALSE),""))</x:f>
      </x:c>
      <x:c r="R136" t="str">
        <x:f>IF($A136="","",IFERROR(VLOOKUP($A136,MonthlyFinance!$A:$G,6,FALSE),""))</x:f>
      </x:c>
      <x:c r="S136" t="str">
        <x:f>IF($A136="","","Formula-linked from CaseLedger; finance fields from MonthlyFinance.")</x:f>
      </x:c>
      <x:c r="T136" t="str">
        <x:f>IF($A136="","","TRUE")</x:f>
      </x:c>
    </x:row>
    <x:row r="137">
      <x:c r="D137" t="str">
        <x:f>IF($A137="","",COUNTIFS(CaseLedger!$F:$F,$A137,CaseLedger!$B:$B,"TRUE"))</x:f>
      </x:c>
      <x:c r="E137" t="str">
        <x:f>IF($A137="","",COUNTIFS(CaseLedger!$F:$F,$A137,CaseLedger!$B:$B,"TRUE",CaseLedger!$P:$P,"Zakat"))</x:f>
      </x:c>
      <x:c r="F137" t="str">
        <x:f>IF($A137="","",COUNTIFS(CaseLedger!$F:$F,$A137,CaseLedger!$B:$B,"TRUE",CaseLedger!$P:$P,"Sadaqah"))</x:f>
      </x:c>
      <x:c r="G137" t="str">
        <x:f>IF($A137="","",COUNTIFS(CaseLedger!$F:$F,$A137,CaseLedger!$B:$B,"TRUE",CaseLedger!$P:$P,"Mixed"))</x:f>
      </x:c>
      <x:c r="H137" t="str">
        <x:f>IF($A137="","",COUNTIFS(CaseLedger!$F:$F,$A137,CaseLedger!$B:$B,"TRUE",CaseLedger!$K:$K,"Livelihood"))</x:f>
      </x:c>
      <x:c r="I137" t="str">
        <x:f>IF($A137="","",COUNTIFS(CaseLedger!$F:$F,$A137,CaseLedger!$B:$B,"TRUE",CaseLedger!$K:$K,"Skill Sponsorship"))</x:f>
      </x:c>
      <x:c r="J137" t="str">
        <x:f>IF($A137="","",COUNTIFS(CaseLedger!$F:$F,$A137,CaseLedger!$B:$B,"TRUE",CaseLedger!$K:$K,"Emergency Support"))</x:f>
      </x:c>
      <x:c r="K137" t="str">
        <x:f>IF($A137="","",COUNTIFS(CaseLedger!$F:$F,$A137,CaseLedger!$B:$B,"TRUE",CaseLedger!$K:$K,"Community Support"))</x:f>
      </x:c>
      <x:c r="L137" t="str">
        <x:f>IF($A137="","",SUMIFS(CaseLedger!$M:$M,CaseLedger!$F:$F,$A137,CaseLedger!$B:$B,"TRUE"))</x:f>
      </x:c>
      <x:c r="M137" t="str">
        <x:f>IF($A137="","",SUMIFS(CaseLedger!$N:$N,CaseLedger!$F:$F,$A137,CaseLedger!$B:$B,"TRUE"))</x:f>
      </x:c>
      <x:c r="N137" t="str">
        <x:f>IF($A137="","",0)</x:f>
      </x:c>
      <x:c r="O137" t="str">
        <x:f>IF($A137="","",SUMIFS(CaseLedger!$O:$O,CaseLedger!$F:$F,$A137,CaseLedger!$B:$B,"TRUE"))</x:f>
      </x:c>
      <x:c r="P137" t="str">
        <x:f>IF($A137="","",IFERROR(VLOOKUP($A137,MonthlyFinance!$A:$G,4,FALSE),""))</x:f>
      </x:c>
      <x:c r="Q137" t="str">
        <x:f>IF($A137="","",IFERROR(VLOOKUP($A137,MonthlyFinance!$A:$G,5,FALSE),""))</x:f>
      </x:c>
      <x:c r="R137" t="str">
        <x:f>IF($A137="","",IFERROR(VLOOKUP($A137,MonthlyFinance!$A:$G,6,FALSE),""))</x:f>
      </x:c>
      <x:c r="S137" t="str">
        <x:f>IF($A137="","","Formula-linked from CaseLedger; finance fields from MonthlyFinance.")</x:f>
      </x:c>
      <x:c r="T137" t="str">
        <x:f>IF($A137="","","TRUE")</x:f>
      </x:c>
    </x:row>
    <x:row r="138">
      <x:c r="D138" t="str">
        <x:f>IF($A138="","",COUNTIFS(CaseLedger!$F:$F,$A138,CaseLedger!$B:$B,"TRUE"))</x:f>
      </x:c>
      <x:c r="E138" t="str">
        <x:f>IF($A138="","",COUNTIFS(CaseLedger!$F:$F,$A138,CaseLedger!$B:$B,"TRUE",CaseLedger!$P:$P,"Zakat"))</x:f>
      </x:c>
      <x:c r="F138" t="str">
        <x:f>IF($A138="","",COUNTIFS(CaseLedger!$F:$F,$A138,CaseLedger!$B:$B,"TRUE",CaseLedger!$P:$P,"Sadaqah"))</x:f>
      </x:c>
      <x:c r="G138" t="str">
        <x:f>IF($A138="","",COUNTIFS(CaseLedger!$F:$F,$A138,CaseLedger!$B:$B,"TRUE",CaseLedger!$P:$P,"Mixed"))</x:f>
      </x:c>
      <x:c r="H138" t="str">
        <x:f>IF($A138="","",COUNTIFS(CaseLedger!$F:$F,$A138,CaseLedger!$B:$B,"TRUE",CaseLedger!$K:$K,"Livelihood"))</x:f>
      </x:c>
      <x:c r="I138" t="str">
        <x:f>IF($A138="","",COUNTIFS(CaseLedger!$F:$F,$A138,CaseLedger!$B:$B,"TRUE",CaseLedger!$K:$K,"Skill Sponsorship"))</x:f>
      </x:c>
      <x:c r="J138" t="str">
        <x:f>IF($A138="","",COUNTIFS(CaseLedger!$F:$F,$A138,CaseLedger!$B:$B,"TRUE",CaseLedger!$K:$K,"Emergency Support"))</x:f>
      </x:c>
      <x:c r="K138" t="str">
        <x:f>IF($A138="","",COUNTIFS(CaseLedger!$F:$F,$A138,CaseLedger!$B:$B,"TRUE",CaseLedger!$K:$K,"Community Support"))</x:f>
      </x:c>
      <x:c r="L138" t="str">
        <x:f>IF($A138="","",SUMIFS(CaseLedger!$M:$M,CaseLedger!$F:$F,$A138,CaseLedger!$B:$B,"TRUE"))</x:f>
      </x:c>
      <x:c r="M138" t="str">
        <x:f>IF($A138="","",SUMIFS(CaseLedger!$N:$N,CaseLedger!$F:$F,$A138,CaseLedger!$B:$B,"TRUE"))</x:f>
      </x:c>
      <x:c r="N138" t="str">
        <x:f>IF($A138="","",0)</x:f>
      </x:c>
      <x:c r="O138" t="str">
        <x:f>IF($A138="","",SUMIFS(CaseLedger!$O:$O,CaseLedger!$F:$F,$A138,CaseLedger!$B:$B,"TRUE"))</x:f>
      </x:c>
      <x:c r="P138" t="str">
        <x:f>IF($A138="","",IFERROR(VLOOKUP($A138,MonthlyFinance!$A:$G,4,FALSE),""))</x:f>
      </x:c>
      <x:c r="Q138" t="str">
        <x:f>IF($A138="","",IFERROR(VLOOKUP($A138,MonthlyFinance!$A:$G,5,FALSE),""))</x:f>
      </x:c>
      <x:c r="R138" t="str">
        <x:f>IF($A138="","",IFERROR(VLOOKUP($A138,MonthlyFinance!$A:$G,6,FALSE),""))</x:f>
      </x:c>
      <x:c r="S138" t="str">
        <x:f>IF($A138="","","Formula-linked from CaseLedger; finance fields from MonthlyFinance.")</x:f>
      </x:c>
      <x:c r="T138" t="str">
        <x:f>IF($A138="","","TRUE")</x:f>
      </x:c>
    </x:row>
    <x:row r="139">
      <x:c r="D139" t="str">
        <x:f>IF($A139="","",COUNTIFS(CaseLedger!$F:$F,$A139,CaseLedger!$B:$B,"TRUE"))</x:f>
      </x:c>
      <x:c r="E139" t="str">
        <x:f>IF($A139="","",COUNTIFS(CaseLedger!$F:$F,$A139,CaseLedger!$B:$B,"TRUE",CaseLedger!$P:$P,"Zakat"))</x:f>
      </x:c>
      <x:c r="F139" t="str">
        <x:f>IF($A139="","",COUNTIFS(CaseLedger!$F:$F,$A139,CaseLedger!$B:$B,"TRUE",CaseLedger!$P:$P,"Sadaqah"))</x:f>
      </x:c>
      <x:c r="G139" t="str">
        <x:f>IF($A139="","",COUNTIFS(CaseLedger!$F:$F,$A139,CaseLedger!$B:$B,"TRUE",CaseLedger!$P:$P,"Mixed"))</x:f>
      </x:c>
      <x:c r="H139" t="str">
        <x:f>IF($A139="","",COUNTIFS(CaseLedger!$F:$F,$A139,CaseLedger!$B:$B,"TRUE",CaseLedger!$K:$K,"Livelihood"))</x:f>
      </x:c>
      <x:c r="I139" t="str">
        <x:f>IF($A139="","",COUNTIFS(CaseLedger!$F:$F,$A139,CaseLedger!$B:$B,"TRUE",CaseLedger!$K:$K,"Skill Sponsorship"))</x:f>
      </x:c>
      <x:c r="J139" t="str">
        <x:f>IF($A139="","",COUNTIFS(CaseLedger!$F:$F,$A139,CaseLedger!$B:$B,"TRUE",CaseLedger!$K:$K,"Emergency Support"))</x:f>
      </x:c>
      <x:c r="K139" t="str">
        <x:f>IF($A139="","",COUNTIFS(CaseLedger!$F:$F,$A139,CaseLedger!$B:$B,"TRUE",CaseLedger!$K:$K,"Community Support"))</x:f>
      </x:c>
      <x:c r="L139" t="str">
        <x:f>IF($A139="","",SUMIFS(CaseLedger!$M:$M,CaseLedger!$F:$F,$A139,CaseLedger!$B:$B,"TRUE"))</x:f>
      </x:c>
      <x:c r="M139" t="str">
        <x:f>IF($A139="","",SUMIFS(CaseLedger!$N:$N,CaseLedger!$F:$F,$A139,CaseLedger!$B:$B,"TRUE"))</x:f>
      </x:c>
      <x:c r="N139" t="str">
        <x:f>IF($A139="","",0)</x:f>
      </x:c>
      <x:c r="O139" t="str">
        <x:f>IF($A139="","",SUMIFS(CaseLedger!$O:$O,CaseLedger!$F:$F,$A139,CaseLedger!$B:$B,"TRUE"))</x:f>
      </x:c>
      <x:c r="P139" t="str">
        <x:f>IF($A139="","",IFERROR(VLOOKUP($A139,MonthlyFinance!$A:$G,4,FALSE),""))</x:f>
      </x:c>
      <x:c r="Q139" t="str">
        <x:f>IF($A139="","",IFERROR(VLOOKUP($A139,MonthlyFinance!$A:$G,5,FALSE),""))</x:f>
      </x:c>
      <x:c r="R139" t="str">
        <x:f>IF($A139="","",IFERROR(VLOOKUP($A139,MonthlyFinance!$A:$G,6,FALSE),""))</x:f>
      </x:c>
      <x:c r="S139" t="str">
        <x:f>IF($A139="","","Formula-linked from CaseLedger; finance fields from MonthlyFinance.")</x:f>
      </x:c>
      <x:c r="T139" t="str">
        <x:f>IF($A139="","","TRUE")</x:f>
      </x:c>
    </x:row>
    <x:row r="140">
      <x:c r="D140" t="str">
        <x:f>IF($A140="","",COUNTIFS(CaseLedger!$F:$F,$A140,CaseLedger!$B:$B,"TRUE"))</x:f>
      </x:c>
      <x:c r="E140" t="str">
        <x:f>IF($A140="","",COUNTIFS(CaseLedger!$F:$F,$A140,CaseLedger!$B:$B,"TRUE",CaseLedger!$P:$P,"Zakat"))</x:f>
      </x:c>
      <x:c r="F140" t="str">
        <x:f>IF($A140="","",COUNTIFS(CaseLedger!$F:$F,$A140,CaseLedger!$B:$B,"TRUE",CaseLedger!$P:$P,"Sadaqah"))</x:f>
      </x:c>
      <x:c r="G140" t="str">
        <x:f>IF($A140="","",COUNTIFS(CaseLedger!$F:$F,$A140,CaseLedger!$B:$B,"TRUE",CaseLedger!$P:$P,"Mixed"))</x:f>
      </x:c>
      <x:c r="H140" t="str">
        <x:f>IF($A140="","",COUNTIFS(CaseLedger!$F:$F,$A140,CaseLedger!$B:$B,"TRUE",CaseLedger!$K:$K,"Livelihood"))</x:f>
      </x:c>
      <x:c r="I140" t="str">
        <x:f>IF($A140="","",COUNTIFS(CaseLedger!$F:$F,$A140,CaseLedger!$B:$B,"TRUE",CaseLedger!$K:$K,"Skill Sponsorship"))</x:f>
      </x:c>
      <x:c r="J140" t="str">
        <x:f>IF($A140="","",COUNTIFS(CaseLedger!$F:$F,$A140,CaseLedger!$B:$B,"TRUE",CaseLedger!$K:$K,"Emergency Support"))</x:f>
      </x:c>
      <x:c r="K140" t="str">
        <x:f>IF($A140="","",COUNTIFS(CaseLedger!$F:$F,$A140,CaseLedger!$B:$B,"TRUE",CaseLedger!$K:$K,"Community Support"))</x:f>
      </x:c>
      <x:c r="L140" t="str">
        <x:f>IF($A140="","",SUMIFS(CaseLedger!$M:$M,CaseLedger!$F:$F,$A140,CaseLedger!$B:$B,"TRUE"))</x:f>
      </x:c>
      <x:c r="M140" t="str">
        <x:f>IF($A140="","",SUMIFS(CaseLedger!$N:$N,CaseLedger!$F:$F,$A140,CaseLedger!$B:$B,"TRUE"))</x:f>
      </x:c>
      <x:c r="N140" t="str">
        <x:f>IF($A140="","",0)</x:f>
      </x:c>
      <x:c r="O140" t="str">
        <x:f>IF($A140="","",SUMIFS(CaseLedger!$O:$O,CaseLedger!$F:$F,$A140,CaseLedger!$B:$B,"TRUE"))</x:f>
      </x:c>
      <x:c r="P140" t="str">
        <x:f>IF($A140="","",IFERROR(VLOOKUP($A140,MonthlyFinance!$A:$G,4,FALSE),""))</x:f>
      </x:c>
      <x:c r="Q140" t="str">
        <x:f>IF($A140="","",IFERROR(VLOOKUP($A140,MonthlyFinance!$A:$G,5,FALSE),""))</x:f>
      </x:c>
      <x:c r="R140" t="str">
        <x:f>IF($A140="","",IFERROR(VLOOKUP($A140,MonthlyFinance!$A:$G,6,FALSE),""))</x:f>
      </x:c>
      <x:c r="S140" t="str">
        <x:f>IF($A140="","","Formula-linked from CaseLedger; finance fields from MonthlyFinance.")</x:f>
      </x:c>
      <x:c r="T140" t="str">
        <x:f>IF($A140="","","TRUE")</x:f>
      </x:c>
    </x:row>
    <x:row r="141">
      <x:c r="D141" t="str">
        <x:f>IF($A141="","",COUNTIFS(CaseLedger!$F:$F,$A141,CaseLedger!$B:$B,"TRUE"))</x:f>
      </x:c>
      <x:c r="E141" t="str">
        <x:f>IF($A141="","",COUNTIFS(CaseLedger!$F:$F,$A141,CaseLedger!$B:$B,"TRUE",CaseLedger!$P:$P,"Zakat"))</x:f>
      </x:c>
      <x:c r="F141" t="str">
        <x:f>IF($A141="","",COUNTIFS(CaseLedger!$F:$F,$A141,CaseLedger!$B:$B,"TRUE",CaseLedger!$P:$P,"Sadaqah"))</x:f>
      </x:c>
      <x:c r="G141" t="str">
        <x:f>IF($A141="","",COUNTIFS(CaseLedger!$F:$F,$A141,CaseLedger!$B:$B,"TRUE",CaseLedger!$P:$P,"Mixed"))</x:f>
      </x:c>
      <x:c r="H141" t="str">
        <x:f>IF($A141="","",COUNTIFS(CaseLedger!$F:$F,$A141,CaseLedger!$B:$B,"TRUE",CaseLedger!$K:$K,"Livelihood"))</x:f>
      </x:c>
      <x:c r="I141" t="str">
        <x:f>IF($A141="","",COUNTIFS(CaseLedger!$F:$F,$A141,CaseLedger!$B:$B,"TRUE",CaseLedger!$K:$K,"Skill Sponsorship"))</x:f>
      </x:c>
      <x:c r="J141" t="str">
        <x:f>IF($A141="","",COUNTIFS(CaseLedger!$F:$F,$A141,CaseLedger!$B:$B,"TRUE",CaseLedger!$K:$K,"Emergency Support"))</x:f>
      </x:c>
      <x:c r="K141" t="str">
        <x:f>IF($A141="","",COUNTIFS(CaseLedger!$F:$F,$A141,CaseLedger!$B:$B,"TRUE",CaseLedger!$K:$K,"Community Support"))</x:f>
      </x:c>
      <x:c r="L141" t="str">
        <x:f>IF($A141="","",SUMIFS(CaseLedger!$M:$M,CaseLedger!$F:$F,$A141,CaseLedger!$B:$B,"TRUE"))</x:f>
      </x:c>
      <x:c r="M141" t="str">
        <x:f>IF($A141="","",SUMIFS(CaseLedger!$N:$N,CaseLedger!$F:$F,$A141,CaseLedger!$B:$B,"TRUE"))</x:f>
      </x:c>
      <x:c r="N141" t="str">
        <x:f>IF($A141="","",0)</x:f>
      </x:c>
      <x:c r="O141" t="str">
        <x:f>IF($A141="","",SUMIFS(CaseLedger!$O:$O,CaseLedger!$F:$F,$A141,CaseLedger!$B:$B,"TRUE"))</x:f>
      </x:c>
      <x:c r="P141" t="str">
        <x:f>IF($A141="","",IFERROR(VLOOKUP($A141,MonthlyFinance!$A:$G,4,FALSE),""))</x:f>
      </x:c>
      <x:c r="Q141" t="str">
        <x:f>IF($A141="","",IFERROR(VLOOKUP($A141,MonthlyFinance!$A:$G,5,FALSE),""))</x:f>
      </x:c>
      <x:c r="R141" t="str">
        <x:f>IF($A141="","",IFERROR(VLOOKUP($A141,MonthlyFinance!$A:$G,6,FALSE),""))</x:f>
      </x:c>
      <x:c r="S141" t="str">
        <x:f>IF($A141="","","Formula-linked from CaseLedger; finance fields from MonthlyFinance.")</x:f>
      </x:c>
      <x:c r="T141" t="str">
        <x:f>IF($A141="","","TRUE")</x:f>
      </x:c>
    </x:row>
    <x:row r="142">
      <x:c r="D142" t="str">
        <x:f>IF($A142="","",COUNTIFS(CaseLedger!$F:$F,$A142,CaseLedger!$B:$B,"TRUE"))</x:f>
      </x:c>
      <x:c r="E142" t="str">
        <x:f>IF($A142="","",COUNTIFS(CaseLedger!$F:$F,$A142,CaseLedger!$B:$B,"TRUE",CaseLedger!$P:$P,"Zakat"))</x:f>
      </x:c>
      <x:c r="F142" t="str">
        <x:f>IF($A142="","",COUNTIFS(CaseLedger!$F:$F,$A142,CaseLedger!$B:$B,"TRUE",CaseLedger!$P:$P,"Sadaqah"))</x:f>
      </x:c>
      <x:c r="G142" t="str">
        <x:f>IF($A142="","",COUNTIFS(CaseLedger!$F:$F,$A142,CaseLedger!$B:$B,"TRUE",CaseLedger!$P:$P,"Mixed"))</x:f>
      </x:c>
      <x:c r="H142" t="str">
        <x:f>IF($A142="","",COUNTIFS(CaseLedger!$F:$F,$A142,CaseLedger!$B:$B,"TRUE",CaseLedger!$K:$K,"Livelihood"))</x:f>
      </x:c>
      <x:c r="I142" t="str">
        <x:f>IF($A142="","",COUNTIFS(CaseLedger!$F:$F,$A142,CaseLedger!$B:$B,"TRUE",CaseLedger!$K:$K,"Skill Sponsorship"))</x:f>
      </x:c>
      <x:c r="J142" t="str">
        <x:f>IF($A142="","",COUNTIFS(CaseLedger!$F:$F,$A142,CaseLedger!$B:$B,"TRUE",CaseLedger!$K:$K,"Emergency Support"))</x:f>
      </x:c>
      <x:c r="K142" t="str">
        <x:f>IF($A142="","",COUNTIFS(CaseLedger!$F:$F,$A142,CaseLedger!$B:$B,"TRUE",CaseLedger!$K:$K,"Community Support"))</x:f>
      </x:c>
      <x:c r="L142" t="str">
        <x:f>IF($A142="","",SUMIFS(CaseLedger!$M:$M,CaseLedger!$F:$F,$A142,CaseLedger!$B:$B,"TRUE"))</x:f>
      </x:c>
      <x:c r="M142" t="str">
        <x:f>IF($A142="","",SUMIFS(CaseLedger!$N:$N,CaseLedger!$F:$F,$A142,CaseLedger!$B:$B,"TRUE"))</x:f>
      </x:c>
      <x:c r="N142" t="str">
        <x:f>IF($A142="","",0)</x:f>
      </x:c>
      <x:c r="O142" t="str">
        <x:f>IF($A142="","",SUMIFS(CaseLedger!$O:$O,CaseLedger!$F:$F,$A142,CaseLedger!$B:$B,"TRUE"))</x:f>
      </x:c>
      <x:c r="P142" t="str">
        <x:f>IF($A142="","",IFERROR(VLOOKUP($A142,MonthlyFinance!$A:$G,4,FALSE),""))</x:f>
      </x:c>
      <x:c r="Q142" t="str">
        <x:f>IF($A142="","",IFERROR(VLOOKUP($A142,MonthlyFinance!$A:$G,5,FALSE),""))</x:f>
      </x:c>
      <x:c r="R142" t="str">
        <x:f>IF($A142="","",IFERROR(VLOOKUP($A142,MonthlyFinance!$A:$G,6,FALSE),""))</x:f>
      </x:c>
      <x:c r="S142" t="str">
        <x:f>IF($A142="","","Formula-linked from CaseLedger; finance fields from MonthlyFinance.")</x:f>
      </x:c>
      <x:c r="T142" t="str">
        <x:f>IF($A142="","","TRUE")</x:f>
      </x:c>
    </x:row>
    <x:row r="143">
      <x:c r="D143" t="str">
        <x:f>IF($A143="","",COUNTIFS(CaseLedger!$F:$F,$A143,CaseLedger!$B:$B,"TRUE"))</x:f>
      </x:c>
      <x:c r="E143" t="str">
        <x:f>IF($A143="","",COUNTIFS(CaseLedger!$F:$F,$A143,CaseLedger!$B:$B,"TRUE",CaseLedger!$P:$P,"Zakat"))</x:f>
      </x:c>
      <x:c r="F143" t="str">
        <x:f>IF($A143="","",COUNTIFS(CaseLedger!$F:$F,$A143,CaseLedger!$B:$B,"TRUE",CaseLedger!$P:$P,"Sadaqah"))</x:f>
      </x:c>
      <x:c r="G143" t="str">
        <x:f>IF($A143="","",COUNTIFS(CaseLedger!$F:$F,$A143,CaseLedger!$B:$B,"TRUE",CaseLedger!$P:$P,"Mixed"))</x:f>
      </x:c>
      <x:c r="H143" t="str">
        <x:f>IF($A143="","",COUNTIFS(CaseLedger!$F:$F,$A143,CaseLedger!$B:$B,"TRUE",CaseLedger!$K:$K,"Livelihood"))</x:f>
      </x:c>
      <x:c r="I143" t="str">
        <x:f>IF($A143="","",COUNTIFS(CaseLedger!$F:$F,$A143,CaseLedger!$B:$B,"TRUE",CaseLedger!$K:$K,"Skill Sponsorship"))</x:f>
      </x:c>
      <x:c r="J143" t="str">
        <x:f>IF($A143="","",COUNTIFS(CaseLedger!$F:$F,$A143,CaseLedger!$B:$B,"TRUE",CaseLedger!$K:$K,"Emergency Support"))</x:f>
      </x:c>
      <x:c r="K143" t="str">
        <x:f>IF($A143="","",COUNTIFS(CaseLedger!$F:$F,$A143,CaseLedger!$B:$B,"TRUE",CaseLedger!$K:$K,"Community Support"))</x:f>
      </x:c>
      <x:c r="L143" t="str">
        <x:f>IF($A143="","",SUMIFS(CaseLedger!$M:$M,CaseLedger!$F:$F,$A143,CaseLedger!$B:$B,"TRUE"))</x:f>
      </x:c>
      <x:c r="M143" t="str">
        <x:f>IF($A143="","",SUMIFS(CaseLedger!$N:$N,CaseLedger!$F:$F,$A143,CaseLedger!$B:$B,"TRUE"))</x:f>
      </x:c>
      <x:c r="N143" t="str">
        <x:f>IF($A143="","",0)</x:f>
      </x:c>
      <x:c r="O143" t="str">
        <x:f>IF($A143="","",SUMIFS(CaseLedger!$O:$O,CaseLedger!$F:$F,$A143,CaseLedger!$B:$B,"TRUE"))</x:f>
      </x:c>
      <x:c r="P143" t="str">
        <x:f>IF($A143="","",IFERROR(VLOOKUP($A143,MonthlyFinance!$A:$G,4,FALSE),""))</x:f>
      </x:c>
      <x:c r="Q143" t="str">
        <x:f>IF($A143="","",IFERROR(VLOOKUP($A143,MonthlyFinance!$A:$G,5,FALSE),""))</x:f>
      </x:c>
      <x:c r="R143" t="str">
        <x:f>IF($A143="","",IFERROR(VLOOKUP($A143,MonthlyFinance!$A:$G,6,FALSE),""))</x:f>
      </x:c>
      <x:c r="S143" t="str">
        <x:f>IF($A143="","","Formula-linked from CaseLedger; finance fields from MonthlyFinance.")</x:f>
      </x:c>
      <x:c r="T143" t="str">
        <x:f>IF($A143="","","TRUE")</x:f>
      </x:c>
    </x:row>
    <x:row r="144">
      <x:c r="D144" t="str">
        <x:f>IF($A144="","",COUNTIFS(CaseLedger!$F:$F,$A144,CaseLedger!$B:$B,"TRUE"))</x:f>
      </x:c>
      <x:c r="E144" t="str">
        <x:f>IF($A144="","",COUNTIFS(CaseLedger!$F:$F,$A144,CaseLedger!$B:$B,"TRUE",CaseLedger!$P:$P,"Zakat"))</x:f>
      </x:c>
      <x:c r="F144" t="str">
        <x:f>IF($A144="","",COUNTIFS(CaseLedger!$F:$F,$A144,CaseLedger!$B:$B,"TRUE",CaseLedger!$P:$P,"Sadaqah"))</x:f>
      </x:c>
      <x:c r="G144" t="str">
        <x:f>IF($A144="","",COUNTIFS(CaseLedger!$F:$F,$A144,CaseLedger!$B:$B,"TRUE",CaseLedger!$P:$P,"Mixed"))</x:f>
      </x:c>
      <x:c r="H144" t="str">
        <x:f>IF($A144="","",COUNTIFS(CaseLedger!$F:$F,$A144,CaseLedger!$B:$B,"TRUE",CaseLedger!$K:$K,"Livelihood"))</x:f>
      </x:c>
      <x:c r="I144" t="str">
        <x:f>IF($A144="","",COUNTIFS(CaseLedger!$F:$F,$A144,CaseLedger!$B:$B,"TRUE",CaseLedger!$K:$K,"Skill Sponsorship"))</x:f>
      </x:c>
      <x:c r="J144" t="str">
        <x:f>IF($A144="","",COUNTIFS(CaseLedger!$F:$F,$A144,CaseLedger!$B:$B,"TRUE",CaseLedger!$K:$K,"Emergency Support"))</x:f>
      </x:c>
      <x:c r="K144" t="str">
        <x:f>IF($A144="","",COUNTIFS(CaseLedger!$F:$F,$A144,CaseLedger!$B:$B,"TRUE",CaseLedger!$K:$K,"Community Support"))</x:f>
      </x:c>
      <x:c r="L144" t="str">
        <x:f>IF($A144="","",SUMIFS(CaseLedger!$M:$M,CaseLedger!$F:$F,$A144,CaseLedger!$B:$B,"TRUE"))</x:f>
      </x:c>
      <x:c r="M144" t="str">
        <x:f>IF($A144="","",SUMIFS(CaseLedger!$N:$N,CaseLedger!$F:$F,$A144,CaseLedger!$B:$B,"TRUE"))</x:f>
      </x:c>
      <x:c r="N144" t="str">
        <x:f>IF($A144="","",0)</x:f>
      </x:c>
      <x:c r="O144" t="str">
        <x:f>IF($A144="","",SUMIFS(CaseLedger!$O:$O,CaseLedger!$F:$F,$A144,CaseLedger!$B:$B,"TRUE"))</x:f>
      </x:c>
      <x:c r="P144" t="str">
        <x:f>IF($A144="","",IFERROR(VLOOKUP($A144,MonthlyFinance!$A:$G,4,FALSE),""))</x:f>
      </x:c>
      <x:c r="Q144" t="str">
        <x:f>IF($A144="","",IFERROR(VLOOKUP($A144,MonthlyFinance!$A:$G,5,FALSE),""))</x:f>
      </x:c>
      <x:c r="R144" t="str">
        <x:f>IF($A144="","",IFERROR(VLOOKUP($A144,MonthlyFinance!$A:$G,6,FALSE),""))</x:f>
      </x:c>
      <x:c r="S144" t="str">
        <x:f>IF($A144="","","Formula-linked from CaseLedger; finance fields from MonthlyFinance.")</x:f>
      </x:c>
      <x:c r="T144" t="str">
        <x:f>IF($A144="","","TRUE")</x:f>
      </x:c>
    </x:row>
    <x:row r="145">
      <x:c r="D145" t="str">
        <x:f>IF($A145="","",COUNTIFS(CaseLedger!$F:$F,$A145,CaseLedger!$B:$B,"TRUE"))</x:f>
      </x:c>
      <x:c r="E145" t="str">
        <x:f>IF($A145="","",COUNTIFS(CaseLedger!$F:$F,$A145,CaseLedger!$B:$B,"TRUE",CaseLedger!$P:$P,"Zakat"))</x:f>
      </x:c>
      <x:c r="F145" t="str">
        <x:f>IF($A145="","",COUNTIFS(CaseLedger!$F:$F,$A145,CaseLedger!$B:$B,"TRUE",CaseLedger!$P:$P,"Sadaqah"))</x:f>
      </x:c>
      <x:c r="G145" t="str">
        <x:f>IF($A145="","",COUNTIFS(CaseLedger!$F:$F,$A145,CaseLedger!$B:$B,"TRUE",CaseLedger!$P:$P,"Mixed"))</x:f>
      </x:c>
      <x:c r="H145" t="str">
        <x:f>IF($A145="","",COUNTIFS(CaseLedger!$F:$F,$A145,CaseLedger!$B:$B,"TRUE",CaseLedger!$K:$K,"Livelihood"))</x:f>
      </x:c>
      <x:c r="I145" t="str">
        <x:f>IF($A145="","",COUNTIFS(CaseLedger!$F:$F,$A145,CaseLedger!$B:$B,"TRUE",CaseLedger!$K:$K,"Skill Sponsorship"))</x:f>
      </x:c>
      <x:c r="J145" t="str">
        <x:f>IF($A145="","",COUNTIFS(CaseLedger!$F:$F,$A145,CaseLedger!$B:$B,"TRUE",CaseLedger!$K:$K,"Emergency Support"))</x:f>
      </x:c>
      <x:c r="K145" t="str">
        <x:f>IF($A145="","",COUNTIFS(CaseLedger!$F:$F,$A145,CaseLedger!$B:$B,"TRUE",CaseLedger!$K:$K,"Community Support"))</x:f>
      </x:c>
      <x:c r="L145" t="str">
        <x:f>IF($A145="","",SUMIFS(CaseLedger!$M:$M,CaseLedger!$F:$F,$A145,CaseLedger!$B:$B,"TRUE"))</x:f>
      </x:c>
      <x:c r="M145" t="str">
        <x:f>IF($A145="","",SUMIFS(CaseLedger!$N:$N,CaseLedger!$F:$F,$A145,CaseLedger!$B:$B,"TRUE"))</x:f>
      </x:c>
      <x:c r="N145" t="str">
        <x:f>IF($A145="","",0)</x:f>
      </x:c>
      <x:c r="O145" t="str">
        <x:f>IF($A145="","",SUMIFS(CaseLedger!$O:$O,CaseLedger!$F:$F,$A145,CaseLedger!$B:$B,"TRUE"))</x:f>
      </x:c>
      <x:c r="P145" t="str">
        <x:f>IF($A145="","",IFERROR(VLOOKUP($A145,MonthlyFinance!$A:$G,4,FALSE),""))</x:f>
      </x:c>
      <x:c r="Q145" t="str">
        <x:f>IF($A145="","",IFERROR(VLOOKUP($A145,MonthlyFinance!$A:$G,5,FALSE),""))</x:f>
      </x:c>
      <x:c r="R145" t="str">
        <x:f>IF($A145="","",IFERROR(VLOOKUP($A145,MonthlyFinance!$A:$G,6,FALSE),""))</x:f>
      </x:c>
      <x:c r="S145" t="str">
        <x:f>IF($A145="","","Formula-linked from CaseLedger; finance fields from MonthlyFinance.")</x:f>
      </x:c>
      <x:c r="T145" t="str">
        <x:f>IF($A145="","","TRUE")</x:f>
      </x:c>
    </x:row>
    <x:row r="146">
      <x:c r="D146" t="str">
        <x:f>IF($A146="","",COUNTIFS(CaseLedger!$F:$F,$A146,CaseLedger!$B:$B,"TRUE"))</x:f>
      </x:c>
      <x:c r="E146" t="str">
        <x:f>IF($A146="","",COUNTIFS(CaseLedger!$F:$F,$A146,CaseLedger!$B:$B,"TRUE",CaseLedger!$P:$P,"Zakat"))</x:f>
      </x:c>
      <x:c r="F146" t="str">
        <x:f>IF($A146="","",COUNTIFS(CaseLedger!$F:$F,$A146,CaseLedger!$B:$B,"TRUE",CaseLedger!$P:$P,"Sadaqah"))</x:f>
      </x:c>
      <x:c r="G146" t="str">
        <x:f>IF($A146="","",COUNTIFS(CaseLedger!$F:$F,$A146,CaseLedger!$B:$B,"TRUE",CaseLedger!$P:$P,"Mixed"))</x:f>
      </x:c>
      <x:c r="H146" t="str">
        <x:f>IF($A146="","",COUNTIFS(CaseLedger!$F:$F,$A146,CaseLedger!$B:$B,"TRUE",CaseLedger!$K:$K,"Livelihood"))</x:f>
      </x:c>
      <x:c r="I146" t="str">
        <x:f>IF($A146="","",COUNTIFS(CaseLedger!$F:$F,$A146,CaseLedger!$B:$B,"TRUE",CaseLedger!$K:$K,"Skill Sponsorship"))</x:f>
      </x:c>
      <x:c r="J146" t="str">
        <x:f>IF($A146="","",COUNTIFS(CaseLedger!$F:$F,$A146,CaseLedger!$B:$B,"TRUE",CaseLedger!$K:$K,"Emergency Support"))</x:f>
      </x:c>
      <x:c r="K146" t="str">
        <x:f>IF($A146="","",COUNTIFS(CaseLedger!$F:$F,$A146,CaseLedger!$B:$B,"TRUE",CaseLedger!$K:$K,"Community Support"))</x:f>
      </x:c>
      <x:c r="L146" t="str">
        <x:f>IF($A146="","",SUMIFS(CaseLedger!$M:$M,CaseLedger!$F:$F,$A146,CaseLedger!$B:$B,"TRUE"))</x:f>
      </x:c>
      <x:c r="M146" t="str">
        <x:f>IF($A146="","",SUMIFS(CaseLedger!$N:$N,CaseLedger!$F:$F,$A146,CaseLedger!$B:$B,"TRUE"))</x:f>
      </x:c>
      <x:c r="N146" t="str">
        <x:f>IF($A146="","",0)</x:f>
      </x:c>
      <x:c r="O146" t="str">
        <x:f>IF($A146="","",SUMIFS(CaseLedger!$O:$O,CaseLedger!$F:$F,$A146,CaseLedger!$B:$B,"TRUE"))</x:f>
      </x:c>
      <x:c r="P146" t="str">
        <x:f>IF($A146="","",IFERROR(VLOOKUP($A146,MonthlyFinance!$A:$G,4,FALSE),""))</x:f>
      </x:c>
      <x:c r="Q146" t="str">
        <x:f>IF($A146="","",IFERROR(VLOOKUP($A146,MonthlyFinance!$A:$G,5,FALSE),""))</x:f>
      </x:c>
      <x:c r="R146" t="str">
        <x:f>IF($A146="","",IFERROR(VLOOKUP($A146,MonthlyFinance!$A:$G,6,FALSE),""))</x:f>
      </x:c>
      <x:c r="S146" t="str">
        <x:f>IF($A146="","","Formula-linked from CaseLedger; finance fields from MonthlyFinance.")</x:f>
      </x:c>
      <x:c r="T146" t="str">
        <x:f>IF($A146="","","TRUE")</x:f>
      </x:c>
    </x:row>
    <x:row r="147">
      <x:c r="D147" t="str">
        <x:f>IF($A147="","",COUNTIFS(CaseLedger!$F:$F,$A147,CaseLedger!$B:$B,"TRUE"))</x:f>
      </x:c>
      <x:c r="E147" t="str">
        <x:f>IF($A147="","",COUNTIFS(CaseLedger!$F:$F,$A147,CaseLedger!$B:$B,"TRUE",CaseLedger!$P:$P,"Zakat"))</x:f>
      </x:c>
      <x:c r="F147" t="str">
        <x:f>IF($A147="","",COUNTIFS(CaseLedger!$F:$F,$A147,CaseLedger!$B:$B,"TRUE",CaseLedger!$P:$P,"Sadaqah"))</x:f>
      </x:c>
      <x:c r="G147" t="str">
        <x:f>IF($A147="","",COUNTIFS(CaseLedger!$F:$F,$A147,CaseLedger!$B:$B,"TRUE",CaseLedger!$P:$P,"Mixed"))</x:f>
      </x:c>
      <x:c r="H147" t="str">
        <x:f>IF($A147="","",COUNTIFS(CaseLedger!$F:$F,$A147,CaseLedger!$B:$B,"TRUE",CaseLedger!$K:$K,"Livelihood"))</x:f>
      </x:c>
      <x:c r="I147" t="str">
        <x:f>IF($A147="","",COUNTIFS(CaseLedger!$F:$F,$A147,CaseLedger!$B:$B,"TRUE",CaseLedger!$K:$K,"Skill Sponsorship"))</x:f>
      </x:c>
      <x:c r="J147" t="str">
        <x:f>IF($A147="","",COUNTIFS(CaseLedger!$F:$F,$A147,CaseLedger!$B:$B,"TRUE",CaseLedger!$K:$K,"Emergency Support"))</x:f>
      </x:c>
      <x:c r="K147" t="str">
        <x:f>IF($A147="","",COUNTIFS(CaseLedger!$F:$F,$A147,CaseLedger!$B:$B,"TRUE",CaseLedger!$K:$K,"Community Support"))</x:f>
      </x:c>
      <x:c r="L147" t="str">
        <x:f>IF($A147="","",SUMIFS(CaseLedger!$M:$M,CaseLedger!$F:$F,$A147,CaseLedger!$B:$B,"TRUE"))</x:f>
      </x:c>
      <x:c r="M147" t="str">
        <x:f>IF($A147="","",SUMIFS(CaseLedger!$N:$N,CaseLedger!$F:$F,$A147,CaseLedger!$B:$B,"TRUE"))</x:f>
      </x:c>
      <x:c r="N147" t="str">
        <x:f>IF($A147="","",0)</x:f>
      </x:c>
      <x:c r="O147" t="str">
        <x:f>IF($A147="","",SUMIFS(CaseLedger!$O:$O,CaseLedger!$F:$F,$A147,CaseLedger!$B:$B,"TRUE"))</x:f>
      </x:c>
      <x:c r="P147" t="str">
        <x:f>IF($A147="","",IFERROR(VLOOKUP($A147,MonthlyFinance!$A:$G,4,FALSE),""))</x:f>
      </x:c>
      <x:c r="Q147" t="str">
        <x:f>IF($A147="","",IFERROR(VLOOKUP($A147,MonthlyFinance!$A:$G,5,FALSE),""))</x:f>
      </x:c>
      <x:c r="R147" t="str">
        <x:f>IF($A147="","",IFERROR(VLOOKUP($A147,MonthlyFinance!$A:$G,6,FALSE),""))</x:f>
      </x:c>
      <x:c r="S147" t="str">
        <x:f>IF($A147="","","Formula-linked from CaseLedger; finance fields from MonthlyFinance.")</x:f>
      </x:c>
      <x:c r="T147" t="str">
        <x:f>IF($A147="","","TRUE")</x:f>
      </x:c>
    </x:row>
    <x:row r="148">
      <x:c r="D148" t="str">
        <x:f>IF($A148="","",COUNTIFS(CaseLedger!$F:$F,$A148,CaseLedger!$B:$B,"TRUE"))</x:f>
      </x:c>
      <x:c r="E148" t="str">
        <x:f>IF($A148="","",COUNTIFS(CaseLedger!$F:$F,$A148,CaseLedger!$B:$B,"TRUE",CaseLedger!$P:$P,"Zakat"))</x:f>
      </x:c>
      <x:c r="F148" t="str">
        <x:f>IF($A148="","",COUNTIFS(CaseLedger!$F:$F,$A148,CaseLedger!$B:$B,"TRUE",CaseLedger!$P:$P,"Sadaqah"))</x:f>
      </x:c>
      <x:c r="G148" t="str">
        <x:f>IF($A148="","",COUNTIFS(CaseLedger!$F:$F,$A148,CaseLedger!$B:$B,"TRUE",CaseLedger!$P:$P,"Mixed"))</x:f>
      </x:c>
      <x:c r="H148" t="str">
        <x:f>IF($A148="","",COUNTIFS(CaseLedger!$F:$F,$A148,CaseLedger!$B:$B,"TRUE",CaseLedger!$K:$K,"Livelihood"))</x:f>
      </x:c>
      <x:c r="I148" t="str">
        <x:f>IF($A148="","",COUNTIFS(CaseLedger!$F:$F,$A148,CaseLedger!$B:$B,"TRUE",CaseLedger!$K:$K,"Skill Sponsorship"))</x:f>
      </x:c>
      <x:c r="J148" t="str">
        <x:f>IF($A148="","",COUNTIFS(CaseLedger!$F:$F,$A148,CaseLedger!$B:$B,"TRUE",CaseLedger!$K:$K,"Emergency Support"))</x:f>
      </x:c>
      <x:c r="K148" t="str">
        <x:f>IF($A148="","",COUNTIFS(CaseLedger!$F:$F,$A148,CaseLedger!$B:$B,"TRUE",CaseLedger!$K:$K,"Community Support"))</x:f>
      </x:c>
      <x:c r="L148" t="str">
        <x:f>IF($A148="","",SUMIFS(CaseLedger!$M:$M,CaseLedger!$F:$F,$A148,CaseLedger!$B:$B,"TRUE"))</x:f>
      </x:c>
      <x:c r="M148" t="str">
        <x:f>IF($A148="","",SUMIFS(CaseLedger!$N:$N,CaseLedger!$F:$F,$A148,CaseLedger!$B:$B,"TRUE"))</x:f>
      </x:c>
      <x:c r="N148" t="str">
        <x:f>IF($A148="","",0)</x:f>
      </x:c>
      <x:c r="O148" t="str">
        <x:f>IF($A148="","",SUMIFS(CaseLedger!$O:$O,CaseLedger!$F:$F,$A148,CaseLedger!$B:$B,"TRUE"))</x:f>
      </x:c>
      <x:c r="P148" t="str">
        <x:f>IF($A148="","",IFERROR(VLOOKUP($A148,MonthlyFinance!$A:$G,4,FALSE),""))</x:f>
      </x:c>
      <x:c r="Q148" t="str">
        <x:f>IF($A148="","",IFERROR(VLOOKUP($A148,MonthlyFinance!$A:$G,5,FALSE),""))</x:f>
      </x:c>
      <x:c r="R148" t="str">
        <x:f>IF($A148="","",IFERROR(VLOOKUP($A148,MonthlyFinance!$A:$G,6,FALSE),""))</x:f>
      </x:c>
      <x:c r="S148" t="str">
        <x:f>IF($A148="","","Formula-linked from CaseLedger; finance fields from MonthlyFinance.")</x:f>
      </x:c>
      <x:c r="T148" t="str">
        <x:f>IF($A148="","","TRUE")</x:f>
      </x:c>
    </x:row>
    <x:row r="149">
      <x:c r="D149" t="str">
        <x:f>IF($A149="","",COUNTIFS(CaseLedger!$F:$F,$A149,CaseLedger!$B:$B,"TRUE"))</x:f>
      </x:c>
      <x:c r="E149" t="str">
        <x:f>IF($A149="","",COUNTIFS(CaseLedger!$F:$F,$A149,CaseLedger!$B:$B,"TRUE",CaseLedger!$P:$P,"Zakat"))</x:f>
      </x:c>
      <x:c r="F149" t="str">
        <x:f>IF($A149="","",COUNTIFS(CaseLedger!$F:$F,$A149,CaseLedger!$B:$B,"TRUE",CaseLedger!$P:$P,"Sadaqah"))</x:f>
      </x:c>
      <x:c r="G149" t="str">
        <x:f>IF($A149="","",COUNTIFS(CaseLedger!$F:$F,$A149,CaseLedger!$B:$B,"TRUE",CaseLedger!$P:$P,"Mixed"))</x:f>
      </x:c>
      <x:c r="H149" t="str">
        <x:f>IF($A149="","",COUNTIFS(CaseLedger!$F:$F,$A149,CaseLedger!$B:$B,"TRUE",CaseLedger!$K:$K,"Livelihood"))</x:f>
      </x:c>
      <x:c r="I149" t="str">
        <x:f>IF($A149="","",COUNTIFS(CaseLedger!$F:$F,$A149,CaseLedger!$B:$B,"TRUE",CaseLedger!$K:$K,"Skill Sponsorship"))</x:f>
      </x:c>
      <x:c r="J149" t="str">
        <x:f>IF($A149="","",COUNTIFS(CaseLedger!$F:$F,$A149,CaseLedger!$B:$B,"TRUE",CaseLedger!$K:$K,"Emergency Support"))</x:f>
      </x:c>
      <x:c r="K149" t="str">
        <x:f>IF($A149="","",COUNTIFS(CaseLedger!$F:$F,$A149,CaseLedger!$B:$B,"TRUE",CaseLedger!$K:$K,"Community Support"))</x:f>
      </x:c>
      <x:c r="L149" t="str">
        <x:f>IF($A149="","",SUMIFS(CaseLedger!$M:$M,CaseLedger!$F:$F,$A149,CaseLedger!$B:$B,"TRUE"))</x:f>
      </x:c>
      <x:c r="M149" t="str">
        <x:f>IF($A149="","",SUMIFS(CaseLedger!$N:$N,CaseLedger!$F:$F,$A149,CaseLedger!$B:$B,"TRUE"))</x:f>
      </x:c>
      <x:c r="N149" t="str">
        <x:f>IF($A149="","",0)</x:f>
      </x:c>
      <x:c r="O149" t="str">
        <x:f>IF($A149="","",SUMIFS(CaseLedger!$O:$O,CaseLedger!$F:$F,$A149,CaseLedger!$B:$B,"TRUE"))</x:f>
      </x:c>
      <x:c r="P149" t="str">
        <x:f>IF($A149="","",IFERROR(VLOOKUP($A149,MonthlyFinance!$A:$G,4,FALSE),""))</x:f>
      </x:c>
      <x:c r="Q149" t="str">
        <x:f>IF($A149="","",IFERROR(VLOOKUP($A149,MonthlyFinance!$A:$G,5,FALSE),""))</x:f>
      </x:c>
      <x:c r="R149" t="str">
        <x:f>IF($A149="","",IFERROR(VLOOKUP($A149,MonthlyFinance!$A:$G,6,FALSE),""))</x:f>
      </x:c>
      <x:c r="S149" t="str">
        <x:f>IF($A149="","","Formula-linked from CaseLedger; finance fields from MonthlyFinance.")</x:f>
      </x:c>
      <x:c r="T149" t="str">
        <x:f>IF($A149="","","TRUE")</x:f>
      </x:c>
    </x:row>
    <x:row r="150">
      <x:c r="D150" t="str">
        <x:f>IF($A150="","",COUNTIFS(CaseLedger!$F:$F,$A150,CaseLedger!$B:$B,"TRUE"))</x:f>
      </x:c>
      <x:c r="E150" t="str">
        <x:f>IF($A150="","",COUNTIFS(CaseLedger!$F:$F,$A150,CaseLedger!$B:$B,"TRUE",CaseLedger!$P:$P,"Zakat"))</x:f>
      </x:c>
      <x:c r="F150" t="str">
        <x:f>IF($A150="","",COUNTIFS(CaseLedger!$F:$F,$A150,CaseLedger!$B:$B,"TRUE",CaseLedger!$P:$P,"Sadaqah"))</x:f>
      </x:c>
      <x:c r="G150" t="str">
        <x:f>IF($A150="","",COUNTIFS(CaseLedger!$F:$F,$A150,CaseLedger!$B:$B,"TRUE",CaseLedger!$P:$P,"Mixed"))</x:f>
      </x:c>
      <x:c r="H150" t="str">
        <x:f>IF($A150="","",COUNTIFS(CaseLedger!$F:$F,$A150,CaseLedger!$B:$B,"TRUE",CaseLedger!$K:$K,"Livelihood"))</x:f>
      </x:c>
      <x:c r="I150" t="str">
        <x:f>IF($A150="","",COUNTIFS(CaseLedger!$F:$F,$A150,CaseLedger!$B:$B,"TRUE",CaseLedger!$K:$K,"Skill Sponsorship"))</x:f>
      </x:c>
      <x:c r="J150" t="str">
        <x:f>IF($A150="","",COUNTIFS(CaseLedger!$F:$F,$A150,CaseLedger!$B:$B,"TRUE",CaseLedger!$K:$K,"Emergency Support"))</x:f>
      </x:c>
      <x:c r="K150" t="str">
        <x:f>IF($A150="","",COUNTIFS(CaseLedger!$F:$F,$A150,CaseLedger!$B:$B,"TRUE",CaseLedger!$K:$K,"Community Support"))</x:f>
      </x:c>
      <x:c r="L150" t="str">
        <x:f>IF($A150="","",SUMIFS(CaseLedger!$M:$M,CaseLedger!$F:$F,$A150,CaseLedger!$B:$B,"TRUE"))</x:f>
      </x:c>
      <x:c r="M150" t="str">
        <x:f>IF($A150="","",SUMIFS(CaseLedger!$N:$N,CaseLedger!$F:$F,$A150,CaseLedger!$B:$B,"TRUE"))</x:f>
      </x:c>
      <x:c r="N150" t="str">
        <x:f>IF($A150="","",0)</x:f>
      </x:c>
      <x:c r="O150" t="str">
        <x:f>IF($A150="","",SUMIFS(CaseLedger!$O:$O,CaseLedger!$F:$F,$A150,CaseLedger!$B:$B,"TRUE"))</x:f>
      </x:c>
      <x:c r="P150" t="str">
        <x:f>IF($A150="","",IFERROR(VLOOKUP($A150,MonthlyFinance!$A:$G,4,FALSE),""))</x:f>
      </x:c>
      <x:c r="Q150" t="str">
        <x:f>IF($A150="","",IFERROR(VLOOKUP($A150,MonthlyFinance!$A:$G,5,FALSE),""))</x:f>
      </x:c>
      <x:c r="R150" t="str">
        <x:f>IF($A150="","",IFERROR(VLOOKUP($A150,MonthlyFinance!$A:$G,6,FALSE),""))</x:f>
      </x:c>
      <x:c r="S150" t="str">
        <x:f>IF($A150="","","Formula-linked from CaseLedger; finance fields from MonthlyFinance.")</x:f>
      </x:c>
      <x:c r="T150" t="str">
        <x:f>IF($A150="","","TRUE")</x:f>
      </x:c>
    </x:row>
    <x:row r="151">
      <x:c r="D151" t="str">
        <x:f>IF($A151="","",COUNTIFS(CaseLedger!$F:$F,$A151,CaseLedger!$B:$B,"TRUE"))</x:f>
      </x:c>
      <x:c r="E151" t="str">
        <x:f>IF($A151="","",COUNTIFS(CaseLedger!$F:$F,$A151,CaseLedger!$B:$B,"TRUE",CaseLedger!$P:$P,"Zakat"))</x:f>
      </x:c>
      <x:c r="F151" t="str">
        <x:f>IF($A151="","",COUNTIFS(CaseLedger!$F:$F,$A151,CaseLedger!$B:$B,"TRUE",CaseLedger!$P:$P,"Sadaqah"))</x:f>
      </x:c>
      <x:c r="G151" t="str">
        <x:f>IF($A151="","",COUNTIFS(CaseLedger!$F:$F,$A151,CaseLedger!$B:$B,"TRUE",CaseLedger!$P:$P,"Mixed"))</x:f>
      </x:c>
      <x:c r="H151" t="str">
        <x:f>IF($A151="","",COUNTIFS(CaseLedger!$F:$F,$A151,CaseLedger!$B:$B,"TRUE",CaseLedger!$K:$K,"Livelihood"))</x:f>
      </x:c>
      <x:c r="I151" t="str">
        <x:f>IF($A151="","",COUNTIFS(CaseLedger!$F:$F,$A151,CaseLedger!$B:$B,"TRUE",CaseLedger!$K:$K,"Skill Sponsorship"))</x:f>
      </x:c>
      <x:c r="J151" t="str">
        <x:f>IF($A151="","",COUNTIFS(CaseLedger!$F:$F,$A151,CaseLedger!$B:$B,"TRUE",CaseLedger!$K:$K,"Emergency Support"))</x:f>
      </x:c>
      <x:c r="K151" t="str">
        <x:f>IF($A151="","",COUNTIFS(CaseLedger!$F:$F,$A151,CaseLedger!$B:$B,"TRUE",CaseLedger!$K:$K,"Community Support"))</x:f>
      </x:c>
      <x:c r="L151" t="str">
        <x:f>IF($A151="","",SUMIFS(CaseLedger!$M:$M,CaseLedger!$F:$F,$A151,CaseLedger!$B:$B,"TRUE"))</x:f>
      </x:c>
      <x:c r="M151" t="str">
        <x:f>IF($A151="","",SUMIFS(CaseLedger!$N:$N,CaseLedger!$F:$F,$A151,CaseLedger!$B:$B,"TRUE"))</x:f>
      </x:c>
      <x:c r="N151" t="str">
        <x:f>IF($A151="","",0)</x:f>
      </x:c>
      <x:c r="O151" t="str">
        <x:f>IF($A151="","",SUMIFS(CaseLedger!$O:$O,CaseLedger!$F:$F,$A151,CaseLedger!$B:$B,"TRUE"))</x:f>
      </x:c>
      <x:c r="P151" t="str">
        <x:f>IF($A151="","",IFERROR(VLOOKUP($A151,MonthlyFinance!$A:$G,4,FALSE),""))</x:f>
      </x:c>
      <x:c r="Q151" t="str">
        <x:f>IF($A151="","",IFERROR(VLOOKUP($A151,MonthlyFinance!$A:$G,5,FALSE),""))</x:f>
      </x:c>
      <x:c r="R151" t="str">
        <x:f>IF($A151="","",IFERROR(VLOOKUP($A151,MonthlyFinance!$A:$G,6,FALSE),""))</x:f>
      </x:c>
      <x:c r="S151" t="str">
        <x:f>IF($A151="","","Formula-linked from CaseLedger; finance fields from MonthlyFinance.")</x:f>
      </x:c>
      <x:c r="T151" t="str">
        <x:f>IF($A151="","","TRUE")</x:f>
      </x:c>
    </x:row>
    <x:row r="152">
      <x:c r="D152" t="str">
        <x:f>IF($A152="","",COUNTIFS(CaseLedger!$F:$F,$A152,CaseLedger!$B:$B,"TRUE"))</x:f>
      </x:c>
      <x:c r="E152" t="str">
        <x:f>IF($A152="","",COUNTIFS(CaseLedger!$F:$F,$A152,CaseLedger!$B:$B,"TRUE",CaseLedger!$P:$P,"Zakat"))</x:f>
      </x:c>
      <x:c r="F152" t="str">
        <x:f>IF($A152="","",COUNTIFS(CaseLedger!$F:$F,$A152,CaseLedger!$B:$B,"TRUE",CaseLedger!$P:$P,"Sadaqah"))</x:f>
      </x:c>
      <x:c r="G152" t="str">
        <x:f>IF($A152="","",COUNTIFS(CaseLedger!$F:$F,$A152,CaseLedger!$B:$B,"TRUE",CaseLedger!$P:$P,"Mixed"))</x:f>
      </x:c>
      <x:c r="H152" t="str">
        <x:f>IF($A152="","",COUNTIFS(CaseLedger!$F:$F,$A152,CaseLedger!$B:$B,"TRUE",CaseLedger!$K:$K,"Livelihood"))</x:f>
      </x:c>
      <x:c r="I152" t="str">
        <x:f>IF($A152="","",COUNTIFS(CaseLedger!$F:$F,$A152,CaseLedger!$B:$B,"TRUE",CaseLedger!$K:$K,"Skill Sponsorship"))</x:f>
      </x:c>
      <x:c r="J152" t="str">
        <x:f>IF($A152="","",COUNTIFS(CaseLedger!$F:$F,$A152,CaseLedger!$B:$B,"TRUE",CaseLedger!$K:$K,"Emergency Support"))</x:f>
      </x:c>
      <x:c r="K152" t="str">
        <x:f>IF($A152="","",COUNTIFS(CaseLedger!$F:$F,$A152,CaseLedger!$B:$B,"TRUE",CaseLedger!$K:$K,"Community Support"))</x:f>
      </x:c>
      <x:c r="L152" t="str">
        <x:f>IF($A152="","",SUMIFS(CaseLedger!$M:$M,CaseLedger!$F:$F,$A152,CaseLedger!$B:$B,"TRUE"))</x:f>
      </x:c>
      <x:c r="M152" t="str">
        <x:f>IF($A152="","",SUMIFS(CaseLedger!$N:$N,CaseLedger!$F:$F,$A152,CaseLedger!$B:$B,"TRUE"))</x:f>
      </x:c>
      <x:c r="N152" t="str">
        <x:f>IF($A152="","",0)</x:f>
      </x:c>
      <x:c r="O152" t="str">
        <x:f>IF($A152="","",SUMIFS(CaseLedger!$O:$O,CaseLedger!$F:$F,$A152,CaseLedger!$B:$B,"TRUE"))</x:f>
      </x:c>
      <x:c r="P152" t="str">
        <x:f>IF($A152="","",IFERROR(VLOOKUP($A152,MonthlyFinance!$A:$G,4,FALSE),""))</x:f>
      </x:c>
      <x:c r="Q152" t="str">
        <x:f>IF($A152="","",IFERROR(VLOOKUP($A152,MonthlyFinance!$A:$G,5,FALSE),""))</x:f>
      </x:c>
      <x:c r="R152" t="str">
        <x:f>IF($A152="","",IFERROR(VLOOKUP($A152,MonthlyFinance!$A:$G,6,FALSE),""))</x:f>
      </x:c>
      <x:c r="S152" t="str">
        <x:f>IF($A152="","","Formula-linked from CaseLedger; finance fields from MonthlyFinance.")</x:f>
      </x:c>
      <x:c r="T152" t="str">
        <x:f>IF($A152="","","TRUE")</x:f>
      </x:c>
    </x:row>
    <x:row r="153">
      <x:c r="D153" t="str">
        <x:f>IF($A153="","",COUNTIFS(CaseLedger!$F:$F,$A153,CaseLedger!$B:$B,"TRUE"))</x:f>
      </x:c>
      <x:c r="E153" t="str">
        <x:f>IF($A153="","",COUNTIFS(CaseLedger!$F:$F,$A153,CaseLedger!$B:$B,"TRUE",CaseLedger!$P:$P,"Zakat"))</x:f>
      </x:c>
      <x:c r="F153" t="str">
        <x:f>IF($A153="","",COUNTIFS(CaseLedger!$F:$F,$A153,CaseLedger!$B:$B,"TRUE",CaseLedger!$P:$P,"Sadaqah"))</x:f>
      </x:c>
      <x:c r="G153" t="str">
        <x:f>IF($A153="","",COUNTIFS(CaseLedger!$F:$F,$A153,CaseLedger!$B:$B,"TRUE",CaseLedger!$P:$P,"Mixed"))</x:f>
      </x:c>
      <x:c r="H153" t="str">
        <x:f>IF($A153="","",COUNTIFS(CaseLedger!$F:$F,$A153,CaseLedger!$B:$B,"TRUE",CaseLedger!$K:$K,"Livelihood"))</x:f>
      </x:c>
      <x:c r="I153" t="str">
        <x:f>IF($A153="","",COUNTIFS(CaseLedger!$F:$F,$A153,CaseLedger!$B:$B,"TRUE",CaseLedger!$K:$K,"Skill Sponsorship"))</x:f>
      </x:c>
      <x:c r="J153" t="str">
        <x:f>IF($A153="","",COUNTIFS(CaseLedger!$F:$F,$A153,CaseLedger!$B:$B,"TRUE",CaseLedger!$K:$K,"Emergency Support"))</x:f>
      </x:c>
      <x:c r="K153" t="str">
        <x:f>IF($A153="","",COUNTIFS(CaseLedger!$F:$F,$A153,CaseLedger!$B:$B,"TRUE",CaseLedger!$K:$K,"Community Support"))</x:f>
      </x:c>
      <x:c r="L153" t="str">
        <x:f>IF($A153="","",SUMIFS(CaseLedger!$M:$M,CaseLedger!$F:$F,$A153,CaseLedger!$B:$B,"TRUE"))</x:f>
      </x:c>
      <x:c r="M153" t="str">
        <x:f>IF($A153="","",SUMIFS(CaseLedger!$N:$N,CaseLedger!$F:$F,$A153,CaseLedger!$B:$B,"TRUE"))</x:f>
      </x:c>
      <x:c r="N153" t="str">
        <x:f>IF($A153="","",0)</x:f>
      </x:c>
      <x:c r="O153" t="str">
        <x:f>IF($A153="","",SUMIFS(CaseLedger!$O:$O,CaseLedger!$F:$F,$A153,CaseLedger!$B:$B,"TRUE"))</x:f>
      </x:c>
      <x:c r="P153" t="str">
        <x:f>IF($A153="","",IFERROR(VLOOKUP($A153,MonthlyFinance!$A:$G,4,FALSE),""))</x:f>
      </x:c>
      <x:c r="Q153" t="str">
        <x:f>IF($A153="","",IFERROR(VLOOKUP($A153,MonthlyFinance!$A:$G,5,FALSE),""))</x:f>
      </x:c>
      <x:c r="R153" t="str">
        <x:f>IF($A153="","",IFERROR(VLOOKUP($A153,MonthlyFinance!$A:$G,6,FALSE),""))</x:f>
      </x:c>
      <x:c r="S153" t="str">
        <x:f>IF($A153="","","Formula-linked from CaseLedger; finance fields from MonthlyFinance.")</x:f>
      </x:c>
      <x:c r="T153" t="str">
        <x:f>IF($A153="","","TRUE")</x:f>
      </x:c>
    </x:row>
    <x:row r="154">
      <x:c r="D154" t="str">
        <x:f>IF($A154="","",COUNTIFS(CaseLedger!$F:$F,$A154,CaseLedger!$B:$B,"TRUE"))</x:f>
      </x:c>
      <x:c r="E154" t="str">
        <x:f>IF($A154="","",COUNTIFS(CaseLedger!$F:$F,$A154,CaseLedger!$B:$B,"TRUE",CaseLedger!$P:$P,"Zakat"))</x:f>
      </x:c>
      <x:c r="F154" t="str">
        <x:f>IF($A154="","",COUNTIFS(CaseLedger!$F:$F,$A154,CaseLedger!$B:$B,"TRUE",CaseLedger!$P:$P,"Sadaqah"))</x:f>
      </x:c>
      <x:c r="G154" t="str">
        <x:f>IF($A154="","",COUNTIFS(CaseLedger!$F:$F,$A154,CaseLedger!$B:$B,"TRUE",CaseLedger!$P:$P,"Mixed"))</x:f>
      </x:c>
      <x:c r="H154" t="str">
        <x:f>IF($A154="","",COUNTIFS(CaseLedger!$F:$F,$A154,CaseLedger!$B:$B,"TRUE",CaseLedger!$K:$K,"Livelihood"))</x:f>
      </x:c>
      <x:c r="I154" t="str">
        <x:f>IF($A154="","",COUNTIFS(CaseLedger!$F:$F,$A154,CaseLedger!$B:$B,"TRUE",CaseLedger!$K:$K,"Skill Sponsorship"))</x:f>
      </x:c>
      <x:c r="J154" t="str">
        <x:f>IF($A154="","",COUNTIFS(CaseLedger!$F:$F,$A154,CaseLedger!$B:$B,"TRUE",CaseLedger!$K:$K,"Emergency Support"))</x:f>
      </x:c>
      <x:c r="K154" t="str">
        <x:f>IF($A154="","",COUNTIFS(CaseLedger!$F:$F,$A154,CaseLedger!$B:$B,"TRUE",CaseLedger!$K:$K,"Community Support"))</x:f>
      </x:c>
      <x:c r="L154" t="str">
        <x:f>IF($A154="","",SUMIFS(CaseLedger!$M:$M,CaseLedger!$F:$F,$A154,CaseLedger!$B:$B,"TRUE"))</x:f>
      </x:c>
      <x:c r="M154" t="str">
        <x:f>IF($A154="","",SUMIFS(CaseLedger!$N:$N,CaseLedger!$F:$F,$A154,CaseLedger!$B:$B,"TRUE"))</x:f>
      </x:c>
      <x:c r="N154" t="str">
        <x:f>IF($A154="","",0)</x:f>
      </x:c>
      <x:c r="O154" t="str">
        <x:f>IF($A154="","",SUMIFS(CaseLedger!$O:$O,CaseLedger!$F:$F,$A154,CaseLedger!$B:$B,"TRUE"))</x:f>
      </x:c>
      <x:c r="P154" t="str">
        <x:f>IF($A154="","",IFERROR(VLOOKUP($A154,MonthlyFinance!$A:$G,4,FALSE),""))</x:f>
      </x:c>
      <x:c r="Q154" t="str">
        <x:f>IF($A154="","",IFERROR(VLOOKUP($A154,MonthlyFinance!$A:$G,5,FALSE),""))</x:f>
      </x:c>
      <x:c r="R154" t="str">
        <x:f>IF($A154="","",IFERROR(VLOOKUP($A154,MonthlyFinance!$A:$G,6,FALSE),""))</x:f>
      </x:c>
      <x:c r="S154" t="str">
        <x:f>IF($A154="","","Formula-linked from CaseLedger; finance fields from MonthlyFinance.")</x:f>
      </x:c>
      <x:c r="T154" t="str">
        <x:f>IF($A154="","","TRUE")</x:f>
      </x:c>
    </x:row>
    <x:row r="155">
      <x:c r="D155" t="str">
        <x:f>IF($A155="","",COUNTIFS(CaseLedger!$F:$F,$A155,CaseLedger!$B:$B,"TRUE"))</x:f>
      </x:c>
      <x:c r="E155" t="str">
        <x:f>IF($A155="","",COUNTIFS(CaseLedger!$F:$F,$A155,CaseLedger!$B:$B,"TRUE",CaseLedger!$P:$P,"Zakat"))</x:f>
      </x:c>
      <x:c r="F155" t="str">
        <x:f>IF($A155="","",COUNTIFS(CaseLedger!$F:$F,$A155,CaseLedger!$B:$B,"TRUE",CaseLedger!$P:$P,"Sadaqah"))</x:f>
      </x:c>
      <x:c r="G155" t="str">
        <x:f>IF($A155="","",COUNTIFS(CaseLedger!$F:$F,$A155,CaseLedger!$B:$B,"TRUE",CaseLedger!$P:$P,"Mixed"))</x:f>
      </x:c>
      <x:c r="H155" t="str">
        <x:f>IF($A155="","",COUNTIFS(CaseLedger!$F:$F,$A155,CaseLedger!$B:$B,"TRUE",CaseLedger!$K:$K,"Livelihood"))</x:f>
      </x:c>
      <x:c r="I155" t="str">
        <x:f>IF($A155="","",COUNTIFS(CaseLedger!$F:$F,$A155,CaseLedger!$B:$B,"TRUE",CaseLedger!$K:$K,"Skill Sponsorship"))</x:f>
      </x:c>
      <x:c r="J155" t="str">
        <x:f>IF($A155="","",COUNTIFS(CaseLedger!$F:$F,$A155,CaseLedger!$B:$B,"TRUE",CaseLedger!$K:$K,"Emergency Support"))</x:f>
      </x:c>
      <x:c r="K155" t="str">
        <x:f>IF($A155="","",COUNTIFS(CaseLedger!$F:$F,$A155,CaseLedger!$B:$B,"TRUE",CaseLedger!$K:$K,"Community Support"))</x:f>
      </x:c>
      <x:c r="L155" t="str">
        <x:f>IF($A155="","",SUMIFS(CaseLedger!$M:$M,CaseLedger!$F:$F,$A155,CaseLedger!$B:$B,"TRUE"))</x:f>
      </x:c>
      <x:c r="M155" t="str">
        <x:f>IF($A155="","",SUMIFS(CaseLedger!$N:$N,CaseLedger!$F:$F,$A155,CaseLedger!$B:$B,"TRUE"))</x:f>
      </x:c>
      <x:c r="N155" t="str">
        <x:f>IF($A155="","",0)</x:f>
      </x:c>
      <x:c r="O155" t="str">
        <x:f>IF($A155="","",SUMIFS(CaseLedger!$O:$O,CaseLedger!$F:$F,$A155,CaseLedger!$B:$B,"TRUE"))</x:f>
      </x:c>
      <x:c r="P155" t="str">
        <x:f>IF($A155="","",IFERROR(VLOOKUP($A155,MonthlyFinance!$A:$G,4,FALSE),""))</x:f>
      </x:c>
      <x:c r="Q155" t="str">
        <x:f>IF($A155="","",IFERROR(VLOOKUP($A155,MonthlyFinance!$A:$G,5,FALSE),""))</x:f>
      </x:c>
      <x:c r="R155" t="str">
        <x:f>IF($A155="","",IFERROR(VLOOKUP($A155,MonthlyFinance!$A:$G,6,FALSE),""))</x:f>
      </x:c>
      <x:c r="S155" t="str">
        <x:f>IF($A155="","","Formula-linked from CaseLedger; finance fields from MonthlyFinance.")</x:f>
      </x:c>
      <x:c r="T155" t="str">
        <x:f>IF($A155="","","TRUE")</x:f>
      </x:c>
    </x:row>
    <x:row r="156">
      <x:c r="D156" t="str">
        <x:f>IF($A156="","",COUNTIFS(CaseLedger!$F:$F,$A156,CaseLedger!$B:$B,"TRUE"))</x:f>
      </x:c>
      <x:c r="E156" t="str">
        <x:f>IF($A156="","",COUNTIFS(CaseLedger!$F:$F,$A156,CaseLedger!$B:$B,"TRUE",CaseLedger!$P:$P,"Zakat"))</x:f>
      </x:c>
      <x:c r="F156" t="str">
        <x:f>IF($A156="","",COUNTIFS(CaseLedger!$F:$F,$A156,CaseLedger!$B:$B,"TRUE",CaseLedger!$P:$P,"Sadaqah"))</x:f>
      </x:c>
      <x:c r="G156" t="str">
        <x:f>IF($A156="","",COUNTIFS(CaseLedger!$F:$F,$A156,CaseLedger!$B:$B,"TRUE",CaseLedger!$P:$P,"Mixed"))</x:f>
      </x:c>
      <x:c r="H156" t="str">
        <x:f>IF($A156="","",COUNTIFS(CaseLedger!$F:$F,$A156,CaseLedger!$B:$B,"TRUE",CaseLedger!$K:$K,"Livelihood"))</x:f>
      </x:c>
      <x:c r="I156" t="str">
        <x:f>IF($A156="","",COUNTIFS(CaseLedger!$F:$F,$A156,CaseLedger!$B:$B,"TRUE",CaseLedger!$K:$K,"Skill Sponsorship"))</x:f>
      </x:c>
      <x:c r="J156" t="str">
        <x:f>IF($A156="","",COUNTIFS(CaseLedger!$F:$F,$A156,CaseLedger!$B:$B,"TRUE",CaseLedger!$K:$K,"Emergency Support"))</x:f>
      </x:c>
      <x:c r="K156" t="str">
        <x:f>IF($A156="","",COUNTIFS(CaseLedger!$F:$F,$A156,CaseLedger!$B:$B,"TRUE",CaseLedger!$K:$K,"Community Support"))</x:f>
      </x:c>
      <x:c r="L156" t="str">
        <x:f>IF($A156="","",SUMIFS(CaseLedger!$M:$M,CaseLedger!$F:$F,$A156,CaseLedger!$B:$B,"TRUE"))</x:f>
      </x:c>
      <x:c r="M156" t="str">
        <x:f>IF($A156="","",SUMIFS(CaseLedger!$N:$N,CaseLedger!$F:$F,$A156,CaseLedger!$B:$B,"TRUE"))</x:f>
      </x:c>
      <x:c r="N156" t="str">
        <x:f>IF($A156="","",0)</x:f>
      </x:c>
      <x:c r="O156" t="str">
        <x:f>IF($A156="","",SUMIFS(CaseLedger!$O:$O,CaseLedger!$F:$F,$A156,CaseLedger!$B:$B,"TRUE"))</x:f>
      </x:c>
      <x:c r="P156" t="str">
        <x:f>IF($A156="","",IFERROR(VLOOKUP($A156,MonthlyFinance!$A:$G,4,FALSE),""))</x:f>
      </x:c>
      <x:c r="Q156" t="str">
        <x:f>IF($A156="","",IFERROR(VLOOKUP($A156,MonthlyFinance!$A:$G,5,FALSE),""))</x:f>
      </x:c>
      <x:c r="R156" t="str">
        <x:f>IF($A156="","",IFERROR(VLOOKUP($A156,MonthlyFinance!$A:$G,6,FALSE),""))</x:f>
      </x:c>
      <x:c r="S156" t="str">
        <x:f>IF($A156="","","Formula-linked from CaseLedger; finance fields from MonthlyFinance.")</x:f>
      </x:c>
      <x:c r="T156" t="str">
        <x:f>IF($A156="","","TRUE")</x:f>
      </x:c>
    </x:row>
    <x:row r="157">
      <x:c r="D157" t="str">
        <x:f>IF($A157="","",COUNTIFS(CaseLedger!$F:$F,$A157,CaseLedger!$B:$B,"TRUE"))</x:f>
      </x:c>
      <x:c r="E157" t="str">
        <x:f>IF($A157="","",COUNTIFS(CaseLedger!$F:$F,$A157,CaseLedger!$B:$B,"TRUE",CaseLedger!$P:$P,"Zakat"))</x:f>
      </x:c>
      <x:c r="F157" t="str">
        <x:f>IF($A157="","",COUNTIFS(CaseLedger!$F:$F,$A157,CaseLedger!$B:$B,"TRUE",CaseLedger!$P:$P,"Sadaqah"))</x:f>
      </x:c>
      <x:c r="G157" t="str">
        <x:f>IF($A157="","",COUNTIFS(CaseLedger!$F:$F,$A157,CaseLedger!$B:$B,"TRUE",CaseLedger!$P:$P,"Mixed"))</x:f>
      </x:c>
      <x:c r="H157" t="str">
        <x:f>IF($A157="","",COUNTIFS(CaseLedger!$F:$F,$A157,CaseLedger!$B:$B,"TRUE",CaseLedger!$K:$K,"Livelihood"))</x:f>
      </x:c>
      <x:c r="I157" t="str">
        <x:f>IF($A157="","",COUNTIFS(CaseLedger!$F:$F,$A157,CaseLedger!$B:$B,"TRUE",CaseLedger!$K:$K,"Skill Sponsorship"))</x:f>
      </x:c>
      <x:c r="J157" t="str">
        <x:f>IF($A157="","",COUNTIFS(CaseLedger!$F:$F,$A157,CaseLedger!$B:$B,"TRUE",CaseLedger!$K:$K,"Emergency Support"))</x:f>
      </x:c>
      <x:c r="K157" t="str">
        <x:f>IF($A157="","",COUNTIFS(CaseLedger!$F:$F,$A157,CaseLedger!$B:$B,"TRUE",CaseLedger!$K:$K,"Community Support"))</x:f>
      </x:c>
      <x:c r="L157" t="str">
        <x:f>IF($A157="","",SUMIFS(CaseLedger!$M:$M,CaseLedger!$F:$F,$A157,CaseLedger!$B:$B,"TRUE"))</x:f>
      </x:c>
      <x:c r="M157" t="str">
        <x:f>IF($A157="","",SUMIFS(CaseLedger!$N:$N,CaseLedger!$F:$F,$A157,CaseLedger!$B:$B,"TRUE"))</x:f>
      </x:c>
      <x:c r="N157" t="str">
        <x:f>IF($A157="","",0)</x:f>
      </x:c>
      <x:c r="O157" t="str">
        <x:f>IF($A157="","",SUMIFS(CaseLedger!$O:$O,CaseLedger!$F:$F,$A157,CaseLedger!$B:$B,"TRUE"))</x:f>
      </x:c>
      <x:c r="P157" t="str">
        <x:f>IF($A157="","",IFERROR(VLOOKUP($A157,MonthlyFinance!$A:$G,4,FALSE),""))</x:f>
      </x:c>
      <x:c r="Q157" t="str">
        <x:f>IF($A157="","",IFERROR(VLOOKUP($A157,MonthlyFinance!$A:$G,5,FALSE),""))</x:f>
      </x:c>
      <x:c r="R157" t="str">
        <x:f>IF($A157="","",IFERROR(VLOOKUP($A157,MonthlyFinance!$A:$G,6,FALSE),""))</x:f>
      </x:c>
      <x:c r="S157" t="str">
        <x:f>IF($A157="","","Formula-linked from CaseLedger; finance fields from MonthlyFinance.")</x:f>
      </x:c>
      <x:c r="T157" t="str">
        <x:f>IF($A157="","","TRUE")</x:f>
      </x:c>
    </x:row>
    <x:row r="158">
      <x:c r="D158" t="str">
        <x:f>IF($A158="","",COUNTIFS(CaseLedger!$F:$F,$A158,CaseLedger!$B:$B,"TRUE"))</x:f>
      </x:c>
      <x:c r="E158" t="str">
        <x:f>IF($A158="","",COUNTIFS(CaseLedger!$F:$F,$A158,CaseLedger!$B:$B,"TRUE",CaseLedger!$P:$P,"Zakat"))</x:f>
      </x:c>
      <x:c r="F158" t="str">
        <x:f>IF($A158="","",COUNTIFS(CaseLedger!$F:$F,$A158,CaseLedger!$B:$B,"TRUE",CaseLedger!$P:$P,"Sadaqah"))</x:f>
      </x:c>
      <x:c r="G158" t="str">
        <x:f>IF($A158="","",COUNTIFS(CaseLedger!$F:$F,$A158,CaseLedger!$B:$B,"TRUE",CaseLedger!$P:$P,"Mixed"))</x:f>
      </x:c>
      <x:c r="H158" t="str">
        <x:f>IF($A158="","",COUNTIFS(CaseLedger!$F:$F,$A158,CaseLedger!$B:$B,"TRUE",CaseLedger!$K:$K,"Livelihood"))</x:f>
      </x:c>
      <x:c r="I158" t="str">
        <x:f>IF($A158="","",COUNTIFS(CaseLedger!$F:$F,$A158,CaseLedger!$B:$B,"TRUE",CaseLedger!$K:$K,"Skill Sponsorship"))</x:f>
      </x:c>
      <x:c r="J158" t="str">
        <x:f>IF($A158="","",COUNTIFS(CaseLedger!$F:$F,$A158,CaseLedger!$B:$B,"TRUE",CaseLedger!$K:$K,"Emergency Support"))</x:f>
      </x:c>
      <x:c r="K158" t="str">
        <x:f>IF($A158="","",COUNTIFS(CaseLedger!$F:$F,$A158,CaseLedger!$B:$B,"TRUE",CaseLedger!$K:$K,"Community Support"))</x:f>
      </x:c>
      <x:c r="L158" t="str">
        <x:f>IF($A158="","",SUMIFS(CaseLedger!$M:$M,CaseLedger!$F:$F,$A158,CaseLedger!$B:$B,"TRUE"))</x:f>
      </x:c>
      <x:c r="M158" t="str">
        <x:f>IF($A158="","",SUMIFS(CaseLedger!$N:$N,CaseLedger!$F:$F,$A158,CaseLedger!$B:$B,"TRUE"))</x:f>
      </x:c>
      <x:c r="N158" t="str">
        <x:f>IF($A158="","",0)</x:f>
      </x:c>
      <x:c r="O158" t="str">
        <x:f>IF($A158="","",SUMIFS(CaseLedger!$O:$O,CaseLedger!$F:$F,$A158,CaseLedger!$B:$B,"TRUE"))</x:f>
      </x:c>
      <x:c r="P158" t="str">
        <x:f>IF($A158="","",IFERROR(VLOOKUP($A158,MonthlyFinance!$A:$G,4,FALSE),""))</x:f>
      </x:c>
      <x:c r="Q158" t="str">
        <x:f>IF($A158="","",IFERROR(VLOOKUP($A158,MonthlyFinance!$A:$G,5,FALSE),""))</x:f>
      </x:c>
      <x:c r="R158" t="str">
        <x:f>IF($A158="","",IFERROR(VLOOKUP($A158,MonthlyFinance!$A:$G,6,FALSE),""))</x:f>
      </x:c>
      <x:c r="S158" t="str">
        <x:f>IF($A158="","","Formula-linked from CaseLedger; finance fields from MonthlyFinance.")</x:f>
      </x:c>
      <x:c r="T158" t="str">
        <x:f>IF($A158="","","TRUE")</x:f>
      </x:c>
    </x:row>
    <x:row r="159">
      <x:c r="D159" t="str">
        <x:f>IF($A159="","",COUNTIFS(CaseLedger!$F:$F,$A159,CaseLedger!$B:$B,"TRUE"))</x:f>
      </x:c>
      <x:c r="E159" t="str">
        <x:f>IF($A159="","",COUNTIFS(CaseLedger!$F:$F,$A159,CaseLedger!$B:$B,"TRUE",CaseLedger!$P:$P,"Zakat"))</x:f>
      </x:c>
      <x:c r="F159" t="str">
        <x:f>IF($A159="","",COUNTIFS(CaseLedger!$F:$F,$A159,CaseLedger!$B:$B,"TRUE",CaseLedger!$P:$P,"Sadaqah"))</x:f>
      </x:c>
      <x:c r="G159" t="str">
        <x:f>IF($A159="","",COUNTIFS(CaseLedger!$F:$F,$A159,CaseLedger!$B:$B,"TRUE",CaseLedger!$P:$P,"Mixed"))</x:f>
      </x:c>
      <x:c r="H159" t="str">
        <x:f>IF($A159="","",COUNTIFS(CaseLedger!$F:$F,$A159,CaseLedger!$B:$B,"TRUE",CaseLedger!$K:$K,"Livelihood"))</x:f>
      </x:c>
      <x:c r="I159" t="str">
        <x:f>IF($A159="","",COUNTIFS(CaseLedger!$F:$F,$A159,CaseLedger!$B:$B,"TRUE",CaseLedger!$K:$K,"Skill Sponsorship"))</x:f>
      </x:c>
      <x:c r="J159" t="str">
        <x:f>IF($A159="","",COUNTIFS(CaseLedger!$F:$F,$A159,CaseLedger!$B:$B,"TRUE",CaseLedger!$K:$K,"Emergency Support"))</x:f>
      </x:c>
      <x:c r="K159" t="str">
        <x:f>IF($A159="","",COUNTIFS(CaseLedger!$F:$F,$A159,CaseLedger!$B:$B,"TRUE",CaseLedger!$K:$K,"Community Support"))</x:f>
      </x:c>
      <x:c r="L159" t="str">
        <x:f>IF($A159="","",SUMIFS(CaseLedger!$M:$M,CaseLedger!$F:$F,$A159,CaseLedger!$B:$B,"TRUE"))</x:f>
      </x:c>
      <x:c r="M159" t="str">
        <x:f>IF($A159="","",SUMIFS(CaseLedger!$N:$N,CaseLedger!$F:$F,$A159,CaseLedger!$B:$B,"TRUE"))</x:f>
      </x:c>
      <x:c r="N159" t="str">
        <x:f>IF($A159="","",0)</x:f>
      </x:c>
      <x:c r="O159" t="str">
        <x:f>IF($A159="","",SUMIFS(CaseLedger!$O:$O,CaseLedger!$F:$F,$A159,CaseLedger!$B:$B,"TRUE"))</x:f>
      </x:c>
      <x:c r="P159" t="str">
        <x:f>IF($A159="","",IFERROR(VLOOKUP($A159,MonthlyFinance!$A:$G,4,FALSE),""))</x:f>
      </x:c>
      <x:c r="Q159" t="str">
        <x:f>IF($A159="","",IFERROR(VLOOKUP($A159,MonthlyFinance!$A:$G,5,FALSE),""))</x:f>
      </x:c>
      <x:c r="R159" t="str">
        <x:f>IF($A159="","",IFERROR(VLOOKUP($A159,MonthlyFinance!$A:$G,6,FALSE),""))</x:f>
      </x:c>
      <x:c r="S159" t="str">
        <x:f>IF($A159="","","Formula-linked from CaseLedger; finance fields from MonthlyFinance.")</x:f>
      </x:c>
      <x:c r="T159" t="str">
        <x:f>IF($A159="","","TRUE")</x:f>
      </x:c>
    </x:row>
    <x:row r="160">
      <x:c r="D160" t="str">
        <x:f>IF($A160="","",COUNTIFS(CaseLedger!$F:$F,$A160,CaseLedger!$B:$B,"TRUE"))</x:f>
      </x:c>
      <x:c r="E160" t="str">
        <x:f>IF($A160="","",COUNTIFS(CaseLedger!$F:$F,$A160,CaseLedger!$B:$B,"TRUE",CaseLedger!$P:$P,"Zakat"))</x:f>
      </x:c>
      <x:c r="F160" t="str">
        <x:f>IF($A160="","",COUNTIFS(CaseLedger!$F:$F,$A160,CaseLedger!$B:$B,"TRUE",CaseLedger!$P:$P,"Sadaqah"))</x:f>
      </x:c>
      <x:c r="G160" t="str">
        <x:f>IF($A160="","",COUNTIFS(CaseLedger!$F:$F,$A160,CaseLedger!$B:$B,"TRUE",CaseLedger!$P:$P,"Mixed"))</x:f>
      </x:c>
      <x:c r="H160" t="str">
        <x:f>IF($A160="","",COUNTIFS(CaseLedger!$F:$F,$A160,CaseLedger!$B:$B,"TRUE",CaseLedger!$K:$K,"Livelihood"))</x:f>
      </x:c>
      <x:c r="I160" t="str">
        <x:f>IF($A160="","",COUNTIFS(CaseLedger!$F:$F,$A160,CaseLedger!$B:$B,"TRUE",CaseLedger!$K:$K,"Skill Sponsorship"))</x:f>
      </x:c>
      <x:c r="J160" t="str">
        <x:f>IF($A160="","",COUNTIFS(CaseLedger!$F:$F,$A160,CaseLedger!$B:$B,"TRUE",CaseLedger!$K:$K,"Emergency Support"))</x:f>
      </x:c>
      <x:c r="K160" t="str">
        <x:f>IF($A160="","",COUNTIFS(CaseLedger!$F:$F,$A160,CaseLedger!$B:$B,"TRUE",CaseLedger!$K:$K,"Community Support"))</x:f>
      </x:c>
      <x:c r="L160" t="str">
        <x:f>IF($A160="","",SUMIFS(CaseLedger!$M:$M,CaseLedger!$F:$F,$A160,CaseLedger!$B:$B,"TRUE"))</x:f>
      </x:c>
      <x:c r="M160" t="str">
        <x:f>IF($A160="","",SUMIFS(CaseLedger!$N:$N,CaseLedger!$F:$F,$A160,CaseLedger!$B:$B,"TRUE"))</x:f>
      </x:c>
      <x:c r="N160" t="str">
        <x:f>IF($A160="","",0)</x:f>
      </x:c>
      <x:c r="O160" t="str">
        <x:f>IF($A160="","",SUMIFS(CaseLedger!$O:$O,CaseLedger!$F:$F,$A160,CaseLedger!$B:$B,"TRUE"))</x:f>
      </x:c>
      <x:c r="P160" t="str">
        <x:f>IF($A160="","",IFERROR(VLOOKUP($A160,MonthlyFinance!$A:$G,4,FALSE),""))</x:f>
      </x:c>
      <x:c r="Q160" t="str">
        <x:f>IF($A160="","",IFERROR(VLOOKUP($A160,MonthlyFinance!$A:$G,5,FALSE),""))</x:f>
      </x:c>
      <x:c r="R160" t="str">
        <x:f>IF($A160="","",IFERROR(VLOOKUP($A160,MonthlyFinance!$A:$G,6,FALSE),""))</x:f>
      </x:c>
      <x:c r="S160" t="str">
        <x:f>IF($A160="","","Formula-linked from CaseLedger; finance fields from MonthlyFinance.")</x:f>
      </x:c>
      <x:c r="T160" t="str">
        <x:f>IF($A160="","","TRUE")</x:f>
      </x:c>
    </x:row>
    <x:row r="161">
      <x:c r="D161" t="str">
        <x:f>IF($A161="","",COUNTIFS(CaseLedger!$F:$F,$A161,CaseLedger!$B:$B,"TRUE"))</x:f>
      </x:c>
      <x:c r="E161" t="str">
        <x:f>IF($A161="","",COUNTIFS(CaseLedger!$F:$F,$A161,CaseLedger!$B:$B,"TRUE",CaseLedger!$P:$P,"Zakat"))</x:f>
      </x:c>
      <x:c r="F161" t="str">
        <x:f>IF($A161="","",COUNTIFS(CaseLedger!$F:$F,$A161,CaseLedger!$B:$B,"TRUE",CaseLedger!$P:$P,"Sadaqah"))</x:f>
      </x:c>
      <x:c r="G161" t="str">
        <x:f>IF($A161="","",COUNTIFS(CaseLedger!$F:$F,$A161,CaseLedger!$B:$B,"TRUE",CaseLedger!$P:$P,"Mixed"))</x:f>
      </x:c>
      <x:c r="H161" t="str">
        <x:f>IF($A161="","",COUNTIFS(CaseLedger!$F:$F,$A161,CaseLedger!$B:$B,"TRUE",CaseLedger!$K:$K,"Livelihood"))</x:f>
      </x:c>
      <x:c r="I161" t="str">
        <x:f>IF($A161="","",COUNTIFS(CaseLedger!$F:$F,$A161,CaseLedger!$B:$B,"TRUE",CaseLedger!$K:$K,"Skill Sponsorship"))</x:f>
      </x:c>
      <x:c r="J161" t="str">
        <x:f>IF($A161="","",COUNTIFS(CaseLedger!$F:$F,$A161,CaseLedger!$B:$B,"TRUE",CaseLedger!$K:$K,"Emergency Support"))</x:f>
      </x:c>
      <x:c r="K161" t="str">
        <x:f>IF($A161="","",COUNTIFS(CaseLedger!$F:$F,$A161,CaseLedger!$B:$B,"TRUE",CaseLedger!$K:$K,"Community Support"))</x:f>
      </x:c>
      <x:c r="L161" t="str">
        <x:f>IF($A161="","",SUMIFS(CaseLedger!$M:$M,CaseLedger!$F:$F,$A161,CaseLedger!$B:$B,"TRUE"))</x:f>
      </x:c>
      <x:c r="M161" t="str">
        <x:f>IF($A161="","",SUMIFS(CaseLedger!$N:$N,CaseLedger!$F:$F,$A161,CaseLedger!$B:$B,"TRUE"))</x:f>
      </x:c>
      <x:c r="N161" t="str">
        <x:f>IF($A161="","",0)</x:f>
      </x:c>
      <x:c r="O161" t="str">
        <x:f>IF($A161="","",SUMIFS(CaseLedger!$O:$O,CaseLedger!$F:$F,$A161,CaseLedger!$B:$B,"TRUE"))</x:f>
      </x:c>
      <x:c r="P161" t="str">
        <x:f>IF($A161="","",IFERROR(VLOOKUP($A161,MonthlyFinance!$A:$G,4,FALSE),""))</x:f>
      </x:c>
      <x:c r="Q161" t="str">
        <x:f>IF($A161="","",IFERROR(VLOOKUP($A161,MonthlyFinance!$A:$G,5,FALSE),""))</x:f>
      </x:c>
      <x:c r="R161" t="str">
        <x:f>IF($A161="","",IFERROR(VLOOKUP($A161,MonthlyFinance!$A:$G,6,FALSE),""))</x:f>
      </x:c>
      <x:c r="S161" t="str">
        <x:f>IF($A161="","","Formula-linked from CaseLedger; finance fields from MonthlyFinance.")</x:f>
      </x:c>
      <x:c r="T161" t="str">
        <x:f>IF($A161="","","TRUE")</x:f>
      </x:c>
    </x:row>
    <x:row r="162">
      <x:c r="D162" t="str">
        <x:f>IF($A162="","",COUNTIFS(CaseLedger!$F:$F,$A162,CaseLedger!$B:$B,"TRUE"))</x:f>
      </x:c>
      <x:c r="E162" t="str">
        <x:f>IF($A162="","",COUNTIFS(CaseLedger!$F:$F,$A162,CaseLedger!$B:$B,"TRUE",CaseLedger!$P:$P,"Zakat"))</x:f>
      </x:c>
      <x:c r="F162" t="str">
        <x:f>IF($A162="","",COUNTIFS(CaseLedger!$F:$F,$A162,CaseLedger!$B:$B,"TRUE",CaseLedger!$P:$P,"Sadaqah"))</x:f>
      </x:c>
      <x:c r="G162" t="str">
        <x:f>IF($A162="","",COUNTIFS(CaseLedger!$F:$F,$A162,CaseLedger!$B:$B,"TRUE",CaseLedger!$P:$P,"Mixed"))</x:f>
      </x:c>
      <x:c r="H162" t="str">
        <x:f>IF($A162="","",COUNTIFS(CaseLedger!$F:$F,$A162,CaseLedger!$B:$B,"TRUE",CaseLedger!$K:$K,"Livelihood"))</x:f>
      </x:c>
      <x:c r="I162" t="str">
        <x:f>IF($A162="","",COUNTIFS(CaseLedger!$F:$F,$A162,CaseLedger!$B:$B,"TRUE",CaseLedger!$K:$K,"Skill Sponsorship"))</x:f>
      </x:c>
      <x:c r="J162" t="str">
        <x:f>IF($A162="","",COUNTIFS(CaseLedger!$F:$F,$A162,CaseLedger!$B:$B,"TRUE",CaseLedger!$K:$K,"Emergency Support"))</x:f>
      </x:c>
      <x:c r="K162" t="str">
        <x:f>IF($A162="","",COUNTIFS(CaseLedger!$F:$F,$A162,CaseLedger!$B:$B,"TRUE",CaseLedger!$K:$K,"Community Support"))</x:f>
      </x:c>
      <x:c r="L162" t="str">
        <x:f>IF($A162="","",SUMIFS(CaseLedger!$M:$M,CaseLedger!$F:$F,$A162,CaseLedger!$B:$B,"TRUE"))</x:f>
      </x:c>
      <x:c r="M162" t="str">
        <x:f>IF($A162="","",SUMIFS(CaseLedger!$N:$N,CaseLedger!$F:$F,$A162,CaseLedger!$B:$B,"TRUE"))</x:f>
      </x:c>
      <x:c r="N162" t="str">
        <x:f>IF($A162="","",0)</x:f>
      </x:c>
      <x:c r="O162" t="str">
        <x:f>IF($A162="","",SUMIFS(CaseLedger!$O:$O,CaseLedger!$F:$F,$A162,CaseLedger!$B:$B,"TRUE"))</x:f>
      </x:c>
      <x:c r="P162" t="str">
        <x:f>IF($A162="","",IFERROR(VLOOKUP($A162,MonthlyFinance!$A:$G,4,FALSE),""))</x:f>
      </x:c>
      <x:c r="Q162" t="str">
        <x:f>IF($A162="","",IFERROR(VLOOKUP($A162,MonthlyFinance!$A:$G,5,FALSE),""))</x:f>
      </x:c>
      <x:c r="R162" t="str">
        <x:f>IF($A162="","",IFERROR(VLOOKUP($A162,MonthlyFinance!$A:$G,6,FALSE),""))</x:f>
      </x:c>
      <x:c r="S162" t="str">
        <x:f>IF($A162="","","Formula-linked from CaseLedger; finance fields from MonthlyFinance.")</x:f>
      </x:c>
      <x:c r="T162" t="str">
        <x:f>IF($A162="","","TRUE")</x:f>
      </x:c>
    </x:row>
    <x:row r="163">
      <x:c r="D163" t="str">
        <x:f>IF($A163="","",COUNTIFS(CaseLedger!$F:$F,$A163,CaseLedger!$B:$B,"TRUE"))</x:f>
      </x:c>
      <x:c r="E163" t="str">
        <x:f>IF($A163="","",COUNTIFS(CaseLedger!$F:$F,$A163,CaseLedger!$B:$B,"TRUE",CaseLedger!$P:$P,"Zakat"))</x:f>
      </x:c>
      <x:c r="F163" t="str">
        <x:f>IF($A163="","",COUNTIFS(CaseLedger!$F:$F,$A163,CaseLedger!$B:$B,"TRUE",CaseLedger!$P:$P,"Sadaqah"))</x:f>
      </x:c>
      <x:c r="G163" t="str">
        <x:f>IF($A163="","",COUNTIFS(CaseLedger!$F:$F,$A163,CaseLedger!$B:$B,"TRUE",CaseLedger!$P:$P,"Mixed"))</x:f>
      </x:c>
      <x:c r="H163" t="str">
        <x:f>IF($A163="","",COUNTIFS(CaseLedger!$F:$F,$A163,CaseLedger!$B:$B,"TRUE",CaseLedger!$K:$K,"Livelihood"))</x:f>
      </x:c>
      <x:c r="I163" t="str">
        <x:f>IF($A163="","",COUNTIFS(CaseLedger!$F:$F,$A163,CaseLedger!$B:$B,"TRUE",CaseLedger!$K:$K,"Skill Sponsorship"))</x:f>
      </x:c>
      <x:c r="J163" t="str">
        <x:f>IF($A163="","",COUNTIFS(CaseLedger!$F:$F,$A163,CaseLedger!$B:$B,"TRUE",CaseLedger!$K:$K,"Emergency Support"))</x:f>
      </x:c>
      <x:c r="K163" t="str">
        <x:f>IF($A163="","",COUNTIFS(CaseLedger!$F:$F,$A163,CaseLedger!$B:$B,"TRUE",CaseLedger!$K:$K,"Community Support"))</x:f>
      </x:c>
      <x:c r="L163" t="str">
        <x:f>IF($A163="","",SUMIFS(CaseLedger!$M:$M,CaseLedger!$F:$F,$A163,CaseLedger!$B:$B,"TRUE"))</x:f>
      </x:c>
      <x:c r="M163" t="str">
        <x:f>IF($A163="","",SUMIFS(CaseLedger!$N:$N,CaseLedger!$F:$F,$A163,CaseLedger!$B:$B,"TRUE"))</x:f>
      </x:c>
      <x:c r="N163" t="str">
        <x:f>IF($A163="","",0)</x:f>
      </x:c>
      <x:c r="O163" t="str">
        <x:f>IF($A163="","",SUMIFS(CaseLedger!$O:$O,CaseLedger!$F:$F,$A163,CaseLedger!$B:$B,"TRUE"))</x:f>
      </x:c>
      <x:c r="P163" t="str">
        <x:f>IF($A163="","",IFERROR(VLOOKUP($A163,MonthlyFinance!$A:$G,4,FALSE),""))</x:f>
      </x:c>
      <x:c r="Q163" t="str">
        <x:f>IF($A163="","",IFERROR(VLOOKUP($A163,MonthlyFinance!$A:$G,5,FALSE),""))</x:f>
      </x:c>
      <x:c r="R163" t="str">
        <x:f>IF($A163="","",IFERROR(VLOOKUP($A163,MonthlyFinance!$A:$G,6,FALSE),""))</x:f>
      </x:c>
      <x:c r="S163" t="str">
        <x:f>IF($A163="","","Formula-linked from CaseLedger; finance fields from MonthlyFinance.")</x:f>
      </x:c>
      <x:c r="T163" t="str">
        <x:f>IF($A163="","","TRUE")</x:f>
      </x:c>
    </x:row>
    <x:row r="164">
      <x:c r="D164" t="str">
        <x:f>IF($A164="","",COUNTIFS(CaseLedger!$F:$F,$A164,CaseLedger!$B:$B,"TRUE"))</x:f>
      </x:c>
      <x:c r="E164" t="str">
        <x:f>IF($A164="","",COUNTIFS(CaseLedger!$F:$F,$A164,CaseLedger!$B:$B,"TRUE",CaseLedger!$P:$P,"Zakat"))</x:f>
      </x:c>
      <x:c r="F164" t="str">
        <x:f>IF($A164="","",COUNTIFS(CaseLedger!$F:$F,$A164,CaseLedger!$B:$B,"TRUE",CaseLedger!$P:$P,"Sadaqah"))</x:f>
      </x:c>
      <x:c r="G164" t="str">
        <x:f>IF($A164="","",COUNTIFS(CaseLedger!$F:$F,$A164,CaseLedger!$B:$B,"TRUE",CaseLedger!$P:$P,"Mixed"))</x:f>
      </x:c>
      <x:c r="H164" t="str">
        <x:f>IF($A164="","",COUNTIFS(CaseLedger!$F:$F,$A164,CaseLedger!$B:$B,"TRUE",CaseLedger!$K:$K,"Livelihood"))</x:f>
      </x:c>
      <x:c r="I164" t="str">
        <x:f>IF($A164="","",COUNTIFS(CaseLedger!$F:$F,$A164,CaseLedger!$B:$B,"TRUE",CaseLedger!$K:$K,"Skill Sponsorship"))</x:f>
      </x:c>
      <x:c r="J164" t="str">
        <x:f>IF($A164="","",COUNTIFS(CaseLedger!$F:$F,$A164,CaseLedger!$B:$B,"TRUE",CaseLedger!$K:$K,"Emergency Support"))</x:f>
      </x:c>
      <x:c r="K164" t="str">
        <x:f>IF($A164="","",COUNTIFS(CaseLedger!$F:$F,$A164,CaseLedger!$B:$B,"TRUE",CaseLedger!$K:$K,"Community Support"))</x:f>
      </x:c>
      <x:c r="L164" t="str">
        <x:f>IF($A164="","",SUMIFS(CaseLedger!$M:$M,CaseLedger!$F:$F,$A164,CaseLedger!$B:$B,"TRUE"))</x:f>
      </x:c>
      <x:c r="M164" t="str">
        <x:f>IF($A164="","",SUMIFS(CaseLedger!$N:$N,CaseLedger!$F:$F,$A164,CaseLedger!$B:$B,"TRUE"))</x:f>
      </x:c>
      <x:c r="N164" t="str">
        <x:f>IF($A164="","",0)</x:f>
      </x:c>
      <x:c r="O164" t="str">
        <x:f>IF($A164="","",SUMIFS(CaseLedger!$O:$O,CaseLedger!$F:$F,$A164,CaseLedger!$B:$B,"TRUE"))</x:f>
      </x:c>
      <x:c r="P164" t="str">
        <x:f>IF($A164="","",IFERROR(VLOOKUP($A164,MonthlyFinance!$A:$G,4,FALSE),""))</x:f>
      </x:c>
      <x:c r="Q164" t="str">
        <x:f>IF($A164="","",IFERROR(VLOOKUP($A164,MonthlyFinance!$A:$G,5,FALSE),""))</x:f>
      </x:c>
      <x:c r="R164" t="str">
        <x:f>IF($A164="","",IFERROR(VLOOKUP($A164,MonthlyFinance!$A:$G,6,FALSE),""))</x:f>
      </x:c>
      <x:c r="S164" t="str">
        <x:f>IF($A164="","","Formula-linked from CaseLedger; finance fields from MonthlyFinance.")</x:f>
      </x:c>
      <x:c r="T164" t="str">
        <x:f>IF($A164="","","TRUE")</x:f>
      </x:c>
    </x:row>
    <x:row r="165">
      <x:c r="D165" t="str">
        <x:f>IF($A165="","",COUNTIFS(CaseLedger!$F:$F,$A165,CaseLedger!$B:$B,"TRUE"))</x:f>
      </x:c>
      <x:c r="E165" t="str">
        <x:f>IF($A165="","",COUNTIFS(CaseLedger!$F:$F,$A165,CaseLedger!$B:$B,"TRUE",CaseLedger!$P:$P,"Zakat"))</x:f>
      </x:c>
      <x:c r="F165" t="str">
        <x:f>IF($A165="","",COUNTIFS(CaseLedger!$F:$F,$A165,CaseLedger!$B:$B,"TRUE",CaseLedger!$P:$P,"Sadaqah"))</x:f>
      </x:c>
      <x:c r="G165" t="str">
        <x:f>IF($A165="","",COUNTIFS(CaseLedger!$F:$F,$A165,CaseLedger!$B:$B,"TRUE",CaseLedger!$P:$P,"Mixed"))</x:f>
      </x:c>
      <x:c r="H165" t="str">
        <x:f>IF($A165="","",COUNTIFS(CaseLedger!$F:$F,$A165,CaseLedger!$B:$B,"TRUE",CaseLedger!$K:$K,"Livelihood"))</x:f>
      </x:c>
      <x:c r="I165" t="str">
        <x:f>IF($A165="","",COUNTIFS(CaseLedger!$F:$F,$A165,CaseLedger!$B:$B,"TRUE",CaseLedger!$K:$K,"Skill Sponsorship"))</x:f>
      </x:c>
      <x:c r="J165" t="str">
        <x:f>IF($A165="","",COUNTIFS(CaseLedger!$F:$F,$A165,CaseLedger!$B:$B,"TRUE",CaseLedger!$K:$K,"Emergency Support"))</x:f>
      </x:c>
      <x:c r="K165" t="str">
        <x:f>IF($A165="","",COUNTIFS(CaseLedger!$F:$F,$A165,CaseLedger!$B:$B,"TRUE",CaseLedger!$K:$K,"Community Support"))</x:f>
      </x:c>
      <x:c r="L165" t="str">
        <x:f>IF($A165="","",SUMIFS(CaseLedger!$M:$M,CaseLedger!$F:$F,$A165,CaseLedger!$B:$B,"TRUE"))</x:f>
      </x:c>
      <x:c r="M165" t="str">
        <x:f>IF($A165="","",SUMIFS(CaseLedger!$N:$N,CaseLedger!$F:$F,$A165,CaseLedger!$B:$B,"TRUE"))</x:f>
      </x:c>
      <x:c r="N165" t="str">
        <x:f>IF($A165="","",0)</x:f>
      </x:c>
      <x:c r="O165" t="str">
        <x:f>IF($A165="","",SUMIFS(CaseLedger!$O:$O,CaseLedger!$F:$F,$A165,CaseLedger!$B:$B,"TRUE"))</x:f>
      </x:c>
      <x:c r="P165" t="str">
        <x:f>IF($A165="","",IFERROR(VLOOKUP($A165,MonthlyFinance!$A:$G,4,FALSE),""))</x:f>
      </x:c>
      <x:c r="Q165" t="str">
        <x:f>IF($A165="","",IFERROR(VLOOKUP($A165,MonthlyFinance!$A:$G,5,FALSE),""))</x:f>
      </x:c>
      <x:c r="R165" t="str">
        <x:f>IF($A165="","",IFERROR(VLOOKUP($A165,MonthlyFinance!$A:$G,6,FALSE),""))</x:f>
      </x:c>
      <x:c r="S165" t="str">
        <x:f>IF($A165="","","Formula-linked from CaseLedger; finance fields from MonthlyFinance.")</x:f>
      </x:c>
      <x:c r="T165" t="str">
        <x:f>IF($A165="","","TRUE")</x:f>
      </x:c>
    </x:row>
    <x:row r="166">
      <x:c r="D166" t="str">
        <x:f>IF($A166="","",COUNTIFS(CaseLedger!$F:$F,$A166,CaseLedger!$B:$B,"TRUE"))</x:f>
      </x:c>
      <x:c r="E166" t="str">
        <x:f>IF($A166="","",COUNTIFS(CaseLedger!$F:$F,$A166,CaseLedger!$B:$B,"TRUE",CaseLedger!$P:$P,"Zakat"))</x:f>
      </x:c>
      <x:c r="F166" t="str">
        <x:f>IF($A166="","",COUNTIFS(CaseLedger!$F:$F,$A166,CaseLedger!$B:$B,"TRUE",CaseLedger!$P:$P,"Sadaqah"))</x:f>
      </x:c>
      <x:c r="G166" t="str">
        <x:f>IF($A166="","",COUNTIFS(CaseLedger!$F:$F,$A166,CaseLedger!$B:$B,"TRUE",CaseLedger!$P:$P,"Mixed"))</x:f>
      </x:c>
      <x:c r="H166" t="str">
        <x:f>IF($A166="","",COUNTIFS(CaseLedger!$F:$F,$A166,CaseLedger!$B:$B,"TRUE",CaseLedger!$K:$K,"Livelihood"))</x:f>
      </x:c>
      <x:c r="I166" t="str">
        <x:f>IF($A166="","",COUNTIFS(CaseLedger!$F:$F,$A166,CaseLedger!$B:$B,"TRUE",CaseLedger!$K:$K,"Skill Sponsorship"))</x:f>
      </x:c>
      <x:c r="J166" t="str">
        <x:f>IF($A166="","",COUNTIFS(CaseLedger!$F:$F,$A166,CaseLedger!$B:$B,"TRUE",CaseLedger!$K:$K,"Emergency Support"))</x:f>
      </x:c>
      <x:c r="K166" t="str">
        <x:f>IF($A166="","",COUNTIFS(CaseLedger!$F:$F,$A166,CaseLedger!$B:$B,"TRUE",CaseLedger!$K:$K,"Community Support"))</x:f>
      </x:c>
      <x:c r="L166" t="str">
        <x:f>IF($A166="","",SUMIFS(CaseLedger!$M:$M,CaseLedger!$F:$F,$A166,CaseLedger!$B:$B,"TRUE"))</x:f>
      </x:c>
      <x:c r="M166" t="str">
        <x:f>IF($A166="","",SUMIFS(CaseLedger!$N:$N,CaseLedger!$F:$F,$A166,CaseLedger!$B:$B,"TRUE"))</x:f>
      </x:c>
      <x:c r="N166" t="str">
        <x:f>IF($A166="","",0)</x:f>
      </x:c>
      <x:c r="O166" t="str">
        <x:f>IF($A166="","",SUMIFS(CaseLedger!$O:$O,CaseLedger!$F:$F,$A166,CaseLedger!$B:$B,"TRUE"))</x:f>
      </x:c>
      <x:c r="P166" t="str">
        <x:f>IF($A166="","",IFERROR(VLOOKUP($A166,MonthlyFinance!$A:$G,4,FALSE),""))</x:f>
      </x:c>
      <x:c r="Q166" t="str">
        <x:f>IF($A166="","",IFERROR(VLOOKUP($A166,MonthlyFinance!$A:$G,5,FALSE),""))</x:f>
      </x:c>
      <x:c r="R166" t="str">
        <x:f>IF($A166="","",IFERROR(VLOOKUP($A166,MonthlyFinance!$A:$G,6,FALSE),""))</x:f>
      </x:c>
      <x:c r="S166" t="str">
        <x:f>IF($A166="","","Formula-linked from CaseLedger; finance fields from MonthlyFinance.")</x:f>
      </x:c>
      <x:c r="T166" t="str">
        <x:f>IF($A166="","","TRUE")</x:f>
      </x:c>
    </x:row>
    <x:row r="167">
      <x:c r="D167" t="str">
        <x:f>IF($A167="","",COUNTIFS(CaseLedger!$F:$F,$A167,CaseLedger!$B:$B,"TRUE"))</x:f>
      </x:c>
      <x:c r="E167" t="str">
        <x:f>IF($A167="","",COUNTIFS(CaseLedger!$F:$F,$A167,CaseLedger!$B:$B,"TRUE",CaseLedger!$P:$P,"Zakat"))</x:f>
      </x:c>
      <x:c r="F167" t="str">
        <x:f>IF($A167="","",COUNTIFS(CaseLedger!$F:$F,$A167,CaseLedger!$B:$B,"TRUE",CaseLedger!$P:$P,"Sadaqah"))</x:f>
      </x:c>
      <x:c r="G167" t="str">
        <x:f>IF($A167="","",COUNTIFS(CaseLedger!$F:$F,$A167,CaseLedger!$B:$B,"TRUE",CaseLedger!$P:$P,"Mixed"))</x:f>
      </x:c>
      <x:c r="H167" t="str">
        <x:f>IF($A167="","",COUNTIFS(CaseLedger!$F:$F,$A167,CaseLedger!$B:$B,"TRUE",CaseLedger!$K:$K,"Livelihood"))</x:f>
      </x:c>
      <x:c r="I167" t="str">
        <x:f>IF($A167="","",COUNTIFS(CaseLedger!$F:$F,$A167,CaseLedger!$B:$B,"TRUE",CaseLedger!$K:$K,"Skill Sponsorship"))</x:f>
      </x:c>
      <x:c r="J167" t="str">
        <x:f>IF($A167="","",COUNTIFS(CaseLedger!$F:$F,$A167,CaseLedger!$B:$B,"TRUE",CaseLedger!$K:$K,"Emergency Support"))</x:f>
      </x:c>
      <x:c r="K167" t="str">
        <x:f>IF($A167="","",COUNTIFS(CaseLedger!$F:$F,$A167,CaseLedger!$B:$B,"TRUE",CaseLedger!$K:$K,"Community Support"))</x:f>
      </x:c>
      <x:c r="L167" t="str">
        <x:f>IF($A167="","",SUMIFS(CaseLedger!$M:$M,CaseLedger!$F:$F,$A167,CaseLedger!$B:$B,"TRUE"))</x:f>
      </x:c>
      <x:c r="M167" t="str">
        <x:f>IF($A167="","",SUMIFS(CaseLedger!$N:$N,CaseLedger!$F:$F,$A167,CaseLedger!$B:$B,"TRUE"))</x:f>
      </x:c>
      <x:c r="N167" t="str">
        <x:f>IF($A167="","",0)</x:f>
      </x:c>
      <x:c r="O167" t="str">
        <x:f>IF($A167="","",SUMIFS(CaseLedger!$O:$O,CaseLedger!$F:$F,$A167,CaseLedger!$B:$B,"TRUE"))</x:f>
      </x:c>
      <x:c r="P167" t="str">
        <x:f>IF($A167="","",IFERROR(VLOOKUP($A167,MonthlyFinance!$A:$G,4,FALSE),""))</x:f>
      </x:c>
      <x:c r="Q167" t="str">
        <x:f>IF($A167="","",IFERROR(VLOOKUP($A167,MonthlyFinance!$A:$G,5,FALSE),""))</x:f>
      </x:c>
      <x:c r="R167" t="str">
        <x:f>IF($A167="","",IFERROR(VLOOKUP($A167,MonthlyFinance!$A:$G,6,FALSE),""))</x:f>
      </x:c>
      <x:c r="S167" t="str">
        <x:f>IF($A167="","","Formula-linked from CaseLedger; finance fields from MonthlyFinance.")</x:f>
      </x:c>
      <x:c r="T167" t="str">
        <x:f>IF($A167="","","TRUE")</x:f>
      </x:c>
    </x:row>
    <x:row r="168">
      <x:c r="D168" t="str">
        <x:f>IF($A168="","",COUNTIFS(CaseLedger!$F:$F,$A168,CaseLedger!$B:$B,"TRUE"))</x:f>
      </x:c>
      <x:c r="E168" t="str">
        <x:f>IF($A168="","",COUNTIFS(CaseLedger!$F:$F,$A168,CaseLedger!$B:$B,"TRUE",CaseLedger!$P:$P,"Zakat"))</x:f>
      </x:c>
      <x:c r="F168" t="str">
        <x:f>IF($A168="","",COUNTIFS(CaseLedger!$F:$F,$A168,CaseLedger!$B:$B,"TRUE",CaseLedger!$P:$P,"Sadaqah"))</x:f>
      </x:c>
      <x:c r="G168" t="str">
        <x:f>IF($A168="","",COUNTIFS(CaseLedger!$F:$F,$A168,CaseLedger!$B:$B,"TRUE",CaseLedger!$P:$P,"Mixed"))</x:f>
      </x:c>
      <x:c r="H168" t="str">
        <x:f>IF($A168="","",COUNTIFS(CaseLedger!$F:$F,$A168,CaseLedger!$B:$B,"TRUE",CaseLedger!$K:$K,"Livelihood"))</x:f>
      </x:c>
      <x:c r="I168" t="str">
        <x:f>IF($A168="","",COUNTIFS(CaseLedger!$F:$F,$A168,CaseLedger!$B:$B,"TRUE",CaseLedger!$K:$K,"Skill Sponsorship"))</x:f>
      </x:c>
      <x:c r="J168" t="str">
        <x:f>IF($A168="","",COUNTIFS(CaseLedger!$F:$F,$A168,CaseLedger!$B:$B,"TRUE",CaseLedger!$K:$K,"Emergency Support"))</x:f>
      </x:c>
      <x:c r="K168" t="str">
        <x:f>IF($A168="","",COUNTIFS(CaseLedger!$F:$F,$A168,CaseLedger!$B:$B,"TRUE",CaseLedger!$K:$K,"Community Support"))</x:f>
      </x:c>
      <x:c r="L168" t="str">
        <x:f>IF($A168="","",SUMIFS(CaseLedger!$M:$M,CaseLedger!$F:$F,$A168,CaseLedger!$B:$B,"TRUE"))</x:f>
      </x:c>
      <x:c r="M168" t="str">
        <x:f>IF($A168="","",SUMIFS(CaseLedger!$N:$N,CaseLedger!$F:$F,$A168,CaseLedger!$B:$B,"TRUE"))</x:f>
      </x:c>
      <x:c r="N168" t="str">
        <x:f>IF($A168="","",0)</x:f>
      </x:c>
      <x:c r="O168" t="str">
        <x:f>IF($A168="","",SUMIFS(CaseLedger!$O:$O,CaseLedger!$F:$F,$A168,CaseLedger!$B:$B,"TRUE"))</x:f>
      </x:c>
      <x:c r="P168" t="str">
        <x:f>IF($A168="","",IFERROR(VLOOKUP($A168,MonthlyFinance!$A:$G,4,FALSE),""))</x:f>
      </x:c>
      <x:c r="Q168" t="str">
        <x:f>IF($A168="","",IFERROR(VLOOKUP($A168,MonthlyFinance!$A:$G,5,FALSE),""))</x:f>
      </x:c>
      <x:c r="R168" t="str">
        <x:f>IF($A168="","",IFERROR(VLOOKUP($A168,MonthlyFinance!$A:$G,6,FALSE),""))</x:f>
      </x:c>
      <x:c r="S168" t="str">
        <x:f>IF($A168="","","Formula-linked from CaseLedger; finance fields from MonthlyFinance.")</x:f>
      </x:c>
      <x:c r="T168" t="str">
        <x:f>IF($A168="","","TRUE")</x:f>
      </x:c>
    </x:row>
    <x:row r="169">
      <x:c r="D169" t="str">
        <x:f>IF($A169="","",COUNTIFS(CaseLedger!$F:$F,$A169,CaseLedger!$B:$B,"TRUE"))</x:f>
      </x:c>
      <x:c r="E169" t="str">
        <x:f>IF($A169="","",COUNTIFS(CaseLedger!$F:$F,$A169,CaseLedger!$B:$B,"TRUE",CaseLedger!$P:$P,"Zakat"))</x:f>
      </x:c>
      <x:c r="F169" t="str">
        <x:f>IF($A169="","",COUNTIFS(CaseLedger!$F:$F,$A169,CaseLedger!$B:$B,"TRUE",CaseLedger!$P:$P,"Sadaqah"))</x:f>
      </x:c>
      <x:c r="G169" t="str">
        <x:f>IF($A169="","",COUNTIFS(CaseLedger!$F:$F,$A169,CaseLedger!$B:$B,"TRUE",CaseLedger!$P:$P,"Mixed"))</x:f>
      </x:c>
      <x:c r="H169" t="str">
        <x:f>IF($A169="","",COUNTIFS(CaseLedger!$F:$F,$A169,CaseLedger!$B:$B,"TRUE",CaseLedger!$K:$K,"Livelihood"))</x:f>
      </x:c>
      <x:c r="I169" t="str">
        <x:f>IF($A169="","",COUNTIFS(CaseLedger!$F:$F,$A169,CaseLedger!$B:$B,"TRUE",CaseLedger!$K:$K,"Skill Sponsorship"))</x:f>
      </x:c>
      <x:c r="J169" t="str">
        <x:f>IF($A169="","",COUNTIFS(CaseLedger!$F:$F,$A169,CaseLedger!$B:$B,"TRUE",CaseLedger!$K:$K,"Emergency Support"))</x:f>
      </x:c>
      <x:c r="K169" t="str">
        <x:f>IF($A169="","",COUNTIFS(CaseLedger!$F:$F,$A169,CaseLedger!$B:$B,"TRUE",CaseLedger!$K:$K,"Community Support"))</x:f>
      </x:c>
      <x:c r="L169" t="str">
        <x:f>IF($A169="","",SUMIFS(CaseLedger!$M:$M,CaseLedger!$F:$F,$A169,CaseLedger!$B:$B,"TRUE"))</x:f>
      </x:c>
      <x:c r="M169" t="str">
        <x:f>IF($A169="","",SUMIFS(CaseLedger!$N:$N,CaseLedger!$F:$F,$A169,CaseLedger!$B:$B,"TRUE"))</x:f>
      </x:c>
      <x:c r="N169" t="str">
        <x:f>IF($A169="","",0)</x:f>
      </x:c>
      <x:c r="O169" t="str">
        <x:f>IF($A169="","",SUMIFS(CaseLedger!$O:$O,CaseLedger!$F:$F,$A169,CaseLedger!$B:$B,"TRUE"))</x:f>
      </x:c>
      <x:c r="P169" t="str">
        <x:f>IF($A169="","",IFERROR(VLOOKUP($A169,MonthlyFinance!$A:$G,4,FALSE),""))</x:f>
      </x:c>
      <x:c r="Q169" t="str">
        <x:f>IF($A169="","",IFERROR(VLOOKUP($A169,MonthlyFinance!$A:$G,5,FALSE),""))</x:f>
      </x:c>
      <x:c r="R169" t="str">
        <x:f>IF($A169="","",IFERROR(VLOOKUP($A169,MonthlyFinance!$A:$G,6,FALSE),""))</x:f>
      </x:c>
      <x:c r="S169" t="str">
        <x:f>IF($A169="","","Formula-linked from CaseLedger; finance fields from MonthlyFinance.")</x:f>
      </x:c>
      <x:c r="T169" t="str">
        <x:f>IF($A169="","","TRUE")</x:f>
      </x:c>
    </x:row>
    <x:row r="170">
      <x:c r="D170" t="str">
        <x:f>IF($A170="","",COUNTIFS(CaseLedger!$F:$F,$A170,CaseLedger!$B:$B,"TRUE"))</x:f>
      </x:c>
      <x:c r="E170" t="str">
        <x:f>IF($A170="","",COUNTIFS(CaseLedger!$F:$F,$A170,CaseLedger!$B:$B,"TRUE",CaseLedger!$P:$P,"Zakat"))</x:f>
      </x:c>
      <x:c r="F170" t="str">
        <x:f>IF($A170="","",COUNTIFS(CaseLedger!$F:$F,$A170,CaseLedger!$B:$B,"TRUE",CaseLedger!$P:$P,"Sadaqah"))</x:f>
      </x:c>
      <x:c r="G170" t="str">
        <x:f>IF($A170="","",COUNTIFS(CaseLedger!$F:$F,$A170,CaseLedger!$B:$B,"TRUE",CaseLedger!$P:$P,"Mixed"))</x:f>
      </x:c>
      <x:c r="H170" t="str">
        <x:f>IF($A170="","",COUNTIFS(CaseLedger!$F:$F,$A170,CaseLedger!$B:$B,"TRUE",CaseLedger!$K:$K,"Livelihood"))</x:f>
      </x:c>
      <x:c r="I170" t="str">
        <x:f>IF($A170="","",COUNTIFS(CaseLedger!$F:$F,$A170,CaseLedger!$B:$B,"TRUE",CaseLedger!$K:$K,"Skill Sponsorship"))</x:f>
      </x:c>
      <x:c r="J170" t="str">
        <x:f>IF($A170="","",COUNTIFS(CaseLedger!$F:$F,$A170,CaseLedger!$B:$B,"TRUE",CaseLedger!$K:$K,"Emergency Support"))</x:f>
      </x:c>
      <x:c r="K170" t="str">
        <x:f>IF($A170="","",COUNTIFS(CaseLedger!$F:$F,$A170,CaseLedger!$B:$B,"TRUE",CaseLedger!$K:$K,"Community Support"))</x:f>
      </x:c>
      <x:c r="L170" t="str">
        <x:f>IF($A170="","",SUMIFS(CaseLedger!$M:$M,CaseLedger!$F:$F,$A170,CaseLedger!$B:$B,"TRUE"))</x:f>
      </x:c>
      <x:c r="M170" t="str">
        <x:f>IF($A170="","",SUMIFS(CaseLedger!$N:$N,CaseLedger!$F:$F,$A170,CaseLedger!$B:$B,"TRUE"))</x:f>
      </x:c>
      <x:c r="N170" t="str">
        <x:f>IF($A170="","",0)</x:f>
      </x:c>
      <x:c r="O170" t="str">
        <x:f>IF($A170="","",SUMIFS(CaseLedger!$O:$O,CaseLedger!$F:$F,$A170,CaseLedger!$B:$B,"TRUE"))</x:f>
      </x:c>
      <x:c r="P170" t="str">
        <x:f>IF($A170="","",IFERROR(VLOOKUP($A170,MonthlyFinance!$A:$G,4,FALSE),""))</x:f>
      </x:c>
      <x:c r="Q170" t="str">
        <x:f>IF($A170="","",IFERROR(VLOOKUP($A170,MonthlyFinance!$A:$G,5,FALSE),""))</x:f>
      </x:c>
      <x:c r="R170" t="str">
        <x:f>IF($A170="","",IFERROR(VLOOKUP($A170,MonthlyFinance!$A:$G,6,FALSE),""))</x:f>
      </x:c>
      <x:c r="S170" t="str">
        <x:f>IF($A170="","","Formula-linked from CaseLedger; finance fields from MonthlyFinance.")</x:f>
      </x:c>
      <x:c r="T170" t="str">
        <x:f>IF($A170="","","TRUE")</x:f>
      </x:c>
    </x:row>
    <x:row r="171">
      <x:c r="D171" t="str">
        <x:f>IF($A171="","",COUNTIFS(CaseLedger!$F:$F,$A171,CaseLedger!$B:$B,"TRUE"))</x:f>
      </x:c>
      <x:c r="E171" t="str">
        <x:f>IF($A171="","",COUNTIFS(CaseLedger!$F:$F,$A171,CaseLedger!$B:$B,"TRUE",CaseLedger!$P:$P,"Zakat"))</x:f>
      </x:c>
      <x:c r="F171" t="str">
        <x:f>IF($A171="","",COUNTIFS(CaseLedger!$F:$F,$A171,CaseLedger!$B:$B,"TRUE",CaseLedger!$P:$P,"Sadaqah"))</x:f>
      </x:c>
      <x:c r="G171" t="str">
        <x:f>IF($A171="","",COUNTIFS(CaseLedger!$F:$F,$A171,CaseLedger!$B:$B,"TRUE",CaseLedger!$P:$P,"Mixed"))</x:f>
      </x:c>
      <x:c r="H171" t="str">
        <x:f>IF($A171="","",COUNTIFS(CaseLedger!$F:$F,$A171,CaseLedger!$B:$B,"TRUE",CaseLedger!$K:$K,"Livelihood"))</x:f>
      </x:c>
      <x:c r="I171" t="str">
        <x:f>IF($A171="","",COUNTIFS(CaseLedger!$F:$F,$A171,CaseLedger!$B:$B,"TRUE",CaseLedger!$K:$K,"Skill Sponsorship"))</x:f>
      </x:c>
      <x:c r="J171" t="str">
        <x:f>IF($A171="","",COUNTIFS(CaseLedger!$F:$F,$A171,CaseLedger!$B:$B,"TRUE",CaseLedger!$K:$K,"Emergency Support"))</x:f>
      </x:c>
      <x:c r="K171" t="str">
        <x:f>IF($A171="","",COUNTIFS(CaseLedger!$F:$F,$A171,CaseLedger!$B:$B,"TRUE",CaseLedger!$K:$K,"Community Support"))</x:f>
      </x:c>
      <x:c r="L171" t="str">
        <x:f>IF($A171="","",SUMIFS(CaseLedger!$M:$M,CaseLedger!$F:$F,$A171,CaseLedger!$B:$B,"TRUE"))</x:f>
      </x:c>
      <x:c r="M171" t="str">
        <x:f>IF($A171="","",SUMIFS(CaseLedger!$N:$N,CaseLedger!$F:$F,$A171,CaseLedger!$B:$B,"TRUE"))</x:f>
      </x:c>
      <x:c r="N171" t="str">
        <x:f>IF($A171="","",0)</x:f>
      </x:c>
      <x:c r="O171" t="str">
        <x:f>IF($A171="","",SUMIFS(CaseLedger!$O:$O,CaseLedger!$F:$F,$A171,CaseLedger!$B:$B,"TRUE"))</x:f>
      </x:c>
      <x:c r="P171" t="str">
        <x:f>IF($A171="","",IFERROR(VLOOKUP($A171,MonthlyFinance!$A:$G,4,FALSE),""))</x:f>
      </x:c>
      <x:c r="Q171" t="str">
        <x:f>IF($A171="","",IFERROR(VLOOKUP($A171,MonthlyFinance!$A:$G,5,FALSE),""))</x:f>
      </x:c>
      <x:c r="R171" t="str">
        <x:f>IF($A171="","",IFERROR(VLOOKUP($A171,MonthlyFinance!$A:$G,6,FALSE),""))</x:f>
      </x:c>
      <x:c r="S171" t="str">
        <x:f>IF($A171="","","Formula-linked from CaseLedger; finance fields from MonthlyFinance.")</x:f>
      </x:c>
      <x:c r="T171" t="str">
        <x:f>IF($A171="","","TRUE")</x:f>
      </x:c>
    </x:row>
    <x:row r="172">
      <x:c r="D172" t="str">
        <x:f>IF($A172="","",COUNTIFS(CaseLedger!$F:$F,$A172,CaseLedger!$B:$B,"TRUE"))</x:f>
      </x:c>
      <x:c r="E172" t="str">
        <x:f>IF($A172="","",COUNTIFS(CaseLedger!$F:$F,$A172,CaseLedger!$B:$B,"TRUE",CaseLedger!$P:$P,"Zakat"))</x:f>
      </x:c>
      <x:c r="F172" t="str">
        <x:f>IF($A172="","",COUNTIFS(CaseLedger!$F:$F,$A172,CaseLedger!$B:$B,"TRUE",CaseLedger!$P:$P,"Sadaqah"))</x:f>
      </x:c>
      <x:c r="G172" t="str">
        <x:f>IF($A172="","",COUNTIFS(CaseLedger!$F:$F,$A172,CaseLedger!$B:$B,"TRUE",CaseLedger!$P:$P,"Mixed"))</x:f>
      </x:c>
      <x:c r="H172" t="str">
        <x:f>IF($A172="","",COUNTIFS(CaseLedger!$F:$F,$A172,CaseLedger!$B:$B,"TRUE",CaseLedger!$K:$K,"Livelihood"))</x:f>
      </x:c>
      <x:c r="I172" t="str">
        <x:f>IF($A172="","",COUNTIFS(CaseLedger!$F:$F,$A172,CaseLedger!$B:$B,"TRUE",CaseLedger!$K:$K,"Skill Sponsorship"))</x:f>
      </x:c>
      <x:c r="J172" t="str">
        <x:f>IF($A172="","",COUNTIFS(CaseLedger!$F:$F,$A172,CaseLedger!$B:$B,"TRUE",CaseLedger!$K:$K,"Emergency Support"))</x:f>
      </x:c>
      <x:c r="K172" t="str">
        <x:f>IF($A172="","",COUNTIFS(CaseLedger!$F:$F,$A172,CaseLedger!$B:$B,"TRUE",CaseLedger!$K:$K,"Community Support"))</x:f>
      </x:c>
      <x:c r="L172" t="str">
        <x:f>IF($A172="","",SUMIFS(CaseLedger!$M:$M,CaseLedger!$F:$F,$A172,CaseLedger!$B:$B,"TRUE"))</x:f>
      </x:c>
      <x:c r="M172" t="str">
        <x:f>IF($A172="","",SUMIFS(CaseLedger!$N:$N,CaseLedger!$F:$F,$A172,CaseLedger!$B:$B,"TRUE"))</x:f>
      </x:c>
      <x:c r="N172" t="str">
        <x:f>IF($A172="","",0)</x:f>
      </x:c>
      <x:c r="O172" t="str">
        <x:f>IF($A172="","",SUMIFS(CaseLedger!$O:$O,CaseLedger!$F:$F,$A172,CaseLedger!$B:$B,"TRUE"))</x:f>
      </x:c>
      <x:c r="P172" t="str">
        <x:f>IF($A172="","",IFERROR(VLOOKUP($A172,MonthlyFinance!$A:$G,4,FALSE),""))</x:f>
      </x:c>
      <x:c r="Q172" t="str">
        <x:f>IF($A172="","",IFERROR(VLOOKUP($A172,MonthlyFinance!$A:$G,5,FALSE),""))</x:f>
      </x:c>
      <x:c r="R172" t="str">
        <x:f>IF($A172="","",IFERROR(VLOOKUP($A172,MonthlyFinance!$A:$G,6,FALSE),""))</x:f>
      </x:c>
      <x:c r="S172" t="str">
        <x:f>IF($A172="","","Formula-linked from CaseLedger; finance fields from MonthlyFinance.")</x:f>
      </x:c>
      <x:c r="T172" t="str">
        <x:f>IF($A172="","","TRUE")</x:f>
      </x:c>
    </x:row>
    <x:row r="173">
      <x:c r="D173" t="str">
        <x:f>IF($A173="","",COUNTIFS(CaseLedger!$F:$F,$A173,CaseLedger!$B:$B,"TRUE"))</x:f>
      </x:c>
      <x:c r="E173" t="str">
        <x:f>IF($A173="","",COUNTIFS(CaseLedger!$F:$F,$A173,CaseLedger!$B:$B,"TRUE",CaseLedger!$P:$P,"Zakat"))</x:f>
      </x:c>
      <x:c r="F173" t="str">
        <x:f>IF($A173="","",COUNTIFS(CaseLedger!$F:$F,$A173,CaseLedger!$B:$B,"TRUE",CaseLedger!$P:$P,"Sadaqah"))</x:f>
      </x:c>
      <x:c r="G173" t="str">
        <x:f>IF($A173="","",COUNTIFS(CaseLedger!$F:$F,$A173,CaseLedger!$B:$B,"TRUE",CaseLedger!$P:$P,"Mixed"))</x:f>
      </x:c>
      <x:c r="H173" t="str">
        <x:f>IF($A173="","",COUNTIFS(CaseLedger!$F:$F,$A173,CaseLedger!$B:$B,"TRUE",CaseLedger!$K:$K,"Livelihood"))</x:f>
      </x:c>
      <x:c r="I173" t="str">
        <x:f>IF($A173="","",COUNTIFS(CaseLedger!$F:$F,$A173,CaseLedger!$B:$B,"TRUE",CaseLedger!$K:$K,"Skill Sponsorship"))</x:f>
      </x:c>
      <x:c r="J173" t="str">
        <x:f>IF($A173="","",COUNTIFS(CaseLedger!$F:$F,$A173,CaseLedger!$B:$B,"TRUE",CaseLedger!$K:$K,"Emergency Support"))</x:f>
      </x:c>
      <x:c r="K173" t="str">
        <x:f>IF($A173="","",COUNTIFS(CaseLedger!$F:$F,$A173,CaseLedger!$B:$B,"TRUE",CaseLedger!$K:$K,"Community Support"))</x:f>
      </x:c>
      <x:c r="L173" t="str">
        <x:f>IF($A173="","",SUMIFS(CaseLedger!$M:$M,CaseLedger!$F:$F,$A173,CaseLedger!$B:$B,"TRUE"))</x:f>
      </x:c>
      <x:c r="M173" t="str">
        <x:f>IF($A173="","",SUMIFS(CaseLedger!$N:$N,CaseLedger!$F:$F,$A173,CaseLedger!$B:$B,"TRUE"))</x:f>
      </x:c>
      <x:c r="N173" t="str">
        <x:f>IF($A173="","",0)</x:f>
      </x:c>
      <x:c r="O173" t="str">
        <x:f>IF($A173="","",SUMIFS(CaseLedger!$O:$O,CaseLedger!$F:$F,$A173,CaseLedger!$B:$B,"TRUE"))</x:f>
      </x:c>
      <x:c r="P173" t="str">
        <x:f>IF($A173="","",IFERROR(VLOOKUP($A173,MonthlyFinance!$A:$G,4,FALSE),""))</x:f>
      </x:c>
      <x:c r="Q173" t="str">
        <x:f>IF($A173="","",IFERROR(VLOOKUP($A173,MonthlyFinance!$A:$G,5,FALSE),""))</x:f>
      </x:c>
      <x:c r="R173" t="str">
        <x:f>IF($A173="","",IFERROR(VLOOKUP($A173,MonthlyFinance!$A:$G,6,FALSE),""))</x:f>
      </x:c>
      <x:c r="S173" t="str">
        <x:f>IF($A173="","","Formula-linked from CaseLedger; finance fields from MonthlyFinance.")</x:f>
      </x:c>
      <x:c r="T173" t="str">
        <x:f>IF($A173="","","TRUE")</x:f>
      </x:c>
    </x:row>
    <x:row r="174">
      <x:c r="D174" t="str">
        <x:f>IF($A174="","",COUNTIFS(CaseLedger!$F:$F,$A174,CaseLedger!$B:$B,"TRUE"))</x:f>
      </x:c>
      <x:c r="E174" t="str">
        <x:f>IF($A174="","",COUNTIFS(CaseLedger!$F:$F,$A174,CaseLedger!$B:$B,"TRUE",CaseLedger!$P:$P,"Zakat"))</x:f>
      </x:c>
      <x:c r="F174" t="str">
        <x:f>IF($A174="","",COUNTIFS(CaseLedger!$F:$F,$A174,CaseLedger!$B:$B,"TRUE",CaseLedger!$P:$P,"Sadaqah"))</x:f>
      </x:c>
      <x:c r="G174" t="str">
        <x:f>IF($A174="","",COUNTIFS(CaseLedger!$F:$F,$A174,CaseLedger!$B:$B,"TRUE",CaseLedger!$P:$P,"Mixed"))</x:f>
      </x:c>
      <x:c r="H174" t="str">
        <x:f>IF($A174="","",COUNTIFS(CaseLedger!$F:$F,$A174,CaseLedger!$B:$B,"TRUE",CaseLedger!$K:$K,"Livelihood"))</x:f>
      </x:c>
      <x:c r="I174" t="str">
        <x:f>IF($A174="","",COUNTIFS(CaseLedger!$F:$F,$A174,CaseLedger!$B:$B,"TRUE",CaseLedger!$K:$K,"Skill Sponsorship"))</x:f>
      </x:c>
      <x:c r="J174" t="str">
        <x:f>IF($A174="","",COUNTIFS(CaseLedger!$F:$F,$A174,CaseLedger!$B:$B,"TRUE",CaseLedger!$K:$K,"Emergency Support"))</x:f>
      </x:c>
      <x:c r="K174" t="str">
        <x:f>IF($A174="","",COUNTIFS(CaseLedger!$F:$F,$A174,CaseLedger!$B:$B,"TRUE",CaseLedger!$K:$K,"Community Support"))</x:f>
      </x:c>
      <x:c r="L174" t="str">
        <x:f>IF($A174="","",SUMIFS(CaseLedger!$M:$M,CaseLedger!$F:$F,$A174,CaseLedger!$B:$B,"TRUE"))</x:f>
      </x:c>
      <x:c r="M174" t="str">
        <x:f>IF($A174="","",SUMIFS(CaseLedger!$N:$N,CaseLedger!$F:$F,$A174,CaseLedger!$B:$B,"TRUE"))</x:f>
      </x:c>
      <x:c r="N174" t="str">
        <x:f>IF($A174="","",0)</x:f>
      </x:c>
      <x:c r="O174" t="str">
        <x:f>IF($A174="","",SUMIFS(CaseLedger!$O:$O,CaseLedger!$F:$F,$A174,CaseLedger!$B:$B,"TRUE"))</x:f>
      </x:c>
      <x:c r="P174" t="str">
        <x:f>IF($A174="","",IFERROR(VLOOKUP($A174,MonthlyFinance!$A:$G,4,FALSE),""))</x:f>
      </x:c>
      <x:c r="Q174" t="str">
        <x:f>IF($A174="","",IFERROR(VLOOKUP($A174,MonthlyFinance!$A:$G,5,FALSE),""))</x:f>
      </x:c>
      <x:c r="R174" t="str">
        <x:f>IF($A174="","",IFERROR(VLOOKUP($A174,MonthlyFinance!$A:$G,6,FALSE),""))</x:f>
      </x:c>
      <x:c r="S174" t="str">
        <x:f>IF($A174="","","Formula-linked from CaseLedger; finance fields from MonthlyFinance.")</x:f>
      </x:c>
      <x:c r="T174" t="str">
        <x:f>IF($A174="","","TRUE")</x:f>
      </x:c>
    </x:row>
    <x:row r="175">
      <x:c r="D175" t="str">
        <x:f>IF($A175="","",COUNTIFS(CaseLedger!$F:$F,$A175,CaseLedger!$B:$B,"TRUE"))</x:f>
      </x:c>
      <x:c r="E175" t="str">
        <x:f>IF($A175="","",COUNTIFS(CaseLedger!$F:$F,$A175,CaseLedger!$B:$B,"TRUE",CaseLedger!$P:$P,"Zakat"))</x:f>
      </x:c>
      <x:c r="F175" t="str">
        <x:f>IF($A175="","",COUNTIFS(CaseLedger!$F:$F,$A175,CaseLedger!$B:$B,"TRUE",CaseLedger!$P:$P,"Sadaqah"))</x:f>
      </x:c>
      <x:c r="G175" t="str">
        <x:f>IF($A175="","",COUNTIFS(CaseLedger!$F:$F,$A175,CaseLedger!$B:$B,"TRUE",CaseLedger!$P:$P,"Mixed"))</x:f>
      </x:c>
      <x:c r="H175" t="str">
        <x:f>IF($A175="","",COUNTIFS(CaseLedger!$F:$F,$A175,CaseLedger!$B:$B,"TRUE",CaseLedger!$K:$K,"Livelihood"))</x:f>
      </x:c>
      <x:c r="I175" t="str">
        <x:f>IF($A175="","",COUNTIFS(CaseLedger!$F:$F,$A175,CaseLedger!$B:$B,"TRUE",CaseLedger!$K:$K,"Skill Sponsorship"))</x:f>
      </x:c>
      <x:c r="J175" t="str">
        <x:f>IF($A175="","",COUNTIFS(CaseLedger!$F:$F,$A175,CaseLedger!$B:$B,"TRUE",CaseLedger!$K:$K,"Emergency Support"))</x:f>
      </x:c>
      <x:c r="K175" t="str">
        <x:f>IF($A175="","",COUNTIFS(CaseLedger!$F:$F,$A175,CaseLedger!$B:$B,"TRUE",CaseLedger!$K:$K,"Community Support"))</x:f>
      </x:c>
      <x:c r="L175" t="str">
        <x:f>IF($A175="","",SUMIFS(CaseLedger!$M:$M,CaseLedger!$F:$F,$A175,CaseLedger!$B:$B,"TRUE"))</x:f>
      </x:c>
      <x:c r="M175" t="str">
        <x:f>IF($A175="","",SUMIFS(CaseLedger!$N:$N,CaseLedger!$F:$F,$A175,CaseLedger!$B:$B,"TRUE"))</x:f>
      </x:c>
      <x:c r="N175" t="str">
        <x:f>IF($A175="","",0)</x:f>
      </x:c>
      <x:c r="O175" t="str">
        <x:f>IF($A175="","",SUMIFS(CaseLedger!$O:$O,CaseLedger!$F:$F,$A175,CaseLedger!$B:$B,"TRUE"))</x:f>
      </x:c>
      <x:c r="P175" t="str">
        <x:f>IF($A175="","",IFERROR(VLOOKUP($A175,MonthlyFinance!$A:$G,4,FALSE),""))</x:f>
      </x:c>
      <x:c r="Q175" t="str">
        <x:f>IF($A175="","",IFERROR(VLOOKUP($A175,MonthlyFinance!$A:$G,5,FALSE),""))</x:f>
      </x:c>
      <x:c r="R175" t="str">
        <x:f>IF($A175="","",IFERROR(VLOOKUP($A175,MonthlyFinance!$A:$G,6,FALSE),""))</x:f>
      </x:c>
      <x:c r="S175" t="str">
        <x:f>IF($A175="","","Formula-linked from CaseLedger; finance fields from MonthlyFinance.")</x:f>
      </x:c>
      <x:c r="T175" t="str">
        <x:f>IF($A175="","","TRUE")</x:f>
      </x:c>
    </x:row>
    <x:row r="176">
      <x:c r="D176" t="str">
        <x:f>IF($A176="","",COUNTIFS(CaseLedger!$F:$F,$A176,CaseLedger!$B:$B,"TRUE"))</x:f>
      </x:c>
      <x:c r="E176" t="str">
        <x:f>IF($A176="","",COUNTIFS(CaseLedger!$F:$F,$A176,CaseLedger!$B:$B,"TRUE",CaseLedger!$P:$P,"Zakat"))</x:f>
      </x:c>
      <x:c r="F176" t="str">
        <x:f>IF($A176="","",COUNTIFS(CaseLedger!$F:$F,$A176,CaseLedger!$B:$B,"TRUE",CaseLedger!$P:$P,"Sadaqah"))</x:f>
      </x:c>
      <x:c r="G176" t="str">
        <x:f>IF($A176="","",COUNTIFS(CaseLedger!$F:$F,$A176,CaseLedger!$B:$B,"TRUE",CaseLedger!$P:$P,"Mixed"))</x:f>
      </x:c>
      <x:c r="H176" t="str">
        <x:f>IF($A176="","",COUNTIFS(CaseLedger!$F:$F,$A176,CaseLedger!$B:$B,"TRUE",CaseLedger!$K:$K,"Livelihood"))</x:f>
      </x:c>
      <x:c r="I176" t="str">
        <x:f>IF($A176="","",COUNTIFS(CaseLedger!$F:$F,$A176,CaseLedger!$B:$B,"TRUE",CaseLedger!$K:$K,"Skill Sponsorship"))</x:f>
      </x:c>
      <x:c r="J176" t="str">
        <x:f>IF($A176="","",COUNTIFS(CaseLedger!$F:$F,$A176,CaseLedger!$B:$B,"TRUE",CaseLedger!$K:$K,"Emergency Support"))</x:f>
      </x:c>
      <x:c r="K176" t="str">
        <x:f>IF($A176="","",COUNTIFS(CaseLedger!$F:$F,$A176,CaseLedger!$B:$B,"TRUE",CaseLedger!$K:$K,"Community Support"))</x:f>
      </x:c>
      <x:c r="L176" t="str">
        <x:f>IF($A176="","",SUMIFS(CaseLedger!$M:$M,CaseLedger!$F:$F,$A176,CaseLedger!$B:$B,"TRUE"))</x:f>
      </x:c>
      <x:c r="M176" t="str">
        <x:f>IF($A176="","",SUMIFS(CaseLedger!$N:$N,CaseLedger!$F:$F,$A176,CaseLedger!$B:$B,"TRUE"))</x:f>
      </x:c>
      <x:c r="N176" t="str">
        <x:f>IF($A176="","",0)</x:f>
      </x:c>
      <x:c r="O176" t="str">
        <x:f>IF($A176="","",SUMIFS(CaseLedger!$O:$O,CaseLedger!$F:$F,$A176,CaseLedger!$B:$B,"TRUE"))</x:f>
      </x:c>
      <x:c r="P176" t="str">
        <x:f>IF($A176="","",IFERROR(VLOOKUP($A176,MonthlyFinance!$A:$G,4,FALSE),""))</x:f>
      </x:c>
      <x:c r="Q176" t="str">
        <x:f>IF($A176="","",IFERROR(VLOOKUP($A176,MonthlyFinance!$A:$G,5,FALSE),""))</x:f>
      </x:c>
      <x:c r="R176" t="str">
        <x:f>IF($A176="","",IFERROR(VLOOKUP($A176,MonthlyFinance!$A:$G,6,FALSE),""))</x:f>
      </x:c>
      <x:c r="S176" t="str">
        <x:f>IF($A176="","","Formula-linked from CaseLedger; finance fields from MonthlyFinance.")</x:f>
      </x:c>
      <x:c r="T176" t="str">
        <x:f>IF($A176="","","TRUE")</x:f>
      </x:c>
    </x:row>
    <x:row r="177">
      <x:c r="D177" t="str">
        <x:f>IF($A177="","",COUNTIFS(CaseLedger!$F:$F,$A177,CaseLedger!$B:$B,"TRUE"))</x:f>
      </x:c>
      <x:c r="E177" t="str">
        <x:f>IF($A177="","",COUNTIFS(CaseLedger!$F:$F,$A177,CaseLedger!$B:$B,"TRUE",CaseLedger!$P:$P,"Zakat"))</x:f>
      </x:c>
      <x:c r="F177" t="str">
        <x:f>IF($A177="","",COUNTIFS(CaseLedger!$F:$F,$A177,CaseLedger!$B:$B,"TRUE",CaseLedger!$P:$P,"Sadaqah"))</x:f>
      </x:c>
      <x:c r="G177" t="str">
        <x:f>IF($A177="","",COUNTIFS(CaseLedger!$F:$F,$A177,CaseLedger!$B:$B,"TRUE",CaseLedger!$P:$P,"Mixed"))</x:f>
      </x:c>
      <x:c r="H177" t="str">
        <x:f>IF($A177="","",COUNTIFS(CaseLedger!$F:$F,$A177,CaseLedger!$B:$B,"TRUE",CaseLedger!$K:$K,"Livelihood"))</x:f>
      </x:c>
      <x:c r="I177" t="str">
        <x:f>IF($A177="","",COUNTIFS(CaseLedger!$F:$F,$A177,CaseLedger!$B:$B,"TRUE",CaseLedger!$K:$K,"Skill Sponsorship"))</x:f>
      </x:c>
      <x:c r="J177" t="str">
        <x:f>IF($A177="","",COUNTIFS(CaseLedger!$F:$F,$A177,CaseLedger!$B:$B,"TRUE",CaseLedger!$K:$K,"Emergency Support"))</x:f>
      </x:c>
      <x:c r="K177" t="str">
        <x:f>IF($A177="","",COUNTIFS(CaseLedger!$F:$F,$A177,CaseLedger!$B:$B,"TRUE",CaseLedger!$K:$K,"Community Support"))</x:f>
      </x:c>
      <x:c r="L177" t="str">
        <x:f>IF($A177="","",SUMIFS(CaseLedger!$M:$M,CaseLedger!$F:$F,$A177,CaseLedger!$B:$B,"TRUE"))</x:f>
      </x:c>
      <x:c r="M177" t="str">
        <x:f>IF($A177="","",SUMIFS(CaseLedger!$N:$N,CaseLedger!$F:$F,$A177,CaseLedger!$B:$B,"TRUE"))</x:f>
      </x:c>
      <x:c r="N177" t="str">
        <x:f>IF($A177="","",0)</x:f>
      </x:c>
      <x:c r="O177" t="str">
        <x:f>IF($A177="","",SUMIFS(CaseLedger!$O:$O,CaseLedger!$F:$F,$A177,CaseLedger!$B:$B,"TRUE"))</x:f>
      </x:c>
      <x:c r="P177" t="str">
        <x:f>IF($A177="","",IFERROR(VLOOKUP($A177,MonthlyFinance!$A:$G,4,FALSE),""))</x:f>
      </x:c>
      <x:c r="Q177" t="str">
        <x:f>IF($A177="","",IFERROR(VLOOKUP($A177,MonthlyFinance!$A:$G,5,FALSE),""))</x:f>
      </x:c>
      <x:c r="R177" t="str">
        <x:f>IF($A177="","",IFERROR(VLOOKUP($A177,MonthlyFinance!$A:$G,6,FALSE),""))</x:f>
      </x:c>
      <x:c r="S177" t="str">
        <x:f>IF($A177="","","Formula-linked from CaseLedger; finance fields from MonthlyFinance.")</x:f>
      </x:c>
      <x:c r="T177" t="str">
        <x:f>IF($A177="","","TRUE")</x:f>
      </x:c>
    </x:row>
    <x:row r="178">
      <x:c r="D178" t="str">
        <x:f>IF($A178="","",COUNTIFS(CaseLedger!$F:$F,$A178,CaseLedger!$B:$B,"TRUE"))</x:f>
      </x:c>
      <x:c r="E178" t="str">
        <x:f>IF($A178="","",COUNTIFS(CaseLedger!$F:$F,$A178,CaseLedger!$B:$B,"TRUE",CaseLedger!$P:$P,"Zakat"))</x:f>
      </x:c>
      <x:c r="F178" t="str">
        <x:f>IF($A178="","",COUNTIFS(CaseLedger!$F:$F,$A178,CaseLedger!$B:$B,"TRUE",CaseLedger!$P:$P,"Sadaqah"))</x:f>
      </x:c>
      <x:c r="G178" t="str">
        <x:f>IF($A178="","",COUNTIFS(CaseLedger!$F:$F,$A178,CaseLedger!$B:$B,"TRUE",CaseLedger!$P:$P,"Mixed"))</x:f>
      </x:c>
      <x:c r="H178" t="str">
        <x:f>IF($A178="","",COUNTIFS(CaseLedger!$F:$F,$A178,CaseLedger!$B:$B,"TRUE",CaseLedger!$K:$K,"Livelihood"))</x:f>
      </x:c>
      <x:c r="I178" t="str">
        <x:f>IF($A178="","",COUNTIFS(CaseLedger!$F:$F,$A178,CaseLedger!$B:$B,"TRUE",CaseLedger!$K:$K,"Skill Sponsorship"))</x:f>
      </x:c>
      <x:c r="J178" t="str">
        <x:f>IF($A178="","",COUNTIFS(CaseLedger!$F:$F,$A178,CaseLedger!$B:$B,"TRUE",CaseLedger!$K:$K,"Emergency Support"))</x:f>
      </x:c>
      <x:c r="K178" t="str">
        <x:f>IF($A178="","",COUNTIFS(CaseLedger!$F:$F,$A178,CaseLedger!$B:$B,"TRUE",CaseLedger!$K:$K,"Community Support"))</x:f>
      </x:c>
      <x:c r="L178" t="str">
        <x:f>IF($A178="","",SUMIFS(CaseLedger!$M:$M,CaseLedger!$F:$F,$A178,CaseLedger!$B:$B,"TRUE"))</x:f>
      </x:c>
      <x:c r="M178" t="str">
        <x:f>IF($A178="","",SUMIFS(CaseLedger!$N:$N,CaseLedger!$F:$F,$A178,CaseLedger!$B:$B,"TRUE"))</x:f>
      </x:c>
      <x:c r="N178" t="str">
        <x:f>IF($A178="","",0)</x:f>
      </x:c>
      <x:c r="O178" t="str">
        <x:f>IF($A178="","",SUMIFS(CaseLedger!$O:$O,CaseLedger!$F:$F,$A178,CaseLedger!$B:$B,"TRUE"))</x:f>
      </x:c>
      <x:c r="P178" t="str">
        <x:f>IF($A178="","",IFERROR(VLOOKUP($A178,MonthlyFinance!$A:$G,4,FALSE),""))</x:f>
      </x:c>
      <x:c r="Q178" t="str">
        <x:f>IF($A178="","",IFERROR(VLOOKUP($A178,MonthlyFinance!$A:$G,5,FALSE),""))</x:f>
      </x:c>
      <x:c r="R178" t="str">
        <x:f>IF($A178="","",IFERROR(VLOOKUP($A178,MonthlyFinance!$A:$G,6,FALSE),""))</x:f>
      </x:c>
      <x:c r="S178" t="str">
        <x:f>IF($A178="","","Formula-linked from CaseLedger; finance fields from MonthlyFinance.")</x:f>
      </x:c>
      <x:c r="T178" t="str">
        <x:f>IF($A178="","","TRUE")</x:f>
      </x:c>
    </x:row>
    <x:row r="179">
      <x:c r="D179" t="str">
        <x:f>IF($A179="","",COUNTIFS(CaseLedger!$F:$F,$A179,CaseLedger!$B:$B,"TRUE"))</x:f>
      </x:c>
      <x:c r="E179" t="str">
        <x:f>IF($A179="","",COUNTIFS(CaseLedger!$F:$F,$A179,CaseLedger!$B:$B,"TRUE",CaseLedger!$P:$P,"Zakat"))</x:f>
      </x:c>
      <x:c r="F179" t="str">
        <x:f>IF($A179="","",COUNTIFS(CaseLedger!$F:$F,$A179,CaseLedger!$B:$B,"TRUE",CaseLedger!$P:$P,"Sadaqah"))</x:f>
      </x:c>
      <x:c r="G179" t="str">
        <x:f>IF($A179="","",COUNTIFS(CaseLedger!$F:$F,$A179,CaseLedger!$B:$B,"TRUE",CaseLedger!$P:$P,"Mixed"))</x:f>
      </x:c>
      <x:c r="H179" t="str">
        <x:f>IF($A179="","",COUNTIFS(CaseLedger!$F:$F,$A179,CaseLedger!$B:$B,"TRUE",CaseLedger!$K:$K,"Livelihood"))</x:f>
      </x:c>
      <x:c r="I179" t="str">
        <x:f>IF($A179="","",COUNTIFS(CaseLedger!$F:$F,$A179,CaseLedger!$B:$B,"TRUE",CaseLedger!$K:$K,"Skill Sponsorship"))</x:f>
      </x:c>
      <x:c r="J179" t="str">
        <x:f>IF($A179="","",COUNTIFS(CaseLedger!$F:$F,$A179,CaseLedger!$B:$B,"TRUE",CaseLedger!$K:$K,"Emergency Support"))</x:f>
      </x:c>
      <x:c r="K179" t="str">
        <x:f>IF($A179="","",COUNTIFS(CaseLedger!$F:$F,$A179,CaseLedger!$B:$B,"TRUE",CaseLedger!$K:$K,"Community Support"))</x:f>
      </x:c>
      <x:c r="L179" t="str">
        <x:f>IF($A179="","",SUMIFS(CaseLedger!$M:$M,CaseLedger!$F:$F,$A179,CaseLedger!$B:$B,"TRUE"))</x:f>
      </x:c>
      <x:c r="M179" t="str">
        <x:f>IF($A179="","",SUMIFS(CaseLedger!$N:$N,CaseLedger!$F:$F,$A179,CaseLedger!$B:$B,"TRUE"))</x:f>
      </x:c>
      <x:c r="N179" t="str">
        <x:f>IF($A179="","",0)</x:f>
      </x:c>
      <x:c r="O179" t="str">
        <x:f>IF($A179="","",SUMIFS(CaseLedger!$O:$O,CaseLedger!$F:$F,$A179,CaseLedger!$B:$B,"TRUE"))</x:f>
      </x:c>
      <x:c r="P179" t="str">
        <x:f>IF($A179="","",IFERROR(VLOOKUP($A179,MonthlyFinance!$A:$G,4,FALSE),""))</x:f>
      </x:c>
      <x:c r="Q179" t="str">
        <x:f>IF($A179="","",IFERROR(VLOOKUP($A179,MonthlyFinance!$A:$G,5,FALSE),""))</x:f>
      </x:c>
      <x:c r="R179" t="str">
        <x:f>IF($A179="","",IFERROR(VLOOKUP($A179,MonthlyFinance!$A:$G,6,FALSE),""))</x:f>
      </x:c>
      <x:c r="S179" t="str">
        <x:f>IF($A179="","","Formula-linked from CaseLedger; finance fields from MonthlyFinance.")</x:f>
      </x:c>
      <x:c r="T179" t="str">
        <x:f>IF($A179="","","TRUE")</x:f>
      </x:c>
    </x:row>
    <x:row r="180">
      <x:c r="D180" t="str">
        <x:f>IF($A180="","",COUNTIFS(CaseLedger!$F:$F,$A180,CaseLedger!$B:$B,"TRUE"))</x:f>
      </x:c>
      <x:c r="E180" t="str">
        <x:f>IF($A180="","",COUNTIFS(CaseLedger!$F:$F,$A180,CaseLedger!$B:$B,"TRUE",CaseLedger!$P:$P,"Zakat"))</x:f>
      </x:c>
      <x:c r="F180" t="str">
        <x:f>IF($A180="","",COUNTIFS(CaseLedger!$F:$F,$A180,CaseLedger!$B:$B,"TRUE",CaseLedger!$P:$P,"Sadaqah"))</x:f>
      </x:c>
      <x:c r="G180" t="str">
        <x:f>IF($A180="","",COUNTIFS(CaseLedger!$F:$F,$A180,CaseLedger!$B:$B,"TRUE",CaseLedger!$P:$P,"Mixed"))</x:f>
      </x:c>
      <x:c r="H180" t="str">
        <x:f>IF($A180="","",COUNTIFS(CaseLedger!$F:$F,$A180,CaseLedger!$B:$B,"TRUE",CaseLedger!$K:$K,"Livelihood"))</x:f>
      </x:c>
      <x:c r="I180" t="str">
        <x:f>IF($A180="","",COUNTIFS(CaseLedger!$F:$F,$A180,CaseLedger!$B:$B,"TRUE",CaseLedger!$K:$K,"Skill Sponsorship"))</x:f>
      </x:c>
      <x:c r="J180" t="str">
        <x:f>IF($A180="","",COUNTIFS(CaseLedger!$F:$F,$A180,CaseLedger!$B:$B,"TRUE",CaseLedger!$K:$K,"Emergency Support"))</x:f>
      </x:c>
      <x:c r="K180" t="str">
        <x:f>IF($A180="","",COUNTIFS(CaseLedger!$F:$F,$A180,CaseLedger!$B:$B,"TRUE",CaseLedger!$K:$K,"Community Support"))</x:f>
      </x:c>
      <x:c r="L180" t="str">
        <x:f>IF($A180="","",SUMIFS(CaseLedger!$M:$M,CaseLedger!$F:$F,$A180,CaseLedger!$B:$B,"TRUE"))</x:f>
      </x:c>
      <x:c r="M180" t="str">
        <x:f>IF($A180="","",SUMIFS(CaseLedger!$N:$N,CaseLedger!$F:$F,$A180,CaseLedger!$B:$B,"TRUE"))</x:f>
      </x:c>
      <x:c r="N180" t="str">
        <x:f>IF($A180="","",0)</x:f>
      </x:c>
      <x:c r="O180" t="str">
        <x:f>IF($A180="","",SUMIFS(CaseLedger!$O:$O,CaseLedger!$F:$F,$A180,CaseLedger!$B:$B,"TRUE"))</x:f>
      </x:c>
      <x:c r="P180" t="str">
        <x:f>IF($A180="","",IFERROR(VLOOKUP($A180,MonthlyFinance!$A:$G,4,FALSE),""))</x:f>
      </x:c>
      <x:c r="Q180" t="str">
        <x:f>IF($A180="","",IFERROR(VLOOKUP($A180,MonthlyFinance!$A:$G,5,FALSE),""))</x:f>
      </x:c>
      <x:c r="R180" t="str">
        <x:f>IF($A180="","",IFERROR(VLOOKUP($A180,MonthlyFinance!$A:$G,6,FALSE),""))</x:f>
      </x:c>
      <x:c r="S180" t="str">
        <x:f>IF($A180="","","Formula-linked from CaseLedger; finance fields from MonthlyFinance.")</x:f>
      </x:c>
      <x:c r="T180" t="str">
        <x:f>IF($A180="","","TRUE")</x:f>
      </x:c>
    </x:row>
    <x:row r="181">
      <x:c r="D181" t="str">
        <x:f>IF($A181="","",COUNTIFS(CaseLedger!$F:$F,$A181,CaseLedger!$B:$B,"TRUE"))</x:f>
      </x:c>
      <x:c r="E181" t="str">
        <x:f>IF($A181="","",COUNTIFS(CaseLedger!$F:$F,$A181,CaseLedger!$B:$B,"TRUE",CaseLedger!$P:$P,"Zakat"))</x:f>
      </x:c>
      <x:c r="F181" t="str">
        <x:f>IF($A181="","",COUNTIFS(CaseLedger!$F:$F,$A181,CaseLedger!$B:$B,"TRUE",CaseLedger!$P:$P,"Sadaqah"))</x:f>
      </x:c>
      <x:c r="G181" t="str">
        <x:f>IF($A181="","",COUNTIFS(CaseLedger!$F:$F,$A181,CaseLedger!$B:$B,"TRUE",CaseLedger!$P:$P,"Mixed"))</x:f>
      </x:c>
      <x:c r="H181" t="str">
        <x:f>IF($A181="","",COUNTIFS(CaseLedger!$F:$F,$A181,CaseLedger!$B:$B,"TRUE",CaseLedger!$K:$K,"Livelihood"))</x:f>
      </x:c>
      <x:c r="I181" t="str">
        <x:f>IF($A181="","",COUNTIFS(CaseLedger!$F:$F,$A181,CaseLedger!$B:$B,"TRUE",CaseLedger!$K:$K,"Skill Sponsorship"))</x:f>
      </x:c>
      <x:c r="J181" t="str">
        <x:f>IF($A181="","",COUNTIFS(CaseLedger!$F:$F,$A181,CaseLedger!$B:$B,"TRUE",CaseLedger!$K:$K,"Emergency Support"))</x:f>
      </x:c>
      <x:c r="K181" t="str">
        <x:f>IF($A181="","",COUNTIFS(CaseLedger!$F:$F,$A181,CaseLedger!$B:$B,"TRUE",CaseLedger!$K:$K,"Community Support"))</x:f>
      </x:c>
      <x:c r="L181" t="str">
        <x:f>IF($A181="","",SUMIFS(CaseLedger!$M:$M,CaseLedger!$F:$F,$A181,CaseLedger!$B:$B,"TRUE"))</x:f>
      </x:c>
      <x:c r="M181" t="str">
        <x:f>IF($A181="","",SUMIFS(CaseLedger!$N:$N,CaseLedger!$F:$F,$A181,CaseLedger!$B:$B,"TRUE"))</x:f>
      </x:c>
      <x:c r="N181" t="str">
        <x:f>IF($A181="","",0)</x:f>
      </x:c>
      <x:c r="O181" t="str">
        <x:f>IF($A181="","",SUMIFS(CaseLedger!$O:$O,CaseLedger!$F:$F,$A181,CaseLedger!$B:$B,"TRUE"))</x:f>
      </x:c>
      <x:c r="P181" t="str">
        <x:f>IF($A181="","",IFERROR(VLOOKUP($A181,MonthlyFinance!$A:$G,4,FALSE),""))</x:f>
      </x:c>
      <x:c r="Q181" t="str">
        <x:f>IF($A181="","",IFERROR(VLOOKUP($A181,MonthlyFinance!$A:$G,5,FALSE),""))</x:f>
      </x:c>
      <x:c r="R181" t="str">
        <x:f>IF($A181="","",IFERROR(VLOOKUP($A181,MonthlyFinance!$A:$G,6,FALSE),""))</x:f>
      </x:c>
      <x:c r="S181" t="str">
        <x:f>IF($A181="","","Formula-linked from CaseLedger; finance fields from MonthlyFinance.")</x:f>
      </x:c>
      <x:c r="T181" t="str">
        <x:f>IF($A181="","","TRUE")</x:f>
      </x:c>
    </x:row>
    <x:row r="182">
      <x:c r="D182" t="str">
        <x:f>IF($A182="","",COUNTIFS(CaseLedger!$F:$F,$A182,CaseLedger!$B:$B,"TRUE"))</x:f>
      </x:c>
      <x:c r="E182" t="str">
        <x:f>IF($A182="","",COUNTIFS(CaseLedger!$F:$F,$A182,CaseLedger!$B:$B,"TRUE",CaseLedger!$P:$P,"Zakat"))</x:f>
      </x:c>
      <x:c r="F182" t="str">
        <x:f>IF($A182="","",COUNTIFS(CaseLedger!$F:$F,$A182,CaseLedger!$B:$B,"TRUE",CaseLedger!$P:$P,"Sadaqah"))</x:f>
      </x:c>
      <x:c r="G182" t="str">
        <x:f>IF($A182="","",COUNTIFS(CaseLedger!$F:$F,$A182,CaseLedger!$B:$B,"TRUE",CaseLedger!$P:$P,"Mixed"))</x:f>
      </x:c>
      <x:c r="H182" t="str">
        <x:f>IF($A182="","",COUNTIFS(CaseLedger!$F:$F,$A182,CaseLedger!$B:$B,"TRUE",CaseLedger!$K:$K,"Livelihood"))</x:f>
      </x:c>
      <x:c r="I182" t="str">
        <x:f>IF($A182="","",COUNTIFS(CaseLedger!$F:$F,$A182,CaseLedger!$B:$B,"TRUE",CaseLedger!$K:$K,"Skill Sponsorship"))</x:f>
      </x:c>
      <x:c r="J182" t="str">
        <x:f>IF($A182="","",COUNTIFS(CaseLedger!$F:$F,$A182,CaseLedger!$B:$B,"TRUE",CaseLedger!$K:$K,"Emergency Support"))</x:f>
      </x:c>
      <x:c r="K182" t="str">
        <x:f>IF($A182="","",COUNTIFS(CaseLedger!$F:$F,$A182,CaseLedger!$B:$B,"TRUE",CaseLedger!$K:$K,"Community Support"))</x:f>
      </x:c>
      <x:c r="L182" t="str">
        <x:f>IF($A182="","",SUMIFS(CaseLedger!$M:$M,CaseLedger!$F:$F,$A182,CaseLedger!$B:$B,"TRUE"))</x:f>
      </x:c>
      <x:c r="M182" t="str">
        <x:f>IF($A182="","",SUMIFS(CaseLedger!$N:$N,CaseLedger!$F:$F,$A182,CaseLedger!$B:$B,"TRUE"))</x:f>
      </x:c>
      <x:c r="N182" t="str">
        <x:f>IF($A182="","",0)</x:f>
      </x:c>
      <x:c r="O182" t="str">
        <x:f>IF($A182="","",SUMIFS(CaseLedger!$O:$O,CaseLedger!$F:$F,$A182,CaseLedger!$B:$B,"TRUE"))</x:f>
      </x:c>
      <x:c r="P182" t="str">
        <x:f>IF($A182="","",IFERROR(VLOOKUP($A182,MonthlyFinance!$A:$G,4,FALSE),""))</x:f>
      </x:c>
      <x:c r="Q182" t="str">
        <x:f>IF($A182="","",IFERROR(VLOOKUP($A182,MonthlyFinance!$A:$G,5,FALSE),""))</x:f>
      </x:c>
      <x:c r="R182" t="str">
        <x:f>IF($A182="","",IFERROR(VLOOKUP($A182,MonthlyFinance!$A:$G,6,FALSE),""))</x:f>
      </x:c>
      <x:c r="S182" t="str">
        <x:f>IF($A182="","","Formula-linked from CaseLedger; finance fields from MonthlyFinance.")</x:f>
      </x:c>
      <x:c r="T182" t="str">
        <x:f>IF($A182="","","TRUE")</x:f>
      </x:c>
    </x:row>
    <x:row r="183">
      <x:c r="D183" t="str">
        <x:f>IF($A183="","",COUNTIFS(CaseLedger!$F:$F,$A183,CaseLedger!$B:$B,"TRUE"))</x:f>
      </x:c>
      <x:c r="E183" t="str">
        <x:f>IF($A183="","",COUNTIFS(CaseLedger!$F:$F,$A183,CaseLedger!$B:$B,"TRUE",CaseLedger!$P:$P,"Zakat"))</x:f>
      </x:c>
      <x:c r="F183" t="str">
        <x:f>IF($A183="","",COUNTIFS(CaseLedger!$F:$F,$A183,CaseLedger!$B:$B,"TRUE",CaseLedger!$P:$P,"Sadaqah"))</x:f>
      </x:c>
      <x:c r="G183" t="str">
        <x:f>IF($A183="","",COUNTIFS(CaseLedger!$F:$F,$A183,CaseLedger!$B:$B,"TRUE",CaseLedger!$P:$P,"Mixed"))</x:f>
      </x:c>
      <x:c r="H183" t="str">
        <x:f>IF($A183="","",COUNTIFS(CaseLedger!$F:$F,$A183,CaseLedger!$B:$B,"TRUE",CaseLedger!$K:$K,"Livelihood"))</x:f>
      </x:c>
      <x:c r="I183" t="str">
        <x:f>IF($A183="","",COUNTIFS(CaseLedger!$F:$F,$A183,CaseLedger!$B:$B,"TRUE",CaseLedger!$K:$K,"Skill Sponsorship"))</x:f>
      </x:c>
      <x:c r="J183" t="str">
        <x:f>IF($A183="","",COUNTIFS(CaseLedger!$F:$F,$A183,CaseLedger!$B:$B,"TRUE",CaseLedger!$K:$K,"Emergency Support"))</x:f>
      </x:c>
      <x:c r="K183" t="str">
        <x:f>IF($A183="","",COUNTIFS(CaseLedger!$F:$F,$A183,CaseLedger!$B:$B,"TRUE",CaseLedger!$K:$K,"Community Support"))</x:f>
      </x:c>
      <x:c r="L183" t="str">
        <x:f>IF($A183="","",SUMIFS(CaseLedger!$M:$M,CaseLedger!$F:$F,$A183,CaseLedger!$B:$B,"TRUE"))</x:f>
      </x:c>
      <x:c r="M183" t="str">
        <x:f>IF($A183="","",SUMIFS(CaseLedger!$N:$N,CaseLedger!$F:$F,$A183,CaseLedger!$B:$B,"TRUE"))</x:f>
      </x:c>
      <x:c r="N183" t="str">
        <x:f>IF($A183="","",0)</x:f>
      </x:c>
      <x:c r="O183" t="str">
        <x:f>IF($A183="","",SUMIFS(CaseLedger!$O:$O,CaseLedger!$F:$F,$A183,CaseLedger!$B:$B,"TRUE"))</x:f>
      </x:c>
      <x:c r="P183" t="str">
        <x:f>IF($A183="","",IFERROR(VLOOKUP($A183,MonthlyFinance!$A:$G,4,FALSE),""))</x:f>
      </x:c>
      <x:c r="Q183" t="str">
        <x:f>IF($A183="","",IFERROR(VLOOKUP($A183,MonthlyFinance!$A:$G,5,FALSE),""))</x:f>
      </x:c>
      <x:c r="R183" t="str">
        <x:f>IF($A183="","",IFERROR(VLOOKUP($A183,MonthlyFinance!$A:$G,6,FALSE),""))</x:f>
      </x:c>
      <x:c r="S183" t="str">
        <x:f>IF($A183="","","Formula-linked from CaseLedger; finance fields from MonthlyFinance.")</x:f>
      </x:c>
      <x:c r="T183" t="str">
        <x:f>IF($A183="","","TRUE")</x:f>
      </x:c>
    </x:row>
    <x:row r="184">
      <x:c r="D184" t="str">
        <x:f>IF($A184="","",COUNTIFS(CaseLedger!$F:$F,$A184,CaseLedger!$B:$B,"TRUE"))</x:f>
      </x:c>
      <x:c r="E184" t="str">
        <x:f>IF($A184="","",COUNTIFS(CaseLedger!$F:$F,$A184,CaseLedger!$B:$B,"TRUE",CaseLedger!$P:$P,"Zakat"))</x:f>
      </x:c>
      <x:c r="F184" t="str">
        <x:f>IF($A184="","",COUNTIFS(CaseLedger!$F:$F,$A184,CaseLedger!$B:$B,"TRUE",CaseLedger!$P:$P,"Sadaqah"))</x:f>
      </x:c>
      <x:c r="G184" t="str">
        <x:f>IF($A184="","",COUNTIFS(CaseLedger!$F:$F,$A184,CaseLedger!$B:$B,"TRUE",CaseLedger!$P:$P,"Mixed"))</x:f>
      </x:c>
      <x:c r="H184" t="str">
        <x:f>IF($A184="","",COUNTIFS(CaseLedger!$F:$F,$A184,CaseLedger!$B:$B,"TRUE",CaseLedger!$K:$K,"Livelihood"))</x:f>
      </x:c>
      <x:c r="I184" t="str">
        <x:f>IF($A184="","",COUNTIFS(CaseLedger!$F:$F,$A184,CaseLedger!$B:$B,"TRUE",CaseLedger!$K:$K,"Skill Sponsorship"))</x:f>
      </x:c>
      <x:c r="J184" t="str">
        <x:f>IF($A184="","",COUNTIFS(CaseLedger!$F:$F,$A184,CaseLedger!$B:$B,"TRUE",CaseLedger!$K:$K,"Emergency Support"))</x:f>
      </x:c>
      <x:c r="K184" t="str">
        <x:f>IF($A184="","",COUNTIFS(CaseLedger!$F:$F,$A184,CaseLedger!$B:$B,"TRUE",CaseLedger!$K:$K,"Community Support"))</x:f>
      </x:c>
      <x:c r="L184" t="str">
        <x:f>IF($A184="","",SUMIFS(CaseLedger!$M:$M,CaseLedger!$F:$F,$A184,CaseLedger!$B:$B,"TRUE"))</x:f>
      </x:c>
      <x:c r="M184" t="str">
        <x:f>IF($A184="","",SUMIFS(CaseLedger!$N:$N,CaseLedger!$F:$F,$A184,CaseLedger!$B:$B,"TRUE"))</x:f>
      </x:c>
      <x:c r="N184" t="str">
        <x:f>IF($A184="","",0)</x:f>
      </x:c>
      <x:c r="O184" t="str">
        <x:f>IF($A184="","",SUMIFS(CaseLedger!$O:$O,CaseLedger!$F:$F,$A184,CaseLedger!$B:$B,"TRUE"))</x:f>
      </x:c>
      <x:c r="P184" t="str">
        <x:f>IF($A184="","",IFERROR(VLOOKUP($A184,MonthlyFinance!$A:$G,4,FALSE),""))</x:f>
      </x:c>
      <x:c r="Q184" t="str">
        <x:f>IF($A184="","",IFERROR(VLOOKUP($A184,MonthlyFinance!$A:$G,5,FALSE),""))</x:f>
      </x:c>
      <x:c r="R184" t="str">
        <x:f>IF($A184="","",IFERROR(VLOOKUP($A184,MonthlyFinance!$A:$G,6,FALSE),""))</x:f>
      </x:c>
      <x:c r="S184" t="str">
        <x:f>IF($A184="","","Formula-linked from CaseLedger; finance fields from MonthlyFinance.")</x:f>
      </x:c>
      <x:c r="T184" t="str">
        <x:f>IF($A184="","","TRUE")</x:f>
      </x:c>
    </x:row>
    <x:row r="185">
      <x:c r="D185" t="str">
        <x:f>IF($A185="","",COUNTIFS(CaseLedger!$F:$F,$A185,CaseLedger!$B:$B,"TRUE"))</x:f>
      </x:c>
      <x:c r="E185" t="str">
        <x:f>IF($A185="","",COUNTIFS(CaseLedger!$F:$F,$A185,CaseLedger!$B:$B,"TRUE",CaseLedger!$P:$P,"Zakat"))</x:f>
      </x:c>
      <x:c r="F185" t="str">
        <x:f>IF($A185="","",COUNTIFS(CaseLedger!$F:$F,$A185,CaseLedger!$B:$B,"TRUE",CaseLedger!$P:$P,"Sadaqah"))</x:f>
      </x:c>
      <x:c r="G185" t="str">
        <x:f>IF($A185="","",COUNTIFS(CaseLedger!$F:$F,$A185,CaseLedger!$B:$B,"TRUE",CaseLedger!$P:$P,"Mixed"))</x:f>
      </x:c>
      <x:c r="H185" t="str">
        <x:f>IF($A185="","",COUNTIFS(CaseLedger!$F:$F,$A185,CaseLedger!$B:$B,"TRUE",CaseLedger!$K:$K,"Livelihood"))</x:f>
      </x:c>
      <x:c r="I185" t="str">
        <x:f>IF($A185="","",COUNTIFS(CaseLedger!$F:$F,$A185,CaseLedger!$B:$B,"TRUE",CaseLedger!$K:$K,"Skill Sponsorship"))</x:f>
      </x:c>
      <x:c r="J185" t="str">
        <x:f>IF($A185="","",COUNTIFS(CaseLedger!$F:$F,$A185,CaseLedger!$B:$B,"TRUE",CaseLedger!$K:$K,"Emergency Support"))</x:f>
      </x:c>
      <x:c r="K185" t="str">
        <x:f>IF($A185="","",COUNTIFS(CaseLedger!$F:$F,$A185,CaseLedger!$B:$B,"TRUE",CaseLedger!$K:$K,"Community Support"))</x:f>
      </x:c>
      <x:c r="L185" t="str">
        <x:f>IF($A185="","",SUMIFS(CaseLedger!$M:$M,CaseLedger!$F:$F,$A185,CaseLedger!$B:$B,"TRUE"))</x:f>
      </x:c>
      <x:c r="M185" t="str">
        <x:f>IF($A185="","",SUMIFS(CaseLedger!$N:$N,CaseLedger!$F:$F,$A185,CaseLedger!$B:$B,"TRUE"))</x:f>
      </x:c>
      <x:c r="N185" t="str">
        <x:f>IF($A185="","",0)</x:f>
      </x:c>
      <x:c r="O185" t="str">
        <x:f>IF($A185="","",SUMIFS(CaseLedger!$O:$O,CaseLedger!$F:$F,$A185,CaseLedger!$B:$B,"TRUE"))</x:f>
      </x:c>
      <x:c r="P185" t="str">
        <x:f>IF($A185="","",IFERROR(VLOOKUP($A185,MonthlyFinance!$A:$G,4,FALSE),""))</x:f>
      </x:c>
      <x:c r="Q185" t="str">
        <x:f>IF($A185="","",IFERROR(VLOOKUP($A185,MonthlyFinance!$A:$G,5,FALSE),""))</x:f>
      </x:c>
      <x:c r="R185" t="str">
        <x:f>IF($A185="","",IFERROR(VLOOKUP($A185,MonthlyFinance!$A:$G,6,FALSE),""))</x:f>
      </x:c>
      <x:c r="S185" t="str">
        <x:f>IF($A185="","","Formula-linked from CaseLedger; finance fields from MonthlyFinance.")</x:f>
      </x:c>
      <x:c r="T185" t="str">
        <x:f>IF($A185="","","TRUE")</x:f>
      </x:c>
    </x:row>
    <x:row r="186">
      <x:c r="D186" t="str">
        <x:f>IF($A186="","",COUNTIFS(CaseLedger!$F:$F,$A186,CaseLedger!$B:$B,"TRUE"))</x:f>
      </x:c>
      <x:c r="E186" t="str">
        <x:f>IF($A186="","",COUNTIFS(CaseLedger!$F:$F,$A186,CaseLedger!$B:$B,"TRUE",CaseLedger!$P:$P,"Zakat"))</x:f>
      </x:c>
      <x:c r="F186" t="str">
        <x:f>IF($A186="","",COUNTIFS(CaseLedger!$F:$F,$A186,CaseLedger!$B:$B,"TRUE",CaseLedger!$P:$P,"Sadaqah"))</x:f>
      </x:c>
      <x:c r="G186" t="str">
        <x:f>IF($A186="","",COUNTIFS(CaseLedger!$F:$F,$A186,CaseLedger!$B:$B,"TRUE",CaseLedger!$P:$P,"Mixed"))</x:f>
      </x:c>
      <x:c r="H186" t="str">
        <x:f>IF($A186="","",COUNTIFS(CaseLedger!$F:$F,$A186,CaseLedger!$B:$B,"TRUE",CaseLedger!$K:$K,"Livelihood"))</x:f>
      </x:c>
      <x:c r="I186" t="str">
        <x:f>IF($A186="","",COUNTIFS(CaseLedger!$F:$F,$A186,CaseLedger!$B:$B,"TRUE",CaseLedger!$K:$K,"Skill Sponsorship"))</x:f>
      </x:c>
      <x:c r="J186" t="str">
        <x:f>IF($A186="","",COUNTIFS(CaseLedger!$F:$F,$A186,CaseLedger!$B:$B,"TRUE",CaseLedger!$K:$K,"Emergency Support"))</x:f>
      </x:c>
      <x:c r="K186" t="str">
        <x:f>IF($A186="","",COUNTIFS(CaseLedger!$F:$F,$A186,CaseLedger!$B:$B,"TRUE",CaseLedger!$K:$K,"Community Support"))</x:f>
      </x:c>
      <x:c r="L186" t="str">
        <x:f>IF($A186="","",SUMIFS(CaseLedger!$M:$M,CaseLedger!$F:$F,$A186,CaseLedger!$B:$B,"TRUE"))</x:f>
      </x:c>
      <x:c r="M186" t="str">
        <x:f>IF($A186="","",SUMIFS(CaseLedger!$N:$N,CaseLedger!$F:$F,$A186,CaseLedger!$B:$B,"TRUE"))</x:f>
      </x:c>
      <x:c r="N186" t="str">
        <x:f>IF($A186="","",0)</x:f>
      </x:c>
      <x:c r="O186" t="str">
        <x:f>IF($A186="","",SUMIFS(CaseLedger!$O:$O,CaseLedger!$F:$F,$A186,CaseLedger!$B:$B,"TRUE"))</x:f>
      </x:c>
      <x:c r="P186" t="str">
        <x:f>IF($A186="","",IFERROR(VLOOKUP($A186,MonthlyFinance!$A:$G,4,FALSE),""))</x:f>
      </x:c>
      <x:c r="Q186" t="str">
        <x:f>IF($A186="","",IFERROR(VLOOKUP($A186,MonthlyFinance!$A:$G,5,FALSE),""))</x:f>
      </x:c>
      <x:c r="R186" t="str">
        <x:f>IF($A186="","",IFERROR(VLOOKUP($A186,MonthlyFinance!$A:$G,6,FALSE),""))</x:f>
      </x:c>
      <x:c r="S186" t="str">
        <x:f>IF($A186="","","Formula-linked from CaseLedger; finance fields from MonthlyFinance.")</x:f>
      </x:c>
      <x:c r="T186" t="str">
        <x:f>IF($A186="","","TRUE")</x:f>
      </x:c>
    </x:row>
    <x:row r="187">
      <x:c r="D187" t="str">
        <x:f>IF($A187="","",COUNTIFS(CaseLedger!$F:$F,$A187,CaseLedger!$B:$B,"TRUE"))</x:f>
      </x:c>
      <x:c r="E187" t="str">
        <x:f>IF($A187="","",COUNTIFS(CaseLedger!$F:$F,$A187,CaseLedger!$B:$B,"TRUE",CaseLedger!$P:$P,"Zakat"))</x:f>
      </x:c>
      <x:c r="F187" t="str">
        <x:f>IF($A187="","",COUNTIFS(CaseLedger!$F:$F,$A187,CaseLedger!$B:$B,"TRUE",CaseLedger!$P:$P,"Sadaqah"))</x:f>
      </x:c>
      <x:c r="G187" t="str">
        <x:f>IF($A187="","",COUNTIFS(CaseLedger!$F:$F,$A187,CaseLedger!$B:$B,"TRUE",CaseLedger!$P:$P,"Mixed"))</x:f>
      </x:c>
      <x:c r="H187" t="str">
        <x:f>IF($A187="","",COUNTIFS(CaseLedger!$F:$F,$A187,CaseLedger!$B:$B,"TRUE",CaseLedger!$K:$K,"Livelihood"))</x:f>
      </x:c>
      <x:c r="I187" t="str">
        <x:f>IF($A187="","",COUNTIFS(CaseLedger!$F:$F,$A187,CaseLedger!$B:$B,"TRUE",CaseLedger!$K:$K,"Skill Sponsorship"))</x:f>
      </x:c>
      <x:c r="J187" t="str">
        <x:f>IF($A187="","",COUNTIFS(CaseLedger!$F:$F,$A187,CaseLedger!$B:$B,"TRUE",CaseLedger!$K:$K,"Emergency Support"))</x:f>
      </x:c>
      <x:c r="K187" t="str">
        <x:f>IF($A187="","",COUNTIFS(CaseLedger!$F:$F,$A187,CaseLedger!$B:$B,"TRUE",CaseLedger!$K:$K,"Community Support"))</x:f>
      </x:c>
      <x:c r="L187" t="str">
        <x:f>IF($A187="","",SUMIFS(CaseLedger!$M:$M,CaseLedger!$F:$F,$A187,CaseLedger!$B:$B,"TRUE"))</x:f>
      </x:c>
      <x:c r="M187" t="str">
        <x:f>IF($A187="","",SUMIFS(CaseLedger!$N:$N,CaseLedger!$F:$F,$A187,CaseLedger!$B:$B,"TRUE"))</x:f>
      </x:c>
      <x:c r="N187" t="str">
        <x:f>IF($A187="","",0)</x:f>
      </x:c>
      <x:c r="O187" t="str">
        <x:f>IF($A187="","",SUMIFS(CaseLedger!$O:$O,CaseLedger!$F:$F,$A187,CaseLedger!$B:$B,"TRUE"))</x:f>
      </x:c>
      <x:c r="P187" t="str">
        <x:f>IF($A187="","",IFERROR(VLOOKUP($A187,MonthlyFinance!$A:$G,4,FALSE),""))</x:f>
      </x:c>
      <x:c r="Q187" t="str">
        <x:f>IF($A187="","",IFERROR(VLOOKUP($A187,MonthlyFinance!$A:$G,5,FALSE),""))</x:f>
      </x:c>
      <x:c r="R187" t="str">
        <x:f>IF($A187="","",IFERROR(VLOOKUP($A187,MonthlyFinance!$A:$G,6,FALSE),""))</x:f>
      </x:c>
      <x:c r="S187" t="str">
        <x:f>IF($A187="","","Formula-linked from CaseLedger; finance fields from MonthlyFinance.")</x:f>
      </x:c>
      <x:c r="T187" t="str">
        <x:f>IF($A187="","","TRUE")</x:f>
      </x:c>
    </x:row>
    <x:row r="188">
      <x:c r="D188" t="str">
        <x:f>IF($A188="","",COUNTIFS(CaseLedger!$F:$F,$A188,CaseLedger!$B:$B,"TRUE"))</x:f>
      </x:c>
      <x:c r="E188" t="str">
        <x:f>IF($A188="","",COUNTIFS(CaseLedger!$F:$F,$A188,CaseLedger!$B:$B,"TRUE",CaseLedger!$P:$P,"Zakat"))</x:f>
      </x:c>
      <x:c r="F188" t="str">
        <x:f>IF($A188="","",COUNTIFS(CaseLedger!$F:$F,$A188,CaseLedger!$B:$B,"TRUE",CaseLedger!$P:$P,"Sadaqah"))</x:f>
      </x:c>
      <x:c r="G188" t="str">
        <x:f>IF($A188="","",COUNTIFS(CaseLedger!$F:$F,$A188,CaseLedger!$B:$B,"TRUE",CaseLedger!$P:$P,"Mixed"))</x:f>
      </x:c>
      <x:c r="H188" t="str">
        <x:f>IF($A188="","",COUNTIFS(CaseLedger!$F:$F,$A188,CaseLedger!$B:$B,"TRUE",CaseLedger!$K:$K,"Livelihood"))</x:f>
      </x:c>
      <x:c r="I188" t="str">
        <x:f>IF($A188="","",COUNTIFS(CaseLedger!$F:$F,$A188,CaseLedger!$B:$B,"TRUE",CaseLedger!$K:$K,"Skill Sponsorship"))</x:f>
      </x:c>
      <x:c r="J188" t="str">
        <x:f>IF($A188="","",COUNTIFS(CaseLedger!$F:$F,$A188,CaseLedger!$B:$B,"TRUE",CaseLedger!$K:$K,"Emergency Support"))</x:f>
      </x:c>
      <x:c r="K188" t="str">
        <x:f>IF($A188="","",COUNTIFS(CaseLedger!$F:$F,$A188,CaseLedger!$B:$B,"TRUE",CaseLedger!$K:$K,"Community Support"))</x:f>
      </x:c>
      <x:c r="L188" t="str">
        <x:f>IF($A188="","",SUMIFS(CaseLedger!$M:$M,CaseLedger!$F:$F,$A188,CaseLedger!$B:$B,"TRUE"))</x:f>
      </x:c>
      <x:c r="M188" t="str">
        <x:f>IF($A188="","",SUMIFS(CaseLedger!$N:$N,CaseLedger!$F:$F,$A188,CaseLedger!$B:$B,"TRUE"))</x:f>
      </x:c>
      <x:c r="N188" t="str">
        <x:f>IF($A188="","",0)</x:f>
      </x:c>
      <x:c r="O188" t="str">
        <x:f>IF($A188="","",SUMIFS(CaseLedger!$O:$O,CaseLedger!$F:$F,$A188,CaseLedger!$B:$B,"TRUE"))</x:f>
      </x:c>
      <x:c r="P188" t="str">
        <x:f>IF($A188="","",IFERROR(VLOOKUP($A188,MonthlyFinance!$A:$G,4,FALSE),""))</x:f>
      </x:c>
      <x:c r="Q188" t="str">
        <x:f>IF($A188="","",IFERROR(VLOOKUP($A188,MonthlyFinance!$A:$G,5,FALSE),""))</x:f>
      </x:c>
      <x:c r="R188" t="str">
        <x:f>IF($A188="","",IFERROR(VLOOKUP($A188,MonthlyFinance!$A:$G,6,FALSE),""))</x:f>
      </x:c>
      <x:c r="S188" t="str">
        <x:f>IF($A188="","","Formula-linked from CaseLedger; finance fields from MonthlyFinance.")</x:f>
      </x:c>
      <x:c r="T188" t="str">
        <x:f>IF($A188="","","TRUE")</x:f>
      </x:c>
    </x:row>
    <x:row r="189">
      <x:c r="D189" t="str">
        <x:f>IF($A189="","",COUNTIFS(CaseLedger!$F:$F,$A189,CaseLedger!$B:$B,"TRUE"))</x:f>
      </x:c>
      <x:c r="E189" t="str">
        <x:f>IF($A189="","",COUNTIFS(CaseLedger!$F:$F,$A189,CaseLedger!$B:$B,"TRUE",CaseLedger!$P:$P,"Zakat"))</x:f>
      </x:c>
      <x:c r="F189" t="str">
        <x:f>IF($A189="","",COUNTIFS(CaseLedger!$F:$F,$A189,CaseLedger!$B:$B,"TRUE",CaseLedger!$P:$P,"Sadaqah"))</x:f>
      </x:c>
      <x:c r="G189" t="str">
        <x:f>IF($A189="","",COUNTIFS(CaseLedger!$F:$F,$A189,CaseLedger!$B:$B,"TRUE",CaseLedger!$P:$P,"Mixed"))</x:f>
      </x:c>
      <x:c r="H189" t="str">
        <x:f>IF($A189="","",COUNTIFS(CaseLedger!$F:$F,$A189,CaseLedger!$B:$B,"TRUE",CaseLedger!$K:$K,"Livelihood"))</x:f>
      </x:c>
      <x:c r="I189" t="str">
        <x:f>IF($A189="","",COUNTIFS(CaseLedger!$F:$F,$A189,CaseLedger!$B:$B,"TRUE",CaseLedger!$K:$K,"Skill Sponsorship"))</x:f>
      </x:c>
      <x:c r="J189" t="str">
        <x:f>IF($A189="","",COUNTIFS(CaseLedger!$F:$F,$A189,CaseLedger!$B:$B,"TRUE",CaseLedger!$K:$K,"Emergency Support"))</x:f>
      </x:c>
      <x:c r="K189" t="str">
        <x:f>IF($A189="","",COUNTIFS(CaseLedger!$F:$F,$A189,CaseLedger!$B:$B,"TRUE",CaseLedger!$K:$K,"Community Support"))</x:f>
      </x:c>
      <x:c r="L189" t="str">
        <x:f>IF($A189="","",SUMIFS(CaseLedger!$M:$M,CaseLedger!$F:$F,$A189,CaseLedger!$B:$B,"TRUE"))</x:f>
      </x:c>
      <x:c r="M189" t="str">
        <x:f>IF($A189="","",SUMIFS(CaseLedger!$N:$N,CaseLedger!$F:$F,$A189,CaseLedger!$B:$B,"TRUE"))</x:f>
      </x:c>
      <x:c r="N189" t="str">
        <x:f>IF($A189="","",0)</x:f>
      </x:c>
      <x:c r="O189" t="str">
        <x:f>IF($A189="","",SUMIFS(CaseLedger!$O:$O,CaseLedger!$F:$F,$A189,CaseLedger!$B:$B,"TRUE"))</x:f>
      </x:c>
      <x:c r="P189" t="str">
        <x:f>IF($A189="","",IFERROR(VLOOKUP($A189,MonthlyFinance!$A:$G,4,FALSE),""))</x:f>
      </x:c>
      <x:c r="Q189" t="str">
        <x:f>IF($A189="","",IFERROR(VLOOKUP($A189,MonthlyFinance!$A:$G,5,FALSE),""))</x:f>
      </x:c>
      <x:c r="R189" t="str">
        <x:f>IF($A189="","",IFERROR(VLOOKUP($A189,MonthlyFinance!$A:$G,6,FALSE),""))</x:f>
      </x:c>
      <x:c r="S189" t="str">
        <x:f>IF($A189="","","Formula-linked from CaseLedger; finance fields from MonthlyFinance.")</x:f>
      </x:c>
      <x:c r="T189" t="str">
        <x:f>IF($A189="","","TRUE")</x:f>
      </x:c>
    </x:row>
    <x:row r="190">
      <x:c r="D190" t="str">
        <x:f>IF($A190="","",COUNTIFS(CaseLedger!$F:$F,$A190,CaseLedger!$B:$B,"TRUE"))</x:f>
      </x:c>
      <x:c r="E190" t="str">
        <x:f>IF($A190="","",COUNTIFS(CaseLedger!$F:$F,$A190,CaseLedger!$B:$B,"TRUE",CaseLedger!$P:$P,"Zakat"))</x:f>
      </x:c>
      <x:c r="F190" t="str">
        <x:f>IF($A190="","",COUNTIFS(CaseLedger!$F:$F,$A190,CaseLedger!$B:$B,"TRUE",CaseLedger!$P:$P,"Sadaqah"))</x:f>
      </x:c>
      <x:c r="G190" t="str">
        <x:f>IF($A190="","",COUNTIFS(CaseLedger!$F:$F,$A190,CaseLedger!$B:$B,"TRUE",CaseLedger!$P:$P,"Mixed"))</x:f>
      </x:c>
      <x:c r="H190" t="str">
        <x:f>IF($A190="","",COUNTIFS(CaseLedger!$F:$F,$A190,CaseLedger!$B:$B,"TRUE",CaseLedger!$K:$K,"Livelihood"))</x:f>
      </x:c>
      <x:c r="I190" t="str">
        <x:f>IF($A190="","",COUNTIFS(CaseLedger!$F:$F,$A190,CaseLedger!$B:$B,"TRUE",CaseLedger!$K:$K,"Skill Sponsorship"))</x:f>
      </x:c>
      <x:c r="J190" t="str">
        <x:f>IF($A190="","",COUNTIFS(CaseLedger!$F:$F,$A190,CaseLedger!$B:$B,"TRUE",CaseLedger!$K:$K,"Emergency Support"))</x:f>
      </x:c>
      <x:c r="K190" t="str">
        <x:f>IF($A190="","",COUNTIFS(CaseLedger!$F:$F,$A190,CaseLedger!$B:$B,"TRUE",CaseLedger!$K:$K,"Community Support"))</x:f>
      </x:c>
      <x:c r="L190" t="str">
        <x:f>IF($A190="","",SUMIFS(CaseLedger!$M:$M,CaseLedger!$F:$F,$A190,CaseLedger!$B:$B,"TRUE"))</x:f>
      </x:c>
      <x:c r="M190" t="str">
        <x:f>IF($A190="","",SUMIFS(CaseLedger!$N:$N,CaseLedger!$F:$F,$A190,CaseLedger!$B:$B,"TRUE"))</x:f>
      </x:c>
      <x:c r="N190" t="str">
        <x:f>IF($A190="","",0)</x:f>
      </x:c>
      <x:c r="O190" t="str">
        <x:f>IF($A190="","",SUMIFS(CaseLedger!$O:$O,CaseLedger!$F:$F,$A190,CaseLedger!$B:$B,"TRUE"))</x:f>
      </x:c>
      <x:c r="P190" t="str">
        <x:f>IF($A190="","",IFERROR(VLOOKUP($A190,MonthlyFinance!$A:$G,4,FALSE),""))</x:f>
      </x:c>
      <x:c r="Q190" t="str">
        <x:f>IF($A190="","",IFERROR(VLOOKUP($A190,MonthlyFinance!$A:$G,5,FALSE),""))</x:f>
      </x:c>
      <x:c r="R190" t="str">
        <x:f>IF($A190="","",IFERROR(VLOOKUP($A190,MonthlyFinance!$A:$G,6,FALSE),""))</x:f>
      </x:c>
      <x:c r="S190" t="str">
        <x:f>IF($A190="","","Formula-linked from CaseLedger; finance fields from MonthlyFinance.")</x:f>
      </x:c>
      <x:c r="T190" t="str">
        <x:f>IF($A190="","","TRUE")</x:f>
      </x:c>
    </x:row>
    <x:row r="191">
      <x:c r="D191" t="str">
        <x:f>IF($A191="","",COUNTIFS(CaseLedger!$F:$F,$A191,CaseLedger!$B:$B,"TRUE"))</x:f>
      </x:c>
      <x:c r="E191" t="str">
        <x:f>IF($A191="","",COUNTIFS(CaseLedger!$F:$F,$A191,CaseLedger!$B:$B,"TRUE",CaseLedger!$P:$P,"Zakat"))</x:f>
      </x:c>
      <x:c r="F191" t="str">
        <x:f>IF($A191="","",COUNTIFS(CaseLedger!$F:$F,$A191,CaseLedger!$B:$B,"TRUE",CaseLedger!$P:$P,"Sadaqah"))</x:f>
      </x:c>
      <x:c r="G191" t="str">
        <x:f>IF($A191="","",COUNTIFS(CaseLedger!$F:$F,$A191,CaseLedger!$B:$B,"TRUE",CaseLedger!$P:$P,"Mixed"))</x:f>
      </x:c>
      <x:c r="H191" t="str">
        <x:f>IF($A191="","",COUNTIFS(CaseLedger!$F:$F,$A191,CaseLedger!$B:$B,"TRUE",CaseLedger!$K:$K,"Livelihood"))</x:f>
      </x:c>
      <x:c r="I191" t="str">
        <x:f>IF($A191="","",COUNTIFS(CaseLedger!$F:$F,$A191,CaseLedger!$B:$B,"TRUE",CaseLedger!$K:$K,"Skill Sponsorship"))</x:f>
      </x:c>
      <x:c r="J191" t="str">
        <x:f>IF($A191="","",COUNTIFS(CaseLedger!$F:$F,$A191,CaseLedger!$B:$B,"TRUE",CaseLedger!$K:$K,"Emergency Support"))</x:f>
      </x:c>
      <x:c r="K191" t="str">
        <x:f>IF($A191="","",COUNTIFS(CaseLedger!$F:$F,$A191,CaseLedger!$B:$B,"TRUE",CaseLedger!$K:$K,"Community Support"))</x:f>
      </x:c>
      <x:c r="L191" t="str">
        <x:f>IF($A191="","",SUMIFS(CaseLedger!$M:$M,CaseLedger!$F:$F,$A191,CaseLedger!$B:$B,"TRUE"))</x:f>
      </x:c>
      <x:c r="M191" t="str">
        <x:f>IF($A191="","",SUMIFS(CaseLedger!$N:$N,CaseLedger!$F:$F,$A191,CaseLedger!$B:$B,"TRUE"))</x:f>
      </x:c>
      <x:c r="N191" t="str">
        <x:f>IF($A191="","",0)</x:f>
      </x:c>
      <x:c r="O191" t="str">
        <x:f>IF($A191="","",SUMIFS(CaseLedger!$O:$O,CaseLedger!$F:$F,$A191,CaseLedger!$B:$B,"TRUE"))</x:f>
      </x:c>
      <x:c r="P191" t="str">
        <x:f>IF($A191="","",IFERROR(VLOOKUP($A191,MonthlyFinance!$A:$G,4,FALSE),""))</x:f>
      </x:c>
      <x:c r="Q191" t="str">
        <x:f>IF($A191="","",IFERROR(VLOOKUP($A191,MonthlyFinance!$A:$G,5,FALSE),""))</x:f>
      </x:c>
      <x:c r="R191" t="str">
        <x:f>IF($A191="","",IFERROR(VLOOKUP($A191,MonthlyFinance!$A:$G,6,FALSE),""))</x:f>
      </x:c>
      <x:c r="S191" t="str">
        <x:f>IF($A191="","","Formula-linked from CaseLedger; finance fields from MonthlyFinance.")</x:f>
      </x:c>
      <x:c r="T191" t="str">
        <x:f>IF($A191="","","TRUE")</x:f>
      </x:c>
    </x:row>
    <x:row r="192">
      <x:c r="D192" t="str">
        <x:f>IF($A192="","",COUNTIFS(CaseLedger!$F:$F,$A192,CaseLedger!$B:$B,"TRUE"))</x:f>
      </x:c>
      <x:c r="E192" t="str">
        <x:f>IF($A192="","",COUNTIFS(CaseLedger!$F:$F,$A192,CaseLedger!$B:$B,"TRUE",CaseLedger!$P:$P,"Zakat"))</x:f>
      </x:c>
      <x:c r="F192" t="str">
        <x:f>IF($A192="","",COUNTIFS(CaseLedger!$F:$F,$A192,CaseLedger!$B:$B,"TRUE",CaseLedger!$P:$P,"Sadaqah"))</x:f>
      </x:c>
      <x:c r="G192" t="str">
        <x:f>IF($A192="","",COUNTIFS(CaseLedger!$F:$F,$A192,CaseLedger!$B:$B,"TRUE",CaseLedger!$P:$P,"Mixed"))</x:f>
      </x:c>
      <x:c r="H192" t="str">
        <x:f>IF($A192="","",COUNTIFS(CaseLedger!$F:$F,$A192,CaseLedger!$B:$B,"TRUE",CaseLedger!$K:$K,"Livelihood"))</x:f>
      </x:c>
      <x:c r="I192" t="str">
        <x:f>IF($A192="","",COUNTIFS(CaseLedger!$F:$F,$A192,CaseLedger!$B:$B,"TRUE",CaseLedger!$K:$K,"Skill Sponsorship"))</x:f>
      </x:c>
      <x:c r="J192" t="str">
        <x:f>IF($A192="","",COUNTIFS(CaseLedger!$F:$F,$A192,CaseLedger!$B:$B,"TRUE",CaseLedger!$K:$K,"Emergency Support"))</x:f>
      </x:c>
      <x:c r="K192" t="str">
        <x:f>IF($A192="","",COUNTIFS(CaseLedger!$F:$F,$A192,CaseLedger!$B:$B,"TRUE",CaseLedger!$K:$K,"Community Support"))</x:f>
      </x:c>
      <x:c r="L192" t="str">
        <x:f>IF($A192="","",SUMIFS(CaseLedger!$M:$M,CaseLedger!$F:$F,$A192,CaseLedger!$B:$B,"TRUE"))</x:f>
      </x:c>
      <x:c r="M192" t="str">
        <x:f>IF($A192="","",SUMIFS(CaseLedger!$N:$N,CaseLedger!$F:$F,$A192,CaseLedger!$B:$B,"TRUE"))</x:f>
      </x:c>
      <x:c r="N192" t="str">
        <x:f>IF($A192="","",0)</x:f>
      </x:c>
      <x:c r="O192" t="str">
        <x:f>IF($A192="","",SUMIFS(CaseLedger!$O:$O,CaseLedger!$F:$F,$A192,CaseLedger!$B:$B,"TRUE"))</x:f>
      </x:c>
      <x:c r="P192" t="str">
        <x:f>IF($A192="","",IFERROR(VLOOKUP($A192,MonthlyFinance!$A:$G,4,FALSE),""))</x:f>
      </x:c>
      <x:c r="Q192" t="str">
        <x:f>IF($A192="","",IFERROR(VLOOKUP($A192,MonthlyFinance!$A:$G,5,FALSE),""))</x:f>
      </x:c>
      <x:c r="R192" t="str">
        <x:f>IF($A192="","",IFERROR(VLOOKUP($A192,MonthlyFinance!$A:$G,6,FALSE),""))</x:f>
      </x:c>
      <x:c r="S192" t="str">
        <x:f>IF($A192="","","Formula-linked from CaseLedger; finance fields from MonthlyFinance.")</x:f>
      </x:c>
      <x:c r="T192" t="str">
        <x:f>IF($A192="","","TRUE")</x:f>
      </x:c>
    </x:row>
    <x:row r="193">
      <x:c r="D193" t="str">
        <x:f>IF($A193="","",COUNTIFS(CaseLedger!$F:$F,$A193,CaseLedger!$B:$B,"TRUE"))</x:f>
      </x:c>
      <x:c r="E193" t="str">
        <x:f>IF($A193="","",COUNTIFS(CaseLedger!$F:$F,$A193,CaseLedger!$B:$B,"TRUE",CaseLedger!$P:$P,"Zakat"))</x:f>
      </x:c>
      <x:c r="F193" t="str">
        <x:f>IF($A193="","",COUNTIFS(CaseLedger!$F:$F,$A193,CaseLedger!$B:$B,"TRUE",CaseLedger!$P:$P,"Sadaqah"))</x:f>
      </x:c>
      <x:c r="G193" t="str">
        <x:f>IF($A193="","",COUNTIFS(CaseLedger!$F:$F,$A193,CaseLedger!$B:$B,"TRUE",CaseLedger!$P:$P,"Mixed"))</x:f>
      </x:c>
      <x:c r="H193" t="str">
        <x:f>IF($A193="","",COUNTIFS(CaseLedger!$F:$F,$A193,CaseLedger!$B:$B,"TRUE",CaseLedger!$K:$K,"Livelihood"))</x:f>
      </x:c>
      <x:c r="I193" t="str">
        <x:f>IF($A193="","",COUNTIFS(CaseLedger!$F:$F,$A193,CaseLedger!$B:$B,"TRUE",CaseLedger!$K:$K,"Skill Sponsorship"))</x:f>
      </x:c>
      <x:c r="J193" t="str">
        <x:f>IF($A193="","",COUNTIFS(CaseLedger!$F:$F,$A193,CaseLedger!$B:$B,"TRUE",CaseLedger!$K:$K,"Emergency Support"))</x:f>
      </x:c>
      <x:c r="K193" t="str">
        <x:f>IF($A193="","",COUNTIFS(CaseLedger!$F:$F,$A193,CaseLedger!$B:$B,"TRUE",CaseLedger!$K:$K,"Community Support"))</x:f>
      </x:c>
      <x:c r="L193" t="str">
        <x:f>IF($A193="","",SUMIFS(CaseLedger!$M:$M,CaseLedger!$F:$F,$A193,CaseLedger!$B:$B,"TRUE"))</x:f>
      </x:c>
      <x:c r="M193" t="str">
        <x:f>IF($A193="","",SUMIFS(CaseLedger!$N:$N,CaseLedger!$F:$F,$A193,CaseLedger!$B:$B,"TRUE"))</x:f>
      </x:c>
      <x:c r="N193" t="str">
        <x:f>IF($A193="","",0)</x:f>
      </x:c>
      <x:c r="O193" t="str">
        <x:f>IF($A193="","",SUMIFS(CaseLedger!$O:$O,CaseLedger!$F:$F,$A193,CaseLedger!$B:$B,"TRUE"))</x:f>
      </x:c>
      <x:c r="P193" t="str">
        <x:f>IF($A193="","",IFERROR(VLOOKUP($A193,MonthlyFinance!$A:$G,4,FALSE),""))</x:f>
      </x:c>
      <x:c r="Q193" t="str">
        <x:f>IF($A193="","",IFERROR(VLOOKUP($A193,MonthlyFinance!$A:$G,5,FALSE),""))</x:f>
      </x:c>
      <x:c r="R193" t="str">
        <x:f>IF($A193="","",IFERROR(VLOOKUP($A193,MonthlyFinance!$A:$G,6,FALSE),""))</x:f>
      </x:c>
      <x:c r="S193" t="str">
        <x:f>IF($A193="","","Formula-linked from CaseLedger; finance fields from MonthlyFinance.")</x:f>
      </x:c>
      <x:c r="T193" t="str">
        <x:f>IF($A193="","","TRUE")</x:f>
      </x:c>
    </x:row>
    <x:row r="194">
      <x:c r="D194" t="str">
        <x:f>IF($A194="","",COUNTIFS(CaseLedger!$F:$F,$A194,CaseLedger!$B:$B,"TRUE"))</x:f>
      </x:c>
      <x:c r="E194" t="str">
        <x:f>IF($A194="","",COUNTIFS(CaseLedger!$F:$F,$A194,CaseLedger!$B:$B,"TRUE",CaseLedger!$P:$P,"Zakat"))</x:f>
      </x:c>
      <x:c r="F194" t="str">
        <x:f>IF($A194="","",COUNTIFS(CaseLedger!$F:$F,$A194,CaseLedger!$B:$B,"TRUE",CaseLedger!$P:$P,"Sadaqah"))</x:f>
      </x:c>
      <x:c r="G194" t="str">
        <x:f>IF($A194="","",COUNTIFS(CaseLedger!$F:$F,$A194,CaseLedger!$B:$B,"TRUE",CaseLedger!$P:$P,"Mixed"))</x:f>
      </x:c>
      <x:c r="H194" t="str">
        <x:f>IF($A194="","",COUNTIFS(CaseLedger!$F:$F,$A194,CaseLedger!$B:$B,"TRUE",CaseLedger!$K:$K,"Livelihood"))</x:f>
      </x:c>
      <x:c r="I194" t="str">
        <x:f>IF($A194="","",COUNTIFS(CaseLedger!$F:$F,$A194,CaseLedger!$B:$B,"TRUE",CaseLedger!$K:$K,"Skill Sponsorship"))</x:f>
      </x:c>
      <x:c r="J194" t="str">
        <x:f>IF($A194="","",COUNTIFS(CaseLedger!$F:$F,$A194,CaseLedger!$B:$B,"TRUE",CaseLedger!$K:$K,"Emergency Support"))</x:f>
      </x:c>
      <x:c r="K194" t="str">
        <x:f>IF($A194="","",COUNTIFS(CaseLedger!$F:$F,$A194,CaseLedger!$B:$B,"TRUE",CaseLedger!$K:$K,"Community Support"))</x:f>
      </x:c>
      <x:c r="L194" t="str">
        <x:f>IF($A194="","",SUMIFS(CaseLedger!$M:$M,CaseLedger!$F:$F,$A194,CaseLedger!$B:$B,"TRUE"))</x:f>
      </x:c>
      <x:c r="M194" t="str">
        <x:f>IF($A194="","",SUMIFS(CaseLedger!$N:$N,CaseLedger!$F:$F,$A194,CaseLedger!$B:$B,"TRUE"))</x:f>
      </x:c>
      <x:c r="N194" t="str">
        <x:f>IF($A194="","",0)</x:f>
      </x:c>
      <x:c r="O194" t="str">
        <x:f>IF($A194="","",SUMIFS(CaseLedger!$O:$O,CaseLedger!$F:$F,$A194,CaseLedger!$B:$B,"TRUE"))</x:f>
      </x:c>
      <x:c r="P194" t="str">
        <x:f>IF($A194="","",IFERROR(VLOOKUP($A194,MonthlyFinance!$A:$G,4,FALSE),""))</x:f>
      </x:c>
      <x:c r="Q194" t="str">
        <x:f>IF($A194="","",IFERROR(VLOOKUP($A194,MonthlyFinance!$A:$G,5,FALSE),""))</x:f>
      </x:c>
      <x:c r="R194" t="str">
        <x:f>IF($A194="","",IFERROR(VLOOKUP($A194,MonthlyFinance!$A:$G,6,FALSE),""))</x:f>
      </x:c>
      <x:c r="S194" t="str">
        <x:f>IF($A194="","","Formula-linked from CaseLedger; finance fields from MonthlyFinance.")</x:f>
      </x:c>
      <x:c r="T194" t="str">
        <x:f>IF($A194="","","TRUE")</x:f>
      </x:c>
    </x:row>
    <x:row r="195">
      <x:c r="D195" t="str">
        <x:f>IF($A195="","",COUNTIFS(CaseLedger!$F:$F,$A195,CaseLedger!$B:$B,"TRUE"))</x:f>
      </x:c>
      <x:c r="E195" t="str">
        <x:f>IF($A195="","",COUNTIFS(CaseLedger!$F:$F,$A195,CaseLedger!$B:$B,"TRUE",CaseLedger!$P:$P,"Zakat"))</x:f>
      </x:c>
      <x:c r="F195" t="str">
        <x:f>IF($A195="","",COUNTIFS(CaseLedger!$F:$F,$A195,CaseLedger!$B:$B,"TRUE",CaseLedger!$P:$P,"Sadaqah"))</x:f>
      </x:c>
      <x:c r="G195" t="str">
        <x:f>IF($A195="","",COUNTIFS(CaseLedger!$F:$F,$A195,CaseLedger!$B:$B,"TRUE",CaseLedger!$P:$P,"Mixed"))</x:f>
      </x:c>
      <x:c r="H195" t="str">
        <x:f>IF($A195="","",COUNTIFS(CaseLedger!$F:$F,$A195,CaseLedger!$B:$B,"TRUE",CaseLedger!$K:$K,"Livelihood"))</x:f>
      </x:c>
      <x:c r="I195" t="str">
        <x:f>IF($A195="","",COUNTIFS(CaseLedger!$F:$F,$A195,CaseLedger!$B:$B,"TRUE",CaseLedger!$K:$K,"Skill Sponsorship"))</x:f>
      </x:c>
      <x:c r="J195" t="str">
        <x:f>IF($A195="","",COUNTIFS(CaseLedger!$F:$F,$A195,CaseLedger!$B:$B,"TRUE",CaseLedger!$K:$K,"Emergency Support"))</x:f>
      </x:c>
      <x:c r="K195" t="str">
        <x:f>IF($A195="","",COUNTIFS(CaseLedger!$F:$F,$A195,CaseLedger!$B:$B,"TRUE",CaseLedger!$K:$K,"Community Support"))</x:f>
      </x:c>
      <x:c r="L195" t="str">
        <x:f>IF($A195="","",SUMIFS(CaseLedger!$M:$M,CaseLedger!$F:$F,$A195,CaseLedger!$B:$B,"TRUE"))</x:f>
      </x:c>
      <x:c r="M195" t="str">
        <x:f>IF($A195="","",SUMIFS(CaseLedger!$N:$N,CaseLedger!$F:$F,$A195,CaseLedger!$B:$B,"TRUE"))</x:f>
      </x:c>
      <x:c r="N195" t="str">
        <x:f>IF($A195="","",0)</x:f>
      </x:c>
      <x:c r="O195" t="str">
        <x:f>IF($A195="","",SUMIFS(CaseLedger!$O:$O,CaseLedger!$F:$F,$A195,CaseLedger!$B:$B,"TRUE"))</x:f>
      </x:c>
      <x:c r="P195" t="str">
        <x:f>IF($A195="","",IFERROR(VLOOKUP($A195,MonthlyFinance!$A:$G,4,FALSE),""))</x:f>
      </x:c>
      <x:c r="Q195" t="str">
        <x:f>IF($A195="","",IFERROR(VLOOKUP($A195,MonthlyFinance!$A:$G,5,FALSE),""))</x:f>
      </x:c>
      <x:c r="R195" t="str">
        <x:f>IF($A195="","",IFERROR(VLOOKUP($A195,MonthlyFinance!$A:$G,6,FALSE),""))</x:f>
      </x:c>
      <x:c r="S195" t="str">
        <x:f>IF($A195="","","Formula-linked from CaseLedger; finance fields from MonthlyFinance.")</x:f>
      </x:c>
      <x:c r="T195" t="str">
        <x:f>IF($A195="","","TRUE")</x:f>
      </x:c>
    </x:row>
    <x:row r="196">
      <x:c r="D196" t="str">
        <x:f>IF($A196="","",COUNTIFS(CaseLedger!$F:$F,$A196,CaseLedger!$B:$B,"TRUE"))</x:f>
      </x:c>
      <x:c r="E196" t="str">
        <x:f>IF($A196="","",COUNTIFS(CaseLedger!$F:$F,$A196,CaseLedger!$B:$B,"TRUE",CaseLedger!$P:$P,"Zakat"))</x:f>
      </x:c>
      <x:c r="F196" t="str">
        <x:f>IF($A196="","",COUNTIFS(CaseLedger!$F:$F,$A196,CaseLedger!$B:$B,"TRUE",CaseLedger!$P:$P,"Sadaqah"))</x:f>
      </x:c>
      <x:c r="G196" t="str">
        <x:f>IF($A196="","",COUNTIFS(CaseLedger!$F:$F,$A196,CaseLedger!$B:$B,"TRUE",CaseLedger!$P:$P,"Mixed"))</x:f>
      </x:c>
      <x:c r="H196" t="str">
        <x:f>IF($A196="","",COUNTIFS(CaseLedger!$F:$F,$A196,CaseLedger!$B:$B,"TRUE",CaseLedger!$K:$K,"Livelihood"))</x:f>
      </x:c>
      <x:c r="I196" t="str">
        <x:f>IF($A196="","",COUNTIFS(CaseLedger!$F:$F,$A196,CaseLedger!$B:$B,"TRUE",CaseLedger!$K:$K,"Skill Sponsorship"))</x:f>
      </x:c>
      <x:c r="J196" t="str">
        <x:f>IF($A196="","",COUNTIFS(CaseLedger!$F:$F,$A196,CaseLedger!$B:$B,"TRUE",CaseLedger!$K:$K,"Emergency Support"))</x:f>
      </x:c>
      <x:c r="K196" t="str">
        <x:f>IF($A196="","",COUNTIFS(CaseLedger!$F:$F,$A196,CaseLedger!$B:$B,"TRUE",CaseLedger!$K:$K,"Community Support"))</x:f>
      </x:c>
      <x:c r="L196" t="str">
        <x:f>IF($A196="","",SUMIFS(CaseLedger!$M:$M,CaseLedger!$F:$F,$A196,CaseLedger!$B:$B,"TRUE"))</x:f>
      </x:c>
      <x:c r="M196" t="str">
        <x:f>IF($A196="","",SUMIFS(CaseLedger!$N:$N,CaseLedger!$F:$F,$A196,CaseLedger!$B:$B,"TRUE"))</x:f>
      </x:c>
      <x:c r="N196" t="str">
        <x:f>IF($A196="","",0)</x:f>
      </x:c>
      <x:c r="O196" t="str">
        <x:f>IF($A196="","",SUMIFS(CaseLedger!$O:$O,CaseLedger!$F:$F,$A196,CaseLedger!$B:$B,"TRUE"))</x:f>
      </x:c>
      <x:c r="P196" t="str">
        <x:f>IF($A196="","",IFERROR(VLOOKUP($A196,MonthlyFinance!$A:$G,4,FALSE),""))</x:f>
      </x:c>
      <x:c r="Q196" t="str">
        <x:f>IF($A196="","",IFERROR(VLOOKUP($A196,MonthlyFinance!$A:$G,5,FALSE),""))</x:f>
      </x:c>
      <x:c r="R196" t="str">
        <x:f>IF($A196="","",IFERROR(VLOOKUP($A196,MonthlyFinance!$A:$G,6,FALSE),""))</x:f>
      </x:c>
      <x:c r="S196" t="str">
        <x:f>IF($A196="","","Formula-linked from CaseLedger; finance fields from MonthlyFinance.")</x:f>
      </x:c>
      <x:c r="T196" t="str">
        <x:f>IF($A196="","","TRUE")</x:f>
      </x:c>
    </x:row>
    <x:row r="197">
      <x:c r="D197" t="str">
        <x:f>IF($A197="","",COUNTIFS(CaseLedger!$F:$F,$A197,CaseLedger!$B:$B,"TRUE"))</x:f>
      </x:c>
      <x:c r="E197" t="str">
        <x:f>IF($A197="","",COUNTIFS(CaseLedger!$F:$F,$A197,CaseLedger!$B:$B,"TRUE",CaseLedger!$P:$P,"Zakat"))</x:f>
      </x:c>
      <x:c r="F197" t="str">
        <x:f>IF($A197="","",COUNTIFS(CaseLedger!$F:$F,$A197,CaseLedger!$B:$B,"TRUE",CaseLedger!$P:$P,"Sadaqah"))</x:f>
      </x:c>
      <x:c r="G197" t="str">
        <x:f>IF($A197="","",COUNTIFS(CaseLedger!$F:$F,$A197,CaseLedger!$B:$B,"TRUE",CaseLedger!$P:$P,"Mixed"))</x:f>
      </x:c>
      <x:c r="H197" t="str">
        <x:f>IF($A197="","",COUNTIFS(CaseLedger!$F:$F,$A197,CaseLedger!$B:$B,"TRUE",CaseLedger!$K:$K,"Livelihood"))</x:f>
      </x:c>
      <x:c r="I197" t="str">
        <x:f>IF($A197="","",COUNTIFS(CaseLedger!$F:$F,$A197,CaseLedger!$B:$B,"TRUE",CaseLedger!$K:$K,"Skill Sponsorship"))</x:f>
      </x:c>
      <x:c r="J197" t="str">
        <x:f>IF($A197="","",COUNTIFS(CaseLedger!$F:$F,$A197,CaseLedger!$B:$B,"TRUE",CaseLedger!$K:$K,"Emergency Support"))</x:f>
      </x:c>
      <x:c r="K197" t="str">
        <x:f>IF($A197="","",COUNTIFS(CaseLedger!$F:$F,$A197,CaseLedger!$B:$B,"TRUE",CaseLedger!$K:$K,"Community Support"))</x:f>
      </x:c>
      <x:c r="L197" t="str">
        <x:f>IF($A197="","",SUMIFS(CaseLedger!$M:$M,CaseLedger!$F:$F,$A197,CaseLedger!$B:$B,"TRUE"))</x:f>
      </x:c>
      <x:c r="M197" t="str">
        <x:f>IF($A197="","",SUMIFS(CaseLedger!$N:$N,CaseLedger!$F:$F,$A197,CaseLedger!$B:$B,"TRUE"))</x:f>
      </x:c>
      <x:c r="N197" t="str">
        <x:f>IF($A197="","",0)</x:f>
      </x:c>
      <x:c r="O197" t="str">
        <x:f>IF($A197="","",SUMIFS(CaseLedger!$O:$O,CaseLedger!$F:$F,$A197,CaseLedger!$B:$B,"TRUE"))</x:f>
      </x:c>
      <x:c r="P197" t="str">
        <x:f>IF($A197="","",IFERROR(VLOOKUP($A197,MonthlyFinance!$A:$G,4,FALSE),""))</x:f>
      </x:c>
      <x:c r="Q197" t="str">
        <x:f>IF($A197="","",IFERROR(VLOOKUP($A197,MonthlyFinance!$A:$G,5,FALSE),""))</x:f>
      </x:c>
      <x:c r="R197" t="str">
        <x:f>IF($A197="","",IFERROR(VLOOKUP($A197,MonthlyFinance!$A:$G,6,FALSE),""))</x:f>
      </x:c>
      <x:c r="S197" t="str">
        <x:f>IF($A197="","","Formula-linked from CaseLedger; finance fields from MonthlyFinance.")</x:f>
      </x:c>
      <x:c r="T197" t="str">
        <x:f>IF($A197="","","TRUE")</x:f>
      </x:c>
    </x:row>
    <x:row r="198">
      <x:c r="D198" t="str">
        <x:f>IF($A198="","",COUNTIFS(CaseLedger!$F:$F,$A198,CaseLedger!$B:$B,"TRUE"))</x:f>
      </x:c>
      <x:c r="E198" t="str">
        <x:f>IF($A198="","",COUNTIFS(CaseLedger!$F:$F,$A198,CaseLedger!$B:$B,"TRUE",CaseLedger!$P:$P,"Zakat"))</x:f>
      </x:c>
      <x:c r="F198" t="str">
        <x:f>IF($A198="","",COUNTIFS(CaseLedger!$F:$F,$A198,CaseLedger!$B:$B,"TRUE",CaseLedger!$P:$P,"Sadaqah"))</x:f>
      </x:c>
      <x:c r="G198" t="str">
        <x:f>IF($A198="","",COUNTIFS(CaseLedger!$F:$F,$A198,CaseLedger!$B:$B,"TRUE",CaseLedger!$P:$P,"Mixed"))</x:f>
      </x:c>
      <x:c r="H198" t="str">
        <x:f>IF($A198="","",COUNTIFS(CaseLedger!$F:$F,$A198,CaseLedger!$B:$B,"TRUE",CaseLedger!$K:$K,"Livelihood"))</x:f>
      </x:c>
      <x:c r="I198" t="str">
        <x:f>IF($A198="","",COUNTIFS(CaseLedger!$F:$F,$A198,CaseLedger!$B:$B,"TRUE",CaseLedger!$K:$K,"Skill Sponsorship"))</x:f>
      </x:c>
      <x:c r="J198" t="str">
        <x:f>IF($A198="","",COUNTIFS(CaseLedger!$F:$F,$A198,CaseLedger!$B:$B,"TRUE",CaseLedger!$K:$K,"Emergency Support"))</x:f>
      </x:c>
      <x:c r="K198" t="str">
        <x:f>IF($A198="","",COUNTIFS(CaseLedger!$F:$F,$A198,CaseLedger!$B:$B,"TRUE",CaseLedger!$K:$K,"Community Support"))</x:f>
      </x:c>
      <x:c r="L198" t="str">
        <x:f>IF($A198="","",SUMIFS(CaseLedger!$M:$M,CaseLedger!$F:$F,$A198,CaseLedger!$B:$B,"TRUE"))</x:f>
      </x:c>
      <x:c r="M198" t="str">
        <x:f>IF($A198="","",SUMIFS(CaseLedger!$N:$N,CaseLedger!$F:$F,$A198,CaseLedger!$B:$B,"TRUE"))</x:f>
      </x:c>
      <x:c r="N198" t="str">
        <x:f>IF($A198="","",0)</x:f>
      </x:c>
      <x:c r="O198" t="str">
        <x:f>IF($A198="","",SUMIFS(CaseLedger!$O:$O,CaseLedger!$F:$F,$A198,CaseLedger!$B:$B,"TRUE"))</x:f>
      </x:c>
      <x:c r="P198" t="str">
        <x:f>IF($A198="","",IFERROR(VLOOKUP($A198,MonthlyFinance!$A:$G,4,FALSE),""))</x:f>
      </x:c>
      <x:c r="Q198" t="str">
        <x:f>IF($A198="","",IFERROR(VLOOKUP($A198,MonthlyFinance!$A:$G,5,FALSE),""))</x:f>
      </x:c>
      <x:c r="R198" t="str">
        <x:f>IF($A198="","",IFERROR(VLOOKUP($A198,MonthlyFinance!$A:$G,6,FALSE),""))</x:f>
      </x:c>
      <x:c r="S198" t="str">
        <x:f>IF($A198="","","Formula-linked from CaseLedger; finance fields from MonthlyFinance.")</x:f>
      </x:c>
      <x:c r="T198" t="str">
        <x:f>IF($A198="","","TRUE")</x:f>
      </x:c>
    </x:row>
    <x:row r="199">
      <x:c r="D199" t="str">
        <x:f>IF($A199="","",COUNTIFS(CaseLedger!$F:$F,$A199,CaseLedger!$B:$B,"TRUE"))</x:f>
      </x:c>
      <x:c r="E199" t="str">
        <x:f>IF($A199="","",COUNTIFS(CaseLedger!$F:$F,$A199,CaseLedger!$B:$B,"TRUE",CaseLedger!$P:$P,"Zakat"))</x:f>
      </x:c>
      <x:c r="F199" t="str">
        <x:f>IF($A199="","",COUNTIFS(CaseLedger!$F:$F,$A199,CaseLedger!$B:$B,"TRUE",CaseLedger!$P:$P,"Sadaqah"))</x:f>
      </x:c>
      <x:c r="G199" t="str">
        <x:f>IF($A199="","",COUNTIFS(CaseLedger!$F:$F,$A199,CaseLedger!$B:$B,"TRUE",CaseLedger!$P:$P,"Mixed"))</x:f>
      </x:c>
      <x:c r="H199" t="str">
        <x:f>IF($A199="","",COUNTIFS(CaseLedger!$F:$F,$A199,CaseLedger!$B:$B,"TRUE",CaseLedger!$K:$K,"Livelihood"))</x:f>
      </x:c>
      <x:c r="I199" t="str">
        <x:f>IF($A199="","",COUNTIFS(CaseLedger!$F:$F,$A199,CaseLedger!$B:$B,"TRUE",CaseLedger!$K:$K,"Skill Sponsorship"))</x:f>
      </x:c>
      <x:c r="J199" t="str">
        <x:f>IF($A199="","",COUNTIFS(CaseLedger!$F:$F,$A199,CaseLedger!$B:$B,"TRUE",CaseLedger!$K:$K,"Emergency Support"))</x:f>
      </x:c>
      <x:c r="K199" t="str">
        <x:f>IF($A199="","",COUNTIFS(CaseLedger!$F:$F,$A199,CaseLedger!$B:$B,"TRUE",CaseLedger!$K:$K,"Community Support"))</x:f>
      </x:c>
      <x:c r="L199" t="str">
        <x:f>IF($A199="","",SUMIFS(CaseLedger!$M:$M,CaseLedger!$F:$F,$A199,CaseLedger!$B:$B,"TRUE"))</x:f>
      </x:c>
      <x:c r="M199" t="str">
        <x:f>IF($A199="","",SUMIFS(CaseLedger!$N:$N,CaseLedger!$F:$F,$A199,CaseLedger!$B:$B,"TRUE"))</x:f>
      </x:c>
      <x:c r="N199" t="str">
        <x:f>IF($A199="","",0)</x:f>
      </x:c>
      <x:c r="O199" t="str">
        <x:f>IF($A199="","",SUMIFS(CaseLedger!$O:$O,CaseLedger!$F:$F,$A199,CaseLedger!$B:$B,"TRUE"))</x:f>
      </x:c>
      <x:c r="P199" t="str">
        <x:f>IF($A199="","",IFERROR(VLOOKUP($A199,MonthlyFinance!$A:$G,4,FALSE),""))</x:f>
      </x:c>
      <x:c r="Q199" t="str">
        <x:f>IF($A199="","",IFERROR(VLOOKUP($A199,MonthlyFinance!$A:$G,5,FALSE),""))</x:f>
      </x:c>
      <x:c r="R199" t="str">
        <x:f>IF($A199="","",IFERROR(VLOOKUP($A199,MonthlyFinance!$A:$G,6,FALSE),""))</x:f>
      </x:c>
      <x:c r="S199" t="str">
        <x:f>IF($A199="","","Formula-linked from CaseLedger; finance fields from MonthlyFinance.")</x:f>
      </x:c>
      <x:c r="T199" t="str">
        <x:f>IF($A199="","","TRUE")</x:f>
      </x:c>
    </x:row>
    <x:row r="200">
      <x:c r="D200" t="str">
        <x:f>IF($A200="","",COUNTIFS(CaseLedger!$F:$F,$A200,CaseLedger!$B:$B,"TRUE"))</x:f>
      </x:c>
      <x:c r="E200" t="str">
        <x:f>IF($A200="","",COUNTIFS(CaseLedger!$F:$F,$A200,CaseLedger!$B:$B,"TRUE",CaseLedger!$P:$P,"Zakat"))</x:f>
      </x:c>
      <x:c r="F200" t="str">
        <x:f>IF($A200="","",COUNTIFS(CaseLedger!$F:$F,$A200,CaseLedger!$B:$B,"TRUE",CaseLedger!$P:$P,"Sadaqah"))</x:f>
      </x:c>
      <x:c r="G200" t="str">
        <x:f>IF($A200="","",COUNTIFS(CaseLedger!$F:$F,$A200,CaseLedger!$B:$B,"TRUE",CaseLedger!$P:$P,"Mixed"))</x:f>
      </x:c>
      <x:c r="H200" t="str">
        <x:f>IF($A200="","",COUNTIFS(CaseLedger!$F:$F,$A200,CaseLedger!$B:$B,"TRUE",CaseLedger!$K:$K,"Livelihood"))</x:f>
      </x:c>
      <x:c r="I200" t="str">
        <x:f>IF($A200="","",COUNTIFS(CaseLedger!$F:$F,$A200,CaseLedger!$B:$B,"TRUE",CaseLedger!$K:$K,"Skill Sponsorship"))</x:f>
      </x:c>
      <x:c r="J200" t="str">
        <x:f>IF($A200="","",COUNTIFS(CaseLedger!$F:$F,$A200,CaseLedger!$B:$B,"TRUE",CaseLedger!$K:$K,"Emergency Support"))</x:f>
      </x:c>
      <x:c r="K200" t="str">
        <x:f>IF($A200="","",COUNTIFS(CaseLedger!$F:$F,$A200,CaseLedger!$B:$B,"TRUE",CaseLedger!$K:$K,"Community Support"))</x:f>
      </x:c>
      <x:c r="L200" t="str">
        <x:f>IF($A200="","",SUMIFS(CaseLedger!$M:$M,CaseLedger!$F:$F,$A200,CaseLedger!$B:$B,"TRUE"))</x:f>
      </x:c>
      <x:c r="M200" t="str">
        <x:f>IF($A200="","",SUMIFS(CaseLedger!$N:$N,CaseLedger!$F:$F,$A200,CaseLedger!$B:$B,"TRUE"))</x:f>
      </x:c>
      <x:c r="N200" t="str">
        <x:f>IF($A200="","",0)</x:f>
      </x:c>
      <x:c r="O200" t="str">
        <x:f>IF($A200="","",SUMIFS(CaseLedger!$O:$O,CaseLedger!$F:$F,$A200,CaseLedger!$B:$B,"TRUE"))</x:f>
      </x:c>
      <x:c r="P200" t="str">
        <x:f>IF($A200="","",IFERROR(VLOOKUP($A200,MonthlyFinance!$A:$G,4,FALSE),""))</x:f>
      </x:c>
      <x:c r="Q200" t="str">
        <x:f>IF($A200="","",IFERROR(VLOOKUP($A200,MonthlyFinance!$A:$G,5,FALSE),""))</x:f>
      </x:c>
      <x:c r="R200" t="str">
        <x:f>IF($A200="","",IFERROR(VLOOKUP($A200,MonthlyFinance!$A:$G,6,FALSE),""))</x:f>
      </x:c>
      <x:c r="S200" t="str">
        <x:f>IF($A200="","","Formula-linked from CaseLedger; finance fields from MonthlyFinance.")</x:f>
      </x:c>
      <x:c r="T200" t="str">
        <x:f>IF($A200="","","TRUE")</x:f>
      </x:c>
    </x:row>
    <x:row r="201">
      <x:c r="D201" t="str">
        <x:f>IF($A201="","",COUNTIFS(CaseLedger!$F:$F,$A201,CaseLedger!$B:$B,"TRUE"))</x:f>
      </x:c>
      <x:c r="E201" t="str">
        <x:f>IF($A201="","",COUNTIFS(CaseLedger!$F:$F,$A201,CaseLedger!$B:$B,"TRUE",CaseLedger!$P:$P,"Zakat"))</x:f>
      </x:c>
      <x:c r="F201" t="str">
        <x:f>IF($A201="","",COUNTIFS(CaseLedger!$F:$F,$A201,CaseLedger!$B:$B,"TRUE",CaseLedger!$P:$P,"Sadaqah"))</x:f>
      </x:c>
      <x:c r="G201" t="str">
        <x:f>IF($A201="","",COUNTIFS(CaseLedger!$F:$F,$A201,CaseLedger!$B:$B,"TRUE",CaseLedger!$P:$P,"Mixed"))</x:f>
      </x:c>
      <x:c r="H201" t="str">
        <x:f>IF($A201="","",COUNTIFS(CaseLedger!$F:$F,$A201,CaseLedger!$B:$B,"TRUE",CaseLedger!$K:$K,"Livelihood"))</x:f>
      </x:c>
      <x:c r="I201" t="str">
        <x:f>IF($A201="","",COUNTIFS(CaseLedger!$F:$F,$A201,CaseLedger!$B:$B,"TRUE",CaseLedger!$K:$K,"Skill Sponsorship"))</x:f>
      </x:c>
      <x:c r="J201" t="str">
        <x:f>IF($A201="","",COUNTIFS(CaseLedger!$F:$F,$A201,CaseLedger!$B:$B,"TRUE",CaseLedger!$K:$K,"Emergency Support"))</x:f>
      </x:c>
      <x:c r="K201" t="str">
        <x:f>IF($A201="","",COUNTIFS(CaseLedger!$F:$F,$A201,CaseLedger!$B:$B,"TRUE",CaseLedger!$K:$K,"Community Support"))</x:f>
      </x:c>
      <x:c r="L201" t="str">
        <x:f>IF($A201="","",SUMIFS(CaseLedger!$M:$M,CaseLedger!$F:$F,$A201,CaseLedger!$B:$B,"TRUE"))</x:f>
      </x:c>
      <x:c r="M201" t="str">
        <x:f>IF($A201="","",SUMIFS(CaseLedger!$N:$N,CaseLedger!$F:$F,$A201,CaseLedger!$B:$B,"TRUE"))</x:f>
      </x:c>
      <x:c r="N201" t="str">
        <x:f>IF($A201="","",0)</x:f>
      </x:c>
      <x:c r="O201" t="str">
        <x:f>IF($A201="","",SUMIFS(CaseLedger!$O:$O,CaseLedger!$F:$F,$A201,CaseLedger!$B:$B,"TRUE"))</x:f>
      </x:c>
      <x:c r="P201" t="str">
        <x:f>IF($A201="","",IFERROR(VLOOKUP($A201,MonthlyFinance!$A:$G,4,FALSE),""))</x:f>
      </x:c>
      <x:c r="Q201" t="str">
        <x:f>IF($A201="","",IFERROR(VLOOKUP($A201,MonthlyFinance!$A:$G,5,FALSE),""))</x:f>
      </x:c>
      <x:c r="R201" t="str">
        <x:f>IF($A201="","",IFERROR(VLOOKUP($A201,MonthlyFinance!$A:$G,6,FALSE),""))</x:f>
      </x:c>
      <x:c r="S201" t="str">
        <x:f>IF($A201="","","Formula-linked from CaseLedger; finance fields from MonthlyFinance.")</x:f>
      </x:c>
      <x:c r="T201" t="str">
        <x:f>IF($A201="","","TRUE")</x:f>
      </x:c>
    </x:row>
    <x:row r="202">
      <x:c r="D202" t="str">
        <x:f>IF($A202="","",COUNTIFS(CaseLedger!$F:$F,$A202,CaseLedger!$B:$B,"TRUE"))</x:f>
      </x:c>
      <x:c r="E202" t="str">
        <x:f>IF($A202="","",COUNTIFS(CaseLedger!$F:$F,$A202,CaseLedger!$B:$B,"TRUE",CaseLedger!$P:$P,"Zakat"))</x:f>
      </x:c>
      <x:c r="F202" t="str">
        <x:f>IF($A202="","",COUNTIFS(CaseLedger!$F:$F,$A202,CaseLedger!$B:$B,"TRUE",CaseLedger!$P:$P,"Sadaqah"))</x:f>
      </x:c>
      <x:c r="G202" t="str">
        <x:f>IF($A202="","",COUNTIFS(CaseLedger!$F:$F,$A202,CaseLedger!$B:$B,"TRUE",CaseLedger!$P:$P,"Mixed"))</x:f>
      </x:c>
      <x:c r="H202" t="str">
        <x:f>IF($A202="","",COUNTIFS(CaseLedger!$F:$F,$A202,CaseLedger!$B:$B,"TRUE",CaseLedger!$K:$K,"Livelihood"))</x:f>
      </x:c>
      <x:c r="I202" t="str">
        <x:f>IF($A202="","",COUNTIFS(CaseLedger!$F:$F,$A202,CaseLedger!$B:$B,"TRUE",CaseLedger!$K:$K,"Skill Sponsorship"))</x:f>
      </x:c>
      <x:c r="J202" t="str">
        <x:f>IF($A202="","",COUNTIFS(CaseLedger!$F:$F,$A202,CaseLedger!$B:$B,"TRUE",CaseLedger!$K:$K,"Emergency Support"))</x:f>
      </x:c>
      <x:c r="K202" t="str">
        <x:f>IF($A202="","",COUNTIFS(CaseLedger!$F:$F,$A202,CaseLedger!$B:$B,"TRUE",CaseLedger!$K:$K,"Community Support"))</x:f>
      </x:c>
      <x:c r="L202" t="str">
        <x:f>IF($A202="","",SUMIFS(CaseLedger!$M:$M,CaseLedger!$F:$F,$A202,CaseLedger!$B:$B,"TRUE"))</x:f>
      </x:c>
      <x:c r="M202" t="str">
        <x:f>IF($A202="","",SUMIFS(CaseLedger!$N:$N,CaseLedger!$F:$F,$A202,CaseLedger!$B:$B,"TRUE"))</x:f>
      </x:c>
      <x:c r="N202" t="str">
        <x:f>IF($A202="","",0)</x:f>
      </x:c>
      <x:c r="O202" t="str">
        <x:f>IF($A202="","",SUMIFS(CaseLedger!$O:$O,CaseLedger!$F:$F,$A202,CaseLedger!$B:$B,"TRUE"))</x:f>
      </x:c>
      <x:c r="P202" t="str">
        <x:f>IF($A202="","",IFERROR(VLOOKUP($A202,MonthlyFinance!$A:$G,4,FALSE),""))</x:f>
      </x:c>
      <x:c r="Q202" t="str">
        <x:f>IF($A202="","",IFERROR(VLOOKUP($A202,MonthlyFinance!$A:$G,5,FALSE),""))</x:f>
      </x:c>
      <x:c r="R202" t="str">
        <x:f>IF($A202="","",IFERROR(VLOOKUP($A202,MonthlyFinance!$A:$G,6,FALSE),""))</x:f>
      </x:c>
      <x:c r="S202" t="str">
        <x:f>IF($A202="","","Formula-linked from CaseLedger; finance fields from MonthlyFinance.")</x:f>
      </x:c>
      <x:c r="T202" t="str">
        <x:f>IF($A202="","","TRUE")</x:f>
      </x:c>
    </x:row>
    <x:row r="203">
      <x:c r="D203" t="str">
        <x:f>IF($A203="","",COUNTIFS(CaseLedger!$F:$F,$A203,CaseLedger!$B:$B,"TRUE"))</x:f>
      </x:c>
      <x:c r="E203" t="str">
        <x:f>IF($A203="","",COUNTIFS(CaseLedger!$F:$F,$A203,CaseLedger!$B:$B,"TRUE",CaseLedger!$P:$P,"Zakat"))</x:f>
      </x:c>
      <x:c r="F203" t="str">
        <x:f>IF($A203="","",COUNTIFS(CaseLedger!$F:$F,$A203,CaseLedger!$B:$B,"TRUE",CaseLedger!$P:$P,"Sadaqah"))</x:f>
      </x:c>
      <x:c r="G203" t="str">
        <x:f>IF($A203="","",COUNTIFS(CaseLedger!$F:$F,$A203,CaseLedger!$B:$B,"TRUE",CaseLedger!$P:$P,"Mixed"))</x:f>
      </x:c>
      <x:c r="H203" t="str">
        <x:f>IF($A203="","",COUNTIFS(CaseLedger!$F:$F,$A203,CaseLedger!$B:$B,"TRUE",CaseLedger!$K:$K,"Livelihood"))</x:f>
      </x:c>
      <x:c r="I203" t="str">
        <x:f>IF($A203="","",COUNTIFS(CaseLedger!$F:$F,$A203,CaseLedger!$B:$B,"TRUE",CaseLedger!$K:$K,"Skill Sponsorship"))</x:f>
      </x:c>
      <x:c r="J203" t="str">
        <x:f>IF($A203="","",COUNTIFS(CaseLedger!$F:$F,$A203,CaseLedger!$B:$B,"TRUE",CaseLedger!$K:$K,"Emergency Support"))</x:f>
      </x:c>
      <x:c r="K203" t="str">
        <x:f>IF($A203="","",COUNTIFS(CaseLedger!$F:$F,$A203,CaseLedger!$B:$B,"TRUE",CaseLedger!$K:$K,"Community Support"))</x:f>
      </x:c>
      <x:c r="L203" t="str">
        <x:f>IF($A203="","",SUMIFS(CaseLedger!$M:$M,CaseLedger!$F:$F,$A203,CaseLedger!$B:$B,"TRUE"))</x:f>
      </x:c>
      <x:c r="M203" t="str">
        <x:f>IF($A203="","",SUMIFS(CaseLedger!$N:$N,CaseLedger!$F:$F,$A203,CaseLedger!$B:$B,"TRUE"))</x:f>
      </x:c>
      <x:c r="N203" t="str">
        <x:f>IF($A203="","",0)</x:f>
      </x:c>
      <x:c r="O203" t="str">
        <x:f>IF($A203="","",SUMIFS(CaseLedger!$O:$O,CaseLedger!$F:$F,$A203,CaseLedger!$B:$B,"TRUE"))</x:f>
      </x:c>
      <x:c r="P203" t="str">
        <x:f>IF($A203="","",IFERROR(VLOOKUP($A203,MonthlyFinance!$A:$G,4,FALSE),""))</x:f>
      </x:c>
      <x:c r="Q203" t="str">
        <x:f>IF($A203="","",IFERROR(VLOOKUP($A203,MonthlyFinance!$A:$G,5,FALSE),""))</x:f>
      </x:c>
      <x:c r="R203" t="str">
        <x:f>IF($A203="","",IFERROR(VLOOKUP($A203,MonthlyFinance!$A:$G,6,FALSE),""))</x:f>
      </x:c>
      <x:c r="S203" t="str">
        <x:f>IF($A203="","","Formula-linked from CaseLedger; finance fields from MonthlyFinance.")</x:f>
      </x:c>
      <x:c r="T203" t="str">
        <x:f>IF($A203="","","TRUE")</x:f>
      </x:c>
    </x:row>
    <x:row r="204">
      <x:c r="D204" t="str">
        <x:f>IF($A204="","",COUNTIFS(CaseLedger!$F:$F,$A204,CaseLedger!$B:$B,"TRUE"))</x:f>
      </x:c>
      <x:c r="E204" t="str">
        <x:f>IF($A204="","",COUNTIFS(CaseLedger!$F:$F,$A204,CaseLedger!$B:$B,"TRUE",CaseLedger!$P:$P,"Zakat"))</x:f>
      </x:c>
      <x:c r="F204" t="str">
        <x:f>IF($A204="","",COUNTIFS(CaseLedger!$F:$F,$A204,CaseLedger!$B:$B,"TRUE",CaseLedger!$P:$P,"Sadaqah"))</x:f>
      </x:c>
      <x:c r="G204" t="str">
        <x:f>IF($A204="","",COUNTIFS(CaseLedger!$F:$F,$A204,CaseLedger!$B:$B,"TRUE",CaseLedger!$P:$P,"Mixed"))</x:f>
      </x:c>
      <x:c r="H204" t="str">
        <x:f>IF($A204="","",COUNTIFS(CaseLedger!$F:$F,$A204,CaseLedger!$B:$B,"TRUE",CaseLedger!$K:$K,"Livelihood"))</x:f>
      </x:c>
      <x:c r="I204" t="str">
        <x:f>IF($A204="","",COUNTIFS(CaseLedger!$F:$F,$A204,CaseLedger!$B:$B,"TRUE",CaseLedger!$K:$K,"Skill Sponsorship"))</x:f>
      </x:c>
      <x:c r="J204" t="str">
        <x:f>IF($A204="","",COUNTIFS(CaseLedger!$F:$F,$A204,CaseLedger!$B:$B,"TRUE",CaseLedger!$K:$K,"Emergency Support"))</x:f>
      </x:c>
      <x:c r="K204" t="str">
        <x:f>IF($A204="","",COUNTIFS(CaseLedger!$F:$F,$A204,CaseLedger!$B:$B,"TRUE",CaseLedger!$K:$K,"Community Support"))</x:f>
      </x:c>
      <x:c r="L204" t="str">
        <x:f>IF($A204="","",SUMIFS(CaseLedger!$M:$M,CaseLedger!$F:$F,$A204,CaseLedger!$B:$B,"TRUE"))</x:f>
      </x:c>
      <x:c r="M204" t="str">
        <x:f>IF($A204="","",SUMIFS(CaseLedger!$N:$N,CaseLedger!$F:$F,$A204,CaseLedger!$B:$B,"TRUE"))</x:f>
      </x:c>
      <x:c r="N204" t="str">
        <x:f>IF($A204="","",0)</x:f>
      </x:c>
      <x:c r="O204" t="str">
        <x:f>IF($A204="","",SUMIFS(CaseLedger!$O:$O,CaseLedger!$F:$F,$A204,CaseLedger!$B:$B,"TRUE"))</x:f>
      </x:c>
      <x:c r="P204" t="str">
        <x:f>IF($A204="","",IFERROR(VLOOKUP($A204,MonthlyFinance!$A:$G,4,FALSE),""))</x:f>
      </x:c>
      <x:c r="Q204" t="str">
        <x:f>IF($A204="","",IFERROR(VLOOKUP($A204,MonthlyFinance!$A:$G,5,FALSE),""))</x:f>
      </x:c>
      <x:c r="R204" t="str">
        <x:f>IF($A204="","",IFERROR(VLOOKUP($A204,MonthlyFinance!$A:$G,6,FALSE),""))</x:f>
      </x:c>
      <x:c r="S204" t="str">
        <x:f>IF($A204="","","Formula-linked from CaseLedger; finance fields from MonthlyFinance.")</x:f>
      </x:c>
      <x:c r="T204" t="str">
        <x:f>IF($A204="","","TRUE")</x:f>
      </x:c>
    </x:row>
    <x:row r="205">
      <x:c r="D205" t="str">
        <x:f>IF($A205="","",COUNTIFS(CaseLedger!$F:$F,$A205,CaseLedger!$B:$B,"TRUE"))</x:f>
      </x:c>
      <x:c r="E205" t="str">
        <x:f>IF($A205="","",COUNTIFS(CaseLedger!$F:$F,$A205,CaseLedger!$B:$B,"TRUE",CaseLedger!$P:$P,"Zakat"))</x:f>
      </x:c>
      <x:c r="F205" t="str">
        <x:f>IF($A205="","",COUNTIFS(CaseLedger!$F:$F,$A205,CaseLedger!$B:$B,"TRUE",CaseLedger!$P:$P,"Sadaqah"))</x:f>
      </x:c>
      <x:c r="G205" t="str">
        <x:f>IF($A205="","",COUNTIFS(CaseLedger!$F:$F,$A205,CaseLedger!$B:$B,"TRUE",CaseLedger!$P:$P,"Mixed"))</x:f>
      </x:c>
      <x:c r="H205" t="str">
        <x:f>IF($A205="","",COUNTIFS(CaseLedger!$F:$F,$A205,CaseLedger!$B:$B,"TRUE",CaseLedger!$K:$K,"Livelihood"))</x:f>
      </x:c>
      <x:c r="I205" t="str">
        <x:f>IF($A205="","",COUNTIFS(CaseLedger!$F:$F,$A205,CaseLedger!$B:$B,"TRUE",CaseLedger!$K:$K,"Skill Sponsorship"))</x:f>
      </x:c>
      <x:c r="J205" t="str">
        <x:f>IF($A205="","",COUNTIFS(CaseLedger!$F:$F,$A205,CaseLedger!$B:$B,"TRUE",CaseLedger!$K:$K,"Emergency Support"))</x:f>
      </x:c>
      <x:c r="K205" t="str">
        <x:f>IF($A205="","",COUNTIFS(CaseLedger!$F:$F,$A205,CaseLedger!$B:$B,"TRUE",CaseLedger!$K:$K,"Community Support"))</x:f>
      </x:c>
      <x:c r="L205" t="str">
        <x:f>IF($A205="","",SUMIFS(CaseLedger!$M:$M,CaseLedger!$F:$F,$A205,CaseLedger!$B:$B,"TRUE"))</x:f>
      </x:c>
      <x:c r="M205" t="str">
        <x:f>IF($A205="","",SUMIFS(CaseLedger!$N:$N,CaseLedger!$F:$F,$A205,CaseLedger!$B:$B,"TRUE"))</x:f>
      </x:c>
      <x:c r="N205" t="str">
        <x:f>IF($A205="","",0)</x:f>
      </x:c>
      <x:c r="O205" t="str">
        <x:f>IF($A205="","",SUMIFS(CaseLedger!$O:$O,CaseLedger!$F:$F,$A205,CaseLedger!$B:$B,"TRUE"))</x:f>
      </x:c>
      <x:c r="P205" t="str">
        <x:f>IF($A205="","",IFERROR(VLOOKUP($A205,MonthlyFinance!$A:$G,4,FALSE),""))</x:f>
      </x:c>
      <x:c r="Q205" t="str">
        <x:f>IF($A205="","",IFERROR(VLOOKUP($A205,MonthlyFinance!$A:$G,5,FALSE),""))</x:f>
      </x:c>
      <x:c r="R205" t="str">
        <x:f>IF($A205="","",IFERROR(VLOOKUP($A205,MonthlyFinance!$A:$G,6,FALSE),""))</x:f>
      </x:c>
      <x:c r="S205" t="str">
        <x:f>IF($A205="","","Formula-linked from CaseLedger; finance fields from MonthlyFinance.")</x:f>
      </x:c>
      <x:c r="T205" t="str">
        <x:f>IF($A205="","","TRUE")</x:f>
      </x:c>
    </x:row>
    <x:row r="206">
      <x:c r="D206" t="str">
        <x:f>IF($A206="","",COUNTIFS(CaseLedger!$F:$F,$A206,CaseLedger!$B:$B,"TRUE"))</x:f>
      </x:c>
      <x:c r="E206" t="str">
        <x:f>IF($A206="","",COUNTIFS(CaseLedger!$F:$F,$A206,CaseLedger!$B:$B,"TRUE",CaseLedger!$P:$P,"Zakat"))</x:f>
      </x:c>
      <x:c r="F206" t="str">
        <x:f>IF($A206="","",COUNTIFS(CaseLedger!$F:$F,$A206,CaseLedger!$B:$B,"TRUE",CaseLedger!$P:$P,"Sadaqah"))</x:f>
      </x:c>
      <x:c r="G206" t="str">
        <x:f>IF($A206="","",COUNTIFS(CaseLedger!$F:$F,$A206,CaseLedger!$B:$B,"TRUE",CaseLedger!$P:$P,"Mixed"))</x:f>
      </x:c>
      <x:c r="H206" t="str">
        <x:f>IF($A206="","",COUNTIFS(CaseLedger!$F:$F,$A206,CaseLedger!$B:$B,"TRUE",CaseLedger!$K:$K,"Livelihood"))</x:f>
      </x:c>
      <x:c r="I206" t="str">
        <x:f>IF($A206="","",COUNTIFS(CaseLedger!$F:$F,$A206,CaseLedger!$B:$B,"TRUE",CaseLedger!$K:$K,"Skill Sponsorship"))</x:f>
      </x:c>
      <x:c r="J206" t="str">
        <x:f>IF($A206="","",COUNTIFS(CaseLedger!$F:$F,$A206,CaseLedger!$B:$B,"TRUE",CaseLedger!$K:$K,"Emergency Support"))</x:f>
      </x:c>
      <x:c r="K206" t="str">
        <x:f>IF($A206="","",COUNTIFS(CaseLedger!$F:$F,$A206,CaseLedger!$B:$B,"TRUE",CaseLedger!$K:$K,"Community Support"))</x:f>
      </x:c>
      <x:c r="L206" t="str">
        <x:f>IF($A206="","",SUMIFS(CaseLedger!$M:$M,CaseLedger!$F:$F,$A206,CaseLedger!$B:$B,"TRUE"))</x:f>
      </x:c>
      <x:c r="M206" t="str">
        <x:f>IF($A206="","",SUMIFS(CaseLedger!$N:$N,CaseLedger!$F:$F,$A206,CaseLedger!$B:$B,"TRUE"))</x:f>
      </x:c>
      <x:c r="N206" t="str">
        <x:f>IF($A206="","",0)</x:f>
      </x:c>
      <x:c r="O206" t="str">
        <x:f>IF($A206="","",SUMIFS(CaseLedger!$O:$O,CaseLedger!$F:$F,$A206,CaseLedger!$B:$B,"TRUE"))</x:f>
      </x:c>
      <x:c r="P206" t="str">
        <x:f>IF($A206="","",IFERROR(VLOOKUP($A206,MonthlyFinance!$A:$G,4,FALSE),""))</x:f>
      </x:c>
      <x:c r="Q206" t="str">
        <x:f>IF($A206="","",IFERROR(VLOOKUP($A206,MonthlyFinance!$A:$G,5,FALSE),""))</x:f>
      </x:c>
      <x:c r="R206" t="str">
        <x:f>IF($A206="","",IFERROR(VLOOKUP($A206,MonthlyFinance!$A:$G,6,FALSE),""))</x:f>
      </x:c>
      <x:c r="S206" t="str">
        <x:f>IF($A206="","","Formula-linked from CaseLedger; finance fields from MonthlyFinance.")</x:f>
      </x:c>
      <x:c r="T206" t="str">
        <x:f>IF($A206="","","TRUE")</x:f>
      </x:c>
    </x:row>
    <x:row r="207">
      <x:c r="D207" t="str">
        <x:f>IF($A207="","",COUNTIFS(CaseLedger!$F:$F,$A207,CaseLedger!$B:$B,"TRUE"))</x:f>
      </x:c>
      <x:c r="E207" t="str">
        <x:f>IF($A207="","",COUNTIFS(CaseLedger!$F:$F,$A207,CaseLedger!$B:$B,"TRUE",CaseLedger!$P:$P,"Zakat"))</x:f>
      </x:c>
      <x:c r="F207" t="str">
        <x:f>IF($A207="","",COUNTIFS(CaseLedger!$F:$F,$A207,CaseLedger!$B:$B,"TRUE",CaseLedger!$P:$P,"Sadaqah"))</x:f>
      </x:c>
      <x:c r="G207" t="str">
        <x:f>IF($A207="","",COUNTIFS(CaseLedger!$F:$F,$A207,CaseLedger!$B:$B,"TRUE",CaseLedger!$P:$P,"Mixed"))</x:f>
      </x:c>
      <x:c r="H207" t="str">
        <x:f>IF($A207="","",COUNTIFS(CaseLedger!$F:$F,$A207,CaseLedger!$B:$B,"TRUE",CaseLedger!$K:$K,"Livelihood"))</x:f>
      </x:c>
      <x:c r="I207" t="str">
        <x:f>IF($A207="","",COUNTIFS(CaseLedger!$F:$F,$A207,CaseLedger!$B:$B,"TRUE",CaseLedger!$K:$K,"Skill Sponsorship"))</x:f>
      </x:c>
      <x:c r="J207" t="str">
        <x:f>IF($A207="","",COUNTIFS(CaseLedger!$F:$F,$A207,CaseLedger!$B:$B,"TRUE",CaseLedger!$K:$K,"Emergency Support"))</x:f>
      </x:c>
      <x:c r="K207" t="str">
        <x:f>IF($A207="","",COUNTIFS(CaseLedger!$F:$F,$A207,CaseLedger!$B:$B,"TRUE",CaseLedger!$K:$K,"Community Support"))</x:f>
      </x:c>
      <x:c r="L207" t="str">
        <x:f>IF($A207="","",SUMIFS(CaseLedger!$M:$M,CaseLedger!$F:$F,$A207,CaseLedger!$B:$B,"TRUE"))</x:f>
      </x:c>
      <x:c r="M207" t="str">
        <x:f>IF($A207="","",SUMIFS(CaseLedger!$N:$N,CaseLedger!$F:$F,$A207,CaseLedger!$B:$B,"TRUE"))</x:f>
      </x:c>
      <x:c r="N207" t="str">
        <x:f>IF($A207="","",0)</x:f>
      </x:c>
      <x:c r="O207" t="str">
        <x:f>IF($A207="","",SUMIFS(CaseLedger!$O:$O,CaseLedger!$F:$F,$A207,CaseLedger!$B:$B,"TRUE"))</x:f>
      </x:c>
      <x:c r="P207" t="str">
        <x:f>IF($A207="","",IFERROR(VLOOKUP($A207,MonthlyFinance!$A:$G,4,FALSE),""))</x:f>
      </x:c>
      <x:c r="Q207" t="str">
        <x:f>IF($A207="","",IFERROR(VLOOKUP($A207,MonthlyFinance!$A:$G,5,FALSE),""))</x:f>
      </x:c>
      <x:c r="R207" t="str">
        <x:f>IF($A207="","",IFERROR(VLOOKUP($A207,MonthlyFinance!$A:$G,6,FALSE),""))</x:f>
      </x:c>
      <x:c r="S207" t="str">
        <x:f>IF($A207="","","Formula-linked from CaseLedger; finance fields from MonthlyFinance.")</x:f>
      </x:c>
      <x:c r="T207" t="str">
        <x:f>IF($A207="","","TRUE")</x:f>
      </x:c>
    </x:row>
    <x:row r="208">
      <x:c r="D208" t="str">
        <x:f>IF($A208="","",COUNTIFS(CaseLedger!$F:$F,$A208,CaseLedger!$B:$B,"TRUE"))</x:f>
      </x:c>
      <x:c r="E208" t="str">
        <x:f>IF($A208="","",COUNTIFS(CaseLedger!$F:$F,$A208,CaseLedger!$B:$B,"TRUE",CaseLedger!$P:$P,"Zakat"))</x:f>
      </x:c>
      <x:c r="F208" t="str">
        <x:f>IF($A208="","",COUNTIFS(CaseLedger!$F:$F,$A208,CaseLedger!$B:$B,"TRUE",CaseLedger!$P:$P,"Sadaqah"))</x:f>
      </x:c>
      <x:c r="G208" t="str">
        <x:f>IF($A208="","",COUNTIFS(CaseLedger!$F:$F,$A208,CaseLedger!$B:$B,"TRUE",CaseLedger!$P:$P,"Mixed"))</x:f>
      </x:c>
      <x:c r="H208" t="str">
        <x:f>IF($A208="","",COUNTIFS(CaseLedger!$F:$F,$A208,CaseLedger!$B:$B,"TRUE",CaseLedger!$K:$K,"Livelihood"))</x:f>
      </x:c>
      <x:c r="I208" t="str">
        <x:f>IF($A208="","",COUNTIFS(CaseLedger!$F:$F,$A208,CaseLedger!$B:$B,"TRUE",CaseLedger!$K:$K,"Skill Sponsorship"))</x:f>
      </x:c>
      <x:c r="J208" t="str">
        <x:f>IF($A208="","",COUNTIFS(CaseLedger!$F:$F,$A208,CaseLedger!$B:$B,"TRUE",CaseLedger!$K:$K,"Emergency Support"))</x:f>
      </x:c>
      <x:c r="K208" t="str">
        <x:f>IF($A208="","",COUNTIFS(CaseLedger!$F:$F,$A208,CaseLedger!$B:$B,"TRUE",CaseLedger!$K:$K,"Community Support"))</x:f>
      </x:c>
      <x:c r="L208" t="str">
        <x:f>IF($A208="","",SUMIFS(CaseLedger!$M:$M,CaseLedger!$F:$F,$A208,CaseLedger!$B:$B,"TRUE"))</x:f>
      </x:c>
      <x:c r="M208" t="str">
        <x:f>IF($A208="","",SUMIFS(CaseLedger!$N:$N,CaseLedger!$F:$F,$A208,CaseLedger!$B:$B,"TRUE"))</x:f>
      </x:c>
      <x:c r="N208" t="str">
        <x:f>IF($A208="","",0)</x:f>
      </x:c>
      <x:c r="O208" t="str">
        <x:f>IF($A208="","",SUMIFS(CaseLedger!$O:$O,CaseLedger!$F:$F,$A208,CaseLedger!$B:$B,"TRUE"))</x:f>
      </x:c>
      <x:c r="P208" t="str">
        <x:f>IF($A208="","",IFERROR(VLOOKUP($A208,MonthlyFinance!$A:$G,4,FALSE),""))</x:f>
      </x:c>
      <x:c r="Q208" t="str">
        <x:f>IF($A208="","",IFERROR(VLOOKUP($A208,MonthlyFinance!$A:$G,5,FALSE),""))</x:f>
      </x:c>
      <x:c r="R208" t="str">
        <x:f>IF($A208="","",IFERROR(VLOOKUP($A208,MonthlyFinance!$A:$G,6,FALSE),""))</x:f>
      </x:c>
      <x:c r="S208" t="str">
        <x:f>IF($A208="","","Formula-linked from CaseLedger; finance fields from MonthlyFinance.")</x:f>
      </x:c>
      <x:c r="T208" t="str">
        <x:f>IF($A208="","","TRUE")</x:f>
      </x:c>
    </x:row>
    <x:row r="209">
      <x:c r="D209" t="str">
        <x:f>IF($A209="","",COUNTIFS(CaseLedger!$F:$F,$A209,CaseLedger!$B:$B,"TRUE"))</x:f>
      </x:c>
      <x:c r="E209" t="str">
        <x:f>IF($A209="","",COUNTIFS(CaseLedger!$F:$F,$A209,CaseLedger!$B:$B,"TRUE",CaseLedger!$P:$P,"Zakat"))</x:f>
      </x:c>
      <x:c r="F209" t="str">
        <x:f>IF($A209="","",COUNTIFS(CaseLedger!$F:$F,$A209,CaseLedger!$B:$B,"TRUE",CaseLedger!$P:$P,"Sadaqah"))</x:f>
      </x:c>
      <x:c r="G209" t="str">
        <x:f>IF($A209="","",COUNTIFS(CaseLedger!$F:$F,$A209,CaseLedger!$B:$B,"TRUE",CaseLedger!$P:$P,"Mixed"))</x:f>
      </x:c>
      <x:c r="H209" t="str">
        <x:f>IF($A209="","",COUNTIFS(CaseLedger!$F:$F,$A209,CaseLedger!$B:$B,"TRUE",CaseLedger!$K:$K,"Livelihood"))</x:f>
      </x:c>
      <x:c r="I209" t="str">
        <x:f>IF($A209="","",COUNTIFS(CaseLedger!$F:$F,$A209,CaseLedger!$B:$B,"TRUE",CaseLedger!$K:$K,"Skill Sponsorship"))</x:f>
      </x:c>
      <x:c r="J209" t="str">
        <x:f>IF($A209="","",COUNTIFS(CaseLedger!$F:$F,$A209,CaseLedger!$B:$B,"TRUE",CaseLedger!$K:$K,"Emergency Support"))</x:f>
      </x:c>
      <x:c r="K209" t="str">
        <x:f>IF($A209="","",COUNTIFS(CaseLedger!$F:$F,$A209,CaseLedger!$B:$B,"TRUE",CaseLedger!$K:$K,"Community Support"))</x:f>
      </x:c>
      <x:c r="L209" t="str">
        <x:f>IF($A209="","",SUMIFS(CaseLedger!$M:$M,CaseLedger!$F:$F,$A209,CaseLedger!$B:$B,"TRUE"))</x:f>
      </x:c>
      <x:c r="M209" t="str">
        <x:f>IF($A209="","",SUMIFS(CaseLedger!$N:$N,CaseLedger!$F:$F,$A209,CaseLedger!$B:$B,"TRUE"))</x:f>
      </x:c>
      <x:c r="N209" t="str">
        <x:f>IF($A209="","",0)</x:f>
      </x:c>
      <x:c r="O209" t="str">
        <x:f>IF($A209="","",SUMIFS(CaseLedger!$O:$O,CaseLedger!$F:$F,$A209,CaseLedger!$B:$B,"TRUE"))</x:f>
      </x:c>
      <x:c r="P209" t="str">
        <x:f>IF($A209="","",IFERROR(VLOOKUP($A209,MonthlyFinance!$A:$G,4,FALSE),""))</x:f>
      </x:c>
      <x:c r="Q209" t="str">
        <x:f>IF($A209="","",IFERROR(VLOOKUP($A209,MonthlyFinance!$A:$G,5,FALSE),""))</x:f>
      </x:c>
      <x:c r="R209" t="str">
        <x:f>IF($A209="","",IFERROR(VLOOKUP($A209,MonthlyFinance!$A:$G,6,FALSE),""))</x:f>
      </x:c>
      <x:c r="S209" t="str">
        <x:f>IF($A209="","","Formula-linked from CaseLedger; finance fields from MonthlyFinance.")</x:f>
      </x:c>
      <x:c r="T209" t="str">
        <x:f>IF($A209="","","TRUE")</x:f>
      </x:c>
    </x:row>
    <x:row r="210">
      <x:c r="D210" t="str">
        <x:f>IF($A210="","",COUNTIFS(CaseLedger!$F:$F,$A210,CaseLedger!$B:$B,"TRUE"))</x:f>
      </x:c>
      <x:c r="E210" t="str">
        <x:f>IF($A210="","",COUNTIFS(CaseLedger!$F:$F,$A210,CaseLedger!$B:$B,"TRUE",CaseLedger!$P:$P,"Zakat"))</x:f>
      </x:c>
      <x:c r="F210" t="str">
        <x:f>IF($A210="","",COUNTIFS(CaseLedger!$F:$F,$A210,CaseLedger!$B:$B,"TRUE",CaseLedger!$P:$P,"Sadaqah"))</x:f>
      </x:c>
      <x:c r="G210" t="str">
        <x:f>IF($A210="","",COUNTIFS(CaseLedger!$F:$F,$A210,CaseLedger!$B:$B,"TRUE",CaseLedger!$P:$P,"Mixed"))</x:f>
      </x:c>
      <x:c r="H210" t="str">
        <x:f>IF($A210="","",COUNTIFS(CaseLedger!$F:$F,$A210,CaseLedger!$B:$B,"TRUE",CaseLedger!$K:$K,"Livelihood"))</x:f>
      </x:c>
      <x:c r="I210" t="str">
        <x:f>IF($A210="","",COUNTIFS(CaseLedger!$F:$F,$A210,CaseLedger!$B:$B,"TRUE",CaseLedger!$K:$K,"Skill Sponsorship"))</x:f>
      </x:c>
      <x:c r="J210" t="str">
        <x:f>IF($A210="","",COUNTIFS(CaseLedger!$F:$F,$A210,CaseLedger!$B:$B,"TRUE",CaseLedger!$K:$K,"Emergency Support"))</x:f>
      </x:c>
      <x:c r="K210" t="str">
        <x:f>IF($A210="","",COUNTIFS(CaseLedger!$F:$F,$A210,CaseLedger!$B:$B,"TRUE",CaseLedger!$K:$K,"Community Support"))</x:f>
      </x:c>
      <x:c r="L210" t="str">
        <x:f>IF($A210="","",SUMIFS(CaseLedger!$M:$M,CaseLedger!$F:$F,$A210,CaseLedger!$B:$B,"TRUE"))</x:f>
      </x:c>
      <x:c r="M210" t="str">
        <x:f>IF($A210="","",SUMIFS(CaseLedger!$N:$N,CaseLedger!$F:$F,$A210,CaseLedger!$B:$B,"TRUE"))</x:f>
      </x:c>
      <x:c r="N210" t="str">
        <x:f>IF($A210="","",0)</x:f>
      </x:c>
      <x:c r="O210" t="str">
        <x:f>IF($A210="","",SUMIFS(CaseLedger!$O:$O,CaseLedger!$F:$F,$A210,CaseLedger!$B:$B,"TRUE"))</x:f>
      </x:c>
      <x:c r="P210" t="str">
        <x:f>IF($A210="","",IFERROR(VLOOKUP($A210,MonthlyFinance!$A:$G,4,FALSE),""))</x:f>
      </x:c>
      <x:c r="Q210" t="str">
        <x:f>IF($A210="","",IFERROR(VLOOKUP($A210,MonthlyFinance!$A:$G,5,FALSE),""))</x:f>
      </x:c>
      <x:c r="R210" t="str">
        <x:f>IF($A210="","",IFERROR(VLOOKUP($A210,MonthlyFinance!$A:$G,6,FALSE),""))</x:f>
      </x:c>
      <x:c r="S210" t="str">
        <x:f>IF($A210="","","Formula-linked from CaseLedger; finance fields from MonthlyFinance.")</x:f>
      </x:c>
      <x:c r="T210" t="str">
        <x:f>IF($A210="","","TRUE")</x:f>
      </x:c>
    </x:row>
    <x:row r="211">
      <x:c r="D211" t="str">
        <x:f>IF($A211="","",COUNTIFS(CaseLedger!$F:$F,$A211,CaseLedger!$B:$B,"TRUE"))</x:f>
      </x:c>
      <x:c r="E211" t="str">
        <x:f>IF($A211="","",COUNTIFS(CaseLedger!$F:$F,$A211,CaseLedger!$B:$B,"TRUE",CaseLedger!$P:$P,"Zakat"))</x:f>
      </x:c>
      <x:c r="F211" t="str">
        <x:f>IF($A211="","",COUNTIFS(CaseLedger!$F:$F,$A211,CaseLedger!$B:$B,"TRUE",CaseLedger!$P:$P,"Sadaqah"))</x:f>
      </x:c>
      <x:c r="G211" t="str">
        <x:f>IF($A211="","",COUNTIFS(CaseLedger!$F:$F,$A211,CaseLedger!$B:$B,"TRUE",CaseLedger!$P:$P,"Mixed"))</x:f>
      </x:c>
      <x:c r="H211" t="str">
        <x:f>IF($A211="","",COUNTIFS(CaseLedger!$F:$F,$A211,CaseLedger!$B:$B,"TRUE",CaseLedger!$K:$K,"Livelihood"))</x:f>
      </x:c>
      <x:c r="I211" t="str">
        <x:f>IF($A211="","",COUNTIFS(CaseLedger!$F:$F,$A211,CaseLedger!$B:$B,"TRUE",CaseLedger!$K:$K,"Skill Sponsorship"))</x:f>
      </x:c>
      <x:c r="J211" t="str">
        <x:f>IF($A211="","",COUNTIFS(CaseLedger!$F:$F,$A211,CaseLedger!$B:$B,"TRUE",CaseLedger!$K:$K,"Emergency Support"))</x:f>
      </x:c>
      <x:c r="K211" t="str">
        <x:f>IF($A211="","",COUNTIFS(CaseLedger!$F:$F,$A211,CaseLedger!$B:$B,"TRUE",CaseLedger!$K:$K,"Community Support"))</x:f>
      </x:c>
      <x:c r="L211" t="str">
        <x:f>IF($A211="","",SUMIFS(CaseLedger!$M:$M,CaseLedger!$F:$F,$A211,CaseLedger!$B:$B,"TRUE"))</x:f>
      </x:c>
      <x:c r="M211" t="str">
        <x:f>IF($A211="","",SUMIFS(CaseLedger!$N:$N,CaseLedger!$F:$F,$A211,CaseLedger!$B:$B,"TRUE"))</x:f>
      </x:c>
      <x:c r="N211" t="str">
        <x:f>IF($A211="","",0)</x:f>
      </x:c>
      <x:c r="O211" t="str">
        <x:f>IF($A211="","",SUMIFS(CaseLedger!$O:$O,CaseLedger!$F:$F,$A211,CaseLedger!$B:$B,"TRUE"))</x:f>
      </x:c>
      <x:c r="P211" t="str">
        <x:f>IF($A211="","",IFERROR(VLOOKUP($A211,MonthlyFinance!$A:$G,4,FALSE),""))</x:f>
      </x:c>
      <x:c r="Q211" t="str">
        <x:f>IF($A211="","",IFERROR(VLOOKUP($A211,MonthlyFinance!$A:$G,5,FALSE),""))</x:f>
      </x:c>
      <x:c r="R211" t="str">
        <x:f>IF($A211="","",IFERROR(VLOOKUP($A211,MonthlyFinance!$A:$G,6,FALSE),""))</x:f>
      </x:c>
      <x:c r="S211" t="str">
        <x:f>IF($A211="","","Formula-linked from CaseLedger; finance fields from MonthlyFinance.")</x:f>
      </x:c>
      <x:c r="T211" t="str">
        <x:f>IF($A211="","","TRUE")</x:f>
      </x:c>
    </x:row>
    <x:row r="212">
      <x:c r="D212" t="str">
        <x:f>IF($A212="","",COUNTIFS(CaseLedger!$F:$F,$A212,CaseLedger!$B:$B,"TRUE"))</x:f>
      </x:c>
      <x:c r="E212" t="str">
        <x:f>IF($A212="","",COUNTIFS(CaseLedger!$F:$F,$A212,CaseLedger!$B:$B,"TRUE",CaseLedger!$P:$P,"Zakat"))</x:f>
      </x:c>
      <x:c r="F212" t="str">
        <x:f>IF($A212="","",COUNTIFS(CaseLedger!$F:$F,$A212,CaseLedger!$B:$B,"TRUE",CaseLedger!$P:$P,"Sadaqah"))</x:f>
      </x:c>
      <x:c r="G212" t="str">
        <x:f>IF($A212="","",COUNTIFS(CaseLedger!$F:$F,$A212,CaseLedger!$B:$B,"TRUE",CaseLedger!$P:$P,"Mixed"))</x:f>
      </x:c>
      <x:c r="H212" t="str">
        <x:f>IF($A212="","",COUNTIFS(CaseLedger!$F:$F,$A212,CaseLedger!$B:$B,"TRUE",CaseLedger!$K:$K,"Livelihood"))</x:f>
      </x:c>
      <x:c r="I212" t="str">
        <x:f>IF($A212="","",COUNTIFS(CaseLedger!$F:$F,$A212,CaseLedger!$B:$B,"TRUE",CaseLedger!$K:$K,"Skill Sponsorship"))</x:f>
      </x:c>
      <x:c r="J212" t="str">
        <x:f>IF($A212="","",COUNTIFS(CaseLedger!$F:$F,$A212,CaseLedger!$B:$B,"TRUE",CaseLedger!$K:$K,"Emergency Support"))</x:f>
      </x:c>
      <x:c r="K212" t="str">
        <x:f>IF($A212="","",COUNTIFS(CaseLedger!$F:$F,$A212,CaseLedger!$B:$B,"TRUE",CaseLedger!$K:$K,"Community Support"))</x:f>
      </x:c>
      <x:c r="L212" t="str">
        <x:f>IF($A212="","",SUMIFS(CaseLedger!$M:$M,CaseLedger!$F:$F,$A212,CaseLedger!$B:$B,"TRUE"))</x:f>
      </x:c>
      <x:c r="M212" t="str">
        <x:f>IF($A212="","",SUMIFS(CaseLedger!$N:$N,CaseLedger!$F:$F,$A212,CaseLedger!$B:$B,"TRUE"))</x:f>
      </x:c>
      <x:c r="N212" t="str">
        <x:f>IF($A212="","",0)</x:f>
      </x:c>
      <x:c r="O212" t="str">
        <x:f>IF($A212="","",SUMIFS(CaseLedger!$O:$O,CaseLedger!$F:$F,$A212,CaseLedger!$B:$B,"TRUE"))</x:f>
      </x:c>
      <x:c r="P212" t="str">
        <x:f>IF($A212="","",IFERROR(VLOOKUP($A212,MonthlyFinance!$A:$G,4,FALSE),""))</x:f>
      </x:c>
      <x:c r="Q212" t="str">
        <x:f>IF($A212="","",IFERROR(VLOOKUP($A212,MonthlyFinance!$A:$G,5,FALSE),""))</x:f>
      </x:c>
      <x:c r="R212" t="str">
        <x:f>IF($A212="","",IFERROR(VLOOKUP($A212,MonthlyFinance!$A:$G,6,FALSE),""))</x:f>
      </x:c>
      <x:c r="S212" t="str">
        <x:f>IF($A212="","","Formula-linked from CaseLedger; finance fields from MonthlyFinance.")</x:f>
      </x:c>
      <x:c r="T212" t="str">
        <x:f>IF($A212="","","TRUE")</x:f>
      </x:c>
    </x:row>
    <x:row r="213">
      <x:c r="D213" t="str">
        <x:f>IF($A213="","",COUNTIFS(CaseLedger!$F:$F,$A213,CaseLedger!$B:$B,"TRUE"))</x:f>
      </x:c>
      <x:c r="E213" t="str">
        <x:f>IF($A213="","",COUNTIFS(CaseLedger!$F:$F,$A213,CaseLedger!$B:$B,"TRUE",CaseLedger!$P:$P,"Zakat"))</x:f>
      </x:c>
      <x:c r="F213" t="str">
        <x:f>IF($A213="","",COUNTIFS(CaseLedger!$F:$F,$A213,CaseLedger!$B:$B,"TRUE",CaseLedger!$P:$P,"Sadaqah"))</x:f>
      </x:c>
      <x:c r="G213" t="str">
        <x:f>IF($A213="","",COUNTIFS(CaseLedger!$F:$F,$A213,CaseLedger!$B:$B,"TRUE",CaseLedger!$P:$P,"Mixed"))</x:f>
      </x:c>
      <x:c r="H213" t="str">
        <x:f>IF($A213="","",COUNTIFS(CaseLedger!$F:$F,$A213,CaseLedger!$B:$B,"TRUE",CaseLedger!$K:$K,"Livelihood"))</x:f>
      </x:c>
      <x:c r="I213" t="str">
        <x:f>IF($A213="","",COUNTIFS(CaseLedger!$F:$F,$A213,CaseLedger!$B:$B,"TRUE",CaseLedger!$K:$K,"Skill Sponsorship"))</x:f>
      </x:c>
      <x:c r="J213" t="str">
        <x:f>IF($A213="","",COUNTIFS(CaseLedger!$F:$F,$A213,CaseLedger!$B:$B,"TRUE",CaseLedger!$K:$K,"Emergency Support"))</x:f>
      </x:c>
      <x:c r="K213" t="str">
        <x:f>IF($A213="","",COUNTIFS(CaseLedger!$F:$F,$A213,CaseLedger!$B:$B,"TRUE",CaseLedger!$K:$K,"Community Support"))</x:f>
      </x:c>
      <x:c r="L213" t="str">
        <x:f>IF($A213="","",SUMIFS(CaseLedger!$M:$M,CaseLedger!$F:$F,$A213,CaseLedger!$B:$B,"TRUE"))</x:f>
      </x:c>
      <x:c r="M213" t="str">
        <x:f>IF($A213="","",SUMIFS(CaseLedger!$N:$N,CaseLedger!$F:$F,$A213,CaseLedger!$B:$B,"TRUE"))</x:f>
      </x:c>
      <x:c r="N213" t="str">
        <x:f>IF($A213="","",0)</x:f>
      </x:c>
      <x:c r="O213" t="str">
        <x:f>IF($A213="","",SUMIFS(CaseLedger!$O:$O,CaseLedger!$F:$F,$A213,CaseLedger!$B:$B,"TRUE"))</x:f>
      </x:c>
      <x:c r="P213" t="str">
        <x:f>IF($A213="","",IFERROR(VLOOKUP($A213,MonthlyFinance!$A:$G,4,FALSE),""))</x:f>
      </x:c>
      <x:c r="Q213" t="str">
        <x:f>IF($A213="","",IFERROR(VLOOKUP($A213,MonthlyFinance!$A:$G,5,FALSE),""))</x:f>
      </x:c>
      <x:c r="R213" t="str">
        <x:f>IF($A213="","",IFERROR(VLOOKUP($A213,MonthlyFinance!$A:$G,6,FALSE),""))</x:f>
      </x:c>
      <x:c r="S213" t="str">
        <x:f>IF($A213="","","Formula-linked from CaseLedger; finance fields from MonthlyFinance.")</x:f>
      </x:c>
      <x:c r="T213" t="str">
        <x:f>IF($A213="","","TRUE")</x:f>
      </x:c>
    </x:row>
    <x:row r="214">
      <x:c r="D214" t="str">
        <x:f>IF($A214="","",COUNTIFS(CaseLedger!$F:$F,$A214,CaseLedger!$B:$B,"TRUE"))</x:f>
      </x:c>
      <x:c r="E214" t="str">
        <x:f>IF($A214="","",COUNTIFS(CaseLedger!$F:$F,$A214,CaseLedger!$B:$B,"TRUE",CaseLedger!$P:$P,"Zakat"))</x:f>
      </x:c>
      <x:c r="F214" t="str">
        <x:f>IF($A214="","",COUNTIFS(CaseLedger!$F:$F,$A214,CaseLedger!$B:$B,"TRUE",CaseLedger!$P:$P,"Sadaqah"))</x:f>
      </x:c>
      <x:c r="G214" t="str">
        <x:f>IF($A214="","",COUNTIFS(CaseLedger!$F:$F,$A214,CaseLedger!$B:$B,"TRUE",CaseLedger!$P:$P,"Mixed"))</x:f>
      </x:c>
      <x:c r="H214" t="str">
        <x:f>IF($A214="","",COUNTIFS(CaseLedger!$F:$F,$A214,CaseLedger!$B:$B,"TRUE",CaseLedger!$K:$K,"Livelihood"))</x:f>
      </x:c>
      <x:c r="I214" t="str">
        <x:f>IF($A214="","",COUNTIFS(CaseLedger!$F:$F,$A214,CaseLedger!$B:$B,"TRUE",CaseLedger!$K:$K,"Skill Sponsorship"))</x:f>
      </x:c>
      <x:c r="J214" t="str">
        <x:f>IF($A214="","",COUNTIFS(CaseLedger!$F:$F,$A214,CaseLedger!$B:$B,"TRUE",CaseLedger!$K:$K,"Emergency Support"))</x:f>
      </x:c>
      <x:c r="K214" t="str">
        <x:f>IF($A214="","",COUNTIFS(CaseLedger!$F:$F,$A214,CaseLedger!$B:$B,"TRUE",CaseLedger!$K:$K,"Community Support"))</x:f>
      </x:c>
      <x:c r="L214" t="str">
        <x:f>IF($A214="","",SUMIFS(CaseLedger!$M:$M,CaseLedger!$F:$F,$A214,CaseLedger!$B:$B,"TRUE"))</x:f>
      </x:c>
      <x:c r="M214" t="str">
        <x:f>IF($A214="","",SUMIFS(CaseLedger!$N:$N,CaseLedger!$F:$F,$A214,CaseLedger!$B:$B,"TRUE"))</x:f>
      </x:c>
      <x:c r="N214" t="str">
        <x:f>IF($A214="","",0)</x:f>
      </x:c>
      <x:c r="O214" t="str">
        <x:f>IF($A214="","",SUMIFS(CaseLedger!$O:$O,CaseLedger!$F:$F,$A214,CaseLedger!$B:$B,"TRUE"))</x:f>
      </x:c>
      <x:c r="P214" t="str">
        <x:f>IF($A214="","",IFERROR(VLOOKUP($A214,MonthlyFinance!$A:$G,4,FALSE),""))</x:f>
      </x:c>
      <x:c r="Q214" t="str">
        <x:f>IF($A214="","",IFERROR(VLOOKUP($A214,MonthlyFinance!$A:$G,5,FALSE),""))</x:f>
      </x:c>
      <x:c r="R214" t="str">
        <x:f>IF($A214="","",IFERROR(VLOOKUP($A214,MonthlyFinance!$A:$G,6,FALSE),""))</x:f>
      </x:c>
      <x:c r="S214" t="str">
        <x:f>IF($A214="","","Formula-linked from CaseLedger; finance fields from MonthlyFinance.")</x:f>
      </x:c>
      <x:c r="T214" t="str">
        <x:f>IF($A214="","","TRUE")</x:f>
      </x:c>
    </x:row>
    <x:row r="215">
      <x:c r="D215" t="str">
        <x:f>IF($A215="","",COUNTIFS(CaseLedger!$F:$F,$A215,CaseLedger!$B:$B,"TRUE"))</x:f>
      </x:c>
      <x:c r="E215" t="str">
        <x:f>IF($A215="","",COUNTIFS(CaseLedger!$F:$F,$A215,CaseLedger!$B:$B,"TRUE",CaseLedger!$P:$P,"Zakat"))</x:f>
      </x:c>
      <x:c r="F215" t="str">
        <x:f>IF($A215="","",COUNTIFS(CaseLedger!$F:$F,$A215,CaseLedger!$B:$B,"TRUE",CaseLedger!$P:$P,"Sadaqah"))</x:f>
      </x:c>
      <x:c r="G215" t="str">
        <x:f>IF($A215="","",COUNTIFS(CaseLedger!$F:$F,$A215,CaseLedger!$B:$B,"TRUE",CaseLedger!$P:$P,"Mixed"))</x:f>
      </x:c>
      <x:c r="H215" t="str">
        <x:f>IF($A215="","",COUNTIFS(CaseLedger!$F:$F,$A215,CaseLedger!$B:$B,"TRUE",CaseLedger!$K:$K,"Livelihood"))</x:f>
      </x:c>
      <x:c r="I215" t="str">
        <x:f>IF($A215="","",COUNTIFS(CaseLedger!$F:$F,$A215,CaseLedger!$B:$B,"TRUE",CaseLedger!$K:$K,"Skill Sponsorship"))</x:f>
      </x:c>
      <x:c r="J215" t="str">
        <x:f>IF($A215="","",COUNTIFS(CaseLedger!$F:$F,$A215,CaseLedger!$B:$B,"TRUE",CaseLedger!$K:$K,"Emergency Support"))</x:f>
      </x:c>
      <x:c r="K215" t="str">
        <x:f>IF($A215="","",COUNTIFS(CaseLedger!$F:$F,$A215,CaseLedger!$B:$B,"TRUE",CaseLedger!$K:$K,"Community Support"))</x:f>
      </x:c>
      <x:c r="L215" t="str">
        <x:f>IF($A215="","",SUMIFS(CaseLedger!$M:$M,CaseLedger!$F:$F,$A215,CaseLedger!$B:$B,"TRUE"))</x:f>
      </x:c>
      <x:c r="M215" t="str">
        <x:f>IF($A215="","",SUMIFS(CaseLedger!$N:$N,CaseLedger!$F:$F,$A215,CaseLedger!$B:$B,"TRUE"))</x:f>
      </x:c>
      <x:c r="N215" t="str">
        <x:f>IF($A215="","",0)</x:f>
      </x:c>
      <x:c r="O215" t="str">
        <x:f>IF($A215="","",SUMIFS(CaseLedger!$O:$O,CaseLedger!$F:$F,$A215,CaseLedger!$B:$B,"TRUE"))</x:f>
      </x:c>
      <x:c r="P215" t="str">
        <x:f>IF($A215="","",IFERROR(VLOOKUP($A215,MonthlyFinance!$A:$G,4,FALSE),""))</x:f>
      </x:c>
      <x:c r="Q215" t="str">
        <x:f>IF($A215="","",IFERROR(VLOOKUP($A215,MonthlyFinance!$A:$G,5,FALSE),""))</x:f>
      </x:c>
      <x:c r="R215" t="str">
        <x:f>IF($A215="","",IFERROR(VLOOKUP($A215,MonthlyFinance!$A:$G,6,FALSE),""))</x:f>
      </x:c>
      <x:c r="S215" t="str">
        <x:f>IF($A215="","","Formula-linked from CaseLedger; finance fields from MonthlyFinance.")</x:f>
      </x:c>
      <x:c r="T215" t="str">
        <x:f>IF($A215="","","TRUE")</x:f>
      </x:c>
    </x:row>
    <x:row r="216">
      <x:c r="D216" t="str">
        <x:f>IF($A216="","",COUNTIFS(CaseLedger!$F:$F,$A216,CaseLedger!$B:$B,"TRUE"))</x:f>
      </x:c>
      <x:c r="E216" t="str">
        <x:f>IF($A216="","",COUNTIFS(CaseLedger!$F:$F,$A216,CaseLedger!$B:$B,"TRUE",CaseLedger!$P:$P,"Zakat"))</x:f>
      </x:c>
      <x:c r="F216" t="str">
        <x:f>IF($A216="","",COUNTIFS(CaseLedger!$F:$F,$A216,CaseLedger!$B:$B,"TRUE",CaseLedger!$P:$P,"Sadaqah"))</x:f>
      </x:c>
      <x:c r="G216" t="str">
        <x:f>IF($A216="","",COUNTIFS(CaseLedger!$F:$F,$A216,CaseLedger!$B:$B,"TRUE",CaseLedger!$P:$P,"Mixed"))</x:f>
      </x:c>
      <x:c r="H216" t="str">
        <x:f>IF($A216="","",COUNTIFS(CaseLedger!$F:$F,$A216,CaseLedger!$B:$B,"TRUE",CaseLedger!$K:$K,"Livelihood"))</x:f>
      </x:c>
      <x:c r="I216" t="str">
        <x:f>IF($A216="","",COUNTIFS(CaseLedger!$F:$F,$A216,CaseLedger!$B:$B,"TRUE",CaseLedger!$K:$K,"Skill Sponsorship"))</x:f>
      </x:c>
      <x:c r="J216" t="str">
        <x:f>IF($A216="","",COUNTIFS(CaseLedger!$F:$F,$A216,CaseLedger!$B:$B,"TRUE",CaseLedger!$K:$K,"Emergency Support"))</x:f>
      </x:c>
      <x:c r="K216" t="str">
        <x:f>IF($A216="","",COUNTIFS(CaseLedger!$F:$F,$A216,CaseLedger!$B:$B,"TRUE",CaseLedger!$K:$K,"Community Support"))</x:f>
      </x:c>
      <x:c r="L216" t="str">
        <x:f>IF($A216="","",SUMIFS(CaseLedger!$M:$M,CaseLedger!$F:$F,$A216,CaseLedger!$B:$B,"TRUE"))</x:f>
      </x:c>
      <x:c r="M216" t="str">
        <x:f>IF($A216="","",SUMIFS(CaseLedger!$N:$N,CaseLedger!$F:$F,$A216,CaseLedger!$B:$B,"TRUE"))</x:f>
      </x:c>
      <x:c r="N216" t="str">
        <x:f>IF($A216="","",0)</x:f>
      </x:c>
      <x:c r="O216" t="str">
        <x:f>IF($A216="","",SUMIFS(CaseLedger!$O:$O,CaseLedger!$F:$F,$A216,CaseLedger!$B:$B,"TRUE"))</x:f>
      </x:c>
      <x:c r="P216" t="str">
        <x:f>IF($A216="","",IFERROR(VLOOKUP($A216,MonthlyFinance!$A:$G,4,FALSE),""))</x:f>
      </x:c>
      <x:c r="Q216" t="str">
        <x:f>IF($A216="","",IFERROR(VLOOKUP($A216,MonthlyFinance!$A:$G,5,FALSE),""))</x:f>
      </x:c>
      <x:c r="R216" t="str">
        <x:f>IF($A216="","",IFERROR(VLOOKUP($A216,MonthlyFinance!$A:$G,6,FALSE),""))</x:f>
      </x:c>
      <x:c r="S216" t="str">
        <x:f>IF($A216="","","Formula-linked from CaseLedger; finance fields from MonthlyFinance.")</x:f>
      </x:c>
      <x:c r="T216" t="str">
        <x:f>IF($A216="","","TRUE")</x:f>
      </x:c>
    </x:row>
    <x:row r="217">
      <x:c r="D217" t="str">
        <x:f>IF($A217="","",COUNTIFS(CaseLedger!$F:$F,$A217,CaseLedger!$B:$B,"TRUE"))</x:f>
      </x:c>
      <x:c r="E217" t="str">
        <x:f>IF($A217="","",COUNTIFS(CaseLedger!$F:$F,$A217,CaseLedger!$B:$B,"TRUE",CaseLedger!$P:$P,"Zakat"))</x:f>
      </x:c>
      <x:c r="F217" t="str">
        <x:f>IF($A217="","",COUNTIFS(CaseLedger!$F:$F,$A217,CaseLedger!$B:$B,"TRUE",CaseLedger!$P:$P,"Sadaqah"))</x:f>
      </x:c>
      <x:c r="G217" t="str">
        <x:f>IF($A217="","",COUNTIFS(CaseLedger!$F:$F,$A217,CaseLedger!$B:$B,"TRUE",CaseLedger!$P:$P,"Mixed"))</x:f>
      </x:c>
      <x:c r="H217" t="str">
        <x:f>IF($A217="","",COUNTIFS(CaseLedger!$F:$F,$A217,CaseLedger!$B:$B,"TRUE",CaseLedger!$K:$K,"Livelihood"))</x:f>
      </x:c>
      <x:c r="I217" t="str">
        <x:f>IF($A217="","",COUNTIFS(CaseLedger!$F:$F,$A217,CaseLedger!$B:$B,"TRUE",CaseLedger!$K:$K,"Skill Sponsorship"))</x:f>
      </x:c>
      <x:c r="J217" t="str">
        <x:f>IF($A217="","",COUNTIFS(CaseLedger!$F:$F,$A217,CaseLedger!$B:$B,"TRUE",CaseLedger!$K:$K,"Emergency Support"))</x:f>
      </x:c>
      <x:c r="K217" t="str">
        <x:f>IF($A217="","",COUNTIFS(CaseLedger!$F:$F,$A217,CaseLedger!$B:$B,"TRUE",CaseLedger!$K:$K,"Community Support"))</x:f>
      </x:c>
      <x:c r="L217" t="str">
        <x:f>IF($A217="","",SUMIFS(CaseLedger!$M:$M,CaseLedger!$F:$F,$A217,CaseLedger!$B:$B,"TRUE"))</x:f>
      </x:c>
      <x:c r="M217" t="str">
        <x:f>IF($A217="","",SUMIFS(CaseLedger!$N:$N,CaseLedger!$F:$F,$A217,CaseLedger!$B:$B,"TRUE"))</x:f>
      </x:c>
      <x:c r="N217" t="str">
        <x:f>IF($A217="","",0)</x:f>
      </x:c>
      <x:c r="O217" t="str">
        <x:f>IF($A217="","",SUMIFS(CaseLedger!$O:$O,CaseLedger!$F:$F,$A217,CaseLedger!$B:$B,"TRUE"))</x:f>
      </x:c>
      <x:c r="P217" t="str">
        <x:f>IF($A217="","",IFERROR(VLOOKUP($A217,MonthlyFinance!$A:$G,4,FALSE),""))</x:f>
      </x:c>
      <x:c r="Q217" t="str">
        <x:f>IF($A217="","",IFERROR(VLOOKUP($A217,MonthlyFinance!$A:$G,5,FALSE),""))</x:f>
      </x:c>
      <x:c r="R217" t="str">
        <x:f>IF($A217="","",IFERROR(VLOOKUP($A217,MonthlyFinance!$A:$G,6,FALSE),""))</x:f>
      </x:c>
      <x:c r="S217" t="str">
        <x:f>IF($A217="","","Formula-linked from CaseLedger; finance fields from MonthlyFinance.")</x:f>
      </x:c>
      <x:c r="T217" t="str">
        <x:f>IF($A217="","","TRUE")</x:f>
      </x:c>
    </x:row>
    <x:row r="218">
      <x:c r="D218" t="str">
        <x:f>IF($A218="","",COUNTIFS(CaseLedger!$F:$F,$A218,CaseLedger!$B:$B,"TRUE"))</x:f>
      </x:c>
      <x:c r="E218" t="str">
        <x:f>IF($A218="","",COUNTIFS(CaseLedger!$F:$F,$A218,CaseLedger!$B:$B,"TRUE",CaseLedger!$P:$P,"Zakat"))</x:f>
      </x:c>
      <x:c r="F218" t="str">
        <x:f>IF($A218="","",COUNTIFS(CaseLedger!$F:$F,$A218,CaseLedger!$B:$B,"TRUE",CaseLedger!$P:$P,"Sadaqah"))</x:f>
      </x:c>
      <x:c r="G218" t="str">
        <x:f>IF($A218="","",COUNTIFS(CaseLedger!$F:$F,$A218,CaseLedger!$B:$B,"TRUE",CaseLedger!$P:$P,"Mixed"))</x:f>
      </x:c>
      <x:c r="H218" t="str">
        <x:f>IF($A218="","",COUNTIFS(CaseLedger!$F:$F,$A218,CaseLedger!$B:$B,"TRUE",CaseLedger!$K:$K,"Livelihood"))</x:f>
      </x:c>
      <x:c r="I218" t="str">
        <x:f>IF($A218="","",COUNTIFS(CaseLedger!$F:$F,$A218,CaseLedger!$B:$B,"TRUE",CaseLedger!$K:$K,"Skill Sponsorship"))</x:f>
      </x:c>
      <x:c r="J218" t="str">
        <x:f>IF($A218="","",COUNTIFS(CaseLedger!$F:$F,$A218,CaseLedger!$B:$B,"TRUE",CaseLedger!$K:$K,"Emergency Support"))</x:f>
      </x:c>
      <x:c r="K218" t="str">
        <x:f>IF($A218="","",COUNTIFS(CaseLedger!$F:$F,$A218,CaseLedger!$B:$B,"TRUE",CaseLedger!$K:$K,"Community Support"))</x:f>
      </x:c>
      <x:c r="L218" t="str">
        <x:f>IF($A218="","",SUMIFS(CaseLedger!$M:$M,CaseLedger!$F:$F,$A218,CaseLedger!$B:$B,"TRUE"))</x:f>
      </x:c>
      <x:c r="M218" t="str">
        <x:f>IF($A218="","",SUMIFS(CaseLedger!$N:$N,CaseLedger!$F:$F,$A218,CaseLedger!$B:$B,"TRUE"))</x:f>
      </x:c>
      <x:c r="N218" t="str">
        <x:f>IF($A218="","",0)</x:f>
      </x:c>
      <x:c r="O218" t="str">
        <x:f>IF($A218="","",SUMIFS(CaseLedger!$O:$O,CaseLedger!$F:$F,$A218,CaseLedger!$B:$B,"TRUE"))</x:f>
      </x:c>
      <x:c r="P218" t="str">
        <x:f>IF($A218="","",IFERROR(VLOOKUP($A218,MonthlyFinance!$A:$G,4,FALSE),""))</x:f>
      </x:c>
      <x:c r="Q218" t="str">
        <x:f>IF($A218="","",IFERROR(VLOOKUP($A218,MonthlyFinance!$A:$G,5,FALSE),""))</x:f>
      </x:c>
      <x:c r="R218" t="str">
        <x:f>IF($A218="","",IFERROR(VLOOKUP($A218,MonthlyFinance!$A:$G,6,FALSE),""))</x:f>
      </x:c>
      <x:c r="S218" t="str">
        <x:f>IF($A218="","","Formula-linked from CaseLedger; finance fields from MonthlyFinance.")</x:f>
      </x:c>
      <x:c r="T218" t="str">
        <x:f>IF($A218="","","TRUE")</x:f>
      </x:c>
    </x:row>
    <x:row r="219">
      <x:c r="D219" t="str">
        <x:f>IF($A219="","",COUNTIFS(CaseLedger!$F:$F,$A219,CaseLedger!$B:$B,"TRUE"))</x:f>
      </x:c>
      <x:c r="E219" t="str">
        <x:f>IF($A219="","",COUNTIFS(CaseLedger!$F:$F,$A219,CaseLedger!$B:$B,"TRUE",CaseLedger!$P:$P,"Zakat"))</x:f>
      </x:c>
      <x:c r="F219" t="str">
        <x:f>IF($A219="","",COUNTIFS(CaseLedger!$F:$F,$A219,CaseLedger!$B:$B,"TRUE",CaseLedger!$P:$P,"Sadaqah"))</x:f>
      </x:c>
      <x:c r="G219" t="str">
        <x:f>IF($A219="","",COUNTIFS(CaseLedger!$F:$F,$A219,CaseLedger!$B:$B,"TRUE",CaseLedger!$P:$P,"Mixed"))</x:f>
      </x:c>
      <x:c r="H219" t="str">
        <x:f>IF($A219="","",COUNTIFS(CaseLedger!$F:$F,$A219,CaseLedger!$B:$B,"TRUE",CaseLedger!$K:$K,"Livelihood"))</x:f>
      </x:c>
      <x:c r="I219" t="str">
        <x:f>IF($A219="","",COUNTIFS(CaseLedger!$F:$F,$A219,CaseLedger!$B:$B,"TRUE",CaseLedger!$K:$K,"Skill Sponsorship"))</x:f>
      </x:c>
      <x:c r="J219" t="str">
        <x:f>IF($A219="","",COUNTIFS(CaseLedger!$F:$F,$A219,CaseLedger!$B:$B,"TRUE",CaseLedger!$K:$K,"Emergency Support"))</x:f>
      </x:c>
      <x:c r="K219" t="str">
        <x:f>IF($A219="","",COUNTIFS(CaseLedger!$F:$F,$A219,CaseLedger!$B:$B,"TRUE",CaseLedger!$K:$K,"Community Support"))</x:f>
      </x:c>
      <x:c r="L219" t="str">
        <x:f>IF($A219="","",SUMIFS(CaseLedger!$M:$M,CaseLedger!$F:$F,$A219,CaseLedger!$B:$B,"TRUE"))</x:f>
      </x:c>
      <x:c r="M219" t="str">
        <x:f>IF($A219="","",SUMIFS(CaseLedger!$N:$N,CaseLedger!$F:$F,$A219,CaseLedger!$B:$B,"TRUE"))</x:f>
      </x:c>
      <x:c r="N219" t="str">
        <x:f>IF($A219="","",0)</x:f>
      </x:c>
      <x:c r="O219" t="str">
        <x:f>IF($A219="","",SUMIFS(CaseLedger!$O:$O,CaseLedger!$F:$F,$A219,CaseLedger!$B:$B,"TRUE"))</x:f>
      </x:c>
      <x:c r="P219" t="str">
        <x:f>IF($A219="","",IFERROR(VLOOKUP($A219,MonthlyFinance!$A:$G,4,FALSE),""))</x:f>
      </x:c>
      <x:c r="Q219" t="str">
        <x:f>IF($A219="","",IFERROR(VLOOKUP($A219,MonthlyFinance!$A:$G,5,FALSE),""))</x:f>
      </x:c>
      <x:c r="R219" t="str">
        <x:f>IF($A219="","",IFERROR(VLOOKUP($A219,MonthlyFinance!$A:$G,6,FALSE),""))</x:f>
      </x:c>
      <x:c r="S219" t="str">
        <x:f>IF($A219="","","Formula-linked from CaseLedger; finance fields from MonthlyFinance.")</x:f>
      </x:c>
      <x:c r="T219" t="str">
        <x:f>IF($A219="","","TRUE")</x:f>
      </x:c>
    </x:row>
    <x:row r="220">
      <x:c r="D220" t="str">
        <x:f>IF($A220="","",COUNTIFS(CaseLedger!$F:$F,$A220,CaseLedger!$B:$B,"TRUE"))</x:f>
      </x:c>
      <x:c r="E220" t="str">
        <x:f>IF($A220="","",COUNTIFS(CaseLedger!$F:$F,$A220,CaseLedger!$B:$B,"TRUE",CaseLedger!$P:$P,"Zakat"))</x:f>
      </x:c>
      <x:c r="F220" t="str">
        <x:f>IF($A220="","",COUNTIFS(CaseLedger!$F:$F,$A220,CaseLedger!$B:$B,"TRUE",CaseLedger!$P:$P,"Sadaqah"))</x:f>
      </x:c>
      <x:c r="G220" t="str">
        <x:f>IF($A220="","",COUNTIFS(CaseLedger!$F:$F,$A220,CaseLedger!$B:$B,"TRUE",CaseLedger!$P:$P,"Mixed"))</x:f>
      </x:c>
      <x:c r="H220" t="str">
        <x:f>IF($A220="","",COUNTIFS(CaseLedger!$F:$F,$A220,CaseLedger!$B:$B,"TRUE",CaseLedger!$K:$K,"Livelihood"))</x:f>
      </x:c>
      <x:c r="I220" t="str">
        <x:f>IF($A220="","",COUNTIFS(CaseLedger!$F:$F,$A220,CaseLedger!$B:$B,"TRUE",CaseLedger!$K:$K,"Skill Sponsorship"))</x:f>
      </x:c>
      <x:c r="J220" t="str">
        <x:f>IF($A220="","",COUNTIFS(CaseLedger!$F:$F,$A220,CaseLedger!$B:$B,"TRUE",CaseLedger!$K:$K,"Emergency Support"))</x:f>
      </x:c>
      <x:c r="K220" t="str">
        <x:f>IF($A220="","",COUNTIFS(CaseLedger!$F:$F,$A220,CaseLedger!$B:$B,"TRUE",CaseLedger!$K:$K,"Community Support"))</x:f>
      </x:c>
      <x:c r="L220" t="str">
        <x:f>IF($A220="","",SUMIFS(CaseLedger!$M:$M,CaseLedger!$F:$F,$A220,CaseLedger!$B:$B,"TRUE"))</x:f>
      </x:c>
      <x:c r="M220" t="str">
        <x:f>IF($A220="","",SUMIFS(CaseLedger!$N:$N,CaseLedger!$F:$F,$A220,CaseLedger!$B:$B,"TRUE"))</x:f>
      </x:c>
      <x:c r="N220" t="str">
        <x:f>IF($A220="","",0)</x:f>
      </x:c>
      <x:c r="O220" t="str">
        <x:f>IF($A220="","",SUMIFS(CaseLedger!$O:$O,CaseLedger!$F:$F,$A220,CaseLedger!$B:$B,"TRUE"))</x:f>
      </x:c>
      <x:c r="P220" t="str">
        <x:f>IF($A220="","",IFERROR(VLOOKUP($A220,MonthlyFinance!$A:$G,4,FALSE),""))</x:f>
      </x:c>
      <x:c r="Q220" t="str">
        <x:f>IF($A220="","",IFERROR(VLOOKUP($A220,MonthlyFinance!$A:$G,5,FALSE),""))</x:f>
      </x:c>
      <x:c r="R220" t="str">
        <x:f>IF($A220="","",IFERROR(VLOOKUP($A220,MonthlyFinance!$A:$G,6,FALSE),""))</x:f>
      </x:c>
      <x:c r="S220" t="str">
        <x:f>IF($A220="","","Formula-linked from CaseLedger; finance fields from MonthlyFinance.")</x:f>
      </x:c>
      <x:c r="T220" t="str">
        <x:f>IF($A220="","","TRUE")</x:f>
      </x:c>
    </x:row>
    <x:row r="221">
      <x:c r="D221" t="str">
        <x:f>IF($A221="","",COUNTIFS(CaseLedger!$F:$F,$A221,CaseLedger!$B:$B,"TRUE"))</x:f>
      </x:c>
      <x:c r="E221" t="str">
        <x:f>IF($A221="","",COUNTIFS(CaseLedger!$F:$F,$A221,CaseLedger!$B:$B,"TRUE",CaseLedger!$P:$P,"Zakat"))</x:f>
      </x:c>
      <x:c r="F221" t="str">
        <x:f>IF($A221="","",COUNTIFS(CaseLedger!$F:$F,$A221,CaseLedger!$B:$B,"TRUE",CaseLedger!$P:$P,"Sadaqah"))</x:f>
      </x:c>
      <x:c r="G221" t="str">
        <x:f>IF($A221="","",COUNTIFS(CaseLedger!$F:$F,$A221,CaseLedger!$B:$B,"TRUE",CaseLedger!$P:$P,"Mixed"))</x:f>
      </x:c>
      <x:c r="H221" t="str">
        <x:f>IF($A221="","",COUNTIFS(CaseLedger!$F:$F,$A221,CaseLedger!$B:$B,"TRUE",CaseLedger!$K:$K,"Livelihood"))</x:f>
      </x:c>
      <x:c r="I221" t="str">
        <x:f>IF($A221="","",COUNTIFS(CaseLedger!$F:$F,$A221,CaseLedger!$B:$B,"TRUE",CaseLedger!$K:$K,"Skill Sponsorship"))</x:f>
      </x:c>
      <x:c r="J221" t="str">
        <x:f>IF($A221="","",COUNTIFS(CaseLedger!$F:$F,$A221,CaseLedger!$B:$B,"TRUE",CaseLedger!$K:$K,"Emergency Support"))</x:f>
      </x:c>
      <x:c r="K221" t="str">
        <x:f>IF($A221="","",COUNTIFS(CaseLedger!$F:$F,$A221,CaseLedger!$B:$B,"TRUE",CaseLedger!$K:$K,"Community Support"))</x:f>
      </x:c>
      <x:c r="L221" t="str">
        <x:f>IF($A221="","",SUMIFS(CaseLedger!$M:$M,CaseLedger!$F:$F,$A221,CaseLedger!$B:$B,"TRUE"))</x:f>
      </x:c>
      <x:c r="M221" t="str">
        <x:f>IF($A221="","",SUMIFS(CaseLedger!$N:$N,CaseLedger!$F:$F,$A221,CaseLedger!$B:$B,"TRUE"))</x:f>
      </x:c>
      <x:c r="N221" t="str">
        <x:f>IF($A221="","",0)</x:f>
      </x:c>
      <x:c r="O221" t="str">
        <x:f>IF($A221="","",SUMIFS(CaseLedger!$O:$O,CaseLedger!$F:$F,$A221,CaseLedger!$B:$B,"TRUE"))</x:f>
      </x:c>
      <x:c r="P221" t="str">
        <x:f>IF($A221="","",IFERROR(VLOOKUP($A221,MonthlyFinance!$A:$G,4,FALSE),""))</x:f>
      </x:c>
      <x:c r="Q221" t="str">
        <x:f>IF($A221="","",IFERROR(VLOOKUP($A221,MonthlyFinance!$A:$G,5,FALSE),""))</x:f>
      </x:c>
      <x:c r="R221" t="str">
        <x:f>IF($A221="","",IFERROR(VLOOKUP($A221,MonthlyFinance!$A:$G,6,FALSE),""))</x:f>
      </x:c>
      <x:c r="S221" t="str">
        <x:f>IF($A221="","","Formula-linked from CaseLedger; finance fields from MonthlyFinance.")</x:f>
      </x:c>
      <x:c r="T221" t="str">
        <x:f>IF($A221="","","TRUE")</x:f>
      </x:c>
    </x:row>
    <x:row r="222">
      <x:c r="D222" t="str">
        <x:f>IF($A222="","",COUNTIFS(CaseLedger!$F:$F,$A222,CaseLedger!$B:$B,"TRUE"))</x:f>
      </x:c>
      <x:c r="E222" t="str">
        <x:f>IF($A222="","",COUNTIFS(CaseLedger!$F:$F,$A222,CaseLedger!$B:$B,"TRUE",CaseLedger!$P:$P,"Zakat"))</x:f>
      </x:c>
      <x:c r="F222" t="str">
        <x:f>IF($A222="","",COUNTIFS(CaseLedger!$F:$F,$A222,CaseLedger!$B:$B,"TRUE",CaseLedger!$P:$P,"Sadaqah"))</x:f>
      </x:c>
      <x:c r="G222" t="str">
        <x:f>IF($A222="","",COUNTIFS(CaseLedger!$F:$F,$A222,CaseLedger!$B:$B,"TRUE",CaseLedger!$P:$P,"Mixed"))</x:f>
      </x:c>
      <x:c r="H222" t="str">
        <x:f>IF($A222="","",COUNTIFS(CaseLedger!$F:$F,$A222,CaseLedger!$B:$B,"TRUE",CaseLedger!$K:$K,"Livelihood"))</x:f>
      </x:c>
      <x:c r="I222" t="str">
        <x:f>IF($A222="","",COUNTIFS(CaseLedger!$F:$F,$A222,CaseLedger!$B:$B,"TRUE",CaseLedger!$K:$K,"Skill Sponsorship"))</x:f>
      </x:c>
      <x:c r="J222" t="str">
        <x:f>IF($A222="","",COUNTIFS(CaseLedger!$F:$F,$A222,CaseLedger!$B:$B,"TRUE",CaseLedger!$K:$K,"Emergency Support"))</x:f>
      </x:c>
      <x:c r="K222" t="str">
        <x:f>IF($A222="","",COUNTIFS(CaseLedger!$F:$F,$A222,CaseLedger!$B:$B,"TRUE",CaseLedger!$K:$K,"Community Support"))</x:f>
      </x:c>
      <x:c r="L222" t="str">
        <x:f>IF($A222="","",SUMIFS(CaseLedger!$M:$M,CaseLedger!$F:$F,$A222,CaseLedger!$B:$B,"TRUE"))</x:f>
      </x:c>
      <x:c r="M222" t="str">
        <x:f>IF($A222="","",SUMIFS(CaseLedger!$N:$N,CaseLedger!$F:$F,$A222,CaseLedger!$B:$B,"TRUE"))</x:f>
      </x:c>
      <x:c r="N222" t="str">
        <x:f>IF($A222="","",0)</x:f>
      </x:c>
      <x:c r="O222" t="str">
        <x:f>IF($A222="","",SUMIFS(CaseLedger!$O:$O,CaseLedger!$F:$F,$A222,CaseLedger!$B:$B,"TRUE"))</x:f>
      </x:c>
      <x:c r="P222" t="str">
        <x:f>IF($A222="","",IFERROR(VLOOKUP($A222,MonthlyFinance!$A:$G,4,FALSE),""))</x:f>
      </x:c>
      <x:c r="Q222" t="str">
        <x:f>IF($A222="","",IFERROR(VLOOKUP($A222,MonthlyFinance!$A:$G,5,FALSE),""))</x:f>
      </x:c>
      <x:c r="R222" t="str">
        <x:f>IF($A222="","",IFERROR(VLOOKUP($A222,MonthlyFinance!$A:$G,6,FALSE),""))</x:f>
      </x:c>
      <x:c r="S222" t="str">
        <x:f>IF($A222="","","Formula-linked from CaseLedger; finance fields from MonthlyFinance.")</x:f>
      </x:c>
      <x:c r="T222" t="str">
        <x:f>IF($A222="","","TRUE")</x:f>
      </x:c>
    </x:row>
    <x:row r="223">
      <x:c r="D223" t="str">
        <x:f>IF($A223="","",COUNTIFS(CaseLedger!$F:$F,$A223,CaseLedger!$B:$B,"TRUE"))</x:f>
      </x:c>
      <x:c r="E223" t="str">
        <x:f>IF($A223="","",COUNTIFS(CaseLedger!$F:$F,$A223,CaseLedger!$B:$B,"TRUE",CaseLedger!$P:$P,"Zakat"))</x:f>
      </x:c>
      <x:c r="F223" t="str">
        <x:f>IF($A223="","",COUNTIFS(CaseLedger!$F:$F,$A223,CaseLedger!$B:$B,"TRUE",CaseLedger!$P:$P,"Sadaqah"))</x:f>
      </x:c>
      <x:c r="G223" t="str">
        <x:f>IF($A223="","",COUNTIFS(CaseLedger!$F:$F,$A223,CaseLedger!$B:$B,"TRUE",CaseLedger!$P:$P,"Mixed"))</x:f>
      </x:c>
      <x:c r="H223" t="str">
        <x:f>IF($A223="","",COUNTIFS(CaseLedger!$F:$F,$A223,CaseLedger!$B:$B,"TRUE",CaseLedger!$K:$K,"Livelihood"))</x:f>
      </x:c>
      <x:c r="I223" t="str">
        <x:f>IF($A223="","",COUNTIFS(CaseLedger!$F:$F,$A223,CaseLedger!$B:$B,"TRUE",CaseLedger!$K:$K,"Skill Sponsorship"))</x:f>
      </x:c>
      <x:c r="J223" t="str">
        <x:f>IF($A223="","",COUNTIFS(CaseLedger!$F:$F,$A223,CaseLedger!$B:$B,"TRUE",CaseLedger!$K:$K,"Emergency Support"))</x:f>
      </x:c>
      <x:c r="K223" t="str">
        <x:f>IF($A223="","",COUNTIFS(CaseLedger!$F:$F,$A223,CaseLedger!$B:$B,"TRUE",CaseLedger!$K:$K,"Community Support"))</x:f>
      </x:c>
      <x:c r="L223" t="str">
        <x:f>IF($A223="","",SUMIFS(CaseLedger!$M:$M,CaseLedger!$F:$F,$A223,CaseLedger!$B:$B,"TRUE"))</x:f>
      </x:c>
      <x:c r="M223" t="str">
        <x:f>IF($A223="","",SUMIFS(CaseLedger!$N:$N,CaseLedger!$F:$F,$A223,CaseLedger!$B:$B,"TRUE"))</x:f>
      </x:c>
      <x:c r="N223" t="str">
        <x:f>IF($A223="","",0)</x:f>
      </x:c>
      <x:c r="O223" t="str">
        <x:f>IF($A223="","",SUMIFS(CaseLedger!$O:$O,CaseLedger!$F:$F,$A223,CaseLedger!$B:$B,"TRUE"))</x:f>
      </x:c>
      <x:c r="P223" t="str">
        <x:f>IF($A223="","",IFERROR(VLOOKUP($A223,MonthlyFinance!$A:$G,4,FALSE),""))</x:f>
      </x:c>
      <x:c r="Q223" t="str">
        <x:f>IF($A223="","",IFERROR(VLOOKUP($A223,MonthlyFinance!$A:$G,5,FALSE),""))</x:f>
      </x:c>
      <x:c r="R223" t="str">
        <x:f>IF($A223="","",IFERROR(VLOOKUP($A223,MonthlyFinance!$A:$G,6,FALSE),""))</x:f>
      </x:c>
      <x:c r="S223" t="str">
        <x:f>IF($A223="","","Formula-linked from CaseLedger; finance fields from MonthlyFinance.")</x:f>
      </x:c>
      <x:c r="T223" t="str">
        <x:f>IF($A223="","","TRUE")</x:f>
      </x:c>
    </x:row>
    <x:row r="224">
      <x:c r="D224" t="str">
        <x:f>IF($A224="","",COUNTIFS(CaseLedger!$F:$F,$A224,CaseLedger!$B:$B,"TRUE"))</x:f>
      </x:c>
      <x:c r="E224" t="str">
        <x:f>IF($A224="","",COUNTIFS(CaseLedger!$F:$F,$A224,CaseLedger!$B:$B,"TRUE",CaseLedger!$P:$P,"Zakat"))</x:f>
      </x:c>
      <x:c r="F224" t="str">
        <x:f>IF($A224="","",COUNTIFS(CaseLedger!$F:$F,$A224,CaseLedger!$B:$B,"TRUE",CaseLedger!$P:$P,"Sadaqah"))</x:f>
      </x:c>
      <x:c r="G224" t="str">
        <x:f>IF($A224="","",COUNTIFS(CaseLedger!$F:$F,$A224,CaseLedger!$B:$B,"TRUE",CaseLedger!$P:$P,"Mixed"))</x:f>
      </x:c>
      <x:c r="H224" t="str">
        <x:f>IF($A224="","",COUNTIFS(CaseLedger!$F:$F,$A224,CaseLedger!$B:$B,"TRUE",CaseLedger!$K:$K,"Livelihood"))</x:f>
      </x:c>
      <x:c r="I224" t="str">
        <x:f>IF($A224="","",COUNTIFS(CaseLedger!$F:$F,$A224,CaseLedger!$B:$B,"TRUE",CaseLedger!$K:$K,"Skill Sponsorship"))</x:f>
      </x:c>
      <x:c r="J224" t="str">
        <x:f>IF($A224="","",COUNTIFS(CaseLedger!$F:$F,$A224,CaseLedger!$B:$B,"TRUE",CaseLedger!$K:$K,"Emergency Support"))</x:f>
      </x:c>
      <x:c r="K224" t="str">
        <x:f>IF($A224="","",COUNTIFS(CaseLedger!$F:$F,$A224,CaseLedger!$B:$B,"TRUE",CaseLedger!$K:$K,"Community Support"))</x:f>
      </x:c>
      <x:c r="L224" t="str">
        <x:f>IF($A224="","",SUMIFS(CaseLedger!$M:$M,CaseLedger!$F:$F,$A224,CaseLedger!$B:$B,"TRUE"))</x:f>
      </x:c>
      <x:c r="M224" t="str">
        <x:f>IF($A224="","",SUMIFS(CaseLedger!$N:$N,CaseLedger!$F:$F,$A224,CaseLedger!$B:$B,"TRUE"))</x:f>
      </x:c>
      <x:c r="N224" t="str">
        <x:f>IF($A224="","",0)</x:f>
      </x:c>
      <x:c r="O224" t="str">
        <x:f>IF($A224="","",SUMIFS(CaseLedger!$O:$O,CaseLedger!$F:$F,$A224,CaseLedger!$B:$B,"TRUE"))</x:f>
      </x:c>
      <x:c r="P224" t="str">
        <x:f>IF($A224="","",IFERROR(VLOOKUP($A224,MonthlyFinance!$A:$G,4,FALSE),""))</x:f>
      </x:c>
      <x:c r="Q224" t="str">
        <x:f>IF($A224="","",IFERROR(VLOOKUP($A224,MonthlyFinance!$A:$G,5,FALSE),""))</x:f>
      </x:c>
      <x:c r="R224" t="str">
        <x:f>IF($A224="","",IFERROR(VLOOKUP($A224,MonthlyFinance!$A:$G,6,FALSE),""))</x:f>
      </x:c>
      <x:c r="S224" t="str">
        <x:f>IF($A224="","","Formula-linked from CaseLedger; finance fields from MonthlyFinance.")</x:f>
      </x:c>
      <x:c r="T224" t="str">
        <x:f>IF($A224="","","TRUE")</x:f>
      </x:c>
    </x:row>
    <x:row r="225">
      <x:c r="D225" t="str">
        <x:f>IF($A225="","",COUNTIFS(CaseLedger!$F:$F,$A225,CaseLedger!$B:$B,"TRUE"))</x:f>
      </x:c>
      <x:c r="E225" t="str">
        <x:f>IF($A225="","",COUNTIFS(CaseLedger!$F:$F,$A225,CaseLedger!$B:$B,"TRUE",CaseLedger!$P:$P,"Zakat"))</x:f>
      </x:c>
      <x:c r="F225" t="str">
        <x:f>IF($A225="","",COUNTIFS(CaseLedger!$F:$F,$A225,CaseLedger!$B:$B,"TRUE",CaseLedger!$P:$P,"Sadaqah"))</x:f>
      </x:c>
      <x:c r="G225" t="str">
        <x:f>IF($A225="","",COUNTIFS(CaseLedger!$F:$F,$A225,CaseLedger!$B:$B,"TRUE",CaseLedger!$P:$P,"Mixed"))</x:f>
      </x:c>
      <x:c r="H225" t="str">
        <x:f>IF($A225="","",COUNTIFS(CaseLedger!$F:$F,$A225,CaseLedger!$B:$B,"TRUE",CaseLedger!$K:$K,"Livelihood"))</x:f>
      </x:c>
      <x:c r="I225" t="str">
        <x:f>IF($A225="","",COUNTIFS(CaseLedger!$F:$F,$A225,CaseLedger!$B:$B,"TRUE",CaseLedger!$K:$K,"Skill Sponsorship"))</x:f>
      </x:c>
      <x:c r="J225" t="str">
        <x:f>IF($A225="","",COUNTIFS(CaseLedger!$F:$F,$A225,CaseLedger!$B:$B,"TRUE",CaseLedger!$K:$K,"Emergency Support"))</x:f>
      </x:c>
      <x:c r="K225" t="str">
        <x:f>IF($A225="","",COUNTIFS(CaseLedger!$F:$F,$A225,CaseLedger!$B:$B,"TRUE",CaseLedger!$K:$K,"Community Support"))</x:f>
      </x:c>
      <x:c r="L225" t="str">
        <x:f>IF($A225="","",SUMIFS(CaseLedger!$M:$M,CaseLedger!$F:$F,$A225,CaseLedger!$B:$B,"TRUE"))</x:f>
      </x:c>
      <x:c r="M225" t="str">
        <x:f>IF($A225="","",SUMIFS(CaseLedger!$N:$N,CaseLedger!$F:$F,$A225,CaseLedger!$B:$B,"TRUE"))</x:f>
      </x:c>
      <x:c r="N225" t="str">
        <x:f>IF($A225="","",0)</x:f>
      </x:c>
      <x:c r="O225" t="str">
        <x:f>IF($A225="","",SUMIFS(CaseLedger!$O:$O,CaseLedger!$F:$F,$A225,CaseLedger!$B:$B,"TRUE"))</x:f>
      </x:c>
      <x:c r="P225" t="str">
        <x:f>IF($A225="","",IFERROR(VLOOKUP($A225,MonthlyFinance!$A:$G,4,FALSE),""))</x:f>
      </x:c>
      <x:c r="Q225" t="str">
        <x:f>IF($A225="","",IFERROR(VLOOKUP($A225,MonthlyFinance!$A:$G,5,FALSE),""))</x:f>
      </x:c>
      <x:c r="R225" t="str">
        <x:f>IF($A225="","",IFERROR(VLOOKUP($A225,MonthlyFinance!$A:$G,6,FALSE),""))</x:f>
      </x:c>
      <x:c r="S225" t="str">
        <x:f>IF($A225="","","Formula-linked from CaseLedger; finance fields from MonthlyFinance.")</x:f>
      </x:c>
      <x:c r="T225" t="str">
        <x:f>IF($A225="","","TRUE")</x:f>
      </x:c>
    </x:row>
    <x:row r="226">
      <x:c r="D226" t="str">
        <x:f>IF($A226="","",COUNTIFS(CaseLedger!$F:$F,$A226,CaseLedger!$B:$B,"TRUE"))</x:f>
      </x:c>
      <x:c r="E226" t="str">
        <x:f>IF($A226="","",COUNTIFS(CaseLedger!$F:$F,$A226,CaseLedger!$B:$B,"TRUE",CaseLedger!$P:$P,"Zakat"))</x:f>
      </x:c>
      <x:c r="F226" t="str">
        <x:f>IF($A226="","",COUNTIFS(CaseLedger!$F:$F,$A226,CaseLedger!$B:$B,"TRUE",CaseLedger!$P:$P,"Sadaqah"))</x:f>
      </x:c>
      <x:c r="G226" t="str">
        <x:f>IF($A226="","",COUNTIFS(CaseLedger!$F:$F,$A226,CaseLedger!$B:$B,"TRUE",CaseLedger!$P:$P,"Mixed"))</x:f>
      </x:c>
      <x:c r="H226" t="str">
        <x:f>IF($A226="","",COUNTIFS(CaseLedger!$F:$F,$A226,CaseLedger!$B:$B,"TRUE",CaseLedger!$K:$K,"Livelihood"))</x:f>
      </x:c>
      <x:c r="I226" t="str">
        <x:f>IF($A226="","",COUNTIFS(CaseLedger!$F:$F,$A226,CaseLedger!$B:$B,"TRUE",CaseLedger!$K:$K,"Skill Sponsorship"))</x:f>
      </x:c>
      <x:c r="J226" t="str">
        <x:f>IF($A226="","",COUNTIFS(CaseLedger!$F:$F,$A226,CaseLedger!$B:$B,"TRUE",CaseLedger!$K:$K,"Emergency Support"))</x:f>
      </x:c>
      <x:c r="K226" t="str">
        <x:f>IF($A226="","",COUNTIFS(CaseLedger!$F:$F,$A226,CaseLedger!$B:$B,"TRUE",CaseLedger!$K:$K,"Community Support"))</x:f>
      </x:c>
      <x:c r="L226" t="str">
        <x:f>IF($A226="","",SUMIFS(CaseLedger!$M:$M,CaseLedger!$F:$F,$A226,CaseLedger!$B:$B,"TRUE"))</x:f>
      </x:c>
      <x:c r="M226" t="str">
        <x:f>IF($A226="","",SUMIFS(CaseLedger!$N:$N,CaseLedger!$F:$F,$A226,CaseLedger!$B:$B,"TRUE"))</x:f>
      </x:c>
      <x:c r="N226" t="str">
        <x:f>IF($A226="","",0)</x:f>
      </x:c>
      <x:c r="O226" t="str">
        <x:f>IF($A226="","",SUMIFS(CaseLedger!$O:$O,CaseLedger!$F:$F,$A226,CaseLedger!$B:$B,"TRUE"))</x:f>
      </x:c>
      <x:c r="P226" t="str">
        <x:f>IF($A226="","",IFERROR(VLOOKUP($A226,MonthlyFinance!$A:$G,4,FALSE),""))</x:f>
      </x:c>
      <x:c r="Q226" t="str">
        <x:f>IF($A226="","",IFERROR(VLOOKUP($A226,MonthlyFinance!$A:$G,5,FALSE),""))</x:f>
      </x:c>
      <x:c r="R226" t="str">
        <x:f>IF($A226="","",IFERROR(VLOOKUP($A226,MonthlyFinance!$A:$G,6,FALSE),""))</x:f>
      </x:c>
      <x:c r="S226" t="str">
        <x:f>IF($A226="","","Formula-linked from CaseLedger; finance fields from MonthlyFinance.")</x:f>
      </x:c>
      <x:c r="T226" t="str">
        <x:f>IF($A226="","","TRUE")</x:f>
      </x:c>
    </x:row>
    <x:row r="227">
      <x:c r="D227" t="str">
        <x:f>IF($A227="","",COUNTIFS(CaseLedger!$F:$F,$A227,CaseLedger!$B:$B,"TRUE"))</x:f>
      </x:c>
      <x:c r="E227" t="str">
        <x:f>IF($A227="","",COUNTIFS(CaseLedger!$F:$F,$A227,CaseLedger!$B:$B,"TRUE",CaseLedger!$P:$P,"Zakat"))</x:f>
      </x:c>
      <x:c r="F227" t="str">
        <x:f>IF($A227="","",COUNTIFS(CaseLedger!$F:$F,$A227,CaseLedger!$B:$B,"TRUE",CaseLedger!$P:$P,"Sadaqah"))</x:f>
      </x:c>
      <x:c r="G227" t="str">
        <x:f>IF($A227="","",COUNTIFS(CaseLedger!$F:$F,$A227,CaseLedger!$B:$B,"TRUE",CaseLedger!$P:$P,"Mixed"))</x:f>
      </x:c>
      <x:c r="H227" t="str">
        <x:f>IF($A227="","",COUNTIFS(CaseLedger!$F:$F,$A227,CaseLedger!$B:$B,"TRUE",CaseLedger!$K:$K,"Livelihood"))</x:f>
      </x:c>
      <x:c r="I227" t="str">
        <x:f>IF($A227="","",COUNTIFS(CaseLedger!$F:$F,$A227,CaseLedger!$B:$B,"TRUE",CaseLedger!$K:$K,"Skill Sponsorship"))</x:f>
      </x:c>
      <x:c r="J227" t="str">
        <x:f>IF($A227="","",COUNTIFS(CaseLedger!$F:$F,$A227,CaseLedger!$B:$B,"TRUE",CaseLedger!$K:$K,"Emergency Support"))</x:f>
      </x:c>
      <x:c r="K227" t="str">
        <x:f>IF($A227="","",COUNTIFS(CaseLedger!$F:$F,$A227,CaseLedger!$B:$B,"TRUE",CaseLedger!$K:$K,"Community Support"))</x:f>
      </x:c>
      <x:c r="L227" t="str">
        <x:f>IF($A227="","",SUMIFS(CaseLedger!$M:$M,CaseLedger!$F:$F,$A227,CaseLedger!$B:$B,"TRUE"))</x:f>
      </x:c>
      <x:c r="M227" t="str">
        <x:f>IF($A227="","",SUMIFS(CaseLedger!$N:$N,CaseLedger!$F:$F,$A227,CaseLedger!$B:$B,"TRUE"))</x:f>
      </x:c>
      <x:c r="N227" t="str">
        <x:f>IF($A227="","",0)</x:f>
      </x:c>
      <x:c r="O227" t="str">
        <x:f>IF($A227="","",SUMIFS(CaseLedger!$O:$O,CaseLedger!$F:$F,$A227,CaseLedger!$B:$B,"TRUE"))</x:f>
      </x:c>
      <x:c r="P227" t="str">
        <x:f>IF($A227="","",IFERROR(VLOOKUP($A227,MonthlyFinance!$A:$G,4,FALSE),""))</x:f>
      </x:c>
      <x:c r="Q227" t="str">
        <x:f>IF($A227="","",IFERROR(VLOOKUP($A227,MonthlyFinance!$A:$G,5,FALSE),""))</x:f>
      </x:c>
      <x:c r="R227" t="str">
        <x:f>IF($A227="","",IFERROR(VLOOKUP($A227,MonthlyFinance!$A:$G,6,FALSE),""))</x:f>
      </x:c>
      <x:c r="S227" t="str">
        <x:f>IF($A227="","","Formula-linked from CaseLedger; finance fields from MonthlyFinance.")</x:f>
      </x:c>
      <x:c r="T227" t="str">
        <x:f>IF($A227="","","TRUE")</x:f>
      </x:c>
    </x:row>
    <x:row r="228">
      <x:c r="D228" t="str">
        <x:f>IF($A228="","",COUNTIFS(CaseLedger!$F:$F,$A228,CaseLedger!$B:$B,"TRUE"))</x:f>
      </x:c>
      <x:c r="E228" t="str">
        <x:f>IF($A228="","",COUNTIFS(CaseLedger!$F:$F,$A228,CaseLedger!$B:$B,"TRUE",CaseLedger!$P:$P,"Zakat"))</x:f>
      </x:c>
      <x:c r="F228" t="str">
        <x:f>IF($A228="","",COUNTIFS(CaseLedger!$F:$F,$A228,CaseLedger!$B:$B,"TRUE",CaseLedger!$P:$P,"Sadaqah"))</x:f>
      </x:c>
      <x:c r="G228" t="str">
        <x:f>IF($A228="","",COUNTIFS(CaseLedger!$F:$F,$A228,CaseLedger!$B:$B,"TRUE",CaseLedger!$P:$P,"Mixed"))</x:f>
      </x:c>
      <x:c r="H228" t="str">
        <x:f>IF($A228="","",COUNTIFS(CaseLedger!$F:$F,$A228,CaseLedger!$B:$B,"TRUE",CaseLedger!$K:$K,"Livelihood"))</x:f>
      </x:c>
      <x:c r="I228" t="str">
        <x:f>IF($A228="","",COUNTIFS(CaseLedger!$F:$F,$A228,CaseLedger!$B:$B,"TRUE",CaseLedger!$K:$K,"Skill Sponsorship"))</x:f>
      </x:c>
      <x:c r="J228" t="str">
        <x:f>IF($A228="","",COUNTIFS(CaseLedger!$F:$F,$A228,CaseLedger!$B:$B,"TRUE",CaseLedger!$K:$K,"Emergency Support"))</x:f>
      </x:c>
      <x:c r="K228" t="str">
        <x:f>IF($A228="","",COUNTIFS(CaseLedger!$F:$F,$A228,CaseLedger!$B:$B,"TRUE",CaseLedger!$K:$K,"Community Support"))</x:f>
      </x:c>
      <x:c r="L228" t="str">
        <x:f>IF($A228="","",SUMIFS(CaseLedger!$M:$M,CaseLedger!$F:$F,$A228,CaseLedger!$B:$B,"TRUE"))</x:f>
      </x:c>
      <x:c r="M228" t="str">
        <x:f>IF($A228="","",SUMIFS(CaseLedger!$N:$N,CaseLedger!$F:$F,$A228,CaseLedger!$B:$B,"TRUE"))</x:f>
      </x:c>
      <x:c r="N228" t="str">
        <x:f>IF($A228="","",0)</x:f>
      </x:c>
      <x:c r="O228" t="str">
        <x:f>IF($A228="","",SUMIFS(CaseLedger!$O:$O,CaseLedger!$F:$F,$A228,CaseLedger!$B:$B,"TRUE"))</x:f>
      </x:c>
      <x:c r="P228" t="str">
        <x:f>IF($A228="","",IFERROR(VLOOKUP($A228,MonthlyFinance!$A:$G,4,FALSE),""))</x:f>
      </x:c>
      <x:c r="Q228" t="str">
        <x:f>IF($A228="","",IFERROR(VLOOKUP($A228,MonthlyFinance!$A:$G,5,FALSE),""))</x:f>
      </x:c>
      <x:c r="R228" t="str">
        <x:f>IF($A228="","",IFERROR(VLOOKUP($A228,MonthlyFinance!$A:$G,6,FALSE),""))</x:f>
      </x:c>
      <x:c r="S228" t="str">
        <x:f>IF($A228="","","Formula-linked from CaseLedger; finance fields from MonthlyFinance.")</x:f>
      </x:c>
      <x:c r="T228" t="str">
        <x:f>IF($A228="","","TRUE")</x:f>
      </x:c>
    </x:row>
    <x:row r="229">
      <x:c r="D229" t="str">
        <x:f>IF($A229="","",COUNTIFS(CaseLedger!$F:$F,$A229,CaseLedger!$B:$B,"TRUE"))</x:f>
      </x:c>
      <x:c r="E229" t="str">
        <x:f>IF($A229="","",COUNTIFS(CaseLedger!$F:$F,$A229,CaseLedger!$B:$B,"TRUE",CaseLedger!$P:$P,"Zakat"))</x:f>
      </x:c>
      <x:c r="F229" t="str">
        <x:f>IF($A229="","",COUNTIFS(CaseLedger!$F:$F,$A229,CaseLedger!$B:$B,"TRUE",CaseLedger!$P:$P,"Sadaqah"))</x:f>
      </x:c>
      <x:c r="G229" t="str">
        <x:f>IF($A229="","",COUNTIFS(CaseLedger!$F:$F,$A229,CaseLedger!$B:$B,"TRUE",CaseLedger!$P:$P,"Mixed"))</x:f>
      </x:c>
      <x:c r="H229" t="str">
        <x:f>IF($A229="","",COUNTIFS(CaseLedger!$F:$F,$A229,CaseLedger!$B:$B,"TRUE",CaseLedger!$K:$K,"Livelihood"))</x:f>
      </x:c>
      <x:c r="I229" t="str">
        <x:f>IF($A229="","",COUNTIFS(CaseLedger!$F:$F,$A229,CaseLedger!$B:$B,"TRUE",CaseLedger!$K:$K,"Skill Sponsorship"))</x:f>
      </x:c>
      <x:c r="J229" t="str">
        <x:f>IF($A229="","",COUNTIFS(CaseLedger!$F:$F,$A229,CaseLedger!$B:$B,"TRUE",CaseLedger!$K:$K,"Emergency Support"))</x:f>
      </x:c>
      <x:c r="K229" t="str">
        <x:f>IF($A229="","",COUNTIFS(CaseLedger!$F:$F,$A229,CaseLedger!$B:$B,"TRUE",CaseLedger!$K:$K,"Community Support"))</x:f>
      </x:c>
      <x:c r="L229" t="str">
        <x:f>IF($A229="","",SUMIFS(CaseLedger!$M:$M,CaseLedger!$F:$F,$A229,CaseLedger!$B:$B,"TRUE"))</x:f>
      </x:c>
      <x:c r="M229" t="str">
        <x:f>IF($A229="","",SUMIFS(CaseLedger!$N:$N,CaseLedger!$F:$F,$A229,CaseLedger!$B:$B,"TRUE"))</x:f>
      </x:c>
      <x:c r="N229" t="str">
        <x:f>IF($A229="","",0)</x:f>
      </x:c>
      <x:c r="O229" t="str">
        <x:f>IF($A229="","",SUMIFS(CaseLedger!$O:$O,CaseLedger!$F:$F,$A229,CaseLedger!$B:$B,"TRUE"))</x:f>
      </x:c>
      <x:c r="P229" t="str">
        <x:f>IF($A229="","",IFERROR(VLOOKUP($A229,MonthlyFinance!$A:$G,4,FALSE),""))</x:f>
      </x:c>
      <x:c r="Q229" t="str">
        <x:f>IF($A229="","",IFERROR(VLOOKUP($A229,MonthlyFinance!$A:$G,5,FALSE),""))</x:f>
      </x:c>
      <x:c r="R229" t="str">
        <x:f>IF($A229="","",IFERROR(VLOOKUP($A229,MonthlyFinance!$A:$G,6,FALSE),""))</x:f>
      </x:c>
      <x:c r="S229" t="str">
        <x:f>IF($A229="","","Formula-linked from CaseLedger; finance fields from MonthlyFinance.")</x:f>
      </x:c>
      <x:c r="T229" t="str">
        <x:f>IF($A229="","","TRUE")</x:f>
      </x:c>
    </x:row>
    <x:row r="230">
      <x:c r="D230" t="str">
        <x:f>IF($A230="","",COUNTIFS(CaseLedger!$F:$F,$A230,CaseLedger!$B:$B,"TRUE"))</x:f>
      </x:c>
      <x:c r="E230" t="str">
        <x:f>IF($A230="","",COUNTIFS(CaseLedger!$F:$F,$A230,CaseLedger!$B:$B,"TRUE",CaseLedger!$P:$P,"Zakat"))</x:f>
      </x:c>
      <x:c r="F230" t="str">
        <x:f>IF($A230="","",COUNTIFS(CaseLedger!$F:$F,$A230,CaseLedger!$B:$B,"TRUE",CaseLedger!$P:$P,"Sadaqah"))</x:f>
      </x:c>
      <x:c r="G230" t="str">
        <x:f>IF($A230="","",COUNTIFS(CaseLedger!$F:$F,$A230,CaseLedger!$B:$B,"TRUE",CaseLedger!$P:$P,"Mixed"))</x:f>
      </x:c>
      <x:c r="H230" t="str">
        <x:f>IF($A230="","",COUNTIFS(CaseLedger!$F:$F,$A230,CaseLedger!$B:$B,"TRUE",CaseLedger!$K:$K,"Livelihood"))</x:f>
      </x:c>
      <x:c r="I230" t="str">
        <x:f>IF($A230="","",COUNTIFS(CaseLedger!$F:$F,$A230,CaseLedger!$B:$B,"TRUE",CaseLedger!$K:$K,"Skill Sponsorship"))</x:f>
      </x:c>
      <x:c r="J230" t="str">
        <x:f>IF($A230="","",COUNTIFS(CaseLedger!$F:$F,$A230,CaseLedger!$B:$B,"TRUE",CaseLedger!$K:$K,"Emergency Support"))</x:f>
      </x:c>
      <x:c r="K230" t="str">
        <x:f>IF($A230="","",COUNTIFS(CaseLedger!$F:$F,$A230,CaseLedger!$B:$B,"TRUE",CaseLedger!$K:$K,"Community Support"))</x:f>
      </x:c>
      <x:c r="L230" t="str">
        <x:f>IF($A230="","",SUMIFS(CaseLedger!$M:$M,CaseLedger!$F:$F,$A230,CaseLedger!$B:$B,"TRUE"))</x:f>
      </x:c>
      <x:c r="M230" t="str">
        <x:f>IF($A230="","",SUMIFS(CaseLedger!$N:$N,CaseLedger!$F:$F,$A230,CaseLedger!$B:$B,"TRUE"))</x:f>
      </x:c>
      <x:c r="N230" t="str">
        <x:f>IF($A230="","",0)</x:f>
      </x:c>
      <x:c r="O230" t="str">
        <x:f>IF($A230="","",SUMIFS(CaseLedger!$O:$O,CaseLedger!$F:$F,$A230,CaseLedger!$B:$B,"TRUE"))</x:f>
      </x:c>
      <x:c r="P230" t="str">
        <x:f>IF($A230="","",IFERROR(VLOOKUP($A230,MonthlyFinance!$A:$G,4,FALSE),""))</x:f>
      </x:c>
      <x:c r="Q230" t="str">
        <x:f>IF($A230="","",IFERROR(VLOOKUP($A230,MonthlyFinance!$A:$G,5,FALSE),""))</x:f>
      </x:c>
      <x:c r="R230" t="str">
        <x:f>IF($A230="","",IFERROR(VLOOKUP($A230,MonthlyFinance!$A:$G,6,FALSE),""))</x:f>
      </x:c>
      <x:c r="S230" t="str">
        <x:f>IF($A230="","","Formula-linked from CaseLedger; finance fields from MonthlyFinance.")</x:f>
      </x:c>
      <x:c r="T230" t="str">
        <x:f>IF($A230="","","TRUE")</x:f>
      </x:c>
    </x:row>
    <x:row r="231">
      <x:c r="D231" t="str">
        <x:f>IF($A231="","",COUNTIFS(CaseLedger!$F:$F,$A231,CaseLedger!$B:$B,"TRUE"))</x:f>
      </x:c>
      <x:c r="E231" t="str">
        <x:f>IF($A231="","",COUNTIFS(CaseLedger!$F:$F,$A231,CaseLedger!$B:$B,"TRUE",CaseLedger!$P:$P,"Zakat"))</x:f>
      </x:c>
      <x:c r="F231" t="str">
        <x:f>IF($A231="","",COUNTIFS(CaseLedger!$F:$F,$A231,CaseLedger!$B:$B,"TRUE",CaseLedger!$P:$P,"Sadaqah"))</x:f>
      </x:c>
      <x:c r="G231" t="str">
        <x:f>IF($A231="","",COUNTIFS(CaseLedger!$F:$F,$A231,CaseLedger!$B:$B,"TRUE",CaseLedger!$P:$P,"Mixed"))</x:f>
      </x:c>
      <x:c r="H231" t="str">
        <x:f>IF($A231="","",COUNTIFS(CaseLedger!$F:$F,$A231,CaseLedger!$B:$B,"TRUE",CaseLedger!$K:$K,"Livelihood"))</x:f>
      </x:c>
      <x:c r="I231" t="str">
        <x:f>IF($A231="","",COUNTIFS(CaseLedger!$F:$F,$A231,CaseLedger!$B:$B,"TRUE",CaseLedger!$K:$K,"Skill Sponsorship"))</x:f>
      </x:c>
      <x:c r="J231" t="str">
        <x:f>IF($A231="","",COUNTIFS(CaseLedger!$F:$F,$A231,CaseLedger!$B:$B,"TRUE",CaseLedger!$K:$K,"Emergency Support"))</x:f>
      </x:c>
      <x:c r="K231" t="str">
        <x:f>IF($A231="","",COUNTIFS(CaseLedger!$F:$F,$A231,CaseLedger!$B:$B,"TRUE",CaseLedger!$K:$K,"Community Support"))</x:f>
      </x:c>
      <x:c r="L231" t="str">
        <x:f>IF($A231="","",SUMIFS(CaseLedger!$M:$M,CaseLedger!$F:$F,$A231,CaseLedger!$B:$B,"TRUE"))</x:f>
      </x:c>
      <x:c r="M231" t="str">
        <x:f>IF($A231="","",SUMIFS(CaseLedger!$N:$N,CaseLedger!$F:$F,$A231,CaseLedger!$B:$B,"TRUE"))</x:f>
      </x:c>
      <x:c r="N231" t="str">
        <x:f>IF($A231="","",0)</x:f>
      </x:c>
      <x:c r="O231" t="str">
        <x:f>IF($A231="","",SUMIFS(CaseLedger!$O:$O,CaseLedger!$F:$F,$A231,CaseLedger!$B:$B,"TRUE"))</x:f>
      </x:c>
      <x:c r="P231" t="str">
        <x:f>IF($A231="","",IFERROR(VLOOKUP($A231,MonthlyFinance!$A:$G,4,FALSE),""))</x:f>
      </x:c>
      <x:c r="Q231" t="str">
        <x:f>IF($A231="","",IFERROR(VLOOKUP($A231,MonthlyFinance!$A:$G,5,FALSE),""))</x:f>
      </x:c>
      <x:c r="R231" t="str">
        <x:f>IF($A231="","",IFERROR(VLOOKUP($A231,MonthlyFinance!$A:$G,6,FALSE),""))</x:f>
      </x:c>
      <x:c r="S231" t="str">
        <x:f>IF($A231="","","Formula-linked from CaseLedger; finance fields from MonthlyFinance.")</x:f>
      </x:c>
      <x:c r="T231" t="str">
        <x:f>IF($A231="","","TRUE")</x:f>
      </x:c>
    </x:row>
    <x:row r="232">
      <x:c r="D232" t="str">
        <x:f>IF($A232="","",COUNTIFS(CaseLedger!$F:$F,$A232,CaseLedger!$B:$B,"TRUE"))</x:f>
      </x:c>
      <x:c r="E232" t="str">
        <x:f>IF($A232="","",COUNTIFS(CaseLedger!$F:$F,$A232,CaseLedger!$B:$B,"TRUE",CaseLedger!$P:$P,"Zakat"))</x:f>
      </x:c>
      <x:c r="F232" t="str">
        <x:f>IF($A232="","",COUNTIFS(CaseLedger!$F:$F,$A232,CaseLedger!$B:$B,"TRUE",CaseLedger!$P:$P,"Sadaqah"))</x:f>
      </x:c>
      <x:c r="G232" t="str">
        <x:f>IF($A232="","",COUNTIFS(CaseLedger!$F:$F,$A232,CaseLedger!$B:$B,"TRUE",CaseLedger!$P:$P,"Mixed"))</x:f>
      </x:c>
      <x:c r="H232" t="str">
        <x:f>IF($A232="","",COUNTIFS(CaseLedger!$F:$F,$A232,CaseLedger!$B:$B,"TRUE",CaseLedger!$K:$K,"Livelihood"))</x:f>
      </x:c>
      <x:c r="I232" t="str">
        <x:f>IF($A232="","",COUNTIFS(CaseLedger!$F:$F,$A232,CaseLedger!$B:$B,"TRUE",CaseLedger!$K:$K,"Skill Sponsorship"))</x:f>
      </x:c>
      <x:c r="J232" t="str">
        <x:f>IF($A232="","",COUNTIFS(CaseLedger!$F:$F,$A232,CaseLedger!$B:$B,"TRUE",CaseLedger!$K:$K,"Emergency Support"))</x:f>
      </x:c>
      <x:c r="K232" t="str">
        <x:f>IF($A232="","",COUNTIFS(CaseLedger!$F:$F,$A232,CaseLedger!$B:$B,"TRUE",CaseLedger!$K:$K,"Community Support"))</x:f>
      </x:c>
      <x:c r="L232" t="str">
        <x:f>IF($A232="","",SUMIFS(CaseLedger!$M:$M,CaseLedger!$F:$F,$A232,CaseLedger!$B:$B,"TRUE"))</x:f>
      </x:c>
      <x:c r="M232" t="str">
        <x:f>IF($A232="","",SUMIFS(CaseLedger!$N:$N,CaseLedger!$F:$F,$A232,CaseLedger!$B:$B,"TRUE"))</x:f>
      </x:c>
      <x:c r="N232" t="str">
        <x:f>IF($A232="","",0)</x:f>
      </x:c>
      <x:c r="O232" t="str">
        <x:f>IF($A232="","",SUMIFS(CaseLedger!$O:$O,CaseLedger!$F:$F,$A232,CaseLedger!$B:$B,"TRUE"))</x:f>
      </x:c>
      <x:c r="P232" t="str">
        <x:f>IF($A232="","",IFERROR(VLOOKUP($A232,MonthlyFinance!$A:$G,4,FALSE),""))</x:f>
      </x:c>
      <x:c r="Q232" t="str">
        <x:f>IF($A232="","",IFERROR(VLOOKUP($A232,MonthlyFinance!$A:$G,5,FALSE),""))</x:f>
      </x:c>
      <x:c r="R232" t="str">
        <x:f>IF($A232="","",IFERROR(VLOOKUP($A232,MonthlyFinance!$A:$G,6,FALSE),""))</x:f>
      </x:c>
      <x:c r="S232" t="str">
        <x:f>IF($A232="","","Formula-linked from CaseLedger; finance fields from MonthlyFinance.")</x:f>
      </x:c>
      <x:c r="T232" t="str">
        <x:f>IF($A232="","","TRUE")</x:f>
      </x:c>
    </x:row>
    <x:row r="233">
      <x:c r="D233" t="str">
        <x:f>IF($A233="","",COUNTIFS(CaseLedger!$F:$F,$A233,CaseLedger!$B:$B,"TRUE"))</x:f>
      </x:c>
      <x:c r="E233" t="str">
        <x:f>IF($A233="","",COUNTIFS(CaseLedger!$F:$F,$A233,CaseLedger!$B:$B,"TRUE",CaseLedger!$P:$P,"Zakat"))</x:f>
      </x:c>
      <x:c r="F233" t="str">
        <x:f>IF($A233="","",COUNTIFS(CaseLedger!$F:$F,$A233,CaseLedger!$B:$B,"TRUE",CaseLedger!$P:$P,"Sadaqah"))</x:f>
      </x:c>
      <x:c r="G233" t="str">
        <x:f>IF($A233="","",COUNTIFS(CaseLedger!$F:$F,$A233,CaseLedger!$B:$B,"TRUE",CaseLedger!$P:$P,"Mixed"))</x:f>
      </x:c>
      <x:c r="H233" t="str">
        <x:f>IF($A233="","",COUNTIFS(CaseLedger!$F:$F,$A233,CaseLedger!$B:$B,"TRUE",CaseLedger!$K:$K,"Livelihood"))</x:f>
      </x:c>
      <x:c r="I233" t="str">
        <x:f>IF($A233="","",COUNTIFS(CaseLedger!$F:$F,$A233,CaseLedger!$B:$B,"TRUE",CaseLedger!$K:$K,"Skill Sponsorship"))</x:f>
      </x:c>
      <x:c r="J233" t="str">
        <x:f>IF($A233="","",COUNTIFS(CaseLedger!$F:$F,$A233,CaseLedger!$B:$B,"TRUE",CaseLedger!$K:$K,"Emergency Support"))</x:f>
      </x:c>
      <x:c r="K233" t="str">
        <x:f>IF($A233="","",COUNTIFS(CaseLedger!$F:$F,$A233,CaseLedger!$B:$B,"TRUE",CaseLedger!$K:$K,"Community Support"))</x:f>
      </x:c>
      <x:c r="L233" t="str">
        <x:f>IF($A233="","",SUMIFS(CaseLedger!$M:$M,CaseLedger!$F:$F,$A233,CaseLedger!$B:$B,"TRUE"))</x:f>
      </x:c>
      <x:c r="M233" t="str">
        <x:f>IF($A233="","",SUMIFS(CaseLedger!$N:$N,CaseLedger!$F:$F,$A233,CaseLedger!$B:$B,"TRUE"))</x:f>
      </x:c>
      <x:c r="N233" t="str">
        <x:f>IF($A233="","",0)</x:f>
      </x:c>
      <x:c r="O233" t="str">
        <x:f>IF($A233="","",SUMIFS(CaseLedger!$O:$O,CaseLedger!$F:$F,$A233,CaseLedger!$B:$B,"TRUE"))</x:f>
      </x:c>
      <x:c r="P233" t="str">
        <x:f>IF($A233="","",IFERROR(VLOOKUP($A233,MonthlyFinance!$A:$G,4,FALSE),""))</x:f>
      </x:c>
      <x:c r="Q233" t="str">
        <x:f>IF($A233="","",IFERROR(VLOOKUP($A233,MonthlyFinance!$A:$G,5,FALSE),""))</x:f>
      </x:c>
      <x:c r="R233" t="str">
        <x:f>IF($A233="","",IFERROR(VLOOKUP($A233,MonthlyFinance!$A:$G,6,FALSE),""))</x:f>
      </x:c>
      <x:c r="S233" t="str">
        <x:f>IF($A233="","","Formula-linked from CaseLedger; finance fields from MonthlyFinance.")</x:f>
      </x:c>
      <x:c r="T233" t="str">
        <x:f>IF($A233="","","TRUE")</x:f>
      </x:c>
    </x:row>
    <x:row r="234">
      <x:c r="D234" t="str">
        <x:f>IF($A234="","",COUNTIFS(CaseLedger!$F:$F,$A234,CaseLedger!$B:$B,"TRUE"))</x:f>
      </x:c>
      <x:c r="E234" t="str">
        <x:f>IF($A234="","",COUNTIFS(CaseLedger!$F:$F,$A234,CaseLedger!$B:$B,"TRUE",CaseLedger!$P:$P,"Zakat"))</x:f>
      </x:c>
      <x:c r="F234" t="str">
        <x:f>IF($A234="","",COUNTIFS(CaseLedger!$F:$F,$A234,CaseLedger!$B:$B,"TRUE",CaseLedger!$P:$P,"Sadaqah"))</x:f>
      </x:c>
      <x:c r="G234" t="str">
        <x:f>IF($A234="","",COUNTIFS(CaseLedger!$F:$F,$A234,CaseLedger!$B:$B,"TRUE",CaseLedger!$P:$P,"Mixed"))</x:f>
      </x:c>
      <x:c r="H234" t="str">
        <x:f>IF($A234="","",COUNTIFS(CaseLedger!$F:$F,$A234,CaseLedger!$B:$B,"TRUE",CaseLedger!$K:$K,"Livelihood"))</x:f>
      </x:c>
      <x:c r="I234" t="str">
        <x:f>IF($A234="","",COUNTIFS(CaseLedger!$F:$F,$A234,CaseLedger!$B:$B,"TRUE",CaseLedger!$K:$K,"Skill Sponsorship"))</x:f>
      </x:c>
      <x:c r="J234" t="str">
        <x:f>IF($A234="","",COUNTIFS(CaseLedger!$F:$F,$A234,CaseLedger!$B:$B,"TRUE",CaseLedger!$K:$K,"Emergency Support"))</x:f>
      </x:c>
      <x:c r="K234" t="str">
        <x:f>IF($A234="","",COUNTIFS(CaseLedger!$F:$F,$A234,CaseLedger!$B:$B,"TRUE",CaseLedger!$K:$K,"Community Support"))</x:f>
      </x:c>
      <x:c r="L234" t="str">
        <x:f>IF($A234="","",SUMIFS(CaseLedger!$M:$M,CaseLedger!$F:$F,$A234,CaseLedger!$B:$B,"TRUE"))</x:f>
      </x:c>
      <x:c r="M234" t="str">
        <x:f>IF($A234="","",SUMIFS(CaseLedger!$N:$N,CaseLedger!$F:$F,$A234,CaseLedger!$B:$B,"TRUE"))</x:f>
      </x:c>
      <x:c r="N234" t="str">
        <x:f>IF($A234="","",0)</x:f>
      </x:c>
      <x:c r="O234" t="str">
        <x:f>IF($A234="","",SUMIFS(CaseLedger!$O:$O,CaseLedger!$F:$F,$A234,CaseLedger!$B:$B,"TRUE"))</x:f>
      </x:c>
      <x:c r="P234" t="str">
        <x:f>IF($A234="","",IFERROR(VLOOKUP($A234,MonthlyFinance!$A:$G,4,FALSE),""))</x:f>
      </x:c>
      <x:c r="Q234" t="str">
        <x:f>IF($A234="","",IFERROR(VLOOKUP($A234,MonthlyFinance!$A:$G,5,FALSE),""))</x:f>
      </x:c>
      <x:c r="R234" t="str">
        <x:f>IF($A234="","",IFERROR(VLOOKUP($A234,MonthlyFinance!$A:$G,6,FALSE),""))</x:f>
      </x:c>
      <x:c r="S234" t="str">
        <x:f>IF($A234="","","Formula-linked from CaseLedger; finance fields from MonthlyFinance.")</x:f>
      </x:c>
      <x:c r="T234" t="str">
        <x:f>IF($A234="","","TRUE")</x:f>
      </x:c>
    </x:row>
    <x:row r="235">
      <x:c r="D235" t="str">
        <x:f>IF($A235="","",COUNTIFS(CaseLedger!$F:$F,$A235,CaseLedger!$B:$B,"TRUE"))</x:f>
      </x:c>
      <x:c r="E235" t="str">
        <x:f>IF($A235="","",COUNTIFS(CaseLedger!$F:$F,$A235,CaseLedger!$B:$B,"TRUE",CaseLedger!$P:$P,"Zakat"))</x:f>
      </x:c>
      <x:c r="F235" t="str">
        <x:f>IF($A235="","",COUNTIFS(CaseLedger!$F:$F,$A235,CaseLedger!$B:$B,"TRUE",CaseLedger!$P:$P,"Sadaqah"))</x:f>
      </x:c>
      <x:c r="G235" t="str">
        <x:f>IF($A235="","",COUNTIFS(CaseLedger!$F:$F,$A235,CaseLedger!$B:$B,"TRUE",CaseLedger!$P:$P,"Mixed"))</x:f>
      </x:c>
      <x:c r="H235" t="str">
        <x:f>IF($A235="","",COUNTIFS(CaseLedger!$F:$F,$A235,CaseLedger!$B:$B,"TRUE",CaseLedger!$K:$K,"Livelihood"))</x:f>
      </x:c>
      <x:c r="I235" t="str">
        <x:f>IF($A235="","",COUNTIFS(CaseLedger!$F:$F,$A235,CaseLedger!$B:$B,"TRUE",CaseLedger!$K:$K,"Skill Sponsorship"))</x:f>
      </x:c>
      <x:c r="J235" t="str">
        <x:f>IF($A235="","",COUNTIFS(CaseLedger!$F:$F,$A235,CaseLedger!$B:$B,"TRUE",CaseLedger!$K:$K,"Emergency Support"))</x:f>
      </x:c>
      <x:c r="K235" t="str">
        <x:f>IF($A235="","",COUNTIFS(CaseLedger!$F:$F,$A235,CaseLedger!$B:$B,"TRUE",CaseLedger!$K:$K,"Community Support"))</x:f>
      </x:c>
      <x:c r="L235" t="str">
        <x:f>IF($A235="","",SUMIFS(CaseLedger!$M:$M,CaseLedger!$F:$F,$A235,CaseLedger!$B:$B,"TRUE"))</x:f>
      </x:c>
      <x:c r="M235" t="str">
        <x:f>IF($A235="","",SUMIFS(CaseLedger!$N:$N,CaseLedger!$F:$F,$A235,CaseLedger!$B:$B,"TRUE"))</x:f>
      </x:c>
      <x:c r="N235" t="str">
        <x:f>IF($A235="","",0)</x:f>
      </x:c>
      <x:c r="O235" t="str">
        <x:f>IF($A235="","",SUMIFS(CaseLedger!$O:$O,CaseLedger!$F:$F,$A235,CaseLedger!$B:$B,"TRUE"))</x:f>
      </x:c>
      <x:c r="P235" t="str">
        <x:f>IF($A235="","",IFERROR(VLOOKUP($A235,MonthlyFinance!$A:$G,4,FALSE),""))</x:f>
      </x:c>
      <x:c r="Q235" t="str">
        <x:f>IF($A235="","",IFERROR(VLOOKUP($A235,MonthlyFinance!$A:$G,5,FALSE),""))</x:f>
      </x:c>
      <x:c r="R235" t="str">
        <x:f>IF($A235="","",IFERROR(VLOOKUP($A235,MonthlyFinance!$A:$G,6,FALSE),""))</x:f>
      </x:c>
      <x:c r="S235" t="str">
        <x:f>IF($A235="","","Formula-linked from CaseLedger; finance fields from MonthlyFinance.")</x:f>
      </x:c>
      <x:c r="T235" t="str">
        <x:f>IF($A235="","","TRUE")</x:f>
      </x:c>
    </x:row>
    <x:row r="236">
      <x:c r="D236" t="str">
        <x:f>IF($A236="","",COUNTIFS(CaseLedger!$F:$F,$A236,CaseLedger!$B:$B,"TRUE"))</x:f>
      </x:c>
      <x:c r="E236" t="str">
        <x:f>IF($A236="","",COUNTIFS(CaseLedger!$F:$F,$A236,CaseLedger!$B:$B,"TRUE",CaseLedger!$P:$P,"Zakat"))</x:f>
      </x:c>
      <x:c r="F236" t="str">
        <x:f>IF($A236="","",COUNTIFS(CaseLedger!$F:$F,$A236,CaseLedger!$B:$B,"TRUE",CaseLedger!$P:$P,"Sadaqah"))</x:f>
      </x:c>
      <x:c r="G236" t="str">
        <x:f>IF($A236="","",COUNTIFS(CaseLedger!$F:$F,$A236,CaseLedger!$B:$B,"TRUE",CaseLedger!$P:$P,"Mixed"))</x:f>
      </x:c>
      <x:c r="H236" t="str">
        <x:f>IF($A236="","",COUNTIFS(CaseLedger!$F:$F,$A236,CaseLedger!$B:$B,"TRUE",CaseLedger!$K:$K,"Livelihood"))</x:f>
      </x:c>
      <x:c r="I236" t="str">
        <x:f>IF($A236="","",COUNTIFS(CaseLedger!$F:$F,$A236,CaseLedger!$B:$B,"TRUE",CaseLedger!$K:$K,"Skill Sponsorship"))</x:f>
      </x:c>
      <x:c r="J236" t="str">
        <x:f>IF($A236="","",COUNTIFS(CaseLedger!$F:$F,$A236,CaseLedger!$B:$B,"TRUE",CaseLedger!$K:$K,"Emergency Support"))</x:f>
      </x:c>
      <x:c r="K236" t="str">
        <x:f>IF($A236="","",COUNTIFS(CaseLedger!$F:$F,$A236,CaseLedger!$B:$B,"TRUE",CaseLedger!$K:$K,"Community Support"))</x:f>
      </x:c>
      <x:c r="L236" t="str">
        <x:f>IF($A236="","",SUMIFS(CaseLedger!$M:$M,CaseLedger!$F:$F,$A236,CaseLedger!$B:$B,"TRUE"))</x:f>
      </x:c>
      <x:c r="M236" t="str">
        <x:f>IF($A236="","",SUMIFS(CaseLedger!$N:$N,CaseLedger!$F:$F,$A236,CaseLedger!$B:$B,"TRUE"))</x:f>
      </x:c>
      <x:c r="N236" t="str">
        <x:f>IF($A236="","",0)</x:f>
      </x:c>
      <x:c r="O236" t="str">
        <x:f>IF($A236="","",SUMIFS(CaseLedger!$O:$O,CaseLedger!$F:$F,$A236,CaseLedger!$B:$B,"TRUE"))</x:f>
      </x:c>
      <x:c r="P236" t="str">
        <x:f>IF($A236="","",IFERROR(VLOOKUP($A236,MonthlyFinance!$A:$G,4,FALSE),""))</x:f>
      </x:c>
      <x:c r="Q236" t="str">
        <x:f>IF($A236="","",IFERROR(VLOOKUP($A236,MonthlyFinance!$A:$G,5,FALSE),""))</x:f>
      </x:c>
      <x:c r="R236" t="str">
        <x:f>IF($A236="","",IFERROR(VLOOKUP($A236,MonthlyFinance!$A:$G,6,FALSE),""))</x:f>
      </x:c>
      <x:c r="S236" t="str">
        <x:f>IF($A236="","","Formula-linked from CaseLedger; finance fields from MonthlyFinance.")</x:f>
      </x:c>
      <x:c r="T236" t="str">
        <x:f>IF($A236="","","TRUE")</x:f>
      </x:c>
    </x:row>
    <x:row r="237">
      <x:c r="D237" t="str">
        <x:f>IF($A237="","",COUNTIFS(CaseLedger!$F:$F,$A237,CaseLedger!$B:$B,"TRUE"))</x:f>
      </x:c>
      <x:c r="E237" t="str">
        <x:f>IF($A237="","",COUNTIFS(CaseLedger!$F:$F,$A237,CaseLedger!$B:$B,"TRUE",CaseLedger!$P:$P,"Zakat"))</x:f>
      </x:c>
      <x:c r="F237" t="str">
        <x:f>IF($A237="","",COUNTIFS(CaseLedger!$F:$F,$A237,CaseLedger!$B:$B,"TRUE",CaseLedger!$P:$P,"Sadaqah"))</x:f>
      </x:c>
      <x:c r="G237" t="str">
        <x:f>IF($A237="","",COUNTIFS(CaseLedger!$F:$F,$A237,CaseLedger!$B:$B,"TRUE",CaseLedger!$P:$P,"Mixed"))</x:f>
      </x:c>
      <x:c r="H237" t="str">
        <x:f>IF($A237="","",COUNTIFS(CaseLedger!$F:$F,$A237,CaseLedger!$B:$B,"TRUE",CaseLedger!$K:$K,"Livelihood"))</x:f>
      </x:c>
      <x:c r="I237" t="str">
        <x:f>IF($A237="","",COUNTIFS(CaseLedger!$F:$F,$A237,CaseLedger!$B:$B,"TRUE",CaseLedger!$K:$K,"Skill Sponsorship"))</x:f>
      </x:c>
      <x:c r="J237" t="str">
        <x:f>IF($A237="","",COUNTIFS(CaseLedger!$F:$F,$A237,CaseLedger!$B:$B,"TRUE",CaseLedger!$K:$K,"Emergency Support"))</x:f>
      </x:c>
      <x:c r="K237" t="str">
        <x:f>IF($A237="","",COUNTIFS(CaseLedger!$F:$F,$A237,CaseLedger!$B:$B,"TRUE",CaseLedger!$K:$K,"Community Support"))</x:f>
      </x:c>
      <x:c r="L237" t="str">
        <x:f>IF($A237="","",SUMIFS(CaseLedger!$M:$M,CaseLedger!$F:$F,$A237,CaseLedger!$B:$B,"TRUE"))</x:f>
      </x:c>
      <x:c r="M237" t="str">
        <x:f>IF($A237="","",SUMIFS(CaseLedger!$N:$N,CaseLedger!$F:$F,$A237,CaseLedger!$B:$B,"TRUE"))</x:f>
      </x:c>
      <x:c r="N237" t="str">
        <x:f>IF($A237="","",0)</x:f>
      </x:c>
      <x:c r="O237" t="str">
        <x:f>IF($A237="","",SUMIFS(CaseLedger!$O:$O,CaseLedger!$F:$F,$A237,CaseLedger!$B:$B,"TRUE"))</x:f>
      </x:c>
      <x:c r="P237" t="str">
        <x:f>IF($A237="","",IFERROR(VLOOKUP($A237,MonthlyFinance!$A:$G,4,FALSE),""))</x:f>
      </x:c>
      <x:c r="Q237" t="str">
        <x:f>IF($A237="","",IFERROR(VLOOKUP($A237,MonthlyFinance!$A:$G,5,FALSE),""))</x:f>
      </x:c>
      <x:c r="R237" t="str">
        <x:f>IF($A237="","",IFERROR(VLOOKUP($A237,MonthlyFinance!$A:$G,6,FALSE),""))</x:f>
      </x:c>
      <x:c r="S237" t="str">
        <x:f>IF($A237="","","Formula-linked from CaseLedger; finance fields from MonthlyFinance.")</x:f>
      </x:c>
      <x:c r="T237" t="str">
        <x:f>IF($A237="","","TRUE")</x:f>
      </x:c>
    </x:row>
    <x:row r="238">
      <x:c r="D238" t="str">
        <x:f>IF($A238="","",COUNTIFS(CaseLedger!$F:$F,$A238,CaseLedger!$B:$B,"TRUE"))</x:f>
      </x:c>
      <x:c r="E238" t="str">
        <x:f>IF($A238="","",COUNTIFS(CaseLedger!$F:$F,$A238,CaseLedger!$B:$B,"TRUE",CaseLedger!$P:$P,"Zakat"))</x:f>
      </x:c>
      <x:c r="F238" t="str">
        <x:f>IF($A238="","",COUNTIFS(CaseLedger!$F:$F,$A238,CaseLedger!$B:$B,"TRUE",CaseLedger!$P:$P,"Sadaqah"))</x:f>
      </x:c>
      <x:c r="G238" t="str">
        <x:f>IF($A238="","",COUNTIFS(CaseLedger!$F:$F,$A238,CaseLedger!$B:$B,"TRUE",CaseLedger!$P:$P,"Mixed"))</x:f>
      </x:c>
      <x:c r="H238" t="str">
        <x:f>IF($A238="","",COUNTIFS(CaseLedger!$F:$F,$A238,CaseLedger!$B:$B,"TRUE",CaseLedger!$K:$K,"Livelihood"))</x:f>
      </x:c>
      <x:c r="I238" t="str">
        <x:f>IF($A238="","",COUNTIFS(CaseLedger!$F:$F,$A238,CaseLedger!$B:$B,"TRUE",CaseLedger!$K:$K,"Skill Sponsorship"))</x:f>
      </x:c>
      <x:c r="J238" t="str">
        <x:f>IF($A238="","",COUNTIFS(CaseLedger!$F:$F,$A238,CaseLedger!$B:$B,"TRUE",CaseLedger!$K:$K,"Emergency Support"))</x:f>
      </x:c>
      <x:c r="K238" t="str">
        <x:f>IF($A238="","",COUNTIFS(CaseLedger!$F:$F,$A238,CaseLedger!$B:$B,"TRUE",CaseLedger!$K:$K,"Community Support"))</x:f>
      </x:c>
      <x:c r="L238" t="str">
        <x:f>IF($A238="","",SUMIFS(CaseLedger!$M:$M,CaseLedger!$F:$F,$A238,CaseLedger!$B:$B,"TRUE"))</x:f>
      </x:c>
      <x:c r="M238" t="str">
        <x:f>IF($A238="","",SUMIFS(CaseLedger!$N:$N,CaseLedger!$F:$F,$A238,CaseLedger!$B:$B,"TRUE"))</x:f>
      </x:c>
      <x:c r="N238" t="str">
        <x:f>IF($A238="","",0)</x:f>
      </x:c>
      <x:c r="O238" t="str">
        <x:f>IF($A238="","",SUMIFS(CaseLedger!$O:$O,CaseLedger!$F:$F,$A238,CaseLedger!$B:$B,"TRUE"))</x:f>
      </x:c>
      <x:c r="P238" t="str">
        <x:f>IF($A238="","",IFERROR(VLOOKUP($A238,MonthlyFinance!$A:$G,4,FALSE),""))</x:f>
      </x:c>
      <x:c r="Q238" t="str">
        <x:f>IF($A238="","",IFERROR(VLOOKUP($A238,MonthlyFinance!$A:$G,5,FALSE),""))</x:f>
      </x:c>
      <x:c r="R238" t="str">
        <x:f>IF($A238="","",IFERROR(VLOOKUP($A238,MonthlyFinance!$A:$G,6,FALSE),""))</x:f>
      </x:c>
      <x:c r="S238" t="str">
        <x:f>IF($A238="","","Formula-linked from CaseLedger; finance fields from MonthlyFinance.")</x:f>
      </x:c>
      <x:c r="T238" t="str">
        <x:f>IF($A238="","","TRUE")</x:f>
      </x:c>
    </x:row>
    <x:row r="239">
      <x:c r="D239" t="str">
        <x:f>IF($A239="","",COUNTIFS(CaseLedger!$F:$F,$A239,CaseLedger!$B:$B,"TRUE"))</x:f>
      </x:c>
      <x:c r="E239" t="str">
        <x:f>IF($A239="","",COUNTIFS(CaseLedger!$F:$F,$A239,CaseLedger!$B:$B,"TRUE",CaseLedger!$P:$P,"Zakat"))</x:f>
      </x:c>
      <x:c r="F239" t="str">
        <x:f>IF($A239="","",COUNTIFS(CaseLedger!$F:$F,$A239,CaseLedger!$B:$B,"TRUE",CaseLedger!$P:$P,"Sadaqah"))</x:f>
      </x:c>
      <x:c r="G239" t="str">
        <x:f>IF($A239="","",COUNTIFS(CaseLedger!$F:$F,$A239,CaseLedger!$B:$B,"TRUE",CaseLedger!$P:$P,"Mixed"))</x:f>
      </x:c>
      <x:c r="H239" t="str">
        <x:f>IF($A239="","",COUNTIFS(CaseLedger!$F:$F,$A239,CaseLedger!$B:$B,"TRUE",CaseLedger!$K:$K,"Livelihood"))</x:f>
      </x:c>
      <x:c r="I239" t="str">
        <x:f>IF($A239="","",COUNTIFS(CaseLedger!$F:$F,$A239,CaseLedger!$B:$B,"TRUE",CaseLedger!$K:$K,"Skill Sponsorship"))</x:f>
      </x:c>
      <x:c r="J239" t="str">
        <x:f>IF($A239="","",COUNTIFS(CaseLedger!$F:$F,$A239,CaseLedger!$B:$B,"TRUE",CaseLedger!$K:$K,"Emergency Support"))</x:f>
      </x:c>
      <x:c r="K239" t="str">
        <x:f>IF($A239="","",COUNTIFS(CaseLedger!$F:$F,$A239,CaseLedger!$B:$B,"TRUE",CaseLedger!$K:$K,"Community Support"))</x:f>
      </x:c>
      <x:c r="L239" t="str">
        <x:f>IF($A239="","",SUMIFS(CaseLedger!$M:$M,CaseLedger!$F:$F,$A239,CaseLedger!$B:$B,"TRUE"))</x:f>
      </x:c>
      <x:c r="M239" t="str">
        <x:f>IF($A239="","",SUMIFS(CaseLedger!$N:$N,CaseLedger!$F:$F,$A239,CaseLedger!$B:$B,"TRUE"))</x:f>
      </x:c>
      <x:c r="N239" t="str">
        <x:f>IF($A239="","",0)</x:f>
      </x:c>
      <x:c r="O239" t="str">
        <x:f>IF($A239="","",SUMIFS(CaseLedger!$O:$O,CaseLedger!$F:$F,$A239,CaseLedger!$B:$B,"TRUE"))</x:f>
      </x:c>
      <x:c r="P239" t="str">
        <x:f>IF($A239="","",IFERROR(VLOOKUP($A239,MonthlyFinance!$A:$G,4,FALSE),""))</x:f>
      </x:c>
      <x:c r="Q239" t="str">
        <x:f>IF($A239="","",IFERROR(VLOOKUP($A239,MonthlyFinance!$A:$G,5,FALSE),""))</x:f>
      </x:c>
      <x:c r="R239" t="str">
        <x:f>IF($A239="","",IFERROR(VLOOKUP($A239,MonthlyFinance!$A:$G,6,FALSE),""))</x:f>
      </x:c>
      <x:c r="S239" t="str">
        <x:f>IF($A239="","","Formula-linked from CaseLedger; finance fields from MonthlyFinance.")</x:f>
      </x:c>
      <x:c r="T239" t="str">
        <x:f>IF($A239="","","TRUE")</x:f>
      </x:c>
    </x:row>
    <x:row r="240">
      <x:c r="D240" t="str">
        <x:f>IF($A240="","",COUNTIFS(CaseLedger!$F:$F,$A240,CaseLedger!$B:$B,"TRUE"))</x:f>
      </x:c>
      <x:c r="E240" t="str">
        <x:f>IF($A240="","",COUNTIFS(CaseLedger!$F:$F,$A240,CaseLedger!$B:$B,"TRUE",CaseLedger!$P:$P,"Zakat"))</x:f>
      </x:c>
      <x:c r="F240" t="str">
        <x:f>IF($A240="","",COUNTIFS(CaseLedger!$F:$F,$A240,CaseLedger!$B:$B,"TRUE",CaseLedger!$P:$P,"Sadaqah"))</x:f>
      </x:c>
      <x:c r="G240" t="str">
        <x:f>IF($A240="","",COUNTIFS(CaseLedger!$F:$F,$A240,CaseLedger!$B:$B,"TRUE",CaseLedger!$P:$P,"Mixed"))</x:f>
      </x:c>
      <x:c r="H240" t="str">
        <x:f>IF($A240="","",COUNTIFS(CaseLedger!$F:$F,$A240,CaseLedger!$B:$B,"TRUE",CaseLedger!$K:$K,"Livelihood"))</x:f>
      </x:c>
      <x:c r="I240" t="str">
        <x:f>IF($A240="","",COUNTIFS(CaseLedger!$F:$F,$A240,CaseLedger!$B:$B,"TRUE",CaseLedger!$K:$K,"Skill Sponsorship"))</x:f>
      </x:c>
      <x:c r="J240" t="str">
        <x:f>IF($A240="","",COUNTIFS(CaseLedger!$F:$F,$A240,CaseLedger!$B:$B,"TRUE",CaseLedger!$K:$K,"Emergency Support"))</x:f>
      </x:c>
      <x:c r="K240" t="str">
        <x:f>IF($A240="","",COUNTIFS(CaseLedger!$F:$F,$A240,CaseLedger!$B:$B,"TRUE",CaseLedger!$K:$K,"Community Support"))</x:f>
      </x:c>
      <x:c r="L240" t="str">
        <x:f>IF($A240="","",SUMIFS(CaseLedger!$M:$M,CaseLedger!$F:$F,$A240,CaseLedger!$B:$B,"TRUE"))</x:f>
      </x:c>
      <x:c r="M240" t="str">
        <x:f>IF($A240="","",SUMIFS(CaseLedger!$N:$N,CaseLedger!$F:$F,$A240,CaseLedger!$B:$B,"TRUE"))</x:f>
      </x:c>
      <x:c r="N240" t="str">
        <x:f>IF($A240="","",0)</x:f>
      </x:c>
      <x:c r="O240" t="str">
        <x:f>IF($A240="","",SUMIFS(CaseLedger!$O:$O,CaseLedger!$F:$F,$A240,CaseLedger!$B:$B,"TRUE"))</x:f>
      </x:c>
      <x:c r="P240" t="str">
        <x:f>IF($A240="","",IFERROR(VLOOKUP($A240,MonthlyFinance!$A:$G,4,FALSE),""))</x:f>
      </x:c>
      <x:c r="Q240" t="str">
        <x:f>IF($A240="","",IFERROR(VLOOKUP($A240,MonthlyFinance!$A:$G,5,FALSE),""))</x:f>
      </x:c>
      <x:c r="R240" t="str">
        <x:f>IF($A240="","",IFERROR(VLOOKUP($A240,MonthlyFinance!$A:$G,6,FALSE),""))</x:f>
      </x:c>
      <x:c r="S240" t="str">
        <x:f>IF($A240="","","Formula-linked from CaseLedger; finance fields from MonthlyFinance.")</x:f>
      </x:c>
      <x:c r="T240" t="str">
        <x:f>IF($A240="","","TRUE")</x:f>
      </x:c>
    </x:row>
    <x:row r="241">
      <x:c r="D241" t="str">
        <x:f>IF($A241="","",COUNTIFS(CaseLedger!$F:$F,$A241,CaseLedger!$B:$B,"TRUE"))</x:f>
      </x:c>
      <x:c r="E241" t="str">
        <x:f>IF($A241="","",COUNTIFS(CaseLedger!$F:$F,$A241,CaseLedger!$B:$B,"TRUE",CaseLedger!$P:$P,"Zakat"))</x:f>
      </x:c>
      <x:c r="F241" t="str">
        <x:f>IF($A241="","",COUNTIFS(CaseLedger!$F:$F,$A241,CaseLedger!$B:$B,"TRUE",CaseLedger!$P:$P,"Sadaqah"))</x:f>
      </x:c>
      <x:c r="G241" t="str">
        <x:f>IF($A241="","",COUNTIFS(CaseLedger!$F:$F,$A241,CaseLedger!$B:$B,"TRUE",CaseLedger!$P:$P,"Mixed"))</x:f>
      </x:c>
      <x:c r="H241" t="str">
        <x:f>IF($A241="","",COUNTIFS(CaseLedger!$F:$F,$A241,CaseLedger!$B:$B,"TRUE",CaseLedger!$K:$K,"Livelihood"))</x:f>
      </x:c>
      <x:c r="I241" t="str">
        <x:f>IF($A241="","",COUNTIFS(CaseLedger!$F:$F,$A241,CaseLedger!$B:$B,"TRUE",CaseLedger!$K:$K,"Skill Sponsorship"))</x:f>
      </x:c>
      <x:c r="J241" t="str">
        <x:f>IF($A241="","",COUNTIFS(CaseLedger!$F:$F,$A241,CaseLedger!$B:$B,"TRUE",CaseLedger!$K:$K,"Emergency Support"))</x:f>
      </x:c>
      <x:c r="K241" t="str">
        <x:f>IF($A241="","",COUNTIFS(CaseLedger!$F:$F,$A241,CaseLedger!$B:$B,"TRUE",CaseLedger!$K:$K,"Community Support"))</x:f>
      </x:c>
      <x:c r="L241" t="str">
        <x:f>IF($A241="","",SUMIFS(CaseLedger!$M:$M,CaseLedger!$F:$F,$A241,CaseLedger!$B:$B,"TRUE"))</x:f>
      </x:c>
      <x:c r="M241" t="str">
        <x:f>IF($A241="","",SUMIFS(CaseLedger!$N:$N,CaseLedger!$F:$F,$A241,CaseLedger!$B:$B,"TRUE"))</x:f>
      </x:c>
      <x:c r="N241" t="str">
        <x:f>IF($A241="","",0)</x:f>
      </x:c>
      <x:c r="O241" t="str">
        <x:f>IF($A241="","",SUMIFS(CaseLedger!$O:$O,CaseLedger!$F:$F,$A241,CaseLedger!$B:$B,"TRUE"))</x:f>
      </x:c>
      <x:c r="P241" t="str">
        <x:f>IF($A241="","",IFERROR(VLOOKUP($A241,MonthlyFinance!$A:$G,4,FALSE),""))</x:f>
      </x:c>
      <x:c r="Q241" t="str">
        <x:f>IF($A241="","",IFERROR(VLOOKUP($A241,MonthlyFinance!$A:$G,5,FALSE),""))</x:f>
      </x:c>
      <x:c r="R241" t="str">
        <x:f>IF($A241="","",IFERROR(VLOOKUP($A241,MonthlyFinance!$A:$G,6,FALSE),""))</x:f>
      </x:c>
      <x:c r="S241" t="str">
        <x:f>IF($A241="","","Formula-linked from CaseLedger; finance fields from MonthlyFinance.")</x:f>
      </x:c>
      <x:c r="T241" t="str">
        <x:f>IF($A241="","","TRUE")</x:f>
      </x:c>
    </x:row>
    <x:row r="242">
      <x:c r="D242" t="str">
        <x:f>IF($A242="","",COUNTIFS(CaseLedger!$F:$F,$A242,CaseLedger!$B:$B,"TRUE"))</x:f>
      </x:c>
      <x:c r="E242" t="str">
        <x:f>IF($A242="","",COUNTIFS(CaseLedger!$F:$F,$A242,CaseLedger!$B:$B,"TRUE",CaseLedger!$P:$P,"Zakat"))</x:f>
      </x:c>
      <x:c r="F242" t="str">
        <x:f>IF($A242="","",COUNTIFS(CaseLedger!$F:$F,$A242,CaseLedger!$B:$B,"TRUE",CaseLedger!$P:$P,"Sadaqah"))</x:f>
      </x:c>
      <x:c r="G242" t="str">
        <x:f>IF($A242="","",COUNTIFS(CaseLedger!$F:$F,$A242,CaseLedger!$B:$B,"TRUE",CaseLedger!$P:$P,"Mixed"))</x:f>
      </x:c>
      <x:c r="H242" t="str">
        <x:f>IF($A242="","",COUNTIFS(CaseLedger!$F:$F,$A242,CaseLedger!$B:$B,"TRUE",CaseLedger!$K:$K,"Livelihood"))</x:f>
      </x:c>
      <x:c r="I242" t="str">
        <x:f>IF($A242="","",COUNTIFS(CaseLedger!$F:$F,$A242,CaseLedger!$B:$B,"TRUE",CaseLedger!$K:$K,"Skill Sponsorship"))</x:f>
      </x:c>
      <x:c r="J242" t="str">
        <x:f>IF($A242="","",COUNTIFS(CaseLedger!$F:$F,$A242,CaseLedger!$B:$B,"TRUE",CaseLedger!$K:$K,"Emergency Support"))</x:f>
      </x:c>
      <x:c r="K242" t="str">
        <x:f>IF($A242="","",COUNTIFS(CaseLedger!$F:$F,$A242,CaseLedger!$B:$B,"TRUE",CaseLedger!$K:$K,"Community Support"))</x:f>
      </x:c>
      <x:c r="L242" t="str">
        <x:f>IF($A242="","",SUMIFS(CaseLedger!$M:$M,CaseLedger!$F:$F,$A242,CaseLedger!$B:$B,"TRUE"))</x:f>
      </x:c>
      <x:c r="M242" t="str">
        <x:f>IF($A242="","",SUMIFS(CaseLedger!$N:$N,CaseLedger!$F:$F,$A242,CaseLedger!$B:$B,"TRUE"))</x:f>
      </x:c>
      <x:c r="N242" t="str">
        <x:f>IF($A242="","",0)</x:f>
      </x:c>
      <x:c r="O242" t="str">
        <x:f>IF($A242="","",SUMIFS(CaseLedger!$O:$O,CaseLedger!$F:$F,$A242,CaseLedger!$B:$B,"TRUE"))</x:f>
      </x:c>
      <x:c r="P242" t="str">
        <x:f>IF($A242="","",IFERROR(VLOOKUP($A242,MonthlyFinance!$A:$G,4,FALSE),""))</x:f>
      </x:c>
      <x:c r="Q242" t="str">
        <x:f>IF($A242="","",IFERROR(VLOOKUP($A242,MonthlyFinance!$A:$G,5,FALSE),""))</x:f>
      </x:c>
      <x:c r="R242" t="str">
        <x:f>IF($A242="","",IFERROR(VLOOKUP($A242,MonthlyFinance!$A:$G,6,FALSE),""))</x:f>
      </x:c>
      <x:c r="S242" t="str">
        <x:f>IF($A242="","","Formula-linked from CaseLedger; finance fields from MonthlyFinance.")</x:f>
      </x:c>
      <x:c r="T242" t="str">
        <x:f>IF($A242="","","TRUE")</x:f>
      </x:c>
    </x:row>
    <x:row r="243">
      <x:c r="D243" t="str">
        <x:f>IF($A243="","",COUNTIFS(CaseLedger!$F:$F,$A243,CaseLedger!$B:$B,"TRUE"))</x:f>
      </x:c>
      <x:c r="E243" t="str">
        <x:f>IF($A243="","",COUNTIFS(CaseLedger!$F:$F,$A243,CaseLedger!$B:$B,"TRUE",CaseLedger!$P:$P,"Zakat"))</x:f>
      </x:c>
      <x:c r="F243" t="str">
        <x:f>IF($A243="","",COUNTIFS(CaseLedger!$F:$F,$A243,CaseLedger!$B:$B,"TRUE",CaseLedger!$P:$P,"Sadaqah"))</x:f>
      </x:c>
      <x:c r="G243" t="str">
        <x:f>IF($A243="","",COUNTIFS(CaseLedger!$F:$F,$A243,CaseLedger!$B:$B,"TRUE",CaseLedger!$P:$P,"Mixed"))</x:f>
      </x:c>
      <x:c r="H243" t="str">
        <x:f>IF($A243="","",COUNTIFS(CaseLedger!$F:$F,$A243,CaseLedger!$B:$B,"TRUE",CaseLedger!$K:$K,"Livelihood"))</x:f>
      </x:c>
      <x:c r="I243" t="str">
        <x:f>IF($A243="","",COUNTIFS(CaseLedger!$F:$F,$A243,CaseLedger!$B:$B,"TRUE",CaseLedger!$K:$K,"Skill Sponsorship"))</x:f>
      </x:c>
      <x:c r="J243" t="str">
        <x:f>IF($A243="","",COUNTIFS(CaseLedger!$F:$F,$A243,CaseLedger!$B:$B,"TRUE",CaseLedger!$K:$K,"Emergency Support"))</x:f>
      </x:c>
      <x:c r="K243" t="str">
        <x:f>IF($A243="","",COUNTIFS(CaseLedger!$F:$F,$A243,CaseLedger!$B:$B,"TRUE",CaseLedger!$K:$K,"Community Support"))</x:f>
      </x:c>
      <x:c r="L243" t="str">
        <x:f>IF($A243="","",SUMIFS(CaseLedger!$M:$M,CaseLedger!$F:$F,$A243,CaseLedger!$B:$B,"TRUE"))</x:f>
      </x:c>
      <x:c r="M243" t="str">
        <x:f>IF($A243="","",SUMIFS(CaseLedger!$N:$N,CaseLedger!$F:$F,$A243,CaseLedger!$B:$B,"TRUE"))</x:f>
      </x:c>
      <x:c r="N243" t="str">
        <x:f>IF($A243="","",0)</x:f>
      </x:c>
      <x:c r="O243" t="str">
        <x:f>IF($A243="","",SUMIFS(CaseLedger!$O:$O,CaseLedger!$F:$F,$A243,CaseLedger!$B:$B,"TRUE"))</x:f>
      </x:c>
      <x:c r="P243" t="str">
        <x:f>IF($A243="","",IFERROR(VLOOKUP($A243,MonthlyFinance!$A:$G,4,FALSE),""))</x:f>
      </x:c>
      <x:c r="Q243" t="str">
        <x:f>IF($A243="","",IFERROR(VLOOKUP($A243,MonthlyFinance!$A:$G,5,FALSE),""))</x:f>
      </x:c>
      <x:c r="R243" t="str">
        <x:f>IF($A243="","",IFERROR(VLOOKUP($A243,MonthlyFinance!$A:$G,6,FALSE),""))</x:f>
      </x:c>
      <x:c r="S243" t="str">
        <x:f>IF($A243="","","Formula-linked from CaseLedger; finance fields from MonthlyFinance.")</x:f>
      </x:c>
      <x:c r="T243" t="str">
        <x:f>IF($A243="","","TRUE")</x:f>
      </x:c>
    </x:row>
    <x:row r="244">
      <x:c r="D244" t="str">
        <x:f>IF($A244="","",COUNTIFS(CaseLedger!$F:$F,$A244,CaseLedger!$B:$B,"TRUE"))</x:f>
      </x:c>
      <x:c r="E244" t="str">
        <x:f>IF($A244="","",COUNTIFS(CaseLedger!$F:$F,$A244,CaseLedger!$B:$B,"TRUE",CaseLedger!$P:$P,"Zakat"))</x:f>
      </x:c>
      <x:c r="F244" t="str">
        <x:f>IF($A244="","",COUNTIFS(CaseLedger!$F:$F,$A244,CaseLedger!$B:$B,"TRUE",CaseLedger!$P:$P,"Sadaqah"))</x:f>
      </x:c>
      <x:c r="G244" t="str">
        <x:f>IF($A244="","",COUNTIFS(CaseLedger!$F:$F,$A244,CaseLedger!$B:$B,"TRUE",CaseLedger!$P:$P,"Mixed"))</x:f>
      </x:c>
      <x:c r="H244" t="str">
        <x:f>IF($A244="","",COUNTIFS(CaseLedger!$F:$F,$A244,CaseLedger!$B:$B,"TRUE",CaseLedger!$K:$K,"Livelihood"))</x:f>
      </x:c>
      <x:c r="I244" t="str">
        <x:f>IF($A244="","",COUNTIFS(CaseLedger!$F:$F,$A244,CaseLedger!$B:$B,"TRUE",CaseLedger!$K:$K,"Skill Sponsorship"))</x:f>
      </x:c>
      <x:c r="J244" t="str">
        <x:f>IF($A244="","",COUNTIFS(CaseLedger!$F:$F,$A244,CaseLedger!$B:$B,"TRUE",CaseLedger!$K:$K,"Emergency Support"))</x:f>
      </x:c>
      <x:c r="K244" t="str">
        <x:f>IF($A244="","",COUNTIFS(CaseLedger!$F:$F,$A244,CaseLedger!$B:$B,"TRUE",CaseLedger!$K:$K,"Community Support"))</x:f>
      </x:c>
      <x:c r="L244" t="str">
        <x:f>IF($A244="","",SUMIFS(CaseLedger!$M:$M,CaseLedger!$F:$F,$A244,CaseLedger!$B:$B,"TRUE"))</x:f>
      </x:c>
      <x:c r="M244" t="str">
        <x:f>IF($A244="","",SUMIFS(CaseLedger!$N:$N,CaseLedger!$F:$F,$A244,CaseLedger!$B:$B,"TRUE"))</x:f>
      </x:c>
      <x:c r="N244" t="str">
        <x:f>IF($A244="","",0)</x:f>
      </x:c>
      <x:c r="O244" t="str">
        <x:f>IF($A244="","",SUMIFS(CaseLedger!$O:$O,CaseLedger!$F:$F,$A244,CaseLedger!$B:$B,"TRUE"))</x:f>
      </x:c>
      <x:c r="P244" t="str">
        <x:f>IF($A244="","",IFERROR(VLOOKUP($A244,MonthlyFinance!$A:$G,4,FALSE),""))</x:f>
      </x:c>
      <x:c r="Q244" t="str">
        <x:f>IF($A244="","",IFERROR(VLOOKUP($A244,MonthlyFinance!$A:$G,5,FALSE),""))</x:f>
      </x:c>
      <x:c r="R244" t="str">
        <x:f>IF($A244="","",IFERROR(VLOOKUP($A244,MonthlyFinance!$A:$G,6,FALSE),""))</x:f>
      </x:c>
      <x:c r="S244" t="str">
        <x:f>IF($A244="","","Formula-linked from CaseLedger; finance fields from MonthlyFinance.")</x:f>
      </x:c>
      <x:c r="T244" t="str">
        <x:f>IF($A244="","","TRUE")</x:f>
      </x:c>
    </x:row>
    <x:row r="245">
      <x:c r="D245" t="str">
        <x:f>IF($A245="","",COUNTIFS(CaseLedger!$F:$F,$A245,CaseLedger!$B:$B,"TRUE"))</x:f>
      </x:c>
      <x:c r="E245" t="str">
        <x:f>IF($A245="","",COUNTIFS(CaseLedger!$F:$F,$A245,CaseLedger!$B:$B,"TRUE",CaseLedger!$P:$P,"Zakat"))</x:f>
      </x:c>
      <x:c r="F245" t="str">
        <x:f>IF($A245="","",COUNTIFS(CaseLedger!$F:$F,$A245,CaseLedger!$B:$B,"TRUE",CaseLedger!$P:$P,"Sadaqah"))</x:f>
      </x:c>
      <x:c r="G245" t="str">
        <x:f>IF($A245="","",COUNTIFS(CaseLedger!$F:$F,$A245,CaseLedger!$B:$B,"TRUE",CaseLedger!$P:$P,"Mixed"))</x:f>
      </x:c>
      <x:c r="H245" t="str">
        <x:f>IF($A245="","",COUNTIFS(CaseLedger!$F:$F,$A245,CaseLedger!$B:$B,"TRUE",CaseLedger!$K:$K,"Livelihood"))</x:f>
      </x:c>
      <x:c r="I245" t="str">
        <x:f>IF($A245="","",COUNTIFS(CaseLedger!$F:$F,$A245,CaseLedger!$B:$B,"TRUE",CaseLedger!$K:$K,"Skill Sponsorship"))</x:f>
      </x:c>
      <x:c r="J245" t="str">
        <x:f>IF($A245="","",COUNTIFS(CaseLedger!$F:$F,$A245,CaseLedger!$B:$B,"TRUE",CaseLedger!$K:$K,"Emergency Support"))</x:f>
      </x:c>
      <x:c r="K245" t="str">
        <x:f>IF($A245="","",COUNTIFS(CaseLedger!$F:$F,$A245,CaseLedger!$B:$B,"TRUE",CaseLedger!$K:$K,"Community Support"))</x:f>
      </x:c>
      <x:c r="L245" t="str">
        <x:f>IF($A245="","",SUMIFS(CaseLedger!$M:$M,CaseLedger!$F:$F,$A245,CaseLedger!$B:$B,"TRUE"))</x:f>
      </x:c>
      <x:c r="M245" t="str">
        <x:f>IF($A245="","",SUMIFS(CaseLedger!$N:$N,CaseLedger!$F:$F,$A245,CaseLedger!$B:$B,"TRUE"))</x:f>
      </x:c>
      <x:c r="N245" t="str">
        <x:f>IF($A245="","",0)</x:f>
      </x:c>
      <x:c r="O245" t="str">
        <x:f>IF($A245="","",SUMIFS(CaseLedger!$O:$O,CaseLedger!$F:$F,$A245,CaseLedger!$B:$B,"TRUE"))</x:f>
      </x:c>
      <x:c r="P245" t="str">
        <x:f>IF($A245="","",IFERROR(VLOOKUP($A245,MonthlyFinance!$A:$G,4,FALSE),""))</x:f>
      </x:c>
      <x:c r="Q245" t="str">
        <x:f>IF($A245="","",IFERROR(VLOOKUP($A245,MonthlyFinance!$A:$G,5,FALSE),""))</x:f>
      </x:c>
      <x:c r="R245" t="str">
        <x:f>IF($A245="","",IFERROR(VLOOKUP($A245,MonthlyFinance!$A:$G,6,FALSE),""))</x:f>
      </x:c>
      <x:c r="S245" t="str">
        <x:f>IF($A245="","","Formula-linked from CaseLedger; finance fields from MonthlyFinance.")</x:f>
      </x:c>
      <x:c r="T245" t="str">
        <x:f>IF($A245="","","TRUE")</x:f>
      </x:c>
    </x:row>
    <x:row r="246">
      <x:c r="D246" t="str">
        <x:f>IF($A246="","",COUNTIFS(CaseLedger!$F:$F,$A246,CaseLedger!$B:$B,"TRUE"))</x:f>
      </x:c>
      <x:c r="E246" t="str">
        <x:f>IF($A246="","",COUNTIFS(CaseLedger!$F:$F,$A246,CaseLedger!$B:$B,"TRUE",CaseLedger!$P:$P,"Zakat"))</x:f>
      </x:c>
      <x:c r="F246" t="str">
        <x:f>IF($A246="","",COUNTIFS(CaseLedger!$F:$F,$A246,CaseLedger!$B:$B,"TRUE",CaseLedger!$P:$P,"Sadaqah"))</x:f>
      </x:c>
      <x:c r="G246" t="str">
        <x:f>IF($A246="","",COUNTIFS(CaseLedger!$F:$F,$A246,CaseLedger!$B:$B,"TRUE",CaseLedger!$P:$P,"Mixed"))</x:f>
      </x:c>
      <x:c r="H246" t="str">
        <x:f>IF($A246="","",COUNTIFS(CaseLedger!$F:$F,$A246,CaseLedger!$B:$B,"TRUE",CaseLedger!$K:$K,"Livelihood"))</x:f>
      </x:c>
      <x:c r="I246" t="str">
        <x:f>IF($A246="","",COUNTIFS(CaseLedger!$F:$F,$A246,CaseLedger!$B:$B,"TRUE",CaseLedger!$K:$K,"Skill Sponsorship"))</x:f>
      </x:c>
      <x:c r="J246" t="str">
        <x:f>IF($A246="","",COUNTIFS(CaseLedger!$F:$F,$A246,CaseLedger!$B:$B,"TRUE",CaseLedger!$K:$K,"Emergency Support"))</x:f>
      </x:c>
      <x:c r="K246" t="str">
        <x:f>IF($A246="","",COUNTIFS(CaseLedger!$F:$F,$A246,CaseLedger!$B:$B,"TRUE",CaseLedger!$K:$K,"Community Support"))</x:f>
      </x:c>
      <x:c r="L246" t="str">
        <x:f>IF($A246="","",SUMIFS(CaseLedger!$M:$M,CaseLedger!$F:$F,$A246,CaseLedger!$B:$B,"TRUE"))</x:f>
      </x:c>
      <x:c r="M246" t="str">
        <x:f>IF($A246="","",SUMIFS(CaseLedger!$N:$N,CaseLedger!$F:$F,$A246,CaseLedger!$B:$B,"TRUE"))</x:f>
      </x:c>
      <x:c r="N246" t="str">
        <x:f>IF($A246="","",0)</x:f>
      </x:c>
      <x:c r="O246" t="str">
        <x:f>IF($A246="","",SUMIFS(CaseLedger!$O:$O,CaseLedger!$F:$F,$A246,CaseLedger!$B:$B,"TRUE"))</x:f>
      </x:c>
      <x:c r="P246" t="str">
        <x:f>IF($A246="","",IFERROR(VLOOKUP($A246,MonthlyFinance!$A:$G,4,FALSE),""))</x:f>
      </x:c>
      <x:c r="Q246" t="str">
        <x:f>IF($A246="","",IFERROR(VLOOKUP($A246,MonthlyFinance!$A:$G,5,FALSE),""))</x:f>
      </x:c>
      <x:c r="R246" t="str">
        <x:f>IF($A246="","",IFERROR(VLOOKUP($A246,MonthlyFinance!$A:$G,6,FALSE),""))</x:f>
      </x:c>
      <x:c r="S246" t="str">
        <x:f>IF($A246="","","Formula-linked from CaseLedger; finance fields from MonthlyFinance.")</x:f>
      </x:c>
      <x:c r="T246" t="str">
        <x:f>IF($A246="","","TRUE")</x:f>
      </x:c>
    </x:row>
    <x:row r="247">
      <x:c r="D247" t="str">
        <x:f>IF($A247="","",COUNTIFS(CaseLedger!$F:$F,$A247,CaseLedger!$B:$B,"TRUE"))</x:f>
      </x:c>
      <x:c r="E247" t="str">
        <x:f>IF($A247="","",COUNTIFS(CaseLedger!$F:$F,$A247,CaseLedger!$B:$B,"TRUE",CaseLedger!$P:$P,"Zakat"))</x:f>
      </x:c>
      <x:c r="F247" t="str">
        <x:f>IF($A247="","",COUNTIFS(CaseLedger!$F:$F,$A247,CaseLedger!$B:$B,"TRUE",CaseLedger!$P:$P,"Sadaqah"))</x:f>
      </x:c>
      <x:c r="G247" t="str">
        <x:f>IF($A247="","",COUNTIFS(CaseLedger!$F:$F,$A247,CaseLedger!$B:$B,"TRUE",CaseLedger!$P:$P,"Mixed"))</x:f>
      </x:c>
      <x:c r="H247" t="str">
        <x:f>IF($A247="","",COUNTIFS(CaseLedger!$F:$F,$A247,CaseLedger!$B:$B,"TRUE",CaseLedger!$K:$K,"Livelihood"))</x:f>
      </x:c>
      <x:c r="I247" t="str">
        <x:f>IF($A247="","",COUNTIFS(CaseLedger!$F:$F,$A247,CaseLedger!$B:$B,"TRUE",CaseLedger!$K:$K,"Skill Sponsorship"))</x:f>
      </x:c>
      <x:c r="J247" t="str">
        <x:f>IF($A247="","",COUNTIFS(CaseLedger!$F:$F,$A247,CaseLedger!$B:$B,"TRUE",CaseLedger!$K:$K,"Emergency Support"))</x:f>
      </x:c>
      <x:c r="K247" t="str">
        <x:f>IF($A247="","",COUNTIFS(CaseLedger!$F:$F,$A247,CaseLedger!$B:$B,"TRUE",CaseLedger!$K:$K,"Community Support"))</x:f>
      </x:c>
      <x:c r="L247" t="str">
        <x:f>IF($A247="","",SUMIFS(CaseLedger!$M:$M,CaseLedger!$F:$F,$A247,CaseLedger!$B:$B,"TRUE"))</x:f>
      </x:c>
      <x:c r="M247" t="str">
        <x:f>IF($A247="","",SUMIFS(CaseLedger!$N:$N,CaseLedger!$F:$F,$A247,CaseLedger!$B:$B,"TRUE"))</x:f>
      </x:c>
      <x:c r="N247" t="str">
        <x:f>IF($A247="","",0)</x:f>
      </x:c>
      <x:c r="O247" t="str">
        <x:f>IF($A247="","",SUMIFS(CaseLedger!$O:$O,CaseLedger!$F:$F,$A247,CaseLedger!$B:$B,"TRUE"))</x:f>
      </x:c>
      <x:c r="P247" t="str">
        <x:f>IF($A247="","",IFERROR(VLOOKUP($A247,MonthlyFinance!$A:$G,4,FALSE),""))</x:f>
      </x:c>
      <x:c r="Q247" t="str">
        <x:f>IF($A247="","",IFERROR(VLOOKUP($A247,MonthlyFinance!$A:$G,5,FALSE),""))</x:f>
      </x:c>
      <x:c r="R247" t="str">
        <x:f>IF($A247="","",IFERROR(VLOOKUP($A247,MonthlyFinance!$A:$G,6,FALSE),""))</x:f>
      </x:c>
      <x:c r="S247" t="str">
        <x:f>IF($A247="","","Formula-linked from CaseLedger; finance fields from MonthlyFinance.")</x:f>
      </x:c>
      <x:c r="T247" t="str">
        <x:f>IF($A247="","","TRUE")</x:f>
      </x:c>
    </x:row>
    <x:row r="248">
      <x:c r="D248" t="str">
        <x:f>IF($A248="","",COUNTIFS(CaseLedger!$F:$F,$A248,CaseLedger!$B:$B,"TRUE"))</x:f>
      </x:c>
      <x:c r="E248" t="str">
        <x:f>IF($A248="","",COUNTIFS(CaseLedger!$F:$F,$A248,CaseLedger!$B:$B,"TRUE",CaseLedger!$P:$P,"Zakat"))</x:f>
      </x:c>
      <x:c r="F248" t="str">
        <x:f>IF($A248="","",COUNTIFS(CaseLedger!$F:$F,$A248,CaseLedger!$B:$B,"TRUE",CaseLedger!$P:$P,"Sadaqah"))</x:f>
      </x:c>
      <x:c r="G248" t="str">
        <x:f>IF($A248="","",COUNTIFS(CaseLedger!$F:$F,$A248,CaseLedger!$B:$B,"TRUE",CaseLedger!$P:$P,"Mixed"))</x:f>
      </x:c>
      <x:c r="H248" t="str">
        <x:f>IF($A248="","",COUNTIFS(CaseLedger!$F:$F,$A248,CaseLedger!$B:$B,"TRUE",CaseLedger!$K:$K,"Livelihood"))</x:f>
      </x:c>
      <x:c r="I248" t="str">
        <x:f>IF($A248="","",COUNTIFS(CaseLedger!$F:$F,$A248,CaseLedger!$B:$B,"TRUE",CaseLedger!$K:$K,"Skill Sponsorship"))</x:f>
      </x:c>
      <x:c r="J248" t="str">
        <x:f>IF($A248="","",COUNTIFS(CaseLedger!$F:$F,$A248,CaseLedger!$B:$B,"TRUE",CaseLedger!$K:$K,"Emergency Support"))</x:f>
      </x:c>
      <x:c r="K248" t="str">
        <x:f>IF($A248="","",COUNTIFS(CaseLedger!$F:$F,$A248,CaseLedger!$B:$B,"TRUE",CaseLedger!$K:$K,"Community Support"))</x:f>
      </x:c>
      <x:c r="L248" t="str">
        <x:f>IF($A248="","",SUMIFS(CaseLedger!$M:$M,CaseLedger!$F:$F,$A248,CaseLedger!$B:$B,"TRUE"))</x:f>
      </x:c>
      <x:c r="M248" t="str">
        <x:f>IF($A248="","",SUMIFS(CaseLedger!$N:$N,CaseLedger!$F:$F,$A248,CaseLedger!$B:$B,"TRUE"))</x:f>
      </x:c>
      <x:c r="N248" t="str">
        <x:f>IF($A248="","",0)</x:f>
      </x:c>
      <x:c r="O248" t="str">
        <x:f>IF($A248="","",SUMIFS(CaseLedger!$O:$O,CaseLedger!$F:$F,$A248,CaseLedger!$B:$B,"TRUE"))</x:f>
      </x:c>
      <x:c r="P248" t="str">
        <x:f>IF($A248="","",IFERROR(VLOOKUP($A248,MonthlyFinance!$A:$G,4,FALSE),""))</x:f>
      </x:c>
      <x:c r="Q248" t="str">
        <x:f>IF($A248="","",IFERROR(VLOOKUP($A248,MonthlyFinance!$A:$G,5,FALSE),""))</x:f>
      </x:c>
      <x:c r="R248" t="str">
        <x:f>IF($A248="","",IFERROR(VLOOKUP($A248,MonthlyFinance!$A:$G,6,FALSE),""))</x:f>
      </x:c>
      <x:c r="S248" t="str">
        <x:f>IF($A248="","","Formula-linked from CaseLedger; finance fields from MonthlyFinance.")</x:f>
      </x:c>
      <x:c r="T248" t="str">
        <x:f>IF($A248="","","TRUE")</x:f>
      </x:c>
    </x:row>
    <x:row r="249">
      <x:c r="D249" t="str">
        <x:f>IF($A249="","",COUNTIFS(CaseLedger!$F:$F,$A249,CaseLedger!$B:$B,"TRUE"))</x:f>
      </x:c>
      <x:c r="E249" t="str">
        <x:f>IF($A249="","",COUNTIFS(CaseLedger!$F:$F,$A249,CaseLedger!$B:$B,"TRUE",CaseLedger!$P:$P,"Zakat"))</x:f>
      </x:c>
      <x:c r="F249" t="str">
        <x:f>IF($A249="","",COUNTIFS(CaseLedger!$F:$F,$A249,CaseLedger!$B:$B,"TRUE",CaseLedger!$P:$P,"Sadaqah"))</x:f>
      </x:c>
      <x:c r="G249" t="str">
        <x:f>IF($A249="","",COUNTIFS(CaseLedger!$F:$F,$A249,CaseLedger!$B:$B,"TRUE",CaseLedger!$P:$P,"Mixed"))</x:f>
      </x:c>
      <x:c r="H249" t="str">
        <x:f>IF($A249="","",COUNTIFS(CaseLedger!$F:$F,$A249,CaseLedger!$B:$B,"TRUE",CaseLedger!$K:$K,"Livelihood"))</x:f>
      </x:c>
      <x:c r="I249" t="str">
        <x:f>IF($A249="","",COUNTIFS(CaseLedger!$F:$F,$A249,CaseLedger!$B:$B,"TRUE",CaseLedger!$K:$K,"Skill Sponsorship"))</x:f>
      </x:c>
      <x:c r="J249" t="str">
        <x:f>IF($A249="","",COUNTIFS(CaseLedger!$F:$F,$A249,CaseLedger!$B:$B,"TRUE",CaseLedger!$K:$K,"Emergency Support"))</x:f>
      </x:c>
      <x:c r="K249" t="str">
        <x:f>IF($A249="","",COUNTIFS(CaseLedger!$F:$F,$A249,CaseLedger!$B:$B,"TRUE",CaseLedger!$K:$K,"Community Support"))</x:f>
      </x:c>
      <x:c r="L249" t="str">
        <x:f>IF($A249="","",SUMIFS(CaseLedger!$M:$M,CaseLedger!$F:$F,$A249,CaseLedger!$B:$B,"TRUE"))</x:f>
      </x:c>
      <x:c r="M249" t="str">
        <x:f>IF($A249="","",SUMIFS(CaseLedger!$N:$N,CaseLedger!$F:$F,$A249,CaseLedger!$B:$B,"TRUE"))</x:f>
      </x:c>
      <x:c r="N249" t="str">
        <x:f>IF($A249="","",0)</x:f>
      </x:c>
      <x:c r="O249" t="str">
        <x:f>IF($A249="","",SUMIFS(CaseLedger!$O:$O,CaseLedger!$F:$F,$A249,CaseLedger!$B:$B,"TRUE"))</x:f>
      </x:c>
      <x:c r="P249" t="str">
        <x:f>IF($A249="","",IFERROR(VLOOKUP($A249,MonthlyFinance!$A:$G,4,FALSE),""))</x:f>
      </x:c>
      <x:c r="Q249" t="str">
        <x:f>IF($A249="","",IFERROR(VLOOKUP($A249,MonthlyFinance!$A:$G,5,FALSE),""))</x:f>
      </x:c>
      <x:c r="R249" t="str">
        <x:f>IF($A249="","",IFERROR(VLOOKUP($A249,MonthlyFinance!$A:$G,6,FALSE),""))</x:f>
      </x:c>
      <x:c r="S249" t="str">
        <x:f>IF($A249="","","Formula-linked from CaseLedger; finance fields from MonthlyFinance.")</x:f>
      </x:c>
      <x:c r="T249" t="str">
        <x:f>IF($A249="","","TRUE")</x:f>
      </x:c>
    </x:row>
    <x:row r="250">
      <x:c r="D250" t="str">
        <x:f>IF($A250="","",COUNTIFS(CaseLedger!$F:$F,$A250,CaseLedger!$B:$B,"TRUE"))</x:f>
      </x:c>
      <x:c r="E250" t="str">
        <x:f>IF($A250="","",COUNTIFS(CaseLedger!$F:$F,$A250,CaseLedger!$B:$B,"TRUE",CaseLedger!$P:$P,"Zakat"))</x:f>
      </x:c>
      <x:c r="F250" t="str">
        <x:f>IF($A250="","",COUNTIFS(CaseLedger!$F:$F,$A250,CaseLedger!$B:$B,"TRUE",CaseLedger!$P:$P,"Sadaqah"))</x:f>
      </x:c>
      <x:c r="G250" t="str">
        <x:f>IF($A250="","",COUNTIFS(CaseLedger!$F:$F,$A250,CaseLedger!$B:$B,"TRUE",CaseLedger!$P:$P,"Mixed"))</x:f>
      </x:c>
      <x:c r="H250" t="str">
        <x:f>IF($A250="","",COUNTIFS(CaseLedger!$F:$F,$A250,CaseLedger!$B:$B,"TRUE",CaseLedger!$K:$K,"Livelihood"))</x:f>
      </x:c>
      <x:c r="I250" t="str">
        <x:f>IF($A250="","",COUNTIFS(CaseLedger!$F:$F,$A250,CaseLedger!$B:$B,"TRUE",CaseLedger!$K:$K,"Skill Sponsorship"))</x:f>
      </x:c>
      <x:c r="J250" t="str">
        <x:f>IF($A250="","",COUNTIFS(CaseLedger!$F:$F,$A250,CaseLedger!$B:$B,"TRUE",CaseLedger!$K:$K,"Emergency Support"))</x:f>
      </x:c>
      <x:c r="K250" t="str">
        <x:f>IF($A250="","",COUNTIFS(CaseLedger!$F:$F,$A250,CaseLedger!$B:$B,"TRUE",CaseLedger!$K:$K,"Community Support"))</x:f>
      </x:c>
      <x:c r="L250" t="str">
        <x:f>IF($A250="","",SUMIFS(CaseLedger!$M:$M,CaseLedger!$F:$F,$A250,CaseLedger!$B:$B,"TRUE"))</x:f>
      </x:c>
      <x:c r="M250" t="str">
        <x:f>IF($A250="","",SUMIFS(CaseLedger!$N:$N,CaseLedger!$F:$F,$A250,CaseLedger!$B:$B,"TRUE"))</x:f>
      </x:c>
      <x:c r="N250" t="str">
        <x:f>IF($A250="","",0)</x:f>
      </x:c>
      <x:c r="O250" t="str">
        <x:f>IF($A250="","",SUMIFS(CaseLedger!$O:$O,CaseLedger!$F:$F,$A250,CaseLedger!$B:$B,"TRUE"))</x:f>
      </x:c>
      <x:c r="P250" t="str">
        <x:f>IF($A250="","",IFERROR(VLOOKUP($A250,MonthlyFinance!$A:$G,4,FALSE),""))</x:f>
      </x:c>
      <x:c r="Q250" t="str">
        <x:f>IF($A250="","",IFERROR(VLOOKUP($A250,MonthlyFinance!$A:$G,5,FALSE),""))</x:f>
      </x:c>
      <x:c r="R250" t="str">
        <x:f>IF($A250="","",IFERROR(VLOOKUP($A250,MonthlyFinance!$A:$G,6,FALSE),""))</x:f>
      </x:c>
      <x:c r="S250" t="str">
        <x:f>IF($A250="","","Formula-linked from CaseLedger; finance fields from MonthlyFinance.")</x:f>
      </x:c>
      <x:c r="T250" t="str">
        <x:f>IF($A250="","","TRUE")</x:f>
      </x:c>
    </x:row>
    <x:row r="251">
      <x:c r="D251" t="str">
        <x:f>IF($A251="","",COUNTIFS(CaseLedger!$F:$F,$A251,CaseLedger!$B:$B,"TRUE"))</x:f>
      </x:c>
      <x:c r="E251" t="str">
        <x:f>IF($A251="","",COUNTIFS(CaseLedger!$F:$F,$A251,CaseLedger!$B:$B,"TRUE",CaseLedger!$P:$P,"Zakat"))</x:f>
      </x:c>
      <x:c r="F251" t="str">
        <x:f>IF($A251="","",COUNTIFS(CaseLedger!$F:$F,$A251,CaseLedger!$B:$B,"TRUE",CaseLedger!$P:$P,"Sadaqah"))</x:f>
      </x:c>
      <x:c r="G251" t="str">
        <x:f>IF($A251="","",COUNTIFS(CaseLedger!$F:$F,$A251,CaseLedger!$B:$B,"TRUE",CaseLedger!$P:$P,"Mixed"))</x:f>
      </x:c>
      <x:c r="H251" t="str">
        <x:f>IF($A251="","",COUNTIFS(CaseLedger!$F:$F,$A251,CaseLedger!$B:$B,"TRUE",CaseLedger!$K:$K,"Livelihood"))</x:f>
      </x:c>
      <x:c r="I251" t="str">
        <x:f>IF($A251="","",COUNTIFS(CaseLedger!$F:$F,$A251,CaseLedger!$B:$B,"TRUE",CaseLedger!$K:$K,"Skill Sponsorship"))</x:f>
      </x:c>
      <x:c r="J251" t="str">
        <x:f>IF($A251="","",COUNTIFS(CaseLedger!$F:$F,$A251,CaseLedger!$B:$B,"TRUE",CaseLedger!$K:$K,"Emergency Support"))</x:f>
      </x:c>
      <x:c r="K251" t="str">
        <x:f>IF($A251="","",COUNTIFS(CaseLedger!$F:$F,$A251,CaseLedger!$B:$B,"TRUE",CaseLedger!$K:$K,"Community Support"))</x:f>
      </x:c>
      <x:c r="L251" t="str">
        <x:f>IF($A251="","",SUMIFS(CaseLedger!$M:$M,CaseLedger!$F:$F,$A251,CaseLedger!$B:$B,"TRUE"))</x:f>
      </x:c>
      <x:c r="M251" t="str">
        <x:f>IF($A251="","",SUMIFS(CaseLedger!$N:$N,CaseLedger!$F:$F,$A251,CaseLedger!$B:$B,"TRUE"))</x:f>
      </x:c>
      <x:c r="N251" t="str">
        <x:f>IF($A251="","",0)</x:f>
      </x:c>
      <x:c r="O251" t="str">
        <x:f>IF($A251="","",SUMIFS(CaseLedger!$O:$O,CaseLedger!$F:$F,$A251,CaseLedger!$B:$B,"TRUE"))</x:f>
      </x:c>
      <x:c r="P251" t="str">
        <x:f>IF($A251="","",IFERROR(VLOOKUP($A251,MonthlyFinance!$A:$G,4,FALSE),""))</x:f>
      </x:c>
      <x:c r="Q251" t="str">
        <x:f>IF($A251="","",IFERROR(VLOOKUP($A251,MonthlyFinance!$A:$G,5,FALSE),""))</x:f>
      </x:c>
      <x:c r="R251" t="str">
        <x:f>IF($A251="","",IFERROR(VLOOKUP($A251,MonthlyFinance!$A:$G,6,FALSE),""))</x:f>
      </x:c>
      <x:c r="S251" t="str">
        <x:f>IF($A251="","","Formula-linked from CaseLedger; finance fields from MonthlyFinance.")</x:f>
      </x:c>
      <x:c r="T251" t="str">
        <x:f>IF($A251="","","TRUE")</x:f>
      </x:c>
    </x:row>
    <x:row r="252">
      <x:c r="D252" t="str">
        <x:f>IF($A252="","",COUNTIFS(CaseLedger!$F:$F,$A252,CaseLedger!$B:$B,"TRUE"))</x:f>
      </x:c>
      <x:c r="E252" t="str">
        <x:f>IF($A252="","",COUNTIFS(CaseLedger!$F:$F,$A252,CaseLedger!$B:$B,"TRUE",CaseLedger!$P:$P,"Zakat"))</x:f>
      </x:c>
      <x:c r="F252" t="str">
        <x:f>IF($A252="","",COUNTIFS(CaseLedger!$F:$F,$A252,CaseLedger!$B:$B,"TRUE",CaseLedger!$P:$P,"Sadaqah"))</x:f>
      </x:c>
      <x:c r="G252" t="str">
        <x:f>IF($A252="","",COUNTIFS(CaseLedger!$F:$F,$A252,CaseLedger!$B:$B,"TRUE",CaseLedger!$P:$P,"Mixed"))</x:f>
      </x:c>
      <x:c r="H252" t="str">
        <x:f>IF($A252="","",COUNTIFS(CaseLedger!$F:$F,$A252,CaseLedger!$B:$B,"TRUE",CaseLedger!$K:$K,"Livelihood"))</x:f>
      </x:c>
      <x:c r="I252" t="str">
        <x:f>IF($A252="","",COUNTIFS(CaseLedger!$F:$F,$A252,CaseLedger!$B:$B,"TRUE",CaseLedger!$K:$K,"Skill Sponsorship"))</x:f>
      </x:c>
      <x:c r="J252" t="str">
        <x:f>IF($A252="","",COUNTIFS(CaseLedger!$F:$F,$A252,CaseLedger!$B:$B,"TRUE",CaseLedger!$K:$K,"Emergency Support"))</x:f>
      </x:c>
      <x:c r="K252" t="str">
        <x:f>IF($A252="","",COUNTIFS(CaseLedger!$F:$F,$A252,CaseLedger!$B:$B,"TRUE",CaseLedger!$K:$K,"Community Support"))</x:f>
      </x:c>
      <x:c r="L252" t="str">
        <x:f>IF($A252="","",SUMIFS(CaseLedger!$M:$M,CaseLedger!$F:$F,$A252,CaseLedger!$B:$B,"TRUE"))</x:f>
      </x:c>
      <x:c r="M252" t="str">
        <x:f>IF($A252="","",SUMIFS(CaseLedger!$N:$N,CaseLedger!$F:$F,$A252,CaseLedger!$B:$B,"TRUE"))</x:f>
      </x:c>
      <x:c r="N252" t="str">
        <x:f>IF($A252="","",0)</x:f>
      </x:c>
      <x:c r="O252" t="str">
        <x:f>IF($A252="","",SUMIFS(CaseLedger!$O:$O,CaseLedger!$F:$F,$A252,CaseLedger!$B:$B,"TRUE"))</x:f>
      </x:c>
      <x:c r="P252" t="str">
        <x:f>IF($A252="","",IFERROR(VLOOKUP($A252,MonthlyFinance!$A:$G,4,FALSE),""))</x:f>
      </x:c>
      <x:c r="Q252" t="str">
        <x:f>IF($A252="","",IFERROR(VLOOKUP($A252,MonthlyFinance!$A:$G,5,FALSE),""))</x:f>
      </x:c>
      <x:c r="R252" t="str">
        <x:f>IF($A252="","",IFERROR(VLOOKUP($A252,MonthlyFinance!$A:$G,6,FALSE),""))</x:f>
      </x:c>
      <x:c r="S252" t="str">
        <x:f>IF($A252="","","Formula-linked from CaseLedger; finance fields from MonthlyFinance.")</x:f>
      </x:c>
      <x:c r="T252" t="str">
        <x:f>IF($A252="","","TRUE")</x:f>
      </x:c>
    </x:row>
    <x:row r="253">
      <x:c r="D253" t="str">
        <x:f>IF($A253="","",COUNTIFS(CaseLedger!$F:$F,$A253,CaseLedger!$B:$B,"TRUE"))</x:f>
      </x:c>
      <x:c r="E253" t="str">
        <x:f>IF($A253="","",COUNTIFS(CaseLedger!$F:$F,$A253,CaseLedger!$B:$B,"TRUE",CaseLedger!$P:$P,"Zakat"))</x:f>
      </x:c>
      <x:c r="F253" t="str">
        <x:f>IF($A253="","",COUNTIFS(CaseLedger!$F:$F,$A253,CaseLedger!$B:$B,"TRUE",CaseLedger!$P:$P,"Sadaqah"))</x:f>
      </x:c>
      <x:c r="G253" t="str">
        <x:f>IF($A253="","",COUNTIFS(CaseLedger!$F:$F,$A253,CaseLedger!$B:$B,"TRUE",CaseLedger!$P:$P,"Mixed"))</x:f>
      </x:c>
      <x:c r="H253" t="str">
        <x:f>IF($A253="","",COUNTIFS(CaseLedger!$F:$F,$A253,CaseLedger!$B:$B,"TRUE",CaseLedger!$K:$K,"Livelihood"))</x:f>
      </x:c>
      <x:c r="I253" t="str">
        <x:f>IF($A253="","",COUNTIFS(CaseLedger!$F:$F,$A253,CaseLedger!$B:$B,"TRUE",CaseLedger!$K:$K,"Skill Sponsorship"))</x:f>
      </x:c>
      <x:c r="J253" t="str">
        <x:f>IF($A253="","",COUNTIFS(CaseLedger!$F:$F,$A253,CaseLedger!$B:$B,"TRUE",CaseLedger!$K:$K,"Emergency Support"))</x:f>
      </x:c>
      <x:c r="K253" t="str">
        <x:f>IF($A253="","",COUNTIFS(CaseLedger!$F:$F,$A253,CaseLedger!$B:$B,"TRUE",CaseLedger!$K:$K,"Community Support"))</x:f>
      </x:c>
      <x:c r="L253" t="str">
        <x:f>IF($A253="","",SUMIFS(CaseLedger!$M:$M,CaseLedger!$F:$F,$A253,CaseLedger!$B:$B,"TRUE"))</x:f>
      </x:c>
      <x:c r="M253" t="str">
        <x:f>IF($A253="","",SUMIFS(CaseLedger!$N:$N,CaseLedger!$F:$F,$A253,CaseLedger!$B:$B,"TRUE"))</x:f>
      </x:c>
      <x:c r="N253" t="str">
        <x:f>IF($A253="","",0)</x:f>
      </x:c>
      <x:c r="O253" t="str">
        <x:f>IF($A253="","",SUMIFS(CaseLedger!$O:$O,CaseLedger!$F:$F,$A253,CaseLedger!$B:$B,"TRUE"))</x:f>
      </x:c>
      <x:c r="P253" t="str">
        <x:f>IF($A253="","",IFERROR(VLOOKUP($A253,MonthlyFinance!$A:$G,4,FALSE),""))</x:f>
      </x:c>
      <x:c r="Q253" t="str">
        <x:f>IF($A253="","",IFERROR(VLOOKUP($A253,MonthlyFinance!$A:$G,5,FALSE),""))</x:f>
      </x:c>
      <x:c r="R253" t="str">
        <x:f>IF($A253="","",IFERROR(VLOOKUP($A253,MonthlyFinance!$A:$G,6,FALSE),""))</x:f>
      </x:c>
      <x:c r="S253" t="str">
        <x:f>IF($A253="","","Formula-linked from CaseLedger; finance fields from MonthlyFinance.")</x:f>
      </x:c>
      <x:c r="T253" t="str">
        <x:f>IF($A253="","","TRUE")</x:f>
      </x:c>
    </x:row>
    <x:row r="254">
      <x:c r="D254" t="str">
        <x:f>IF($A254="","",COUNTIFS(CaseLedger!$F:$F,$A254,CaseLedger!$B:$B,"TRUE"))</x:f>
      </x:c>
      <x:c r="E254" t="str">
        <x:f>IF($A254="","",COUNTIFS(CaseLedger!$F:$F,$A254,CaseLedger!$B:$B,"TRUE",CaseLedger!$P:$P,"Zakat"))</x:f>
      </x:c>
      <x:c r="F254" t="str">
        <x:f>IF($A254="","",COUNTIFS(CaseLedger!$F:$F,$A254,CaseLedger!$B:$B,"TRUE",CaseLedger!$P:$P,"Sadaqah"))</x:f>
      </x:c>
      <x:c r="G254" t="str">
        <x:f>IF($A254="","",COUNTIFS(CaseLedger!$F:$F,$A254,CaseLedger!$B:$B,"TRUE",CaseLedger!$P:$P,"Mixed"))</x:f>
      </x:c>
      <x:c r="H254" t="str">
        <x:f>IF($A254="","",COUNTIFS(CaseLedger!$F:$F,$A254,CaseLedger!$B:$B,"TRUE",CaseLedger!$K:$K,"Livelihood"))</x:f>
      </x:c>
      <x:c r="I254" t="str">
        <x:f>IF($A254="","",COUNTIFS(CaseLedger!$F:$F,$A254,CaseLedger!$B:$B,"TRUE",CaseLedger!$K:$K,"Skill Sponsorship"))</x:f>
      </x:c>
      <x:c r="J254" t="str">
        <x:f>IF($A254="","",COUNTIFS(CaseLedger!$F:$F,$A254,CaseLedger!$B:$B,"TRUE",CaseLedger!$K:$K,"Emergency Support"))</x:f>
      </x:c>
      <x:c r="K254" t="str">
        <x:f>IF($A254="","",COUNTIFS(CaseLedger!$F:$F,$A254,CaseLedger!$B:$B,"TRUE",CaseLedger!$K:$K,"Community Support"))</x:f>
      </x:c>
      <x:c r="L254" t="str">
        <x:f>IF($A254="","",SUMIFS(CaseLedger!$M:$M,CaseLedger!$F:$F,$A254,CaseLedger!$B:$B,"TRUE"))</x:f>
      </x:c>
      <x:c r="M254" t="str">
        <x:f>IF($A254="","",SUMIFS(CaseLedger!$N:$N,CaseLedger!$F:$F,$A254,CaseLedger!$B:$B,"TRUE"))</x:f>
      </x:c>
      <x:c r="N254" t="str">
        <x:f>IF($A254="","",0)</x:f>
      </x:c>
      <x:c r="O254" t="str">
        <x:f>IF($A254="","",SUMIFS(CaseLedger!$O:$O,CaseLedger!$F:$F,$A254,CaseLedger!$B:$B,"TRUE"))</x:f>
      </x:c>
      <x:c r="P254" t="str">
        <x:f>IF($A254="","",IFERROR(VLOOKUP($A254,MonthlyFinance!$A:$G,4,FALSE),""))</x:f>
      </x:c>
      <x:c r="Q254" t="str">
        <x:f>IF($A254="","",IFERROR(VLOOKUP($A254,MonthlyFinance!$A:$G,5,FALSE),""))</x:f>
      </x:c>
      <x:c r="R254" t="str">
        <x:f>IF($A254="","",IFERROR(VLOOKUP($A254,MonthlyFinance!$A:$G,6,FALSE),""))</x:f>
      </x:c>
      <x:c r="S254" t="str">
        <x:f>IF($A254="","","Formula-linked from CaseLedger; finance fields from MonthlyFinance.")</x:f>
      </x:c>
      <x:c r="T254" t="str">
        <x:f>IF($A254="","","TRUE")</x:f>
      </x:c>
    </x:row>
    <x:row r="255">
      <x:c r="D255" t="str">
        <x:f>IF($A255="","",COUNTIFS(CaseLedger!$F:$F,$A255,CaseLedger!$B:$B,"TRUE"))</x:f>
      </x:c>
      <x:c r="E255" t="str">
        <x:f>IF($A255="","",COUNTIFS(CaseLedger!$F:$F,$A255,CaseLedger!$B:$B,"TRUE",CaseLedger!$P:$P,"Zakat"))</x:f>
      </x:c>
      <x:c r="F255" t="str">
        <x:f>IF($A255="","",COUNTIFS(CaseLedger!$F:$F,$A255,CaseLedger!$B:$B,"TRUE",CaseLedger!$P:$P,"Sadaqah"))</x:f>
      </x:c>
      <x:c r="G255" t="str">
        <x:f>IF($A255="","",COUNTIFS(CaseLedger!$F:$F,$A255,CaseLedger!$B:$B,"TRUE",CaseLedger!$P:$P,"Mixed"))</x:f>
      </x:c>
      <x:c r="H255" t="str">
        <x:f>IF($A255="","",COUNTIFS(CaseLedger!$F:$F,$A255,CaseLedger!$B:$B,"TRUE",CaseLedger!$K:$K,"Livelihood"))</x:f>
      </x:c>
      <x:c r="I255" t="str">
        <x:f>IF($A255="","",COUNTIFS(CaseLedger!$F:$F,$A255,CaseLedger!$B:$B,"TRUE",CaseLedger!$K:$K,"Skill Sponsorship"))</x:f>
      </x:c>
      <x:c r="J255" t="str">
        <x:f>IF($A255="","",COUNTIFS(CaseLedger!$F:$F,$A255,CaseLedger!$B:$B,"TRUE",CaseLedger!$K:$K,"Emergency Support"))</x:f>
      </x:c>
      <x:c r="K255" t="str">
        <x:f>IF($A255="","",COUNTIFS(CaseLedger!$F:$F,$A255,CaseLedger!$B:$B,"TRUE",CaseLedger!$K:$K,"Community Support"))</x:f>
      </x:c>
      <x:c r="L255" t="str">
        <x:f>IF($A255="","",SUMIFS(CaseLedger!$M:$M,CaseLedger!$F:$F,$A255,CaseLedger!$B:$B,"TRUE"))</x:f>
      </x:c>
      <x:c r="M255" t="str">
        <x:f>IF($A255="","",SUMIFS(CaseLedger!$N:$N,CaseLedger!$F:$F,$A255,CaseLedger!$B:$B,"TRUE"))</x:f>
      </x:c>
      <x:c r="N255" t="str">
        <x:f>IF($A255="","",0)</x:f>
      </x:c>
      <x:c r="O255" t="str">
        <x:f>IF($A255="","",SUMIFS(CaseLedger!$O:$O,CaseLedger!$F:$F,$A255,CaseLedger!$B:$B,"TRUE"))</x:f>
      </x:c>
      <x:c r="P255" t="str">
        <x:f>IF($A255="","",IFERROR(VLOOKUP($A255,MonthlyFinance!$A:$G,4,FALSE),""))</x:f>
      </x:c>
      <x:c r="Q255" t="str">
        <x:f>IF($A255="","",IFERROR(VLOOKUP($A255,MonthlyFinance!$A:$G,5,FALSE),""))</x:f>
      </x:c>
      <x:c r="R255" t="str">
        <x:f>IF($A255="","",IFERROR(VLOOKUP($A255,MonthlyFinance!$A:$G,6,FALSE),""))</x:f>
      </x:c>
      <x:c r="S255" t="str">
        <x:f>IF($A255="","","Formula-linked from CaseLedger; finance fields from MonthlyFinance.")</x:f>
      </x:c>
      <x:c r="T255" t="str">
        <x:f>IF($A255="","","TRUE")</x:f>
      </x:c>
    </x:row>
    <x:row r="256">
      <x:c r="D256" t="str">
        <x:f>IF($A256="","",COUNTIFS(CaseLedger!$F:$F,$A256,CaseLedger!$B:$B,"TRUE"))</x:f>
      </x:c>
      <x:c r="E256" t="str">
        <x:f>IF($A256="","",COUNTIFS(CaseLedger!$F:$F,$A256,CaseLedger!$B:$B,"TRUE",CaseLedger!$P:$P,"Zakat"))</x:f>
      </x:c>
      <x:c r="F256" t="str">
        <x:f>IF($A256="","",COUNTIFS(CaseLedger!$F:$F,$A256,CaseLedger!$B:$B,"TRUE",CaseLedger!$P:$P,"Sadaqah"))</x:f>
      </x:c>
      <x:c r="G256" t="str">
        <x:f>IF($A256="","",COUNTIFS(CaseLedger!$F:$F,$A256,CaseLedger!$B:$B,"TRUE",CaseLedger!$P:$P,"Mixed"))</x:f>
      </x:c>
      <x:c r="H256" t="str">
        <x:f>IF($A256="","",COUNTIFS(CaseLedger!$F:$F,$A256,CaseLedger!$B:$B,"TRUE",CaseLedger!$K:$K,"Livelihood"))</x:f>
      </x:c>
      <x:c r="I256" t="str">
        <x:f>IF($A256="","",COUNTIFS(CaseLedger!$F:$F,$A256,CaseLedger!$B:$B,"TRUE",CaseLedger!$K:$K,"Skill Sponsorship"))</x:f>
      </x:c>
      <x:c r="J256" t="str">
        <x:f>IF($A256="","",COUNTIFS(CaseLedger!$F:$F,$A256,CaseLedger!$B:$B,"TRUE",CaseLedger!$K:$K,"Emergency Support"))</x:f>
      </x:c>
      <x:c r="K256" t="str">
        <x:f>IF($A256="","",COUNTIFS(CaseLedger!$F:$F,$A256,CaseLedger!$B:$B,"TRUE",CaseLedger!$K:$K,"Community Support"))</x:f>
      </x:c>
      <x:c r="L256" t="str">
        <x:f>IF($A256="","",SUMIFS(CaseLedger!$M:$M,CaseLedger!$F:$F,$A256,CaseLedger!$B:$B,"TRUE"))</x:f>
      </x:c>
      <x:c r="M256" t="str">
        <x:f>IF($A256="","",SUMIFS(CaseLedger!$N:$N,CaseLedger!$F:$F,$A256,CaseLedger!$B:$B,"TRUE"))</x:f>
      </x:c>
      <x:c r="N256" t="str">
        <x:f>IF($A256="","",0)</x:f>
      </x:c>
      <x:c r="O256" t="str">
        <x:f>IF($A256="","",SUMIFS(CaseLedger!$O:$O,CaseLedger!$F:$F,$A256,CaseLedger!$B:$B,"TRUE"))</x:f>
      </x:c>
      <x:c r="P256" t="str">
        <x:f>IF($A256="","",IFERROR(VLOOKUP($A256,MonthlyFinance!$A:$G,4,FALSE),""))</x:f>
      </x:c>
      <x:c r="Q256" t="str">
        <x:f>IF($A256="","",IFERROR(VLOOKUP($A256,MonthlyFinance!$A:$G,5,FALSE),""))</x:f>
      </x:c>
      <x:c r="R256" t="str">
        <x:f>IF($A256="","",IFERROR(VLOOKUP($A256,MonthlyFinance!$A:$G,6,FALSE),""))</x:f>
      </x:c>
      <x:c r="S256" t="str">
        <x:f>IF($A256="","","Formula-linked from CaseLedger; finance fields from MonthlyFinance.")</x:f>
      </x:c>
      <x:c r="T256" t="str">
        <x:f>IF($A256="","","TRUE")</x:f>
      </x:c>
    </x:row>
    <x:row r="257">
      <x:c r="D257" t="str">
        <x:f>IF($A257="","",COUNTIFS(CaseLedger!$F:$F,$A257,CaseLedger!$B:$B,"TRUE"))</x:f>
      </x:c>
      <x:c r="E257" t="str">
        <x:f>IF($A257="","",COUNTIFS(CaseLedger!$F:$F,$A257,CaseLedger!$B:$B,"TRUE",CaseLedger!$P:$P,"Zakat"))</x:f>
      </x:c>
      <x:c r="F257" t="str">
        <x:f>IF($A257="","",COUNTIFS(CaseLedger!$F:$F,$A257,CaseLedger!$B:$B,"TRUE",CaseLedger!$P:$P,"Sadaqah"))</x:f>
      </x:c>
      <x:c r="G257" t="str">
        <x:f>IF($A257="","",COUNTIFS(CaseLedger!$F:$F,$A257,CaseLedger!$B:$B,"TRUE",CaseLedger!$P:$P,"Mixed"))</x:f>
      </x:c>
      <x:c r="H257" t="str">
        <x:f>IF($A257="","",COUNTIFS(CaseLedger!$F:$F,$A257,CaseLedger!$B:$B,"TRUE",CaseLedger!$K:$K,"Livelihood"))</x:f>
      </x:c>
      <x:c r="I257" t="str">
        <x:f>IF($A257="","",COUNTIFS(CaseLedger!$F:$F,$A257,CaseLedger!$B:$B,"TRUE",CaseLedger!$K:$K,"Skill Sponsorship"))</x:f>
      </x:c>
      <x:c r="J257" t="str">
        <x:f>IF($A257="","",COUNTIFS(CaseLedger!$F:$F,$A257,CaseLedger!$B:$B,"TRUE",CaseLedger!$K:$K,"Emergency Support"))</x:f>
      </x:c>
      <x:c r="K257" t="str">
        <x:f>IF($A257="","",COUNTIFS(CaseLedger!$F:$F,$A257,CaseLedger!$B:$B,"TRUE",CaseLedger!$K:$K,"Community Support"))</x:f>
      </x:c>
      <x:c r="L257" t="str">
        <x:f>IF($A257="","",SUMIFS(CaseLedger!$M:$M,CaseLedger!$F:$F,$A257,CaseLedger!$B:$B,"TRUE"))</x:f>
      </x:c>
      <x:c r="M257" t="str">
        <x:f>IF($A257="","",SUMIFS(CaseLedger!$N:$N,CaseLedger!$F:$F,$A257,CaseLedger!$B:$B,"TRUE"))</x:f>
      </x:c>
      <x:c r="N257" t="str">
        <x:f>IF($A257="","",0)</x:f>
      </x:c>
      <x:c r="O257" t="str">
        <x:f>IF($A257="","",SUMIFS(CaseLedger!$O:$O,CaseLedger!$F:$F,$A257,CaseLedger!$B:$B,"TRUE"))</x:f>
      </x:c>
      <x:c r="P257" t="str">
        <x:f>IF($A257="","",IFERROR(VLOOKUP($A257,MonthlyFinance!$A:$G,4,FALSE),""))</x:f>
      </x:c>
      <x:c r="Q257" t="str">
        <x:f>IF($A257="","",IFERROR(VLOOKUP($A257,MonthlyFinance!$A:$G,5,FALSE),""))</x:f>
      </x:c>
      <x:c r="R257" t="str">
        <x:f>IF($A257="","",IFERROR(VLOOKUP($A257,MonthlyFinance!$A:$G,6,FALSE),""))</x:f>
      </x:c>
      <x:c r="S257" t="str">
        <x:f>IF($A257="","","Formula-linked from CaseLedger; finance fields from MonthlyFinance.")</x:f>
      </x:c>
      <x:c r="T257" t="str">
        <x:f>IF($A257="","","TRUE")</x:f>
      </x:c>
    </x:row>
    <x:row r="258">
      <x:c r="D258" t="str">
        <x:f>IF($A258="","",COUNTIFS(CaseLedger!$F:$F,$A258,CaseLedger!$B:$B,"TRUE"))</x:f>
      </x:c>
      <x:c r="E258" t="str">
        <x:f>IF($A258="","",COUNTIFS(CaseLedger!$F:$F,$A258,CaseLedger!$B:$B,"TRUE",CaseLedger!$P:$P,"Zakat"))</x:f>
      </x:c>
      <x:c r="F258" t="str">
        <x:f>IF($A258="","",COUNTIFS(CaseLedger!$F:$F,$A258,CaseLedger!$B:$B,"TRUE",CaseLedger!$P:$P,"Sadaqah"))</x:f>
      </x:c>
      <x:c r="G258" t="str">
        <x:f>IF($A258="","",COUNTIFS(CaseLedger!$F:$F,$A258,CaseLedger!$B:$B,"TRUE",CaseLedger!$P:$P,"Mixed"))</x:f>
      </x:c>
      <x:c r="H258" t="str">
        <x:f>IF($A258="","",COUNTIFS(CaseLedger!$F:$F,$A258,CaseLedger!$B:$B,"TRUE",CaseLedger!$K:$K,"Livelihood"))</x:f>
      </x:c>
      <x:c r="I258" t="str">
        <x:f>IF($A258="","",COUNTIFS(CaseLedger!$F:$F,$A258,CaseLedger!$B:$B,"TRUE",CaseLedger!$K:$K,"Skill Sponsorship"))</x:f>
      </x:c>
      <x:c r="J258" t="str">
        <x:f>IF($A258="","",COUNTIFS(CaseLedger!$F:$F,$A258,CaseLedger!$B:$B,"TRUE",CaseLedger!$K:$K,"Emergency Support"))</x:f>
      </x:c>
      <x:c r="K258" t="str">
        <x:f>IF($A258="","",COUNTIFS(CaseLedger!$F:$F,$A258,CaseLedger!$B:$B,"TRUE",CaseLedger!$K:$K,"Community Support"))</x:f>
      </x:c>
      <x:c r="L258" t="str">
        <x:f>IF($A258="","",SUMIFS(CaseLedger!$M:$M,CaseLedger!$F:$F,$A258,CaseLedger!$B:$B,"TRUE"))</x:f>
      </x:c>
      <x:c r="M258" t="str">
        <x:f>IF($A258="","",SUMIFS(CaseLedger!$N:$N,CaseLedger!$F:$F,$A258,CaseLedger!$B:$B,"TRUE"))</x:f>
      </x:c>
      <x:c r="N258" t="str">
        <x:f>IF($A258="","",0)</x:f>
      </x:c>
      <x:c r="O258" t="str">
        <x:f>IF($A258="","",SUMIFS(CaseLedger!$O:$O,CaseLedger!$F:$F,$A258,CaseLedger!$B:$B,"TRUE"))</x:f>
      </x:c>
      <x:c r="P258" t="str">
        <x:f>IF($A258="","",IFERROR(VLOOKUP($A258,MonthlyFinance!$A:$G,4,FALSE),""))</x:f>
      </x:c>
      <x:c r="Q258" t="str">
        <x:f>IF($A258="","",IFERROR(VLOOKUP($A258,MonthlyFinance!$A:$G,5,FALSE),""))</x:f>
      </x:c>
      <x:c r="R258" t="str">
        <x:f>IF($A258="","",IFERROR(VLOOKUP($A258,MonthlyFinance!$A:$G,6,FALSE),""))</x:f>
      </x:c>
      <x:c r="S258" t="str">
        <x:f>IF($A258="","","Formula-linked from CaseLedger; finance fields from MonthlyFinance.")</x:f>
      </x:c>
      <x:c r="T258" t="str">
        <x:f>IF($A258="","","TRUE")</x:f>
      </x:c>
    </x:row>
    <x:row r="259">
      <x:c r="D259" t="str">
        <x:f>IF($A259="","",COUNTIFS(CaseLedger!$F:$F,$A259,CaseLedger!$B:$B,"TRUE"))</x:f>
      </x:c>
      <x:c r="E259" t="str">
        <x:f>IF($A259="","",COUNTIFS(CaseLedger!$F:$F,$A259,CaseLedger!$B:$B,"TRUE",CaseLedger!$P:$P,"Zakat"))</x:f>
      </x:c>
      <x:c r="F259" t="str">
        <x:f>IF($A259="","",COUNTIFS(CaseLedger!$F:$F,$A259,CaseLedger!$B:$B,"TRUE",CaseLedger!$P:$P,"Sadaqah"))</x:f>
      </x:c>
      <x:c r="G259" t="str">
        <x:f>IF($A259="","",COUNTIFS(CaseLedger!$F:$F,$A259,CaseLedger!$B:$B,"TRUE",CaseLedger!$P:$P,"Mixed"))</x:f>
      </x:c>
      <x:c r="H259" t="str">
        <x:f>IF($A259="","",COUNTIFS(CaseLedger!$F:$F,$A259,CaseLedger!$B:$B,"TRUE",CaseLedger!$K:$K,"Livelihood"))</x:f>
      </x:c>
      <x:c r="I259" t="str">
        <x:f>IF($A259="","",COUNTIFS(CaseLedger!$F:$F,$A259,CaseLedger!$B:$B,"TRUE",CaseLedger!$K:$K,"Skill Sponsorship"))</x:f>
      </x:c>
      <x:c r="J259" t="str">
        <x:f>IF($A259="","",COUNTIFS(CaseLedger!$F:$F,$A259,CaseLedger!$B:$B,"TRUE",CaseLedger!$K:$K,"Emergency Support"))</x:f>
      </x:c>
      <x:c r="K259" t="str">
        <x:f>IF($A259="","",COUNTIFS(CaseLedger!$F:$F,$A259,CaseLedger!$B:$B,"TRUE",CaseLedger!$K:$K,"Community Support"))</x:f>
      </x:c>
      <x:c r="L259" t="str">
        <x:f>IF($A259="","",SUMIFS(CaseLedger!$M:$M,CaseLedger!$F:$F,$A259,CaseLedger!$B:$B,"TRUE"))</x:f>
      </x:c>
      <x:c r="M259" t="str">
        <x:f>IF($A259="","",SUMIFS(CaseLedger!$N:$N,CaseLedger!$F:$F,$A259,CaseLedger!$B:$B,"TRUE"))</x:f>
      </x:c>
      <x:c r="N259" t="str">
        <x:f>IF($A259="","",0)</x:f>
      </x:c>
      <x:c r="O259" t="str">
        <x:f>IF($A259="","",SUMIFS(CaseLedger!$O:$O,CaseLedger!$F:$F,$A259,CaseLedger!$B:$B,"TRUE"))</x:f>
      </x:c>
      <x:c r="P259" t="str">
        <x:f>IF($A259="","",IFERROR(VLOOKUP($A259,MonthlyFinance!$A:$G,4,FALSE),""))</x:f>
      </x:c>
      <x:c r="Q259" t="str">
        <x:f>IF($A259="","",IFERROR(VLOOKUP($A259,MonthlyFinance!$A:$G,5,FALSE),""))</x:f>
      </x:c>
      <x:c r="R259" t="str">
        <x:f>IF($A259="","",IFERROR(VLOOKUP($A259,MonthlyFinance!$A:$G,6,FALSE),""))</x:f>
      </x:c>
      <x:c r="S259" t="str">
        <x:f>IF($A259="","","Formula-linked from CaseLedger; finance fields from MonthlyFinance.")</x:f>
      </x:c>
      <x:c r="T259" t="str">
        <x:f>IF($A259="","","TRUE")</x:f>
      </x:c>
    </x:row>
    <x:row r="260">
      <x:c r="D260" t="str">
        <x:f>IF($A260="","",COUNTIFS(CaseLedger!$F:$F,$A260,CaseLedger!$B:$B,"TRUE"))</x:f>
      </x:c>
      <x:c r="E260" t="str">
        <x:f>IF($A260="","",COUNTIFS(CaseLedger!$F:$F,$A260,CaseLedger!$B:$B,"TRUE",CaseLedger!$P:$P,"Zakat"))</x:f>
      </x:c>
      <x:c r="F260" t="str">
        <x:f>IF($A260="","",COUNTIFS(CaseLedger!$F:$F,$A260,CaseLedger!$B:$B,"TRUE",CaseLedger!$P:$P,"Sadaqah"))</x:f>
      </x:c>
      <x:c r="G260" t="str">
        <x:f>IF($A260="","",COUNTIFS(CaseLedger!$F:$F,$A260,CaseLedger!$B:$B,"TRUE",CaseLedger!$P:$P,"Mixed"))</x:f>
      </x:c>
      <x:c r="H260" t="str">
        <x:f>IF($A260="","",COUNTIFS(CaseLedger!$F:$F,$A260,CaseLedger!$B:$B,"TRUE",CaseLedger!$K:$K,"Livelihood"))</x:f>
      </x:c>
      <x:c r="I260" t="str">
        <x:f>IF($A260="","",COUNTIFS(CaseLedger!$F:$F,$A260,CaseLedger!$B:$B,"TRUE",CaseLedger!$K:$K,"Skill Sponsorship"))</x:f>
      </x:c>
      <x:c r="J260" t="str">
        <x:f>IF($A260="","",COUNTIFS(CaseLedger!$F:$F,$A260,CaseLedger!$B:$B,"TRUE",CaseLedger!$K:$K,"Emergency Support"))</x:f>
      </x:c>
      <x:c r="K260" t="str">
        <x:f>IF($A260="","",COUNTIFS(CaseLedger!$F:$F,$A260,CaseLedger!$B:$B,"TRUE",CaseLedger!$K:$K,"Community Support"))</x:f>
      </x:c>
      <x:c r="L260" t="str">
        <x:f>IF($A260="","",SUMIFS(CaseLedger!$M:$M,CaseLedger!$F:$F,$A260,CaseLedger!$B:$B,"TRUE"))</x:f>
      </x:c>
      <x:c r="M260" t="str">
        <x:f>IF($A260="","",SUMIFS(CaseLedger!$N:$N,CaseLedger!$F:$F,$A260,CaseLedger!$B:$B,"TRUE"))</x:f>
      </x:c>
      <x:c r="N260" t="str">
        <x:f>IF($A260="","",0)</x:f>
      </x:c>
      <x:c r="O260" t="str">
        <x:f>IF($A260="","",SUMIFS(CaseLedger!$O:$O,CaseLedger!$F:$F,$A260,CaseLedger!$B:$B,"TRUE"))</x:f>
      </x:c>
      <x:c r="P260" t="str">
        <x:f>IF($A260="","",IFERROR(VLOOKUP($A260,MonthlyFinance!$A:$G,4,FALSE),""))</x:f>
      </x:c>
      <x:c r="Q260" t="str">
        <x:f>IF($A260="","",IFERROR(VLOOKUP($A260,MonthlyFinance!$A:$G,5,FALSE),""))</x:f>
      </x:c>
      <x:c r="R260" t="str">
        <x:f>IF($A260="","",IFERROR(VLOOKUP($A260,MonthlyFinance!$A:$G,6,FALSE),""))</x:f>
      </x:c>
      <x:c r="S260" t="str">
        <x:f>IF($A260="","","Formula-linked from CaseLedger; finance fields from MonthlyFinance.")</x:f>
      </x:c>
      <x:c r="T260" t="str">
        <x:f>IF($A260="","","TRUE")</x:f>
      </x:c>
    </x:row>
    <x:row r="261">
      <x:c r="D261" t="str">
        <x:f>IF($A261="","",COUNTIFS(CaseLedger!$F:$F,$A261,CaseLedger!$B:$B,"TRUE"))</x:f>
      </x:c>
      <x:c r="E261" t="str">
        <x:f>IF($A261="","",COUNTIFS(CaseLedger!$F:$F,$A261,CaseLedger!$B:$B,"TRUE",CaseLedger!$P:$P,"Zakat"))</x:f>
      </x:c>
      <x:c r="F261" t="str">
        <x:f>IF($A261="","",COUNTIFS(CaseLedger!$F:$F,$A261,CaseLedger!$B:$B,"TRUE",CaseLedger!$P:$P,"Sadaqah"))</x:f>
      </x:c>
      <x:c r="G261" t="str">
        <x:f>IF($A261="","",COUNTIFS(CaseLedger!$F:$F,$A261,CaseLedger!$B:$B,"TRUE",CaseLedger!$P:$P,"Mixed"))</x:f>
      </x:c>
      <x:c r="H261" t="str">
        <x:f>IF($A261="","",COUNTIFS(CaseLedger!$F:$F,$A261,CaseLedger!$B:$B,"TRUE",CaseLedger!$K:$K,"Livelihood"))</x:f>
      </x:c>
      <x:c r="I261" t="str">
        <x:f>IF($A261="","",COUNTIFS(CaseLedger!$F:$F,$A261,CaseLedger!$B:$B,"TRUE",CaseLedger!$K:$K,"Skill Sponsorship"))</x:f>
      </x:c>
      <x:c r="J261" t="str">
        <x:f>IF($A261="","",COUNTIFS(CaseLedger!$F:$F,$A261,CaseLedger!$B:$B,"TRUE",CaseLedger!$K:$K,"Emergency Support"))</x:f>
      </x:c>
      <x:c r="K261" t="str">
        <x:f>IF($A261="","",COUNTIFS(CaseLedger!$F:$F,$A261,CaseLedger!$B:$B,"TRUE",CaseLedger!$K:$K,"Community Support"))</x:f>
      </x:c>
      <x:c r="L261" t="str">
        <x:f>IF($A261="","",SUMIFS(CaseLedger!$M:$M,CaseLedger!$F:$F,$A261,CaseLedger!$B:$B,"TRUE"))</x:f>
      </x:c>
      <x:c r="M261" t="str">
        <x:f>IF($A261="","",SUMIFS(CaseLedger!$N:$N,CaseLedger!$F:$F,$A261,CaseLedger!$B:$B,"TRUE"))</x:f>
      </x:c>
      <x:c r="N261" t="str">
        <x:f>IF($A261="","",0)</x:f>
      </x:c>
      <x:c r="O261" t="str">
        <x:f>IF($A261="","",SUMIFS(CaseLedger!$O:$O,CaseLedger!$F:$F,$A261,CaseLedger!$B:$B,"TRUE"))</x:f>
      </x:c>
      <x:c r="P261" t="str">
        <x:f>IF($A261="","",IFERROR(VLOOKUP($A261,MonthlyFinance!$A:$G,4,FALSE),""))</x:f>
      </x:c>
      <x:c r="Q261" t="str">
        <x:f>IF($A261="","",IFERROR(VLOOKUP($A261,MonthlyFinance!$A:$G,5,FALSE),""))</x:f>
      </x:c>
      <x:c r="R261" t="str">
        <x:f>IF($A261="","",IFERROR(VLOOKUP($A261,MonthlyFinance!$A:$G,6,FALSE),""))</x:f>
      </x:c>
      <x:c r="S261" t="str">
        <x:f>IF($A261="","","Formula-linked from CaseLedger; finance fields from MonthlyFinance.")</x:f>
      </x:c>
      <x:c r="T261" t="str">
        <x:f>IF($A261="","","TRUE")</x:f>
      </x:c>
    </x:row>
    <x:row r="262">
      <x:c r="D262" t="str">
        <x:f>IF($A262="","",COUNTIFS(CaseLedger!$F:$F,$A262,CaseLedger!$B:$B,"TRUE"))</x:f>
      </x:c>
      <x:c r="E262" t="str">
        <x:f>IF($A262="","",COUNTIFS(CaseLedger!$F:$F,$A262,CaseLedger!$B:$B,"TRUE",CaseLedger!$P:$P,"Zakat"))</x:f>
      </x:c>
      <x:c r="F262" t="str">
        <x:f>IF($A262="","",COUNTIFS(CaseLedger!$F:$F,$A262,CaseLedger!$B:$B,"TRUE",CaseLedger!$P:$P,"Sadaqah"))</x:f>
      </x:c>
      <x:c r="G262" t="str">
        <x:f>IF($A262="","",COUNTIFS(CaseLedger!$F:$F,$A262,CaseLedger!$B:$B,"TRUE",CaseLedger!$P:$P,"Mixed"))</x:f>
      </x:c>
      <x:c r="H262" t="str">
        <x:f>IF($A262="","",COUNTIFS(CaseLedger!$F:$F,$A262,CaseLedger!$B:$B,"TRUE",CaseLedger!$K:$K,"Livelihood"))</x:f>
      </x:c>
      <x:c r="I262" t="str">
        <x:f>IF($A262="","",COUNTIFS(CaseLedger!$F:$F,$A262,CaseLedger!$B:$B,"TRUE",CaseLedger!$K:$K,"Skill Sponsorship"))</x:f>
      </x:c>
      <x:c r="J262" t="str">
        <x:f>IF($A262="","",COUNTIFS(CaseLedger!$F:$F,$A262,CaseLedger!$B:$B,"TRUE",CaseLedger!$K:$K,"Emergency Support"))</x:f>
      </x:c>
      <x:c r="K262" t="str">
        <x:f>IF($A262="","",COUNTIFS(CaseLedger!$F:$F,$A262,CaseLedger!$B:$B,"TRUE",CaseLedger!$K:$K,"Community Support"))</x:f>
      </x:c>
      <x:c r="L262" t="str">
        <x:f>IF($A262="","",SUMIFS(CaseLedger!$M:$M,CaseLedger!$F:$F,$A262,CaseLedger!$B:$B,"TRUE"))</x:f>
      </x:c>
      <x:c r="M262" t="str">
        <x:f>IF($A262="","",SUMIFS(CaseLedger!$N:$N,CaseLedger!$F:$F,$A262,CaseLedger!$B:$B,"TRUE"))</x:f>
      </x:c>
      <x:c r="N262" t="str">
        <x:f>IF($A262="","",0)</x:f>
      </x:c>
      <x:c r="O262" t="str">
        <x:f>IF($A262="","",SUMIFS(CaseLedger!$O:$O,CaseLedger!$F:$F,$A262,CaseLedger!$B:$B,"TRUE"))</x:f>
      </x:c>
      <x:c r="P262" t="str">
        <x:f>IF($A262="","",IFERROR(VLOOKUP($A262,MonthlyFinance!$A:$G,4,FALSE),""))</x:f>
      </x:c>
      <x:c r="Q262" t="str">
        <x:f>IF($A262="","",IFERROR(VLOOKUP($A262,MonthlyFinance!$A:$G,5,FALSE),""))</x:f>
      </x:c>
      <x:c r="R262" t="str">
        <x:f>IF($A262="","",IFERROR(VLOOKUP($A262,MonthlyFinance!$A:$G,6,FALSE),""))</x:f>
      </x:c>
      <x:c r="S262" t="str">
        <x:f>IF($A262="","","Formula-linked from CaseLedger; finance fields from MonthlyFinance.")</x:f>
      </x:c>
      <x:c r="T262" t="str">
        <x:f>IF($A262="","","TRUE")</x:f>
      </x:c>
    </x:row>
    <x:row r="263">
      <x:c r="D263" t="str">
        <x:f>IF($A263="","",COUNTIFS(CaseLedger!$F:$F,$A263,CaseLedger!$B:$B,"TRUE"))</x:f>
      </x:c>
      <x:c r="E263" t="str">
        <x:f>IF($A263="","",COUNTIFS(CaseLedger!$F:$F,$A263,CaseLedger!$B:$B,"TRUE",CaseLedger!$P:$P,"Zakat"))</x:f>
      </x:c>
      <x:c r="F263" t="str">
        <x:f>IF($A263="","",COUNTIFS(CaseLedger!$F:$F,$A263,CaseLedger!$B:$B,"TRUE",CaseLedger!$P:$P,"Sadaqah"))</x:f>
      </x:c>
      <x:c r="G263" t="str">
        <x:f>IF($A263="","",COUNTIFS(CaseLedger!$F:$F,$A263,CaseLedger!$B:$B,"TRUE",CaseLedger!$P:$P,"Mixed"))</x:f>
      </x:c>
      <x:c r="H263" t="str">
        <x:f>IF($A263="","",COUNTIFS(CaseLedger!$F:$F,$A263,CaseLedger!$B:$B,"TRUE",CaseLedger!$K:$K,"Livelihood"))</x:f>
      </x:c>
      <x:c r="I263" t="str">
        <x:f>IF($A263="","",COUNTIFS(CaseLedger!$F:$F,$A263,CaseLedger!$B:$B,"TRUE",CaseLedger!$K:$K,"Skill Sponsorship"))</x:f>
      </x:c>
      <x:c r="J263" t="str">
        <x:f>IF($A263="","",COUNTIFS(CaseLedger!$F:$F,$A263,CaseLedger!$B:$B,"TRUE",CaseLedger!$K:$K,"Emergency Support"))</x:f>
      </x:c>
      <x:c r="K263" t="str">
        <x:f>IF($A263="","",COUNTIFS(CaseLedger!$F:$F,$A263,CaseLedger!$B:$B,"TRUE",CaseLedger!$K:$K,"Community Support"))</x:f>
      </x:c>
      <x:c r="L263" t="str">
        <x:f>IF($A263="","",SUMIFS(CaseLedger!$M:$M,CaseLedger!$F:$F,$A263,CaseLedger!$B:$B,"TRUE"))</x:f>
      </x:c>
      <x:c r="M263" t="str">
        <x:f>IF($A263="","",SUMIFS(CaseLedger!$N:$N,CaseLedger!$F:$F,$A263,CaseLedger!$B:$B,"TRUE"))</x:f>
      </x:c>
      <x:c r="N263" t="str">
        <x:f>IF($A263="","",0)</x:f>
      </x:c>
      <x:c r="O263" t="str">
        <x:f>IF($A263="","",SUMIFS(CaseLedger!$O:$O,CaseLedger!$F:$F,$A263,CaseLedger!$B:$B,"TRUE"))</x:f>
      </x:c>
      <x:c r="P263" t="str">
        <x:f>IF($A263="","",IFERROR(VLOOKUP($A263,MonthlyFinance!$A:$G,4,FALSE),""))</x:f>
      </x:c>
      <x:c r="Q263" t="str">
        <x:f>IF($A263="","",IFERROR(VLOOKUP($A263,MonthlyFinance!$A:$G,5,FALSE),""))</x:f>
      </x:c>
      <x:c r="R263" t="str">
        <x:f>IF($A263="","",IFERROR(VLOOKUP($A263,MonthlyFinance!$A:$G,6,FALSE),""))</x:f>
      </x:c>
      <x:c r="S263" t="str">
        <x:f>IF($A263="","","Formula-linked from CaseLedger; finance fields from MonthlyFinance.")</x:f>
      </x:c>
      <x:c r="T263" t="str">
        <x:f>IF($A263="","","TRUE")</x:f>
      </x:c>
    </x:row>
    <x:row r="264">
      <x:c r="D264" t="str">
        <x:f>IF($A264="","",COUNTIFS(CaseLedger!$F:$F,$A264,CaseLedger!$B:$B,"TRUE"))</x:f>
      </x:c>
      <x:c r="E264" t="str">
        <x:f>IF($A264="","",COUNTIFS(CaseLedger!$F:$F,$A264,CaseLedger!$B:$B,"TRUE",CaseLedger!$P:$P,"Zakat"))</x:f>
      </x:c>
      <x:c r="F264" t="str">
        <x:f>IF($A264="","",COUNTIFS(CaseLedger!$F:$F,$A264,CaseLedger!$B:$B,"TRUE",CaseLedger!$P:$P,"Sadaqah"))</x:f>
      </x:c>
      <x:c r="G264" t="str">
        <x:f>IF($A264="","",COUNTIFS(CaseLedger!$F:$F,$A264,CaseLedger!$B:$B,"TRUE",CaseLedger!$P:$P,"Mixed"))</x:f>
      </x:c>
      <x:c r="H264" t="str">
        <x:f>IF($A264="","",COUNTIFS(CaseLedger!$F:$F,$A264,CaseLedger!$B:$B,"TRUE",CaseLedger!$K:$K,"Livelihood"))</x:f>
      </x:c>
      <x:c r="I264" t="str">
        <x:f>IF($A264="","",COUNTIFS(CaseLedger!$F:$F,$A264,CaseLedger!$B:$B,"TRUE",CaseLedger!$K:$K,"Skill Sponsorship"))</x:f>
      </x:c>
      <x:c r="J264" t="str">
        <x:f>IF($A264="","",COUNTIFS(CaseLedger!$F:$F,$A264,CaseLedger!$B:$B,"TRUE",CaseLedger!$K:$K,"Emergency Support"))</x:f>
      </x:c>
      <x:c r="K264" t="str">
        <x:f>IF($A264="","",COUNTIFS(CaseLedger!$F:$F,$A264,CaseLedger!$B:$B,"TRUE",CaseLedger!$K:$K,"Community Support"))</x:f>
      </x:c>
      <x:c r="L264" t="str">
        <x:f>IF($A264="","",SUMIFS(CaseLedger!$M:$M,CaseLedger!$F:$F,$A264,CaseLedger!$B:$B,"TRUE"))</x:f>
      </x:c>
      <x:c r="M264" t="str">
        <x:f>IF($A264="","",SUMIFS(CaseLedger!$N:$N,CaseLedger!$F:$F,$A264,CaseLedger!$B:$B,"TRUE"))</x:f>
      </x:c>
      <x:c r="N264" t="str">
        <x:f>IF($A264="","",0)</x:f>
      </x:c>
      <x:c r="O264" t="str">
        <x:f>IF($A264="","",SUMIFS(CaseLedger!$O:$O,CaseLedger!$F:$F,$A264,CaseLedger!$B:$B,"TRUE"))</x:f>
      </x:c>
      <x:c r="P264" t="str">
        <x:f>IF($A264="","",IFERROR(VLOOKUP($A264,MonthlyFinance!$A:$G,4,FALSE),""))</x:f>
      </x:c>
      <x:c r="Q264" t="str">
        <x:f>IF($A264="","",IFERROR(VLOOKUP($A264,MonthlyFinance!$A:$G,5,FALSE),""))</x:f>
      </x:c>
      <x:c r="R264" t="str">
        <x:f>IF($A264="","",IFERROR(VLOOKUP($A264,MonthlyFinance!$A:$G,6,FALSE),""))</x:f>
      </x:c>
      <x:c r="S264" t="str">
        <x:f>IF($A264="","","Formula-linked from CaseLedger; finance fields from MonthlyFinance.")</x:f>
      </x:c>
      <x:c r="T264" t="str">
        <x:f>IF($A264="","","TRUE")</x:f>
      </x:c>
    </x:row>
    <x:row r="265">
      <x:c r="D265" t="str">
        <x:f>IF($A265="","",COUNTIFS(CaseLedger!$F:$F,$A265,CaseLedger!$B:$B,"TRUE"))</x:f>
      </x:c>
      <x:c r="E265" t="str">
        <x:f>IF($A265="","",COUNTIFS(CaseLedger!$F:$F,$A265,CaseLedger!$B:$B,"TRUE",CaseLedger!$P:$P,"Zakat"))</x:f>
      </x:c>
      <x:c r="F265" t="str">
        <x:f>IF($A265="","",COUNTIFS(CaseLedger!$F:$F,$A265,CaseLedger!$B:$B,"TRUE",CaseLedger!$P:$P,"Sadaqah"))</x:f>
      </x:c>
      <x:c r="G265" t="str">
        <x:f>IF($A265="","",COUNTIFS(CaseLedger!$F:$F,$A265,CaseLedger!$B:$B,"TRUE",CaseLedger!$P:$P,"Mixed"))</x:f>
      </x:c>
      <x:c r="H265" t="str">
        <x:f>IF($A265="","",COUNTIFS(CaseLedger!$F:$F,$A265,CaseLedger!$B:$B,"TRUE",CaseLedger!$K:$K,"Livelihood"))</x:f>
      </x:c>
      <x:c r="I265" t="str">
        <x:f>IF($A265="","",COUNTIFS(CaseLedger!$F:$F,$A265,CaseLedger!$B:$B,"TRUE",CaseLedger!$K:$K,"Skill Sponsorship"))</x:f>
      </x:c>
      <x:c r="J265" t="str">
        <x:f>IF($A265="","",COUNTIFS(CaseLedger!$F:$F,$A265,CaseLedger!$B:$B,"TRUE",CaseLedger!$K:$K,"Emergency Support"))</x:f>
      </x:c>
      <x:c r="K265" t="str">
        <x:f>IF($A265="","",COUNTIFS(CaseLedger!$F:$F,$A265,CaseLedger!$B:$B,"TRUE",CaseLedger!$K:$K,"Community Support"))</x:f>
      </x:c>
      <x:c r="L265" t="str">
        <x:f>IF($A265="","",SUMIFS(CaseLedger!$M:$M,CaseLedger!$F:$F,$A265,CaseLedger!$B:$B,"TRUE"))</x:f>
      </x:c>
      <x:c r="M265" t="str">
        <x:f>IF($A265="","",SUMIFS(CaseLedger!$N:$N,CaseLedger!$F:$F,$A265,CaseLedger!$B:$B,"TRUE"))</x:f>
      </x:c>
      <x:c r="N265" t="str">
        <x:f>IF($A265="","",0)</x:f>
      </x:c>
      <x:c r="O265" t="str">
        <x:f>IF($A265="","",SUMIFS(CaseLedger!$O:$O,CaseLedger!$F:$F,$A265,CaseLedger!$B:$B,"TRUE"))</x:f>
      </x:c>
      <x:c r="P265" t="str">
        <x:f>IF($A265="","",IFERROR(VLOOKUP($A265,MonthlyFinance!$A:$G,4,FALSE),""))</x:f>
      </x:c>
      <x:c r="Q265" t="str">
        <x:f>IF($A265="","",IFERROR(VLOOKUP($A265,MonthlyFinance!$A:$G,5,FALSE),""))</x:f>
      </x:c>
      <x:c r="R265" t="str">
        <x:f>IF($A265="","",IFERROR(VLOOKUP($A265,MonthlyFinance!$A:$G,6,FALSE),""))</x:f>
      </x:c>
      <x:c r="S265" t="str">
        <x:f>IF($A265="","","Formula-linked from CaseLedger; finance fields from MonthlyFinance.")</x:f>
      </x:c>
      <x:c r="T265" t="str">
        <x:f>IF($A265="","","TRUE")</x:f>
      </x:c>
    </x:row>
    <x:row r="266">
      <x:c r="D266" t="str">
        <x:f>IF($A266="","",COUNTIFS(CaseLedger!$F:$F,$A266,CaseLedger!$B:$B,"TRUE"))</x:f>
      </x:c>
      <x:c r="E266" t="str">
        <x:f>IF($A266="","",COUNTIFS(CaseLedger!$F:$F,$A266,CaseLedger!$B:$B,"TRUE",CaseLedger!$P:$P,"Zakat"))</x:f>
      </x:c>
      <x:c r="F266" t="str">
        <x:f>IF($A266="","",COUNTIFS(CaseLedger!$F:$F,$A266,CaseLedger!$B:$B,"TRUE",CaseLedger!$P:$P,"Sadaqah"))</x:f>
      </x:c>
      <x:c r="G266" t="str">
        <x:f>IF($A266="","",COUNTIFS(CaseLedger!$F:$F,$A266,CaseLedger!$B:$B,"TRUE",CaseLedger!$P:$P,"Mixed"))</x:f>
      </x:c>
      <x:c r="H266" t="str">
        <x:f>IF($A266="","",COUNTIFS(CaseLedger!$F:$F,$A266,CaseLedger!$B:$B,"TRUE",CaseLedger!$K:$K,"Livelihood"))</x:f>
      </x:c>
      <x:c r="I266" t="str">
        <x:f>IF($A266="","",COUNTIFS(CaseLedger!$F:$F,$A266,CaseLedger!$B:$B,"TRUE",CaseLedger!$K:$K,"Skill Sponsorship"))</x:f>
      </x:c>
      <x:c r="J266" t="str">
        <x:f>IF($A266="","",COUNTIFS(CaseLedger!$F:$F,$A266,CaseLedger!$B:$B,"TRUE",CaseLedger!$K:$K,"Emergency Support"))</x:f>
      </x:c>
      <x:c r="K266" t="str">
        <x:f>IF($A266="","",COUNTIFS(CaseLedger!$F:$F,$A266,CaseLedger!$B:$B,"TRUE",CaseLedger!$K:$K,"Community Support"))</x:f>
      </x:c>
      <x:c r="L266" t="str">
        <x:f>IF($A266="","",SUMIFS(CaseLedger!$M:$M,CaseLedger!$F:$F,$A266,CaseLedger!$B:$B,"TRUE"))</x:f>
      </x:c>
      <x:c r="M266" t="str">
        <x:f>IF($A266="","",SUMIFS(CaseLedger!$N:$N,CaseLedger!$F:$F,$A266,CaseLedger!$B:$B,"TRUE"))</x:f>
      </x:c>
      <x:c r="N266" t="str">
        <x:f>IF($A266="","",0)</x:f>
      </x:c>
      <x:c r="O266" t="str">
        <x:f>IF($A266="","",SUMIFS(CaseLedger!$O:$O,CaseLedger!$F:$F,$A266,CaseLedger!$B:$B,"TRUE"))</x:f>
      </x:c>
      <x:c r="P266" t="str">
        <x:f>IF($A266="","",IFERROR(VLOOKUP($A266,MonthlyFinance!$A:$G,4,FALSE),""))</x:f>
      </x:c>
      <x:c r="Q266" t="str">
        <x:f>IF($A266="","",IFERROR(VLOOKUP($A266,MonthlyFinance!$A:$G,5,FALSE),""))</x:f>
      </x:c>
      <x:c r="R266" t="str">
        <x:f>IF($A266="","",IFERROR(VLOOKUP($A266,MonthlyFinance!$A:$G,6,FALSE),""))</x:f>
      </x:c>
      <x:c r="S266" t="str">
        <x:f>IF($A266="","","Formula-linked from CaseLedger; finance fields from MonthlyFinance.")</x:f>
      </x:c>
      <x:c r="T266" t="str">
        <x:f>IF($A266="","","TRUE")</x:f>
      </x:c>
    </x:row>
    <x:row r="267">
      <x:c r="D267" t="str">
        <x:f>IF($A267="","",COUNTIFS(CaseLedger!$F:$F,$A267,CaseLedger!$B:$B,"TRUE"))</x:f>
      </x:c>
      <x:c r="E267" t="str">
        <x:f>IF($A267="","",COUNTIFS(CaseLedger!$F:$F,$A267,CaseLedger!$B:$B,"TRUE",CaseLedger!$P:$P,"Zakat"))</x:f>
      </x:c>
      <x:c r="F267" t="str">
        <x:f>IF($A267="","",COUNTIFS(CaseLedger!$F:$F,$A267,CaseLedger!$B:$B,"TRUE",CaseLedger!$P:$P,"Sadaqah"))</x:f>
      </x:c>
      <x:c r="G267" t="str">
        <x:f>IF($A267="","",COUNTIFS(CaseLedger!$F:$F,$A267,CaseLedger!$B:$B,"TRUE",CaseLedger!$P:$P,"Mixed"))</x:f>
      </x:c>
      <x:c r="H267" t="str">
        <x:f>IF($A267="","",COUNTIFS(CaseLedger!$F:$F,$A267,CaseLedger!$B:$B,"TRUE",CaseLedger!$K:$K,"Livelihood"))</x:f>
      </x:c>
      <x:c r="I267" t="str">
        <x:f>IF($A267="","",COUNTIFS(CaseLedger!$F:$F,$A267,CaseLedger!$B:$B,"TRUE",CaseLedger!$K:$K,"Skill Sponsorship"))</x:f>
      </x:c>
      <x:c r="J267" t="str">
        <x:f>IF($A267="","",COUNTIFS(CaseLedger!$F:$F,$A267,CaseLedger!$B:$B,"TRUE",CaseLedger!$K:$K,"Emergency Support"))</x:f>
      </x:c>
      <x:c r="K267" t="str">
        <x:f>IF($A267="","",COUNTIFS(CaseLedger!$F:$F,$A267,CaseLedger!$B:$B,"TRUE",CaseLedger!$K:$K,"Community Support"))</x:f>
      </x:c>
      <x:c r="L267" t="str">
        <x:f>IF($A267="","",SUMIFS(CaseLedger!$M:$M,CaseLedger!$F:$F,$A267,CaseLedger!$B:$B,"TRUE"))</x:f>
      </x:c>
      <x:c r="M267" t="str">
        <x:f>IF($A267="","",SUMIFS(CaseLedger!$N:$N,CaseLedger!$F:$F,$A267,CaseLedger!$B:$B,"TRUE"))</x:f>
      </x:c>
      <x:c r="N267" t="str">
        <x:f>IF($A267="","",0)</x:f>
      </x:c>
      <x:c r="O267" t="str">
        <x:f>IF($A267="","",SUMIFS(CaseLedger!$O:$O,CaseLedger!$F:$F,$A267,CaseLedger!$B:$B,"TRUE"))</x:f>
      </x:c>
      <x:c r="P267" t="str">
        <x:f>IF($A267="","",IFERROR(VLOOKUP($A267,MonthlyFinance!$A:$G,4,FALSE),""))</x:f>
      </x:c>
      <x:c r="Q267" t="str">
        <x:f>IF($A267="","",IFERROR(VLOOKUP($A267,MonthlyFinance!$A:$G,5,FALSE),""))</x:f>
      </x:c>
      <x:c r="R267" t="str">
        <x:f>IF($A267="","",IFERROR(VLOOKUP($A267,MonthlyFinance!$A:$G,6,FALSE),""))</x:f>
      </x:c>
      <x:c r="S267" t="str">
        <x:f>IF($A267="","","Formula-linked from CaseLedger; finance fields from MonthlyFinance.")</x:f>
      </x:c>
      <x:c r="T267" t="str">
        <x:f>IF($A267="","","TRUE")</x:f>
      </x:c>
    </x:row>
    <x:row r="268">
      <x:c r="D268" t="str">
        <x:f>IF($A268="","",COUNTIFS(CaseLedger!$F:$F,$A268,CaseLedger!$B:$B,"TRUE"))</x:f>
      </x:c>
      <x:c r="E268" t="str">
        <x:f>IF($A268="","",COUNTIFS(CaseLedger!$F:$F,$A268,CaseLedger!$B:$B,"TRUE",CaseLedger!$P:$P,"Zakat"))</x:f>
      </x:c>
      <x:c r="F268" t="str">
        <x:f>IF($A268="","",COUNTIFS(CaseLedger!$F:$F,$A268,CaseLedger!$B:$B,"TRUE",CaseLedger!$P:$P,"Sadaqah"))</x:f>
      </x:c>
      <x:c r="G268" t="str">
        <x:f>IF($A268="","",COUNTIFS(CaseLedger!$F:$F,$A268,CaseLedger!$B:$B,"TRUE",CaseLedger!$P:$P,"Mixed"))</x:f>
      </x:c>
      <x:c r="H268" t="str">
        <x:f>IF($A268="","",COUNTIFS(CaseLedger!$F:$F,$A268,CaseLedger!$B:$B,"TRUE",CaseLedger!$K:$K,"Livelihood"))</x:f>
      </x:c>
      <x:c r="I268" t="str">
        <x:f>IF($A268="","",COUNTIFS(CaseLedger!$F:$F,$A268,CaseLedger!$B:$B,"TRUE",CaseLedger!$K:$K,"Skill Sponsorship"))</x:f>
      </x:c>
      <x:c r="J268" t="str">
        <x:f>IF($A268="","",COUNTIFS(CaseLedger!$F:$F,$A268,CaseLedger!$B:$B,"TRUE",CaseLedger!$K:$K,"Emergency Support"))</x:f>
      </x:c>
      <x:c r="K268" t="str">
        <x:f>IF($A268="","",COUNTIFS(CaseLedger!$F:$F,$A268,CaseLedger!$B:$B,"TRUE",CaseLedger!$K:$K,"Community Support"))</x:f>
      </x:c>
      <x:c r="L268" t="str">
        <x:f>IF($A268="","",SUMIFS(CaseLedger!$M:$M,CaseLedger!$F:$F,$A268,CaseLedger!$B:$B,"TRUE"))</x:f>
      </x:c>
      <x:c r="M268" t="str">
        <x:f>IF($A268="","",SUMIFS(CaseLedger!$N:$N,CaseLedger!$F:$F,$A268,CaseLedger!$B:$B,"TRUE"))</x:f>
      </x:c>
      <x:c r="N268" t="str">
        <x:f>IF($A268="","",0)</x:f>
      </x:c>
      <x:c r="O268" t="str">
        <x:f>IF($A268="","",SUMIFS(CaseLedger!$O:$O,CaseLedger!$F:$F,$A268,CaseLedger!$B:$B,"TRUE"))</x:f>
      </x:c>
      <x:c r="P268" t="str">
        <x:f>IF($A268="","",IFERROR(VLOOKUP($A268,MonthlyFinance!$A:$G,4,FALSE),""))</x:f>
      </x:c>
      <x:c r="Q268" t="str">
        <x:f>IF($A268="","",IFERROR(VLOOKUP($A268,MonthlyFinance!$A:$G,5,FALSE),""))</x:f>
      </x:c>
      <x:c r="R268" t="str">
        <x:f>IF($A268="","",IFERROR(VLOOKUP($A268,MonthlyFinance!$A:$G,6,FALSE),""))</x:f>
      </x:c>
      <x:c r="S268" t="str">
        <x:f>IF($A268="","","Formula-linked from CaseLedger; finance fields from MonthlyFinance.")</x:f>
      </x:c>
      <x:c r="T268" t="str">
        <x:f>IF($A268="","","TRUE")</x:f>
      </x:c>
    </x:row>
    <x:row r="269">
      <x:c r="D269" t="str">
        <x:f>IF($A269="","",COUNTIFS(CaseLedger!$F:$F,$A269,CaseLedger!$B:$B,"TRUE"))</x:f>
      </x:c>
      <x:c r="E269" t="str">
        <x:f>IF($A269="","",COUNTIFS(CaseLedger!$F:$F,$A269,CaseLedger!$B:$B,"TRUE",CaseLedger!$P:$P,"Zakat"))</x:f>
      </x:c>
      <x:c r="F269" t="str">
        <x:f>IF($A269="","",COUNTIFS(CaseLedger!$F:$F,$A269,CaseLedger!$B:$B,"TRUE",CaseLedger!$P:$P,"Sadaqah"))</x:f>
      </x:c>
      <x:c r="G269" t="str">
        <x:f>IF($A269="","",COUNTIFS(CaseLedger!$F:$F,$A269,CaseLedger!$B:$B,"TRUE",CaseLedger!$P:$P,"Mixed"))</x:f>
      </x:c>
      <x:c r="H269" t="str">
        <x:f>IF($A269="","",COUNTIFS(CaseLedger!$F:$F,$A269,CaseLedger!$B:$B,"TRUE",CaseLedger!$K:$K,"Livelihood"))</x:f>
      </x:c>
      <x:c r="I269" t="str">
        <x:f>IF($A269="","",COUNTIFS(CaseLedger!$F:$F,$A269,CaseLedger!$B:$B,"TRUE",CaseLedger!$K:$K,"Skill Sponsorship"))</x:f>
      </x:c>
      <x:c r="J269" t="str">
        <x:f>IF($A269="","",COUNTIFS(CaseLedger!$F:$F,$A269,CaseLedger!$B:$B,"TRUE",CaseLedger!$K:$K,"Emergency Support"))</x:f>
      </x:c>
      <x:c r="K269" t="str">
        <x:f>IF($A269="","",COUNTIFS(CaseLedger!$F:$F,$A269,CaseLedger!$B:$B,"TRUE",CaseLedger!$K:$K,"Community Support"))</x:f>
      </x:c>
      <x:c r="L269" t="str">
        <x:f>IF($A269="","",SUMIFS(CaseLedger!$M:$M,CaseLedger!$F:$F,$A269,CaseLedger!$B:$B,"TRUE"))</x:f>
      </x:c>
      <x:c r="M269" t="str">
        <x:f>IF($A269="","",SUMIFS(CaseLedger!$N:$N,CaseLedger!$F:$F,$A269,CaseLedger!$B:$B,"TRUE"))</x:f>
      </x:c>
      <x:c r="N269" t="str">
        <x:f>IF($A269="","",0)</x:f>
      </x:c>
      <x:c r="O269" t="str">
        <x:f>IF($A269="","",SUMIFS(CaseLedger!$O:$O,CaseLedger!$F:$F,$A269,CaseLedger!$B:$B,"TRUE"))</x:f>
      </x:c>
      <x:c r="P269" t="str">
        <x:f>IF($A269="","",IFERROR(VLOOKUP($A269,MonthlyFinance!$A:$G,4,FALSE),""))</x:f>
      </x:c>
      <x:c r="Q269" t="str">
        <x:f>IF($A269="","",IFERROR(VLOOKUP($A269,MonthlyFinance!$A:$G,5,FALSE),""))</x:f>
      </x:c>
      <x:c r="R269" t="str">
        <x:f>IF($A269="","",IFERROR(VLOOKUP($A269,MonthlyFinance!$A:$G,6,FALSE),""))</x:f>
      </x:c>
      <x:c r="S269" t="str">
        <x:f>IF($A269="","","Formula-linked from CaseLedger; finance fields from MonthlyFinance.")</x:f>
      </x:c>
      <x:c r="T269" t="str">
        <x:f>IF($A269="","","TRUE")</x:f>
      </x:c>
    </x:row>
    <x:row r="270">
      <x:c r="D270" t="str">
        <x:f>IF($A270="","",COUNTIFS(CaseLedger!$F:$F,$A270,CaseLedger!$B:$B,"TRUE"))</x:f>
      </x:c>
      <x:c r="E270" t="str">
        <x:f>IF($A270="","",COUNTIFS(CaseLedger!$F:$F,$A270,CaseLedger!$B:$B,"TRUE",CaseLedger!$P:$P,"Zakat"))</x:f>
      </x:c>
      <x:c r="F270" t="str">
        <x:f>IF($A270="","",COUNTIFS(CaseLedger!$F:$F,$A270,CaseLedger!$B:$B,"TRUE",CaseLedger!$P:$P,"Sadaqah"))</x:f>
      </x:c>
      <x:c r="G270" t="str">
        <x:f>IF($A270="","",COUNTIFS(CaseLedger!$F:$F,$A270,CaseLedger!$B:$B,"TRUE",CaseLedger!$P:$P,"Mixed"))</x:f>
      </x:c>
      <x:c r="H270" t="str">
        <x:f>IF($A270="","",COUNTIFS(CaseLedger!$F:$F,$A270,CaseLedger!$B:$B,"TRUE",CaseLedger!$K:$K,"Livelihood"))</x:f>
      </x:c>
      <x:c r="I270" t="str">
        <x:f>IF($A270="","",COUNTIFS(CaseLedger!$F:$F,$A270,CaseLedger!$B:$B,"TRUE",CaseLedger!$K:$K,"Skill Sponsorship"))</x:f>
      </x:c>
      <x:c r="J270" t="str">
        <x:f>IF($A270="","",COUNTIFS(CaseLedger!$F:$F,$A270,CaseLedger!$B:$B,"TRUE",CaseLedger!$K:$K,"Emergency Support"))</x:f>
      </x:c>
      <x:c r="K270" t="str">
        <x:f>IF($A270="","",COUNTIFS(CaseLedger!$F:$F,$A270,CaseLedger!$B:$B,"TRUE",CaseLedger!$K:$K,"Community Support"))</x:f>
      </x:c>
      <x:c r="L270" t="str">
        <x:f>IF($A270="","",SUMIFS(CaseLedger!$M:$M,CaseLedger!$F:$F,$A270,CaseLedger!$B:$B,"TRUE"))</x:f>
      </x:c>
      <x:c r="M270" t="str">
        <x:f>IF($A270="","",SUMIFS(CaseLedger!$N:$N,CaseLedger!$F:$F,$A270,CaseLedger!$B:$B,"TRUE"))</x:f>
      </x:c>
      <x:c r="N270" t="str">
        <x:f>IF($A270="","",0)</x:f>
      </x:c>
      <x:c r="O270" t="str">
        <x:f>IF($A270="","",SUMIFS(CaseLedger!$O:$O,CaseLedger!$F:$F,$A270,CaseLedger!$B:$B,"TRUE"))</x:f>
      </x:c>
      <x:c r="P270" t="str">
        <x:f>IF($A270="","",IFERROR(VLOOKUP($A270,MonthlyFinance!$A:$G,4,FALSE),""))</x:f>
      </x:c>
      <x:c r="Q270" t="str">
        <x:f>IF($A270="","",IFERROR(VLOOKUP($A270,MonthlyFinance!$A:$G,5,FALSE),""))</x:f>
      </x:c>
      <x:c r="R270" t="str">
        <x:f>IF($A270="","",IFERROR(VLOOKUP($A270,MonthlyFinance!$A:$G,6,FALSE),""))</x:f>
      </x:c>
      <x:c r="S270" t="str">
        <x:f>IF($A270="","","Formula-linked from CaseLedger; finance fields from MonthlyFinance.")</x:f>
      </x:c>
      <x:c r="T270" t="str">
        <x:f>IF($A270="","","TRUE")</x:f>
      </x:c>
    </x:row>
    <x:row r="271">
      <x:c r="D271" t="str">
        <x:f>IF($A271="","",COUNTIFS(CaseLedger!$F:$F,$A271,CaseLedger!$B:$B,"TRUE"))</x:f>
      </x:c>
      <x:c r="E271" t="str">
        <x:f>IF($A271="","",COUNTIFS(CaseLedger!$F:$F,$A271,CaseLedger!$B:$B,"TRUE",CaseLedger!$P:$P,"Zakat"))</x:f>
      </x:c>
      <x:c r="F271" t="str">
        <x:f>IF($A271="","",COUNTIFS(CaseLedger!$F:$F,$A271,CaseLedger!$B:$B,"TRUE",CaseLedger!$P:$P,"Sadaqah"))</x:f>
      </x:c>
      <x:c r="G271" t="str">
        <x:f>IF($A271="","",COUNTIFS(CaseLedger!$F:$F,$A271,CaseLedger!$B:$B,"TRUE",CaseLedger!$P:$P,"Mixed"))</x:f>
      </x:c>
      <x:c r="H271" t="str">
        <x:f>IF($A271="","",COUNTIFS(CaseLedger!$F:$F,$A271,CaseLedger!$B:$B,"TRUE",CaseLedger!$K:$K,"Livelihood"))</x:f>
      </x:c>
      <x:c r="I271" t="str">
        <x:f>IF($A271="","",COUNTIFS(CaseLedger!$F:$F,$A271,CaseLedger!$B:$B,"TRUE",CaseLedger!$K:$K,"Skill Sponsorship"))</x:f>
      </x:c>
      <x:c r="J271" t="str">
        <x:f>IF($A271="","",COUNTIFS(CaseLedger!$F:$F,$A271,CaseLedger!$B:$B,"TRUE",CaseLedger!$K:$K,"Emergency Support"))</x:f>
      </x:c>
      <x:c r="K271" t="str">
        <x:f>IF($A271="","",COUNTIFS(CaseLedger!$F:$F,$A271,CaseLedger!$B:$B,"TRUE",CaseLedger!$K:$K,"Community Support"))</x:f>
      </x:c>
      <x:c r="L271" t="str">
        <x:f>IF($A271="","",SUMIFS(CaseLedger!$M:$M,CaseLedger!$F:$F,$A271,CaseLedger!$B:$B,"TRUE"))</x:f>
      </x:c>
      <x:c r="M271" t="str">
        <x:f>IF($A271="","",SUMIFS(CaseLedger!$N:$N,CaseLedger!$F:$F,$A271,CaseLedger!$B:$B,"TRUE"))</x:f>
      </x:c>
      <x:c r="N271" t="str">
        <x:f>IF($A271="","",0)</x:f>
      </x:c>
      <x:c r="O271" t="str">
        <x:f>IF($A271="","",SUMIFS(CaseLedger!$O:$O,CaseLedger!$F:$F,$A271,CaseLedger!$B:$B,"TRUE"))</x:f>
      </x:c>
      <x:c r="P271" t="str">
        <x:f>IF($A271="","",IFERROR(VLOOKUP($A271,MonthlyFinance!$A:$G,4,FALSE),""))</x:f>
      </x:c>
      <x:c r="Q271" t="str">
        <x:f>IF($A271="","",IFERROR(VLOOKUP($A271,MonthlyFinance!$A:$G,5,FALSE),""))</x:f>
      </x:c>
      <x:c r="R271" t="str">
        <x:f>IF($A271="","",IFERROR(VLOOKUP($A271,MonthlyFinance!$A:$G,6,FALSE),""))</x:f>
      </x:c>
      <x:c r="S271" t="str">
        <x:f>IF($A271="","","Formula-linked from CaseLedger; finance fields from MonthlyFinance.")</x:f>
      </x:c>
      <x:c r="T271" t="str">
        <x:f>IF($A271="","","TRUE")</x:f>
      </x:c>
    </x:row>
    <x:row r="272">
      <x:c r="D272" t="str">
        <x:f>IF($A272="","",COUNTIFS(CaseLedger!$F:$F,$A272,CaseLedger!$B:$B,"TRUE"))</x:f>
      </x:c>
      <x:c r="E272" t="str">
        <x:f>IF($A272="","",COUNTIFS(CaseLedger!$F:$F,$A272,CaseLedger!$B:$B,"TRUE",CaseLedger!$P:$P,"Zakat"))</x:f>
      </x:c>
      <x:c r="F272" t="str">
        <x:f>IF($A272="","",COUNTIFS(CaseLedger!$F:$F,$A272,CaseLedger!$B:$B,"TRUE",CaseLedger!$P:$P,"Sadaqah"))</x:f>
      </x:c>
      <x:c r="G272" t="str">
        <x:f>IF($A272="","",COUNTIFS(CaseLedger!$F:$F,$A272,CaseLedger!$B:$B,"TRUE",CaseLedger!$P:$P,"Mixed"))</x:f>
      </x:c>
      <x:c r="H272" t="str">
        <x:f>IF($A272="","",COUNTIFS(CaseLedger!$F:$F,$A272,CaseLedger!$B:$B,"TRUE",CaseLedger!$K:$K,"Livelihood"))</x:f>
      </x:c>
      <x:c r="I272" t="str">
        <x:f>IF($A272="","",COUNTIFS(CaseLedger!$F:$F,$A272,CaseLedger!$B:$B,"TRUE",CaseLedger!$K:$K,"Skill Sponsorship"))</x:f>
      </x:c>
      <x:c r="J272" t="str">
        <x:f>IF($A272="","",COUNTIFS(CaseLedger!$F:$F,$A272,CaseLedger!$B:$B,"TRUE",CaseLedger!$K:$K,"Emergency Support"))</x:f>
      </x:c>
      <x:c r="K272" t="str">
        <x:f>IF($A272="","",COUNTIFS(CaseLedger!$F:$F,$A272,CaseLedger!$B:$B,"TRUE",CaseLedger!$K:$K,"Community Support"))</x:f>
      </x:c>
      <x:c r="L272" t="str">
        <x:f>IF($A272="","",SUMIFS(CaseLedger!$M:$M,CaseLedger!$F:$F,$A272,CaseLedger!$B:$B,"TRUE"))</x:f>
      </x:c>
      <x:c r="M272" t="str">
        <x:f>IF($A272="","",SUMIFS(CaseLedger!$N:$N,CaseLedger!$F:$F,$A272,CaseLedger!$B:$B,"TRUE"))</x:f>
      </x:c>
      <x:c r="N272" t="str">
        <x:f>IF($A272="","",0)</x:f>
      </x:c>
      <x:c r="O272" t="str">
        <x:f>IF($A272="","",SUMIFS(CaseLedger!$O:$O,CaseLedger!$F:$F,$A272,CaseLedger!$B:$B,"TRUE"))</x:f>
      </x:c>
      <x:c r="P272" t="str">
        <x:f>IF($A272="","",IFERROR(VLOOKUP($A272,MonthlyFinance!$A:$G,4,FALSE),""))</x:f>
      </x:c>
      <x:c r="Q272" t="str">
        <x:f>IF($A272="","",IFERROR(VLOOKUP($A272,MonthlyFinance!$A:$G,5,FALSE),""))</x:f>
      </x:c>
      <x:c r="R272" t="str">
        <x:f>IF($A272="","",IFERROR(VLOOKUP($A272,MonthlyFinance!$A:$G,6,FALSE),""))</x:f>
      </x:c>
      <x:c r="S272" t="str">
        <x:f>IF($A272="","","Formula-linked from CaseLedger; finance fields from MonthlyFinance.")</x:f>
      </x:c>
      <x:c r="T272" t="str">
        <x:f>IF($A272="","","TRUE")</x:f>
      </x:c>
    </x:row>
    <x:row r="273">
      <x:c r="D273" t="str">
        <x:f>IF($A273="","",COUNTIFS(CaseLedger!$F:$F,$A273,CaseLedger!$B:$B,"TRUE"))</x:f>
      </x:c>
      <x:c r="E273" t="str">
        <x:f>IF($A273="","",COUNTIFS(CaseLedger!$F:$F,$A273,CaseLedger!$B:$B,"TRUE",CaseLedger!$P:$P,"Zakat"))</x:f>
      </x:c>
      <x:c r="F273" t="str">
        <x:f>IF($A273="","",COUNTIFS(CaseLedger!$F:$F,$A273,CaseLedger!$B:$B,"TRUE",CaseLedger!$P:$P,"Sadaqah"))</x:f>
      </x:c>
      <x:c r="G273" t="str">
        <x:f>IF($A273="","",COUNTIFS(CaseLedger!$F:$F,$A273,CaseLedger!$B:$B,"TRUE",CaseLedger!$P:$P,"Mixed"))</x:f>
      </x:c>
      <x:c r="H273" t="str">
        <x:f>IF($A273="","",COUNTIFS(CaseLedger!$F:$F,$A273,CaseLedger!$B:$B,"TRUE",CaseLedger!$K:$K,"Livelihood"))</x:f>
      </x:c>
      <x:c r="I273" t="str">
        <x:f>IF($A273="","",COUNTIFS(CaseLedger!$F:$F,$A273,CaseLedger!$B:$B,"TRUE",CaseLedger!$K:$K,"Skill Sponsorship"))</x:f>
      </x:c>
      <x:c r="J273" t="str">
        <x:f>IF($A273="","",COUNTIFS(CaseLedger!$F:$F,$A273,CaseLedger!$B:$B,"TRUE",CaseLedger!$K:$K,"Emergency Support"))</x:f>
      </x:c>
      <x:c r="K273" t="str">
        <x:f>IF($A273="","",COUNTIFS(CaseLedger!$F:$F,$A273,CaseLedger!$B:$B,"TRUE",CaseLedger!$K:$K,"Community Support"))</x:f>
      </x:c>
      <x:c r="L273" t="str">
        <x:f>IF($A273="","",SUMIFS(CaseLedger!$M:$M,CaseLedger!$F:$F,$A273,CaseLedger!$B:$B,"TRUE"))</x:f>
      </x:c>
      <x:c r="M273" t="str">
        <x:f>IF($A273="","",SUMIFS(CaseLedger!$N:$N,CaseLedger!$F:$F,$A273,CaseLedger!$B:$B,"TRUE"))</x:f>
      </x:c>
      <x:c r="N273" t="str">
        <x:f>IF($A273="","",0)</x:f>
      </x:c>
      <x:c r="O273" t="str">
        <x:f>IF($A273="","",SUMIFS(CaseLedger!$O:$O,CaseLedger!$F:$F,$A273,CaseLedger!$B:$B,"TRUE"))</x:f>
      </x:c>
      <x:c r="P273" t="str">
        <x:f>IF($A273="","",IFERROR(VLOOKUP($A273,MonthlyFinance!$A:$G,4,FALSE),""))</x:f>
      </x:c>
      <x:c r="Q273" t="str">
        <x:f>IF($A273="","",IFERROR(VLOOKUP($A273,MonthlyFinance!$A:$G,5,FALSE),""))</x:f>
      </x:c>
      <x:c r="R273" t="str">
        <x:f>IF($A273="","",IFERROR(VLOOKUP($A273,MonthlyFinance!$A:$G,6,FALSE),""))</x:f>
      </x:c>
      <x:c r="S273" t="str">
        <x:f>IF($A273="","","Formula-linked from CaseLedger; finance fields from MonthlyFinance.")</x:f>
      </x:c>
      <x:c r="T273" t="str">
        <x:f>IF($A273="","","TRUE")</x:f>
      </x:c>
    </x:row>
    <x:row r="274">
      <x:c r="D274" t="str">
        <x:f>IF($A274="","",COUNTIFS(CaseLedger!$F:$F,$A274,CaseLedger!$B:$B,"TRUE"))</x:f>
      </x:c>
      <x:c r="E274" t="str">
        <x:f>IF($A274="","",COUNTIFS(CaseLedger!$F:$F,$A274,CaseLedger!$B:$B,"TRUE",CaseLedger!$P:$P,"Zakat"))</x:f>
      </x:c>
      <x:c r="F274" t="str">
        <x:f>IF($A274="","",COUNTIFS(CaseLedger!$F:$F,$A274,CaseLedger!$B:$B,"TRUE",CaseLedger!$P:$P,"Sadaqah"))</x:f>
      </x:c>
      <x:c r="G274" t="str">
        <x:f>IF($A274="","",COUNTIFS(CaseLedger!$F:$F,$A274,CaseLedger!$B:$B,"TRUE",CaseLedger!$P:$P,"Mixed"))</x:f>
      </x:c>
      <x:c r="H274" t="str">
        <x:f>IF($A274="","",COUNTIFS(CaseLedger!$F:$F,$A274,CaseLedger!$B:$B,"TRUE",CaseLedger!$K:$K,"Livelihood"))</x:f>
      </x:c>
      <x:c r="I274" t="str">
        <x:f>IF($A274="","",COUNTIFS(CaseLedger!$F:$F,$A274,CaseLedger!$B:$B,"TRUE",CaseLedger!$K:$K,"Skill Sponsorship"))</x:f>
      </x:c>
      <x:c r="J274" t="str">
        <x:f>IF($A274="","",COUNTIFS(CaseLedger!$F:$F,$A274,CaseLedger!$B:$B,"TRUE",CaseLedger!$K:$K,"Emergency Support"))</x:f>
      </x:c>
      <x:c r="K274" t="str">
        <x:f>IF($A274="","",COUNTIFS(CaseLedger!$F:$F,$A274,CaseLedger!$B:$B,"TRUE",CaseLedger!$K:$K,"Community Support"))</x:f>
      </x:c>
      <x:c r="L274" t="str">
        <x:f>IF($A274="","",SUMIFS(CaseLedger!$M:$M,CaseLedger!$F:$F,$A274,CaseLedger!$B:$B,"TRUE"))</x:f>
      </x:c>
      <x:c r="M274" t="str">
        <x:f>IF($A274="","",SUMIFS(CaseLedger!$N:$N,CaseLedger!$F:$F,$A274,CaseLedger!$B:$B,"TRUE"))</x:f>
      </x:c>
      <x:c r="N274" t="str">
        <x:f>IF($A274="","",0)</x:f>
      </x:c>
      <x:c r="O274" t="str">
        <x:f>IF($A274="","",SUMIFS(CaseLedger!$O:$O,CaseLedger!$F:$F,$A274,CaseLedger!$B:$B,"TRUE"))</x:f>
      </x:c>
      <x:c r="P274" t="str">
        <x:f>IF($A274="","",IFERROR(VLOOKUP($A274,MonthlyFinance!$A:$G,4,FALSE),""))</x:f>
      </x:c>
      <x:c r="Q274" t="str">
        <x:f>IF($A274="","",IFERROR(VLOOKUP($A274,MonthlyFinance!$A:$G,5,FALSE),""))</x:f>
      </x:c>
      <x:c r="R274" t="str">
        <x:f>IF($A274="","",IFERROR(VLOOKUP($A274,MonthlyFinance!$A:$G,6,FALSE),""))</x:f>
      </x:c>
      <x:c r="S274" t="str">
        <x:f>IF($A274="","","Formula-linked from CaseLedger; finance fields from MonthlyFinance.")</x:f>
      </x:c>
      <x:c r="T274" t="str">
        <x:f>IF($A274="","","TRUE")</x:f>
      </x:c>
    </x:row>
    <x:row r="275">
      <x:c r="D275" t="str">
        <x:f>IF($A275="","",COUNTIFS(CaseLedger!$F:$F,$A275,CaseLedger!$B:$B,"TRUE"))</x:f>
      </x:c>
      <x:c r="E275" t="str">
        <x:f>IF($A275="","",COUNTIFS(CaseLedger!$F:$F,$A275,CaseLedger!$B:$B,"TRUE",CaseLedger!$P:$P,"Zakat"))</x:f>
      </x:c>
      <x:c r="F275" t="str">
        <x:f>IF($A275="","",COUNTIFS(CaseLedger!$F:$F,$A275,CaseLedger!$B:$B,"TRUE",CaseLedger!$P:$P,"Sadaqah"))</x:f>
      </x:c>
      <x:c r="G275" t="str">
        <x:f>IF($A275="","",COUNTIFS(CaseLedger!$F:$F,$A275,CaseLedger!$B:$B,"TRUE",CaseLedger!$P:$P,"Mixed"))</x:f>
      </x:c>
      <x:c r="H275" t="str">
        <x:f>IF($A275="","",COUNTIFS(CaseLedger!$F:$F,$A275,CaseLedger!$B:$B,"TRUE",CaseLedger!$K:$K,"Livelihood"))</x:f>
      </x:c>
      <x:c r="I275" t="str">
        <x:f>IF($A275="","",COUNTIFS(CaseLedger!$F:$F,$A275,CaseLedger!$B:$B,"TRUE",CaseLedger!$K:$K,"Skill Sponsorship"))</x:f>
      </x:c>
      <x:c r="J275" t="str">
        <x:f>IF($A275="","",COUNTIFS(CaseLedger!$F:$F,$A275,CaseLedger!$B:$B,"TRUE",CaseLedger!$K:$K,"Emergency Support"))</x:f>
      </x:c>
      <x:c r="K275" t="str">
        <x:f>IF($A275="","",COUNTIFS(CaseLedger!$F:$F,$A275,CaseLedger!$B:$B,"TRUE",CaseLedger!$K:$K,"Community Support"))</x:f>
      </x:c>
      <x:c r="L275" t="str">
        <x:f>IF($A275="","",SUMIFS(CaseLedger!$M:$M,CaseLedger!$F:$F,$A275,CaseLedger!$B:$B,"TRUE"))</x:f>
      </x:c>
      <x:c r="M275" t="str">
        <x:f>IF($A275="","",SUMIFS(CaseLedger!$N:$N,CaseLedger!$F:$F,$A275,CaseLedger!$B:$B,"TRUE"))</x:f>
      </x:c>
      <x:c r="N275" t="str">
        <x:f>IF($A275="","",0)</x:f>
      </x:c>
      <x:c r="O275" t="str">
        <x:f>IF($A275="","",SUMIFS(CaseLedger!$O:$O,CaseLedger!$F:$F,$A275,CaseLedger!$B:$B,"TRUE"))</x:f>
      </x:c>
      <x:c r="P275" t="str">
        <x:f>IF($A275="","",IFERROR(VLOOKUP($A275,MonthlyFinance!$A:$G,4,FALSE),""))</x:f>
      </x:c>
      <x:c r="Q275" t="str">
        <x:f>IF($A275="","",IFERROR(VLOOKUP($A275,MonthlyFinance!$A:$G,5,FALSE),""))</x:f>
      </x:c>
      <x:c r="R275" t="str">
        <x:f>IF($A275="","",IFERROR(VLOOKUP($A275,MonthlyFinance!$A:$G,6,FALSE),""))</x:f>
      </x:c>
      <x:c r="S275" t="str">
        <x:f>IF($A275="","","Formula-linked from CaseLedger; finance fields from MonthlyFinance.")</x:f>
      </x:c>
      <x:c r="T275" t="str">
        <x:f>IF($A275="","","TRUE")</x:f>
      </x:c>
    </x:row>
    <x:row r="276">
      <x:c r="D276" t="str">
        <x:f>IF($A276="","",COUNTIFS(CaseLedger!$F:$F,$A276,CaseLedger!$B:$B,"TRUE"))</x:f>
      </x:c>
      <x:c r="E276" t="str">
        <x:f>IF($A276="","",COUNTIFS(CaseLedger!$F:$F,$A276,CaseLedger!$B:$B,"TRUE",CaseLedger!$P:$P,"Zakat"))</x:f>
      </x:c>
      <x:c r="F276" t="str">
        <x:f>IF($A276="","",COUNTIFS(CaseLedger!$F:$F,$A276,CaseLedger!$B:$B,"TRUE",CaseLedger!$P:$P,"Sadaqah"))</x:f>
      </x:c>
      <x:c r="G276" t="str">
        <x:f>IF($A276="","",COUNTIFS(CaseLedger!$F:$F,$A276,CaseLedger!$B:$B,"TRUE",CaseLedger!$P:$P,"Mixed"))</x:f>
      </x:c>
      <x:c r="H276" t="str">
        <x:f>IF($A276="","",COUNTIFS(CaseLedger!$F:$F,$A276,CaseLedger!$B:$B,"TRUE",CaseLedger!$K:$K,"Livelihood"))</x:f>
      </x:c>
      <x:c r="I276" t="str">
        <x:f>IF($A276="","",COUNTIFS(CaseLedger!$F:$F,$A276,CaseLedger!$B:$B,"TRUE",CaseLedger!$K:$K,"Skill Sponsorship"))</x:f>
      </x:c>
      <x:c r="J276" t="str">
        <x:f>IF($A276="","",COUNTIFS(CaseLedger!$F:$F,$A276,CaseLedger!$B:$B,"TRUE",CaseLedger!$K:$K,"Emergency Support"))</x:f>
      </x:c>
      <x:c r="K276" t="str">
        <x:f>IF($A276="","",COUNTIFS(CaseLedger!$F:$F,$A276,CaseLedger!$B:$B,"TRUE",CaseLedger!$K:$K,"Community Support"))</x:f>
      </x:c>
      <x:c r="L276" t="str">
        <x:f>IF($A276="","",SUMIFS(CaseLedger!$M:$M,CaseLedger!$F:$F,$A276,CaseLedger!$B:$B,"TRUE"))</x:f>
      </x:c>
      <x:c r="M276" t="str">
        <x:f>IF($A276="","",SUMIFS(CaseLedger!$N:$N,CaseLedger!$F:$F,$A276,CaseLedger!$B:$B,"TRUE"))</x:f>
      </x:c>
      <x:c r="N276" t="str">
        <x:f>IF($A276="","",0)</x:f>
      </x:c>
      <x:c r="O276" t="str">
        <x:f>IF($A276="","",SUMIFS(CaseLedger!$O:$O,CaseLedger!$F:$F,$A276,CaseLedger!$B:$B,"TRUE"))</x:f>
      </x:c>
      <x:c r="P276" t="str">
        <x:f>IF($A276="","",IFERROR(VLOOKUP($A276,MonthlyFinance!$A:$G,4,FALSE),""))</x:f>
      </x:c>
      <x:c r="Q276" t="str">
        <x:f>IF($A276="","",IFERROR(VLOOKUP($A276,MonthlyFinance!$A:$G,5,FALSE),""))</x:f>
      </x:c>
      <x:c r="R276" t="str">
        <x:f>IF($A276="","",IFERROR(VLOOKUP($A276,MonthlyFinance!$A:$G,6,FALSE),""))</x:f>
      </x:c>
      <x:c r="S276" t="str">
        <x:f>IF($A276="","","Formula-linked from CaseLedger; finance fields from MonthlyFinance.")</x:f>
      </x:c>
      <x:c r="T276" t="str">
        <x:f>IF($A276="","","TRUE")</x:f>
      </x:c>
    </x:row>
    <x:row r="277">
      <x:c r="D277" t="str">
        <x:f>IF($A277="","",COUNTIFS(CaseLedger!$F:$F,$A277,CaseLedger!$B:$B,"TRUE"))</x:f>
      </x:c>
      <x:c r="E277" t="str">
        <x:f>IF($A277="","",COUNTIFS(CaseLedger!$F:$F,$A277,CaseLedger!$B:$B,"TRUE",CaseLedger!$P:$P,"Zakat"))</x:f>
      </x:c>
      <x:c r="F277" t="str">
        <x:f>IF($A277="","",COUNTIFS(CaseLedger!$F:$F,$A277,CaseLedger!$B:$B,"TRUE",CaseLedger!$P:$P,"Sadaqah"))</x:f>
      </x:c>
      <x:c r="G277" t="str">
        <x:f>IF($A277="","",COUNTIFS(CaseLedger!$F:$F,$A277,CaseLedger!$B:$B,"TRUE",CaseLedger!$P:$P,"Mixed"))</x:f>
      </x:c>
      <x:c r="H277" t="str">
        <x:f>IF($A277="","",COUNTIFS(CaseLedger!$F:$F,$A277,CaseLedger!$B:$B,"TRUE",CaseLedger!$K:$K,"Livelihood"))</x:f>
      </x:c>
      <x:c r="I277" t="str">
        <x:f>IF($A277="","",COUNTIFS(CaseLedger!$F:$F,$A277,CaseLedger!$B:$B,"TRUE",CaseLedger!$K:$K,"Skill Sponsorship"))</x:f>
      </x:c>
      <x:c r="J277" t="str">
        <x:f>IF($A277="","",COUNTIFS(CaseLedger!$F:$F,$A277,CaseLedger!$B:$B,"TRUE",CaseLedger!$K:$K,"Emergency Support"))</x:f>
      </x:c>
      <x:c r="K277" t="str">
        <x:f>IF($A277="","",COUNTIFS(CaseLedger!$F:$F,$A277,CaseLedger!$B:$B,"TRUE",CaseLedger!$K:$K,"Community Support"))</x:f>
      </x:c>
      <x:c r="L277" t="str">
        <x:f>IF($A277="","",SUMIFS(CaseLedger!$M:$M,CaseLedger!$F:$F,$A277,CaseLedger!$B:$B,"TRUE"))</x:f>
      </x:c>
      <x:c r="M277" t="str">
        <x:f>IF($A277="","",SUMIFS(CaseLedger!$N:$N,CaseLedger!$F:$F,$A277,CaseLedger!$B:$B,"TRUE"))</x:f>
      </x:c>
      <x:c r="N277" t="str">
        <x:f>IF($A277="","",0)</x:f>
      </x:c>
      <x:c r="O277" t="str">
        <x:f>IF($A277="","",SUMIFS(CaseLedger!$O:$O,CaseLedger!$F:$F,$A277,CaseLedger!$B:$B,"TRUE"))</x:f>
      </x:c>
      <x:c r="P277" t="str">
        <x:f>IF($A277="","",IFERROR(VLOOKUP($A277,MonthlyFinance!$A:$G,4,FALSE),""))</x:f>
      </x:c>
      <x:c r="Q277" t="str">
        <x:f>IF($A277="","",IFERROR(VLOOKUP($A277,MonthlyFinance!$A:$G,5,FALSE),""))</x:f>
      </x:c>
      <x:c r="R277" t="str">
        <x:f>IF($A277="","",IFERROR(VLOOKUP($A277,MonthlyFinance!$A:$G,6,FALSE),""))</x:f>
      </x:c>
      <x:c r="S277" t="str">
        <x:f>IF($A277="","","Formula-linked from CaseLedger; finance fields from MonthlyFinance.")</x:f>
      </x:c>
      <x:c r="T277" t="str">
        <x:f>IF($A277="","","TRUE")</x:f>
      </x:c>
    </x:row>
    <x:row r="278">
      <x:c r="D278" t="str">
        <x:f>IF($A278="","",COUNTIFS(CaseLedger!$F:$F,$A278,CaseLedger!$B:$B,"TRUE"))</x:f>
      </x:c>
      <x:c r="E278" t="str">
        <x:f>IF($A278="","",COUNTIFS(CaseLedger!$F:$F,$A278,CaseLedger!$B:$B,"TRUE",CaseLedger!$P:$P,"Zakat"))</x:f>
      </x:c>
      <x:c r="F278" t="str">
        <x:f>IF($A278="","",COUNTIFS(CaseLedger!$F:$F,$A278,CaseLedger!$B:$B,"TRUE",CaseLedger!$P:$P,"Sadaqah"))</x:f>
      </x:c>
      <x:c r="G278" t="str">
        <x:f>IF($A278="","",COUNTIFS(CaseLedger!$F:$F,$A278,CaseLedger!$B:$B,"TRUE",CaseLedger!$P:$P,"Mixed"))</x:f>
      </x:c>
      <x:c r="H278" t="str">
        <x:f>IF($A278="","",COUNTIFS(CaseLedger!$F:$F,$A278,CaseLedger!$B:$B,"TRUE",CaseLedger!$K:$K,"Livelihood"))</x:f>
      </x:c>
      <x:c r="I278" t="str">
        <x:f>IF($A278="","",COUNTIFS(CaseLedger!$F:$F,$A278,CaseLedger!$B:$B,"TRUE",CaseLedger!$K:$K,"Skill Sponsorship"))</x:f>
      </x:c>
      <x:c r="J278" t="str">
        <x:f>IF($A278="","",COUNTIFS(CaseLedger!$F:$F,$A278,CaseLedger!$B:$B,"TRUE",CaseLedger!$K:$K,"Emergency Support"))</x:f>
      </x:c>
      <x:c r="K278" t="str">
        <x:f>IF($A278="","",COUNTIFS(CaseLedger!$F:$F,$A278,CaseLedger!$B:$B,"TRUE",CaseLedger!$K:$K,"Community Support"))</x:f>
      </x:c>
      <x:c r="L278" t="str">
        <x:f>IF($A278="","",SUMIFS(CaseLedger!$M:$M,CaseLedger!$F:$F,$A278,CaseLedger!$B:$B,"TRUE"))</x:f>
      </x:c>
      <x:c r="M278" t="str">
        <x:f>IF($A278="","",SUMIFS(CaseLedger!$N:$N,CaseLedger!$F:$F,$A278,CaseLedger!$B:$B,"TRUE"))</x:f>
      </x:c>
      <x:c r="N278" t="str">
        <x:f>IF($A278="","",0)</x:f>
      </x:c>
      <x:c r="O278" t="str">
        <x:f>IF($A278="","",SUMIFS(CaseLedger!$O:$O,CaseLedger!$F:$F,$A278,CaseLedger!$B:$B,"TRUE"))</x:f>
      </x:c>
      <x:c r="P278" t="str">
        <x:f>IF($A278="","",IFERROR(VLOOKUP($A278,MonthlyFinance!$A:$G,4,FALSE),""))</x:f>
      </x:c>
      <x:c r="Q278" t="str">
        <x:f>IF($A278="","",IFERROR(VLOOKUP($A278,MonthlyFinance!$A:$G,5,FALSE),""))</x:f>
      </x:c>
      <x:c r="R278" t="str">
        <x:f>IF($A278="","",IFERROR(VLOOKUP($A278,MonthlyFinance!$A:$G,6,FALSE),""))</x:f>
      </x:c>
      <x:c r="S278" t="str">
        <x:f>IF($A278="","","Formula-linked from CaseLedger; finance fields from MonthlyFinance.")</x:f>
      </x:c>
      <x:c r="T278" t="str">
        <x:f>IF($A278="","","TRUE")</x:f>
      </x:c>
    </x:row>
    <x:row r="279">
      <x:c r="D279" t="str">
        <x:f>IF($A279="","",COUNTIFS(CaseLedger!$F:$F,$A279,CaseLedger!$B:$B,"TRUE"))</x:f>
      </x:c>
      <x:c r="E279" t="str">
        <x:f>IF($A279="","",COUNTIFS(CaseLedger!$F:$F,$A279,CaseLedger!$B:$B,"TRUE",CaseLedger!$P:$P,"Zakat"))</x:f>
      </x:c>
      <x:c r="F279" t="str">
        <x:f>IF($A279="","",COUNTIFS(CaseLedger!$F:$F,$A279,CaseLedger!$B:$B,"TRUE",CaseLedger!$P:$P,"Sadaqah"))</x:f>
      </x:c>
      <x:c r="G279" t="str">
        <x:f>IF($A279="","",COUNTIFS(CaseLedger!$F:$F,$A279,CaseLedger!$B:$B,"TRUE",CaseLedger!$P:$P,"Mixed"))</x:f>
      </x:c>
      <x:c r="H279" t="str">
        <x:f>IF($A279="","",COUNTIFS(CaseLedger!$F:$F,$A279,CaseLedger!$B:$B,"TRUE",CaseLedger!$K:$K,"Livelihood"))</x:f>
      </x:c>
      <x:c r="I279" t="str">
        <x:f>IF($A279="","",COUNTIFS(CaseLedger!$F:$F,$A279,CaseLedger!$B:$B,"TRUE",CaseLedger!$K:$K,"Skill Sponsorship"))</x:f>
      </x:c>
      <x:c r="J279" t="str">
        <x:f>IF($A279="","",COUNTIFS(CaseLedger!$F:$F,$A279,CaseLedger!$B:$B,"TRUE",CaseLedger!$K:$K,"Emergency Support"))</x:f>
      </x:c>
      <x:c r="K279" t="str">
        <x:f>IF($A279="","",COUNTIFS(CaseLedger!$F:$F,$A279,CaseLedger!$B:$B,"TRUE",CaseLedger!$K:$K,"Community Support"))</x:f>
      </x:c>
      <x:c r="L279" t="str">
        <x:f>IF($A279="","",SUMIFS(CaseLedger!$M:$M,CaseLedger!$F:$F,$A279,CaseLedger!$B:$B,"TRUE"))</x:f>
      </x:c>
      <x:c r="M279" t="str">
        <x:f>IF($A279="","",SUMIFS(CaseLedger!$N:$N,CaseLedger!$F:$F,$A279,CaseLedger!$B:$B,"TRUE"))</x:f>
      </x:c>
      <x:c r="N279" t="str">
        <x:f>IF($A279="","",0)</x:f>
      </x:c>
      <x:c r="O279" t="str">
        <x:f>IF($A279="","",SUMIFS(CaseLedger!$O:$O,CaseLedger!$F:$F,$A279,CaseLedger!$B:$B,"TRUE"))</x:f>
      </x:c>
      <x:c r="P279" t="str">
        <x:f>IF($A279="","",IFERROR(VLOOKUP($A279,MonthlyFinance!$A:$G,4,FALSE),""))</x:f>
      </x:c>
      <x:c r="Q279" t="str">
        <x:f>IF($A279="","",IFERROR(VLOOKUP($A279,MonthlyFinance!$A:$G,5,FALSE),""))</x:f>
      </x:c>
      <x:c r="R279" t="str">
        <x:f>IF($A279="","",IFERROR(VLOOKUP($A279,MonthlyFinance!$A:$G,6,FALSE),""))</x:f>
      </x:c>
      <x:c r="S279" t="str">
        <x:f>IF($A279="","","Formula-linked from CaseLedger; finance fields from MonthlyFinance.")</x:f>
      </x:c>
      <x:c r="T279" t="str">
        <x:f>IF($A279="","","TRUE")</x:f>
      </x:c>
    </x:row>
    <x:row r="280">
      <x:c r="D280" t="str">
        <x:f>IF($A280="","",COUNTIFS(CaseLedger!$F:$F,$A280,CaseLedger!$B:$B,"TRUE"))</x:f>
      </x:c>
      <x:c r="E280" t="str">
        <x:f>IF($A280="","",COUNTIFS(CaseLedger!$F:$F,$A280,CaseLedger!$B:$B,"TRUE",CaseLedger!$P:$P,"Zakat"))</x:f>
      </x:c>
      <x:c r="F280" t="str">
        <x:f>IF($A280="","",COUNTIFS(CaseLedger!$F:$F,$A280,CaseLedger!$B:$B,"TRUE",CaseLedger!$P:$P,"Sadaqah"))</x:f>
      </x:c>
      <x:c r="G280" t="str">
        <x:f>IF($A280="","",COUNTIFS(CaseLedger!$F:$F,$A280,CaseLedger!$B:$B,"TRUE",CaseLedger!$P:$P,"Mixed"))</x:f>
      </x:c>
      <x:c r="H280" t="str">
        <x:f>IF($A280="","",COUNTIFS(CaseLedger!$F:$F,$A280,CaseLedger!$B:$B,"TRUE",CaseLedger!$K:$K,"Livelihood"))</x:f>
      </x:c>
      <x:c r="I280" t="str">
        <x:f>IF($A280="","",COUNTIFS(CaseLedger!$F:$F,$A280,CaseLedger!$B:$B,"TRUE",CaseLedger!$K:$K,"Skill Sponsorship"))</x:f>
      </x:c>
      <x:c r="J280" t="str">
        <x:f>IF($A280="","",COUNTIFS(CaseLedger!$F:$F,$A280,CaseLedger!$B:$B,"TRUE",CaseLedger!$K:$K,"Emergency Support"))</x:f>
      </x:c>
      <x:c r="K280" t="str">
        <x:f>IF($A280="","",COUNTIFS(CaseLedger!$F:$F,$A280,CaseLedger!$B:$B,"TRUE",CaseLedger!$K:$K,"Community Support"))</x:f>
      </x:c>
      <x:c r="L280" t="str">
        <x:f>IF($A280="","",SUMIFS(CaseLedger!$M:$M,CaseLedger!$F:$F,$A280,CaseLedger!$B:$B,"TRUE"))</x:f>
      </x:c>
      <x:c r="M280" t="str">
        <x:f>IF($A280="","",SUMIFS(CaseLedger!$N:$N,CaseLedger!$F:$F,$A280,CaseLedger!$B:$B,"TRUE"))</x:f>
      </x:c>
      <x:c r="N280" t="str">
        <x:f>IF($A280="","",0)</x:f>
      </x:c>
      <x:c r="O280" t="str">
        <x:f>IF($A280="","",SUMIFS(CaseLedger!$O:$O,CaseLedger!$F:$F,$A280,CaseLedger!$B:$B,"TRUE"))</x:f>
      </x:c>
      <x:c r="P280" t="str">
        <x:f>IF($A280="","",IFERROR(VLOOKUP($A280,MonthlyFinance!$A:$G,4,FALSE),""))</x:f>
      </x:c>
      <x:c r="Q280" t="str">
        <x:f>IF($A280="","",IFERROR(VLOOKUP($A280,MonthlyFinance!$A:$G,5,FALSE),""))</x:f>
      </x:c>
      <x:c r="R280" t="str">
        <x:f>IF($A280="","",IFERROR(VLOOKUP($A280,MonthlyFinance!$A:$G,6,FALSE),""))</x:f>
      </x:c>
      <x:c r="S280" t="str">
        <x:f>IF($A280="","","Formula-linked from CaseLedger; finance fields from MonthlyFinance.")</x:f>
      </x:c>
      <x:c r="T280" t="str">
        <x:f>IF($A280="","","TRUE")</x:f>
      </x:c>
    </x:row>
    <x:row r="281">
      <x:c r="D281" t="str">
        <x:f>IF($A281="","",COUNTIFS(CaseLedger!$F:$F,$A281,CaseLedger!$B:$B,"TRUE"))</x:f>
      </x:c>
      <x:c r="E281" t="str">
        <x:f>IF($A281="","",COUNTIFS(CaseLedger!$F:$F,$A281,CaseLedger!$B:$B,"TRUE",CaseLedger!$P:$P,"Zakat"))</x:f>
      </x:c>
      <x:c r="F281" t="str">
        <x:f>IF($A281="","",COUNTIFS(CaseLedger!$F:$F,$A281,CaseLedger!$B:$B,"TRUE",CaseLedger!$P:$P,"Sadaqah"))</x:f>
      </x:c>
      <x:c r="G281" t="str">
        <x:f>IF($A281="","",COUNTIFS(CaseLedger!$F:$F,$A281,CaseLedger!$B:$B,"TRUE",CaseLedger!$P:$P,"Mixed"))</x:f>
      </x:c>
      <x:c r="H281" t="str">
        <x:f>IF($A281="","",COUNTIFS(CaseLedger!$F:$F,$A281,CaseLedger!$B:$B,"TRUE",CaseLedger!$K:$K,"Livelihood"))</x:f>
      </x:c>
      <x:c r="I281" t="str">
        <x:f>IF($A281="","",COUNTIFS(CaseLedger!$F:$F,$A281,CaseLedger!$B:$B,"TRUE",CaseLedger!$K:$K,"Skill Sponsorship"))</x:f>
      </x:c>
      <x:c r="J281" t="str">
        <x:f>IF($A281="","",COUNTIFS(CaseLedger!$F:$F,$A281,CaseLedger!$B:$B,"TRUE",CaseLedger!$K:$K,"Emergency Support"))</x:f>
      </x:c>
      <x:c r="K281" t="str">
        <x:f>IF($A281="","",COUNTIFS(CaseLedger!$F:$F,$A281,CaseLedger!$B:$B,"TRUE",CaseLedger!$K:$K,"Community Support"))</x:f>
      </x:c>
      <x:c r="L281" t="str">
        <x:f>IF($A281="","",SUMIFS(CaseLedger!$M:$M,CaseLedger!$F:$F,$A281,CaseLedger!$B:$B,"TRUE"))</x:f>
      </x:c>
      <x:c r="M281" t="str">
        <x:f>IF($A281="","",SUMIFS(CaseLedger!$N:$N,CaseLedger!$F:$F,$A281,CaseLedger!$B:$B,"TRUE"))</x:f>
      </x:c>
      <x:c r="N281" t="str">
        <x:f>IF($A281="","",0)</x:f>
      </x:c>
      <x:c r="O281" t="str">
        <x:f>IF($A281="","",SUMIFS(CaseLedger!$O:$O,CaseLedger!$F:$F,$A281,CaseLedger!$B:$B,"TRUE"))</x:f>
      </x:c>
      <x:c r="P281" t="str">
        <x:f>IF($A281="","",IFERROR(VLOOKUP($A281,MonthlyFinance!$A:$G,4,FALSE),""))</x:f>
      </x:c>
      <x:c r="Q281" t="str">
        <x:f>IF($A281="","",IFERROR(VLOOKUP($A281,MonthlyFinance!$A:$G,5,FALSE),""))</x:f>
      </x:c>
      <x:c r="R281" t="str">
        <x:f>IF($A281="","",IFERROR(VLOOKUP($A281,MonthlyFinance!$A:$G,6,FALSE),""))</x:f>
      </x:c>
      <x:c r="S281" t="str">
        <x:f>IF($A281="","","Formula-linked from CaseLedger; finance fields from MonthlyFinance.")</x:f>
      </x:c>
      <x:c r="T281" t="str">
        <x:f>IF($A281="","","TRUE")</x:f>
      </x:c>
    </x:row>
    <x:row r="282">
      <x:c r="D282" t="str">
        <x:f>IF($A282="","",COUNTIFS(CaseLedger!$F:$F,$A282,CaseLedger!$B:$B,"TRUE"))</x:f>
      </x:c>
      <x:c r="E282" t="str">
        <x:f>IF($A282="","",COUNTIFS(CaseLedger!$F:$F,$A282,CaseLedger!$B:$B,"TRUE",CaseLedger!$P:$P,"Zakat"))</x:f>
      </x:c>
      <x:c r="F282" t="str">
        <x:f>IF($A282="","",COUNTIFS(CaseLedger!$F:$F,$A282,CaseLedger!$B:$B,"TRUE",CaseLedger!$P:$P,"Sadaqah"))</x:f>
      </x:c>
      <x:c r="G282" t="str">
        <x:f>IF($A282="","",COUNTIFS(CaseLedger!$F:$F,$A282,CaseLedger!$B:$B,"TRUE",CaseLedger!$P:$P,"Mixed"))</x:f>
      </x:c>
      <x:c r="H282" t="str">
        <x:f>IF($A282="","",COUNTIFS(CaseLedger!$F:$F,$A282,CaseLedger!$B:$B,"TRUE",CaseLedger!$K:$K,"Livelihood"))</x:f>
      </x:c>
      <x:c r="I282" t="str">
        <x:f>IF($A282="","",COUNTIFS(CaseLedger!$F:$F,$A282,CaseLedger!$B:$B,"TRUE",CaseLedger!$K:$K,"Skill Sponsorship"))</x:f>
      </x:c>
      <x:c r="J282" t="str">
        <x:f>IF($A282="","",COUNTIFS(CaseLedger!$F:$F,$A282,CaseLedger!$B:$B,"TRUE",CaseLedger!$K:$K,"Emergency Support"))</x:f>
      </x:c>
      <x:c r="K282" t="str">
        <x:f>IF($A282="","",COUNTIFS(CaseLedger!$F:$F,$A282,CaseLedger!$B:$B,"TRUE",CaseLedger!$K:$K,"Community Support"))</x:f>
      </x:c>
      <x:c r="L282" t="str">
        <x:f>IF($A282="","",SUMIFS(CaseLedger!$M:$M,CaseLedger!$F:$F,$A282,CaseLedger!$B:$B,"TRUE"))</x:f>
      </x:c>
      <x:c r="M282" t="str">
        <x:f>IF($A282="","",SUMIFS(CaseLedger!$N:$N,CaseLedger!$F:$F,$A282,CaseLedger!$B:$B,"TRUE"))</x:f>
      </x:c>
      <x:c r="N282" t="str">
        <x:f>IF($A282="","",0)</x:f>
      </x:c>
      <x:c r="O282" t="str">
        <x:f>IF($A282="","",SUMIFS(CaseLedger!$O:$O,CaseLedger!$F:$F,$A282,CaseLedger!$B:$B,"TRUE"))</x:f>
      </x:c>
      <x:c r="P282" t="str">
        <x:f>IF($A282="","",IFERROR(VLOOKUP($A282,MonthlyFinance!$A:$G,4,FALSE),""))</x:f>
      </x:c>
      <x:c r="Q282" t="str">
        <x:f>IF($A282="","",IFERROR(VLOOKUP($A282,MonthlyFinance!$A:$G,5,FALSE),""))</x:f>
      </x:c>
      <x:c r="R282" t="str">
        <x:f>IF($A282="","",IFERROR(VLOOKUP($A282,MonthlyFinance!$A:$G,6,FALSE),""))</x:f>
      </x:c>
      <x:c r="S282" t="str">
        <x:f>IF($A282="","","Formula-linked from CaseLedger; finance fields from MonthlyFinance.")</x:f>
      </x:c>
      <x:c r="T282" t="str">
        <x:f>IF($A282="","","TRUE")</x:f>
      </x:c>
    </x:row>
    <x:row r="283">
      <x:c r="D283" t="str">
        <x:f>IF($A283="","",COUNTIFS(CaseLedger!$F:$F,$A283,CaseLedger!$B:$B,"TRUE"))</x:f>
      </x:c>
      <x:c r="E283" t="str">
        <x:f>IF($A283="","",COUNTIFS(CaseLedger!$F:$F,$A283,CaseLedger!$B:$B,"TRUE",CaseLedger!$P:$P,"Zakat"))</x:f>
      </x:c>
      <x:c r="F283" t="str">
        <x:f>IF($A283="","",COUNTIFS(CaseLedger!$F:$F,$A283,CaseLedger!$B:$B,"TRUE",CaseLedger!$P:$P,"Sadaqah"))</x:f>
      </x:c>
      <x:c r="G283" t="str">
        <x:f>IF($A283="","",COUNTIFS(CaseLedger!$F:$F,$A283,CaseLedger!$B:$B,"TRUE",CaseLedger!$P:$P,"Mixed"))</x:f>
      </x:c>
      <x:c r="H283" t="str">
        <x:f>IF($A283="","",COUNTIFS(CaseLedger!$F:$F,$A283,CaseLedger!$B:$B,"TRUE",CaseLedger!$K:$K,"Livelihood"))</x:f>
      </x:c>
      <x:c r="I283" t="str">
        <x:f>IF($A283="","",COUNTIFS(CaseLedger!$F:$F,$A283,CaseLedger!$B:$B,"TRUE",CaseLedger!$K:$K,"Skill Sponsorship"))</x:f>
      </x:c>
      <x:c r="J283" t="str">
        <x:f>IF($A283="","",COUNTIFS(CaseLedger!$F:$F,$A283,CaseLedger!$B:$B,"TRUE",CaseLedger!$K:$K,"Emergency Support"))</x:f>
      </x:c>
      <x:c r="K283" t="str">
        <x:f>IF($A283="","",COUNTIFS(CaseLedger!$F:$F,$A283,CaseLedger!$B:$B,"TRUE",CaseLedger!$K:$K,"Community Support"))</x:f>
      </x:c>
      <x:c r="L283" t="str">
        <x:f>IF($A283="","",SUMIFS(CaseLedger!$M:$M,CaseLedger!$F:$F,$A283,CaseLedger!$B:$B,"TRUE"))</x:f>
      </x:c>
      <x:c r="M283" t="str">
        <x:f>IF($A283="","",SUMIFS(CaseLedger!$N:$N,CaseLedger!$F:$F,$A283,CaseLedger!$B:$B,"TRUE"))</x:f>
      </x:c>
      <x:c r="N283" t="str">
        <x:f>IF($A283="","",0)</x:f>
      </x:c>
      <x:c r="O283" t="str">
        <x:f>IF($A283="","",SUMIFS(CaseLedger!$O:$O,CaseLedger!$F:$F,$A283,CaseLedger!$B:$B,"TRUE"))</x:f>
      </x:c>
      <x:c r="P283" t="str">
        <x:f>IF($A283="","",IFERROR(VLOOKUP($A283,MonthlyFinance!$A:$G,4,FALSE),""))</x:f>
      </x:c>
      <x:c r="Q283" t="str">
        <x:f>IF($A283="","",IFERROR(VLOOKUP($A283,MonthlyFinance!$A:$G,5,FALSE),""))</x:f>
      </x:c>
      <x:c r="R283" t="str">
        <x:f>IF($A283="","",IFERROR(VLOOKUP($A283,MonthlyFinance!$A:$G,6,FALSE),""))</x:f>
      </x:c>
      <x:c r="S283" t="str">
        <x:f>IF($A283="","","Formula-linked from CaseLedger; finance fields from MonthlyFinance.")</x:f>
      </x:c>
      <x:c r="T283" t="str">
        <x:f>IF($A283="","","TRUE")</x:f>
      </x:c>
    </x:row>
    <x:row r="284">
      <x:c r="D284" t="str">
        <x:f>IF($A284="","",COUNTIFS(CaseLedger!$F:$F,$A284,CaseLedger!$B:$B,"TRUE"))</x:f>
      </x:c>
      <x:c r="E284" t="str">
        <x:f>IF($A284="","",COUNTIFS(CaseLedger!$F:$F,$A284,CaseLedger!$B:$B,"TRUE",CaseLedger!$P:$P,"Zakat"))</x:f>
      </x:c>
      <x:c r="F284" t="str">
        <x:f>IF($A284="","",COUNTIFS(CaseLedger!$F:$F,$A284,CaseLedger!$B:$B,"TRUE",CaseLedger!$P:$P,"Sadaqah"))</x:f>
      </x:c>
      <x:c r="G284" t="str">
        <x:f>IF($A284="","",COUNTIFS(CaseLedger!$F:$F,$A284,CaseLedger!$B:$B,"TRUE",CaseLedger!$P:$P,"Mixed"))</x:f>
      </x:c>
      <x:c r="H284" t="str">
        <x:f>IF($A284="","",COUNTIFS(CaseLedger!$F:$F,$A284,CaseLedger!$B:$B,"TRUE",CaseLedger!$K:$K,"Livelihood"))</x:f>
      </x:c>
      <x:c r="I284" t="str">
        <x:f>IF($A284="","",COUNTIFS(CaseLedger!$F:$F,$A284,CaseLedger!$B:$B,"TRUE",CaseLedger!$K:$K,"Skill Sponsorship"))</x:f>
      </x:c>
      <x:c r="J284" t="str">
        <x:f>IF($A284="","",COUNTIFS(CaseLedger!$F:$F,$A284,CaseLedger!$B:$B,"TRUE",CaseLedger!$K:$K,"Emergency Support"))</x:f>
      </x:c>
      <x:c r="K284" t="str">
        <x:f>IF($A284="","",COUNTIFS(CaseLedger!$F:$F,$A284,CaseLedger!$B:$B,"TRUE",CaseLedger!$K:$K,"Community Support"))</x:f>
      </x:c>
      <x:c r="L284" t="str">
        <x:f>IF($A284="","",SUMIFS(CaseLedger!$M:$M,CaseLedger!$F:$F,$A284,CaseLedger!$B:$B,"TRUE"))</x:f>
      </x:c>
      <x:c r="M284" t="str">
        <x:f>IF($A284="","",SUMIFS(CaseLedger!$N:$N,CaseLedger!$F:$F,$A284,CaseLedger!$B:$B,"TRUE"))</x:f>
      </x:c>
      <x:c r="N284" t="str">
        <x:f>IF($A284="","",0)</x:f>
      </x:c>
      <x:c r="O284" t="str">
        <x:f>IF($A284="","",SUMIFS(CaseLedger!$O:$O,CaseLedger!$F:$F,$A284,CaseLedger!$B:$B,"TRUE"))</x:f>
      </x:c>
      <x:c r="P284" t="str">
        <x:f>IF($A284="","",IFERROR(VLOOKUP($A284,MonthlyFinance!$A:$G,4,FALSE),""))</x:f>
      </x:c>
      <x:c r="Q284" t="str">
        <x:f>IF($A284="","",IFERROR(VLOOKUP($A284,MonthlyFinance!$A:$G,5,FALSE),""))</x:f>
      </x:c>
      <x:c r="R284" t="str">
        <x:f>IF($A284="","",IFERROR(VLOOKUP($A284,MonthlyFinance!$A:$G,6,FALSE),""))</x:f>
      </x:c>
      <x:c r="S284" t="str">
        <x:f>IF($A284="","","Formula-linked from CaseLedger; finance fields from MonthlyFinance.")</x:f>
      </x:c>
      <x:c r="T284" t="str">
        <x:f>IF($A284="","","TRUE")</x:f>
      </x:c>
    </x:row>
    <x:row r="285">
      <x:c r="D285" t="str">
        <x:f>IF($A285="","",COUNTIFS(CaseLedger!$F:$F,$A285,CaseLedger!$B:$B,"TRUE"))</x:f>
      </x:c>
      <x:c r="E285" t="str">
        <x:f>IF($A285="","",COUNTIFS(CaseLedger!$F:$F,$A285,CaseLedger!$B:$B,"TRUE",CaseLedger!$P:$P,"Zakat"))</x:f>
      </x:c>
      <x:c r="F285" t="str">
        <x:f>IF($A285="","",COUNTIFS(CaseLedger!$F:$F,$A285,CaseLedger!$B:$B,"TRUE",CaseLedger!$P:$P,"Sadaqah"))</x:f>
      </x:c>
      <x:c r="G285" t="str">
        <x:f>IF($A285="","",COUNTIFS(CaseLedger!$F:$F,$A285,CaseLedger!$B:$B,"TRUE",CaseLedger!$P:$P,"Mixed"))</x:f>
      </x:c>
      <x:c r="H285" t="str">
        <x:f>IF($A285="","",COUNTIFS(CaseLedger!$F:$F,$A285,CaseLedger!$B:$B,"TRUE",CaseLedger!$K:$K,"Livelihood"))</x:f>
      </x:c>
      <x:c r="I285" t="str">
        <x:f>IF($A285="","",COUNTIFS(CaseLedger!$F:$F,$A285,CaseLedger!$B:$B,"TRUE",CaseLedger!$K:$K,"Skill Sponsorship"))</x:f>
      </x:c>
      <x:c r="J285" t="str">
        <x:f>IF($A285="","",COUNTIFS(CaseLedger!$F:$F,$A285,CaseLedger!$B:$B,"TRUE",CaseLedger!$K:$K,"Emergency Support"))</x:f>
      </x:c>
      <x:c r="K285" t="str">
        <x:f>IF($A285="","",COUNTIFS(CaseLedger!$F:$F,$A285,CaseLedger!$B:$B,"TRUE",CaseLedger!$K:$K,"Community Support"))</x:f>
      </x:c>
      <x:c r="L285" t="str">
        <x:f>IF($A285="","",SUMIFS(CaseLedger!$M:$M,CaseLedger!$F:$F,$A285,CaseLedger!$B:$B,"TRUE"))</x:f>
      </x:c>
      <x:c r="M285" t="str">
        <x:f>IF($A285="","",SUMIFS(CaseLedger!$N:$N,CaseLedger!$F:$F,$A285,CaseLedger!$B:$B,"TRUE"))</x:f>
      </x:c>
      <x:c r="N285" t="str">
        <x:f>IF($A285="","",0)</x:f>
      </x:c>
      <x:c r="O285" t="str">
        <x:f>IF($A285="","",SUMIFS(CaseLedger!$O:$O,CaseLedger!$F:$F,$A285,CaseLedger!$B:$B,"TRUE"))</x:f>
      </x:c>
      <x:c r="P285" t="str">
        <x:f>IF($A285="","",IFERROR(VLOOKUP($A285,MonthlyFinance!$A:$G,4,FALSE),""))</x:f>
      </x:c>
      <x:c r="Q285" t="str">
        <x:f>IF($A285="","",IFERROR(VLOOKUP($A285,MonthlyFinance!$A:$G,5,FALSE),""))</x:f>
      </x:c>
      <x:c r="R285" t="str">
        <x:f>IF($A285="","",IFERROR(VLOOKUP($A285,MonthlyFinance!$A:$G,6,FALSE),""))</x:f>
      </x:c>
      <x:c r="S285" t="str">
        <x:f>IF($A285="","","Formula-linked from CaseLedger; finance fields from MonthlyFinance.")</x:f>
      </x:c>
      <x:c r="T285" t="str">
        <x:f>IF($A285="","","TRUE")</x:f>
      </x:c>
    </x:row>
    <x:row r="286">
      <x:c r="D286" t="str">
        <x:f>IF($A286="","",COUNTIFS(CaseLedger!$F:$F,$A286,CaseLedger!$B:$B,"TRUE"))</x:f>
      </x:c>
      <x:c r="E286" t="str">
        <x:f>IF($A286="","",COUNTIFS(CaseLedger!$F:$F,$A286,CaseLedger!$B:$B,"TRUE",CaseLedger!$P:$P,"Zakat"))</x:f>
      </x:c>
      <x:c r="F286" t="str">
        <x:f>IF($A286="","",COUNTIFS(CaseLedger!$F:$F,$A286,CaseLedger!$B:$B,"TRUE",CaseLedger!$P:$P,"Sadaqah"))</x:f>
      </x:c>
      <x:c r="G286" t="str">
        <x:f>IF($A286="","",COUNTIFS(CaseLedger!$F:$F,$A286,CaseLedger!$B:$B,"TRUE",CaseLedger!$P:$P,"Mixed"))</x:f>
      </x:c>
      <x:c r="H286" t="str">
        <x:f>IF($A286="","",COUNTIFS(CaseLedger!$F:$F,$A286,CaseLedger!$B:$B,"TRUE",CaseLedger!$K:$K,"Livelihood"))</x:f>
      </x:c>
      <x:c r="I286" t="str">
        <x:f>IF($A286="","",COUNTIFS(CaseLedger!$F:$F,$A286,CaseLedger!$B:$B,"TRUE",CaseLedger!$K:$K,"Skill Sponsorship"))</x:f>
      </x:c>
      <x:c r="J286" t="str">
        <x:f>IF($A286="","",COUNTIFS(CaseLedger!$F:$F,$A286,CaseLedger!$B:$B,"TRUE",CaseLedger!$K:$K,"Emergency Support"))</x:f>
      </x:c>
      <x:c r="K286" t="str">
        <x:f>IF($A286="","",COUNTIFS(CaseLedger!$F:$F,$A286,CaseLedger!$B:$B,"TRUE",CaseLedger!$K:$K,"Community Support"))</x:f>
      </x:c>
      <x:c r="L286" t="str">
        <x:f>IF($A286="","",SUMIFS(CaseLedger!$M:$M,CaseLedger!$F:$F,$A286,CaseLedger!$B:$B,"TRUE"))</x:f>
      </x:c>
      <x:c r="M286" t="str">
        <x:f>IF($A286="","",SUMIFS(CaseLedger!$N:$N,CaseLedger!$F:$F,$A286,CaseLedger!$B:$B,"TRUE"))</x:f>
      </x:c>
      <x:c r="N286" t="str">
        <x:f>IF($A286="","",0)</x:f>
      </x:c>
      <x:c r="O286" t="str">
        <x:f>IF($A286="","",SUMIFS(CaseLedger!$O:$O,CaseLedger!$F:$F,$A286,CaseLedger!$B:$B,"TRUE"))</x:f>
      </x:c>
      <x:c r="P286" t="str">
        <x:f>IF($A286="","",IFERROR(VLOOKUP($A286,MonthlyFinance!$A:$G,4,FALSE),""))</x:f>
      </x:c>
      <x:c r="Q286" t="str">
        <x:f>IF($A286="","",IFERROR(VLOOKUP($A286,MonthlyFinance!$A:$G,5,FALSE),""))</x:f>
      </x:c>
      <x:c r="R286" t="str">
        <x:f>IF($A286="","",IFERROR(VLOOKUP($A286,MonthlyFinance!$A:$G,6,FALSE),""))</x:f>
      </x:c>
      <x:c r="S286" t="str">
        <x:f>IF($A286="","","Formula-linked from CaseLedger; finance fields from MonthlyFinance.")</x:f>
      </x:c>
      <x:c r="T286" t="str">
        <x:f>IF($A286="","","TRUE")</x:f>
      </x:c>
    </x:row>
    <x:row r="287">
      <x:c r="D287" t="str">
        <x:f>IF($A287="","",COUNTIFS(CaseLedger!$F:$F,$A287,CaseLedger!$B:$B,"TRUE"))</x:f>
      </x:c>
      <x:c r="E287" t="str">
        <x:f>IF($A287="","",COUNTIFS(CaseLedger!$F:$F,$A287,CaseLedger!$B:$B,"TRUE",CaseLedger!$P:$P,"Zakat"))</x:f>
      </x:c>
      <x:c r="F287" t="str">
        <x:f>IF($A287="","",COUNTIFS(CaseLedger!$F:$F,$A287,CaseLedger!$B:$B,"TRUE",CaseLedger!$P:$P,"Sadaqah"))</x:f>
      </x:c>
      <x:c r="G287" t="str">
        <x:f>IF($A287="","",COUNTIFS(CaseLedger!$F:$F,$A287,CaseLedger!$B:$B,"TRUE",CaseLedger!$P:$P,"Mixed"))</x:f>
      </x:c>
      <x:c r="H287" t="str">
        <x:f>IF($A287="","",COUNTIFS(CaseLedger!$F:$F,$A287,CaseLedger!$B:$B,"TRUE",CaseLedger!$K:$K,"Livelihood"))</x:f>
      </x:c>
      <x:c r="I287" t="str">
        <x:f>IF($A287="","",COUNTIFS(CaseLedger!$F:$F,$A287,CaseLedger!$B:$B,"TRUE",CaseLedger!$K:$K,"Skill Sponsorship"))</x:f>
      </x:c>
      <x:c r="J287" t="str">
        <x:f>IF($A287="","",COUNTIFS(CaseLedger!$F:$F,$A287,CaseLedger!$B:$B,"TRUE",CaseLedger!$K:$K,"Emergency Support"))</x:f>
      </x:c>
      <x:c r="K287" t="str">
        <x:f>IF($A287="","",COUNTIFS(CaseLedger!$F:$F,$A287,CaseLedger!$B:$B,"TRUE",CaseLedger!$K:$K,"Community Support"))</x:f>
      </x:c>
      <x:c r="L287" t="str">
        <x:f>IF($A287="","",SUMIFS(CaseLedger!$M:$M,CaseLedger!$F:$F,$A287,CaseLedger!$B:$B,"TRUE"))</x:f>
      </x:c>
      <x:c r="M287" t="str">
        <x:f>IF($A287="","",SUMIFS(CaseLedger!$N:$N,CaseLedger!$F:$F,$A287,CaseLedger!$B:$B,"TRUE"))</x:f>
      </x:c>
      <x:c r="N287" t="str">
        <x:f>IF($A287="","",0)</x:f>
      </x:c>
      <x:c r="O287" t="str">
        <x:f>IF($A287="","",SUMIFS(CaseLedger!$O:$O,CaseLedger!$F:$F,$A287,CaseLedger!$B:$B,"TRUE"))</x:f>
      </x:c>
      <x:c r="P287" t="str">
        <x:f>IF($A287="","",IFERROR(VLOOKUP($A287,MonthlyFinance!$A:$G,4,FALSE),""))</x:f>
      </x:c>
      <x:c r="Q287" t="str">
        <x:f>IF($A287="","",IFERROR(VLOOKUP($A287,MonthlyFinance!$A:$G,5,FALSE),""))</x:f>
      </x:c>
      <x:c r="R287" t="str">
        <x:f>IF($A287="","",IFERROR(VLOOKUP($A287,MonthlyFinance!$A:$G,6,FALSE),""))</x:f>
      </x:c>
      <x:c r="S287" t="str">
        <x:f>IF($A287="","","Formula-linked from CaseLedger; finance fields from MonthlyFinance.")</x:f>
      </x:c>
      <x:c r="T287" t="str">
        <x:f>IF($A287="","","TRUE")</x:f>
      </x:c>
    </x:row>
    <x:row r="288">
      <x:c r="D288" t="str">
        <x:f>IF($A288="","",COUNTIFS(CaseLedger!$F:$F,$A288,CaseLedger!$B:$B,"TRUE"))</x:f>
      </x:c>
      <x:c r="E288" t="str">
        <x:f>IF($A288="","",COUNTIFS(CaseLedger!$F:$F,$A288,CaseLedger!$B:$B,"TRUE",CaseLedger!$P:$P,"Zakat"))</x:f>
      </x:c>
      <x:c r="F288" t="str">
        <x:f>IF($A288="","",COUNTIFS(CaseLedger!$F:$F,$A288,CaseLedger!$B:$B,"TRUE",CaseLedger!$P:$P,"Sadaqah"))</x:f>
      </x:c>
      <x:c r="G288" t="str">
        <x:f>IF($A288="","",COUNTIFS(CaseLedger!$F:$F,$A288,CaseLedger!$B:$B,"TRUE",CaseLedger!$P:$P,"Mixed"))</x:f>
      </x:c>
      <x:c r="H288" t="str">
        <x:f>IF($A288="","",COUNTIFS(CaseLedger!$F:$F,$A288,CaseLedger!$B:$B,"TRUE",CaseLedger!$K:$K,"Livelihood"))</x:f>
      </x:c>
      <x:c r="I288" t="str">
        <x:f>IF($A288="","",COUNTIFS(CaseLedger!$F:$F,$A288,CaseLedger!$B:$B,"TRUE",CaseLedger!$K:$K,"Skill Sponsorship"))</x:f>
      </x:c>
      <x:c r="J288" t="str">
        <x:f>IF($A288="","",COUNTIFS(CaseLedger!$F:$F,$A288,CaseLedger!$B:$B,"TRUE",CaseLedger!$K:$K,"Emergency Support"))</x:f>
      </x:c>
      <x:c r="K288" t="str">
        <x:f>IF($A288="","",COUNTIFS(CaseLedger!$F:$F,$A288,CaseLedger!$B:$B,"TRUE",CaseLedger!$K:$K,"Community Support"))</x:f>
      </x:c>
      <x:c r="L288" t="str">
        <x:f>IF($A288="","",SUMIFS(CaseLedger!$M:$M,CaseLedger!$F:$F,$A288,CaseLedger!$B:$B,"TRUE"))</x:f>
      </x:c>
      <x:c r="M288" t="str">
        <x:f>IF($A288="","",SUMIFS(CaseLedger!$N:$N,CaseLedger!$F:$F,$A288,CaseLedger!$B:$B,"TRUE"))</x:f>
      </x:c>
      <x:c r="N288" t="str">
        <x:f>IF($A288="","",0)</x:f>
      </x:c>
      <x:c r="O288" t="str">
        <x:f>IF($A288="","",SUMIFS(CaseLedger!$O:$O,CaseLedger!$F:$F,$A288,CaseLedger!$B:$B,"TRUE"))</x:f>
      </x:c>
      <x:c r="P288" t="str">
        <x:f>IF($A288="","",IFERROR(VLOOKUP($A288,MonthlyFinance!$A:$G,4,FALSE),""))</x:f>
      </x:c>
      <x:c r="Q288" t="str">
        <x:f>IF($A288="","",IFERROR(VLOOKUP($A288,MonthlyFinance!$A:$G,5,FALSE),""))</x:f>
      </x:c>
      <x:c r="R288" t="str">
        <x:f>IF($A288="","",IFERROR(VLOOKUP($A288,MonthlyFinance!$A:$G,6,FALSE),""))</x:f>
      </x:c>
      <x:c r="S288" t="str">
        <x:f>IF($A288="","","Formula-linked from CaseLedger; finance fields from MonthlyFinance.")</x:f>
      </x:c>
      <x:c r="T288" t="str">
        <x:f>IF($A288="","","TRUE")</x:f>
      </x:c>
    </x:row>
    <x:row r="289">
      <x:c r="D289" t="str">
        <x:f>IF($A289="","",COUNTIFS(CaseLedger!$F:$F,$A289,CaseLedger!$B:$B,"TRUE"))</x:f>
      </x:c>
      <x:c r="E289" t="str">
        <x:f>IF($A289="","",COUNTIFS(CaseLedger!$F:$F,$A289,CaseLedger!$B:$B,"TRUE",CaseLedger!$P:$P,"Zakat"))</x:f>
      </x:c>
      <x:c r="F289" t="str">
        <x:f>IF($A289="","",COUNTIFS(CaseLedger!$F:$F,$A289,CaseLedger!$B:$B,"TRUE",CaseLedger!$P:$P,"Sadaqah"))</x:f>
      </x:c>
      <x:c r="G289" t="str">
        <x:f>IF($A289="","",COUNTIFS(CaseLedger!$F:$F,$A289,CaseLedger!$B:$B,"TRUE",CaseLedger!$P:$P,"Mixed"))</x:f>
      </x:c>
      <x:c r="H289" t="str">
        <x:f>IF($A289="","",COUNTIFS(CaseLedger!$F:$F,$A289,CaseLedger!$B:$B,"TRUE",CaseLedger!$K:$K,"Livelihood"))</x:f>
      </x:c>
      <x:c r="I289" t="str">
        <x:f>IF($A289="","",COUNTIFS(CaseLedger!$F:$F,$A289,CaseLedger!$B:$B,"TRUE",CaseLedger!$K:$K,"Skill Sponsorship"))</x:f>
      </x:c>
      <x:c r="J289" t="str">
        <x:f>IF($A289="","",COUNTIFS(CaseLedger!$F:$F,$A289,CaseLedger!$B:$B,"TRUE",CaseLedger!$K:$K,"Emergency Support"))</x:f>
      </x:c>
      <x:c r="K289" t="str">
        <x:f>IF($A289="","",COUNTIFS(CaseLedger!$F:$F,$A289,CaseLedger!$B:$B,"TRUE",CaseLedger!$K:$K,"Community Support"))</x:f>
      </x:c>
      <x:c r="L289" t="str">
        <x:f>IF($A289="","",SUMIFS(CaseLedger!$M:$M,CaseLedger!$F:$F,$A289,CaseLedger!$B:$B,"TRUE"))</x:f>
      </x:c>
      <x:c r="M289" t="str">
        <x:f>IF($A289="","",SUMIFS(CaseLedger!$N:$N,CaseLedger!$F:$F,$A289,CaseLedger!$B:$B,"TRUE"))</x:f>
      </x:c>
      <x:c r="N289" t="str">
        <x:f>IF($A289="","",0)</x:f>
      </x:c>
      <x:c r="O289" t="str">
        <x:f>IF($A289="","",SUMIFS(CaseLedger!$O:$O,CaseLedger!$F:$F,$A289,CaseLedger!$B:$B,"TRUE"))</x:f>
      </x:c>
      <x:c r="P289" t="str">
        <x:f>IF($A289="","",IFERROR(VLOOKUP($A289,MonthlyFinance!$A:$G,4,FALSE),""))</x:f>
      </x:c>
      <x:c r="Q289" t="str">
        <x:f>IF($A289="","",IFERROR(VLOOKUP($A289,MonthlyFinance!$A:$G,5,FALSE),""))</x:f>
      </x:c>
      <x:c r="R289" t="str">
        <x:f>IF($A289="","",IFERROR(VLOOKUP($A289,MonthlyFinance!$A:$G,6,FALSE),""))</x:f>
      </x:c>
      <x:c r="S289" t="str">
        <x:f>IF($A289="","","Formula-linked from CaseLedger; finance fields from MonthlyFinance.")</x:f>
      </x:c>
      <x:c r="T289" t="str">
        <x:f>IF($A289="","","TRUE")</x:f>
      </x:c>
    </x:row>
    <x:row r="290">
      <x:c r="D290" t="str">
        <x:f>IF($A290="","",COUNTIFS(CaseLedger!$F:$F,$A290,CaseLedger!$B:$B,"TRUE"))</x:f>
      </x:c>
      <x:c r="E290" t="str">
        <x:f>IF($A290="","",COUNTIFS(CaseLedger!$F:$F,$A290,CaseLedger!$B:$B,"TRUE",CaseLedger!$P:$P,"Zakat"))</x:f>
      </x:c>
      <x:c r="F290" t="str">
        <x:f>IF($A290="","",COUNTIFS(CaseLedger!$F:$F,$A290,CaseLedger!$B:$B,"TRUE",CaseLedger!$P:$P,"Sadaqah"))</x:f>
      </x:c>
      <x:c r="G290" t="str">
        <x:f>IF($A290="","",COUNTIFS(CaseLedger!$F:$F,$A290,CaseLedger!$B:$B,"TRUE",CaseLedger!$P:$P,"Mixed"))</x:f>
      </x:c>
      <x:c r="H290" t="str">
        <x:f>IF($A290="","",COUNTIFS(CaseLedger!$F:$F,$A290,CaseLedger!$B:$B,"TRUE",CaseLedger!$K:$K,"Livelihood"))</x:f>
      </x:c>
      <x:c r="I290" t="str">
        <x:f>IF($A290="","",COUNTIFS(CaseLedger!$F:$F,$A290,CaseLedger!$B:$B,"TRUE",CaseLedger!$K:$K,"Skill Sponsorship"))</x:f>
      </x:c>
      <x:c r="J290" t="str">
        <x:f>IF($A290="","",COUNTIFS(CaseLedger!$F:$F,$A290,CaseLedger!$B:$B,"TRUE",CaseLedger!$K:$K,"Emergency Support"))</x:f>
      </x:c>
      <x:c r="K290" t="str">
        <x:f>IF($A290="","",COUNTIFS(CaseLedger!$F:$F,$A290,CaseLedger!$B:$B,"TRUE",CaseLedger!$K:$K,"Community Support"))</x:f>
      </x:c>
      <x:c r="L290" t="str">
        <x:f>IF($A290="","",SUMIFS(CaseLedger!$M:$M,CaseLedger!$F:$F,$A290,CaseLedger!$B:$B,"TRUE"))</x:f>
      </x:c>
      <x:c r="M290" t="str">
        <x:f>IF($A290="","",SUMIFS(CaseLedger!$N:$N,CaseLedger!$F:$F,$A290,CaseLedger!$B:$B,"TRUE"))</x:f>
      </x:c>
      <x:c r="N290" t="str">
        <x:f>IF($A290="","",0)</x:f>
      </x:c>
      <x:c r="O290" t="str">
        <x:f>IF($A290="","",SUMIFS(CaseLedger!$O:$O,CaseLedger!$F:$F,$A290,CaseLedger!$B:$B,"TRUE"))</x:f>
      </x:c>
      <x:c r="P290" t="str">
        <x:f>IF($A290="","",IFERROR(VLOOKUP($A290,MonthlyFinance!$A:$G,4,FALSE),""))</x:f>
      </x:c>
      <x:c r="Q290" t="str">
        <x:f>IF($A290="","",IFERROR(VLOOKUP($A290,MonthlyFinance!$A:$G,5,FALSE),""))</x:f>
      </x:c>
      <x:c r="R290" t="str">
        <x:f>IF($A290="","",IFERROR(VLOOKUP($A290,MonthlyFinance!$A:$G,6,FALSE),""))</x:f>
      </x:c>
      <x:c r="S290" t="str">
        <x:f>IF($A290="","","Formula-linked from CaseLedger; finance fields from MonthlyFinance.")</x:f>
      </x:c>
      <x:c r="T290" t="str">
        <x:f>IF($A290="","","TRUE")</x:f>
      </x:c>
    </x:row>
    <x:row r="291">
      <x:c r="D291" t="str">
        <x:f>IF($A291="","",COUNTIFS(CaseLedger!$F:$F,$A291,CaseLedger!$B:$B,"TRUE"))</x:f>
      </x:c>
      <x:c r="E291" t="str">
        <x:f>IF($A291="","",COUNTIFS(CaseLedger!$F:$F,$A291,CaseLedger!$B:$B,"TRUE",CaseLedger!$P:$P,"Zakat"))</x:f>
      </x:c>
      <x:c r="F291" t="str">
        <x:f>IF($A291="","",COUNTIFS(CaseLedger!$F:$F,$A291,CaseLedger!$B:$B,"TRUE",CaseLedger!$P:$P,"Sadaqah"))</x:f>
      </x:c>
      <x:c r="G291" t="str">
        <x:f>IF($A291="","",COUNTIFS(CaseLedger!$F:$F,$A291,CaseLedger!$B:$B,"TRUE",CaseLedger!$P:$P,"Mixed"))</x:f>
      </x:c>
      <x:c r="H291" t="str">
        <x:f>IF($A291="","",COUNTIFS(CaseLedger!$F:$F,$A291,CaseLedger!$B:$B,"TRUE",CaseLedger!$K:$K,"Livelihood"))</x:f>
      </x:c>
      <x:c r="I291" t="str">
        <x:f>IF($A291="","",COUNTIFS(CaseLedger!$F:$F,$A291,CaseLedger!$B:$B,"TRUE",CaseLedger!$K:$K,"Skill Sponsorship"))</x:f>
      </x:c>
      <x:c r="J291" t="str">
        <x:f>IF($A291="","",COUNTIFS(CaseLedger!$F:$F,$A291,CaseLedger!$B:$B,"TRUE",CaseLedger!$K:$K,"Emergency Support"))</x:f>
      </x:c>
      <x:c r="K291" t="str">
        <x:f>IF($A291="","",COUNTIFS(CaseLedger!$F:$F,$A291,CaseLedger!$B:$B,"TRUE",CaseLedger!$K:$K,"Community Support"))</x:f>
      </x:c>
      <x:c r="L291" t="str">
        <x:f>IF($A291="","",SUMIFS(CaseLedger!$M:$M,CaseLedger!$F:$F,$A291,CaseLedger!$B:$B,"TRUE"))</x:f>
      </x:c>
      <x:c r="M291" t="str">
        <x:f>IF($A291="","",SUMIFS(CaseLedger!$N:$N,CaseLedger!$F:$F,$A291,CaseLedger!$B:$B,"TRUE"))</x:f>
      </x:c>
      <x:c r="N291" t="str">
        <x:f>IF($A291="","",0)</x:f>
      </x:c>
      <x:c r="O291" t="str">
        <x:f>IF($A291="","",SUMIFS(CaseLedger!$O:$O,CaseLedger!$F:$F,$A291,CaseLedger!$B:$B,"TRUE"))</x:f>
      </x:c>
      <x:c r="P291" t="str">
        <x:f>IF($A291="","",IFERROR(VLOOKUP($A291,MonthlyFinance!$A:$G,4,FALSE),""))</x:f>
      </x:c>
      <x:c r="Q291" t="str">
        <x:f>IF($A291="","",IFERROR(VLOOKUP($A291,MonthlyFinance!$A:$G,5,FALSE),""))</x:f>
      </x:c>
      <x:c r="R291" t="str">
        <x:f>IF($A291="","",IFERROR(VLOOKUP($A291,MonthlyFinance!$A:$G,6,FALSE),""))</x:f>
      </x:c>
      <x:c r="S291" t="str">
        <x:f>IF($A291="","","Formula-linked from CaseLedger; finance fields from MonthlyFinance.")</x:f>
      </x:c>
      <x:c r="T291" t="str">
        <x:f>IF($A291="","","TRUE")</x:f>
      </x:c>
    </x:row>
    <x:row r="292">
      <x:c r="D292" t="str">
        <x:f>IF($A292="","",COUNTIFS(CaseLedger!$F:$F,$A292,CaseLedger!$B:$B,"TRUE"))</x:f>
      </x:c>
      <x:c r="E292" t="str">
        <x:f>IF($A292="","",COUNTIFS(CaseLedger!$F:$F,$A292,CaseLedger!$B:$B,"TRUE",CaseLedger!$P:$P,"Zakat"))</x:f>
      </x:c>
      <x:c r="F292" t="str">
        <x:f>IF($A292="","",COUNTIFS(CaseLedger!$F:$F,$A292,CaseLedger!$B:$B,"TRUE",CaseLedger!$P:$P,"Sadaqah"))</x:f>
      </x:c>
      <x:c r="G292" t="str">
        <x:f>IF($A292="","",COUNTIFS(CaseLedger!$F:$F,$A292,CaseLedger!$B:$B,"TRUE",CaseLedger!$P:$P,"Mixed"))</x:f>
      </x:c>
      <x:c r="H292" t="str">
        <x:f>IF($A292="","",COUNTIFS(CaseLedger!$F:$F,$A292,CaseLedger!$B:$B,"TRUE",CaseLedger!$K:$K,"Livelihood"))</x:f>
      </x:c>
      <x:c r="I292" t="str">
        <x:f>IF($A292="","",COUNTIFS(CaseLedger!$F:$F,$A292,CaseLedger!$B:$B,"TRUE",CaseLedger!$K:$K,"Skill Sponsorship"))</x:f>
      </x:c>
      <x:c r="J292" t="str">
        <x:f>IF($A292="","",COUNTIFS(CaseLedger!$F:$F,$A292,CaseLedger!$B:$B,"TRUE",CaseLedger!$K:$K,"Emergency Support"))</x:f>
      </x:c>
      <x:c r="K292" t="str">
        <x:f>IF($A292="","",COUNTIFS(CaseLedger!$F:$F,$A292,CaseLedger!$B:$B,"TRUE",CaseLedger!$K:$K,"Community Support"))</x:f>
      </x:c>
      <x:c r="L292" t="str">
        <x:f>IF($A292="","",SUMIFS(CaseLedger!$M:$M,CaseLedger!$F:$F,$A292,CaseLedger!$B:$B,"TRUE"))</x:f>
      </x:c>
      <x:c r="M292" t="str">
        <x:f>IF($A292="","",SUMIFS(CaseLedger!$N:$N,CaseLedger!$F:$F,$A292,CaseLedger!$B:$B,"TRUE"))</x:f>
      </x:c>
      <x:c r="N292" t="str">
        <x:f>IF($A292="","",0)</x:f>
      </x:c>
      <x:c r="O292" t="str">
        <x:f>IF($A292="","",SUMIFS(CaseLedger!$O:$O,CaseLedger!$F:$F,$A292,CaseLedger!$B:$B,"TRUE"))</x:f>
      </x:c>
      <x:c r="P292" t="str">
        <x:f>IF($A292="","",IFERROR(VLOOKUP($A292,MonthlyFinance!$A:$G,4,FALSE),""))</x:f>
      </x:c>
      <x:c r="Q292" t="str">
        <x:f>IF($A292="","",IFERROR(VLOOKUP($A292,MonthlyFinance!$A:$G,5,FALSE),""))</x:f>
      </x:c>
      <x:c r="R292" t="str">
        <x:f>IF($A292="","",IFERROR(VLOOKUP($A292,MonthlyFinance!$A:$G,6,FALSE),""))</x:f>
      </x:c>
      <x:c r="S292" t="str">
        <x:f>IF($A292="","","Formula-linked from CaseLedger; finance fields from MonthlyFinance.")</x:f>
      </x:c>
      <x:c r="T292" t="str">
        <x:f>IF($A292="","","TRUE")</x:f>
      </x:c>
    </x:row>
    <x:row r="293">
      <x:c r="D293" t="str">
        <x:f>IF($A293="","",COUNTIFS(CaseLedger!$F:$F,$A293,CaseLedger!$B:$B,"TRUE"))</x:f>
      </x:c>
      <x:c r="E293" t="str">
        <x:f>IF($A293="","",COUNTIFS(CaseLedger!$F:$F,$A293,CaseLedger!$B:$B,"TRUE",CaseLedger!$P:$P,"Zakat"))</x:f>
      </x:c>
      <x:c r="F293" t="str">
        <x:f>IF($A293="","",COUNTIFS(CaseLedger!$F:$F,$A293,CaseLedger!$B:$B,"TRUE",CaseLedger!$P:$P,"Sadaqah"))</x:f>
      </x:c>
      <x:c r="G293" t="str">
        <x:f>IF($A293="","",COUNTIFS(CaseLedger!$F:$F,$A293,CaseLedger!$B:$B,"TRUE",CaseLedger!$P:$P,"Mixed"))</x:f>
      </x:c>
      <x:c r="H293" t="str">
        <x:f>IF($A293="","",COUNTIFS(CaseLedger!$F:$F,$A293,CaseLedger!$B:$B,"TRUE",CaseLedger!$K:$K,"Livelihood"))</x:f>
      </x:c>
      <x:c r="I293" t="str">
        <x:f>IF($A293="","",COUNTIFS(CaseLedger!$F:$F,$A293,CaseLedger!$B:$B,"TRUE",CaseLedger!$K:$K,"Skill Sponsorship"))</x:f>
      </x:c>
      <x:c r="J293" t="str">
        <x:f>IF($A293="","",COUNTIFS(CaseLedger!$F:$F,$A293,CaseLedger!$B:$B,"TRUE",CaseLedger!$K:$K,"Emergency Support"))</x:f>
      </x:c>
      <x:c r="K293" t="str">
        <x:f>IF($A293="","",COUNTIFS(CaseLedger!$F:$F,$A293,CaseLedger!$B:$B,"TRUE",CaseLedger!$K:$K,"Community Support"))</x:f>
      </x:c>
      <x:c r="L293" t="str">
        <x:f>IF($A293="","",SUMIFS(CaseLedger!$M:$M,CaseLedger!$F:$F,$A293,CaseLedger!$B:$B,"TRUE"))</x:f>
      </x:c>
      <x:c r="M293" t="str">
        <x:f>IF($A293="","",SUMIFS(CaseLedger!$N:$N,CaseLedger!$F:$F,$A293,CaseLedger!$B:$B,"TRUE"))</x:f>
      </x:c>
      <x:c r="N293" t="str">
        <x:f>IF($A293="","",0)</x:f>
      </x:c>
      <x:c r="O293" t="str">
        <x:f>IF($A293="","",SUMIFS(CaseLedger!$O:$O,CaseLedger!$F:$F,$A293,CaseLedger!$B:$B,"TRUE"))</x:f>
      </x:c>
      <x:c r="P293" t="str">
        <x:f>IF($A293="","",IFERROR(VLOOKUP($A293,MonthlyFinance!$A:$G,4,FALSE),""))</x:f>
      </x:c>
      <x:c r="Q293" t="str">
        <x:f>IF($A293="","",IFERROR(VLOOKUP($A293,MonthlyFinance!$A:$G,5,FALSE),""))</x:f>
      </x:c>
      <x:c r="R293" t="str">
        <x:f>IF($A293="","",IFERROR(VLOOKUP($A293,MonthlyFinance!$A:$G,6,FALSE),""))</x:f>
      </x:c>
      <x:c r="S293" t="str">
        <x:f>IF($A293="","","Formula-linked from CaseLedger; finance fields from MonthlyFinance.")</x:f>
      </x:c>
      <x:c r="T293" t="str">
        <x:f>IF($A293="","","TRUE")</x:f>
      </x:c>
    </x:row>
    <x:row r="294">
      <x:c r="D294" t="str">
        <x:f>IF($A294="","",COUNTIFS(CaseLedger!$F:$F,$A294,CaseLedger!$B:$B,"TRUE"))</x:f>
      </x:c>
      <x:c r="E294" t="str">
        <x:f>IF($A294="","",COUNTIFS(CaseLedger!$F:$F,$A294,CaseLedger!$B:$B,"TRUE",CaseLedger!$P:$P,"Zakat"))</x:f>
      </x:c>
      <x:c r="F294" t="str">
        <x:f>IF($A294="","",COUNTIFS(CaseLedger!$F:$F,$A294,CaseLedger!$B:$B,"TRUE",CaseLedger!$P:$P,"Sadaqah"))</x:f>
      </x:c>
      <x:c r="G294" t="str">
        <x:f>IF($A294="","",COUNTIFS(CaseLedger!$F:$F,$A294,CaseLedger!$B:$B,"TRUE",CaseLedger!$P:$P,"Mixed"))</x:f>
      </x:c>
      <x:c r="H294" t="str">
        <x:f>IF($A294="","",COUNTIFS(CaseLedger!$F:$F,$A294,CaseLedger!$B:$B,"TRUE",CaseLedger!$K:$K,"Livelihood"))</x:f>
      </x:c>
      <x:c r="I294" t="str">
        <x:f>IF($A294="","",COUNTIFS(CaseLedger!$F:$F,$A294,CaseLedger!$B:$B,"TRUE",CaseLedger!$K:$K,"Skill Sponsorship"))</x:f>
      </x:c>
      <x:c r="J294" t="str">
        <x:f>IF($A294="","",COUNTIFS(CaseLedger!$F:$F,$A294,CaseLedger!$B:$B,"TRUE",CaseLedger!$K:$K,"Emergency Support"))</x:f>
      </x:c>
      <x:c r="K294" t="str">
        <x:f>IF($A294="","",COUNTIFS(CaseLedger!$F:$F,$A294,CaseLedger!$B:$B,"TRUE",CaseLedger!$K:$K,"Community Support"))</x:f>
      </x:c>
      <x:c r="L294" t="str">
        <x:f>IF($A294="","",SUMIFS(CaseLedger!$M:$M,CaseLedger!$F:$F,$A294,CaseLedger!$B:$B,"TRUE"))</x:f>
      </x:c>
      <x:c r="M294" t="str">
        <x:f>IF($A294="","",SUMIFS(CaseLedger!$N:$N,CaseLedger!$F:$F,$A294,CaseLedger!$B:$B,"TRUE"))</x:f>
      </x:c>
      <x:c r="N294" t="str">
        <x:f>IF($A294="","",0)</x:f>
      </x:c>
      <x:c r="O294" t="str">
        <x:f>IF($A294="","",SUMIFS(CaseLedger!$O:$O,CaseLedger!$F:$F,$A294,CaseLedger!$B:$B,"TRUE"))</x:f>
      </x:c>
      <x:c r="P294" t="str">
        <x:f>IF($A294="","",IFERROR(VLOOKUP($A294,MonthlyFinance!$A:$G,4,FALSE),""))</x:f>
      </x:c>
      <x:c r="Q294" t="str">
        <x:f>IF($A294="","",IFERROR(VLOOKUP($A294,MonthlyFinance!$A:$G,5,FALSE),""))</x:f>
      </x:c>
      <x:c r="R294" t="str">
        <x:f>IF($A294="","",IFERROR(VLOOKUP($A294,MonthlyFinance!$A:$G,6,FALSE),""))</x:f>
      </x:c>
      <x:c r="S294" t="str">
        <x:f>IF($A294="","","Formula-linked from CaseLedger; finance fields from MonthlyFinance.")</x:f>
      </x:c>
      <x:c r="T294" t="str">
        <x:f>IF($A294="","","TRUE")</x:f>
      </x:c>
    </x:row>
    <x:row r="295">
      <x:c r="D295" t="str">
        <x:f>IF($A295="","",COUNTIFS(CaseLedger!$F:$F,$A295,CaseLedger!$B:$B,"TRUE"))</x:f>
      </x:c>
      <x:c r="E295" t="str">
        <x:f>IF($A295="","",COUNTIFS(CaseLedger!$F:$F,$A295,CaseLedger!$B:$B,"TRUE",CaseLedger!$P:$P,"Zakat"))</x:f>
      </x:c>
      <x:c r="F295" t="str">
        <x:f>IF($A295="","",COUNTIFS(CaseLedger!$F:$F,$A295,CaseLedger!$B:$B,"TRUE",CaseLedger!$P:$P,"Sadaqah"))</x:f>
      </x:c>
      <x:c r="G295" t="str">
        <x:f>IF($A295="","",COUNTIFS(CaseLedger!$F:$F,$A295,CaseLedger!$B:$B,"TRUE",CaseLedger!$P:$P,"Mixed"))</x:f>
      </x:c>
      <x:c r="H295" t="str">
        <x:f>IF($A295="","",COUNTIFS(CaseLedger!$F:$F,$A295,CaseLedger!$B:$B,"TRUE",CaseLedger!$K:$K,"Livelihood"))</x:f>
      </x:c>
      <x:c r="I295" t="str">
        <x:f>IF($A295="","",COUNTIFS(CaseLedger!$F:$F,$A295,CaseLedger!$B:$B,"TRUE",CaseLedger!$K:$K,"Skill Sponsorship"))</x:f>
      </x:c>
      <x:c r="J295" t="str">
        <x:f>IF($A295="","",COUNTIFS(CaseLedger!$F:$F,$A295,CaseLedger!$B:$B,"TRUE",CaseLedger!$K:$K,"Emergency Support"))</x:f>
      </x:c>
      <x:c r="K295" t="str">
        <x:f>IF($A295="","",COUNTIFS(CaseLedger!$F:$F,$A295,CaseLedger!$B:$B,"TRUE",CaseLedger!$K:$K,"Community Support"))</x:f>
      </x:c>
      <x:c r="L295" t="str">
        <x:f>IF($A295="","",SUMIFS(CaseLedger!$M:$M,CaseLedger!$F:$F,$A295,CaseLedger!$B:$B,"TRUE"))</x:f>
      </x:c>
      <x:c r="M295" t="str">
        <x:f>IF($A295="","",SUMIFS(CaseLedger!$N:$N,CaseLedger!$F:$F,$A295,CaseLedger!$B:$B,"TRUE"))</x:f>
      </x:c>
      <x:c r="N295" t="str">
        <x:f>IF($A295="","",0)</x:f>
      </x:c>
      <x:c r="O295" t="str">
        <x:f>IF($A295="","",SUMIFS(CaseLedger!$O:$O,CaseLedger!$F:$F,$A295,CaseLedger!$B:$B,"TRUE"))</x:f>
      </x:c>
      <x:c r="P295" t="str">
        <x:f>IF($A295="","",IFERROR(VLOOKUP($A295,MonthlyFinance!$A:$G,4,FALSE),""))</x:f>
      </x:c>
      <x:c r="Q295" t="str">
        <x:f>IF($A295="","",IFERROR(VLOOKUP($A295,MonthlyFinance!$A:$G,5,FALSE),""))</x:f>
      </x:c>
      <x:c r="R295" t="str">
        <x:f>IF($A295="","",IFERROR(VLOOKUP($A295,MonthlyFinance!$A:$G,6,FALSE),""))</x:f>
      </x:c>
      <x:c r="S295" t="str">
        <x:f>IF($A295="","","Formula-linked from CaseLedger; finance fields from MonthlyFinance.")</x:f>
      </x:c>
      <x:c r="T295" t="str">
        <x:f>IF($A295="","","TRUE")</x:f>
      </x:c>
    </x:row>
    <x:row r="296">
      <x:c r="D296" t="str">
        <x:f>IF($A296="","",COUNTIFS(CaseLedger!$F:$F,$A296,CaseLedger!$B:$B,"TRUE"))</x:f>
      </x:c>
      <x:c r="E296" t="str">
        <x:f>IF($A296="","",COUNTIFS(CaseLedger!$F:$F,$A296,CaseLedger!$B:$B,"TRUE",CaseLedger!$P:$P,"Zakat"))</x:f>
      </x:c>
      <x:c r="F296" t="str">
        <x:f>IF($A296="","",COUNTIFS(CaseLedger!$F:$F,$A296,CaseLedger!$B:$B,"TRUE",CaseLedger!$P:$P,"Sadaqah"))</x:f>
      </x:c>
      <x:c r="G296" t="str">
        <x:f>IF($A296="","",COUNTIFS(CaseLedger!$F:$F,$A296,CaseLedger!$B:$B,"TRUE",CaseLedger!$P:$P,"Mixed"))</x:f>
      </x:c>
      <x:c r="H296" t="str">
        <x:f>IF($A296="","",COUNTIFS(CaseLedger!$F:$F,$A296,CaseLedger!$B:$B,"TRUE",CaseLedger!$K:$K,"Livelihood"))</x:f>
      </x:c>
      <x:c r="I296" t="str">
        <x:f>IF($A296="","",COUNTIFS(CaseLedger!$F:$F,$A296,CaseLedger!$B:$B,"TRUE",CaseLedger!$K:$K,"Skill Sponsorship"))</x:f>
      </x:c>
      <x:c r="J296" t="str">
        <x:f>IF($A296="","",COUNTIFS(CaseLedger!$F:$F,$A296,CaseLedger!$B:$B,"TRUE",CaseLedger!$K:$K,"Emergency Support"))</x:f>
      </x:c>
      <x:c r="K296" t="str">
        <x:f>IF($A296="","",COUNTIFS(CaseLedger!$F:$F,$A296,CaseLedger!$B:$B,"TRUE",CaseLedger!$K:$K,"Community Support"))</x:f>
      </x:c>
      <x:c r="L296" t="str">
        <x:f>IF($A296="","",SUMIFS(CaseLedger!$M:$M,CaseLedger!$F:$F,$A296,CaseLedger!$B:$B,"TRUE"))</x:f>
      </x:c>
      <x:c r="M296" t="str">
        <x:f>IF($A296="","",SUMIFS(CaseLedger!$N:$N,CaseLedger!$F:$F,$A296,CaseLedger!$B:$B,"TRUE"))</x:f>
      </x:c>
      <x:c r="N296" t="str">
        <x:f>IF($A296="","",0)</x:f>
      </x:c>
      <x:c r="O296" t="str">
        <x:f>IF($A296="","",SUMIFS(CaseLedger!$O:$O,CaseLedger!$F:$F,$A296,CaseLedger!$B:$B,"TRUE"))</x:f>
      </x:c>
      <x:c r="P296" t="str">
        <x:f>IF($A296="","",IFERROR(VLOOKUP($A296,MonthlyFinance!$A:$G,4,FALSE),""))</x:f>
      </x:c>
      <x:c r="Q296" t="str">
        <x:f>IF($A296="","",IFERROR(VLOOKUP($A296,MonthlyFinance!$A:$G,5,FALSE),""))</x:f>
      </x:c>
      <x:c r="R296" t="str">
        <x:f>IF($A296="","",IFERROR(VLOOKUP($A296,MonthlyFinance!$A:$G,6,FALSE),""))</x:f>
      </x:c>
      <x:c r="S296" t="str">
        <x:f>IF($A296="","","Formula-linked from CaseLedger; finance fields from MonthlyFinance.")</x:f>
      </x:c>
      <x:c r="T296" t="str">
        <x:f>IF($A296="","","TRUE")</x:f>
      </x:c>
    </x:row>
    <x:row r="297">
      <x:c r="D297" t="str">
        <x:f>IF($A297="","",COUNTIFS(CaseLedger!$F:$F,$A297,CaseLedger!$B:$B,"TRUE"))</x:f>
      </x:c>
      <x:c r="E297" t="str">
        <x:f>IF($A297="","",COUNTIFS(CaseLedger!$F:$F,$A297,CaseLedger!$B:$B,"TRUE",CaseLedger!$P:$P,"Zakat"))</x:f>
      </x:c>
      <x:c r="F297" t="str">
        <x:f>IF($A297="","",COUNTIFS(CaseLedger!$F:$F,$A297,CaseLedger!$B:$B,"TRUE",CaseLedger!$P:$P,"Sadaqah"))</x:f>
      </x:c>
      <x:c r="G297" t="str">
        <x:f>IF($A297="","",COUNTIFS(CaseLedger!$F:$F,$A297,CaseLedger!$B:$B,"TRUE",CaseLedger!$P:$P,"Mixed"))</x:f>
      </x:c>
      <x:c r="H297" t="str">
        <x:f>IF($A297="","",COUNTIFS(CaseLedger!$F:$F,$A297,CaseLedger!$B:$B,"TRUE",CaseLedger!$K:$K,"Livelihood"))</x:f>
      </x:c>
      <x:c r="I297" t="str">
        <x:f>IF($A297="","",COUNTIFS(CaseLedger!$F:$F,$A297,CaseLedger!$B:$B,"TRUE",CaseLedger!$K:$K,"Skill Sponsorship"))</x:f>
      </x:c>
      <x:c r="J297" t="str">
        <x:f>IF($A297="","",COUNTIFS(CaseLedger!$F:$F,$A297,CaseLedger!$B:$B,"TRUE",CaseLedger!$K:$K,"Emergency Support"))</x:f>
      </x:c>
      <x:c r="K297" t="str">
        <x:f>IF($A297="","",COUNTIFS(CaseLedger!$F:$F,$A297,CaseLedger!$B:$B,"TRUE",CaseLedger!$K:$K,"Community Support"))</x:f>
      </x:c>
      <x:c r="L297" t="str">
        <x:f>IF($A297="","",SUMIFS(CaseLedger!$M:$M,CaseLedger!$F:$F,$A297,CaseLedger!$B:$B,"TRUE"))</x:f>
      </x:c>
      <x:c r="M297" t="str">
        <x:f>IF($A297="","",SUMIFS(CaseLedger!$N:$N,CaseLedger!$F:$F,$A297,CaseLedger!$B:$B,"TRUE"))</x:f>
      </x:c>
      <x:c r="N297" t="str">
        <x:f>IF($A297="","",0)</x:f>
      </x:c>
      <x:c r="O297" t="str">
        <x:f>IF($A297="","",SUMIFS(CaseLedger!$O:$O,CaseLedger!$F:$F,$A297,CaseLedger!$B:$B,"TRUE"))</x:f>
      </x:c>
      <x:c r="P297" t="str">
        <x:f>IF($A297="","",IFERROR(VLOOKUP($A297,MonthlyFinance!$A:$G,4,FALSE),""))</x:f>
      </x:c>
      <x:c r="Q297" t="str">
        <x:f>IF($A297="","",IFERROR(VLOOKUP($A297,MonthlyFinance!$A:$G,5,FALSE),""))</x:f>
      </x:c>
      <x:c r="R297" t="str">
        <x:f>IF($A297="","",IFERROR(VLOOKUP($A297,MonthlyFinance!$A:$G,6,FALSE),""))</x:f>
      </x:c>
      <x:c r="S297" t="str">
        <x:f>IF($A297="","","Formula-linked from CaseLedger; finance fields from MonthlyFinance.")</x:f>
      </x:c>
      <x:c r="T297" t="str">
        <x:f>IF($A297="","","TRUE")</x:f>
      </x:c>
    </x:row>
    <x:row r="298">
      <x:c r="D298" t="str">
        <x:f>IF($A298="","",COUNTIFS(CaseLedger!$F:$F,$A298,CaseLedger!$B:$B,"TRUE"))</x:f>
      </x:c>
      <x:c r="E298" t="str">
        <x:f>IF($A298="","",COUNTIFS(CaseLedger!$F:$F,$A298,CaseLedger!$B:$B,"TRUE",CaseLedger!$P:$P,"Zakat"))</x:f>
      </x:c>
      <x:c r="F298" t="str">
        <x:f>IF($A298="","",COUNTIFS(CaseLedger!$F:$F,$A298,CaseLedger!$B:$B,"TRUE",CaseLedger!$P:$P,"Sadaqah"))</x:f>
      </x:c>
      <x:c r="G298" t="str">
        <x:f>IF($A298="","",COUNTIFS(CaseLedger!$F:$F,$A298,CaseLedger!$B:$B,"TRUE",CaseLedger!$P:$P,"Mixed"))</x:f>
      </x:c>
      <x:c r="H298" t="str">
        <x:f>IF($A298="","",COUNTIFS(CaseLedger!$F:$F,$A298,CaseLedger!$B:$B,"TRUE",CaseLedger!$K:$K,"Livelihood"))</x:f>
      </x:c>
      <x:c r="I298" t="str">
        <x:f>IF($A298="","",COUNTIFS(CaseLedger!$F:$F,$A298,CaseLedger!$B:$B,"TRUE",CaseLedger!$K:$K,"Skill Sponsorship"))</x:f>
      </x:c>
      <x:c r="J298" t="str">
        <x:f>IF($A298="","",COUNTIFS(CaseLedger!$F:$F,$A298,CaseLedger!$B:$B,"TRUE",CaseLedger!$K:$K,"Emergency Support"))</x:f>
      </x:c>
      <x:c r="K298" t="str">
        <x:f>IF($A298="","",COUNTIFS(CaseLedger!$F:$F,$A298,CaseLedger!$B:$B,"TRUE",CaseLedger!$K:$K,"Community Support"))</x:f>
      </x:c>
      <x:c r="L298" t="str">
        <x:f>IF($A298="","",SUMIFS(CaseLedger!$M:$M,CaseLedger!$F:$F,$A298,CaseLedger!$B:$B,"TRUE"))</x:f>
      </x:c>
      <x:c r="M298" t="str">
        <x:f>IF($A298="","",SUMIFS(CaseLedger!$N:$N,CaseLedger!$F:$F,$A298,CaseLedger!$B:$B,"TRUE"))</x:f>
      </x:c>
      <x:c r="N298" t="str">
        <x:f>IF($A298="","",0)</x:f>
      </x:c>
      <x:c r="O298" t="str">
        <x:f>IF($A298="","",SUMIFS(CaseLedger!$O:$O,CaseLedger!$F:$F,$A298,CaseLedger!$B:$B,"TRUE"))</x:f>
      </x:c>
      <x:c r="P298" t="str">
        <x:f>IF($A298="","",IFERROR(VLOOKUP($A298,MonthlyFinance!$A:$G,4,FALSE),""))</x:f>
      </x:c>
      <x:c r="Q298" t="str">
        <x:f>IF($A298="","",IFERROR(VLOOKUP($A298,MonthlyFinance!$A:$G,5,FALSE),""))</x:f>
      </x:c>
      <x:c r="R298" t="str">
        <x:f>IF($A298="","",IFERROR(VLOOKUP($A298,MonthlyFinance!$A:$G,6,FALSE),""))</x:f>
      </x:c>
      <x:c r="S298" t="str">
        <x:f>IF($A298="","","Formula-linked from CaseLedger; finance fields from MonthlyFinance.")</x:f>
      </x:c>
      <x:c r="T298" t="str">
        <x:f>IF($A298="","","TRUE")</x:f>
      </x:c>
    </x:row>
    <x:row r="299">
      <x:c r="D299" t="str">
        <x:f>IF($A299="","",COUNTIFS(CaseLedger!$F:$F,$A299,CaseLedger!$B:$B,"TRUE"))</x:f>
      </x:c>
      <x:c r="E299" t="str">
        <x:f>IF($A299="","",COUNTIFS(CaseLedger!$F:$F,$A299,CaseLedger!$B:$B,"TRUE",CaseLedger!$P:$P,"Zakat"))</x:f>
      </x:c>
      <x:c r="F299" t="str">
        <x:f>IF($A299="","",COUNTIFS(CaseLedger!$F:$F,$A299,CaseLedger!$B:$B,"TRUE",CaseLedger!$P:$P,"Sadaqah"))</x:f>
      </x:c>
      <x:c r="G299" t="str">
        <x:f>IF($A299="","",COUNTIFS(CaseLedger!$F:$F,$A299,CaseLedger!$B:$B,"TRUE",CaseLedger!$P:$P,"Mixed"))</x:f>
      </x:c>
      <x:c r="H299" t="str">
        <x:f>IF($A299="","",COUNTIFS(CaseLedger!$F:$F,$A299,CaseLedger!$B:$B,"TRUE",CaseLedger!$K:$K,"Livelihood"))</x:f>
      </x:c>
      <x:c r="I299" t="str">
        <x:f>IF($A299="","",COUNTIFS(CaseLedger!$F:$F,$A299,CaseLedger!$B:$B,"TRUE",CaseLedger!$K:$K,"Skill Sponsorship"))</x:f>
      </x:c>
      <x:c r="J299" t="str">
        <x:f>IF($A299="","",COUNTIFS(CaseLedger!$F:$F,$A299,CaseLedger!$B:$B,"TRUE",CaseLedger!$K:$K,"Emergency Support"))</x:f>
      </x:c>
      <x:c r="K299" t="str">
        <x:f>IF($A299="","",COUNTIFS(CaseLedger!$F:$F,$A299,CaseLedger!$B:$B,"TRUE",CaseLedger!$K:$K,"Community Support"))</x:f>
      </x:c>
      <x:c r="L299" t="str">
        <x:f>IF($A299="","",SUMIFS(CaseLedger!$M:$M,CaseLedger!$F:$F,$A299,CaseLedger!$B:$B,"TRUE"))</x:f>
      </x:c>
      <x:c r="M299" t="str">
        <x:f>IF($A299="","",SUMIFS(CaseLedger!$N:$N,CaseLedger!$F:$F,$A299,CaseLedger!$B:$B,"TRUE"))</x:f>
      </x:c>
      <x:c r="N299" t="str">
        <x:f>IF($A299="","",0)</x:f>
      </x:c>
      <x:c r="O299" t="str">
        <x:f>IF($A299="","",SUMIFS(CaseLedger!$O:$O,CaseLedger!$F:$F,$A299,CaseLedger!$B:$B,"TRUE"))</x:f>
      </x:c>
      <x:c r="P299" t="str">
        <x:f>IF($A299="","",IFERROR(VLOOKUP($A299,MonthlyFinance!$A:$G,4,FALSE),""))</x:f>
      </x:c>
      <x:c r="Q299" t="str">
        <x:f>IF($A299="","",IFERROR(VLOOKUP($A299,MonthlyFinance!$A:$G,5,FALSE),""))</x:f>
      </x:c>
      <x:c r="R299" t="str">
        <x:f>IF($A299="","",IFERROR(VLOOKUP($A299,MonthlyFinance!$A:$G,6,FALSE),""))</x:f>
      </x:c>
      <x:c r="S299" t="str">
        <x:f>IF($A299="","","Formula-linked from CaseLedger; finance fields from MonthlyFinance.")</x:f>
      </x:c>
      <x:c r="T299" t="str">
        <x:f>IF($A299="","","TRUE")</x:f>
      </x:c>
    </x:row>
    <x:row r="300">
      <x:c r="D300" t="str">
        <x:f>IF($A300="","",COUNTIFS(CaseLedger!$F:$F,$A300,CaseLedger!$B:$B,"TRUE"))</x:f>
      </x:c>
      <x:c r="E300" t="str">
        <x:f>IF($A300="","",COUNTIFS(CaseLedger!$F:$F,$A300,CaseLedger!$B:$B,"TRUE",CaseLedger!$P:$P,"Zakat"))</x:f>
      </x:c>
      <x:c r="F300" t="str">
        <x:f>IF($A300="","",COUNTIFS(CaseLedger!$F:$F,$A300,CaseLedger!$B:$B,"TRUE",CaseLedger!$P:$P,"Sadaqah"))</x:f>
      </x:c>
      <x:c r="G300" t="str">
        <x:f>IF($A300="","",COUNTIFS(CaseLedger!$F:$F,$A300,CaseLedger!$B:$B,"TRUE",CaseLedger!$P:$P,"Mixed"))</x:f>
      </x:c>
      <x:c r="H300" t="str">
        <x:f>IF($A300="","",COUNTIFS(CaseLedger!$F:$F,$A300,CaseLedger!$B:$B,"TRUE",CaseLedger!$K:$K,"Livelihood"))</x:f>
      </x:c>
      <x:c r="I300" t="str">
        <x:f>IF($A300="","",COUNTIFS(CaseLedger!$F:$F,$A300,CaseLedger!$B:$B,"TRUE",CaseLedger!$K:$K,"Skill Sponsorship"))</x:f>
      </x:c>
      <x:c r="J300" t="str">
        <x:f>IF($A300="","",COUNTIFS(CaseLedger!$F:$F,$A300,CaseLedger!$B:$B,"TRUE",CaseLedger!$K:$K,"Emergency Support"))</x:f>
      </x:c>
      <x:c r="K300" t="str">
        <x:f>IF($A300="","",COUNTIFS(CaseLedger!$F:$F,$A300,CaseLedger!$B:$B,"TRUE",CaseLedger!$K:$K,"Community Support"))</x:f>
      </x:c>
      <x:c r="L300" t="str">
        <x:f>IF($A300="","",SUMIFS(CaseLedger!$M:$M,CaseLedger!$F:$F,$A300,CaseLedger!$B:$B,"TRUE"))</x:f>
      </x:c>
      <x:c r="M300" t="str">
        <x:f>IF($A300="","",SUMIFS(CaseLedger!$N:$N,CaseLedger!$F:$F,$A300,CaseLedger!$B:$B,"TRUE"))</x:f>
      </x:c>
      <x:c r="N300" t="str">
        <x:f>IF($A300="","",0)</x:f>
      </x:c>
      <x:c r="O300" t="str">
        <x:f>IF($A300="","",SUMIFS(CaseLedger!$O:$O,CaseLedger!$F:$F,$A300,CaseLedger!$B:$B,"TRUE"))</x:f>
      </x:c>
      <x:c r="P300" t="str">
        <x:f>IF($A300="","",IFERROR(VLOOKUP($A300,MonthlyFinance!$A:$G,4,FALSE),""))</x:f>
      </x:c>
      <x:c r="Q300" t="str">
        <x:f>IF($A300="","",IFERROR(VLOOKUP($A300,MonthlyFinance!$A:$G,5,FALSE),""))</x:f>
      </x:c>
      <x:c r="R300" t="str">
        <x:f>IF($A300="","",IFERROR(VLOOKUP($A300,MonthlyFinance!$A:$G,6,FALSE),""))</x:f>
      </x:c>
      <x:c r="S300" t="str">
        <x:f>IF($A300="","","Formula-linked from CaseLedger; finance fields from MonthlyFinance.")</x:f>
      </x:c>
      <x:c r="T300" t="str">
        <x:f>IF($A300="","","TRUE")</x:f>
      </x:c>
    </x:row>
    <x:row r="301">
      <x:c r="D301" t="str">
        <x:f>IF($A301="","",COUNTIFS(CaseLedger!$F:$F,$A301,CaseLedger!$B:$B,"TRUE"))</x:f>
      </x:c>
      <x:c r="E301" t="str">
        <x:f>IF($A301="","",COUNTIFS(CaseLedger!$F:$F,$A301,CaseLedger!$B:$B,"TRUE",CaseLedger!$P:$P,"Zakat"))</x:f>
      </x:c>
      <x:c r="F301" t="str">
        <x:f>IF($A301="","",COUNTIFS(CaseLedger!$F:$F,$A301,CaseLedger!$B:$B,"TRUE",CaseLedger!$P:$P,"Sadaqah"))</x:f>
      </x:c>
      <x:c r="G301" t="str">
        <x:f>IF($A301="","",COUNTIFS(CaseLedger!$F:$F,$A301,CaseLedger!$B:$B,"TRUE",CaseLedger!$P:$P,"Mixed"))</x:f>
      </x:c>
      <x:c r="H301" t="str">
        <x:f>IF($A301="","",COUNTIFS(CaseLedger!$F:$F,$A301,CaseLedger!$B:$B,"TRUE",CaseLedger!$K:$K,"Livelihood"))</x:f>
      </x:c>
      <x:c r="I301" t="str">
        <x:f>IF($A301="","",COUNTIFS(CaseLedger!$F:$F,$A301,CaseLedger!$B:$B,"TRUE",CaseLedger!$K:$K,"Skill Sponsorship"))</x:f>
      </x:c>
      <x:c r="J301" t="str">
        <x:f>IF($A301="","",COUNTIFS(CaseLedger!$F:$F,$A301,CaseLedger!$B:$B,"TRUE",CaseLedger!$K:$K,"Emergency Support"))</x:f>
      </x:c>
      <x:c r="K301" t="str">
        <x:f>IF($A301="","",COUNTIFS(CaseLedger!$F:$F,$A301,CaseLedger!$B:$B,"TRUE",CaseLedger!$K:$K,"Community Support"))</x:f>
      </x:c>
      <x:c r="L301" t="str">
        <x:f>IF($A301="","",SUMIFS(CaseLedger!$M:$M,CaseLedger!$F:$F,$A301,CaseLedger!$B:$B,"TRUE"))</x:f>
      </x:c>
      <x:c r="M301" t="str">
        <x:f>IF($A301="","",SUMIFS(CaseLedger!$N:$N,CaseLedger!$F:$F,$A301,CaseLedger!$B:$B,"TRUE"))</x:f>
      </x:c>
      <x:c r="N301" t="str">
        <x:f>IF($A301="","",0)</x:f>
      </x:c>
      <x:c r="O301" t="str">
        <x:f>IF($A301="","",SUMIFS(CaseLedger!$O:$O,CaseLedger!$F:$F,$A301,CaseLedger!$B:$B,"TRUE"))</x:f>
      </x:c>
      <x:c r="P301" t="str">
        <x:f>IF($A301="","",IFERROR(VLOOKUP($A301,MonthlyFinance!$A:$G,4,FALSE),""))</x:f>
      </x:c>
      <x:c r="Q301" t="str">
        <x:f>IF($A301="","",IFERROR(VLOOKUP($A301,MonthlyFinance!$A:$G,5,FALSE),""))</x:f>
      </x:c>
      <x:c r="R301" t="str">
        <x:f>IF($A301="","",IFERROR(VLOOKUP($A301,MonthlyFinance!$A:$G,6,FALSE),""))</x:f>
      </x:c>
      <x:c r="S301" t="str">
        <x:f>IF($A301="","","Formula-linked from CaseLedger; finance fields from MonthlyFinance.")</x:f>
      </x:c>
      <x:c r="T301" t="str">
        <x:f>IF($A301="","","TRUE")</x:f>
      </x:c>
    </x:row>
    <x:row r="302">
      <x:c r="D302" t="str">
        <x:f>IF($A302="","",COUNTIFS(CaseLedger!$F:$F,$A302,CaseLedger!$B:$B,"TRUE"))</x:f>
      </x:c>
      <x:c r="E302" t="str">
        <x:f>IF($A302="","",COUNTIFS(CaseLedger!$F:$F,$A302,CaseLedger!$B:$B,"TRUE",CaseLedger!$P:$P,"Zakat"))</x:f>
      </x:c>
      <x:c r="F302" t="str">
        <x:f>IF($A302="","",COUNTIFS(CaseLedger!$F:$F,$A302,CaseLedger!$B:$B,"TRUE",CaseLedger!$P:$P,"Sadaqah"))</x:f>
      </x:c>
      <x:c r="G302" t="str">
        <x:f>IF($A302="","",COUNTIFS(CaseLedger!$F:$F,$A302,CaseLedger!$B:$B,"TRUE",CaseLedger!$P:$P,"Mixed"))</x:f>
      </x:c>
      <x:c r="H302" t="str">
        <x:f>IF($A302="","",COUNTIFS(CaseLedger!$F:$F,$A302,CaseLedger!$B:$B,"TRUE",CaseLedger!$K:$K,"Livelihood"))</x:f>
      </x:c>
      <x:c r="I302" t="str">
        <x:f>IF($A302="","",COUNTIFS(CaseLedger!$F:$F,$A302,CaseLedger!$B:$B,"TRUE",CaseLedger!$K:$K,"Skill Sponsorship"))</x:f>
      </x:c>
      <x:c r="J302" t="str">
        <x:f>IF($A302="","",COUNTIFS(CaseLedger!$F:$F,$A302,CaseLedger!$B:$B,"TRUE",CaseLedger!$K:$K,"Emergency Support"))</x:f>
      </x:c>
      <x:c r="K302" t="str">
        <x:f>IF($A302="","",COUNTIFS(CaseLedger!$F:$F,$A302,CaseLedger!$B:$B,"TRUE",CaseLedger!$K:$K,"Community Support"))</x:f>
      </x:c>
      <x:c r="L302" t="str">
        <x:f>IF($A302="","",SUMIFS(CaseLedger!$M:$M,CaseLedger!$F:$F,$A302,CaseLedger!$B:$B,"TRUE"))</x:f>
      </x:c>
      <x:c r="M302" t="str">
        <x:f>IF($A302="","",SUMIFS(CaseLedger!$N:$N,CaseLedger!$F:$F,$A302,CaseLedger!$B:$B,"TRUE"))</x:f>
      </x:c>
      <x:c r="N302" t="str">
        <x:f>IF($A302="","",0)</x:f>
      </x:c>
      <x:c r="O302" t="str">
        <x:f>IF($A302="","",SUMIFS(CaseLedger!$O:$O,CaseLedger!$F:$F,$A302,CaseLedger!$B:$B,"TRUE"))</x:f>
      </x:c>
      <x:c r="P302" t="str">
        <x:f>IF($A302="","",IFERROR(VLOOKUP($A302,MonthlyFinance!$A:$G,4,FALSE),""))</x:f>
      </x:c>
      <x:c r="Q302" t="str">
        <x:f>IF($A302="","",IFERROR(VLOOKUP($A302,MonthlyFinance!$A:$G,5,FALSE),""))</x:f>
      </x:c>
      <x:c r="R302" t="str">
        <x:f>IF($A302="","",IFERROR(VLOOKUP($A302,MonthlyFinance!$A:$G,6,FALSE),""))</x:f>
      </x:c>
      <x:c r="S302" t="str">
        <x:f>IF($A302="","","Formula-linked from CaseLedger; finance fields from MonthlyFinance.")</x:f>
      </x:c>
      <x:c r="T302" t="str">
        <x:f>IF($A302="","","TRUE")</x:f>
      </x:c>
    </x:row>
    <x:row r="303">
      <x:c r="D303" t="str">
        <x:f>IF($A303="","",COUNTIFS(CaseLedger!$F:$F,$A303,CaseLedger!$B:$B,"TRUE"))</x:f>
      </x:c>
      <x:c r="E303" t="str">
        <x:f>IF($A303="","",COUNTIFS(CaseLedger!$F:$F,$A303,CaseLedger!$B:$B,"TRUE",CaseLedger!$P:$P,"Zakat"))</x:f>
      </x:c>
      <x:c r="F303" t="str">
        <x:f>IF($A303="","",COUNTIFS(CaseLedger!$F:$F,$A303,CaseLedger!$B:$B,"TRUE",CaseLedger!$P:$P,"Sadaqah"))</x:f>
      </x:c>
      <x:c r="G303" t="str">
        <x:f>IF($A303="","",COUNTIFS(CaseLedger!$F:$F,$A303,CaseLedger!$B:$B,"TRUE",CaseLedger!$P:$P,"Mixed"))</x:f>
      </x:c>
      <x:c r="H303" t="str">
        <x:f>IF($A303="","",COUNTIFS(CaseLedger!$F:$F,$A303,CaseLedger!$B:$B,"TRUE",CaseLedger!$K:$K,"Livelihood"))</x:f>
      </x:c>
      <x:c r="I303" t="str">
        <x:f>IF($A303="","",COUNTIFS(CaseLedger!$F:$F,$A303,CaseLedger!$B:$B,"TRUE",CaseLedger!$K:$K,"Skill Sponsorship"))</x:f>
      </x:c>
      <x:c r="J303" t="str">
        <x:f>IF($A303="","",COUNTIFS(CaseLedger!$F:$F,$A303,CaseLedger!$B:$B,"TRUE",CaseLedger!$K:$K,"Emergency Support"))</x:f>
      </x:c>
      <x:c r="K303" t="str">
        <x:f>IF($A303="","",COUNTIFS(CaseLedger!$F:$F,$A303,CaseLedger!$B:$B,"TRUE",CaseLedger!$K:$K,"Community Support"))</x:f>
      </x:c>
      <x:c r="L303" t="str">
        <x:f>IF($A303="","",SUMIFS(CaseLedger!$M:$M,CaseLedger!$F:$F,$A303,CaseLedger!$B:$B,"TRUE"))</x:f>
      </x:c>
      <x:c r="M303" t="str">
        <x:f>IF($A303="","",SUMIFS(CaseLedger!$N:$N,CaseLedger!$F:$F,$A303,CaseLedger!$B:$B,"TRUE"))</x:f>
      </x:c>
      <x:c r="N303" t="str">
        <x:f>IF($A303="","",0)</x:f>
      </x:c>
      <x:c r="O303" t="str">
        <x:f>IF($A303="","",SUMIFS(CaseLedger!$O:$O,CaseLedger!$F:$F,$A303,CaseLedger!$B:$B,"TRUE"))</x:f>
      </x:c>
      <x:c r="P303" t="str">
        <x:f>IF($A303="","",IFERROR(VLOOKUP($A303,MonthlyFinance!$A:$G,4,FALSE),""))</x:f>
      </x:c>
      <x:c r="Q303" t="str">
        <x:f>IF($A303="","",IFERROR(VLOOKUP($A303,MonthlyFinance!$A:$G,5,FALSE),""))</x:f>
      </x:c>
      <x:c r="R303" t="str">
        <x:f>IF($A303="","",IFERROR(VLOOKUP($A303,MonthlyFinance!$A:$G,6,FALSE),""))</x:f>
      </x:c>
      <x:c r="S303" t="str">
        <x:f>IF($A303="","","Formula-linked from CaseLedger; finance fields from MonthlyFinance.")</x:f>
      </x:c>
      <x:c r="T303" t="str">
        <x:f>IF($A303="","","TRUE")</x:f>
      </x:c>
    </x:row>
    <x:row r="304">
      <x:c r="D304" t="str">
        <x:f>IF($A304="","",COUNTIFS(CaseLedger!$F:$F,$A304,CaseLedger!$B:$B,"TRUE"))</x:f>
      </x:c>
      <x:c r="E304" t="str">
        <x:f>IF($A304="","",COUNTIFS(CaseLedger!$F:$F,$A304,CaseLedger!$B:$B,"TRUE",CaseLedger!$P:$P,"Zakat"))</x:f>
      </x:c>
      <x:c r="F304" t="str">
        <x:f>IF($A304="","",COUNTIFS(CaseLedger!$F:$F,$A304,CaseLedger!$B:$B,"TRUE",CaseLedger!$P:$P,"Sadaqah"))</x:f>
      </x:c>
      <x:c r="G304" t="str">
        <x:f>IF($A304="","",COUNTIFS(CaseLedger!$F:$F,$A304,CaseLedger!$B:$B,"TRUE",CaseLedger!$P:$P,"Mixed"))</x:f>
      </x:c>
      <x:c r="H304" t="str">
        <x:f>IF($A304="","",COUNTIFS(CaseLedger!$F:$F,$A304,CaseLedger!$B:$B,"TRUE",CaseLedger!$K:$K,"Livelihood"))</x:f>
      </x:c>
      <x:c r="I304" t="str">
        <x:f>IF($A304="","",COUNTIFS(CaseLedger!$F:$F,$A304,CaseLedger!$B:$B,"TRUE",CaseLedger!$K:$K,"Skill Sponsorship"))</x:f>
      </x:c>
      <x:c r="J304" t="str">
        <x:f>IF($A304="","",COUNTIFS(CaseLedger!$F:$F,$A304,CaseLedger!$B:$B,"TRUE",CaseLedger!$K:$K,"Emergency Support"))</x:f>
      </x:c>
      <x:c r="K304" t="str">
        <x:f>IF($A304="","",COUNTIFS(CaseLedger!$F:$F,$A304,CaseLedger!$B:$B,"TRUE",CaseLedger!$K:$K,"Community Support"))</x:f>
      </x:c>
      <x:c r="L304" t="str">
        <x:f>IF($A304="","",SUMIFS(CaseLedger!$M:$M,CaseLedger!$F:$F,$A304,CaseLedger!$B:$B,"TRUE"))</x:f>
      </x:c>
      <x:c r="M304" t="str">
        <x:f>IF($A304="","",SUMIFS(CaseLedger!$N:$N,CaseLedger!$F:$F,$A304,CaseLedger!$B:$B,"TRUE"))</x:f>
      </x:c>
      <x:c r="N304" t="str">
        <x:f>IF($A304="","",0)</x:f>
      </x:c>
      <x:c r="O304" t="str">
        <x:f>IF($A304="","",SUMIFS(CaseLedger!$O:$O,CaseLedger!$F:$F,$A304,CaseLedger!$B:$B,"TRUE"))</x:f>
      </x:c>
      <x:c r="P304" t="str">
        <x:f>IF($A304="","",IFERROR(VLOOKUP($A304,MonthlyFinance!$A:$G,4,FALSE),""))</x:f>
      </x:c>
      <x:c r="Q304" t="str">
        <x:f>IF($A304="","",IFERROR(VLOOKUP($A304,MonthlyFinance!$A:$G,5,FALSE),""))</x:f>
      </x:c>
      <x:c r="R304" t="str">
        <x:f>IF($A304="","",IFERROR(VLOOKUP($A304,MonthlyFinance!$A:$G,6,FALSE),""))</x:f>
      </x:c>
      <x:c r="S304" t="str">
        <x:f>IF($A304="","","Formula-linked from CaseLedger; finance fields from MonthlyFinance.")</x:f>
      </x:c>
      <x:c r="T304" t="str">
        <x:f>IF($A304="","","TRUE")</x:f>
      </x:c>
    </x:row>
    <x:row r="305">
      <x:c r="D305" t="str">
        <x:f>IF($A305="","",COUNTIFS(CaseLedger!$F:$F,$A305,CaseLedger!$B:$B,"TRUE"))</x:f>
      </x:c>
      <x:c r="E305" t="str">
        <x:f>IF($A305="","",COUNTIFS(CaseLedger!$F:$F,$A305,CaseLedger!$B:$B,"TRUE",CaseLedger!$P:$P,"Zakat"))</x:f>
      </x:c>
      <x:c r="F305" t="str">
        <x:f>IF($A305="","",COUNTIFS(CaseLedger!$F:$F,$A305,CaseLedger!$B:$B,"TRUE",CaseLedger!$P:$P,"Sadaqah"))</x:f>
      </x:c>
      <x:c r="G305" t="str">
        <x:f>IF($A305="","",COUNTIFS(CaseLedger!$F:$F,$A305,CaseLedger!$B:$B,"TRUE",CaseLedger!$P:$P,"Mixed"))</x:f>
      </x:c>
      <x:c r="H305" t="str">
        <x:f>IF($A305="","",COUNTIFS(CaseLedger!$F:$F,$A305,CaseLedger!$B:$B,"TRUE",CaseLedger!$K:$K,"Livelihood"))</x:f>
      </x:c>
      <x:c r="I305" t="str">
        <x:f>IF($A305="","",COUNTIFS(CaseLedger!$F:$F,$A305,CaseLedger!$B:$B,"TRUE",CaseLedger!$K:$K,"Skill Sponsorship"))</x:f>
      </x:c>
      <x:c r="J305" t="str">
        <x:f>IF($A305="","",COUNTIFS(CaseLedger!$F:$F,$A305,CaseLedger!$B:$B,"TRUE",CaseLedger!$K:$K,"Emergency Support"))</x:f>
      </x:c>
      <x:c r="K305" t="str">
        <x:f>IF($A305="","",COUNTIFS(CaseLedger!$F:$F,$A305,CaseLedger!$B:$B,"TRUE",CaseLedger!$K:$K,"Community Support"))</x:f>
      </x:c>
      <x:c r="L305" t="str">
        <x:f>IF($A305="","",SUMIFS(CaseLedger!$M:$M,CaseLedger!$F:$F,$A305,CaseLedger!$B:$B,"TRUE"))</x:f>
      </x:c>
      <x:c r="M305" t="str">
        <x:f>IF($A305="","",SUMIFS(CaseLedger!$N:$N,CaseLedger!$F:$F,$A305,CaseLedger!$B:$B,"TRUE"))</x:f>
      </x:c>
      <x:c r="N305" t="str">
        <x:f>IF($A305="","",0)</x:f>
      </x:c>
      <x:c r="O305" t="str">
        <x:f>IF($A305="","",SUMIFS(CaseLedger!$O:$O,CaseLedger!$F:$F,$A305,CaseLedger!$B:$B,"TRUE"))</x:f>
      </x:c>
      <x:c r="P305" t="str">
        <x:f>IF($A305="","",IFERROR(VLOOKUP($A305,MonthlyFinance!$A:$G,4,FALSE),""))</x:f>
      </x:c>
      <x:c r="Q305" t="str">
        <x:f>IF($A305="","",IFERROR(VLOOKUP($A305,MonthlyFinance!$A:$G,5,FALSE),""))</x:f>
      </x:c>
      <x:c r="R305" t="str">
        <x:f>IF($A305="","",IFERROR(VLOOKUP($A305,MonthlyFinance!$A:$G,6,FALSE),""))</x:f>
      </x:c>
      <x:c r="S305" t="str">
        <x:f>IF($A305="","","Formula-linked from CaseLedger; finance fields from MonthlyFinance.")</x:f>
      </x:c>
      <x:c r="T305" t="str">
        <x:f>IF($A305="","","TRUE")</x:f>
      </x:c>
    </x:row>
    <x:row r="306">
      <x:c r="D306" t="str">
        <x:f>IF($A306="","",COUNTIFS(CaseLedger!$F:$F,$A306,CaseLedger!$B:$B,"TRUE"))</x:f>
      </x:c>
      <x:c r="E306" t="str">
        <x:f>IF($A306="","",COUNTIFS(CaseLedger!$F:$F,$A306,CaseLedger!$B:$B,"TRUE",CaseLedger!$P:$P,"Zakat"))</x:f>
      </x:c>
      <x:c r="F306" t="str">
        <x:f>IF($A306="","",COUNTIFS(CaseLedger!$F:$F,$A306,CaseLedger!$B:$B,"TRUE",CaseLedger!$P:$P,"Sadaqah"))</x:f>
      </x:c>
      <x:c r="G306" t="str">
        <x:f>IF($A306="","",COUNTIFS(CaseLedger!$F:$F,$A306,CaseLedger!$B:$B,"TRUE",CaseLedger!$P:$P,"Mixed"))</x:f>
      </x:c>
      <x:c r="H306" t="str">
        <x:f>IF($A306="","",COUNTIFS(CaseLedger!$F:$F,$A306,CaseLedger!$B:$B,"TRUE",CaseLedger!$K:$K,"Livelihood"))</x:f>
      </x:c>
      <x:c r="I306" t="str">
        <x:f>IF($A306="","",COUNTIFS(CaseLedger!$F:$F,$A306,CaseLedger!$B:$B,"TRUE",CaseLedger!$K:$K,"Skill Sponsorship"))</x:f>
      </x:c>
      <x:c r="J306" t="str">
        <x:f>IF($A306="","",COUNTIFS(CaseLedger!$F:$F,$A306,CaseLedger!$B:$B,"TRUE",CaseLedger!$K:$K,"Emergency Support"))</x:f>
      </x:c>
      <x:c r="K306" t="str">
        <x:f>IF($A306="","",COUNTIFS(CaseLedger!$F:$F,$A306,CaseLedger!$B:$B,"TRUE",CaseLedger!$K:$K,"Community Support"))</x:f>
      </x:c>
      <x:c r="L306" t="str">
        <x:f>IF($A306="","",SUMIFS(CaseLedger!$M:$M,CaseLedger!$F:$F,$A306,CaseLedger!$B:$B,"TRUE"))</x:f>
      </x:c>
      <x:c r="M306" t="str">
        <x:f>IF($A306="","",SUMIFS(CaseLedger!$N:$N,CaseLedger!$F:$F,$A306,CaseLedger!$B:$B,"TRUE"))</x:f>
      </x:c>
      <x:c r="N306" t="str">
        <x:f>IF($A306="","",0)</x:f>
      </x:c>
      <x:c r="O306" t="str">
        <x:f>IF($A306="","",SUMIFS(CaseLedger!$O:$O,CaseLedger!$F:$F,$A306,CaseLedger!$B:$B,"TRUE"))</x:f>
      </x:c>
      <x:c r="P306" t="str">
        <x:f>IF($A306="","",IFERROR(VLOOKUP($A306,MonthlyFinance!$A:$G,4,FALSE),""))</x:f>
      </x:c>
      <x:c r="Q306" t="str">
        <x:f>IF($A306="","",IFERROR(VLOOKUP($A306,MonthlyFinance!$A:$G,5,FALSE),""))</x:f>
      </x:c>
      <x:c r="R306" t="str">
        <x:f>IF($A306="","",IFERROR(VLOOKUP($A306,MonthlyFinance!$A:$G,6,FALSE),""))</x:f>
      </x:c>
      <x:c r="S306" t="str">
        <x:f>IF($A306="","","Formula-linked from CaseLedger; finance fields from MonthlyFinance.")</x:f>
      </x:c>
      <x:c r="T306" t="str">
        <x:f>IF($A306="","","TRUE")</x:f>
      </x:c>
    </x:row>
    <x:row r="307">
      <x:c r="D307" t="str">
        <x:f>IF($A307="","",COUNTIFS(CaseLedger!$F:$F,$A307,CaseLedger!$B:$B,"TRUE"))</x:f>
      </x:c>
      <x:c r="E307" t="str">
        <x:f>IF($A307="","",COUNTIFS(CaseLedger!$F:$F,$A307,CaseLedger!$B:$B,"TRUE",CaseLedger!$P:$P,"Zakat"))</x:f>
      </x:c>
      <x:c r="F307" t="str">
        <x:f>IF($A307="","",COUNTIFS(CaseLedger!$F:$F,$A307,CaseLedger!$B:$B,"TRUE",CaseLedger!$P:$P,"Sadaqah"))</x:f>
      </x:c>
      <x:c r="G307" t="str">
        <x:f>IF($A307="","",COUNTIFS(CaseLedger!$F:$F,$A307,CaseLedger!$B:$B,"TRUE",CaseLedger!$P:$P,"Mixed"))</x:f>
      </x:c>
      <x:c r="H307" t="str">
        <x:f>IF($A307="","",COUNTIFS(CaseLedger!$F:$F,$A307,CaseLedger!$B:$B,"TRUE",CaseLedger!$K:$K,"Livelihood"))</x:f>
      </x:c>
      <x:c r="I307" t="str">
        <x:f>IF($A307="","",COUNTIFS(CaseLedger!$F:$F,$A307,CaseLedger!$B:$B,"TRUE",CaseLedger!$K:$K,"Skill Sponsorship"))</x:f>
      </x:c>
      <x:c r="J307" t="str">
        <x:f>IF($A307="","",COUNTIFS(CaseLedger!$F:$F,$A307,CaseLedger!$B:$B,"TRUE",CaseLedger!$K:$K,"Emergency Support"))</x:f>
      </x:c>
      <x:c r="K307" t="str">
        <x:f>IF($A307="","",COUNTIFS(CaseLedger!$F:$F,$A307,CaseLedger!$B:$B,"TRUE",CaseLedger!$K:$K,"Community Support"))</x:f>
      </x:c>
      <x:c r="L307" t="str">
        <x:f>IF($A307="","",SUMIFS(CaseLedger!$M:$M,CaseLedger!$F:$F,$A307,CaseLedger!$B:$B,"TRUE"))</x:f>
      </x:c>
      <x:c r="M307" t="str">
        <x:f>IF($A307="","",SUMIFS(CaseLedger!$N:$N,CaseLedger!$F:$F,$A307,CaseLedger!$B:$B,"TRUE"))</x:f>
      </x:c>
      <x:c r="N307" t="str">
        <x:f>IF($A307="","",0)</x:f>
      </x:c>
      <x:c r="O307" t="str">
        <x:f>IF($A307="","",SUMIFS(CaseLedger!$O:$O,CaseLedger!$F:$F,$A307,CaseLedger!$B:$B,"TRUE"))</x:f>
      </x:c>
      <x:c r="P307" t="str">
        <x:f>IF($A307="","",IFERROR(VLOOKUP($A307,MonthlyFinance!$A:$G,4,FALSE),""))</x:f>
      </x:c>
      <x:c r="Q307" t="str">
        <x:f>IF($A307="","",IFERROR(VLOOKUP($A307,MonthlyFinance!$A:$G,5,FALSE),""))</x:f>
      </x:c>
      <x:c r="R307" t="str">
        <x:f>IF($A307="","",IFERROR(VLOOKUP($A307,MonthlyFinance!$A:$G,6,FALSE),""))</x:f>
      </x:c>
      <x:c r="S307" t="str">
        <x:f>IF($A307="","","Formula-linked from CaseLedger; finance fields from MonthlyFinance.")</x:f>
      </x:c>
      <x:c r="T307" t="str">
        <x:f>IF($A307="","","TRUE")</x:f>
      </x:c>
    </x:row>
    <x:row r="308">
      <x:c r="D308" t="str">
        <x:f>IF($A308="","",COUNTIFS(CaseLedger!$F:$F,$A308,CaseLedger!$B:$B,"TRUE"))</x:f>
      </x:c>
      <x:c r="E308" t="str">
        <x:f>IF($A308="","",COUNTIFS(CaseLedger!$F:$F,$A308,CaseLedger!$B:$B,"TRUE",CaseLedger!$P:$P,"Zakat"))</x:f>
      </x:c>
      <x:c r="F308" t="str">
        <x:f>IF($A308="","",COUNTIFS(CaseLedger!$F:$F,$A308,CaseLedger!$B:$B,"TRUE",CaseLedger!$P:$P,"Sadaqah"))</x:f>
      </x:c>
      <x:c r="G308" t="str">
        <x:f>IF($A308="","",COUNTIFS(CaseLedger!$F:$F,$A308,CaseLedger!$B:$B,"TRUE",CaseLedger!$P:$P,"Mixed"))</x:f>
      </x:c>
      <x:c r="H308" t="str">
        <x:f>IF($A308="","",COUNTIFS(CaseLedger!$F:$F,$A308,CaseLedger!$B:$B,"TRUE",CaseLedger!$K:$K,"Livelihood"))</x:f>
      </x:c>
      <x:c r="I308" t="str">
        <x:f>IF($A308="","",COUNTIFS(CaseLedger!$F:$F,$A308,CaseLedger!$B:$B,"TRUE",CaseLedger!$K:$K,"Skill Sponsorship"))</x:f>
      </x:c>
      <x:c r="J308" t="str">
        <x:f>IF($A308="","",COUNTIFS(CaseLedger!$F:$F,$A308,CaseLedger!$B:$B,"TRUE",CaseLedger!$K:$K,"Emergency Support"))</x:f>
      </x:c>
      <x:c r="K308" t="str">
        <x:f>IF($A308="","",COUNTIFS(CaseLedger!$F:$F,$A308,CaseLedger!$B:$B,"TRUE",CaseLedger!$K:$K,"Community Support"))</x:f>
      </x:c>
      <x:c r="L308" t="str">
        <x:f>IF($A308="","",SUMIFS(CaseLedger!$M:$M,CaseLedger!$F:$F,$A308,CaseLedger!$B:$B,"TRUE"))</x:f>
      </x:c>
      <x:c r="M308" t="str">
        <x:f>IF($A308="","",SUMIFS(CaseLedger!$N:$N,CaseLedger!$F:$F,$A308,CaseLedger!$B:$B,"TRUE"))</x:f>
      </x:c>
      <x:c r="N308" t="str">
        <x:f>IF($A308="","",0)</x:f>
      </x:c>
      <x:c r="O308" t="str">
        <x:f>IF($A308="","",SUMIFS(CaseLedger!$O:$O,CaseLedger!$F:$F,$A308,CaseLedger!$B:$B,"TRUE"))</x:f>
      </x:c>
      <x:c r="P308" t="str">
        <x:f>IF($A308="","",IFERROR(VLOOKUP($A308,MonthlyFinance!$A:$G,4,FALSE),""))</x:f>
      </x:c>
      <x:c r="Q308" t="str">
        <x:f>IF($A308="","",IFERROR(VLOOKUP($A308,MonthlyFinance!$A:$G,5,FALSE),""))</x:f>
      </x:c>
      <x:c r="R308" t="str">
        <x:f>IF($A308="","",IFERROR(VLOOKUP($A308,MonthlyFinance!$A:$G,6,FALSE),""))</x:f>
      </x:c>
      <x:c r="S308" t="str">
        <x:f>IF($A308="","","Formula-linked from CaseLedger; finance fields from MonthlyFinance.")</x:f>
      </x:c>
      <x:c r="T308" t="str">
        <x:f>IF($A308="","","TRUE")</x:f>
      </x:c>
    </x:row>
    <x:row r="309">
      <x:c r="D309" t="str">
        <x:f>IF($A309="","",COUNTIFS(CaseLedger!$F:$F,$A309,CaseLedger!$B:$B,"TRUE"))</x:f>
      </x:c>
      <x:c r="E309" t="str">
        <x:f>IF($A309="","",COUNTIFS(CaseLedger!$F:$F,$A309,CaseLedger!$B:$B,"TRUE",CaseLedger!$P:$P,"Zakat"))</x:f>
      </x:c>
      <x:c r="F309" t="str">
        <x:f>IF($A309="","",COUNTIFS(CaseLedger!$F:$F,$A309,CaseLedger!$B:$B,"TRUE",CaseLedger!$P:$P,"Sadaqah"))</x:f>
      </x:c>
      <x:c r="G309" t="str">
        <x:f>IF($A309="","",COUNTIFS(CaseLedger!$F:$F,$A309,CaseLedger!$B:$B,"TRUE",CaseLedger!$P:$P,"Mixed"))</x:f>
      </x:c>
      <x:c r="H309" t="str">
        <x:f>IF($A309="","",COUNTIFS(CaseLedger!$F:$F,$A309,CaseLedger!$B:$B,"TRUE",CaseLedger!$K:$K,"Livelihood"))</x:f>
      </x:c>
      <x:c r="I309" t="str">
        <x:f>IF($A309="","",COUNTIFS(CaseLedger!$F:$F,$A309,CaseLedger!$B:$B,"TRUE",CaseLedger!$K:$K,"Skill Sponsorship"))</x:f>
      </x:c>
      <x:c r="J309" t="str">
        <x:f>IF($A309="","",COUNTIFS(CaseLedger!$F:$F,$A309,CaseLedger!$B:$B,"TRUE",CaseLedger!$K:$K,"Emergency Support"))</x:f>
      </x:c>
      <x:c r="K309" t="str">
        <x:f>IF($A309="","",COUNTIFS(CaseLedger!$F:$F,$A309,CaseLedger!$B:$B,"TRUE",CaseLedger!$K:$K,"Community Support"))</x:f>
      </x:c>
      <x:c r="L309" t="str">
        <x:f>IF($A309="","",SUMIFS(CaseLedger!$M:$M,CaseLedger!$F:$F,$A309,CaseLedger!$B:$B,"TRUE"))</x:f>
      </x:c>
      <x:c r="M309" t="str">
        <x:f>IF($A309="","",SUMIFS(CaseLedger!$N:$N,CaseLedger!$F:$F,$A309,CaseLedger!$B:$B,"TRUE"))</x:f>
      </x:c>
      <x:c r="N309" t="str">
        <x:f>IF($A309="","",0)</x:f>
      </x:c>
      <x:c r="O309" t="str">
        <x:f>IF($A309="","",SUMIFS(CaseLedger!$O:$O,CaseLedger!$F:$F,$A309,CaseLedger!$B:$B,"TRUE"))</x:f>
      </x:c>
      <x:c r="P309" t="str">
        <x:f>IF($A309="","",IFERROR(VLOOKUP($A309,MonthlyFinance!$A:$G,4,FALSE),""))</x:f>
      </x:c>
      <x:c r="Q309" t="str">
        <x:f>IF($A309="","",IFERROR(VLOOKUP($A309,MonthlyFinance!$A:$G,5,FALSE),""))</x:f>
      </x:c>
      <x:c r="R309" t="str">
        <x:f>IF($A309="","",IFERROR(VLOOKUP($A309,MonthlyFinance!$A:$G,6,FALSE),""))</x:f>
      </x:c>
      <x:c r="S309" t="str">
        <x:f>IF($A309="","","Formula-linked from CaseLedger; finance fields from MonthlyFinance.")</x:f>
      </x:c>
      <x:c r="T309" t="str">
        <x:f>IF($A309="","","TRUE")</x:f>
      </x:c>
    </x:row>
    <x:row r="310">
      <x:c r="D310" t="str">
        <x:f>IF($A310="","",COUNTIFS(CaseLedger!$F:$F,$A310,CaseLedger!$B:$B,"TRUE"))</x:f>
      </x:c>
      <x:c r="E310" t="str">
        <x:f>IF($A310="","",COUNTIFS(CaseLedger!$F:$F,$A310,CaseLedger!$B:$B,"TRUE",CaseLedger!$P:$P,"Zakat"))</x:f>
      </x:c>
      <x:c r="F310" t="str">
        <x:f>IF($A310="","",COUNTIFS(CaseLedger!$F:$F,$A310,CaseLedger!$B:$B,"TRUE",CaseLedger!$P:$P,"Sadaqah"))</x:f>
      </x:c>
      <x:c r="G310" t="str">
        <x:f>IF($A310="","",COUNTIFS(CaseLedger!$F:$F,$A310,CaseLedger!$B:$B,"TRUE",CaseLedger!$P:$P,"Mixed"))</x:f>
      </x:c>
      <x:c r="H310" t="str">
        <x:f>IF($A310="","",COUNTIFS(CaseLedger!$F:$F,$A310,CaseLedger!$B:$B,"TRUE",CaseLedger!$K:$K,"Livelihood"))</x:f>
      </x:c>
      <x:c r="I310" t="str">
        <x:f>IF($A310="","",COUNTIFS(CaseLedger!$F:$F,$A310,CaseLedger!$B:$B,"TRUE",CaseLedger!$K:$K,"Skill Sponsorship"))</x:f>
      </x:c>
      <x:c r="J310" t="str">
        <x:f>IF($A310="","",COUNTIFS(CaseLedger!$F:$F,$A310,CaseLedger!$B:$B,"TRUE",CaseLedger!$K:$K,"Emergency Support"))</x:f>
      </x:c>
      <x:c r="K310" t="str">
        <x:f>IF($A310="","",COUNTIFS(CaseLedger!$F:$F,$A310,CaseLedger!$B:$B,"TRUE",CaseLedger!$K:$K,"Community Support"))</x:f>
      </x:c>
      <x:c r="L310" t="str">
        <x:f>IF($A310="","",SUMIFS(CaseLedger!$M:$M,CaseLedger!$F:$F,$A310,CaseLedger!$B:$B,"TRUE"))</x:f>
      </x:c>
      <x:c r="M310" t="str">
        <x:f>IF($A310="","",SUMIFS(CaseLedger!$N:$N,CaseLedger!$F:$F,$A310,CaseLedger!$B:$B,"TRUE"))</x:f>
      </x:c>
      <x:c r="N310" t="str">
        <x:f>IF($A310="","",0)</x:f>
      </x:c>
      <x:c r="O310" t="str">
        <x:f>IF($A310="","",SUMIFS(CaseLedger!$O:$O,CaseLedger!$F:$F,$A310,CaseLedger!$B:$B,"TRUE"))</x:f>
      </x:c>
      <x:c r="P310" t="str">
        <x:f>IF($A310="","",IFERROR(VLOOKUP($A310,MonthlyFinance!$A:$G,4,FALSE),""))</x:f>
      </x:c>
      <x:c r="Q310" t="str">
        <x:f>IF($A310="","",IFERROR(VLOOKUP($A310,MonthlyFinance!$A:$G,5,FALSE),""))</x:f>
      </x:c>
      <x:c r="R310" t="str">
        <x:f>IF($A310="","",IFERROR(VLOOKUP($A310,MonthlyFinance!$A:$G,6,FALSE),""))</x:f>
      </x:c>
      <x:c r="S310" t="str">
        <x:f>IF($A310="","","Formula-linked from CaseLedger; finance fields from MonthlyFinance.")</x:f>
      </x:c>
      <x:c r="T310" t="str">
        <x:f>IF($A310="","","TRUE")</x:f>
      </x:c>
    </x:row>
    <x:row r="311">
      <x:c r="D311" t="str">
        <x:f>IF($A311="","",COUNTIFS(CaseLedger!$F:$F,$A311,CaseLedger!$B:$B,"TRUE"))</x:f>
      </x:c>
      <x:c r="E311" t="str">
        <x:f>IF($A311="","",COUNTIFS(CaseLedger!$F:$F,$A311,CaseLedger!$B:$B,"TRUE",CaseLedger!$P:$P,"Zakat"))</x:f>
      </x:c>
      <x:c r="F311" t="str">
        <x:f>IF($A311="","",COUNTIFS(CaseLedger!$F:$F,$A311,CaseLedger!$B:$B,"TRUE",CaseLedger!$P:$P,"Sadaqah"))</x:f>
      </x:c>
      <x:c r="G311" t="str">
        <x:f>IF($A311="","",COUNTIFS(CaseLedger!$F:$F,$A311,CaseLedger!$B:$B,"TRUE",CaseLedger!$P:$P,"Mixed"))</x:f>
      </x:c>
      <x:c r="H311" t="str">
        <x:f>IF($A311="","",COUNTIFS(CaseLedger!$F:$F,$A311,CaseLedger!$B:$B,"TRUE",CaseLedger!$K:$K,"Livelihood"))</x:f>
      </x:c>
      <x:c r="I311" t="str">
        <x:f>IF($A311="","",COUNTIFS(CaseLedger!$F:$F,$A311,CaseLedger!$B:$B,"TRUE",CaseLedger!$K:$K,"Skill Sponsorship"))</x:f>
      </x:c>
      <x:c r="J311" t="str">
        <x:f>IF($A311="","",COUNTIFS(CaseLedger!$F:$F,$A311,CaseLedger!$B:$B,"TRUE",CaseLedger!$K:$K,"Emergency Support"))</x:f>
      </x:c>
      <x:c r="K311" t="str">
        <x:f>IF($A311="","",COUNTIFS(CaseLedger!$F:$F,$A311,CaseLedger!$B:$B,"TRUE",CaseLedger!$K:$K,"Community Support"))</x:f>
      </x:c>
      <x:c r="L311" t="str">
        <x:f>IF($A311="","",SUMIFS(CaseLedger!$M:$M,CaseLedger!$F:$F,$A311,CaseLedger!$B:$B,"TRUE"))</x:f>
      </x:c>
      <x:c r="M311" t="str">
        <x:f>IF($A311="","",SUMIFS(CaseLedger!$N:$N,CaseLedger!$F:$F,$A311,CaseLedger!$B:$B,"TRUE"))</x:f>
      </x:c>
      <x:c r="N311" t="str">
        <x:f>IF($A311="","",0)</x:f>
      </x:c>
      <x:c r="O311" t="str">
        <x:f>IF($A311="","",SUMIFS(CaseLedger!$O:$O,CaseLedger!$F:$F,$A311,CaseLedger!$B:$B,"TRUE"))</x:f>
      </x:c>
      <x:c r="P311" t="str">
        <x:f>IF($A311="","",IFERROR(VLOOKUP($A311,MonthlyFinance!$A:$G,4,FALSE),""))</x:f>
      </x:c>
      <x:c r="Q311" t="str">
        <x:f>IF($A311="","",IFERROR(VLOOKUP($A311,MonthlyFinance!$A:$G,5,FALSE),""))</x:f>
      </x:c>
      <x:c r="R311" t="str">
        <x:f>IF($A311="","",IFERROR(VLOOKUP($A311,MonthlyFinance!$A:$G,6,FALSE),""))</x:f>
      </x:c>
      <x:c r="S311" t="str">
        <x:f>IF($A311="","","Formula-linked from CaseLedger; finance fields from MonthlyFinance.")</x:f>
      </x:c>
      <x:c r="T311" t="str">
        <x:f>IF($A311="","","TRUE")</x:f>
      </x:c>
    </x:row>
    <x:row r="312">
      <x:c r="D312" t="str">
        <x:f>IF($A312="","",COUNTIFS(CaseLedger!$F:$F,$A312,CaseLedger!$B:$B,"TRUE"))</x:f>
      </x:c>
      <x:c r="E312" t="str">
        <x:f>IF($A312="","",COUNTIFS(CaseLedger!$F:$F,$A312,CaseLedger!$B:$B,"TRUE",CaseLedger!$P:$P,"Zakat"))</x:f>
      </x:c>
      <x:c r="F312" t="str">
        <x:f>IF($A312="","",COUNTIFS(CaseLedger!$F:$F,$A312,CaseLedger!$B:$B,"TRUE",CaseLedger!$P:$P,"Sadaqah"))</x:f>
      </x:c>
      <x:c r="G312" t="str">
        <x:f>IF($A312="","",COUNTIFS(CaseLedger!$F:$F,$A312,CaseLedger!$B:$B,"TRUE",CaseLedger!$P:$P,"Mixed"))</x:f>
      </x:c>
      <x:c r="H312" t="str">
        <x:f>IF($A312="","",COUNTIFS(CaseLedger!$F:$F,$A312,CaseLedger!$B:$B,"TRUE",CaseLedger!$K:$K,"Livelihood"))</x:f>
      </x:c>
      <x:c r="I312" t="str">
        <x:f>IF($A312="","",COUNTIFS(CaseLedger!$F:$F,$A312,CaseLedger!$B:$B,"TRUE",CaseLedger!$K:$K,"Skill Sponsorship"))</x:f>
      </x:c>
      <x:c r="J312" t="str">
        <x:f>IF($A312="","",COUNTIFS(CaseLedger!$F:$F,$A312,CaseLedger!$B:$B,"TRUE",CaseLedger!$K:$K,"Emergency Support"))</x:f>
      </x:c>
      <x:c r="K312" t="str">
        <x:f>IF($A312="","",COUNTIFS(CaseLedger!$F:$F,$A312,CaseLedger!$B:$B,"TRUE",CaseLedger!$K:$K,"Community Support"))</x:f>
      </x:c>
      <x:c r="L312" t="str">
        <x:f>IF($A312="","",SUMIFS(CaseLedger!$M:$M,CaseLedger!$F:$F,$A312,CaseLedger!$B:$B,"TRUE"))</x:f>
      </x:c>
      <x:c r="M312" t="str">
        <x:f>IF($A312="","",SUMIFS(CaseLedger!$N:$N,CaseLedger!$F:$F,$A312,CaseLedger!$B:$B,"TRUE"))</x:f>
      </x:c>
      <x:c r="N312" t="str">
        <x:f>IF($A312="","",0)</x:f>
      </x:c>
      <x:c r="O312" t="str">
        <x:f>IF($A312="","",SUMIFS(CaseLedger!$O:$O,CaseLedger!$F:$F,$A312,CaseLedger!$B:$B,"TRUE"))</x:f>
      </x:c>
      <x:c r="P312" t="str">
        <x:f>IF($A312="","",IFERROR(VLOOKUP($A312,MonthlyFinance!$A:$G,4,FALSE),""))</x:f>
      </x:c>
      <x:c r="Q312" t="str">
        <x:f>IF($A312="","",IFERROR(VLOOKUP($A312,MonthlyFinance!$A:$G,5,FALSE),""))</x:f>
      </x:c>
      <x:c r="R312" t="str">
        <x:f>IF($A312="","",IFERROR(VLOOKUP($A312,MonthlyFinance!$A:$G,6,FALSE),""))</x:f>
      </x:c>
      <x:c r="S312" t="str">
        <x:f>IF($A312="","","Formula-linked from CaseLedger; finance fields from MonthlyFinance.")</x:f>
      </x:c>
      <x:c r="T312" t="str">
        <x:f>IF($A312="","","TRUE")</x:f>
      </x:c>
    </x:row>
    <x:row r="313">
      <x:c r="D313" t="str">
        <x:f>IF($A313="","",COUNTIFS(CaseLedger!$F:$F,$A313,CaseLedger!$B:$B,"TRUE"))</x:f>
      </x:c>
      <x:c r="E313" t="str">
        <x:f>IF($A313="","",COUNTIFS(CaseLedger!$F:$F,$A313,CaseLedger!$B:$B,"TRUE",CaseLedger!$P:$P,"Zakat"))</x:f>
      </x:c>
      <x:c r="F313" t="str">
        <x:f>IF($A313="","",COUNTIFS(CaseLedger!$F:$F,$A313,CaseLedger!$B:$B,"TRUE",CaseLedger!$P:$P,"Sadaqah"))</x:f>
      </x:c>
      <x:c r="G313" t="str">
        <x:f>IF($A313="","",COUNTIFS(CaseLedger!$F:$F,$A313,CaseLedger!$B:$B,"TRUE",CaseLedger!$P:$P,"Mixed"))</x:f>
      </x:c>
      <x:c r="H313" t="str">
        <x:f>IF($A313="","",COUNTIFS(CaseLedger!$F:$F,$A313,CaseLedger!$B:$B,"TRUE",CaseLedger!$K:$K,"Livelihood"))</x:f>
      </x:c>
      <x:c r="I313" t="str">
        <x:f>IF($A313="","",COUNTIFS(CaseLedger!$F:$F,$A313,CaseLedger!$B:$B,"TRUE",CaseLedger!$K:$K,"Skill Sponsorship"))</x:f>
      </x:c>
      <x:c r="J313" t="str">
        <x:f>IF($A313="","",COUNTIFS(CaseLedger!$F:$F,$A313,CaseLedger!$B:$B,"TRUE",CaseLedger!$K:$K,"Emergency Support"))</x:f>
      </x:c>
      <x:c r="K313" t="str">
        <x:f>IF($A313="","",COUNTIFS(CaseLedger!$F:$F,$A313,CaseLedger!$B:$B,"TRUE",CaseLedger!$K:$K,"Community Support"))</x:f>
      </x:c>
      <x:c r="L313" t="str">
        <x:f>IF($A313="","",SUMIFS(CaseLedger!$M:$M,CaseLedger!$F:$F,$A313,CaseLedger!$B:$B,"TRUE"))</x:f>
      </x:c>
      <x:c r="M313" t="str">
        <x:f>IF($A313="","",SUMIFS(CaseLedger!$N:$N,CaseLedger!$F:$F,$A313,CaseLedger!$B:$B,"TRUE"))</x:f>
      </x:c>
      <x:c r="N313" t="str">
        <x:f>IF($A313="","",0)</x:f>
      </x:c>
      <x:c r="O313" t="str">
        <x:f>IF($A313="","",SUMIFS(CaseLedger!$O:$O,CaseLedger!$F:$F,$A313,CaseLedger!$B:$B,"TRUE"))</x:f>
      </x:c>
      <x:c r="P313" t="str">
        <x:f>IF($A313="","",IFERROR(VLOOKUP($A313,MonthlyFinance!$A:$G,4,FALSE),""))</x:f>
      </x:c>
      <x:c r="Q313" t="str">
        <x:f>IF($A313="","",IFERROR(VLOOKUP($A313,MonthlyFinance!$A:$G,5,FALSE),""))</x:f>
      </x:c>
      <x:c r="R313" t="str">
        <x:f>IF($A313="","",IFERROR(VLOOKUP($A313,MonthlyFinance!$A:$G,6,FALSE),""))</x:f>
      </x:c>
      <x:c r="S313" t="str">
        <x:f>IF($A313="","","Formula-linked from CaseLedger; finance fields from MonthlyFinance.")</x:f>
      </x:c>
      <x:c r="T313" t="str">
        <x:f>IF($A313="","","TRUE")</x:f>
      </x:c>
    </x:row>
    <x:row r="314">
      <x:c r="D314" t="str">
        <x:f>IF($A314="","",COUNTIFS(CaseLedger!$F:$F,$A314,CaseLedger!$B:$B,"TRUE"))</x:f>
      </x:c>
      <x:c r="E314" t="str">
        <x:f>IF($A314="","",COUNTIFS(CaseLedger!$F:$F,$A314,CaseLedger!$B:$B,"TRUE",CaseLedger!$P:$P,"Zakat"))</x:f>
      </x:c>
      <x:c r="F314" t="str">
        <x:f>IF($A314="","",COUNTIFS(CaseLedger!$F:$F,$A314,CaseLedger!$B:$B,"TRUE",CaseLedger!$P:$P,"Sadaqah"))</x:f>
      </x:c>
      <x:c r="G314" t="str">
        <x:f>IF($A314="","",COUNTIFS(CaseLedger!$F:$F,$A314,CaseLedger!$B:$B,"TRUE",CaseLedger!$P:$P,"Mixed"))</x:f>
      </x:c>
      <x:c r="H314" t="str">
        <x:f>IF($A314="","",COUNTIFS(CaseLedger!$F:$F,$A314,CaseLedger!$B:$B,"TRUE",CaseLedger!$K:$K,"Livelihood"))</x:f>
      </x:c>
      <x:c r="I314" t="str">
        <x:f>IF($A314="","",COUNTIFS(CaseLedger!$F:$F,$A314,CaseLedger!$B:$B,"TRUE",CaseLedger!$K:$K,"Skill Sponsorship"))</x:f>
      </x:c>
      <x:c r="J314" t="str">
        <x:f>IF($A314="","",COUNTIFS(CaseLedger!$F:$F,$A314,CaseLedger!$B:$B,"TRUE",CaseLedger!$K:$K,"Emergency Support"))</x:f>
      </x:c>
      <x:c r="K314" t="str">
        <x:f>IF($A314="","",COUNTIFS(CaseLedger!$F:$F,$A314,CaseLedger!$B:$B,"TRUE",CaseLedger!$K:$K,"Community Support"))</x:f>
      </x:c>
      <x:c r="L314" t="str">
        <x:f>IF($A314="","",SUMIFS(CaseLedger!$M:$M,CaseLedger!$F:$F,$A314,CaseLedger!$B:$B,"TRUE"))</x:f>
      </x:c>
      <x:c r="M314" t="str">
        <x:f>IF($A314="","",SUMIFS(CaseLedger!$N:$N,CaseLedger!$F:$F,$A314,CaseLedger!$B:$B,"TRUE"))</x:f>
      </x:c>
      <x:c r="N314" t="str">
        <x:f>IF($A314="","",0)</x:f>
      </x:c>
      <x:c r="O314" t="str">
        <x:f>IF($A314="","",SUMIFS(CaseLedger!$O:$O,CaseLedger!$F:$F,$A314,CaseLedger!$B:$B,"TRUE"))</x:f>
      </x:c>
      <x:c r="P314" t="str">
        <x:f>IF($A314="","",IFERROR(VLOOKUP($A314,MonthlyFinance!$A:$G,4,FALSE),""))</x:f>
      </x:c>
      <x:c r="Q314" t="str">
        <x:f>IF($A314="","",IFERROR(VLOOKUP($A314,MonthlyFinance!$A:$G,5,FALSE),""))</x:f>
      </x:c>
      <x:c r="R314" t="str">
        <x:f>IF($A314="","",IFERROR(VLOOKUP($A314,MonthlyFinance!$A:$G,6,FALSE),""))</x:f>
      </x:c>
      <x:c r="S314" t="str">
        <x:f>IF($A314="","","Formula-linked from CaseLedger; finance fields from MonthlyFinance.")</x:f>
      </x:c>
      <x:c r="T314" t="str">
        <x:f>IF($A314="","","TRUE")</x:f>
      </x:c>
    </x:row>
    <x:row r="315">
      <x:c r="D315" t="str">
        <x:f>IF($A315="","",COUNTIFS(CaseLedger!$F:$F,$A315,CaseLedger!$B:$B,"TRUE"))</x:f>
      </x:c>
      <x:c r="E315" t="str">
        <x:f>IF($A315="","",COUNTIFS(CaseLedger!$F:$F,$A315,CaseLedger!$B:$B,"TRUE",CaseLedger!$P:$P,"Zakat"))</x:f>
      </x:c>
      <x:c r="F315" t="str">
        <x:f>IF($A315="","",COUNTIFS(CaseLedger!$F:$F,$A315,CaseLedger!$B:$B,"TRUE",CaseLedger!$P:$P,"Sadaqah"))</x:f>
      </x:c>
      <x:c r="G315" t="str">
        <x:f>IF($A315="","",COUNTIFS(CaseLedger!$F:$F,$A315,CaseLedger!$B:$B,"TRUE",CaseLedger!$P:$P,"Mixed"))</x:f>
      </x:c>
      <x:c r="H315" t="str">
        <x:f>IF($A315="","",COUNTIFS(CaseLedger!$F:$F,$A315,CaseLedger!$B:$B,"TRUE",CaseLedger!$K:$K,"Livelihood"))</x:f>
      </x:c>
      <x:c r="I315" t="str">
        <x:f>IF($A315="","",COUNTIFS(CaseLedger!$F:$F,$A315,CaseLedger!$B:$B,"TRUE",CaseLedger!$K:$K,"Skill Sponsorship"))</x:f>
      </x:c>
      <x:c r="J315" t="str">
        <x:f>IF($A315="","",COUNTIFS(CaseLedger!$F:$F,$A315,CaseLedger!$B:$B,"TRUE",CaseLedger!$K:$K,"Emergency Support"))</x:f>
      </x:c>
      <x:c r="K315" t="str">
        <x:f>IF($A315="","",COUNTIFS(CaseLedger!$F:$F,$A315,CaseLedger!$B:$B,"TRUE",CaseLedger!$K:$K,"Community Support"))</x:f>
      </x:c>
      <x:c r="L315" t="str">
        <x:f>IF($A315="","",SUMIFS(CaseLedger!$M:$M,CaseLedger!$F:$F,$A315,CaseLedger!$B:$B,"TRUE"))</x:f>
      </x:c>
      <x:c r="M315" t="str">
        <x:f>IF($A315="","",SUMIFS(CaseLedger!$N:$N,CaseLedger!$F:$F,$A315,CaseLedger!$B:$B,"TRUE"))</x:f>
      </x:c>
      <x:c r="N315" t="str">
        <x:f>IF($A315="","",0)</x:f>
      </x:c>
      <x:c r="O315" t="str">
        <x:f>IF($A315="","",SUMIFS(CaseLedger!$O:$O,CaseLedger!$F:$F,$A315,CaseLedger!$B:$B,"TRUE"))</x:f>
      </x:c>
      <x:c r="P315" t="str">
        <x:f>IF($A315="","",IFERROR(VLOOKUP($A315,MonthlyFinance!$A:$G,4,FALSE),""))</x:f>
      </x:c>
      <x:c r="Q315" t="str">
        <x:f>IF($A315="","",IFERROR(VLOOKUP($A315,MonthlyFinance!$A:$G,5,FALSE),""))</x:f>
      </x:c>
      <x:c r="R315" t="str">
        <x:f>IF($A315="","",IFERROR(VLOOKUP($A315,MonthlyFinance!$A:$G,6,FALSE),""))</x:f>
      </x:c>
      <x:c r="S315" t="str">
        <x:f>IF($A315="","","Formula-linked from CaseLedger; finance fields from MonthlyFinance.")</x:f>
      </x:c>
      <x:c r="T315" t="str">
        <x:f>IF($A315="","","TRUE")</x:f>
      </x:c>
    </x:row>
    <x:row r="316">
      <x:c r="D316" t="str">
        <x:f>IF($A316="","",COUNTIFS(CaseLedger!$F:$F,$A316,CaseLedger!$B:$B,"TRUE"))</x:f>
      </x:c>
      <x:c r="E316" t="str">
        <x:f>IF($A316="","",COUNTIFS(CaseLedger!$F:$F,$A316,CaseLedger!$B:$B,"TRUE",CaseLedger!$P:$P,"Zakat"))</x:f>
      </x:c>
      <x:c r="F316" t="str">
        <x:f>IF($A316="","",COUNTIFS(CaseLedger!$F:$F,$A316,CaseLedger!$B:$B,"TRUE",CaseLedger!$P:$P,"Sadaqah"))</x:f>
      </x:c>
      <x:c r="G316" t="str">
        <x:f>IF($A316="","",COUNTIFS(CaseLedger!$F:$F,$A316,CaseLedger!$B:$B,"TRUE",CaseLedger!$P:$P,"Mixed"))</x:f>
      </x:c>
      <x:c r="H316" t="str">
        <x:f>IF($A316="","",COUNTIFS(CaseLedger!$F:$F,$A316,CaseLedger!$B:$B,"TRUE",CaseLedger!$K:$K,"Livelihood"))</x:f>
      </x:c>
      <x:c r="I316" t="str">
        <x:f>IF($A316="","",COUNTIFS(CaseLedger!$F:$F,$A316,CaseLedger!$B:$B,"TRUE",CaseLedger!$K:$K,"Skill Sponsorship"))</x:f>
      </x:c>
      <x:c r="J316" t="str">
        <x:f>IF($A316="","",COUNTIFS(CaseLedger!$F:$F,$A316,CaseLedger!$B:$B,"TRUE",CaseLedger!$K:$K,"Emergency Support"))</x:f>
      </x:c>
      <x:c r="K316" t="str">
        <x:f>IF($A316="","",COUNTIFS(CaseLedger!$F:$F,$A316,CaseLedger!$B:$B,"TRUE",CaseLedger!$K:$K,"Community Support"))</x:f>
      </x:c>
      <x:c r="L316" t="str">
        <x:f>IF($A316="","",SUMIFS(CaseLedger!$M:$M,CaseLedger!$F:$F,$A316,CaseLedger!$B:$B,"TRUE"))</x:f>
      </x:c>
      <x:c r="M316" t="str">
        <x:f>IF($A316="","",SUMIFS(CaseLedger!$N:$N,CaseLedger!$F:$F,$A316,CaseLedger!$B:$B,"TRUE"))</x:f>
      </x:c>
      <x:c r="N316" t="str">
        <x:f>IF($A316="","",0)</x:f>
      </x:c>
      <x:c r="O316" t="str">
        <x:f>IF($A316="","",SUMIFS(CaseLedger!$O:$O,CaseLedger!$F:$F,$A316,CaseLedger!$B:$B,"TRUE"))</x:f>
      </x:c>
      <x:c r="P316" t="str">
        <x:f>IF($A316="","",IFERROR(VLOOKUP($A316,MonthlyFinance!$A:$G,4,FALSE),""))</x:f>
      </x:c>
      <x:c r="Q316" t="str">
        <x:f>IF($A316="","",IFERROR(VLOOKUP($A316,MonthlyFinance!$A:$G,5,FALSE),""))</x:f>
      </x:c>
      <x:c r="R316" t="str">
        <x:f>IF($A316="","",IFERROR(VLOOKUP($A316,MonthlyFinance!$A:$G,6,FALSE),""))</x:f>
      </x:c>
      <x:c r="S316" t="str">
        <x:f>IF($A316="","","Formula-linked from CaseLedger; finance fields from MonthlyFinance.")</x:f>
      </x:c>
      <x:c r="T316" t="str">
        <x:f>IF($A316="","","TRUE")</x:f>
      </x:c>
    </x:row>
    <x:row r="317">
      <x:c r="D317" t="str">
        <x:f>IF($A317="","",COUNTIFS(CaseLedger!$F:$F,$A317,CaseLedger!$B:$B,"TRUE"))</x:f>
      </x:c>
      <x:c r="E317" t="str">
        <x:f>IF($A317="","",COUNTIFS(CaseLedger!$F:$F,$A317,CaseLedger!$B:$B,"TRUE",CaseLedger!$P:$P,"Zakat"))</x:f>
      </x:c>
      <x:c r="F317" t="str">
        <x:f>IF($A317="","",COUNTIFS(CaseLedger!$F:$F,$A317,CaseLedger!$B:$B,"TRUE",CaseLedger!$P:$P,"Sadaqah"))</x:f>
      </x:c>
      <x:c r="G317" t="str">
        <x:f>IF($A317="","",COUNTIFS(CaseLedger!$F:$F,$A317,CaseLedger!$B:$B,"TRUE",CaseLedger!$P:$P,"Mixed"))</x:f>
      </x:c>
      <x:c r="H317" t="str">
        <x:f>IF($A317="","",COUNTIFS(CaseLedger!$F:$F,$A317,CaseLedger!$B:$B,"TRUE",CaseLedger!$K:$K,"Livelihood"))</x:f>
      </x:c>
      <x:c r="I317" t="str">
        <x:f>IF($A317="","",COUNTIFS(CaseLedger!$F:$F,$A317,CaseLedger!$B:$B,"TRUE",CaseLedger!$K:$K,"Skill Sponsorship"))</x:f>
      </x:c>
      <x:c r="J317" t="str">
        <x:f>IF($A317="","",COUNTIFS(CaseLedger!$F:$F,$A317,CaseLedger!$B:$B,"TRUE",CaseLedger!$K:$K,"Emergency Support"))</x:f>
      </x:c>
      <x:c r="K317" t="str">
        <x:f>IF($A317="","",COUNTIFS(CaseLedger!$F:$F,$A317,CaseLedger!$B:$B,"TRUE",CaseLedger!$K:$K,"Community Support"))</x:f>
      </x:c>
      <x:c r="L317" t="str">
        <x:f>IF($A317="","",SUMIFS(CaseLedger!$M:$M,CaseLedger!$F:$F,$A317,CaseLedger!$B:$B,"TRUE"))</x:f>
      </x:c>
      <x:c r="M317" t="str">
        <x:f>IF($A317="","",SUMIFS(CaseLedger!$N:$N,CaseLedger!$F:$F,$A317,CaseLedger!$B:$B,"TRUE"))</x:f>
      </x:c>
      <x:c r="N317" t="str">
        <x:f>IF($A317="","",0)</x:f>
      </x:c>
      <x:c r="O317" t="str">
        <x:f>IF($A317="","",SUMIFS(CaseLedger!$O:$O,CaseLedger!$F:$F,$A317,CaseLedger!$B:$B,"TRUE"))</x:f>
      </x:c>
      <x:c r="P317" t="str">
        <x:f>IF($A317="","",IFERROR(VLOOKUP($A317,MonthlyFinance!$A:$G,4,FALSE),""))</x:f>
      </x:c>
      <x:c r="Q317" t="str">
        <x:f>IF($A317="","",IFERROR(VLOOKUP($A317,MonthlyFinance!$A:$G,5,FALSE),""))</x:f>
      </x:c>
      <x:c r="R317" t="str">
        <x:f>IF($A317="","",IFERROR(VLOOKUP($A317,MonthlyFinance!$A:$G,6,FALSE),""))</x:f>
      </x:c>
      <x:c r="S317" t="str">
        <x:f>IF($A317="","","Formula-linked from CaseLedger; finance fields from MonthlyFinance.")</x:f>
      </x:c>
      <x:c r="T317" t="str">
        <x:f>IF($A317="","","TRUE")</x:f>
      </x:c>
    </x:row>
    <x:row r="318">
      <x:c r="D318" t="str">
        <x:f>IF($A318="","",COUNTIFS(CaseLedger!$F:$F,$A318,CaseLedger!$B:$B,"TRUE"))</x:f>
      </x:c>
      <x:c r="E318" t="str">
        <x:f>IF($A318="","",COUNTIFS(CaseLedger!$F:$F,$A318,CaseLedger!$B:$B,"TRUE",CaseLedger!$P:$P,"Zakat"))</x:f>
      </x:c>
      <x:c r="F318" t="str">
        <x:f>IF($A318="","",COUNTIFS(CaseLedger!$F:$F,$A318,CaseLedger!$B:$B,"TRUE",CaseLedger!$P:$P,"Sadaqah"))</x:f>
      </x:c>
      <x:c r="G318" t="str">
        <x:f>IF($A318="","",COUNTIFS(CaseLedger!$F:$F,$A318,CaseLedger!$B:$B,"TRUE",CaseLedger!$P:$P,"Mixed"))</x:f>
      </x:c>
      <x:c r="H318" t="str">
        <x:f>IF($A318="","",COUNTIFS(CaseLedger!$F:$F,$A318,CaseLedger!$B:$B,"TRUE",CaseLedger!$K:$K,"Livelihood"))</x:f>
      </x:c>
      <x:c r="I318" t="str">
        <x:f>IF($A318="","",COUNTIFS(CaseLedger!$F:$F,$A318,CaseLedger!$B:$B,"TRUE",CaseLedger!$K:$K,"Skill Sponsorship"))</x:f>
      </x:c>
      <x:c r="J318" t="str">
        <x:f>IF($A318="","",COUNTIFS(CaseLedger!$F:$F,$A318,CaseLedger!$B:$B,"TRUE",CaseLedger!$K:$K,"Emergency Support"))</x:f>
      </x:c>
      <x:c r="K318" t="str">
        <x:f>IF($A318="","",COUNTIFS(CaseLedger!$F:$F,$A318,CaseLedger!$B:$B,"TRUE",CaseLedger!$K:$K,"Community Support"))</x:f>
      </x:c>
      <x:c r="L318" t="str">
        <x:f>IF($A318="","",SUMIFS(CaseLedger!$M:$M,CaseLedger!$F:$F,$A318,CaseLedger!$B:$B,"TRUE"))</x:f>
      </x:c>
      <x:c r="M318" t="str">
        <x:f>IF($A318="","",SUMIFS(CaseLedger!$N:$N,CaseLedger!$F:$F,$A318,CaseLedger!$B:$B,"TRUE"))</x:f>
      </x:c>
      <x:c r="N318" t="str">
        <x:f>IF($A318="","",0)</x:f>
      </x:c>
      <x:c r="O318" t="str">
        <x:f>IF($A318="","",SUMIFS(CaseLedger!$O:$O,CaseLedger!$F:$F,$A318,CaseLedger!$B:$B,"TRUE"))</x:f>
      </x:c>
      <x:c r="P318" t="str">
        <x:f>IF($A318="","",IFERROR(VLOOKUP($A318,MonthlyFinance!$A:$G,4,FALSE),""))</x:f>
      </x:c>
      <x:c r="Q318" t="str">
        <x:f>IF($A318="","",IFERROR(VLOOKUP($A318,MonthlyFinance!$A:$G,5,FALSE),""))</x:f>
      </x:c>
      <x:c r="R318" t="str">
        <x:f>IF($A318="","",IFERROR(VLOOKUP($A318,MonthlyFinance!$A:$G,6,FALSE),""))</x:f>
      </x:c>
      <x:c r="S318" t="str">
        <x:f>IF($A318="","","Formula-linked from CaseLedger; finance fields from MonthlyFinance.")</x:f>
      </x:c>
      <x:c r="T318" t="str">
        <x:f>IF($A318="","","TRUE")</x:f>
      </x:c>
    </x:row>
    <x:row r="319">
      <x:c r="D319" t="str">
        <x:f>IF($A319="","",COUNTIFS(CaseLedger!$F:$F,$A319,CaseLedger!$B:$B,"TRUE"))</x:f>
      </x:c>
      <x:c r="E319" t="str">
        <x:f>IF($A319="","",COUNTIFS(CaseLedger!$F:$F,$A319,CaseLedger!$B:$B,"TRUE",CaseLedger!$P:$P,"Zakat"))</x:f>
      </x:c>
      <x:c r="F319" t="str">
        <x:f>IF($A319="","",COUNTIFS(CaseLedger!$F:$F,$A319,CaseLedger!$B:$B,"TRUE",CaseLedger!$P:$P,"Sadaqah"))</x:f>
      </x:c>
      <x:c r="G319" t="str">
        <x:f>IF($A319="","",COUNTIFS(CaseLedger!$F:$F,$A319,CaseLedger!$B:$B,"TRUE",CaseLedger!$P:$P,"Mixed"))</x:f>
      </x:c>
      <x:c r="H319" t="str">
        <x:f>IF($A319="","",COUNTIFS(CaseLedger!$F:$F,$A319,CaseLedger!$B:$B,"TRUE",CaseLedger!$K:$K,"Livelihood"))</x:f>
      </x:c>
      <x:c r="I319" t="str">
        <x:f>IF($A319="","",COUNTIFS(CaseLedger!$F:$F,$A319,CaseLedger!$B:$B,"TRUE",CaseLedger!$K:$K,"Skill Sponsorship"))</x:f>
      </x:c>
      <x:c r="J319" t="str">
        <x:f>IF($A319="","",COUNTIFS(CaseLedger!$F:$F,$A319,CaseLedger!$B:$B,"TRUE",CaseLedger!$K:$K,"Emergency Support"))</x:f>
      </x:c>
      <x:c r="K319" t="str">
        <x:f>IF($A319="","",COUNTIFS(CaseLedger!$F:$F,$A319,CaseLedger!$B:$B,"TRUE",CaseLedger!$K:$K,"Community Support"))</x:f>
      </x:c>
      <x:c r="L319" t="str">
        <x:f>IF($A319="","",SUMIFS(CaseLedger!$M:$M,CaseLedger!$F:$F,$A319,CaseLedger!$B:$B,"TRUE"))</x:f>
      </x:c>
      <x:c r="M319" t="str">
        <x:f>IF($A319="","",SUMIFS(CaseLedger!$N:$N,CaseLedger!$F:$F,$A319,CaseLedger!$B:$B,"TRUE"))</x:f>
      </x:c>
      <x:c r="N319" t="str">
        <x:f>IF($A319="","",0)</x:f>
      </x:c>
      <x:c r="O319" t="str">
        <x:f>IF($A319="","",SUMIFS(CaseLedger!$O:$O,CaseLedger!$F:$F,$A319,CaseLedger!$B:$B,"TRUE"))</x:f>
      </x:c>
      <x:c r="P319" t="str">
        <x:f>IF($A319="","",IFERROR(VLOOKUP($A319,MonthlyFinance!$A:$G,4,FALSE),""))</x:f>
      </x:c>
      <x:c r="Q319" t="str">
        <x:f>IF($A319="","",IFERROR(VLOOKUP($A319,MonthlyFinance!$A:$G,5,FALSE),""))</x:f>
      </x:c>
      <x:c r="R319" t="str">
        <x:f>IF($A319="","",IFERROR(VLOOKUP($A319,MonthlyFinance!$A:$G,6,FALSE),""))</x:f>
      </x:c>
      <x:c r="S319" t="str">
        <x:f>IF($A319="","","Formula-linked from CaseLedger; finance fields from MonthlyFinance.")</x:f>
      </x:c>
      <x:c r="T319" t="str">
        <x:f>IF($A319="","","TRUE")</x:f>
      </x:c>
    </x:row>
    <x:row r="320">
      <x:c r="D320" t="str">
        <x:f>IF($A320="","",COUNTIFS(CaseLedger!$F:$F,$A320,CaseLedger!$B:$B,"TRUE"))</x:f>
      </x:c>
      <x:c r="E320" t="str">
        <x:f>IF($A320="","",COUNTIFS(CaseLedger!$F:$F,$A320,CaseLedger!$B:$B,"TRUE",CaseLedger!$P:$P,"Zakat"))</x:f>
      </x:c>
      <x:c r="F320" t="str">
        <x:f>IF($A320="","",COUNTIFS(CaseLedger!$F:$F,$A320,CaseLedger!$B:$B,"TRUE",CaseLedger!$P:$P,"Sadaqah"))</x:f>
      </x:c>
      <x:c r="G320" t="str">
        <x:f>IF($A320="","",COUNTIFS(CaseLedger!$F:$F,$A320,CaseLedger!$B:$B,"TRUE",CaseLedger!$P:$P,"Mixed"))</x:f>
      </x:c>
      <x:c r="H320" t="str">
        <x:f>IF($A320="","",COUNTIFS(CaseLedger!$F:$F,$A320,CaseLedger!$B:$B,"TRUE",CaseLedger!$K:$K,"Livelihood"))</x:f>
      </x:c>
      <x:c r="I320" t="str">
        <x:f>IF($A320="","",COUNTIFS(CaseLedger!$F:$F,$A320,CaseLedger!$B:$B,"TRUE",CaseLedger!$K:$K,"Skill Sponsorship"))</x:f>
      </x:c>
      <x:c r="J320" t="str">
        <x:f>IF($A320="","",COUNTIFS(CaseLedger!$F:$F,$A320,CaseLedger!$B:$B,"TRUE",CaseLedger!$K:$K,"Emergency Support"))</x:f>
      </x:c>
      <x:c r="K320" t="str">
        <x:f>IF($A320="","",COUNTIFS(CaseLedger!$F:$F,$A320,CaseLedger!$B:$B,"TRUE",CaseLedger!$K:$K,"Community Support"))</x:f>
      </x:c>
      <x:c r="L320" t="str">
        <x:f>IF($A320="","",SUMIFS(CaseLedger!$M:$M,CaseLedger!$F:$F,$A320,CaseLedger!$B:$B,"TRUE"))</x:f>
      </x:c>
      <x:c r="M320" t="str">
        <x:f>IF($A320="","",SUMIFS(CaseLedger!$N:$N,CaseLedger!$F:$F,$A320,CaseLedger!$B:$B,"TRUE"))</x:f>
      </x:c>
      <x:c r="N320" t="str">
        <x:f>IF($A320="","",0)</x:f>
      </x:c>
      <x:c r="O320" t="str">
        <x:f>IF($A320="","",SUMIFS(CaseLedger!$O:$O,CaseLedger!$F:$F,$A320,CaseLedger!$B:$B,"TRUE"))</x:f>
      </x:c>
      <x:c r="P320" t="str">
        <x:f>IF($A320="","",IFERROR(VLOOKUP($A320,MonthlyFinance!$A:$G,4,FALSE),""))</x:f>
      </x:c>
      <x:c r="Q320" t="str">
        <x:f>IF($A320="","",IFERROR(VLOOKUP($A320,MonthlyFinance!$A:$G,5,FALSE),""))</x:f>
      </x:c>
      <x:c r="R320" t="str">
        <x:f>IF($A320="","",IFERROR(VLOOKUP($A320,MonthlyFinance!$A:$G,6,FALSE),""))</x:f>
      </x:c>
      <x:c r="S320" t="str">
        <x:f>IF($A320="","","Formula-linked from CaseLedger; finance fields from MonthlyFinance.")</x:f>
      </x:c>
      <x:c r="T320" t="str">
        <x:f>IF($A320="","","TRUE")</x:f>
      </x:c>
    </x:row>
    <x:row r="321">
      <x:c r="D321" t="str">
        <x:f>IF($A321="","",COUNTIFS(CaseLedger!$F:$F,$A321,CaseLedger!$B:$B,"TRUE"))</x:f>
      </x:c>
      <x:c r="E321" t="str">
        <x:f>IF($A321="","",COUNTIFS(CaseLedger!$F:$F,$A321,CaseLedger!$B:$B,"TRUE",CaseLedger!$P:$P,"Zakat"))</x:f>
      </x:c>
      <x:c r="F321" t="str">
        <x:f>IF($A321="","",COUNTIFS(CaseLedger!$F:$F,$A321,CaseLedger!$B:$B,"TRUE",CaseLedger!$P:$P,"Sadaqah"))</x:f>
      </x:c>
      <x:c r="G321" t="str">
        <x:f>IF($A321="","",COUNTIFS(CaseLedger!$F:$F,$A321,CaseLedger!$B:$B,"TRUE",CaseLedger!$P:$P,"Mixed"))</x:f>
      </x:c>
      <x:c r="H321" t="str">
        <x:f>IF($A321="","",COUNTIFS(CaseLedger!$F:$F,$A321,CaseLedger!$B:$B,"TRUE",CaseLedger!$K:$K,"Livelihood"))</x:f>
      </x:c>
      <x:c r="I321" t="str">
        <x:f>IF($A321="","",COUNTIFS(CaseLedger!$F:$F,$A321,CaseLedger!$B:$B,"TRUE",CaseLedger!$K:$K,"Skill Sponsorship"))</x:f>
      </x:c>
      <x:c r="J321" t="str">
        <x:f>IF($A321="","",COUNTIFS(CaseLedger!$F:$F,$A321,CaseLedger!$B:$B,"TRUE",CaseLedger!$K:$K,"Emergency Support"))</x:f>
      </x:c>
      <x:c r="K321" t="str">
        <x:f>IF($A321="","",COUNTIFS(CaseLedger!$F:$F,$A321,CaseLedger!$B:$B,"TRUE",CaseLedger!$K:$K,"Community Support"))</x:f>
      </x:c>
      <x:c r="L321" t="str">
        <x:f>IF($A321="","",SUMIFS(CaseLedger!$M:$M,CaseLedger!$F:$F,$A321,CaseLedger!$B:$B,"TRUE"))</x:f>
      </x:c>
      <x:c r="M321" t="str">
        <x:f>IF($A321="","",SUMIFS(CaseLedger!$N:$N,CaseLedger!$F:$F,$A321,CaseLedger!$B:$B,"TRUE"))</x:f>
      </x:c>
      <x:c r="N321" t="str">
        <x:f>IF($A321="","",0)</x:f>
      </x:c>
      <x:c r="O321" t="str">
        <x:f>IF($A321="","",SUMIFS(CaseLedger!$O:$O,CaseLedger!$F:$F,$A321,CaseLedger!$B:$B,"TRUE"))</x:f>
      </x:c>
      <x:c r="P321" t="str">
        <x:f>IF($A321="","",IFERROR(VLOOKUP($A321,MonthlyFinance!$A:$G,4,FALSE),""))</x:f>
      </x:c>
      <x:c r="Q321" t="str">
        <x:f>IF($A321="","",IFERROR(VLOOKUP($A321,MonthlyFinance!$A:$G,5,FALSE),""))</x:f>
      </x:c>
      <x:c r="R321" t="str">
        <x:f>IF($A321="","",IFERROR(VLOOKUP($A321,MonthlyFinance!$A:$G,6,FALSE),""))</x:f>
      </x:c>
      <x:c r="S321" t="str">
        <x:f>IF($A321="","","Formula-linked from CaseLedger; finance fields from MonthlyFinance.")</x:f>
      </x:c>
      <x:c r="T321" t="str">
        <x:f>IF($A321="","","TRUE")</x:f>
      </x:c>
    </x:row>
    <x:row r="322">
      <x:c r="D322" t="str">
        <x:f>IF($A322="","",COUNTIFS(CaseLedger!$F:$F,$A322,CaseLedger!$B:$B,"TRUE"))</x:f>
      </x:c>
      <x:c r="E322" t="str">
        <x:f>IF($A322="","",COUNTIFS(CaseLedger!$F:$F,$A322,CaseLedger!$B:$B,"TRUE",CaseLedger!$P:$P,"Zakat"))</x:f>
      </x:c>
      <x:c r="F322" t="str">
        <x:f>IF($A322="","",COUNTIFS(CaseLedger!$F:$F,$A322,CaseLedger!$B:$B,"TRUE",CaseLedger!$P:$P,"Sadaqah"))</x:f>
      </x:c>
      <x:c r="G322" t="str">
        <x:f>IF($A322="","",COUNTIFS(CaseLedger!$F:$F,$A322,CaseLedger!$B:$B,"TRUE",CaseLedger!$P:$P,"Mixed"))</x:f>
      </x:c>
      <x:c r="H322" t="str">
        <x:f>IF($A322="","",COUNTIFS(CaseLedger!$F:$F,$A322,CaseLedger!$B:$B,"TRUE",CaseLedger!$K:$K,"Livelihood"))</x:f>
      </x:c>
      <x:c r="I322" t="str">
        <x:f>IF($A322="","",COUNTIFS(CaseLedger!$F:$F,$A322,CaseLedger!$B:$B,"TRUE",CaseLedger!$K:$K,"Skill Sponsorship"))</x:f>
      </x:c>
      <x:c r="J322" t="str">
        <x:f>IF($A322="","",COUNTIFS(CaseLedger!$F:$F,$A322,CaseLedger!$B:$B,"TRUE",CaseLedger!$K:$K,"Emergency Support"))</x:f>
      </x:c>
      <x:c r="K322" t="str">
        <x:f>IF($A322="","",COUNTIFS(CaseLedger!$F:$F,$A322,CaseLedger!$B:$B,"TRUE",CaseLedger!$K:$K,"Community Support"))</x:f>
      </x:c>
      <x:c r="L322" t="str">
        <x:f>IF($A322="","",SUMIFS(CaseLedger!$M:$M,CaseLedger!$F:$F,$A322,CaseLedger!$B:$B,"TRUE"))</x:f>
      </x:c>
      <x:c r="M322" t="str">
        <x:f>IF($A322="","",SUMIFS(CaseLedger!$N:$N,CaseLedger!$F:$F,$A322,CaseLedger!$B:$B,"TRUE"))</x:f>
      </x:c>
      <x:c r="N322" t="str">
        <x:f>IF($A322="","",0)</x:f>
      </x:c>
      <x:c r="O322" t="str">
        <x:f>IF($A322="","",SUMIFS(CaseLedger!$O:$O,CaseLedger!$F:$F,$A322,CaseLedger!$B:$B,"TRUE"))</x:f>
      </x:c>
      <x:c r="P322" t="str">
        <x:f>IF($A322="","",IFERROR(VLOOKUP($A322,MonthlyFinance!$A:$G,4,FALSE),""))</x:f>
      </x:c>
      <x:c r="Q322" t="str">
        <x:f>IF($A322="","",IFERROR(VLOOKUP($A322,MonthlyFinance!$A:$G,5,FALSE),""))</x:f>
      </x:c>
      <x:c r="R322" t="str">
        <x:f>IF($A322="","",IFERROR(VLOOKUP($A322,MonthlyFinance!$A:$G,6,FALSE),""))</x:f>
      </x:c>
      <x:c r="S322" t="str">
        <x:f>IF($A322="","","Formula-linked from CaseLedger; finance fields from MonthlyFinance.")</x:f>
      </x:c>
      <x:c r="T322" t="str">
        <x:f>IF($A322="","","TRUE")</x:f>
      </x:c>
    </x:row>
    <x:row r="323">
      <x:c r="D323" t="str">
        <x:f>IF($A323="","",COUNTIFS(CaseLedger!$F:$F,$A323,CaseLedger!$B:$B,"TRUE"))</x:f>
      </x:c>
      <x:c r="E323" t="str">
        <x:f>IF($A323="","",COUNTIFS(CaseLedger!$F:$F,$A323,CaseLedger!$B:$B,"TRUE",CaseLedger!$P:$P,"Zakat"))</x:f>
      </x:c>
      <x:c r="F323" t="str">
        <x:f>IF($A323="","",COUNTIFS(CaseLedger!$F:$F,$A323,CaseLedger!$B:$B,"TRUE",CaseLedger!$P:$P,"Sadaqah"))</x:f>
      </x:c>
      <x:c r="G323" t="str">
        <x:f>IF($A323="","",COUNTIFS(CaseLedger!$F:$F,$A323,CaseLedger!$B:$B,"TRUE",CaseLedger!$P:$P,"Mixed"))</x:f>
      </x:c>
      <x:c r="H323" t="str">
        <x:f>IF($A323="","",COUNTIFS(CaseLedger!$F:$F,$A323,CaseLedger!$B:$B,"TRUE",CaseLedger!$K:$K,"Livelihood"))</x:f>
      </x:c>
      <x:c r="I323" t="str">
        <x:f>IF($A323="","",COUNTIFS(CaseLedger!$F:$F,$A323,CaseLedger!$B:$B,"TRUE",CaseLedger!$K:$K,"Skill Sponsorship"))</x:f>
      </x:c>
      <x:c r="J323" t="str">
        <x:f>IF($A323="","",COUNTIFS(CaseLedger!$F:$F,$A323,CaseLedger!$B:$B,"TRUE",CaseLedger!$K:$K,"Emergency Support"))</x:f>
      </x:c>
      <x:c r="K323" t="str">
        <x:f>IF($A323="","",COUNTIFS(CaseLedger!$F:$F,$A323,CaseLedger!$B:$B,"TRUE",CaseLedger!$K:$K,"Community Support"))</x:f>
      </x:c>
      <x:c r="L323" t="str">
        <x:f>IF($A323="","",SUMIFS(CaseLedger!$M:$M,CaseLedger!$F:$F,$A323,CaseLedger!$B:$B,"TRUE"))</x:f>
      </x:c>
      <x:c r="M323" t="str">
        <x:f>IF($A323="","",SUMIFS(CaseLedger!$N:$N,CaseLedger!$F:$F,$A323,CaseLedger!$B:$B,"TRUE"))</x:f>
      </x:c>
      <x:c r="N323" t="str">
        <x:f>IF($A323="","",0)</x:f>
      </x:c>
      <x:c r="O323" t="str">
        <x:f>IF($A323="","",SUMIFS(CaseLedger!$O:$O,CaseLedger!$F:$F,$A323,CaseLedger!$B:$B,"TRUE"))</x:f>
      </x:c>
      <x:c r="P323" t="str">
        <x:f>IF($A323="","",IFERROR(VLOOKUP($A323,MonthlyFinance!$A:$G,4,FALSE),""))</x:f>
      </x:c>
      <x:c r="Q323" t="str">
        <x:f>IF($A323="","",IFERROR(VLOOKUP($A323,MonthlyFinance!$A:$G,5,FALSE),""))</x:f>
      </x:c>
      <x:c r="R323" t="str">
        <x:f>IF($A323="","",IFERROR(VLOOKUP($A323,MonthlyFinance!$A:$G,6,FALSE),""))</x:f>
      </x:c>
      <x:c r="S323" t="str">
        <x:f>IF($A323="","","Formula-linked from CaseLedger; finance fields from MonthlyFinance.")</x:f>
      </x:c>
      <x:c r="T323" t="str">
        <x:f>IF($A323="","","TRUE")</x:f>
      </x:c>
    </x:row>
    <x:row r="324">
      <x:c r="D324" t="str">
        <x:f>IF($A324="","",COUNTIFS(CaseLedger!$F:$F,$A324,CaseLedger!$B:$B,"TRUE"))</x:f>
      </x:c>
      <x:c r="E324" t="str">
        <x:f>IF($A324="","",COUNTIFS(CaseLedger!$F:$F,$A324,CaseLedger!$B:$B,"TRUE",CaseLedger!$P:$P,"Zakat"))</x:f>
      </x:c>
      <x:c r="F324" t="str">
        <x:f>IF($A324="","",COUNTIFS(CaseLedger!$F:$F,$A324,CaseLedger!$B:$B,"TRUE",CaseLedger!$P:$P,"Sadaqah"))</x:f>
      </x:c>
      <x:c r="G324" t="str">
        <x:f>IF($A324="","",COUNTIFS(CaseLedger!$F:$F,$A324,CaseLedger!$B:$B,"TRUE",CaseLedger!$P:$P,"Mixed"))</x:f>
      </x:c>
      <x:c r="H324" t="str">
        <x:f>IF($A324="","",COUNTIFS(CaseLedger!$F:$F,$A324,CaseLedger!$B:$B,"TRUE",CaseLedger!$K:$K,"Livelihood"))</x:f>
      </x:c>
      <x:c r="I324" t="str">
        <x:f>IF($A324="","",COUNTIFS(CaseLedger!$F:$F,$A324,CaseLedger!$B:$B,"TRUE",CaseLedger!$K:$K,"Skill Sponsorship"))</x:f>
      </x:c>
      <x:c r="J324" t="str">
        <x:f>IF($A324="","",COUNTIFS(CaseLedger!$F:$F,$A324,CaseLedger!$B:$B,"TRUE",CaseLedger!$K:$K,"Emergency Support"))</x:f>
      </x:c>
      <x:c r="K324" t="str">
        <x:f>IF($A324="","",COUNTIFS(CaseLedger!$F:$F,$A324,CaseLedger!$B:$B,"TRUE",CaseLedger!$K:$K,"Community Support"))</x:f>
      </x:c>
      <x:c r="L324" t="str">
        <x:f>IF($A324="","",SUMIFS(CaseLedger!$M:$M,CaseLedger!$F:$F,$A324,CaseLedger!$B:$B,"TRUE"))</x:f>
      </x:c>
      <x:c r="M324" t="str">
        <x:f>IF($A324="","",SUMIFS(CaseLedger!$N:$N,CaseLedger!$F:$F,$A324,CaseLedger!$B:$B,"TRUE"))</x:f>
      </x:c>
      <x:c r="N324" t="str">
        <x:f>IF($A324="","",0)</x:f>
      </x:c>
      <x:c r="O324" t="str">
        <x:f>IF($A324="","",SUMIFS(CaseLedger!$O:$O,CaseLedger!$F:$F,$A324,CaseLedger!$B:$B,"TRUE"))</x:f>
      </x:c>
      <x:c r="P324" t="str">
        <x:f>IF($A324="","",IFERROR(VLOOKUP($A324,MonthlyFinance!$A:$G,4,FALSE),""))</x:f>
      </x:c>
      <x:c r="Q324" t="str">
        <x:f>IF($A324="","",IFERROR(VLOOKUP($A324,MonthlyFinance!$A:$G,5,FALSE),""))</x:f>
      </x:c>
      <x:c r="R324" t="str">
        <x:f>IF($A324="","",IFERROR(VLOOKUP($A324,MonthlyFinance!$A:$G,6,FALSE),""))</x:f>
      </x:c>
      <x:c r="S324" t="str">
        <x:f>IF($A324="","","Formula-linked from CaseLedger; finance fields from MonthlyFinance.")</x:f>
      </x:c>
      <x:c r="T324" t="str">
        <x:f>IF($A324="","","TRUE")</x:f>
      </x:c>
    </x:row>
    <x:row r="325">
      <x:c r="D325" t="str">
        <x:f>IF($A325="","",COUNTIFS(CaseLedger!$F:$F,$A325,CaseLedger!$B:$B,"TRUE"))</x:f>
      </x:c>
      <x:c r="E325" t="str">
        <x:f>IF($A325="","",COUNTIFS(CaseLedger!$F:$F,$A325,CaseLedger!$B:$B,"TRUE",CaseLedger!$P:$P,"Zakat"))</x:f>
      </x:c>
      <x:c r="F325" t="str">
        <x:f>IF($A325="","",COUNTIFS(CaseLedger!$F:$F,$A325,CaseLedger!$B:$B,"TRUE",CaseLedger!$P:$P,"Sadaqah"))</x:f>
      </x:c>
      <x:c r="G325" t="str">
        <x:f>IF($A325="","",COUNTIFS(CaseLedger!$F:$F,$A325,CaseLedger!$B:$B,"TRUE",CaseLedger!$P:$P,"Mixed"))</x:f>
      </x:c>
      <x:c r="H325" t="str">
        <x:f>IF($A325="","",COUNTIFS(CaseLedger!$F:$F,$A325,CaseLedger!$B:$B,"TRUE",CaseLedger!$K:$K,"Livelihood"))</x:f>
      </x:c>
      <x:c r="I325" t="str">
        <x:f>IF($A325="","",COUNTIFS(CaseLedger!$F:$F,$A325,CaseLedger!$B:$B,"TRUE",CaseLedger!$K:$K,"Skill Sponsorship"))</x:f>
      </x:c>
      <x:c r="J325" t="str">
        <x:f>IF($A325="","",COUNTIFS(CaseLedger!$F:$F,$A325,CaseLedger!$B:$B,"TRUE",CaseLedger!$K:$K,"Emergency Support"))</x:f>
      </x:c>
      <x:c r="K325" t="str">
        <x:f>IF($A325="","",COUNTIFS(CaseLedger!$F:$F,$A325,CaseLedger!$B:$B,"TRUE",CaseLedger!$K:$K,"Community Support"))</x:f>
      </x:c>
      <x:c r="L325" t="str">
        <x:f>IF($A325="","",SUMIFS(CaseLedger!$M:$M,CaseLedger!$F:$F,$A325,CaseLedger!$B:$B,"TRUE"))</x:f>
      </x:c>
      <x:c r="M325" t="str">
        <x:f>IF($A325="","",SUMIFS(CaseLedger!$N:$N,CaseLedger!$F:$F,$A325,CaseLedger!$B:$B,"TRUE"))</x:f>
      </x:c>
      <x:c r="N325" t="str">
        <x:f>IF($A325="","",0)</x:f>
      </x:c>
      <x:c r="O325" t="str">
        <x:f>IF($A325="","",SUMIFS(CaseLedger!$O:$O,CaseLedger!$F:$F,$A325,CaseLedger!$B:$B,"TRUE"))</x:f>
      </x:c>
      <x:c r="P325" t="str">
        <x:f>IF($A325="","",IFERROR(VLOOKUP($A325,MonthlyFinance!$A:$G,4,FALSE),""))</x:f>
      </x:c>
      <x:c r="Q325" t="str">
        <x:f>IF($A325="","",IFERROR(VLOOKUP($A325,MonthlyFinance!$A:$G,5,FALSE),""))</x:f>
      </x:c>
      <x:c r="R325" t="str">
        <x:f>IF($A325="","",IFERROR(VLOOKUP($A325,MonthlyFinance!$A:$G,6,FALSE),""))</x:f>
      </x:c>
      <x:c r="S325" t="str">
        <x:f>IF($A325="","","Formula-linked from CaseLedger; finance fields from MonthlyFinance.")</x:f>
      </x:c>
      <x:c r="T325" t="str">
        <x:f>IF($A325="","","TRUE")</x:f>
      </x:c>
    </x:row>
    <x:row r="326">
      <x:c r="D326" t="str">
        <x:f>IF($A326="","",COUNTIFS(CaseLedger!$F:$F,$A326,CaseLedger!$B:$B,"TRUE"))</x:f>
      </x:c>
      <x:c r="E326" t="str">
        <x:f>IF($A326="","",COUNTIFS(CaseLedger!$F:$F,$A326,CaseLedger!$B:$B,"TRUE",CaseLedger!$P:$P,"Zakat"))</x:f>
      </x:c>
      <x:c r="F326" t="str">
        <x:f>IF($A326="","",COUNTIFS(CaseLedger!$F:$F,$A326,CaseLedger!$B:$B,"TRUE",CaseLedger!$P:$P,"Sadaqah"))</x:f>
      </x:c>
      <x:c r="G326" t="str">
        <x:f>IF($A326="","",COUNTIFS(CaseLedger!$F:$F,$A326,CaseLedger!$B:$B,"TRUE",CaseLedger!$P:$P,"Mixed"))</x:f>
      </x:c>
      <x:c r="H326" t="str">
        <x:f>IF($A326="","",COUNTIFS(CaseLedger!$F:$F,$A326,CaseLedger!$B:$B,"TRUE",CaseLedger!$K:$K,"Livelihood"))</x:f>
      </x:c>
      <x:c r="I326" t="str">
        <x:f>IF($A326="","",COUNTIFS(CaseLedger!$F:$F,$A326,CaseLedger!$B:$B,"TRUE",CaseLedger!$K:$K,"Skill Sponsorship"))</x:f>
      </x:c>
      <x:c r="J326" t="str">
        <x:f>IF($A326="","",COUNTIFS(CaseLedger!$F:$F,$A326,CaseLedger!$B:$B,"TRUE",CaseLedger!$K:$K,"Emergency Support"))</x:f>
      </x:c>
      <x:c r="K326" t="str">
        <x:f>IF($A326="","",COUNTIFS(CaseLedger!$F:$F,$A326,CaseLedger!$B:$B,"TRUE",CaseLedger!$K:$K,"Community Support"))</x:f>
      </x:c>
      <x:c r="L326" t="str">
        <x:f>IF($A326="","",SUMIFS(CaseLedger!$M:$M,CaseLedger!$F:$F,$A326,CaseLedger!$B:$B,"TRUE"))</x:f>
      </x:c>
      <x:c r="M326" t="str">
        <x:f>IF($A326="","",SUMIFS(CaseLedger!$N:$N,CaseLedger!$F:$F,$A326,CaseLedger!$B:$B,"TRUE"))</x:f>
      </x:c>
      <x:c r="N326" t="str">
        <x:f>IF($A326="","",0)</x:f>
      </x:c>
      <x:c r="O326" t="str">
        <x:f>IF($A326="","",SUMIFS(CaseLedger!$O:$O,CaseLedger!$F:$F,$A326,CaseLedger!$B:$B,"TRUE"))</x:f>
      </x:c>
      <x:c r="P326" t="str">
        <x:f>IF($A326="","",IFERROR(VLOOKUP($A326,MonthlyFinance!$A:$G,4,FALSE),""))</x:f>
      </x:c>
      <x:c r="Q326" t="str">
        <x:f>IF($A326="","",IFERROR(VLOOKUP($A326,MonthlyFinance!$A:$G,5,FALSE),""))</x:f>
      </x:c>
      <x:c r="R326" t="str">
        <x:f>IF($A326="","",IFERROR(VLOOKUP($A326,MonthlyFinance!$A:$G,6,FALSE),""))</x:f>
      </x:c>
      <x:c r="S326" t="str">
        <x:f>IF($A326="","","Formula-linked from CaseLedger; finance fields from MonthlyFinance.")</x:f>
      </x:c>
      <x:c r="T326" t="str">
        <x:f>IF($A326="","","TRUE")</x:f>
      </x:c>
    </x:row>
    <x:row r="327">
      <x:c r="D327" t="str">
        <x:f>IF($A327="","",COUNTIFS(CaseLedger!$F:$F,$A327,CaseLedger!$B:$B,"TRUE"))</x:f>
      </x:c>
      <x:c r="E327" t="str">
        <x:f>IF($A327="","",COUNTIFS(CaseLedger!$F:$F,$A327,CaseLedger!$B:$B,"TRUE",CaseLedger!$P:$P,"Zakat"))</x:f>
      </x:c>
      <x:c r="F327" t="str">
        <x:f>IF($A327="","",COUNTIFS(CaseLedger!$F:$F,$A327,CaseLedger!$B:$B,"TRUE",CaseLedger!$P:$P,"Sadaqah"))</x:f>
      </x:c>
      <x:c r="G327" t="str">
        <x:f>IF($A327="","",COUNTIFS(CaseLedger!$F:$F,$A327,CaseLedger!$B:$B,"TRUE",CaseLedger!$P:$P,"Mixed"))</x:f>
      </x:c>
      <x:c r="H327" t="str">
        <x:f>IF($A327="","",COUNTIFS(CaseLedger!$F:$F,$A327,CaseLedger!$B:$B,"TRUE",CaseLedger!$K:$K,"Livelihood"))</x:f>
      </x:c>
      <x:c r="I327" t="str">
        <x:f>IF($A327="","",COUNTIFS(CaseLedger!$F:$F,$A327,CaseLedger!$B:$B,"TRUE",CaseLedger!$K:$K,"Skill Sponsorship"))</x:f>
      </x:c>
      <x:c r="J327" t="str">
        <x:f>IF($A327="","",COUNTIFS(CaseLedger!$F:$F,$A327,CaseLedger!$B:$B,"TRUE",CaseLedger!$K:$K,"Emergency Support"))</x:f>
      </x:c>
      <x:c r="K327" t="str">
        <x:f>IF($A327="","",COUNTIFS(CaseLedger!$F:$F,$A327,CaseLedger!$B:$B,"TRUE",CaseLedger!$K:$K,"Community Support"))</x:f>
      </x:c>
      <x:c r="L327" t="str">
        <x:f>IF($A327="","",SUMIFS(CaseLedger!$M:$M,CaseLedger!$F:$F,$A327,CaseLedger!$B:$B,"TRUE"))</x:f>
      </x:c>
      <x:c r="M327" t="str">
        <x:f>IF($A327="","",SUMIFS(CaseLedger!$N:$N,CaseLedger!$F:$F,$A327,CaseLedger!$B:$B,"TRUE"))</x:f>
      </x:c>
      <x:c r="N327" t="str">
        <x:f>IF($A327="","",0)</x:f>
      </x:c>
      <x:c r="O327" t="str">
        <x:f>IF($A327="","",SUMIFS(CaseLedger!$O:$O,CaseLedger!$F:$F,$A327,CaseLedger!$B:$B,"TRUE"))</x:f>
      </x:c>
      <x:c r="P327" t="str">
        <x:f>IF($A327="","",IFERROR(VLOOKUP($A327,MonthlyFinance!$A:$G,4,FALSE),""))</x:f>
      </x:c>
      <x:c r="Q327" t="str">
        <x:f>IF($A327="","",IFERROR(VLOOKUP($A327,MonthlyFinance!$A:$G,5,FALSE),""))</x:f>
      </x:c>
      <x:c r="R327" t="str">
        <x:f>IF($A327="","",IFERROR(VLOOKUP($A327,MonthlyFinance!$A:$G,6,FALSE),""))</x:f>
      </x:c>
      <x:c r="S327" t="str">
        <x:f>IF($A327="","","Formula-linked from CaseLedger; finance fields from MonthlyFinance.")</x:f>
      </x:c>
      <x:c r="T327" t="str">
        <x:f>IF($A327="","","TRUE")</x:f>
      </x:c>
    </x:row>
    <x:row r="328">
      <x:c r="D328" t="str">
        <x:f>IF($A328="","",COUNTIFS(CaseLedger!$F:$F,$A328,CaseLedger!$B:$B,"TRUE"))</x:f>
      </x:c>
      <x:c r="E328" t="str">
        <x:f>IF($A328="","",COUNTIFS(CaseLedger!$F:$F,$A328,CaseLedger!$B:$B,"TRUE",CaseLedger!$P:$P,"Zakat"))</x:f>
      </x:c>
      <x:c r="F328" t="str">
        <x:f>IF($A328="","",COUNTIFS(CaseLedger!$F:$F,$A328,CaseLedger!$B:$B,"TRUE",CaseLedger!$P:$P,"Sadaqah"))</x:f>
      </x:c>
      <x:c r="G328" t="str">
        <x:f>IF($A328="","",COUNTIFS(CaseLedger!$F:$F,$A328,CaseLedger!$B:$B,"TRUE",CaseLedger!$P:$P,"Mixed"))</x:f>
      </x:c>
      <x:c r="H328" t="str">
        <x:f>IF($A328="","",COUNTIFS(CaseLedger!$F:$F,$A328,CaseLedger!$B:$B,"TRUE",CaseLedger!$K:$K,"Livelihood"))</x:f>
      </x:c>
      <x:c r="I328" t="str">
        <x:f>IF($A328="","",COUNTIFS(CaseLedger!$F:$F,$A328,CaseLedger!$B:$B,"TRUE",CaseLedger!$K:$K,"Skill Sponsorship"))</x:f>
      </x:c>
      <x:c r="J328" t="str">
        <x:f>IF($A328="","",COUNTIFS(CaseLedger!$F:$F,$A328,CaseLedger!$B:$B,"TRUE",CaseLedger!$K:$K,"Emergency Support"))</x:f>
      </x:c>
      <x:c r="K328" t="str">
        <x:f>IF($A328="","",COUNTIFS(CaseLedger!$F:$F,$A328,CaseLedger!$B:$B,"TRUE",CaseLedger!$K:$K,"Community Support"))</x:f>
      </x:c>
      <x:c r="L328" t="str">
        <x:f>IF($A328="","",SUMIFS(CaseLedger!$M:$M,CaseLedger!$F:$F,$A328,CaseLedger!$B:$B,"TRUE"))</x:f>
      </x:c>
      <x:c r="M328" t="str">
        <x:f>IF($A328="","",SUMIFS(CaseLedger!$N:$N,CaseLedger!$F:$F,$A328,CaseLedger!$B:$B,"TRUE"))</x:f>
      </x:c>
      <x:c r="N328" t="str">
        <x:f>IF($A328="","",0)</x:f>
      </x:c>
      <x:c r="O328" t="str">
        <x:f>IF($A328="","",SUMIFS(CaseLedger!$O:$O,CaseLedger!$F:$F,$A328,CaseLedger!$B:$B,"TRUE"))</x:f>
      </x:c>
      <x:c r="P328" t="str">
        <x:f>IF($A328="","",IFERROR(VLOOKUP($A328,MonthlyFinance!$A:$G,4,FALSE),""))</x:f>
      </x:c>
      <x:c r="Q328" t="str">
        <x:f>IF($A328="","",IFERROR(VLOOKUP($A328,MonthlyFinance!$A:$G,5,FALSE),""))</x:f>
      </x:c>
      <x:c r="R328" t="str">
        <x:f>IF($A328="","",IFERROR(VLOOKUP($A328,MonthlyFinance!$A:$G,6,FALSE),""))</x:f>
      </x:c>
      <x:c r="S328" t="str">
        <x:f>IF($A328="","","Formula-linked from CaseLedger; finance fields from MonthlyFinance.")</x:f>
      </x:c>
      <x:c r="T328" t="str">
        <x:f>IF($A328="","","TRUE")</x:f>
      </x:c>
    </x:row>
    <x:row r="329">
      <x:c r="D329" t="str">
        <x:f>IF($A329="","",COUNTIFS(CaseLedger!$F:$F,$A329,CaseLedger!$B:$B,"TRUE"))</x:f>
      </x:c>
      <x:c r="E329" t="str">
        <x:f>IF($A329="","",COUNTIFS(CaseLedger!$F:$F,$A329,CaseLedger!$B:$B,"TRUE",CaseLedger!$P:$P,"Zakat"))</x:f>
      </x:c>
      <x:c r="F329" t="str">
        <x:f>IF($A329="","",COUNTIFS(CaseLedger!$F:$F,$A329,CaseLedger!$B:$B,"TRUE",CaseLedger!$P:$P,"Sadaqah"))</x:f>
      </x:c>
      <x:c r="G329" t="str">
        <x:f>IF($A329="","",COUNTIFS(CaseLedger!$F:$F,$A329,CaseLedger!$B:$B,"TRUE",CaseLedger!$P:$P,"Mixed"))</x:f>
      </x:c>
      <x:c r="H329" t="str">
        <x:f>IF($A329="","",COUNTIFS(CaseLedger!$F:$F,$A329,CaseLedger!$B:$B,"TRUE",CaseLedger!$K:$K,"Livelihood"))</x:f>
      </x:c>
      <x:c r="I329" t="str">
        <x:f>IF($A329="","",COUNTIFS(CaseLedger!$F:$F,$A329,CaseLedger!$B:$B,"TRUE",CaseLedger!$K:$K,"Skill Sponsorship"))</x:f>
      </x:c>
      <x:c r="J329" t="str">
        <x:f>IF($A329="","",COUNTIFS(CaseLedger!$F:$F,$A329,CaseLedger!$B:$B,"TRUE",CaseLedger!$K:$K,"Emergency Support"))</x:f>
      </x:c>
      <x:c r="K329" t="str">
        <x:f>IF($A329="","",COUNTIFS(CaseLedger!$F:$F,$A329,CaseLedger!$B:$B,"TRUE",CaseLedger!$K:$K,"Community Support"))</x:f>
      </x:c>
      <x:c r="L329" t="str">
        <x:f>IF($A329="","",SUMIFS(CaseLedger!$M:$M,CaseLedger!$F:$F,$A329,CaseLedger!$B:$B,"TRUE"))</x:f>
      </x:c>
      <x:c r="M329" t="str">
        <x:f>IF($A329="","",SUMIFS(CaseLedger!$N:$N,CaseLedger!$F:$F,$A329,CaseLedger!$B:$B,"TRUE"))</x:f>
      </x:c>
      <x:c r="N329" t="str">
        <x:f>IF($A329="","",0)</x:f>
      </x:c>
      <x:c r="O329" t="str">
        <x:f>IF($A329="","",SUMIFS(CaseLedger!$O:$O,CaseLedger!$F:$F,$A329,CaseLedger!$B:$B,"TRUE"))</x:f>
      </x:c>
      <x:c r="P329" t="str">
        <x:f>IF($A329="","",IFERROR(VLOOKUP($A329,MonthlyFinance!$A:$G,4,FALSE),""))</x:f>
      </x:c>
      <x:c r="Q329" t="str">
        <x:f>IF($A329="","",IFERROR(VLOOKUP($A329,MonthlyFinance!$A:$G,5,FALSE),""))</x:f>
      </x:c>
      <x:c r="R329" t="str">
        <x:f>IF($A329="","",IFERROR(VLOOKUP($A329,MonthlyFinance!$A:$G,6,FALSE),""))</x:f>
      </x:c>
      <x:c r="S329" t="str">
        <x:f>IF($A329="","","Formula-linked from CaseLedger; finance fields from MonthlyFinance.")</x:f>
      </x:c>
      <x:c r="T329" t="str">
        <x:f>IF($A329="","","TRUE")</x:f>
      </x:c>
    </x:row>
    <x:row r="330">
      <x:c r="D330" t="str">
        <x:f>IF($A330="","",COUNTIFS(CaseLedger!$F:$F,$A330,CaseLedger!$B:$B,"TRUE"))</x:f>
      </x:c>
      <x:c r="E330" t="str">
        <x:f>IF($A330="","",COUNTIFS(CaseLedger!$F:$F,$A330,CaseLedger!$B:$B,"TRUE",CaseLedger!$P:$P,"Zakat"))</x:f>
      </x:c>
      <x:c r="F330" t="str">
        <x:f>IF($A330="","",COUNTIFS(CaseLedger!$F:$F,$A330,CaseLedger!$B:$B,"TRUE",CaseLedger!$P:$P,"Sadaqah"))</x:f>
      </x:c>
      <x:c r="G330" t="str">
        <x:f>IF($A330="","",COUNTIFS(CaseLedger!$F:$F,$A330,CaseLedger!$B:$B,"TRUE",CaseLedger!$P:$P,"Mixed"))</x:f>
      </x:c>
      <x:c r="H330" t="str">
        <x:f>IF($A330="","",COUNTIFS(CaseLedger!$F:$F,$A330,CaseLedger!$B:$B,"TRUE",CaseLedger!$K:$K,"Livelihood"))</x:f>
      </x:c>
      <x:c r="I330" t="str">
        <x:f>IF($A330="","",COUNTIFS(CaseLedger!$F:$F,$A330,CaseLedger!$B:$B,"TRUE",CaseLedger!$K:$K,"Skill Sponsorship"))</x:f>
      </x:c>
      <x:c r="J330" t="str">
        <x:f>IF($A330="","",COUNTIFS(CaseLedger!$F:$F,$A330,CaseLedger!$B:$B,"TRUE",CaseLedger!$K:$K,"Emergency Support"))</x:f>
      </x:c>
      <x:c r="K330" t="str">
        <x:f>IF($A330="","",COUNTIFS(CaseLedger!$F:$F,$A330,CaseLedger!$B:$B,"TRUE",CaseLedger!$K:$K,"Community Support"))</x:f>
      </x:c>
      <x:c r="L330" t="str">
        <x:f>IF($A330="","",SUMIFS(CaseLedger!$M:$M,CaseLedger!$F:$F,$A330,CaseLedger!$B:$B,"TRUE"))</x:f>
      </x:c>
      <x:c r="M330" t="str">
        <x:f>IF($A330="","",SUMIFS(CaseLedger!$N:$N,CaseLedger!$F:$F,$A330,CaseLedger!$B:$B,"TRUE"))</x:f>
      </x:c>
      <x:c r="N330" t="str">
        <x:f>IF($A330="","",0)</x:f>
      </x:c>
      <x:c r="O330" t="str">
        <x:f>IF($A330="","",SUMIFS(CaseLedger!$O:$O,CaseLedger!$F:$F,$A330,CaseLedger!$B:$B,"TRUE"))</x:f>
      </x:c>
      <x:c r="P330" t="str">
        <x:f>IF($A330="","",IFERROR(VLOOKUP($A330,MonthlyFinance!$A:$G,4,FALSE),""))</x:f>
      </x:c>
      <x:c r="Q330" t="str">
        <x:f>IF($A330="","",IFERROR(VLOOKUP($A330,MonthlyFinance!$A:$G,5,FALSE),""))</x:f>
      </x:c>
      <x:c r="R330" t="str">
        <x:f>IF($A330="","",IFERROR(VLOOKUP($A330,MonthlyFinance!$A:$G,6,FALSE),""))</x:f>
      </x:c>
      <x:c r="S330" t="str">
        <x:f>IF($A330="","","Formula-linked from CaseLedger; finance fields from MonthlyFinance.")</x:f>
      </x:c>
      <x:c r="T330" t="str">
        <x:f>IF($A330="","","TRUE")</x:f>
      </x:c>
    </x:row>
    <x:row r="331">
      <x:c r="D331" t="str">
        <x:f>IF($A331="","",COUNTIFS(CaseLedger!$F:$F,$A331,CaseLedger!$B:$B,"TRUE"))</x:f>
      </x:c>
      <x:c r="E331" t="str">
        <x:f>IF($A331="","",COUNTIFS(CaseLedger!$F:$F,$A331,CaseLedger!$B:$B,"TRUE",CaseLedger!$P:$P,"Zakat"))</x:f>
      </x:c>
      <x:c r="F331" t="str">
        <x:f>IF($A331="","",COUNTIFS(CaseLedger!$F:$F,$A331,CaseLedger!$B:$B,"TRUE",CaseLedger!$P:$P,"Sadaqah"))</x:f>
      </x:c>
      <x:c r="G331" t="str">
        <x:f>IF($A331="","",COUNTIFS(CaseLedger!$F:$F,$A331,CaseLedger!$B:$B,"TRUE",CaseLedger!$P:$P,"Mixed"))</x:f>
      </x:c>
      <x:c r="H331" t="str">
        <x:f>IF($A331="","",COUNTIFS(CaseLedger!$F:$F,$A331,CaseLedger!$B:$B,"TRUE",CaseLedger!$K:$K,"Livelihood"))</x:f>
      </x:c>
      <x:c r="I331" t="str">
        <x:f>IF($A331="","",COUNTIFS(CaseLedger!$F:$F,$A331,CaseLedger!$B:$B,"TRUE",CaseLedger!$K:$K,"Skill Sponsorship"))</x:f>
      </x:c>
      <x:c r="J331" t="str">
        <x:f>IF($A331="","",COUNTIFS(CaseLedger!$F:$F,$A331,CaseLedger!$B:$B,"TRUE",CaseLedger!$K:$K,"Emergency Support"))</x:f>
      </x:c>
      <x:c r="K331" t="str">
        <x:f>IF($A331="","",COUNTIFS(CaseLedger!$F:$F,$A331,CaseLedger!$B:$B,"TRUE",CaseLedger!$K:$K,"Community Support"))</x:f>
      </x:c>
      <x:c r="L331" t="str">
        <x:f>IF($A331="","",SUMIFS(CaseLedger!$M:$M,CaseLedger!$F:$F,$A331,CaseLedger!$B:$B,"TRUE"))</x:f>
      </x:c>
      <x:c r="M331" t="str">
        <x:f>IF($A331="","",SUMIFS(CaseLedger!$N:$N,CaseLedger!$F:$F,$A331,CaseLedger!$B:$B,"TRUE"))</x:f>
      </x:c>
      <x:c r="N331" t="str">
        <x:f>IF($A331="","",0)</x:f>
      </x:c>
      <x:c r="O331" t="str">
        <x:f>IF($A331="","",SUMIFS(CaseLedger!$O:$O,CaseLedger!$F:$F,$A331,CaseLedger!$B:$B,"TRUE"))</x:f>
      </x:c>
      <x:c r="P331" t="str">
        <x:f>IF($A331="","",IFERROR(VLOOKUP($A331,MonthlyFinance!$A:$G,4,FALSE),""))</x:f>
      </x:c>
      <x:c r="Q331" t="str">
        <x:f>IF($A331="","",IFERROR(VLOOKUP($A331,MonthlyFinance!$A:$G,5,FALSE),""))</x:f>
      </x:c>
      <x:c r="R331" t="str">
        <x:f>IF($A331="","",IFERROR(VLOOKUP($A331,MonthlyFinance!$A:$G,6,FALSE),""))</x:f>
      </x:c>
      <x:c r="S331" t="str">
        <x:f>IF($A331="","","Formula-linked from CaseLedger; finance fields from MonthlyFinance.")</x:f>
      </x:c>
      <x:c r="T331" t="str">
        <x:f>IF($A331="","","TRUE")</x:f>
      </x:c>
    </x:row>
    <x:row r="332">
      <x:c r="D332" t="str">
        <x:f>IF($A332="","",COUNTIFS(CaseLedger!$F:$F,$A332,CaseLedger!$B:$B,"TRUE"))</x:f>
      </x:c>
      <x:c r="E332" t="str">
        <x:f>IF($A332="","",COUNTIFS(CaseLedger!$F:$F,$A332,CaseLedger!$B:$B,"TRUE",CaseLedger!$P:$P,"Zakat"))</x:f>
      </x:c>
      <x:c r="F332" t="str">
        <x:f>IF($A332="","",COUNTIFS(CaseLedger!$F:$F,$A332,CaseLedger!$B:$B,"TRUE",CaseLedger!$P:$P,"Sadaqah"))</x:f>
      </x:c>
      <x:c r="G332" t="str">
        <x:f>IF($A332="","",COUNTIFS(CaseLedger!$F:$F,$A332,CaseLedger!$B:$B,"TRUE",CaseLedger!$P:$P,"Mixed"))</x:f>
      </x:c>
      <x:c r="H332" t="str">
        <x:f>IF($A332="","",COUNTIFS(CaseLedger!$F:$F,$A332,CaseLedger!$B:$B,"TRUE",CaseLedger!$K:$K,"Livelihood"))</x:f>
      </x:c>
      <x:c r="I332" t="str">
        <x:f>IF($A332="","",COUNTIFS(CaseLedger!$F:$F,$A332,CaseLedger!$B:$B,"TRUE",CaseLedger!$K:$K,"Skill Sponsorship"))</x:f>
      </x:c>
      <x:c r="J332" t="str">
        <x:f>IF($A332="","",COUNTIFS(CaseLedger!$F:$F,$A332,CaseLedger!$B:$B,"TRUE",CaseLedger!$K:$K,"Emergency Support"))</x:f>
      </x:c>
      <x:c r="K332" t="str">
        <x:f>IF($A332="","",COUNTIFS(CaseLedger!$F:$F,$A332,CaseLedger!$B:$B,"TRUE",CaseLedger!$K:$K,"Community Support"))</x:f>
      </x:c>
      <x:c r="L332" t="str">
        <x:f>IF($A332="","",SUMIFS(CaseLedger!$M:$M,CaseLedger!$F:$F,$A332,CaseLedger!$B:$B,"TRUE"))</x:f>
      </x:c>
      <x:c r="M332" t="str">
        <x:f>IF($A332="","",SUMIFS(CaseLedger!$N:$N,CaseLedger!$F:$F,$A332,CaseLedger!$B:$B,"TRUE"))</x:f>
      </x:c>
      <x:c r="N332" t="str">
        <x:f>IF($A332="","",0)</x:f>
      </x:c>
      <x:c r="O332" t="str">
        <x:f>IF($A332="","",SUMIFS(CaseLedger!$O:$O,CaseLedger!$F:$F,$A332,CaseLedger!$B:$B,"TRUE"))</x:f>
      </x:c>
      <x:c r="P332" t="str">
        <x:f>IF($A332="","",IFERROR(VLOOKUP($A332,MonthlyFinance!$A:$G,4,FALSE),""))</x:f>
      </x:c>
      <x:c r="Q332" t="str">
        <x:f>IF($A332="","",IFERROR(VLOOKUP($A332,MonthlyFinance!$A:$G,5,FALSE),""))</x:f>
      </x:c>
      <x:c r="R332" t="str">
        <x:f>IF($A332="","",IFERROR(VLOOKUP($A332,MonthlyFinance!$A:$G,6,FALSE),""))</x:f>
      </x:c>
      <x:c r="S332" t="str">
        <x:f>IF($A332="","","Formula-linked from CaseLedger; finance fields from MonthlyFinance.")</x:f>
      </x:c>
      <x:c r="T332" t="str">
        <x:f>IF($A332="","","TRUE")</x:f>
      </x:c>
    </x:row>
    <x:row r="333">
      <x:c r="D333" t="str">
        <x:f>IF($A333="","",COUNTIFS(CaseLedger!$F:$F,$A333,CaseLedger!$B:$B,"TRUE"))</x:f>
      </x:c>
      <x:c r="E333" t="str">
        <x:f>IF($A333="","",COUNTIFS(CaseLedger!$F:$F,$A333,CaseLedger!$B:$B,"TRUE",CaseLedger!$P:$P,"Zakat"))</x:f>
      </x:c>
      <x:c r="F333" t="str">
        <x:f>IF($A333="","",COUNTIFS(CaseLedger!$F:$F,$A333,CaseLedger!$B:$B,"TRUE",CaseLedger!$P:$P,"Sadaqah"))</x:f>
      </x:c>
      <x:c r="G333" t="str">
        <x:f>IF($A333="","",COUNTIFS(CaseLedger!$F:$F,$A333,CaseLedger!$B:$B,"TRUE",CaseLedger!$P:$P,"Mixed"))</x:f>
      </x:c>
      <x:c r="H333" t="str">
        <x:f>IF($A333="","",COUNTIFS(CaseLedger!$F:$F,$A333,CaseLedger!$B:$B,"TRUE",CaseLedger!$K:$K,"Livelihood"))</x:f>
      </x:c>
      <x:c r="I333" t="str">
        <x:f>IF($A333="","",COUNTIFS(CaseLedger!$F:$F,$A333,CaseLedger!$B:$B,"TRUE",CaseLedger!$K:$K,"Skill Sponsorship"))</x:f>
      </x:c>
      <x:c r="J333" t="str">
        <x:f>IF($A333="","",COUNTIFS(CaseLedger!$F:$F,$A333,CaseLedger!$B:$B,"TRUE",CaseLedger!$K:$K,"Emergency Support"))</x:f>
      </x:c>
      <x:c r="K333" t="str">
        <x:f>IF($A333="","",COUNTIFS(CaseLedger!$F:$F,$A333,CaseLedger!$B:$B,"TRUE",CaseLedger!$K:$K,"Community Support"))</x:f>
      </x:c>
      <x:c r="L333" t="str">
        <x:f>IF($A333="","",SUMIFS(CaseLedger!$M:$M,CaseLedger!$F:$F,$A333,CaseLedger!$B:$B,"TRUE"))</x:f>
      </x:c>
      <x:c r="M333" t="str">
        <x:f>IF($A333="","",SUMIFS(CaseLedger!$N:$N,CaseLedger!$F:$F,$A333,CaseLedger!$B:$B,"TRUE"))</x:f>
      </x:c>
      <x:c r="N333" t="str">
        <x:f>IF($A333="","",0)</x:f>
      </x:c>
      <x:c r="O333" t="str">
        <x:f>IF($A333="","",SUMIFS(CaseLedger!$O:$O,CaseLedger!$F:$F,$A333,CaseLedger!$B:$B,"TRUE"))</x:f>
      </x:c>
      <x:c r="P333" t="str">
        <x:f>IF($A333="","",IFERROR(VLOOKUP($A333,MonthlyFinance!$A:$G,4,FALSE),""))</x:f>
      </x:c>
      <x:c r="Q333" t="str">
        <x:f>IF($A333="","",IFERROR(VLOOKUP($A333,MonthlyFinance!$A:$G,5,FALSE),""))</x:f>
      </x:c>
      <x:c r="R333" t="str">
        <x:f>IF($A333="","",IFERROR(VLOOKUP($A333,MonthlyFinance!$A:$G,6,FALSE),""))</x:f>
      </x:c>
      <x:c r="S333" t="str">
        <x:f>IF($A333="","","Formula-linked from CaseLedger; finance fields from MonthlyFinance.")</x:f>
      </x:c>
      <x:c r="T333" t="str">
        <x:f>IF($A333="","","TRUE")</x:f>
      </x:c>
    </x:row>
    <x:row r="334">
      <x:c r="D334" t="str">
        <x:f>IF($A334="","",COUNTIFS(CaseLedger!$F:$F,$A334,CaseLedger!$B:$B,"TRUE"))</x:f>
      </x:c>
      <x:c r="E334" t="str">
        <x:f>IF($A334="","",COUNTIFS(CaseLedger!$F:$F,$A334,CaseLedger!$B:$B,"TRUE",CaseLedger!$P:$P,"Zakat"))</x:f>
      </x:c>
      <x:c r="F334" t="str">
        <x:f>IF($A334="","",COUNTIFS(CaseLedger!$F:$F,$A334,CaseLedger!$B:$B,"TRUE",CaseLedger!$P:$P,"Sadaqah"))</x:f>
      </x:c>
      <x:c r="G334" t="str">
        <x:f>IF($A334="","",COUNTIFS(CaseLedger!$F:$F,$A334,CaseLedger!$B:$B,"TRUE",CaseLedger!$P:$P,"Mixed"))</x:f>
      </x:c>
      <x:c r="H334" t="str">
        <x:f>IF($A334="","",COUNTIFS(CaseLedger!$F:$F,$A334,CaseLedger!$B:$B,"TRUE",CaseLedger!$K:$K,"Livelihood"))</x:f>
      </x:c>
      <x:c r="I334" t="str">
        <x:f>IF($A334="","",COUNTIFS(CaseLedger!$F:$F,$A334,CaseLedger!$B:$B,"TRUE",CaseLedger!$K:$K,"Skill Sponsorship"))</x:f>
      </x:c>
      <x:c r="J334" t="str">
        <x:f>IF($A334="","",COUNTIFS(CaseLedger!$F:$F,$A334,CaseLedger!$B:$B,"TRUE",CaseLedger!$K:$K,"Emergency Support"))</x:f>
      </x:c>
      <x:c r="K334" t="str">
        <x:f>IF($A334="","",COUNTIFS(CaseLedger!$F:$F,$A334,CaseLedger!$B:$B,"TRUE",CaseLedger!$K:$K,"Community Support"))</x:f>
      </x:c>
      <x:c r="L334" t="str">
        <x:f>IF($A334="","",SUMIFS(CaseLedger!$M:$M,CaseLedger!$F:$F,$A334,CaseLedger!$B:$B,"TRUE"))</x:f>
      </x:c>
      <x:c r="M334" t="str">
        <x:f>IF($A334="","",SUMIFS(CaseLedger!$N:$N,CaseLedger!$F:$F,$A334,CaseLedger!$B:$B,"TRUE"))</x:f>
      </x:c>
      <x:c r="N334" t="str">
        <x:f>IF($A334="","",0)</x:f>
      </x:c>
      <x:c r="O334" t="str">
        <x:f>IF($A334="","",SUMIFS(CaseLedger!$O:$O,CaseLedger!$F:$F,$A334,CaseLedger!$B:$B,"TRUE"))</x:f>
      </x:c>
      <x:c r="P334" t="str">
        <x:f>IF($A334="","",IFERROR(VLOOKUP($A334,MonthlyFinance!$A:$G,4,FALSE),""))</x:f>
      </x:c>
      <x:c r="Q334" t="str">
        <x:f>IF($A334="","",IFERROR(VLOOKUP($A334,MonthlyFinance!$A:$G,5,FALSE),""))</x:f>
      </x:c>
      <x:c r="R334" t="str">
        <x:f>IF($A334="","",IFERROR(VLOOKUP($A334,MonthlyFinance!$A:$G,6,FALSE),""))</x:f>
      </x:c>
      <x:c r="S334" t="str">
        <x:f>IF($A334="","","Formula-linked from CaseLedger; finance fields from MonthlyFinance.")</x:f>
      </x:c>
      <x:c r="T334" t="str">
        <x:f>IF($A334="","","TRUE")</x:f>
      </x:c>
    </x:row>
    <x:row r="335">
      <x:c r="D335" t="str">
        <x:f>IF($A335="","",COUNTIFS(CaseLedger!$F:$F,$A335,CaseLedger!$B:$B,"TRUE"))</x:f>
      </x:c>
      <x:c r="E335" t="str">
        <x:f>IF($A335="","",COUNTIFS(CaseLedger!$F:$F,$A335,CaseLedger!$B:$B,"TRUE",CaseLedger!$P:$P,"Zakat"))</x:f>
      </x:c>
      <x:c r="F335" t="str">
        <x:f>IF($A335="","",COUNTIFS(CaseLedger!$F:$F,$A335,CaseLedger!$B:$B,"TRUE",CaseLedger!$P:$P,"Sadaqah"))</x:f>
      </x:c>
      <x:c r="G335" t="str">
        <x:f>IF($A335="","",COUNTIFS(CaseLedger!$F:$F,$A335,CaseLedger!$B:$B,"TRUE",CaseLedger!$P:$P,"Mixed"))</x:f>
      </x:c>
      <x:c r="H335" t="str">
        <x:f>IF($A335="","",COUNTIFS(CaseLedger!$F:$F,$A335,CaseLedger!$B:$B,"TRUE",CaseLedger!$K:$K,"Livelihood"))</x:f>
      </x:c>
      <x:c r="I335" t="str">
        <x:f>IF($A335="","",COUNTIFS(CaseLedger!$F:$F,$A335,CaseLedger!$B:$B,"TRUE",CaseLedger!$K:$K,"Skill Sponsorship"))</x:f>
      </x:c>
      <x:c r="J335" t="str">
        <x:f>IF($A335="","",COUNTIFS(CaseLedger!$F:$F,$A335,CaseLedger!$B:$B,"TRUE",CaseLedger!$K:$K,"Emergency Support"))</x:f>
      </x:c>
      <x:c r="K335" t="str">
        <x:f>IF($A335="","",COUNTIFS(CaseLedger!$F:$F,$A335,CaseLedger!$B:$B,"TRUE",CaseLedger!$K:$K,"Community Support"))</x:f>
      </x:c>
      <x:c r="L335" t="str">
        <x:f>IF($A335="","",SUMIFS(CaseLedger!$M:$M,CaseLedger!$F:$F,$A335,CaseLedger!$B:$B,"TRUE"))</x:f>
      </x:c>
      <x:c r="M335" t="str">
        <x:f>IF($A335="","",SUMIFS(CaseLedger!$N:$N,CaseLedger!$F:$F,$A335,CaseLedger!$B:$B,"TRUE"))</x:f>
      </x:c>
      <x:c r="N335" t="str">
        <x:f>IF($A335="","",0)</x:f>
      </x:c>
      <x:c r="O335" t="str">
        <x:f>IF($A335="","",SUMIFS(CaseLedger!$O:$O,CaseLedger!$F:$F,$A335,CaseLedger!$B:$B,"TRUE"))</x:f>
      </x:c>
      <x:c r="P335" t="str">
        <x:f>IF($A335="","",IFERROR(VLOOKUP($A335,MonthlyFinance!$A:$G,4,FALSE),""))</x:f>
      </x:c>
      <x:c r="Q335" t="str">
        <x:f>IF($A335="","",IFERROR(VLOOKUP($A335,MonthlyFinance!$A:$G,5,FALSE),""))</x:f>
      </x:c>
      <x:c r="R335" t="str">
        <x:f>IF($A335="","",IFERROR(VLOOKUP($A335,MonthlyFinance!$A:$G,6,FALSE),""))</x:f>
      </x:c>
      <x:c r="S335" t="str">
        <x:f>IF($A335="","","Formula-linked from CaseLedger; finance fields from MonthlyFinance.")</x:f>
      </x:c>
      <x:c r="T335" t="str">
        <x:f>IF($A335="","","TRUE")</x:f>
      </x:c>
    </x:row>
    <x:row r="336">
      <x:c r="D336" t="str">
        <x:f>IF($A336="","",COUNTIFS(CaseLedger!$F:$F,$A336,CaseLedger!$B:$B,"TRUE"))</x:f>
      </x:c>
      <x:c r="E336" t="str">
        <x:f>IF($A336="","",COUNTIFS(CaseLedger!$F:$F,$A336,CaseLedger!$B:$B,"TRUE",CaseLedger!$P:$P,"Zakat"))</x:f>
      </x:c>
      <x:c r="F336" t="str">
        <x:f>IF($A336="","",COUNTIFS(CaseLedger!$F:$F,$A336,CaseLedger!$B:$B,"TRUE",CaseLedger!$P:$P,"Sadaqah"))</x:f>
      </x:c>
      <x:c r="G336" t="str">
        <x:f>IF($A336="","",COUNTIFS(CaseLedger!$F:$F,$A336,CaseLedger!$B:$B,"TRUE",CaseLedger!$P:$P,"Mixed"))</x:f>
      </x:c>
      <x:c r="H336" t="str">
        <x:f>IF($A336="","",COUNTIFS(CaseLedger!$F:$F,$A336,CaseLedger!$B:$B,"TRUE",CaseLedger!$K:$K,"Livelihood"))</x:f>
      </x:c>
      <x:c r="I336" t="str">
        <x:f>IF($A336="","",COUNTIFS(CaseLedger!$F:$F,$A336,CaseLedger!$B:$B,"TRUE",CaseLedger!$K:$K,"Skill Sponsorship"))</x:f>
      </x:c>
      <x:c r="J336" t="str">
        <x:f>IF($A336="","",COUNTIFS(CaseLedger!$F:$F,$A336,CaseLedger!$B:$B,"TRUE",CaseLedger!$K:$K,"Emergency Support"))</x:f>
      </x:c>
      <x:c r="K336" t="str">
        <x:f>IF($A336="","",COUNTIFS(CaseLedger!$F:$F,$A336,CaseLedger!$B:$B,"TRUE",CaseLedger!$K:$K,"Community Support"))</x:f>
      </x:c>
      <x:c r="L336" t="str">
        <x:f>IF($A336="","",SUMIFS(CaseLedger!$M:$M,CaseLedger!$F:$F,$A336,CaseLedger!$B:$B,"TRUE"))</x:f>
      </x:c>
      <x:c r="M336" t="str">
        <x:f>IF($A336="","",SUMIFS(CaseLedger!$N:$N,CaseLedger!$F:$F,$A336,CaseLedger!$B:$B,"TRUE"))</x:f>
      </x:c>
      <x:c r="N336" t="str">
        <x:f>IF($A336="","",0)</x:f>
      </x:c>
      <x:c r="O336" t="str">
        <x:f>IF($A336="","",SUMIFS(CaseLedger!$O:$O,CaseLedger!$F:$F,$A336,CaseLedger!$B:$B,"TRUE"))</x:f>
      </x:c>
      <x:c r="P336" t="str">
        <x:f>IF($A336="","",IFERROR(VLOOKUP($A336,MonthlyFinance!$A:$G,4,FALSE),""))</x:f>
      </x:c>
      <x:c r="Q336" t="str">
        <x:f>IF($A336="","",IFERROR(VLOOKUP($A336,MonthlyFinance!$A:$G,5,FALSE),""))</x:f>
      </x:c>
      <x:c r="R336" t="str">
        <x:f>IF($A336="","",IFERROR(VLOOKUP($A336,MonthlyFinance!$A:$G,6,FALSE),""))</x:f>
      </x:c>
      <x:c r="S336" t="str">
        <x:f>IF($A336="","","Formula-linked from CaseLedger; finance fields from MonthlyFinance.")</x:f>
      </x:c>
      <x:c r="T336" t="str">
        <x:f>IF($A336="","","TRUE")</x:f>
      </x:c>
    </x:row>
    <x:row r="337">
      <x:c r="D337" t="str">
        <x:f>IF($A337="","",COUNTIFS(CaseLedger!$F:$F,$A337,CaseLedger!$B:$B,"TRUE"))</x:f>
      </x:c>
      <x:c r="E337" t="str">
        <x:f>IF($A337="","",COUNTIFS(CaseLedger!$F:$F,$A337,CaseLedger!$B:$B,"TRUE",CaseLedger!$P:$P,"Zakat"))</x:f>
      </x:c>
      <x:c r="F337" t="str">
        <x:f>IF($A337="","",COUNTIFS(CaseLedger!$F:$F,$A337,CaseLedger!$B:$B,"TRUE",CaseLedger!$P:$P,"Sadaqah"))</x:f>
      </x:c>
      <x:c r="G337" t="str">
        <x:f>IF($A337="","",COUNTIFS(CaseLedger!$F:$F,$A337,CaseLedger!$B:$B,"TRUE",CaseLedger!$P:$P,"Mixed"))</x:f>
      </x:c>
      <x:c r="H337" t="str">
        <x:f>IF($A337="","",COUNTIFS(CaseLedger!$F:$F,$A337,CaseLedger!$B:$B,"TRUE",CaseLedger!$K:$K,"Livelihood"))</x:f>
      </x:c>
      <x:c r="I337" t="str">
        <x:f>IF($A337="","",COUNTIFS(CaseLedger!$F:$F,$A337,CaseLedger!$B:$B,"TRUE",CaseLedger!$K:$K,"Skill Sponsorship"))</x:f>
      </x:c>
      <x:c r="J337" t="str">
        <x:f>IF($A337="","",COUNTIFS(CaseLedger!$F:$F,$A337,CaseLedger!$B:$B,"TRUE",CaseLedger!$K:$K,"Emergency Support"))</x:f>
      </x:c>
      <x:c r="K337" t="str">
        <x:f>IF($A337="","",COUNTIFS(CaseLedger!$F:$F,$A337,CaseLedger!$B:$B,"TRUE",CaseLedger!$K:$K,"Community Support"))</x:f>
      </x:c>
      <x:c r="L337" t="str">
        <x:f>IF($A337="","",SUMIFS(CaseLedger!$M:$M,CaseLedger!$F:$F,$A337,CaseLedger!$B:$B,"TRUE"))</x:f>
      </x:c>
      <x:c r="M337" t="str">
        <x:f>IF($A337="","",SUMIFS(CaseLedger!$N:$N,CaseLedger!$F:$F,$A337,CaseLedger!$B:$B,"TRUE"))</x:f>
      </x:c>
      <x:c r="N337" t="str">
        <x:f>IF($A337="","",0)</x:f>
      </x:c>
      <x:c r="O337" t="str">
        <x:f>IF($A337="","",SUMIFS(CaseLedger!$O:$O,CaseLedger!$F:$F,$A337,CaseLedger!$B:$B,"TRUE"))</x:f>
      </x:c>
      <x:c r="P337" t="str">
        <x:f>IF($A337="","",IFERROR(VLOOKUP($A337,MonthlyFinance!$A:$G,4,FALSE),""))</x:f>
      </x:c>
      <x:c r="Q337" t="str">
        <x:f>IF($A337="","",IFERROR(VLOOKUP($A337,MonthlyFinance!$A:$G,5,FALSE),""))</x:f>
      </x:c>
      <x:c r="R337" t="str">
        <x:f>IF($A337="","",IFERROR(VLOOKUP($A337,MonthlyFinance!$A:$G,6,FALSE),""))</x:f>
      </x:c>
      <x:c r="S337" t="str">
        <x:f>IF($A337="","","Formula-linked from CaseLedger; finance fields from MonthlyFinance.")</x:f>
      </x:c>
      <x:c r="T337" t="str">
        <x:f>IF($A337="","","TRUE")</x:f>
      </x:c>
    </x:row>
    <x:row r="338">
      <x:c r="D338" t="str">
        <x:f>IF($A338="","",COUNTIFS(CaseLedger!$F:$F,$A338,CaseLedger!$B:$B,"TRUE"))</x:f>
      </x:c>
      <x:c r="E338" t="str">
        <x:f>IF($A338="","",COUNTIFS(CaseLedger!$F:$F,$A338,CaseLedger!$B:$B,"TRUE",CaseLedger!$P:$P,"Zakat"))</x:f>
      </x:c>
      <x:c r="F338" t="str">
        <x:f>IF($A338="","",COUNTIFS(CaseLedger!$F:$F,$A338,CaseLedger!$B:$B,"TRUE",CaseLedger!$P:$P,"Sadaqah"))</x:f>
      </x:c>
      <x:c r="G338" t="str">
        <x:f>IF($A338="","",COUNTIFS(CaseLedger!$F:$F,$A338,CaseLedger!$B:$B,"TRUE",CaseLedger!$P:$P,"Mixed"))</x:f>
      </x:c>
      <x:c r="H338" t="str">
        <x:f>IF($A338="","",COUNTIFS(CaseLedger!$F:$F,$A338,CaseLedger!$B:$B,"TRUE",CaseLedger!$K:$K,"Livelihood"))</x:f>
      </x:c>
      <x:c r="I338" t="str">
        <x:f>IF($A338="","",COUNTIFS(CaseLedger!$F:$F,$A338,CaseLedger!$B:$B,"TRUE",CaseLedger!$K:$K,"Skill Sponsorship"))</x:f>
      </x:c>
      <x:c r="J338" t="str">
        <x:f>IF($A338="","",COUNTIFS(CaseLedger!$F:$F,$A338,CaseLedger!$B:$B,"TRUE",CaseLedger!$K:$K,"Emergency Support"))</x:f>
      </x:c>
      <x:c r="K338" t="str">
        <x:f>IF($A338="","",COUNTIFS(CaseLedger!$F:$F,$A338,CaseLedger!$B:$B,"TRUE",CaseLedger!$K:$K,"Community Support"))</x:f>
      </x:c>
      <x:c r="L338" t="str">
        <x:f>IF($A338="","",SUMIFS(CaseLedger!$M:$M,CaseLedger!$F:$F,$A338,CaseLedger!$B:$B,"TRUE"))</x:f>
      </x:c>
      <x:c r="M338" t="str">
        <x:f>IF($A338="","",SUMIFS(CaseLedger!$N:$N,CaseLedger!$F:$F,$A338,CaseLedger!$B:$B,"TRUE"))</x:f>
      </x:c>
      <x:c r="N338" t="str">
        <x:f>IF($A338="","",0)</x:f>
      </x:c>
      <x:c r="O338" t="str">
        <x:f>IF($A338="","",SUMIFS(CaseLedger!$O:$O,CaseLedger!$F:$F,$A338,CaseLedger!$B:$B,"TRUE"))</x:f>
      </x:c>
      <x:c r="P338" t="str">
        <x:f>IF($A338="","",IFERROR(VLOOKUP($A338,MonthlyFinance!$A:$G,4,FALSE),""))</x:f>
      </x:c>
      <x:c r="Q338" t="str">
        <x:f>IF($A338="","",IFERROR(VLOOKUP($A338,MonthlyFinance!$A:$G,5,FALSE),""))</x:f>
      </x:c>
      <x:c r="R338" t="str">
        <x:f>IF($A338="","",IFERROR(VLOOKUP($A338,MonthlyFinance!$A:$G,6,FALSE),""))</x:f>
      </x:c>
      <x:c r="S338" t="str">
        <x:f>IF($A338="","","Formula-linked from CaseLedger; finance fields from MonthlyFinance.")</x:f>
      </x:c>
      <x:c r="T338" t="str">
        <x:f>IF($A338="","","TRUE")</x:f>
      </x:c>
    </x:row>
    <x:row r="339">
      <x:c r="D339" t="str">
        <x:f>IF($A339="","",COUNTIFS(CaseLedger!$F:$F,$A339,CaseLedger!$B:$B,"TRUE"))</x:f>
      </x:c>
      <x:c r="E339" t="str">
        <x:f>IF($A339="","",COUNTIFS(CaseLedger!$F:$F,$A339,CaseLedger!$B:$B,"TRUE",CaseLedger!$P:$P,"Zakat"))</x:f>
      </x:c>
      <x:c r="F339" t="str">
        <x:f>IF($A339="","",COUNTIFS(CaseLedger!$F:$F,$A339,CaseLedger!$B:$B,"TRUE",CaseLedger!$P:$P,"Sadaqah"))</x:f>
      </x:c>
      <x:c r="G339" t="str">
        <x:f>IF($A339="","",COUNTIFS(CaseLedger!$F:$F,$A339,CaseLedger!$B:$B,"TRUE",CaseLedger!$P:$P,"Mixed"))</x:f>
      </x:c>
      <x:c r="H339" t="str">
        <x:f>IF($A339="","",COUNTIFS(CaseLedger!$F:$F,$A339,CaseLedger!$B:$B,"TRUE",CaseLedger!$K:$K,"Livelihood"))</x:f>
      </x:c>
      <x:c r="I339" t="str">
        <x:f>IF($A339="","",COUNTIFS(CaseLedger!$F:$F,$A339,CaseLedger!$B:$B,"TRUE",CaseLedger!$K:$K,"Skill Sponsorship"))</x:f>
      </x:c>
      <x:c r="J339" t="str">
        <x:f>IF($A339="","",COUNTIFS(CaseLedger!$F:$F,$A339,CaseLedger!$B:$B,"TRUE",CaseLedger!$K:$K,"Emergency Support"))</x:f>
      </x:c>
      <x:c r="K339" t="str">
        <x:f>IF($A339="","",COUNTIFS(CaseLedger!$F:$F,$A339,CaseLedger!$B:$B,"TRUE",CaseLedger!$K:$K,"Community Support"))</x:f>
      </x:c>
      <x:c r="L339" t="str">
        <x:f>IF($A339="","",SUMIFS(CaseLedger!$M:$M,CaseLedger!$F:$F,$A339,CaseLedger!$B:$B,"TRUE"))</x:f>
      </x:c>
      <x:c r="M339" t="str">
        <x:f>IF($A339="","",SUMIFS(CaseLedger!$N:$N,CaseLedger!$F:$F,$A339,CaseLedger!$B:$B,"TRUE"))</x:f>
      </x:c>
      <x:c r="N339" t="str">
        <x:f>IF($A339="","",0)</x:f>
      </x:c>
      <x:c r="O339" t="str">
        <x:f>IF($A339="","",SUMIFS(CaseLedger!$O:$O,CaseLedger!$F:$F,$A339,CaseLedger!$B:$B,"TRUE"))</x:f>
      </x:c>
      <x:c r="P339" t="str">
        <x:f>IF($A339="","",IFERROR(VLOOKUP($A339,MonthlyFinance!$A:$G,4,FALSE),""))</x:f>
      </x:c>
      <x:c r="Q339" t="str">
        <x:f>IF($A339="","",IFERROR(VLOOKUP($A339,MonthlyFinance!$A:$G,5,FALSE),""))</x:f>
      </x:c>
      <x:c r="R339" t="str">
        <x:f>IF($A339="","",IFERROR(VLOOKUP($A339,MonthlyFinance!$A:$G,6,FALSE),""))</x:f>
      </x:c>
      <x:c r="S339" t="str">
        <x:f>IF($A339="","","Formula-linked from CaseLedger; finance fields from MonthlyFinance.")</x:f>
      </x:c>
      <x:c r="T339" t="str">
        <x:f>IF($A339="","","TRUE")</x:f>
      </x:c>
    </x:row>
    <x:row r="340">
      <x:c r="D340" t="str">
        <x:f>IF($A340="","",COUNTIFS(CaseLedger!$F:$F,$A340,CaseLedger!$B:$B,"TRUE"))</x:f>
      </x:c>
      <x:c r="E340" t="str">
        <x:f>IF($A340="","",COUNTIFS(CaseLedger!$F:$F,$A340,CaseLedger!$B:$B,"TRUE",CaseLedger!$P:$P,"Zakat"))</x:f>
      </x:c>
      <x:c r="F340" t="str">
        <x:f>IF($A340="","",COUNTIFS(CaseLedger!$F:$F,$A340,CaseLedger!$B:$B,"TRUE",CaseLedger!$P:$P,"Sadaqah"))</x:f>
      </x:c>
      <x:c r="G340" t="str">
        <x:f>IF($A340="","",COUNTIFS(CaseLedger!$F:$F,$A340,CaseLedger!$B:$B,"TRUE",CaseLedger!$P:$P,"Mixed"))</x:f>
      </x:c>
      <x:c r="H340" t="str">
        <x:f>IF($A340="","",COUNTIFS(CaseLedger!$F:$F,$A340,CaseLedger!$B:$B,"TRUE",CaseLedger!$K:$K,"Livelihood"))</x:f>
      </x:c>
      <x:c r="I340" t="str">
        <x:f>IF($A340="","",COUNTIFS(CaseLedger!$F:$F,$A340,CaseLedger!$B:$B,"TRUE",CaseLedger!$K:$K,"Skill Sponsorship"))</x:f>
      </x:c>
      <x:c r="J340" t="str">
        <x:f>IF($A340="","",COUNTIFS(CaseLedger!$F:$F,$A340,CaseLedger!$B:$B,"TRUE",CaseLedger!$K:$K,"Emergency Support"))</x:f>
      </x:c>
      <x:c r="K340" t="str">
        <x:f>IF($A340="","",COUNTIFS(CaseLedger!$F:$F,$A340,CaseLedger!$B:$B,"TRUE",CaseLedger!$K:$K,"Community Support"))</x:f>
      </x:c>
      <x:c r="L340" t="str">
        <x:f>IF($A340="","",SUMIFS(CaseLedger!$M:$M,CaseLedger!$F:$F,$A340,CaseLedger!$B:$B,"TRUE"))</x:f>
      </x:c>
      <x:c r="M340" t="str">
        <x:f>IF($A340="","",SUMIFS(CaseLedger!$N:$N,CaseLedger!$F:$F,$A340,CaseLedger!$B:$B,"TRUE"))</x:f>
      </x:c>
      <x:c r="N340" t="str">
        <x:f>IF($A340="","",0)</x:f>
      </x:c>
      <x:c r="O340" t="str">
        <x:f>IF($A340="","",SUMIFS(CaseLedger!$O:$O,CaseLedger!$F:$F,$A340,CaseLedger!$B:$B,"TRUE"))</x:f>
      </x:c>
      <x:c r="P340" t="str">
        <x:f>IF($A340="","",IFERROR(VLOOKUP($A340,MonthlyFinance!$A:$G,4,FALSE),""))</x:f>
      </x:c>
      <x:c r="Q340" t="str">
        <x:f>IF($A340="","",IFERROR(VLOOKUP($A340,MonthlyFinance!$A:$G,5,FALSE),""))</x:f>
      </x:c>
      <x:c r="R340" t="str">
        <x:f>IF($A340="","",IFERROR(VLOOKUP($A340,MonthlyFinance!$A:$G,6,FALSE),""))</x:f>
      </x:c>
      <x:c r="S340" t="str">
        <x:f>IF($A340="","","Formula-linked from CaseLedger; finance fields from MonthlyFinance.")</x:f>
      </x:c>
      <x:c r="T340" t="str">
        <x:f>IF($A340="","","TRUE")</x:f>
      </x:c>
    </x:row>
    <x:row r="341">
      <x:c r="D341" t="str">
        <x:f>IF($A341="","",COUNTIFS(CaseLedger!$F:$F,$A341,CaseLedger!$B:$B,"TRUE"))</x:f>
      </x:c>
      <x:c r="E341" t="str">
        <x:f>IF($A341="","",COUNTIFS(CaseLedger!$F:$F,$A341,CaseLedger!$B:$B,"TRUE",CaseLedger!$P:$P,"Zakat"))</x:f>
      </x:c>
      <x:c r="F341" t="str">
        <x:f>IF($A341="","",COUNTIFS(CaseLedger!$F:$F,$A341,CaseLedger!$B:$B,"TRUE",CaseLedger!$P:$P,"Sadaqah"))</x:f>
      </x:c>
      <x:c r="G341" t="str">
        <x:f>IF($A341="","",COUNTIFS(CaseLedger!$F:$F,$A341,CaseLedger!$B:$B,"TRUE",CaseLedger!$P:$P,"Mixed"))</x:f>
      </x:c>
      <x:c r="H341" t="str">
        <x:f>IF($A341="","",COUNTIFS(CaseLedger!$F:$F,$A341,CaseLedger!$B:$B,"TRUE",CaseLedger!$K:$K,"Livelihood"))</x:f>
      </x:c>
      <x:c r="I341" t="str">
        <x:f>IF($A341="","",COUNTIFS(CaseLedger!$F:$F,$A341,CaseLedger!$B:$B,"TRUE",CaseLedger!$K:$K,"Skill Sponsorship"))</x:f>
      </x:c>
      <x:c r="J341" t="str">
        <x:f>IF($A341="","",COUNTIFS(CaseLedger!$F:$F,$A341,CaseLedger!$B:$B,"TRUE",CaseLedger!$K:$K,"Emergency Support"))</x:f>
      </x:c>
      <x:c r="K341" t="str">
        <x:f>IF($A341="","",COUNTIFS(CaseLedger!$F:$F,$A341,CaseLedger!$B:$B,"TRUE",CaseLedger!$K:$K,"Community Support"))</x:f>
      </x:c>
      <x:c r="L341" t="str">
        <x:f>IF($A341="","",SUMIFS(CaseLedger!$M:$M,CaseLedger!$F:$F,$A341,CaseLedger!$B:$B,"TRUE"))</x:f>
      </x:c>
      <x:c r="M341" t="str">
        <x:f>IF($A341="","",SUMIFS(CaseLedger!$N:$N,CaseLedger!$F:$F,$A341,CaseLedger!$B:$B,"TRUE"))</x:f>
      </x:c>
      <x:c r="N341" t="str">
        <x:f>IF($A341="","",0)</x:f>
      </x:c>
      <x:c r="O341" t="str">
        <x:f>IF($A341="","",SUMIFS(CaseLedger!$O:$O,CaseLedger!$F:$F,$A341,CaseLedger!$B:$B,"TRUE"))</x:f>
      </x:c>
      <x:c r="P341" t="str">
        <x:f>IF($A341="","",IFERROR(VLOOKUP($A341,MonthlyFinance!$A:$G,4,FALSE),""))</x:f>
      </x:c>
      <x:c r="Q341" t="str">
        <x:f>IF($A341="","",IFERROR(VLOOKUP($A341,MonthlyFinance!$A:$G,5,FALSE),""))</x:f>
      </x:c>
      <x:c r="R341" t="str">
        <x:f>IF($A341="","",IFERROR(VLOOKUP($A341,MonthlyFinance!$A:$G,6,FALSE),""))</x:f>
      </x:c>
      <x:c r="S341" t="str">
        <x:f>IF($A341="","","Formula-linked from CaseLedger; finance fields from MonthlyFinance.")</x:f>
      </x:c>
      <x:c r="T341" t="str">
        <x:f>IF($A341="","","TRUE")</x:f>
      </x:c>
    </x:row>
    <x:row r="342">
      <x:c r="D342" t="str">
        <x:f>IF($A342="","",COUNTIFS(CaseLedger!$F:$F,$A342,CaseLedger!$B:$B,"TRUE"))</x:f>
      </x:c>
      <x:c r="E342" t="str">
        <x:f>IF($A342="","",COUNTIFS(CaseLedger!$F:$F,$A342,CaseLedger!$B:$B,"TRUE",CaseLedger!$P:$P,"Zakat"))</x:f>
      </x:c>
      <x:c r="F342" t="str">
        <x:f>IF($A342="","",COUNTIFS(CaseLedger!$F:$F,$A342,CaseLedger!$B:$B,"TRUE",CaseLedger!$P:$P,"Sadaqah"))</x:f>
      </x:c>
      <x:c r="G342" t="str">
        <x:f>IF($A342="","",COUNTIFS(CaseLedger!$F:$F,$A342,CaseLedger!$B:$B,"TRUE",CaseLedger!$P:$P,"Mixed"))</x:f>
      </x:c>
      <x:c r="H342" t="str">
        <x:f>IF($A342="","",COUNTIFS(CaseLedger!$F:$F,$A342,CaseLedger!$B:$B,"TRUE",CaseLedger!$K:$K,"Livelihood"))</x:f>
      </x:c>
      <x:c r="I342" t="str">
        <x:f>IF($A342="","",COUNTIFS(CaseLedger!$F:$F,$A342,CaseLedger!$B:$B,"TRUE",CaseLedger!$K:$K,"Skill Sponsorship"))</x:f>
      </x:c>
      <x:c r="J342" t="str">
        <x:f>IF($A342="","",COUNTIFS(CaseLedger!$F:$F,$A342,CaseLedger!$B:$B,"TRUE",CaseLedger!$K:$K,"Emergency Support"))</x:f>
      </x:c>
      <x:c r="K342" t="str">
        <x:f>IF($A342="","",COUNTIFS(CaseLedger!$F:$F,$A342,CaseLedger!$B:$B,"TRUE",CaseLedger!$K:$K,"Community Support"))</x:f>
      </x:c>
      <x:c r="L342" t="str">
        <x:f>IF($A342="","",SUMIFS(CaseLedger!$M:$M,CaseLedger!$F:$F,$A342,CaseLedger!$B:$B,"TRUE"))</x:f>
      </x:c>
      <x:c r="M342" t="str">
        <x:f>IF($A342="","",SUMIFS(CaseLedger!$N:$N,CaseLedger!$F:$F,$A342,CaseLedger!$B:$B,"TRUE"))</x:f>
      </x:c>
      <x:c r="N342" t="str">
        <x:f>IF($A342="","",0)</x:f>
      </x:c>
      <x:c r="O342" t="str">
        <x:f>IF($A342="","",SUMIFS(CaseLedger!$O:$O,CaseLedger!$F:$F,$A342,CaseLedger!$B:$B,"TRUE"))</x:f>
      </x:c>
      <x:c r="P342" t="str">
        <x:f>IF($A342="","",IFERROR(VLOOKUP($A342,MonthlyFinance!$A:$G,4,FALSE),""))</x:f>
      </x:c>
      <x:c r="Q342" t="str">
        <x:f>IF($A342="","",IFERROR(VLOOKUP($A342,MonthlyFinance!$A:$G,5,FALSE),""))</x:f>
      </x:c>
      <x:c r="R342" t="str">
        <x:f>IF($A342="","",IFERROR(VLOOKUP($A342,MonthlyFinance!$A:$G,6,FALSE),""))</x:f>
      </x:c>
      <x:c r="S342" t="str">
        <x:f>IF($A342="","","Formula-linked from CaseLedger; finance fields from MonthlyFinance.")</x:f>
      </x:c>
      <x:c r="T342" t="str">
        <x:f>IF($A342="","","TRUE")</x:f>
      </x:c>
    </x:row>
    <x:row r="343">
      <x:c r="D343" t="str">
        <x:f>IF($A343="","",COUNTIFS(CaseLedger!$F:$F,$A343,CaseLedger!$B:$B,"TRUE"))</x:f>
      </x:c>
      <x:c r="E343" t="str">
        <x:f>IF($A343="","",COUNTIFS(CaseLedger!$F:$F,$A343,CaseLedger!$B:$B,"TRUE",CaseLedger!$P:$P,"Zakat"))</x:f>
      </x:c>
      <x:c r="F343" t="str">
        <x:f>IF($A343="","",COUNTIFS(CaseLedger!$F:$F,$A343,CaseLedger!$B:$B,"TRUE",CaseLedger!$P:$P,"Sadaqah"))</x:f>
      </x:c>
      <x:c r="G343" t="str">
        <x:f>IF($A343="","",COUNTIFS(CaseLedger!$F:$F,$A343,CaseLedger!$B:$B,"TRUE",CaseLedger!$P:$P,"Mixed"))</x:f>
      </x:c>
      <x:c r="H343" t="str">
        <x:f>IF($A343="","",COUNTIFS(CaseLedger!$F:$F,$A343,CaseLedger!$B:$B,"TRUE",CaseLedger!$K:$K,"Livelihood"))</x:f>
      </x:c>
      <x:c r="I343" t="str">
        <x:f>IF($A343="","",COUNTIFS(CaseLedger!$F:$F,$A343,CaseLedger!$B:$B,"TRUE",CaseLedger!$K:$K,"Skill Sponsorship"))</x:f>
      </x:c>
      <x:c r="J343" t="str">
        <x:f>IF($A343="","",COUNTIFS(CaseLedger!$F:$F,$A343,CaseLedger!$B:$B,"TRUE",CaseLedger!$K:$K,"Emergency Support"))</x:f>
      </x:c>
      <x:c r="K343" t="str">
        <x:f>IF($A343="","",COUNTIFS(CaseLedger!$F:$F,$A343,CaseLedger!$B:$B,"TRUE",CaseLedger!$K:$K,"Community Support"))</x:f>
      </x:c>
      <x:c r="L343" t="str">
        <x:f>IF($A343="","",SUMIFS(CaseLedger!$M:$M,CaseLedger!$F:$F,$A343,CaseLedger!$B:$B,"TRUE"))</x:f>
      </x:c>
      <x:c r="M343" t="str">
        <x:f>IF($A343="","",SUMIFS(CaseLedger!$N:$N,CaseLedger!$F:$F,$A343,CaseLedger!$B:$B,"TRUE"))</x:f>
      </x:c>
      <x:c r="N343" t="str">
        <x:f>IF($A343="","",0)</x:f>
      </x:c>
      <x:c r="O343" t="str">
        <x:f>IF($A343="","",SUMIFS(CaseLedger!$O:$O,CaseLedger!$F:$F,$A343,CaseLedger!$B:$B,"TRUE"))</x:f>
      </x:c>
      <x:c r="P343" t="str">
        <x:f>IF($A343="","",IFERROR(VLOOKUP($A343,MonthlyFinance!$A:$G,4,FALSE),""))</x:f>
      </x:c>
      <x:c r="Q343" t="str">
        <x:f>IF($A343="","",IFERROR(VLOOKUP($A343,MonthlyFinance!$A:$G,5,FALSE),""))</x:f>
      </x:c>
      <x:c r="R343" t="str">
        <x:f>IF($A343="","",IFERROR(VLOOKUP($A343,MonthlyFinance!$A:$G,6,FALSE),""))</x:f>
      </x:c>
      <x:c r="S343" t="str">
        <x:f>IF($A343="","","Formula-linked from CaseLedger; finance fields from MonthlyFinance.")</x:f>
      </x:c>
      <x:c r="T343" t="str">
        <x:f>IF($A343="","","TRUE")</x:f>
      </x:c>
    </x:row>
    <x:row r="344">
      <x:c r="D344" t="str">
        <x:f>IF($A344="","",COUNTIFS(CaseLedger!$F:$F,$A344,CaseLedger!$B:$B,"TRUE"))</x:f>
      </x:c>
      <x:c r="E344" t="str">
        <x:f>IF($A344="","",COUNTIFS(CaseLedger!$F:$F,$A344,CaseLedger!$B:$B,"TRUE",CaseLedger!$P:$P,"Zakat"))</x:f>
      </x:c>
      <x:c r="F344" t="str">
        <x:f>IF($A344="","",COUNTIFS(CaseLedger!$F:$F,$A344,CaseLedger!$B:$B,"TRUE",CaseLedger!$P:$P,"Sadaqah"))</x:f>
      </x:c>
      <x:c r="G344" t="str">
        <x:f>IF($A344="","",COUNTIFS(CaseLedger!$F:$F,$A344,CaseLedger!$B:$B,"TRUE",CaseLedger!$P:$P,"Mixed"))</x:f>
      </x:c>
      <x:c r="H344" t="str">
        <x:f>IF($A344="","",COUNTIFS(CaseLedger!$F:$F,$A344,CaseLedger!$B:$B,"TRUE",CaseLedger!$K:$K,"Livelihood"))</x:f>
      </x:c>
      <x:c r="I344" t="str">
        <x:f>IF($A344="","",COUNTIFS(CaseLedger!$F:$F,$A344,CaseLedger!$B:$B,"TRUE",CaseLedger!$K:$K,"Skill Sponsorship"))</x:f>
      </x:c>
      <x:c r="J344" t="str">
        <x:f>IF($A344="","",COUNTIFS(CaseLedger!$F:$F,$A344,CaseLedger!$B:$B,"TRUE",CaseLedger!$K:$K,"Emergency Support"))</x:f>
      </x:c>
      <x:c r="K344" t="str">
        <x:f>IF($A344="","",COUNTIFS(CaseLedger!$F:$F,$A344,CaseLedger!$B:$B,"TRUE",CaseLedger!$K:$K,"Community Support"))</x:f>
      </x:c>
      <x:c r="L344" t="str">
        <x:f>IF($A344="","",SUMIFS(CaseLedger!$M:$M,CaseLedger!$F:$F,$A344,CaseLedger!$B:$B,"TRUE"))</x:f>
      </x:c>
      <x:c r="M344" t="str">
        <x:f>IF($A344="","",SUMIFS(CaseLedger!$N:$N,CaseLedger!$F:$F,$A344,CaseLedger!$B:$B,"TRUE"))</x:f>
      </x:c>
      <x:c r="N344" t="str">
        <x:f>IF($A344="","",0)</x:f>
      </x:c>
      <x:c r="O344" t="str">
        <x:f>IF($A344="","",SUMIFS(CaseLedger!$O:$O,CaseLedger!$F:$F,$A344,CaseLedger!$B:$B,"TRUE"))</x:f>
      </x:c>
      <x:c r="P344" t="str">
        <x:f>IF($A344="","",IFERROR(VLOOKUP($A344,MonthlyFinance!$A:$G,4,FALSE),""))</x:f>
      </x:c>
      <x:c r="Q344" t="str">
        <x:f>IF($A344="","",IFERROR(VLOOKUP($A344,MonthlyFinance!$A:$G,5,FALSE),""))</x:f>
      </x:c>
      <x:c r="R344" t="str">
        <x:f>IF($A344="","",IFERROR(VLOOKUP($A344,MonthlyFinance!$A:$G,6,FALSE),""))</x:f>
      </x:c>
      <x:c r="S344" t="str">
        <x:f>IF($A344="","","Formula-linked from CaseLedger; finance fields from MonthlyFinance.")</x:f>
      </x:c>
      <x:c r="T344" t="str">
        <x:f>IF($A344="","","TRUE")</x:f>
      </x:c>
    </x:row>
    <x:row r="345">
      <x:c r="D345" t="str">
        <x:f>IF($A345="","",COUNTIFS(CaseLedger!$F:$F,$A345,CaseLedger!$B:$B,"TRUE"))</x:f>
      </x:c>
      <x:c r="E345" t="str">
        <x:f>IF($A345="","",COUNTIFS(CaseLedger!$F:$F,$A345,CaseLedger!$B:$B,"TRUE",CaseLedger!$P:$P,"Zakat"))</x:f>
      </x:c>
      <x:c r="F345" t="str">
        <x:f>IF($A345="","",COUNTIFS(CaseLedger!$F:$F,$A345,CaseLedger!$B:$B,"TRUE",CaseLedger!$P:$P,"Sadaqah"))</x:f>
      </x:c>
      <x:c r="G345" t="str">
        <x:f>IF($A345="","",COUNTIFS(CaseLedger!$F:$F,$A345,CaseLedger!$B:$B,"TRUE",CaseLedger!$P:$P,"Mixed"))</x:f>
      </x:c>
      <x:c r="H345" t="str">
        <x:f>IF($A345="","",COUNTIFS(CaseLedger!$F:$F,$A345,CaseLedger!$B:$B,"TRUE",CaseLedger!$K:$K,"Livelihood"))</x:f>
      </x:c>
      <x:c r="I345" t="str">
        <x:f>IF($A345="","",COUNTIFS(CaseLedger!$F:$F,$A345,CaseLedger!$B:$B,"TRUE",CaseLedger!$K:$K,"Skill Sponsorship"))</x:f>
      </x:c>
      <x:c r="J345" t="str">
        <x:f>IF($A345="","",COUNTIFS(CaseLedger!$F:$F,$A345,CaseLedger!$B:$B,"TRUE",CaseLedger!$K:$K,"Emergency Support"))</x:f>
      </x:c>
      <x:c r="K345" t="str">
        <x:f>IF($A345="","",COUNTIFS(CaseLedger!$F:$F,$A345,CaseLedger!$B:$B,"TRUE",CaseLedger!$K:$K,"Community Support"))</x:f>
      </x:c>
      <x:c r="L345" t="str">
        <x:f>IF($A345="","",SUMIFS(CaseLedger!$M:$M,CaseLedger!$F:$F,$A345,CaseLedger!$B:$B,"TRUE"))</x:f>
      </x:c>
      <x:c r="M345" t="str">
        <x:f>IF($A345="","",SUMIFS(CaseLedger!$N:$N,CaseLedger!$F:$F,$A345,CaseLedger!$B:$B,"TRUE"))</x:f>
      </x:c>
      <x:c r="N345" t="str">
        <x:f>IF($A345="","",0)</x:f>
      </x:c>
      <x:c r="O345" t="str">
        <x:f>IF($A345="","",SUMIFS(CaseLedger!$O:$O,CaseLedger!$F:$F,$A345,CaseLedger!$B:$B,"TRUE"))</x:f>
      </x:c>
      <x:c r="P345" t="str">
        <x:f>IF($A345="","",IFERROR(VLOOKUP($A345,MonthlyFinance!$A:$G,4,FALSE),""))</x:f>
      </x:c>
      <x:c r="Q345" t="str">
        <x:f>IF($A345="","",IFERROR(VLOOKUP($A345,MonthlyFinance!$A:$G,5,FALSE),""))</x:f>
      </x:c>
      <x:c r="R345" t="str">
        <x:f>IF($A345="","",IFERROR(VLOOKUP($A345,MonthlyFinance!$A:$G,6,FALSE),""))</x:f>
      </x:c>
      <x:c r="S345" t="str">
        <x:f>IF($A345="","","Formula-linked from CaseLedger; finance fields from MonthlyFinance.")</x:f>
      </x:c>
      <x:c r="T345" t="str">
        <x:f>IF($A345="","","TRUE")</x:f>
      </x:c>
    </x:row>
    <x:row r="346">
      <x:c r="D346" t="str">
        <x:f>IF($A346="","",COUNTIFS(CaseLedger!$F:$F,$A346,CaseLedger!$B:$B,"TRUE"))</x:f>
      </x:c>
      <x:c r="E346" t="str">
        <x:f>IF($A346="","",COUNTIFS(CaseLedger!$F:$F,$A346,CaseLedger!$B:$B,"TRUE",CaseLedger!$P:$P,"Zakat"))</x:f>
      </x:c>
      <x:c r="F346" t="str">
        <x:f>IF($A346="","",COUNTIFS(CaseLedger!$F:$F,$A346,CaseLedger!$B:$B,"TRUE",CaseLedger!$P:$P,"Sadaqah"))</x:f>
      </x:c>
      <x:c r="G346" t="str">
        <x:f>IF($A346="","",COUNTIFS(CaseLedger!$F:$F,$A346,CaseLedger!$B:$B,"TRUE",CaseLedger!$P:$P,"Mixed"))</x:f>
      </x:c>
      <x:c r="H346" t="str">
        <x:f>IF($A346="","",COUNTIFS(CaseLedger!$F:$F,$A346,CaseLedger!$B:$B,"TRUE",CaseLedger!$K:$K,"Livelihood"))</x:f>
      </x:c>
      <x:c r="I346" t="str">
        <x:f>IF($A346="","",COUNTIFS(CaseLedger!$F:$F,$A346,CaseLedger!$B:$B,"TRUE",CaseLedger!$K:$K,"Skill Sponsorship"))</x:f>
      </x:c>
      <x:c r="J346" t="str">
        <x:f>IF($A346="","",COUNTIFS(CaseLedger!$F:$F,$A346,CaseLedger!$B:$B,"TRUE",CaseLedger!$K:$K,"Emergency Support"))</x:f>
      </x:c>
      <x:c r="K346" t="str">
        <x:f>IF($A346="","",COUNTIFS(CaseLedger!$F:$F,$A346,CaseLedger!$B:$B,"TRUE",CaseLedger!$K:$K,"Community Support"))</x:f>
      </x:c>
      <x:c r="L346" t="str">
        <x:f>IF($A346="","",SUMIFS(CaseLedger!$M:$M,CaseLedger!$F:$F,$A346,CaseLedger!$B:$B,"TRUE"))</x:f>
      </x:c>
      <x:c r="M346" t="str">
        <x:f>IF($A346="","",SUMIFS(CaseLedger!$N:$N,CaseLedger!$F:$F,$A346,CaseLedger!$B:$B,"TRUE"))</x:f>
      </x:c>
      <x:c r="N346" t="str">
        <x:f>IF($A346="","",0)</x:f>
      </x:c>
      <x:c r="O346" t="str">
        <x:f>IF($A346="","",SUMIFS(CaseLedger!$O:$O,CaseLedger!$F:$F,$A346,CaseLedger!$B:$B,"TRUE"))</x:f>
      </x:c>
      <x:c r="P346" t="str">
        <x:f>IF($A346="","",IFERROR(VLOOKUP($A346,MonthlyFinance!$A:$G,4,FALSE),""))</x:f>
      </x:c>
      <x:c r="Q346" t="str">
        <x:f>IF($A346="","",IFERROR(VLOOKUP($A346,MonthlyFinance!$A:$G,5,FALSE),""))</x:f>
      </x:c>
      <x:c r="R346" t="str">
        <x:f>IF($A346="","",IFERROR(VLOOKUP($A346,MonthlyFinance!$A:$G,6,FALSE),""))</x:f>
      </x:c>
      <x:c r="S346" t="str">
        <x:f>IF($A346="","","Formula-linked from CaseLedger; finance fields from MonthlyFinance.")</x:f>
      </x:c>
      <x:c r="T346" t="str">
        <x:f>IF($A346="","","TRUE")</x:f>
      </x:c>
    </x:row>
    <x:row r="347">
      <x:c r="D347" t="str">
        <x:f>IF($A347="","",COUNTIFS(CaseLedger!$F:$F,$A347,CaseLedger!$B:$B,"TRUE"))</x:f>
      </x:c>
      <x:c r="E347" t="str">
        <x:f>IF($A347="","",COUNTIFS(CaseLedger!$F:$F,$A347,CaseLedger!$B:$B,"TRUE",CaseLedger!$P:$P,"Zakat"))</x:f>
      </x:c>
      <x:c r="F347" t="str">
        <x:f>IF($A347="","",COUNTIFS(CaseLedger!$F:$F,$A347,CaseLedger!$B:$B,"TRUE",CaseLedger!$P:$P,"Sadaqah"))</x:f>
      </x:c>
      <x:c r="G347" t="str">
        <x:f>IF($A347="","",COUNTIFS(CaseLedger!$F:$F,$A347,CaseLedger!$B:$B,"TRUE",CaseLedger!$P:$P,"Mixed"))</x:f>
      </x:c>
      <x:c r="H347" t="str">
        <x:f>IF($A347="","",COUNTIFS(CaseLedger!$F:$F,$A347,CaseLedger!$B:$B,"TRUE",CaseLedger!$K:$K,"Livelihood"))</x:f>
      </x:c>
      <x:c r="I347" t="str">
        <x:f>IF($A347="","",COUNTIFS(CaseLedger!$F:$F,$A347,CaseLedger!$B:$B,"TRUE",CaseLedger!$K:$K,"Skill Sponsorship"))</x:f>
      </x:c>
      <x:c r="J347" t="str">
        <x:f>IF($A347="","",COUNTIFS(CaseLedger!$F:$F,$A347,CaseLedger!$B:$B,"TRUE",CaseLedger!$K:$K,"Emergency Support"))</x:f>
      </x:c>
      <x:c r="K347" t="str">
        <x:f>IF($A347="","",COUNTIFS(CaseLedger!$F:$F,$A347,CaseLedger!$B:$B,"TRUE",CaseLedger!$K:$K,"Community Support"))</x:f>
      </x:c>
      <x:c r="L347" t="str">
        <x:f>IF($A347="","",SUMIFS(CaseLedger!$M:$M,CaseLedger!$F:$F,$A347,CaseLedger!$B:$B,"TRUE"))</x:f>
      </x:c>
      <x:c r="M347" t="str">
        <x:f>IF($A347="","",SUMIFS(CaseLedger!$N:$N,CaseLedger!$F:$F,$A347,CaseLedger!$B:$B,"TRUE"))</x:f>
      </x:c>
      <x:c r="N347" t="str">
        <x:f>IF($A347="","",0)</x:f>
      </x:c>
      <x:c r="O347" t="str">
        <x:f>IF($A347="","",SUMIFS(CaseLedger!$O:$O,CaseLedger!$F:$F,$A347,CaseLedger!$B:$B,"TRUE"))</x:f>
      </x:c>
      <x:c r="P347" t="str">
        <x:f>IF($A347="","",IFERROR(VLOOKUP($A347,MonthlyFinance!$A:$G,4,FALSE),""))</x:f>
      </x:c>
      <x:c r="Q347" t="str">
        <x:f>IF($A347="","",IFERROR(VLOOKUP($A347,MonthlyFinance!$A:$G,5,FALSE),""))</x:f>
      </x:c>
      <x:c r="R347" t="str">
        <x:f>IF($A347="","",IFERROR(VLOOKUP($A347,MonthlyFinance!$A:$G,6,FALSE),""))</x:f>
      </x:c>
      <x:c r="S347" t="str">
        <x:f>IF($A347="","","Formula-linked from CaseLedger; finance fields from MonthlyFinance.")</x:f>
      </x:c>
      <x:c r="T347" t="str">
        <x:f>IF($A347="","","TRUE")</x:f>
      </x:c>
    </x:row>
    <x:row r="348">
      <x:c r="D348" t="str">
        <x:f>IF($A348="","",COUNTIFS(CaseLedger!$F:$F,$A348,CaseLedger!$B:$B,"TRUE"))</x:f>
      </x:c>
      <x:c r="E348" t="str">
        <x:f>IF($A348="","",COUNTIFS(CaseLedger!$F:$F,$A348,CaseLedger!$B:$B,"TRUE",CaseLedger!$P:$P,"Zakat"))</x:f>
      </x:c>
      <x:c r="F348" t="str">
        <x:f>IF($A348="","",COUNTIFS(CaseLedger!$F:$F,$A348,CaseLedger!$B:$B,"TRUE",CaseLedger!$P:$P,"Sadaqah"))</x:f>
      </x:c>
      <x:c r="G348" t="str">
        <x:f>IF($A348="","",COUNTIFS(CaseLedger!$F:$F,$A348,CaseLedger!$B:$B,"TRUE",CaseLedger!$P:$P,"Mixed"))</x:f>
      </x:c>
      <x:c r="H348" t="str">
        <x:f>IF($A348="","",COUNTIFS(CaseLedger!$F:$F,$A348,CaseLedger!$B:$B,"TRUE",CaseLedger!$K:$K,"Livelihood"))</x:f>
      </x:c>
      <x:c r="I348" t="str">
        <x:f>IF($A348="","",COUNTIFS(CaseLedger!$F:$F,$A348,CaseLedger!$B:$B,"TRUE",CaseLedger!$K:$K,"Skill Sponsorship"))</x:f>
      </x:c>
      <x:c r="J348" t="str">
        <x:f>IF($A348="","",COUNTIFS(CaseLedger!$F:$F,$A348,CaseLedger!$B:$B,"TRUE",CaseLedger!$K:$K,"Emergency Support"))</x:f>
      </x:c>
      <x:c r="K348" t="str">
        <x:f>IF($A348="","",COUNTIFS(CaseLedger!$F:$F,$A348,CaseLedger!$B:$B,"TRUE",CaseLedger!$K:$K,"Community Support"))</x:f>
      </x:c>
      <x:c r="L348" t="str">
        <x:f>IF($A348="","",SUMIFS(CaseLedger!$M:$M,CaseLedger!$F:$F,$A348,CaseLedger!$B:$B,"TRUE"))</x:f>
      </x:c>
      <x:c r="M348" t="str">
        <x:f>IF($A348="","",SUMIFS(CaseLedger!$N:$N,CaseLedger!$F:$F,$A348,CaseLedger!$B:$B,"TRUE"))</x:f>
      </x:c>
      <x:c r="N348" t="str">
        <x:f>IF($A348="","",0)</x:f>
      </x:c>
      <x:c r="O348" t="str">
        <x:f>IF($A348="","",SUMIFS(CaseLedger!$O:$O,CaseLedger!$F:$F,$A348,CaseLedger!$B:$B,"TRUE"))</x:f>
      </x:c>
      <x:c r="P348" t="str">
        <x:f>IF($A348="","",IFERROR(VLOOKUP($A348,MonthlyFinance!$A:$G,4,FALSE),""))</x:f>
      </x:c>
      <x:c r="Q348" t="str">
        <x:f>IF($A348="","",IFERROR(VLOOKUP($A348,MonthlyFinance!$A:$G,5,FALSE),""))</x:f>
      </x:c>
      <x:c r="R348" t="str">
        <x:f>IF($A348="","",IFERROR(VLOOKUP($A348,MonthlyFinance!$A:$G,6,FALSE),""))</x:f>
      </x:c>
      <x:c r="S348" t="str">
        <x:f>IF($A348="","","Formula-linked from CaseLedger; finance fields from MonthlyFinance.")</x:f>
      </x:c>
      <x:c r="T348" t="str">
        <x:f>IF($A348="","","TRUE")</x:f>
      </x:c>
    </x:row>
    <x:row r="349">
      <x:c r="D349" t="str">
        <x:f>IF($A349="","",COUNTIFS(CaseLedger!$F:$F,$A349,CaseLedger!$B:$B,"TRUE"))</x:f>
      </x:c>
      <x:c r="E349" t="str">
        <x:f>IF($A349="","",COUNTIFS(CaseLedger!$F:$F,$A349,CaseLedger!$B:$B,"TRUE",CaseLedger!$P:$P,"Zakat"))</x:f>
      </x:c>
      <x:c r="F349" t="str">
        <x:f>IF($A349="","",COUNTIFS(CaseLedger!$F:$F,$A349,CaseLedger!$B:$B,"TRUE",CaseLedger!$P:$P,"Sadaqah"))</x:f>
      </x:c>
      <x:c r="G349" t="str">
        <x:f>IF($A349="","",COUNTIFS(CaseLedger!$F:$F,$A349,CaseLedger!$B:$B,"TRUE",CaseLedger!$P:$P,"Mixed"))</x:f>
      </x:c>
      <x:c r="H349" t="str">
        <x:f>IF($A349="","",COUNTIFS(CaseLedger!$F:$F,$A349,CaseLedger!$B:$B,"TRUE",CaseLedger!$K:$K,"Livelihood"))</x:f>
      </x:c>
      <x:c r="I349" t="str">
        <x:f>IF($A349="","",COUNTIFS(CaseLedger!$F:$F,$A349,CaseLedger!$B:$B,"TRUE",CaseLedger!$K:$K,"Skill Sponsorship"))</x:f>
      </x:c>
      <x:c r="J349" t="str">
        <x:f>IF($A349="","",COUNTIFS(CaseLedger!$F:$F,$A349,CaseLedger!$B:$B,"TRUE",CaseLedger!$K:$K,"Emergency Support"))</x:f>
      </x:c>
      <x:c r="K349" t="str">
        <x:f>IF($A349="","",COUNTIFS(CaseLedger!$F:$F,$A349,CaseLedger!$B:$B,"TRUE",CaseLedger!$K:$K,"Community Support"))</x:f>
      </x:c>
      <x:c r="L349" t="str">
        <x:f>IF($A349="","",SUMIFS(CaseLedger!$M:$M,CaseLedger!$F:$F,$A349,CaseLedger!$B:$B,"TRUE"))</x:f>
      </x:c>
      <x:c r="M349" t="str">
        <x:f>IF($A349="","",SUMIFS(CaseLedger!$N:$N,CaseLedger!$F:$F,$A349,CaseLedger!$B:$B,"TRUE"))</x:f>
      </x:c>
      <x:c r="N349" t="str">
        <x:f>IF($A349="","",0)</x:f>
      </x:c>
      <x:c r="O349" t="str">
        <x:f>IF($A349="","",SUMIFS(CaseLedger!$O:$O,CaseLedger!$F:$F,$A349,CaseLedger!$B:$B,"TRUE"))</x:f>
      </x:c>
      <x:c r="P349" t="str">
        <x:f>IF($A349="","",IFERROR(VLOOKUP($A349,MonthlyFinance!$A:$G,4,FALSE),""))</x:f>
      </x:c>
      <x:c r="Q349" t="str">
        <x:f>IF($A349="","",IFERROR(VLOOKUP($A349,MonthlyFinance!$A:$G,5,FALSE),""))</x:f>
      </x:c>
      <x:c r="R349" t="str">
        <x:f>IF($A349="","",IFERROR(VLOOKUP($A349,MonthlyFinance!$A:$G,6,FALSE),""))</x:f>
      </x:c>
      <x:c r="S349" t="str">
        <x:f>IF($A349="","","Formula-linked from CaseLedger; finance fields from MonthlyFinance.")</x:f>
      </x:c>
      <x:c r="T349" t="str">
        <x:f>IF($A349="","","TRUE")</x:f>
      </x:c>
    </x:row>
    <x:row r="350">
      <x:c r="D350" t="str">
        <x:f>IF($A350="","",COUNTIFS(CaseLedger!$F:$F,$A350,CaseLedger!$B:$B,"TRUE"))</x:f>
      </x:c>
      <x:c r="E350" t="str">
        <x:f>IF($A350="","",COUNTIFS(CaseLedger!$F:$F,$A350,CaseLedger!$B:$B,"TRUE",CaseLedger!$P:$P,"Zakat"))</x:f>
      </x:c>
      <x:c r="F350" t="str">
        <x:f>IF($A350="","",COUNTIFS(CaseLedger!$F:$F,$A350,CaseLedger!$B:$B,"TRUE",CaseLedger!$P:$P,"Sadaqah"))</x:f>
      </x:c>
      <x:c r="G350" t="str">
        <x:f>IF($A350="","",COUNTIFS(CaseLedger!$F:$F,$A350,CaseLedger!$B:$B,"TRUE",CaseLedger!$P:$P,"Mixed"))</x:f>
      </x:c>
      <x:c r="H350" t="str">
        <x:f>IF($A350="","",COUNTIFS(CaseLedger!$F:$F,$A350,CaseLedger!$B:$B,"TRUE",CaseLedger!$K:$K,"Livelihood"))</x:f>
      </x:c>
      <x:c r="I350" t="str">
        <x:f>IF($A350="","",COUNTIFS(CaseLedger!$F:$F,$A350,CaseLedger!$B:$B,"TRUE",CaseLedger!$K:$K,"Skill Sponsorship"))</x:f>
      </x:c>
      <x:c r="J350" t="str">
        <x:f>IF($A350="","",COUNTIFS(CaseLedger!$F:$F,$A350,CaseLedger!$B:$B,"TRUE",CaseLedger!$K:$K,"Emergency Support"))</x:f>
      </x:c>
      <x:c r="K350" t="str">
        <x:f>IF($A350="","",COUNTIFS(CaseLedger!$F:$F,$A350,CaseLedger!$B:$B,"TRUE",CaseLedger!$K:$K,"Community Support"))</x:f>
      </x:c>
      <x:c r="L350" t="str">
        <x:f>IF($A350="","",SUMIFS(CaseLedger!$M:$M,CaseLedger!$F:$F,$A350,CaseLedger!$B:$B,"TRUE"))</x:f>
      </x:c>
      <x:c r="M350" t="str">
        <x:f>IF($A350="","",SUMIFS(CaseLedger!$N:$N,CaseLedger!$F:$F,$A350,CaseLedger!$B:$B,"TRUE"))</x:f>
      </x:c>
      <x:c r="N350" t="str">
        <x:f>IF($A350="","",0)</x:f>
      </x:c>
      <x:c r="O350" t="str">
        <x:f>IF($A350="","",SUMIFS(CaseLedger!$O:$O,CaseLedger!$F:$F,$A350,CaseLedger!$B:$B,"TRUE"))</x:f>
      </x:c>
      <x:c r="P350" t="str">
        <x:f>IF($A350="","",IFERROR(VLOOKUP($A350,MonthlyFinance!$A:$G,4,FALSE),""))</x:f>
      </x:c>
      <x:c r="Q350" t="str">
        <x:f>IF($A350="","",IFERROR(VLOOKUP($A350,MonthlyFinance!$A:$G,5,FALSE),""))</x:f>
      </x:c>
      <x:c r="R350" t="str">
        <x:f>IF($A350="","",IFERROR(VLOOKUP($A350,MonthlyFinance!$A:$G,6,FALSE),""))</x:f>
      </x:c>
      <x:c r="S350" t="str">
        <x:f>IF($A350="","","Formula-linked from CaseLedger; finance fields from MonthlyFinance.")</x:f>
      </x:c>
      <x:c r="T350" t="str">
        <x:f>IF($A350="","","TRUE")</x:f>
      </x:c>
    </x:row>
    <x:row r="351">
      <x:c r="D351" t="str">
        <x:f>IF($A351="","",COUNTIFS(CaseLedger!$F:$F,$A351,CaseLedger!$B:$B,"TRUE"))</x:f>
      </x:c>
      <x:c r="E351" t="str">
        <x:f>IF($A351="","",COUNTIFS(CaseLedger!$F:$F,$A351,CaseLedger!$B:$B,"TRUE",CaseLedger!$P:$P,"Zakat"))</x:f>
      </x:c>
      <x:c r="F351" t="str">
        <x:f>IF($A351="","",COUNTIFS(CaseLedger!$F:$F,$A351,CaseLedger!$B:$B,"TRUE",CaseLedger!$P:$P,"Sadaqah"))</x:f>
      </x:c>
      <x:c r="G351" t="str">
        <x:f>IF($A351="","",COUNTIFS(CaseLedger!$F:$F,$A351,CaseLedger!$B:$B,"TRUE",CaseLedger!$P:$P,"Mixed"))</x:f>
      </x:c>
      <x:c r="H351" t="str">
        <x:f>IF($A351="","",COUNTIFS(CaseLedger!$F:$F,$A351,CaseLedger!$B:$B,"TRUE",CaseLedger!$K:$K,"Livelihood"))</x:f>
      </x:c>
      <x:c r="I351" t="str">
        <x:f>IF($A351="","",COUNTIFS(CaseLedger!$F:$F,$A351,CaseLedger!$B:$B,"TRUE",CaseLedger!$K:$K,"Skill Sponsorship"))</x:f>
      </x:c>
      <x:c r="J351" t="str">
        <x:f>IF($A351="","",COUNTIFS(CaseLedger!$F:$F,$A351,CaseLedger!$B:$B,"TRUE",CaseLedger!$K:$K,"Emergency Support"))</x:f>
      </x:c>
      <x:c r="K351" t="str">
        <x:f>IF($A351="","",COUNTIFS(CaseLedger!$F:$F,$A351,CaseLedger!$B:$B,"TRUE",CaseLedger!$K:$K,"Community Support"))</x:f>
      </x:c>
      <x:c r="L351" t="str">
        <x:f>IF($A351="","",SUMIFS(CaseLedger!$M:$M,CaseLedger!$F:$F,$A351,CaseLedger!$B:$B,"TRUE"))</x:f>
      </x:c>
      <x:c r="M351" t="str">
        <x:f>IF($A351="","",SUMIFS(CaseLedger!$N:$N,CaseLedger!$F:$F,$A351,CaseLedger!$B:$B,"TRUE"))</x:f>
      </x:c>
      <x:c r="N351" t="str">
        <x:f>IF($A351="","",0)</x:f>
      </x:c>
      <x:c r="O351" t="str">
        <x:f>IF($A351="","",SUMIFS(CaseLedger!$O:$O,CaseLedger!$F:$F,$A351,CaseLedger!$B:$B,"TRUE"))</x:f>
      </x:c>
      <x:c r="P351" t="str">
        <x:f>IF($A351="","",IFERROR(VLOOKUP($A351,MonthlyFinance!$A:$G,4,FALSE),""))</x:f>
      </x:c>
      <x:c r="Q351" t="str">
        <x:f>IF($A351="","",IFERROR(VLOOKUP($A351,MonthlyFinance!$A:$G,5,FALSE),""))</x:f>
      </x:c>
      <x:c r="R351" t="str">
        <x:f>IF($A351="","",IFERROR(VLOOKUP($A351,MonthlyFinance!$A:$G,6,FALSE),""))</x:f>
      </x:c>
      <x:c r="S351" t="str">
        <x:f>IF($A351="","","Formula-linked from CaseLedger; finance fields from MonthlyFinance.")</x:f>
      </x:c>
      <x:c r="T351" t="str">
        <x:f>IF($A351="","","TRUE")</x:f>
      </x:c>
    </x:row>
    <x:row r="352">
      <x:c r="D352" t="str">
        <x:f>IF($A352="","",COUNTIFS(CaseLedger!$F:$F,$A352,CaseLedger!$B:$B,"TRUE"))</x:f>
      </x:c>
      <x:c r="E352" t="str">
        <x:f>IF($A352="","",COUNTIFS(CaseLedger!$F:$F,$A352,CaseLedger!$B:$B,"TRUE",CaseLedger!$P:$P,"Zakat"))</x:f>
      </x:c>
      <x:c r="F352" t="str">
        <x:f>IF($A352="","",COUNTIFS(CaseLedger!$F:$F,$A352,CaseLedger!$B:$B,"TRUE",CaseLedger!$P:$P,"Sadaqah"))</x:f>
      </x:c>
      <x:c r="G352" t="str">
        <x:f>IF($A352="","",COUNTIFS(CaseLedger!$F:$F,$A352,CaseLedger!$B:$B,"TRUE",CaseLedger!$P:$P,"Mixed"))</x:f>
      </x:c>
      <x:c r="H352" t="str">
        <x:f>IF($A352="","",COUNTIFS(CaseLedger!$F:$F,$A352,CaseLedger!$B:$B,"TRUE",CaseLedger!$K:$K,"Livelihood"))</x:f>
      </x:c>
      <x:c r="I352" t="str">
        <x:f>IF($A352="","",COUNTIFS(CaseLedger!$F:$F,$A352,CaseLedger!$B:$B,"TRUE",CaseLedger!$K:$K,"Skill Sponsorship"))</x:f>
      </x:c>
      <x:c r="J352" t="str">
        <x:f>IF($A352="","",COUNTIFS(CaseLedger!$F:$F,$A352,CaseLedger!$B:$B,"TRUE",CaseLedger!$K:$K,"Emergency Support"))</x:f>
      </x:c>
      <x:c r="K352" t="str">
        <x:f>IF($A352="","",COUNTIFS(CaseLedger!$F:$F,$A352,CaseLedger!$B:$B,"TRUE",CaseLedger!$K:$K,"Community Support"))</x:f>
      </x:c>
      <x:c r="L352" t="str">
        <x:f>IF($A352="","",SUMIFS(CaseLedger!$M:$M,CaseLedger!$F:$F,$A352,CaseLedger!$B:$B,"TRUE"))</x:f>
      </x:c>
      <x:c r="M352" t="str">
        <x:f>IF($A352="","",SUMIFS(CaseLedger!$N:$N,CaseLedger!$F:$F,$A352,CaseLedger!$B:$B,"TRUE"))</x:f>
      </x:c>
      <x:c r="N352" t="str">
        <x:f>IF($A352="","",0)</x:f>
      </x:c>
      <x:c r="O352" t="str">
        <x:f>IF($A352="","",SUMIFS(CaseLedger!$O:$O,CaseLedger!$F:$F,$A352,CaseLedger!$B:$B,"TRUE"))</x:f>
      </x:c>
      <x:c r="P352" t="str">
        <x:f>IF($A352="","",IFERROR(VLOOKUP($A352,MonthlyFinance!$A:$G,4,FALSE),""))</x:f>
      </x:c>
      <x:c r="Q352" t="str">
        <x:f>IF($A352="","",IFERROR(VLOOKUP($A352,MonthlyFinance!$A:$G,5,FALSE),""))</x:f>
      </x:c>
      <x:c r="R352" t="str">
        <x:f>IF($A352="","",IFERROR(VLOOKUP($A352,MonthlyFinance!$A:$G,6,FALSE),""))</x:f>
      </x:c>
      <x:c r="S352" t="str">
        <x:f>IF($A352="","","Formula-linked from CaseLedger; finance fields from MonthlyFinance.")</x:f>
      </x:c>
      <x:c r="T352" t="str">
        <x:f>IF($A352="","","TRUE")</x:f>
      </x:c>
    </x:row>
    <x:row r="353">
      <x:c r="D353" t="str">
        <x:f>IF($A353="","",COUNTIFS(CaseLedger!$F:$F,$A353,CaseLedger!$B:$B,"TRUE"))</x:f>
      </x:c>
      <x:c r="E353" t="str">
        <x:f>IF($A353="","",COUNTIFS(CaseLedger!$F:$F,$A353,CaseLedger!$B:$B,"TRUE",CaseLedger!$P:$P,"Zakat"))</x:f>
      </x:c>
      <x:c r="F353" t="str">
        <x:f>IF($A353="","",COUNTIFS(CaseLedger!$F:$F,$A353,CaseLedger!$B:$B,"TRUE",CaseLedger!$P:$P,"Sadaqah"))</x:f>
      </x:c>
      <x:c r="G353" t="str">
        <x:f>IF($A353="","",COUNTIFS(CaseLedger!$F:$F,$A353,CaseLedger!$B:$B,"TRUE",CaseLedger!$P:$P,"Mixed"))</x:f>
      </x:c>
      <x:c r="H353" t="str">
        <x:f>IF($A353="","",COUNTIFS(CaseLedger!$F:$F,$A353,CaseLedger!$B:$B,"TRUE",CaseLedger!$K:$K,"Livelihood"))</x:f>
      </x:c>
      <x:c r="I353" t="str">
        <x:f>IF($A353="","",COUNTIFS(CaseLedger!$F:$F,$A353,CaseLedger!$B:$B,"TRUE",CaseLedger!$K:$K,"Skill Sponsorship"))</x:f>
      </x:c>
      <x:c r="J353" t="str">
        <x:f>IF($A353="","",COUNTIFS(CaseLedger!$F:$F,$A353,CaseLedger!$B:$B,"TRUE",CaseLedger!$K:$K,"Emergency Support"))</x:f>
      </x:c>
      <x:c r="K353" t="str">
        <x:f>IF($A353="","",COUNTIFS(CaseLedger!$F:$F,$A353,CaseLedger!$B:$B,"TRUE",CaseLedger!$K:$K,"Community Support"))</x:f>
      </x:c>
      <x:c r="L353" t="str">
        <x:f>IF($A353="","",SUMIFS(CaseLedger!$M:$M,CaseLedger!$F:$F,$A353,CaseLedger!$B:$B,"TRUE"))</x:f>
      </x:c>
      <x:c r="M353" t="str">
        <x:f>IF($A353="","",SUMIFS(CaseLedger!$N:$N,CaseLedger!$F:$F,$A353,CaseLedger!$B:$B,"TRUE"))</x:f>
      </x:c>
      <x:c r="N353" t="str">
        <x:f>IF($A353="","",0)</x:f>
      </x:c>
      <x:c r="O353" t="str">
        <x:f>IF($A353="","",SUMIFS(CaseLedger!$O:$O,CaseLedger!$F:$F,$A353,CaseLedger!$B:$B,"TRUE"))</x:f>
      </x:c>
      <x:c r="P353" t="str">
        <x:f>IF($A353="","",IFERROR(VLOOKUP($A353,MonthlyFinance!$A:$G,4,FALSE),""))</x:f>
      </x:c>
      <x:c r="Q353" t="str">
        <x:f>IF($A353="","",IFERROR(VLOOKUP($A353,MonthlyFinance!$A:$G,5,FALSE),""))</x:f>
      </x:c>
      <x:c r="R353" t="str">
        <x:f>IF($A353="","",IFERROR(VLOOKUP($A353,MonthlyFinance!$A:$G,6,FALSE),""))</x:f>
      </x:c>
      <x:c r="S353" t="str">
        <x:f>IF($A353="","","Formula-linked from CaseLedger; finance fields from MonthlyFinance.")</x:f>
      </x:c>
      <x:c r="T353" t="str">
        <x:f>IF($A353="","","TRUE")</x:f>
      </x:c>
    </x:row>
    <x:row r="354">
      <x:c r="D354" t="str">
        <x:f>IF($A354="","",COUNTIFS(CaseLedger!$F:$F,$A354,CaseLedger!$B:$B,"TRUE"))</x:f>
      </x:c>
      <x:c r="E354" t="str">
        <x:f>IF($A354="","",COUNTIFS(CaseLedger!$F:$F,$A354,CaseLedger!$B:$B,"TRUE",CaseLedger!$P:$P,"Zakat"))</x:f>
      </x:c>
      <x:c r="F354" t="str">
        <x:f>IF($A354="","",COUNTIFS(CaseLedger!$F:$F,$A354,CaseLedger!$B:$B,"TRUE",CaseLedger!$P:$P,"Sadaqah"))</x:f>
      </x:c>
      <x:c r="G354" t="str">
        <x:f>IF($A354="","",COUNTIFS(CaseLedger!$F:$F,$A354,CaseLedger!$B:$B,"TRUE",CaseLedger!$P:$P,"Mixed"))</x:f>
      </x:c>
      <x:c r="H354" t="str">
        <x:f>IF($A354="","",COUNTIFS(CaseLedger!$F:$F,$A354,CaseLedger!$B:$B,"TRUE",CaseLedger!$K:$K,"Livelihood"))</x:f>
      </x:c>
      <x:c r="I354" t="str">
        <x:f>IF($A354="","",COUNTIFS(CaseLedger!$F:$F,$A354,CaseLedger!$B:$B,"TRUE",CaseLedger!$K:$K,"Skill Sponsorship"))</x:f>
      </x:c>
      <x:c r="J354" t="str">
        <x:f>IF($A354="","",COUNTIFS(CaseLedger!$F:$F,$A354,CaseLedger!$B:$B,"TRUE",CaseLedger!$K:$K,"Emergency Support"))</x:f>
      </x:c>
      <x:c r="K354" t="str">
        <x:f>IF($A354="","",COUNTIFS(CaseLedger!$F:$F,$A354,CaseLedger!$B:$B,"TRUE",CaseLedger!$K:$K,"Community Support"))</x:f>
      </x:c>
      <x:c r="L354" t="str">
        <x:f>IF($A354="","",SUMIFS(CaseLedger!$M:$M,CaseLedger!$F:$F,$A354,CaseLedger!$B:$B,"TRUE"))</x:f>
      </x:c>
      <x:c r="M354" t="str">
        <x:f>IF($A354="","",SUMIFS(CaseLedger!$N:$N,CaseLedger!$F:$F,$A354,CaseLedger!$B:$B,"TRUE"))</x:f>
      </x:c>
      <x:c r="N354" t="str">
        <x:f>IF($A354="","",0)</x:f>
      </x:c>
      <x:c r="O354" t="str">
        <x:f>IF($A354="","",SUMIFS(CaseLedger!$O:$O,CaseLedger!$F:$F,$A354,CaseLedger!$B:$B,"TRUE"))</x:f>
      </x:c>
      <x:c r="P354" t="str">
        <x:f>IF($A354="","",IFERROR(VLOOKUP($A354,MonthlyFinance!$A:$G,4,FALSE),""))</x:f>
      </x:c>
      <x:c r="Q354" t="str">
        <x:f>IF($A354="","",IFERROR(VLOOKUP($A354,MonthlyFinance!$A:$G,5,FALSE),""))</x:f>
      </x:c>
      <x:c r="R354" t="str">
        <x:f>IF($A354="","",IFERROR(VLOOKUP($A354,MonthlyFinance!$A:$G,6,FALSE),""))</x:f>
      </x:c>
      <x:c r="S354" t="str">
        <x:f>IF($A354="","","Formula-linked from CaseLedger; finance fields from MonthlyFinance.")</x:f>
      </x:c>
      <x:c r="T354" t="str">
        <x:f>IF($A354="","","TRUE")</x:f>
      </x:c>
    </x:row>
    <x:row r="355">
      <x:c r="D355" t="str">
        <x:f>IF($A355="","",COUNTIFS(CaseLedger!$F:$F,$A355,CaseLedger!$B:$B,"TRUE"))</x:f>
      </x:c>
      <x:c r="E355" t="str">
        <x:f>IF($A355="","",COUNTIFS(CaseLedger!$F:$F,$A355,CaseLedger!$B:$B,"TRUE",CaseLedger!$P:$P,"Zakat"))</x:f>
      </x:c>
      <x:c r="F355" t="str">
        <x:f>IF($A355="","",COUNTIFS(CaseLedger!$F:$F,$A355,CaseLedger!$B:$B,"TRUE",CaseLedger!$P:$P,"Sadaqah"))</x:f>
      </x:c>
      <x:c r="G355" t="str">
        <x:f>IF($A355="","",COUNTIFS(CaseLedger!$F:$F,$A355,CaseLedger!$B:$B,"TRUE",CaseLedger!$P:$P,"Mixed"))</x:f>
      </x:c>
      <x:c r="H355" t="str">
        <x:f>IF($A355="","",COUNTIFS(CaseLedger!$F:$F,$A355,CaseLedger!$B:$B,"TRUE",CaseLedger!$K:$K,"Livelihood"))</x:f>
      </x:c>
      <x:c r="I355" t="str">
        <x:f>IF($A355="","",COUNTIFS(CaseLedger!$F:$F,$A355,CaseLedger!$B:$B,"TRUE",CaseLedger!$K:$K,"Skill Sponsorship"))</x:f>
      </x:c>
      <x:c r="J355" t="str">
        <x:f>IF($A355="","",COUNTIFS(CaseLedger!$F:$F,$A355,CaseLedger!$B:$B,"TRUE",CaseLedger!$K:$K,"Emergency Support"))</x:f>
      </x:c>
      <x:c r="K355" t="str">
        <x:f>IF($A355="","",COUNTIFS(CaseLedger!$F:$F,$A355,CaseLedger!$B:$B,"TRUE",CaseLedger!$K:$K,"Community Support"))</x:f>
      </x:c>
      <x:c r="L355" t="str">
        <x:f>IF($A355="","",SUMIFS(CaseLedger!$M:$M,CaseLedger!$F:$F,$A355,CaseLedger!$B:$B,"TRUE"))</x:f>
      </x:c>
      <x:c r="M355" t="str">
        <x:f>IF($A355="","",SUMIFS(CaseLedger!$N:$N,CaseLedger!$F:$F,$A355,CaseLedger!$B:$B,"TRUE"))</x:f>
      </x:c>
      <x:c r="N355" t="str">
        <x:f>IF($A355="","",0)</x:f>
      </x:c>
      <x:c r="O355" t="str">
        <x:f>IF($A355="","",SUMIFS(CaseLedger!$O:$O,CaseLedger!$F:$F,$A355,CaseLedger!$B:$B,"TRUE"))</x:f>
      </x:c>
      <x:c r="P355" t="str">
        <x:f>IF($A355="","",IFERROR(VLOOKUP($A355,MonthlyFinance!$A:$G,4,FALSE),""))</x:f>
      </x:c>
      <x:c r="Q355" t="str">
        <x:f>IF($A355="","",IFERROR(VLOOKUP($A355,MonthlyFinance!$A:$G,5,FALSE),""))</x:f>
      </x:c>
      <x:c r="R355" t="str">
        <x:f>IF($A355="","",IFERROR(VLOOKUP($A355,MonthlyFinance!$A:$G,6,FALSE),""))</x:f>
      </x:c>
      <x:c r="S355" t="str">
        <x:f>IF($A355="","","Formula-linked from CaseLedger; finance fields from MonthlyFinance.")</x:f>
      </x:c>
      <x:c r="T355" t="str">
        <x:f>IF($A355="","","TRUE")</x:f>
      </x:c>
    </x:row>
    <x:row r="356">
      <x:c r="D356" t="str">
        <x:f>IF($A356="","",COUNTIFS(CaseLedger!$F:$F,$A356,CaseLedger!$B:$B,"TRUE"))</x:f>
      </x:c>
      <x:c r="E356" t="str">
        <x:f>IF($A356="","",COUNTIFS(CaseLedger!$F:$F,$A356,CaseLedger!$B:$B,"TRUE",CaseLedger!$P:$P,"Zakat"))</x:f>
      </x:c>
      <x:c r="F356" t="str">
        <x:f>IF($A356="","",COUNTIFS(CaseLedger!$F:$F,$A356,CaseLedger!$B:$B,"TRUE",CaseLedger!$P:$P,"Sadaqah"))</x:f>
      </x:c>
      <x:c r="G356" t="str">
        <x:f>IF($A356="","",COUNTIFS(CaseLedger!$F:$F,$A356,CaseLedger!$B:$B,"TRUE",CaseLedger!$P:$P,"Mixed"))</x:f>
      </x:c>
      <x:c r="H356" t="str">
        <x:f>IF($A356="","",COUNTIFS(CaseLedger!$F:$F,$A356,CaseLedger!$B:$B,"TRUE",CaseLedger!$K:$K,"Livelihood"))</x:f>
      </x:c>
      <x:c r="I356" t="str">
        <x:f>IF($A356="","",COUNTIFS(CaseLedger!$F:$F,$A356,CaseLedger!$B:$B,"TRUE",CaseLedger!$K:$K,"Skill Sponsorship"))</x:f>
      </x:c>
      <x:c r="J356" t="str">
        <x:f>IF($A356="","",COUNTIFS(CaseLedger!$F:$F,$A356,CaseLedger!$B:$B,"TRUE",CaseLedger!$K:$K,"Emergency Support"))</x:f>
      </x:c>
      <x:c r="K356" t="str">
        <x:f>IF($A356="","",COUNTIFS(CaseLedger!$F:$F,$A356,CaseLedger!$B:$B,"TRUE",CaseLedger!$K:$K,"Community Support"))</x:f>
      </x:c>
      <x:c r="L356" t="str">
        <x:f>IF($A356="","",SUMIFS(CaseLedger!$M:$M,CaseLedger!$F:$F,$A356,CaseLedger!$B:$B,"TRUE"))</x:f>
      </x:c>
      <x:c r="M356" t="str">
        <x:f>IF($A356="","",SUMIFS(CaseLedger!$N:$N,CaseLedger!$F:$F,$A356,CaseLedger!$B:$B,"TRUE"))</x:f>
      </x:c>
      <x:c r="N356" t="str">
        <x:f>IF($A356="","",0)</x:f>
      </x:c>
      <x:c r="O356" t="str">
        <x:f>IF($A356="","",SUMIFS(CaseLedger!$O:$O,CaseLedger!$F:$F,$A356,CaseLedger!$B:$B,"TRUE"))</x:f>
      </x:c>
      <x:c r="P356" t="str">
        <x:f>IF($A356="","",IFERROR(VLOOKUP($A356,MonthlyFinance!$A:$G,4,FALSE),""))</x:f>
      </x:c>
      <x:c r="Q356" t="str">
        <x:f>IF($A356="","",IFERROR(VLOOKUP($A356,MonthlyFinance!$A:$G,5,FALSE),""))</x:f>
      </x:c>
      <x:c r="R356" t="str">
        <x:f>IF($A356="","",IFERROR(VLOOKUP($A356,MonthlyFinance!$A:$G,6,FALSE),""))</x:f>
      </x:c>
      <x:c r="S356" t="str">
        <x:f>IF($A356="","","Formula-linked from CaseLedger; finance fields from MonthlyFinance.")</x:f>
      </x:c>
      <x:c r="T356" t="str">
        <x:f>IF($A356="","","TRUE")</x:f>
      </x:c>
    </x:row>
    <x:row r="357">
      <x:c r="D357" t="str">
        <x:f>IF($A357="","",COUNTIFS(CaseLedger!$F:$F,$A357,CaseLedger!$B:$B,"TRUE"))</x:f>
      </x:c>
      <x:c r="E357" t="str">
        <x:f>IF($A357="","",COUNTIFS(CaseLedger!$F:$F,$A357,CaseLedger!$B:$B,"TRUE",CaseLedger!$P:$P,"Zakat"))</x:f>
      </x:c>
      <x:c r="F357" t="str">
        <x:f>IF($A357="","",COUNTIFS(CaseLedger!$F:$F,$A357,CaseLedger!$B:$B,"TRUE",CaseLedger!$P:$P,"Sadaqah"))</x:f>
      </x:c>
      <x:c r="G357" t="str">
        <x:f>IF($A357="","",COUNTIFS(CaseLedger!$F:$F,$A357,CaseLedger!$B:$B,"TRUE",CaseLedger!$P:$P,"Mixed"))</x:f>
      </x:c>
      <x:c r="H357" t="str">
        <x:f>IF($A357="","",COUNTIFS(CaseLedger!$F:$F,$A357,CaseLedger!$B:$B,"TRUE",CaseLedger!$K:$K,"Livelihood"))</x:f>
      </x:c>
      <x:c r="I357" t="str">
        <x:f>IF($A357="","",COUNTIFS(CaseLedger!$F:$F,$A357,CaseLedger!$B:$B,"TRUE",CaseLedger!$K:$K,"Skill Sponsorship"))</x:f>
      </x:c>
      <x:c r="J357" t="str">
        <x:f>IF($A357="","",COUNTIFS(CaseLedger!$F:$F,$A357,CaseLedger!$B:$B,"TRUE",CaseLedger!$K:$K,"Emergency Support"))</x:f>
      </x:c>
      <x:c r="K357" t="str">
        <x:f>IF($A357="","",COUNTIFS(CaseLedger!$F:$F,$A357,CaseLedger!$B:$B,"TRUE",CaseLedger!$K:$K,"Community Support"))</x:f>
      </x:c>
      <x:c r="L357" t="str">
        <x:f>IF($A357="","",SUMIFS(CaseLedger!$M:$M,CaseLedger!$F:$F,$A357,CaseLedger!$B:$B,"TRUE"))</x:f>
      </x:c>
      <x:c r="M357" t="str">
        <x:f>IF($A357="","",SUMIFS(CaseLedger!$N:$N,CaseLedger!$F:$F,$A357,CaseLedger!$B:$B,"TRUE"))</x:f>
      </x:c>
      <x:c r="N357" t="str">
        <x:f>IF($A357="","",0)</x:f>
      </x:c>
      <x:c r="O357" t="str">
        <x:f>IF($A357="","",SUMIFS(CaseLedger!$O:$O,CaseLedger!$F:$F,$A357,CaseLedger!$B:$B,"TRUE"))</x:f>
      </x:c>
      <x:c r="P357" t="str">
        <x:f>IF($A357="","",IFERROR(VLOOKUP($A357,MonthlyFinance!$A:$G,4,FALSE),""))</x:f>
      </x:c>
      <x:c r="Q357" t="str">
        <x:f>IF($A357="","",IFERROR(VLOOKUP($A357,MonthlyFinance!$A:$G,5,FALSE),""))</x:f>
      </x:c>
      <x:c r="R357" t="str">
        <x:f>IF($A357="","",IFERROR(VLOOKUP($A357,MonthlyFinance!$A:$G,6,FALSE),""))</x:f>
      </x:c>
      <x:c r="S357" t="str">
        <x:f>IF($A357="","","Formula-linked from CaseLedger; finance fields from MonthlyFinance.")</x:f>
      </x:c>
      <x:c r="T357" t="str">
        <x:f>IF($A357="","","TRUE")</x:f>
      </x:c>
    </x:row>
    <x:row r="358">
      <x:c r="D358" t="str">
        <x:f>IF($A358="","",COUNTIFS(CaseLedger!$F:$F,$A358,CaseLedger!$B:$B,"TRUE"))</x:f>
      </x:c>
      <x:c r="E358" t="str">
        <x:f>IF($A358="","",COUNTIFS(CaseLedger!$F:$F,$A358,CaseLedger!$B:$B,"TRUE",CaseLedger!$P:$P,"Zakat"))</x:f>
      </x:c>
      <x:c r="F358" t="str">
        <x:f>IF($A358="","",COUNTIFS(CaseLedger!$F:$F,$A358,CaseLedger!$B:$B,"TRUE",CaseLedger!$P:$P,"Sadaqah"))</x:f>
      </x:c>
      <x:c r="G358" t="str">
        <x:f>IF($A358="","",COUNTIFS(CaseLedger!$F:$F,$A358,CaseLedger!$B:$B,"TRUE",CaseLedger!$P:$P,"Mixed"))</x:f>
      </x:c>
      <x:c r="H358" t="str">
        <x:f>IF($A358="","",COUNTIFS(CaseLedger!$F:$F,$A358,CaseLedger!$B:$B,"TRUE",CaseLedger!$K:$K,"Livelihood"))</x:f>
      </x:c>
      <x:c r="I358" t="str">
        <x:f>IF($A358="","",COUNTIFS(CaseLedger!$F:$F,$A358,CaseLedger!$B:$B,"TRUE",CaseLedger!$K:$K,"Skill Sponsorship"))</x:f>
      </x:c>
      <x:c r="J358" t="str">
        <x:f>IF($A358="","",COUNTIFS(CaseLedger!$F:$F,$A358,CaseLedger!$B:$B,"TRUE",CaseLedger!$K:$K,"Emergency Support"))</x:f>
      </x:c>
      <x:c r="K358" t="str">
        <x:f>IF($A358="","",COUNTIFS(CaseLedger!$F:$F,$A358,CaseLedger!$B:$B,"TRUE",CaseLedger!$K:$K,"Community Support"))</x:f>
      </x:c>
      <x:c r="L358" t="str">
        <x:f>IF($A358="","",SUMIFS(CaseLedger!$M:$M,CaseLedger!$F:$F,$A358,CaseLedger!$B:$B,"TRUE"))</x:f>
      </x:c>
      <x:c r="M358" t="str">
        <x:f>IF($A358="","",SUMIFS(CaseLedger!$N:$N,CaseLedger!$F:$F,$A358,CaseLedger!$B:$B,"TRUE"))</x:f>
      </x:c>
      <x:c r="N358" t="str">
        <x:f>IF($A358="","",0)</x:f>
      </x:c>
      <x:c r="O358" t="str">
        <x:f>IF($A358="","",SUMIFS(CaseLedger!$O:$O,CaseLedger!$F:$F,$A358,CaseLedger!$B:$B,"TRUE"))</x:f>
      </x:c>
      <x:c r="P358" t="str">
        <x:f>IF($A358="","",IFERROR(VLOOKUP($A358,MonthlyFinance!$A:$G,4,FALSE),""))</x:f>
      </x:c>
      <x:c r="Q358" t="str">
        <x:f>IF($A358="","",IFERROR(VLOOKUP($A358,MonthlyFinance!$A:$G,5,FALSE),""))</x:f>
      </x:c>
      <x:c r="R358" t="str">
        <x:f>IF($A358="","",IFERROR(VLOOKUP($A358,MonthlyFinance!$A:$G,6,FALSE),""))</x:f>
      </x:c>
      <x:c r="S358" t="str">
        <x:f>IF($A358="","","Formula-linked from CaseLedger; finance fields from MonthlyFinance.")</x:f>
      </x:c>
      <x:c r="T358" t="str">
        <x:f>IF($A358="","","TRUE")</x:f>
      </x:c>
    </x:row>
    <x:row r="359">
      <x:c r="D359" t="str">
        <x:f>IF($A359="","",COUNTIFS(CaseLedger!$F:$F,$A359,CaseLedger!$B:$B,"TRUE"))</x:f>
      </x:c>
      <x:c r="E359" t="str">
        <x:f>IF($A359="","",COUNTIFS(CaseLedger!$F:$F,$A359,CaseLedger!$B:$B,"TRUE",CaseLedger!$P:$P,"Zakat"))</x:f>
      </x:c>
      <x:c r="F359" t="str">
        <x:f>IF($A359="","",COUNTIFS(CaseLedger!$F:$F,$A359,CaseLedger!$B:$B,"TRUE",CaseLedger!$P:$P,"Sadaqah"))</x:f>
      </x:c>
      <x:c r="G359" t="str">
        <x:f>IF($A359="","",COUNTIFS(CaseLedger!$F:$F,$A359,CaseLedger!$B:$B,"TRUE",CaseLedger!$P:$P,"Mixed"))</x:f>
      </x:c>
      <x:c r="H359" t="str">
        <x:f>IF($A359="","",COUNTIFS(CaseLedger!$F:$F,$A359,CaseLedger!$B:$B,"TRUE",CaseLedger!$K:$K,"Livelihood"))</x:f>
      </x:c>
      <x:c r="I359" t="str">
        <x:f>IF($A359="","",COUNTIFS(CaseLedger!$F:$F,$A359,CaseLedger!$B:$B,"TRUE",CaseLedger!$K:$K,"Skill Sponsorship"))</x:f>
      </x:c>
      <x:c r="J359" t="str">
        <x:f>IF($A359="","",COUNTIFS(CaseLedger!$F:$F,$A359,CaseLedger!$B:$B,"TRUE",CaseLedger!$K:$K,"Emergency Support"))</x:f>
      </x:c>
      <x:c r="K359" t="str">
        <x:f>IF($A359="","",COUNTIFS(CaseLedger!$F:$F,$A359,CaseLedger!$B:$B,"TRUE",CaseLedger!$K:$K,"Community Support"))</x:f>
      </x:c>
      <x:c r="L359" t="str">
        <x:f>IF($A359="","",SUMIFS(CaseLedger!$M:$M,CaseLedger!$F:$F,$A359,CaseLedger!$B:$B,"TRUE"))</x:f>
      </x:c>
      <x:c r="M359" t="str">
        <x:f>IF($A359="","",SUMIFS(CaseLedger!$N:$N,CaseLedger!$F:$F,$A359,CaseLedger!$B:$B,"TRUE"))</x:f>
      </x:c>
      <x:c r="N359" t="str">
        <x:f>IF($A359="","",0)</x:f>
      </x:c>
      <x:c r="O359" t="str">
        <x:f>IF($A359="","",SUMIFS(CaseLedger!$O:$O,CaseLedger!$F:$F,$A359,CaseLedger!$B:$B,"TRUE"))</x:f>
      </x:c>
      <x:c r="P359" t="str">
        <x:f>IF($A359="","",IFERROR(VLOOKUP($A359,MonthlyFinance!$A:$G,4,FALSE),""))</x:f>
      </x:c>
      <x:c r="Q359" t="str">
        <x:f>IF($A359="","",IFERROR(VLOOKUP($A359,MonthlyFinance!$A:$G,5,FALSE),""))</x:f>
      </x:c>
      <x:c r="R359" t="str">
        <x:f>IF($A359="","",IFERROR(VLOOKUP($A359,MonthlyFinance!$A:$G,6,FALSE),""))</x:f>
      </x:c>
      <x:c r="S359" t="str">
        <x:f>IF($A359="","","Formula-linked from CaseLedger; finance fields from MonthlyFinance.")</x:f>
      </x:c>
      <x:c r="T359" t="str">
        <x:f>IF($A359="","","TRUE")</x:f>
      </x:c>
    </x:row>
    <x:row r="360">
      <x:c r="D360" t="str">
        <x:f>IF($A360="","",COUNTIFS(CaseLedger!$F:$F,$A360,CaseLedger!$B:$B,"TRUE"))</x:f>
      </x:c>
      <x:c r="E360" t="str">
        <x:f>IF($A360="","",COUNTIFS(CaseLedger!$F:$F,$A360,CaseLedger!$B:$B,"TRUE",CaseLedger!$P:$P,"Zakat"))</x:f>
      </x:c>
      <x:c r="F360" t="str">
        <x:f>IF($A360="","",COUNTIFS(CaseLedger!$F:$F,$A360,CaseLedger!$B:$B,"TRUE",CaseLedger!$P:$P,"Sadaqah"))</x:f>
      </x:c>
      <x:c r="G360" t="str">
        <x:f>IF($A360="","",COUNTIFS(CaseLedger!$F:$F,$A360,CaseLedger!$B:$B,"TRUE",CaseLedger!$P:$P,"Mixed"))</x:f>
      </x:c>
      <x:c r="H360" t="str">
        <x:f>IF($A360="","",COUNTIFS(CaseLedger!$F:$F,$A360,CaseLedger!$B:$B,"TRUE",CaseLedger!$K:$K,"Livelihood"))</x:f>
      </x:c>
      <x:c r="I360" t="str">
        <x:f>IF($A360="","",COUNTIFS(CaseLedger!$F:$F,$A360,CaseLedger!$B:$B,"TRUE",CaseLedger!$K:$K,"Skill Sponsorship"))</x:f>
      </x:c>
      <x:c r="J360" t="str">
        <x:f>IF($A360="","",COUNTIFS(CaseLedger!$F:$F,$A360,CaseLedger!$B:$B,"TRUE",CaseLedger!$K:$K,"Emergency Support"))</x:f>
      </x:c>
      <x:c r="K360" t="str">
        <x:f>IF($A360="","",COUNTIFS(CaseLedger!$F:$F,$A360,CaseLedger!$B:$B,"TRUE",CaseLedger!$K:$K,"Community Support"))</x:f>
      </x:c>
      <x:c r="L360" t="str">
        <x:f>IF($A360="","",SUMIFS(CaseLedger!$M:$M,CaseLedger!$F:$F,$A360,CaseLedger!$B:$B,"TRUE"))</x:f>
      </x:c>
      <x:c r="M360" t="str">
        <x:f>IF($A360="","",SUMIFS(CaseLedger!$N:$N,CaseLedger!$F:$F,$A360,CaseLedger!$B:$B,"TRUE"))</x:f>
      </x:c>
      <x:c r="N360" t="str">
        <x:f>IF($A360="","",0)</x:f>
      </x:c>
      <x:c r="O360" t="str">
        <x:f>IF($A360="","",SUMIFS(CaseLedger!$O:$O,CaseLedger!$F:$F,$A360,CaseLedger!$B:$B,"TRUE"))</x:f>
      </x:c>
      <x:c r="P360" t="str">
        <x:f>IF($A360="","",IFERROR(VLOOKUP($A360,MonthlyFinance!$A:$G,4,FALSE),""))</x:f>
      </x:c>
      <x:c r="Q360" t="str">
        <x:f>IF($A360="","",IFERROR(VLOOKUP($A360,MonthlyFinance!$A:$G,5,FALSE),""))</x:f>
      </x:c>
      <x:c r="R360" t="str">
        <x:f>IF($A360="","",IFERROR(VLOOKUP($A360,MonthlyFinance!$A:$G,6,FALSE),""))</x:f>
      </x:c>
      <x:c r="S360" t="str">
        <x:f>IF($A360="","","Formula-linked from CaseLedger; finance fields from MonthlyFinance.")</x:f>
      </x:c>
      <x:c r="T360" t="str">
        <x:f>IF($A360="","","TRUE")</x:f>
      </x:c>
    </x:row>
    <x:row r="361">
      <x:c r="D361" t="str">
        <x:f>IF($A361="","",COUNTIFS(CaseLedger!$F:$F,$A361,CaseLedger!$B:$B,"TRUE"))</x:f>
      </x:c>
      <x:c r="E361" t="str">
        <x:f>IF($A361="","",COUNTIFS(CaseLedger!$F:$F,$A361,CaseLedger!$B:$B,"TRUE",CaseLedger!$P:$P,"Zakat"))</x:f>
      </x:c>
      <x:c r="F361" t="str">
        <x:f>IF($A361="","",COUNTIFS(CaseLedger!$F:$F,$A361,CaseLedger!$B:$B,"TRUE",CaseLedger!$P:$P,"Sadaqah"))</x:f>
      </x:c>
      <x:c r="G361" t="str">
        <x:f>IF($A361="","",COUNTIFS(CaseLedger!$F:$F,$A361,CaseLedger!$B:$B,"TRUE",CaseLedger!$P:$P,"Mixed"))</x:f>
      </x:c>
      <x:c r="H361" t="str">
        <x:f>IF($A361="","",COUNTIFS(CaseLedger!$F:$F,$A361,CaseLedger!$B:$B,"TRUE",CaseLedger!$K:$K,"Livelihood"))</x:f>
      </x:c>
      <x:c r="I361" t="str">
        <x:f>IF($A361="","",COUNTIFS(CaseLedger!$F:$F,$A361,CaseLedger!$B:$B,"TRUE",CaseLedger!$K:$K,"Skill Sponsorship"))</x:f>
      </x:c>
      <x:c r="J361" t="str">
        <x:f>IF($A361="","",COUNTIFS(CaseLedger!$F:$F,$A361,CaseLedger!$B:$B,"TRUE",CaseLedger!$K:$K,"Emergency Support"))</x:f>
      </x:c>
      <x:c r="K361" t="str">
        <x:f>IF($A361="","",COUNTIFS(CaseLedger!$F:$F,$A361,CaseLedger!$B:$B,"TRUE",CaseLedger!$K:$K,"Community Support"))</x:f>
      </x:c>
      <x:c r="L361" t="str">
        <x:f>IF($A361="","",SUMIFS(CaseLedger!$M:$M,CaseLedger!$F:$F,$A361,CaseLedger!$B:$B,"TRUE"))</x:f>
      </x:c>
      <x:c r="M361" t="str">
        <x:f>IF($A361="","",SUMIFS(CaseLedger!$N:$N,CaseLedger!$F:$F,$A361,CaseLedger!$B:$B,"TRUE"))</x:f>
      </x:c>
      <x:c r="N361" t="str">
        <x:f>IF($A361="","",0)</x:f>
      </x:c>
      <x:c r="O361" t="str">
        <x:f>IF($A361="","",SUMIFS(CaseLedger!$O:$O,CaseLedger!$F:$F,$A361,CaseLedger!$B:$B,"TRUE"))</x:f>
      </x:c>
      <x:c r="P361" t="str">
        <x:f>IF($A361="","",IFERROR(VLOOKUP($A361,MonthlyFinance!$A:$G,4,FALSE),""))</x:f>
      </x:c>
      <x:c r="Q361" t="str">
        <x:f>IF($A361="","",IFERROR(VLOOKUP($A361,MonthlyFinance!$A:$G,5,FALSE),""))</x:f>
      </x:c>
      <x:c r="R361" t="str">
        <x:f>IF($A361="","",IFERROR(VLOOKUP($A361,MonthlyFinance!$A:$G,6,FALSE),""))</x:f>
      </x:c>
      <x:c r="S361" t="str">
        <x:f>IF($A361="","","Formula-linked from CaseLedger; finance fields from MonthlyFinance.")</x:f>
      </x:c>
      <x:c r="T361" t="str">
        <x:f>IF($A361="","","TRUE")</x:f>
      </x:c>
    </x:row>
    <x:row r="362">
      <x:c r="D362" t="str">
        <x:f>IF($A362="","",COUNTIFS(CaseLedger!$F:$F,$A362,CaseLedger!$B:$B,"TRUE"))</x:f>
      </x:c>
      <x:c r="E362" t="str">
        <x:f>IF($A362="","",COUNTIFS(CaseLedger!$F:$F,$A362,CaseLedger!$B:$B,"TRUE",CaseLedger!$P:$P,"Zakat"))</x:f>
      </x:c>
      <x:c r="F362" t="str">
        <x:f>IF($A362="","",COUNTIFS(CaseLedger!$F:$F,$A362,CaseLedger!$B:$B,"TRUE",CaseLedger!$P:$P,"Sadaqah"))</x:f>
      </x:c>
      <x:c r="G362" t="str">
        <x:f>IF($A362="","",COUNTIFS(CaseLedger!$F:$F,$A362,CaseLedger!$B:$B,"TRUE",CaseLedger!$P:$P,"Mixed"))</x:f>
      </x:c>
      <x:c r="H362" t="str">
        <x:f>IF($A362="","",COUNTIFS(CaseLedger!$F:$F,$A362,CaseLedger!$B:$B,"TRUE",CaseLedger!$K:$K,"Livelihood"))</x:f>
      </x:c>
      <x:c r="I362" t="str">
        <x:f>IF($A362="","",COUNTIFS(CaseLedger!$F:$F,$A362,CaseLedger!$B:$B,"TRUE",CaseLedger!$K:$K,"Skill Sponsorship"))</x:f>
      </x:c>
      <x:c r="J362" t="str">
        <x:f>IF($A362="","",COUNTIFS(CaseLedger!$F:$F,$A362,CaseLedger!$B:$B,"TRUE",CaseLedger!$K:$K,"Emergency Support"))</x:f>
      </x:c>
      <x:c r="K362" t="str">
        <x:f>IF($A362="","",COUNTIFS(CaseLedger!$F:$F,$A362,CaseLedger!$B:$B,"TRUE",CaseLedger!$K:$K,"Community Support"))</x:f>
      </x:c>
      <x:c r="L362" t="str">
        <x:f>IF($A362="","",SUMIFS(CaseLedger!$M:$M,CaseLedger!$F:$F,$A362,CaseLedger!$B:$B,"TRUE"))</x:f>
      </x:c>
      <x:c r="M362" t="str">
        <x:f>IF($A362="","",SUMIFS(CaseLedger!$N:$N,CaseLedger!$F:$F,$A362,CaseLedger!$B:$B,"TRUE"))</x:f>
      </x:c>
      <x:c r="N362" t="str">
        <x:f>IF($A362="","",0)</x:f>
      </x:c>
      <x:c r="O362" t="str">
        <x:f>IF($A362="","",SUMIFS(CaseLedger!$O:$O,CaseLedger!$F:$F,$A362,CaseLedger!$B:$B,"TRUE"))</x:f>
      </x:c>
      <x:c r="P362" t="str">
        <x:f>IF($A362="","",IFERROR(VLOOKUP($A362,MonthlyFinance!$A:$G,4,FALSE),""))</x:f>
      </x:c>
      <x:c r="Q362" t="str">
        <x:f>IF($A362="","",IFERROR(VLOOKUP($A362,MonthlyFinance!$A:$G,5,FALSE),""))</x:f>
      </x:c>
      <x:c r="R362" t="str">
        <x:f>IF($A362="","",IFERROR(VLOOKUP($A362,MonthlyFinance!$A:$G,6,FALSE),""))</x:f>
      </x:c>
      <x:c r="S362" t="str">
        <x:f>IF($A362="","","Formula-linked from CaseLedger; finance fields from MonthlyFinance.")</x:f>
      </x:c>
      <x:c r="T362" t="str">
        <x:f>IF($A362="","","TRUE")</x:f>
      </x:c>
    </x:row>
    <x:row r="363">
      <x:c r="D363" t="str">
        <x:f>IF($A363="","",COUNTIFS(CaseLedger!$F:$F,$A363,CaseLedger!$B:$B,"TRUE"))</x:f>
      </x:c>
      <x:c r="E363" t="str">
        <x:f>IF($A363="","",COUNTIFS(CaseLedger!$F:$F,$A363,CaseLedger!$B:$B,"TRUE",CaseLedger!$P:$P,"Zakat"))</x:f>
      </x:c>
      <x:c r="F363" t="str">
        <x:f>IF($A363="","",COUNTIFS(CaseLedger!$F:$F,$A363,CaseLedger!$B:$B,"TRUE",CaseLedger!$P:$P,"Sadaqah"))</x:f>
      </x:c>
      <x:c r="G363" t="str">
        <x:f>IF($A363="","",COUNTIFS(CaseLedger!$F:$F,$A363,CaseLedger!$B:$B,"TRUE",CaseLedger!$P:$P,"Mixed"))</x:f>
      </x:c>
      <x:c r="H363" t="str">
        <x:f>IF($A363="","",COUNTIFS(CaseLedger!$F:$F,$A363,CaseLedger!$B:$B,"TRUE",CaseLedger!$K:$K,"Livelihood"))</x:f>
      </x:c>
      <x:c r="I363" t="str">
        <x:f>IF($A363="","",COUNTIFS(CaseLedger!$F:$F,$A363,CaseLedger!$B:$B,"TRUE",CaseLedger!$K:$K,"Skill Sponsorship"))</x:f>
      </x:c>
      <x:c r="J363" t="str">
        <x:f>IF($A363="","",COUNTIFS(CaseLedger!$F:$F,$A363,CaseLedger!$B:$B,"TRUE",CaseLedger!$K:$K,"Emergency Support"))</x:f>
      </x:c>
      <x:c r="K363" t="str">
        <x:f>IF($A363="","",COUNTIFS(CaseLedger!$F:$F,$A363,CaseLedger!$B:$B,"TRUE",CaseLedger!$K:$K,"Community Support"))</x:f>
      </x:c>
      <x:c r="L363" t="str">
        <x:f>IF($A363="","",SUMIFS(CaseLedger!$M:$M,CaseLedger!$F:$F,$A363,CaseLedger!$B:$B,"TRUE"))</x:f>
      </x:c>
      <x:c r="M363" t="str">
        <x:f>IF($A363="","",SUMIFS(CaseLedger!$N:$N,CaseLedger!$F:$F,$A363,CaseLedger!$B:$B,"TRUE"))</x:f>
      </x:c>
      <x:c r="N363" t="str">
        <x:f>IF($A363="","",0)</x:f>
      </x:c>
      <x:c r="O363" t="str">
        <x:f>IF($A363="","",SUMIFS(CaseLedger!$O:$O,CaseLedger!$F:$F,$A363,CaseLedger!$B:$B,"TRUE"))</x:f>
      </x:c>
      <x:c r="P363" t="str">
        <x:f>IF($A363="","",IFERROR(VLOOKUP($A363,MonthlyFinance!$A:$G,4,FALSE),""))</x:f>
      </x:c>
      <x:c r="Q363" t="str">
        <x:f>IF($A363="","",IFERROR(VLOOKUP($A363,MonthlyFinance!$A:$G,5,FALSE),""))</x:f>
      </x:c>
      <x:c r="R363" t="str">
        <x:f>IF($A363="","",IFERROR(VLOOKUP($A363,MonthlyFinance!$A:$G,6,FALSE),""))</x:f>
      </x:c>
      <x:c r="S363" t="str">
        <x:f>IF($A363="","","Formula-linked from CaseLedger; finance fields from MonthlyFinance.")</x:f>
      </x:c>
      <x:c r="T363" t="str">
        <x:f>IF($A363="","","TRUE")</x:f>
      </x:c>
    </x:row>
    <x:row r="364">
      <x:c r="D364" t="str">
        <x:f>IF($A364="","",COUNTIFS(CaseLedger!$F:$F,$A364,CaseLedger!$B:$B,"TRUE"))</x:f>
      </x:c>
      <x:c r="E364" t="str">
        <x:f>IF($A364="","",COUNTIFS(CaseLedger!$F:$F,$A364,CaseLedger!$B:$B,"TRUE",CaseLedger!$P:$P,"Zakat"))</x:f>
      </x:c>
      <x:c r="F364" t="str">
        <x:f>IF($A364="","",COUNTIFS(CaseLedger!$F:$F,$A364,CaseLedger!$B:$B,"TRUE",CaseLedger!$P:$P,"Sadaqah"))</x:f>
      </x:c>
      <x:c r="G364" t="str">
        <x:f>IF($A364="","",COUNTIFS(CaseLedger!$F:$F,$A364,CaseLedger!$B:$B,"TRUE",CaseLedger!$P:$P,"Mixed"))</x:f>
      </x:c>
      <x:c r="H364" t="str">
        <x:f>IF($A364="","",COUNTIFS(CaseLedger!$F:$F,$A364,CaseLedger!$B:$B,"TRUE",CaseLedger!$K:$K,"Livelihood"))</x:f>
      </x:c>
      <x:c r="I364" t="str">
        <x:f>IF($A364="","",COUNTIFS(CaseLedger!$F:$F,$A364,CaseLedger!$B:$B,"TRUE",CaseLedger!$K:$K,"Skill Sponsorship"))</x:f>
      </x:c>
      <x:c r="J364" t="str">
        <x:f>IF($A364="","",COUNTIFS(CaseLedger!$F:$F,$A364,CaseLedger!$B:$B,"TRUE",CaseLedger!$K:$K,"Emergency Support"))</x:f>
      </x:c>
      <x:c r="K364" t="str">
        <x:f>IF($A364="","",COUNTIFS(CaseLedger!$F:$F,$A364,CaseLedger!$B:$B,"TRUE",CaseLedger!$K:$K,"Community Support"))</x:f>
      </x:c>
      <x:c r="L364" t="str">
        <x:f>IF($A364="","",SUMIFS(CaseLedger!$M:$M,CaseLedger!$F:$F,$A364,CaseLedger!$B:$B,"TRUE"))</x:f>
      </x:c>
      <x:c r="M364" t="str">
        <x:f>IF($A364="","",SUMIFS(CaseLedger!$N:$N,CaseLedger!$F:$F,$A364,CaseLedger!$B:$B,"TRUE"))</x:f>
      </x:c>
      <x:c r="N364" t="str">
        <x:f>IF($A364="","",0)</x:f>
      </x:c>
      <x:c r="O364" t="str">
        <x:f>IF($A364="","",SUMIFS(CaseLedger!$O:$O,CaseLedger!$F:$F,$A364,CaseLedger!$B:$B,"TRUE"))</x:f>
      </x:c>
      <x:c r="P364" t="str">
        <x:f>IF($A364="","",IFERROR(VLOOKUP($A364,MonthlyFinance!$A:$G,4,FALSE),""))</x:f>
      </x:c>
      <x:c r="Q364" t="str">
        <x:f>IF($A364="","",IFERROR(VLOOKUP($A364,MonthlyFinance!$A:$G,5,FALSE),""))</x:f>
      </x:c>
      <x:c r="R364" t="str">
        <x:f>IF($A364="","",IFERROR(VLOOKUP($A364,MonthlyFinance!$A:$G,6,FALSE),""))</x:f>
      </x:c>
      <x:c r="S364" t="str">
        <x:f>IF($A364="","","Formula-linked from CaseLedger; finance fields from MonthlyFinance.")</x:f>
      </x:c>
      <x:c r="T364" t="str">
        <x:f>IF($A364="","","TRUE")</x:f>
      </x:c>
    </x:row>
    <x:row r="365">
      <x:c r="D365" t="str">
        <x:f>IF($A365="","",COUNTIFS(CaseLedger!$F:$F,$A365,CaseLedger!$B:$B,"TRUE"))</x:f>
      </x:c>
      <x:c r="E365" t="str">
        <x:f>IF($A365="","",COUNTIFS(CaseLedger!$F:$F,$A365,CaseLedger!$B:$B,"TRUE",CaseLedger!$P:$P,"Zakat"))</x:f>
      </x:c>
      <x:c r="F365" t="str">
        <x:f>IF($A365="","",COUNTIFS(CaseLedger!$F:$F,$A365,CaseLedger!$B:$B,"TRUE",CaseLedger!$P:$P,"Sadaqah"))</x:f>
      </x:c>
      <x:c r="G365" t="str">
        <x:f>IF($A365="","",COUNTIFS(CaseLedger!$F:$F,$A365,CaseLedger!$B:$B,"TRUE",CaseLedger!$P:$P,"Mixed"))</x:f>
      </x:c>
      <x:c r="H365" t="str">
        <x:f>IF($A365="","",COUNTIFS(CaseLedger!$F:$F,$A365,CaseLedger!$B:$B,"TRUE",CaseLedger!$K:$K,"Livelihood"))</x:f>
      </x:c>
      <x:c r="I365" t="str">
        <x:f>IF($A365="","",COUNTIFS(CaseLedger!$F:$F,$A365,CaseLedger!$B:$B,"TRUE",CaseLedger!$K:$K,"Skill Sponsorship"))</x:f>
      </x:c>
      <x:c r="J365" t="str">
        <x:f>IF($A365="","",COUNTIFS(CaseLedger!$F:$F,$A365,CaseLedger!$B:$B,"TRUE",CaseLedger!$K:$K,"Emergency Support"))</x:f>
      </x:c>
      <x:c r="K365" t="str">
        <x:f>IF($A365="","",COUNTIFS(CaseLedger!$F:$F,$A365,CaseLedger!$B:$B,"TRUE",CaseLedger!$K:$K,"Community Support"))</x:f>
      </x:c>
      <x:c r="L365" t="str">
        <x:f>IF($A365="","",SUMIFS(CaseLedger!$M:$M,CaseLedger!$F:$F,$A365,CaseLedger!$B:$B,"TRUE"))</x:f>
      </x:c>
      <x:c r="M365" t="str">
        <x:f>IF($A365="","",SUMIFS(CaseLedger!$N:$N,CaseLedger!$F:$F,$A365,CaseLedger!$B:$B,"TRUE"))</x:f>
      </x:c>
      <x:c r="N365" t="str">
        <x:f>IF($A365="","",0)</x:f>
      </x:c>
      <x:c r="O365" t="str">
        <x:f>IF($A365="","",SUMIFS(CaseLedger!$O:$O,CaseLedger!$F:$F,$A365,CaseLedger!$B:$B,"TRUE"))</x:f>
      </x:c>
      <x:c r="P365" t="str">
        <x:f>IF($A365="","",IFERROR(VLOOKUP($A365,MonthlyFinance!$A:$G,4,FALSE),""))</x:f>
      </x:c>
      <x:c r="Q365" t="str">
        <x:f>IF($A365="","",IFERROR(VLOOKUP($A365,MonthlyFinance!$A:$G,5,FALSE),""))</x:f>
      </x:c>
      <x:c r="R365" t="str">
        <x:f>IF($A365="","",IFERROR(VLOOKUP($A365,MonthlyFinance!$A:$G,6,FALSE),""))</x:f>
      </x:c>
      <x:c r="S365" t="str">
        <x:f>IF($A365="","","Formula-linked from CaseLedger; finance fields from MonthlyFinance.")</x:f>
      </x:c>
      <x:c r="T365" t="str">
        <x:f>IF($A365="","","TRUE")</x:f>
      </x:c>
    </x:row>
    <x:row r="366">
      <x:c r="D366" t="str">
        <x:f>IF($A366="","",COUNTIFS(CaseLedger!$F:$F,$A366,CaseLedger!$B:$B,"TRUE"))</x:f>
      </x:c>
      <x:c r="E366" t="str">
        <x:f>IF($A366="","",COUNTIFS(CaseLedger!$F:$F,$A366,CaseLedger!$B:$B,"TRUE",CaseLedger!$P:$P,"Zakat"))</x:f>
      </x:c>
      <x:c r="F366" t="str">
        <x:f>IF($A366="","",COUNTIFS(CaseLedger!$F:$F,$A366,CaseLedger!$B:$B,"TRUE",CaseLedger!$P:$P,"Sadaqah"))</x:f>
      </x:c>
      <x:c r="G366" t="str">
        <x:f>IF($A366="","",COUNTIFS(CaseLedger!$F:$F,$A366,CaseLedger!$B:$B,"TRUE",CaseLedger!$P:$P,"Mixed"))</x:f>
      </x:c>
      <x:c r="H366" t="str">
        <x:f>IF($A366="","",COUNTIFS(CaseLedger!$F:$F,$A366,CaseLedger!$B:$B,"TRUE",CaseLedger!$K:$K,"Livelihood"))</x:f>
      </x:c>
      <x:c r="I366" t="str">
        <x:f>IF($A366="","",COUNTIFS(CaseLedger!$F:$F,$A366,CaseLedger!$B:$B,"TRUE",CaseLedger!$K:$K,"Skill Sponsorship"))</x:f>
      </x:c>
      <x:c r="J366" t="str">
        <x:f>IF($A366="","",COUNTIFS(CaseLedger!$F:$F,$A366,CaseLedger!$B:$B,"TRUE",CaseLedger!$K:$K,"Emergency Support"))</x:f>
      </x:c>
      <x:c r="K366" t="str">
        <x:f>IF($A366="","",COUNTIFS(CaseLedger!$F:$F,$A366,CaseLedger!$B:$B,"TRUE",CaseLedger!$K:$K,"Community Support"))</x:f>
      </x:c>
      <x:c r="L366" t="str">
        <x:f>IF($A366="","",SUMIFS(CaseLedger!$M:$M,CaseLedger!$F:$F,$A366,CaseLedger!$B:$B,"TRUE"))</x:f>
      </x:c>
      <x:c r="M366" t="str">
        <x:f>IF($A366="","",SUMIFS(CaseLedger!$N:$N,CaseLedger!$F:$F,$A366,CaseLedger!$B:$B,"TRUE"))</x:f>
      </x:c>
      <x:c r="N366" t="str">
        <x:f>IF($A366="","",0)</x:f>
      </x:c>
      <x:c r="O366" t="str">
        <x:f>IF($A366="","",SUMIFS(CaseLedger!$O:$O,CaseLedger!$F:$F,$A366,CaseLedger!$B:$B,"TRUE"))</x:f>
      </x:c>
      <x:c r="P366" t="str">
        <x:f>IF($A366="","",IFERROR(VLOOKUP($A366,MonthlyFinance!$A:$G,4,FALSE),""))</x:f>
      </x:c>
      <x:c r="Q366" t="str">
        <x:f>IF($A366="","",IFERROR(VLOOKUP($A366,MonthlyFinance!$A:$G,5,FALSE),""))</x:f>
      </x:c>
      <x:c r="R366" t="str">
        <x:f>IF($A366="","",IFERROR(VLOOKUP($A366,MonthlyFinance!$A:$G,6,FALSE),""))</x:f>
      </x:c>
      <x:c r="S366" t="str">
        <x:f>IF($A366="","","Formula-linked from CaseLedger; finance fields from MonthlyFinance.")</x:f>
      </x:c>
      <x:c r="T366" t="str">
        <x:f>IF($A366="","","TRUE")</x:f>
      </x:c>
    </x:row>
    <x:row r="367">
      <x:c r="D367" t="str">
        <x:f>IF($A367="","",COUNTIFS(CaseLedger!$F:$F,$A367,CaseLedger!$B:$B,"TRUE"))</x:f>
      </x:c>
      <x:c r="E367" t="str">
        <x:f>IF($A367="","",COUNTIFS(CaseLedger!$F:$F,$A367,CaseLedger!$B:$B,"TRUE",CaseLedger!$P:$P,"Zakat"))</x:f>
      </x:c>
      <x:c r="F367" t="str">
        <x:f>IF($A367="","",COUNTIFS(CaseLedger!$F:$F,$A367,CaseLedger!$B:$B,"TRUE",CaseLedger!$P:$P,"Sadaqah"))</x:f>
      </x:c>
      <x:c r="G367" t="str">
        <x:f>IF($A367="","",COUNTIFS(CaseLedger!$F:$F,$A367,CaseLedger!$B:$B,"TRUE",CaseLedger!$P:$P,"Mixed"))</x:f>
      </x:c>
      <x:c r="H367" t="str">
        <x:f>IF($A367="","",COUNTIFS(CaseLedger!$F:$F,$A367,CaseLedger!$B:$B,"TRUE",CaseLedger!$K:$K,"Livelihood"))</x:f>
      </x:c>
      <x:c r="I367" t="str">
        <x:f>IF($A367="","",COUNTIFS(CaseLedger!$F:$F,$A367,CaseLedger!$B:$B,"TRUE",CaseLedger!$K:$K,"Skill Sponsorship"))</x:f>
      </x:c>
      <x:c r="J367" t="str">
        <x:f>IF($A367="","",COUNTIFS(CaseLedger!$F:$F,$A367,CaseLedger!$B:$B,"TRUE",CaseLedger!$K:$K,"Emergency Support"))</x:f>
      </x:c>
      <x:c r="K367" t="str">
        <x:f>IF($A367="","",COUNTIFS(CaseLedger!$F:$F,$A367,CaseLedger!$B:$B,"TRUE",CaseLedger!$K:$K,"Community Support"))</x:f>
      </x:c>
      <x:c r="L367" t="str">
        <x:f>IF($A367="","",SUMIFS(CaseLedger!$M:$M,CaseLedger!$F:$F,$A367,CaseLedger!$B:$B,"TRUE"))</x:f>
      </x:c>
      <x:c r="M367" t="str">
        <x:f>IF($A367="","",SUMIFS(CaseLedger!$N:$N,CaseLedger!$F:$F,$A367,CaseLedger!$B:$B,"TRUE"))</x:f>
      </x:c>
      <x:c r="N367" t="str">
        <x:f>IF($A367="","",0)</x:f>
      </x:c>
      <x:c r="O367" t="str">
        <x:f>IF($A367="","",SUMIFS(CaseLedger!$O:$O,CaseLedger!$F:$F,$A367,CaseLedger!$B:$B,"TRUE"))</x:f>
      </x:c>
      <x:c r="P367" t="str">
        <x:f>IF($A367="","",IFERROR(VLOOKUP($A367,MonthlyFinance!$A:$G,4,FALSE),""))</x:f>
      </x:c>
      <x:c r="Q367" t="str">
        <x:f>IF($A367="","",IFERROR(VLOOKUP($A367,MonthlyFinance!$A:$G,5,FALSE),""))</x:f>
      </x:c>
      <x:c r="R367" t="str">
        <x:f>IF($A367="","",IFERROR(VLOOKUP($A367,MonthlyFinance!$A:$G,6,FALSE),""))</x:f>
      </x:c>
      <x:c r="S367" t="str">
        <x:f>IF($A367="","","Formula-linked from CaseLedger; finance fields from MonthlyFinance.")</x:f>
      </x:c>
      <x:c r="T367" t="str">
        <x:f>IF($A367="","","TRUE")</x:f>
      </x:c>
    </x:row>
    <x:row r="368">
      <x:c r="D368" t="str">
        <x:f>IF($A368="","",COUNTIFS(CaseLedger!$F:$F,$A368,CaseLedger!$B:$B,"TRUE"))</x:f>
      </x:c>
      <x:c r="E368" t="str">
        <x:f>IF($A368="","",COUNTIFS(CaseLedger!$F:$F,$A368,CaseLedger!$B:$B,"TRUE",CaseLedger!$P:$P,"Zakat"))</x:f>
      </x:c>
      <x:c r="F368" t="str">
        <x:f>IF($A368="","",COUNTIFS(CaseLedger!$F:$F,$A368,CaseLedger!$B:$B,"TRUE",CaseLedger!$P:$P,"Sadaqah"))</x:f>
      </x:c>
      <x:c r="G368" t="str">
        <x:f>IF($A368="","",COUNTIFS(CaseLedger!$F:$F,$A368,CaseLedger!$B:$B,"TRUE",CaseLedger!$P:$P,"Mixed"))</x:f>
      </x:c>
      <x:c r="H368" t="str">
        <x:f>IF($A368="","",COUNTIFS(CaseLedger!$F:$F,$A368,CaseLedger!$B:$B,"TRUE",CaseLedger!$K:$K,"Livelihood"))</x:f>
      </x:c>
      <x:c r="I368" t="str">
        <x:f>IF($A368="","",COUNTIFS(CaseLedger!$F:$F,$A368,CaseLedger!$B:$B,"TRUE",CaseLedger!$K:$K,"Skill Sponsorship"))</x:f>
      </x:c>
      <x:c r="J368" t="str">
        <x:f>IF($A368="","",COUNTIFS(CaseLedger!$F:$F,$A368,CaseLedger!$B:$B,"TRUE",CaseLedger!$K:$K,"Emergency Support"))</x:f>
      </x:c>
      <x:c r="K368" t="str">
        <x:f>IF($A368="","",COUNTIFS(CaseLedger!$F:$F,$A368,CaseLedger!$B:$B,"TRUE",CaseLedger!$K:$K,"Community Support"))</x:f>
      </x:c>
      <x:c r="L368" t="str">
        <x:f>IF($A368="","",SUMIFS(CaseLedger!$M:$M,CaseLedger!$F:$F,$A368,CaseLedger!$B:$B,"TRUE"))</x:f>
      </x:c>
      <x:c r="M368" t="str">
        <x:f>IF($A368="","",SUMIFS(CaseLedger!$N:$N,CaseLedger!$F:$F,$A368,CaseLedger!$B:$B,"TRUE"))</x:f>
      </x:c>
      <x:c r="N368" t="str">
        <x:f>IF($A368="","",0)</x:f>
      </x:c>
      <x:c r="O368" t="str">
        <x:f>IF($A368="","",SUMIFS(CaseLedger!$O:$O,CaseLedger!$F:$F,$A368,CaseLedger!$B:$B,"TRUE"))</x:f>
      </x:c>
      <x:c r="P368" t="str">
        <x:f>IF($A368="","",IFERROR(VLOOKUP($A368,MonthlyFinance!$A:$G,4,FALSE),""))</x:f>
      </x:c>
      <x:c r="Q368" t="str">
        <x:f>IF($A368="","",IFERROR(VLOOKUP($A368,MonthlyFinance!$A:$G,5,FALSE),""))</x:f>
      </x:c>
      <x:c r="R368" t="str">
        <x:f>IF($A368="","",IFERROR(VLOOKUP($A368,MonthlyFinance!$A:$G,6,FALSE),""))</x:f>
      </x:c>
      <x:c r="S368" t="str">
        <x:f>IF($A368="","","Formula-linked from CaseLedger; finance fields from MonthlyFinance.")</x:f>
      </x:c>
      <x:c r="T368" t="str">
        <x:f>IF($A368="","","TRUE")</x:f>
      </x:c>
    </x:row>
    <x:row r="369">
      <x:c r="D369" t="str">
        <x:f>IF($A369="","",COUNTIFS(CaseLedger!$F:$F,$A369,CaseLedger!$B:$B,"TRUE"))</x:f>
      </x:c>
      <x:c r="E369" t="str">
        <x:f>IF($A369="","",COUNTIFS(CaseLedger!$F:$F,$A369,CaseLedger!$B:$B,"TRUE",CaseLedger!$P:$P,"Zakat"))</x:f>
      </x:c>
      <x:c r="F369" t="str">
        <x:f>IF($A369="","",COUNTIFS(CaseLedger!$F:$F,$A369,CaseLedger!$B:$B,"TRUE",CaseLedger!$P:$P,"Sadaqah"))</x:f>
      </x:c>
      <x:c r="G369" t="str">
        <x:f>IF($A369="","",COUNTIFS(CaseLedger!$F:$F,$A369,CaseLedger!$B:$B,"TRUE",CaseLedger!$P:$P,"Mixed"))</x:f>
      </x:c>
      <x:c r="H369" t="str">
        <x:f>IF($A369="","",COUNTIFS(CaseLedger!$F:$F,$A369,CaseLedger!$B:$B,"TRUE",CaseLedger!$K:$K,"Livelihood"))</x:f>
      </x:c>
      <x:c r="I369" t="str">
        <x:f>IF($A369="","",COUNTIFS(CaseLedger!$F:$F,$A369,CaseLedger!$B:$B,"TRUE",CaseLedger!$K:$K,"Skill Sponsorship"))</x:f>
      </x:c>
      <x:c r="J369" t="str">
        <x:f>IF($A369="","",COUNTIFS(CaseLedger!$F:$F,$A369,CaseLedger!$B:$B,"TRUE",CaseLedger!$K:$K,"Emergency Support"))</x:f>
      </x:c>
      <x:c r="K369" t="str">
        <x:f>IF($A369="","",COUNTIFS(CaseLedger!$F:$F,$A369,CaseLedger!$B:$B,"TRUE",CaseLedger!$K:$K,"Community Support"))</x:f>
      </x:c>
      <x:c r="L369" t="str">
        <x:f>IF($A369="","",SUMIFS(CaseLedger!$M:$M,CaseLedger!$F:$F,$A369,CaseLedger!$B:$B,"TRUE"))</x:f>
      </x:c>
      <x:c r="M369" t="str">
        <x:f>IF($A369="","",SUMIFS(CaseLedger!$N:$N,CaseLedger!$F:$F,$A369,CaseLedger!$B:$B,"TRUE"))</x:f>
      </x:c>
      <x:c r="N369" t="str">
        <x:f>IF($A369="","",0)</x:f>
      </x:c>
      <x:c r="O369" t="str">
        <x:f>IF($A369="","",SUMIFS(CaseLedger!$O:$O,CaseLedger!$F:$F,$A369,CaseLedger!$B:$B,"TRUE"))</x:f>
      </x:c>
      <x:c r="P369" t="str">
        <x:f>IF($A369="","",IFERROR(VLOOKUP($A369,MonthlyFinance!$A:$G,4,FALSE),""))</x:f>
      </x:c>
      <x:c r="Q369" t="str">
        <x:f>IF($A369="","",IFERROR(VLOOKUP($A369,MonthlyFinance!$A:$G,5,FALSE),""))</x:f>
      </x:c>
      <x:c r="R369" t="str">
        <x:f>IF($A369="","",IFERROR(VLOOKUP($A369,MonthlyFinance!$A:$G,6,FALSE),""))</x:f>
      </x:c>
      <x:c r="S369" t="str">
        <x:f>IF($A369="","","Formula-linked from CaseLedger; finance fields from MonthlyFinance.")</x:f>
      </x:c>
      <x:c r="T369" t="str">
        <x:f>IF($A369="","","TRUE")</x:f>
      </x:c>
    </x:row>
    <x:row r="370">
      <x:c r="D370" t="str">
        <x:f>IF($A370="","",COUNTIFS(CaseLedger!$F:$F,$A370,CaseLedger!$B:$B,"TRUE"))</x:f>
      </x:c>
      <x:c r="E370" t="str">
        <x:f>IF($A370="","",COUNTIFS(CaseLedger!$F:$F,$A370,CaseLedger!$B:$B,"TRUE",CaseLedger!$P:$P,"Zakat"))</x:f>
      </x:c>
      <x:c r="F370" t="str">
        <x:f>IF($A370="","",COUNTIFS(CaseLedger!$F:$F,$A370,CaseLedger!$B:$B,"TRUE",CaseLedger!$P:$P,"Sadaqah"))</x:f>
      </x:c>
      <x:c r="G370" t="str">
        <x:f>IF($A370="","",COUNTIFS(CaseLedger!$F:$F,$A370,CaseLedger!$B:$B,"TRUE",CaseLedger!$P:$P,"Mixed"))</x:f>
      </x:c>
      <x:c r="H370" t="str">
        <x:f>IF($A370="","",COUNTIFS(CaseLedger!$F:$F,$A370,CaseLedger!$B:$B,"TRUE",CaseLedger!$K:$K,"Livelihood"))</x:f>
      </x:c>
      <x:c r="I370" t="str">
        <x:f>IF($A370="","",COUNTIFS(CaseLedger!$F:$F,$A370,CaseLedger!$B:$B,"TRUE",CaseLedger!$K:$K,"Skill Sponsorship"))</x:f>
      </x:c>
      <x:c r="J370" t="str">
        <x:f>IF($A370="","",COUNTIFS(CaseLedger!$F:$F,$A370,CaseLedger!$B:$B,"TRUE",CaseLedger!$K:$K,"Emergency Support"))</x:f>
      </x:c>
      <x:c r="K370" t="str">
        <x:f>IF($A370="","",COUNTIFS(CaseLedger!$F:$F,$A370,CaseLedger!$B:$B,"TRUE",CaseLedger!$K:$K,"Community Support"))</x:f>
      </x:c>
      <x:c r="L370" t="str">
        <x:f>IF($A370="","",SUMIFS(CaseLedger!$M:$M,CaseLedger!$F:$F,$A370,CaseLedger!$B:$B,"TRUE"))</x:f>
      </x:c>
      <x:c r="M370" t="str">
        <x:f>IF($A370="","",SUMIFS(CaseLedger!$N:$N,CaseLedger!$F:$F,$A370,CaseLedger!$B:$B,"TRUE"))</x:f>
      </x:c>
      <x:c r="N370" t="str">
        <x:f>IF($A370="","",0)</x:f>
      </x:c>
      <x:c r="O370" t="str">
        <x:f>IF($A370="","",SUMIFS(CaseLedger!$O:$O,CaseLedger!$F:$F,$A370,CaseLedger!$B:$B,"TRUE"))</x:f>
      </x:c>
      <x:c r="P370" t="str">
        <x:f>IF($A370="","",IFERROR(VLOOKUP($A370,MonthlyFinance!$A:$G,4,FALSE),""))</x:f>
      </x:c>
      <x:c r="Q370" t="str">
        <x:f>IF($A370="","",IFERROR(VLOOKUP($A370,MonthlyFinance!$A:$G,5,FALSE),""))</x:f>
      </x:c>
      <x:c r="R370" t="str">
        <x:f>IF($A370="","",IFERROR(VLOOKUP($A370,MonthlyFinance!$A:$G,6,FALSE),""))</x:f>
      </x:c>
      <x:c r="S370" t="str">
        <x:f>IF($A370="","","Formula-linked from CaseLedger; finance fields from MonthlyFinance.")</x:f>
      </x:c>
      <x:c r="T370" t="str">
        <x:f>IF($A370="","","TRUE")</x:f>
      </x:c>
    </x:row>
    <x:row r="371">
      <x:c r="D371" t="str">
        <x:f>IF($A371="","",COUNTIFS(CaseLedger!$F:$F,$A371,CaseLedger!$B:$B,"TRUE"))</x:f>
      </x:c>
      <x:c r="E371" t="str">
        <x:f>IF($A371="","",COUNTIFS(CaseLedger!$F:$F,$A371,CaseLedger!$B:$B,"TRUE",CaseLedger!$P:$P,"Zakat"))</x:f>
      </x:c>
      <x:c r="F371" t="str">
        <x:f>IF($A371="","",COUNTIFS(CaseLedger!$F:$F,$A371,CaseLedger!$B:$B,"TRUE",CaseLedger!$P:$P,"Sadaqah"))</x:f>
      </x:c>
      <x:c r="G371" t="str">
        <x:f>IF($A371="","",COUNTIFS(CaseLedger!$F:$F,$A371,CaseLedger!$B:$B,"TRUE",CaseLedger!$P:$P,"Mixed"))</x:f>
      </x:c>
      <x:c r="H371" t="str">
        <x:f>IF($A371="","",COUNTIFS(CaseLedger!$F:$F,$A371,CaseLedger!$B:$B,"TRUE",CaseLedger!$K:$K,"Livelihood"))</x:f>
      </x:c>
      <x:c r="I371" t="str">
        <x:f>IF($A371="","",COUNTIFS(CaseLedger!$F:$F,$A371,CaseLedger!$B:$B,"TRUE",CaseLedger!$K:$K,"Skill Sponsorship"))</x:f>
      </x:c>
      <x:c r="J371" t="str">
        <x:f>IF($A371="","",COUNTIFS(CaseLedger!$F:$F,$A371,CaseLedger!$B:$B,"TRUE",CaseLedger!$K:$K,"Emergency Support"))</x:f>
      </x:c>
      <x:c r="K371" t="str">
        <x:f>IF($A371="","",COUNTIFS(CaseLedger!$F:$F,$A371,CaseLedger!$B:$B,"TRUE",CaseLedger!$K:$K,"Community Support"))</x:f>
      </x:c>
      <x:c r="L371" t="str">
        <x:f>IF($A371="","",SUMIFS(CaseLedger!$M:$M,CaseLedger!$F:$F,$A371,CaseLedger!$B:$B,"TRUE"))</x:f>
      </x:c>
      <x:c r="M371" t="str">
        <x:f>IF($A371="","",SUMIFS(CaseLedger!$N:$N,CaseLedger!$F:$F,$A371,CaseLedger!$B:$B,"TRUE"))</x:f>
      </x:c>
      <x:c r="N371" t="str">
        <x:f>IF($A371="","",0)</x:f>
      </x:c>
      <x:c r="O371" t="str">
        <x:f>IF($A371="","",SUMIFS(CaseLedger!$O:$O,CaseLedger!$F:$F,$A371,CaseLedger!$B:$B,"TRUE"))</x:f>
      </x:c>
      <x:c r="P371" t="str">
        <x:f>IF($A371="","",IFERROR(VLOOKUP($A371,MonthlyFinance!$A:$G,4,FALSE),""))</x:f>
      </x:c>
      <x:c r="Q371" t="str">
        <x:f>IF($A371="","",IFERROR(VLOOKUP($A371,MonthlyFinance!$A:$G,5,FALSE),""))</x:f>
      </x:c>
      <x:c r="R371" t="str">
        <x:f>IF($A371="","",IFERROR(VLOOKUP($A371,MonthlyFinance!$A:$G,6,FALSE),""))</x:f>
      </x:c>
      <x:c r="S371" t="str">
        <x:f>IF($A371="","","Formula-linked from CaseLedger; finance fields from MonthlyFinance.")</x:f>
      </x:c>
      <x:c r="T371" t="str">
        <x:f>IF($A371="","","TRUE")</x:f>
      </x:c>
    </x:row>
    <x:row r="372">
      <x:c r="D372" t="str">
        <x:f>IF($A372="","",COUNTIFS(CaseLedger!$F:$F,$A372,CaseLedger!$B:$B,"TRUE"))</x:f>
      </x:c>
      <x:c r="E372" t="str">
        <x:f>IF($A372="","",COUNTIFS(CaseLedger!$F:$F,$A372,CaseLedger!$B:$B,"TRUE",CaseLedger!$P:$P,"Zakat"))</x:f>
      </x:c>
      <x:c r="F372" t="str">
        <x:f>IF($A372="","",COUNTIFS(CaseLedger!$F:$F,$A372,CaseLedger!$B:$B,"TRUE",CaseLedger!$P:$P,"Sadaqah"))</x:f>
      </x:c>
      <x:c r="G372" t="str">
        <x:f>IF($A372="","",COUNTIFS(CaseLedger!$F:$F,$A372,CaseLedger!$B:$B,"TRUE",CaseLedger!$P:$P,"Mixed"))</x:f>
      </x:c>
      <x:c r="H372" t="str">
        <x:f>IF($A372="","",COUNTIFS(CaseLedger!$F:$F,$A372,CaseLedger!$B:$B,"TRUE",CaseLedger!$K:$K,"Livelihood"))</x:f>
      </x:c>
      <x:c r="I372" t="str">
        <x:f>IF($A372="","",COUNTIFS(CaseLedger!$F:$F,$A372,CaseLedger!$B:$B,"TRUE",CaseLedger!$K:$K,"Skill Sponsorship"))</x:f>
      </x:c>
      <x:c r="J372" t="str">
        <x:f>IF($A372="","",COUNTIFS(CaseLedger!$F:$F,$A372,CaseLedger!$B:$B,"TRUE",CaseLedger!$K:$K,"Emergency Support"))</x:f>
      </x:c>
      <x:c r="K372" t="str">
        <x:f>IF($A372="","",COUNTIFS(CaseLedger!$F:$F,$A372,CaseLedger!$B:$B,"TRUE",CaseLedger!$K:$K,"Community Support"))</x:f>
      </x:c>
      <x:c r="L372" t="str">
        <x:f>IF($A372="","",SUMIFS(CaseLedger!$M:$M,CaseLedger!$F:$F,$A372,CaseLedger!$B:$B,"TRUE"))</x:f>
      </x:c>
      <x:c r="M372" t="str">
        <x:f>IF($A372="","",SUMIFS(CaseLedger!$N:$N,CaseLedger!$F:$F,$A372,CaseLedger!$B:$B,"TRUE"))</x:f>
      </x:c>
      <x:c r="N372" t="str">
        <x:f>IF($A372="","",0)</x:f>
      </x:c>
      <x:c r="O372" t="str">
        <x:f>IF($A372="","",SUMIFS(CaseLedger!$O:$O,CaseLedger!$F:$F,$A372,CaseLedger!$B:$B,"TRUE"))</x:f>
      </x:c>
      <x:c r="P372" t="str">
        <x:f>IF($A372="","",IFERROR(VLOOKUP($A372,MonthlyFinance!$A:$G,4,FALSE),""))</x:f>
      </x:c>
      <x:c r="Q372" t="str">
        <x:f>IF($A372="","",IFERROR(VLOOKUP($A372,MonthlyFinance!$A:$G,5,FALSE),""))</x:f>
      </x:c>
      <x:c r="R372" t="str">
        <x:f>IF($A372="","",IFERROR(VLOOKUP($A372,MonthlyFinance!$A:$G,6,FALSE),""))</x:f>
      </x:c>
      <x:c r="S372" t="str">
        <x:f>IF($A372="","","Formula-linked from CaseLedger; finance fields from MonthlyFinance.")</x:f>
      </x:c>
      <x:c r="T372" t="str">
        <x:f>IF($A372="","","TRUE")</x:f>
      </x:c>
    </x:row>
    <x:row r="373">
      <x:c r="D373" t="str">
        <x:f>IF($A373="","",COUNTIFS(CaseLedger!$F:$F,$A373,CaseLedger!$B:$B,"TRUE"))</x:f>
      </x:c>
      <x:c r="E373" t="str">
        <x:f>IF($A373="","",COUNTIFS(CaseLedger!$F:$F,$A373,CaseLedger!$B:$B,"TRUE",CaseLedger!$P:$P,"Zakat"))</x:f>
      </x:c>
      <x:c r="F373" t="str">
        <x:f>IF($A373="","",COUNTIFS(CaseLedger!$F:$F,$A373,CaseLedger!$B:$B,"TRUE",CaseLedger!$P:$P,"Sadaqah"))</x:f>
      </x:c>
      <x:c r="G373" t="str">
        <x:f>IF($A373="","",COUNTIFS(CaseLedger!$F:$F,$A373,CaseLedger!$B:$B,"TRUE",CaseLedger!$P:$P,"Mixed"))</x:f>
      </x:c>
      <x:c r="H373" t="str">
        <x:f>IF($A373="","",COUNTIFS(CaseLedger!$F:$F,$A373,CaseLedger!$B:$B,"TRUE",CaseLedger!$K:$K,"Livelihood"))</x:f>
      </x:c>
      <x:c r="I373" t="str">
        <x:f>IF($A373="","",COUNTIFS(CaseLedger!$F:$F,$A373,CaseLedger!$B:$B,"TRUE",CaseLedger!$K:$K,"Skill Sponsorship"))</x:f>
      </x:c>
      <x:c r="J373" t="str">
        <x:f>IF($A373="","",COUNTIFS(CaseLedger!$F:$F,$A373,CaseLedger!$B:$B,"TRUE",CaseLedger!$K:$K,"Emergency Support"))</x:f>
      </x:c>
      <x:c r="K373" t="str">
        <x:f>IF($A373="","",COUNTIFS(CaseLedger!$F:$F,$A373,CaseLedger!$B:$B,"TRUE",CaseLedger!$K:$K,"Community Support"))</x:f>
      </x:c>
      <x:c r="L373" t="str">
        <x:f>IF($A373="","",SUMIFS(CaseLedger!$M:$M,CaseLedger!$F:$F,$A373,CaseLedger!$B:$B,"TRUE"))</x:f>
      </x:c>
      <x:c r="M373" t="str">
        <x:f>IF($A373="","",SUMIFS(CaseLedger!$N:$N,CaseLedger!$F:$F,$A373,CaseLedger!$B:$B,"TRUE"))</x:f>
      </x:c>
      <x:c r="N373" t="str">
        <x:f>IF($A373="","",0)</x:f>
      </x:c>
      <x:c r="O373" t="str">
        <x:f>IF($A373="","",SUMIFS(CaseLedger!$O:$O,CaseLedger!$F:$F,$A373,CaseLedger!$B:$B,"TRUE"))</x:f>
      </x:c>
      <x:c r="P373" t="str">
        <x:f>IF($A373="","",IFERROR(VLOOKUP($A373,MonthlyFinance!$A:$G,4,FALSE),""))</x:f>
      </x:c>
      <x:c r="Q373" t="str">
        <x:f>IF($A373="","",IFERROR(VLOOKUP($A373,MonthlyFinance!$A:$G,5,FALSE),""))</x:f>
      </x:c>
      <x:c r="R373" t="str">
        <x:f>IF($A373="","",IFERROR(VLOOKUP($A373,MonthlyFinance!$A:$G,6,FALSE),""))</x:f>
      </x:c>
      <x:c r="S373" t="str">
        <x:f>IF($A373="","","Formula-linked from CaseLedger; finance fields from MonthlyFinance.")</x:f>
      </x:c>
      <x:c r="T373" t="str">
        <x:f>IF($A373="","","TRUE")</x:f>
      </x:c>
    </x:row>
    <x:row r="374">
      <x:c r="D374" t="str">
        <x:f>IF($A374="","",COUNTIFS(CaseLedger!$F:$F,$A374,CaseLedger!$B:$B,"TRUE"))</x:f>
      </x:c>
      <x:c r="E374" t="str">
        <x:f>IF($A374="","",COUNTIFS(CaseLedger!$F:$F,$A374,CaseLedger!$B:$B,"TRUE",CaseLedger!$P:$P,"Zakat"))</x:f>
      </x:c>
      <x:c r="F374" t="str">
        <x:f>IF($A374="","",COUNTIFS(CaseLedger!$F:$F,$A374,CaseLedger!$B:$B,"TRUE",CaseLedger!$P:$P,"Sadaqah"))</x:f>
      </x:c>
      <x:c r="G374" t="str">
        <x:f>IF($A374="","",COUNTIFS(CaseLedger!$F:$F,$A374,CaseLedger!$B:$B,"TRUE",CaseLedger!$P:$P,"Mixed"))</x:f>
      </x:c>
      <x:c r="H374" t="str">
        <x:f>IF($A374="","",COUNTIFS(CaseLedger!$F:$F,$A374,CaseLedger!$B:$B,"TRUE",CaseLedger!$K:$K,"Livelihood"))</x:f>
      </x:c>
      <x:c r="I374" t="str">
        <x:f>IF($A374="","",COUNTIFS(CaseLedger!$F:$F,$A374,CaseLedger!$B:$B,"TRUE",CaseLedger!$K:$K,"Skill Sponsorship"))</x:f>
      </x:c>
      <x:c r="J374" t="str">
        <x:f>IF($A374="","",COUNTIFS(CaseLedger!$F:$F,$A374,CaseLedger!$B:$B,"TRUE",CaseLedger!$K:$K,"Emergency Support"))</x:f>
      </x:c>
      <x:c r="K374" t="str">
        <x:f>IF($A374="","",COUNTIFS(CaseLedger!$F:$F,$A374,CaseLedger!$B:$B,"TRUE",CaseLedger!$K:$K,"Community Support"))</x:f>
      </x:c>
      <x:c r="L374" t="str">
        <x:f>IF($A374="","",SUMIFS(CaseLedger!$M:$M,CaseLedger!$F:$F,$A374,CaseLedger!$B:$B,"TRUE"))</x:f>
      </x:c>
      <x:c r="M374" t="str">
        <x:f>IF($A374="","",SUMIFS(CaseLedger!$N:$N,CaseLedger!$F:$F,$A374,CaseLedger!$B:$B,"TRUE"))</x:f>
      </x:c>
      <x:c r="N374" t="str">
        <x:f>IF($A374="","",0)</x:f>
      </x:c>
      <x:c r="O374" t="str">
        <x:f>IF($A374="","",SUMIFS(CaseLedger!$O:$O,CaseLedger!$F:$F,$A374,CaseLedger!$B:$B,"TRUE"))</x:f>
      </x:c>
      <x:c r="P374" t="str">
        <x:f>IF($A374="","",IFERROR(VLOOKUP($A374,MonthlyFinance!$A:$G,4,FALSE),""))</x:f>
      </x:c>
      <x:c r="Q374" t="str">
        <x:f>IF($A374="","",IFERROR(VLOOKUP($A374,MonthlyFinance!$A:$G,5,FALSE),""))</x:f>
      </x:c>
      <x:c r="R374" t="str">
        <x:f>IF($A374="","",IFERROR(VLOOKUP($A374,MonthlyFinance!$A:$G,6,FALSE),""))</x:f>
      </x:c>
      <x:c r="S374" t="str">
        <x:f>IF($A374="","","Formula-linked from CaseLedger; finance fields from MonthlyFinance.")</x:f>
      </x:c>
      <x:c r="T374" t="str">
        <x:f>IF($A374="","","TRUE")</x:f>
      </x:c>
    </x:row>
    <x:row r="375">
      <x:c r="D375" t="str">
        <x:f>IF($A375="","",COUNTIFS(CaseLedger!$F:$F,$A375,CaseLedger!$B:$B,"TRUE"))</x:f>
      </x:c>
      <x:c r="E375" t="str">
        <x:f>IF($A375="","",COUNTIFS(CaseLedger!$F:$F,$A375,CaseLedger!$B:$B,"TRUE",CaseLedger!$P:$P,"Zakat"))</x:f>
      </x:c>
      <x:c r="F375" t="str">
        <x:f>IF($A375="","",COUNTIFS(CaseLedger!$F:$F,$A375,CaseLedger!$B:$B,"TRUE",CaseLedger!$P:$P,"Sadaqah"))</x:f>
      </x:c>
      <x:c r="G375" t="str">
        <x:f>IF($A375="","",COUNTIFS(CaseLedger!$F:$F,$A375,CaseLedger!$B:$B,"TRUE",CaseLedger!$P:$P,"Mixed"))</x:f>
      </x:c>
      <x:c r="H375" t="str">
        <x:f>IF($A375="","",COUNTIFS(CaseLedger!$F:$F,$A375,CaseLedger!$B:$B,"TRUE",CaseLedger!$K:$K,"Livelihood"))</x:f>
      </x:c>
      <x:c r="I375" t="str">
        <x:f>IF($A375="","",COUNTIFS(CaseLedger!$F:$F,$A375,CaseLedger!$B:$B,"TRUE",CaseLedger!$K:$K,"Skill Sponsorship"))</x:f>
      </x:c>
      <x:c r="J375" t="str">
        <x:f>IF($A375="","",COUNTIFS(CaseLedger!$F:$F,$A375,CaseLedger!$B:$B,"TRUE",CaseLedger!$K:$K,"Emergency Support"))</x:f>
      </x:c>
      <x:c r="K375" t="str">
        <x:f>IF($A375="","",COUNTIFS(CaseLedger!$F:$F,$A375,CaseLedger!$B:$B,"TRUE",CaseLedger!$K:$K,"Community Support"))</x:f>
      </x:c>
      <x:c r="L375" t="str">
        <x:f>IF($A375="","",SUMIFS(CaseLedger!$M:$M,CaseLedger!$F:$F,$A375,CaseLedger!$B:$B,"TRUE"))</x:f>
      </x:c>
      <x:c r="M375" t="str">
        <x:f>IF($A375="","",SUMIFS(CaseLedger!$N:$N,CaseLedger!$F:$F,$A375,CaseLedger!$B:$B,"TRUE"))</x:f>
      </x:c>
      <x:c r="N375" t="str">
        <x:f>IF($A375="","",0)</x:f>
      </x:c>
      <x:c r="O375" t="str">
        <x:f>IF($A375="","",SUMIFS(CaseLedger!$O:$O,CaseLedger!$F:$F,$A375,CaseLedger!$B:$B,"TRUE"))</x:f>
      </x:c>
      <x:c r="P375" t="str">
        <x:f>IF($A375="","",IFERROR(VLOOKUP($A375,MonthlyFinance!$A:$G,4,FALSE),""))</x:f>
      </x:c>
      <x:c r="Q375" t="str">
        <x:f>IF($A375="","",IFERROR(VLOOKUP($A375,MonthlyFinance!$A:$G,5,FALSE),""))</x:f>
      </x:c>
      <x:c r="R375" t="str">
        <x:f>IF($A375="","",IFERROR(VLOOKUP($A375,MonthlyFinance!$A:$G,6,FALSE),""))</x:f>
      </x:c>
      <x:c r="S375" t="str">
        <x:f>IF($A375="","","Formula-linked from CaseLedger; finance fields from MonthlyFinance.")</x:f>
      </x:c>
      <x:c r="T375" t="str">
        <x:f>IF($A375="","","TRUE")</x:f>
      </x:c>
    </x:row>
    <x:row r="376">
      <x:c r="D376" t="str">
        <x:f>IF($A376="","",COUNTIFS(CaseLedger!$F:$F,$A376,CaseLedger!$B:$B,"TRUE"))</x:f>
      </x:c>
      <x:c r="E376" t="str">
        <x:f>IF($A376="","",COUNTIFS(CaseLedger!$F:$F,$A376,CaseLedger!$B:$B,"TRUE",CaseLedger!$P:$P,"Zakat"))</x:f>
      </x:c>
      <x:c r="F376" t="str">
        <x:f>IF($A376="","",COUNTIFS(CaseLedger!$F:$F,$A376,CaseLedger!$B:$B,"TRUE",CaseLedger!$P:$P,"Sadaqah"))</x:f>
      </x:c>
      <x:c r="G376" t="str">
        <x:f>IF($A376="","",COUNTIFS(CaseLedger!$F:$F,$A376,CaseLedger!$B:$B,"TRUE",CaseLedger!$P:$P,"Mixed"))</x:f>
      </x:c>
      <x:c r="H376" t="str">
        <x:f>IF($A376="","",COUNTIFS(CaseLedger!$F:$F,$A376,CaseLedger!$B:$B,"TRUE",CaseLedger!$K:$K,"Livelihood"))</x:f>
      </x:c>
      <x:c r="I376" t="str">
        <x:f>IF($A376="","",COUNTIFS(CaseLedger!$F:$F,$A376,CaseLedger!$B:$B,"TRUE",CaseLedger!$K:$K,"Skill Sponsorship"))</x:f>
      </x:c>
      <x:c r="J376" t="str">
        <x:f>IF($A376="","",COUNTIFS(CaseLedger!$F:$F,$A376,CaseLedger!$B:$B,"TRUE",CaseLedger!$K:$K,"Emergency Support"))</x:f>
      </x:c>
      <x:c r="K376" t="str">
        <x:f>IF($A376="","",COUNTIFS(CaseLedger!$F:$F,$A376,CaseLedger!$B:$B,"TRUE",CaseLedger!$K:$K,"Community Support"))</x:f>
      </x:c>
      <x:c r="L376" t="str">
        <x:f>IF($A376="","",SUMIFS(CaseLedger!$M:$M,CaseLedger!$F:$F,$A376,CaseLedger!$B:$B,"TRUE"))</x:f>
      </x:c>
      <x:c r="M376" t="str">
        <x:f>IF($A376="","",SUMIFS(CaseLedger!$N:$N,CaseLedger!$F:$F,$A376,CaseLedger!$B:$B,"TRUE"))</x:f>
      </x:c>
      <x:c r="N376" t="str">
        <x:f>IF($A376="","",0)</x:f>
      </x:c>
      <x:c r="O376" t="str">
        <x:f>IF($A376="","",SUMIFS(CaseLedger!$O:$O,CaseLedger!$F:$F,$A376,CaseLedger!$B:$B,"TRUE"))</x:f>
      </x:c>
      <x:c r="P376" t="str">
        <x:f>IF($A376="","",IFERROR(VLOOKUP($A376,MonthlyFinance!$A:$G,4,FALSE),""))</x:f>
      </x:c>
      <x:c r="Q376" t="str">
        <x:f>IF($A376="","",IFERROR(VLOOKUP($A376,MonthlyFinance!$A:$G,5,FALSE),""))</x:f>
      </x:c>
      <x:c r="R376" t="str">
        <x:f>IF($A376="","",IFERROR(VLOOKUP($A376,MonthlyFinance!$A:$G,6,FALSE),""))</x:f>
      </x:c>
      <x:c r="S376" t="str">
        <x:f>IF($A376="","","Formula-linked from CaseLedger; finance fields from MonthlyFinance.")</x:f>
      </x:c>
      <x:c r="T376" t="str">
        <x:f>IF($A376="","","TRUE")</x:f>
      </x:c>
    </x:row>
    <x:row r="377">
      <x:c r="D377" t="str">
        <x:f>IF($A377="","",COUNTIFS(CaseLedger!$F:$F,$A377,CaseLedger!$B:$B,"TRUE"))</x:f>
      </x:c>
      <x:c r="E377" t="str">
        <x:f>IF($A377="","",COUNTIFS(CaseLedger!$F:$F,$A377,CaseLedger!$B:$B,"TRUE",CaseLedger!$P:$P,"Zakat"))</x:f>
      </x:c>
      <x:c r="F377" t="str">
        <x:f>IF($A377="","",COUNTIFS(CaseLedger!$F:$F,$A377,CaseLedger!$B:$B,"TRUE",CaseLedger!$P:$P,"Sadaqah"))</x:f>
      </x:c>
      <x:c r="G377" t="str">
        <x:f>IF($A377="","",COUNTIFS(CaseLedger!$F:$F,$A377,CaseLedger!$B:$B,"TRUE",CaseLedger!$P:$P,"Mixed"))</x:f>
      </x:c>
      <x:c r="H377" t="str">
        <x:f>IF($A377="","",COUNTIFS(CaseLedger!$F:$F,$A377,CaseLedger!$B:$B,"TRUE",CaseLedger!$K:$K,"Livelihood"))</x:f>
      </x:c>
      <x:c r="I377" t="str">
        <x:f>IF($A377="","",COUNTIFS(CaseLedger!$F:$F,$A377,CaseLedger!$B:$B,"TRUE",CaseLedger!$K:$K,"Skill Sponsorship"))</x:f>
      </x:c>
      <x:c r="J377" t="str">
        <x:f>IF($A377="","",COUNTIFS(CaseLedger!$F:$F,$A377,CaseLedger!$B:$B,"TRUE",CaseLedger!$K:$K,"Emergency Support"))</x:f>
      </x:c>
      <x:c r="K377" t="str">
        <x:f>IF($A377="","",COUNTIFS(CaseLedger!$F:$F,$A377,CaseLedger!$B:$B,"TRUE",CaseLedger!$K:$K,"Community Support"))</x:f>
      </x:c>
      <x:c r="L377" t="str">
        <x:f>IF($A377="","",SUMIFS(CaseLedger!$M:$M,CaseLedger!$F:$F,$A377,CaseLedger!$B:$B,"TRUE"))</x:f>
      </x:c>
      <x:c r="M377" t="str">
        <x:f>IF($A377="","",SUMIFS(CaseLedger!$N:$N,CaseLedger!$F:$F,$A377,CaseLedger!$B:$B,"TRUE"))</x:f>
      </x:c>
      <x:c r="N377" t="str">
        <x:f>IF($A377="","",0)</x:f>
      </x:c>
      <x:c r="O377" t="str">
        <x:f>IF($A377="","",SUMIFS(CaseLedger!$O:$O,CaseLedger!$F:$F,$A377,CaseLedger!$B:$B,"TRUE"))</x:f>
      </x:c>
      <x:c r="P377" t="str">
        <x:f>IF($A377="","",IFERROR(VLOOKUP($A377,MonthlyFinance!$A:$G,4,FALSE),""))</x:f>
      </x:c>
      <x:c r="Q377" t="str">
        <x:f>IF($A377="","",IFERROR(VLOOKUP($A377,MonthlyFinance!$A:$G,5,FALSE),""))</x:f>
      </x:c>
      <x:c r="R377" t="str">
        <x:f>IF($A377="","",IFERROR(VLOOKUP($A377,MonthlyFinance!$A:$G,6,FALSE),""))</x:f>
      </x:c>
      <x:c r="S377" t="str">
        <x:f>IF($A377="","","Formula-linked from CaseLedger; finance fields from MonthlyFinance.")</x:f>
      </x:c>
      <x:c r="T377" t="str">
        <x:f>IF($A377="","","TRUE")</x:f>
      </x:c>
    </x:row>
    <x:row r="378">
      <x:c r="D378" t="str">
        <x:f>IF($A378="","",COUNTIFS(CaseLedger!$F:$F,$A378,CaseLedger!$B:$B,"TRUE"))</x:f>
      </x:c>
      <x:c r="E378" t="str">
        <x:f>IF($A378="","",COUNTIFS(CaseLedger!$F:$F,$A378,CaseLedger!$B:$B,"TRUE",CaseLedger!$P:$P,"Zakat"))</x:f>
      </x:c>
      <x:c r="F378" t="str">
        <x:f>IF($A378="","",COUNTIFS(CaseLedger!$F:$F,$A378,CaseLedger!$B:$B,"TRUE",CaseLedger!$P:$P,"Sadaqah"))</x:f>
      </x:c>
      <x:c r="G378" t="str">
        <x:f>IF($A378="","",COUNTIFS(CaseLedger!$F:$F,$A378,CaseLedger!$B:$B,"TRUE",CaseLedger!$P:$P,"Mixed"))</x:f>
      </x:c>
      <x:c r="H378" t="str">
        <x:f>IF($A378="","",COUNTIFS(CaseLedger!$F:$F,$A378,CaseLedger!$B:$B,"TRUE",CaseLedger!$K:$K,"Livelihood"))</x:f>
      </x:c>
      <x:c r="I378" t="str">
        <x:f>IF($A378="","",COUNTIFS(CaseLedger!$F:$F,$A378,CaseLedger!$B:$B,"TRUE",CaseLedger!$K:$K,"Skill Sponsorship"))</x:f>
      </x:c>
      <x:c r="J378" t="str">
        <x:f>IF($A378="","",COUNTIFS(CaseLedger!$F:$F,$A378,CaseLedger!$B:$B,"TRUE",CaseLedger!$K:$K,"Emergency Support"))</x:f>
      </x:c>
      <x:c r="K378" t="str">
        <x:f>IF($A378="","",COUNTIFS(CaseLedger!$F:$F,$A378,CaseLedger!$B:$B,"TRUE",CaseLedger!$K:$K,"Community Support"))</x:f>
      </x:c>
      <x:c r="L378" t="str">
        <x:f>IF($A378="","",SUMIFS(CaseLedger!$M:$M,CaseLedger!$F:$F,$A378,CaseLedger!$B:$B,"TRUE"))</x:f>
      </x:c>
      <x:c r="M378" t="str">
        <x:f>IF($A378="","",SUMIFS(CaseLedger!$N:$N,CaseLedger!$F:$F,$A378,CaseLedger!$B:$B,"TRUE"))</x:f>
      </x:c>
      <x:c r="N378" t="str">
        <x:f>IF($A378="","",0)</x:f>
      </x:c>
      <x:c r="O378" t="str">
        <x:f>IF($A378="","",SUMIFS(CaseLedger!$O:$O,CaseLedger!$F:$F,$A378,CaseLedger!$B:$B,"TRUE"))</x:f>
      </x:c>
      <x:c r="P378" t="str">
        <x:f>IF($A378="","",IFERROR(VLOOKUP($A378,MonthlyFinance!$A:$G,4,FALSE),""))</x:f>
      </x:c>
      <x:c r="Q378" t="str">
        <x:f>IF($A378="","",IFERROR(VLOOKUP($A378,MonthlyFinance!$A:$G,5,FALSE),""))</x:f>
      </x:c>
      <x:c r="R378" t="str">
        <x:f>IF($A378="","",IFERROR(VLOOKUP($A378,MonthlyFinance!$A:$G,6,FALSE),""))</x:f>
      </x:c>
      <x:c r="S378" t="str">
        <x:f>IF($A378="","","Formula-linked from CaseLedger; finance fields from MonthlyFinance.")</x:f>
      </x:c>
      <x:c r="T378" t="str">
        <x:f>IF($A378="","","TRUE")</x:f>
      </x:c>
    </x:row>
    <x:row r="379">
      <x:c r="D379" t="str">
        <x:f>IF($A379="","",COUNTIFS(CaseLedger!$F:$F,$A379,CaseLedger!$B:$B,"TRUE"))</x:f>
      </x:c>
      <x:c r="E379" t="str">
        <x:f>IF($A379="","",COUNTIFS(CaseLedger!$F:$F,$A379,CaseLedger!$B:$B,"TRUE",CaseLedger!$P:$P,"Zakat"))</x:f>
      </x:c>
      <x:c r="F379" t="str">
        <x:f>IF($A379="","",COUNTIFS(CaseLedger!$F:$F,$A379,CaseLedger!$B:$B,"TRUE",CaseLedger!$P:$P,"Sadaqah"))</x:f>
      </x:c>
      <x:c r="G379" t="str">
        <x:f>IF($A379="","",COUNTIFS(CaseLedger!$F:$F,$A379,CaseLedger!$B:$B,"TRUE",CaseLedger!$P:$P,"Mixed"))</x:f>
      </x:c>
      <x:c r="H379" t="str">
        <x:f>IF($A379="","",COUNTIFS(CaseLedger!$F:$F,$A379,CaseLedger!$B:$B,"TRUE",CaseLedger!$K:$K,"Livelihood"))</x:f>
      </x:c>
      <x:c r="I379" t="str">
        <x:f>IF($A379="","",COUNTIFS(CaseLedger!$F:$F,$A379,CaseLedger!$B:$B,"TRUE",CaseLedger!$K:$K,"Skill Sponsorship"))</x:f>
      </x:c>
      <x:c r="J379" t="str">
        <x:f>IF($A379="","",COUNTIFS(CaseLedger!$F:$F,$A379,CaseLedger!$B:$B,"TRUE",CaseLedger!$K:$K,"Emergency Support"))</x:f>
      </x:c>
      <x:c r="K379" t="str">
        <x:f>IF($A379="","",COUNTIFS(CaseLedger!$F:$F,$A379,CaseLedger!$B:$B,"TRUE",CaseLedger!$K:$K,"Community Support"))</x:f>
      </x:c>
      <x:c r="L379" t="str">
        <x:f>IF($A379="","",SUMIFS(CaseLedger!$M:$M,CaseLedger!$F:$F,$A379,CaseLedger!$B:$B,"TRUE"))</x:f>
      </x:c>
      <x:c r="M379" t="str">
        <x:f>IF($A379="","",SUMIFS(CaseLedger!$N:$N,CaseLedger!$F:$F,$A379,CaseLedger!$B:$B,"TRUE"))</x:f>
      </x:c>
      <x:c r="N379" t="str">
        <x:f>IF($A379="","",0)</x:f>
      </x:c>
      <x:c r="O379" t="str">
        <x:f>IF($A379="","",SUMIFS(CaseLedger!$O:$O,CaseLedger!$F:$F,$A379,CaseLedger!$B:$B,"TRUE"))</x:f>
      </x:c>
      <x:c r="P379" t="str">
        <x:f>IF($A379="","",IFERROR(VLOOKUP($A379,MonthlyFinance!$A:$G,4,FALSE),""))</x:f>
      </x:c>
      <x:c r="Q379" t="str">
        <x:f>IF($A379="","",IFERROR(VLOOKUP($A379,MonthlyFinance!$A:$G,5,FALSE),""))</x:f>
      </x:c>
      <x:c r="R379" t="str">
        <x:f>IF($A379="","",IFERROR(VLOOKUP($A379,MonthlyFinance!$A:$G,6,FALSE),""))</x:f>
      </x:c>
      <x:c r="S379" t="str">
        <x:f>IF($A379="","","Formula-linked from CaseLedger; finance fields from MonthlyFinance.")</x:f>
      </x:c>
      <x:c r="T379" t="str">
        <x:f>IF($A379="","","TRUE")</x:f>
      </x:c>
    </x:row>
    <x:row r="380">
      <x:c r="D380" t="str">
        <x:f>IF($A380="","",COUNTIFS(CaseLedger!$F:$F,$A380,CaseLedger!$B:$B,"TRUE"))</x:f>
      </x:c>
      <x:c r="E380" t="str">
        <x:f>IF($A380="","",COUNTIFS(CaseLedger!$F:$F,$A380,CaseLedger!$B:$B,"TRUE",CaseLedger!$P:$P,"Zakat"))</x:f>
      </x:c>
      <x:c r="F380" t="str">
        <x:f>IF($A380="","",COUNTIFS(CaseLedger!$F:$F,$A380,CaseLedger!$B:$B,"TRUE",CaseLedger!$P:$P,"Sadaqah"))</x:f>
      </x:c>
      <x:c r="G380" t="str">
        <x:f>IF($A380="","",COUNTIFS(CaseLedger!$F:$F,$A380,CaseLedger!$B:$B,"TRUE",CaseLedger!$P:$P,"Mixed"))</x:f>
      </x:c>
      <x:c r="H380" t="str">
        <x:f>IF($A380="","",COUNTIFS(CaseLedger!$F:$F,$A380,CaseLedger!$B:$B,"TRUE",CaseLedger!$K:$K,"Livelihood"))</x:f>
      </x:c>
      <x:c r="I380" t="str">
        <x:f>IF($A380="","",COUNTIFS(CaseLedger!$F:$F,$A380,CaseLedger!$B:$B,"TRUE",CaseLedger!$K:$K,"Skill Sponsorship"))</x:f>
      </x:c>
      <x:c r="J380" t="str">
        <x:f>IF($A380="","",COUNTIFS(CaseLedger!$F:$F,$A380,CaseLedger!$B:$B,"TRUE",CaseLedger!$K:$K,"Emergency Support"))</x:f>
      </x:c>
      <x:c r="K380" t="str">
        <x:f>IF($A380="","",COUNTIFS(CaseLedger!$F:$F,$A380,CaseLedger!$B:$B,"TRUE",CaseLedger!$K:$K,"Community Support"))</x:f>
      </x:c>
      <x:c r="L380" t="str">
        <x:f>IF($A380="","",SUMIFS(CaseLedger!$M:$M,CaseLedger!$F:$F,$A380,CaseLedger!$B:$B,"TRUE"))</x:f>
      </x:c>
      <x:c r="M380" t="str">
        <x:f>IF($A380="","",SUMIFS(CaseLedger!$N:$N,CaseLedger!$F:$F,$A380,CaseLedger!$B:$B,"TRUE"))</x:f>
      </x:c>
      <x:c r="N380" t="str">
        <x:f>IF($A380="","",0)</x:f>
      </x:c>
      <x:c r="O380" t="str">
        <x:f>IF($A380="","",SUMIFS(CaseLedger!$O:$O,CaseLedger!$F:$F,$A380,CaseLedger!$B:$B,"TRUE"))</x:f>
      </x:c>
      <x:c r="P380" t="str">
        <x:f>IF($A380="","",IFERROR(VLOOKUP($A380,MonthlyFinance!$A:$G,4,FALSE),""))</x:f>
      </x:c>
      <x:c r="Q380" t="str">
        <x:f>IF($A380="","",IFERROR(VLOOKUP($A380,MonthlyFinance!$A:$G,5,FALSE),""))</x:f>
      </x:c>
      <x:c r="R380" t="str">
        <x:f>IF($A380="","",IFERROR(VLOOKUP($A380,MonthlyFinance!$A:$G,6,FALSE),""))</x:f>
      </x:c>
      <x:c r="S380" t="str">
        <x:f>IF($A380="","","Formula-linked from CaseLedger; finance fields from MonthlyFinance.")</x:f>
      </x:c>
      <x:c r="T380" t="str">
        <x:f>IF($A380="","","TRUE")</x:f>
      </x:c>
    </x:row>
    <x:row r="381">
      <x:c r="D381" t="str">
        <x:f>IF($A381="","",COUNTIFS(CaseLedger!$F:$F,$A381,CaseLedger!$B:$B,"TRUE"))</x:f>
      </x:c>
      <x:c r="E381" t="str">
        <x:f>IF($A381="","",COUNTIFS(CaseLedger!$F:$F,$A381,CaseLedger!$B:$B,"TRUE",CaseLedger!$P:$P,"Zakat"))</x:f>
      </x:c>
      <x:c r="F381" t="str">
        <x:f>IF($A381="","",COUNTIFS(CaseLedger!$F:$F,$A381,CaseLedger!$B:$B,"TRUE",CaseLedger!$P:$P,"Sadaqah"))</x:f>
      </x:c>
      <x:c r="G381" t="str">
        <x:f>IF($A381="","",COUNTIFS(CaseLedger!$F:$F,$A381,CaseLedger!$B:$B,"TRUE",CaseLedger!$P:$P,"Mixed"))</x:f>
      </x:c>
      <x:c r="H381" t="str">
        <x:f>IF($A381="","",COUNTIFS(CaseLedger!$F:$F,$A381,CaseLedger!$B:$B,"TRUE",CaseLedger!$K:$K,"Livelihood"))</x:f>
      </x:c>
      <x:c r="I381" t="str">
        <x:f>IF($A381="","",COUNTIFS(CaseLedger!$F:$F,$A381,CaseLedger!$B:$B,"TRUE",CaseLedger!$K:$K,"Skill Sponsorship"))</x:f>
      </x:c>
      <x:c r="J381" t="str">
        <x:f>IF($A381="","",COUNTIFS(CaseLedger!$F:$F,$A381,CaseLedger!$B:$B,"TRUE",CaseLedger!$K:$K,"Emergency Support"))</x:f>
      </x:c>
      <x:c r="K381" t="str">
        <x:f>IF($A381="","",COUNTIFS(CaseLedger!$F:$F,$A381,CaseLedger!$B:$B,"TRUE",CaseLedger!$K:$K,"Community Support"))</x:f>
      </x:c>
      <x:c r="L381" t="str">
        <x:f>IF($A381="","",SUMIFS(CaseLedger!$M:$M,CaseLedger!$F:$F,$A381,CaseLedger!$B:$B,"TRUE"))</x:f>
      </x:c>
      <x:c r="M381" t="str">
        <x:f>IF($A381="","",SUMIFS(CaseLedger!$N:$N,CaseLedger!$F:$F,$A381,CaseLedger!$B:$B,"TRUE"))</x:f>
      </x:c>
      <x:c r="N381" t="str">
        <x:f>IF($A381="","",0)</x:f>
      </x:c>
      <x:c r="O381" t="str">
        <x:f>IF($A381="","",SUMIFS(CaseLedger!$O:$O,CaseLedger!$F:$F,$A381,CaseLedger!$B:$B,"TRUE"))</x:f>
      </x:c>
      <x:c r="P381" t="str">
        <x:f>IF($A381="","",IFERROR(VLOOKUP($A381,MonthlyFinance!$A:$G,4,FALSE),""))</x:f>
      </x:c>
      <x:c r="Q381" t="str">
        <x:f>IF($A381="","",IFERROR(VLOOKUP($A381,MonthlyFinance!$A:$G,5,FALSE),""))</x:f>
      </x:c>
      <x:c r="R381" t="str">
        <x:f>IF($A381="","",IFERROR(VLOOKUP($A381,MonthlyFinance!$A:$G,6,FALSE),""))</x:f>
      </x:c>
      <x:c r="S381" t="str">
        <x:f>IF($A381="","","Formula-linked from CaseLedger; finance fields from MonthlyFinance.")</x:f>
      </x:c>
      <x:c r="T381" t="str">
        <x:f>IF($A381="","","TRUE")</x:f>
      </x:c>
    </x:row>
    <x:row r="382">
      <x:c r="D382" t="str">
        <x:f>IF($A382="","",COUNTIFS(CaseLedger!$F:$F,$A382,CaseLedger!$B:$B,"TRUE"))</x:f>
      </x:c>
      <x:c r="E382" t="str">
        <x:f>IF($A382="","",COUNTIFS(CaseLedger!$F:$F,$A382,CaseLedger!$B:$B,"TRUE",CaseLedger!$P:$P,"Zakat"))</x:f>
      </x:c>
      <x:c r="F382" t="str">
        <x:f>IF($A382="","",COUNTIFS(CaseLedger!$F:$F,$A382,CaseLedger!$B:$B,"TRUE",CaseLedger!$P:$P,"Sadaqah"))</x:f>
      </x:c>
      <x:c r="G382" t="str">
        <x:f>IF($A382="","",COUNTIFS(CaseLedger!$F:$F,$A382,CaseLedger!$B:$B,"TRUE",CaseLedger!$P:$P,"Mixed"))</x:f>
      </x:c>
      <x:c r="H382" t="str">
        <x:f>IF($A382="","",COUNTIFS(CaseLedger!$F:$F,$A382,CaseLedger!$B:$B,"TRUE",CaseLedger!$K:$K,"Livelihood"))</x:f>
      </x:c>
      <x:c r="I382" t="str">
        <x:f>IF($A382="","",COUNTIFS(CaseLedger!$F:$F,$A382,CaseLedger!$B:$B,"TRUE",CaseLedger!$K:$K,"Skill Sponsorship"))</x:f>
      </x:c>
      <x:c r="J382" t="str">
        <x:f>IF($A382="","",COUNTIFS(CaseLedger!$F:$F,$A382,CaseLedger!$B:$B,"TRUE",CaseLedger!$K:$K,"Emergency Support"))</x:f>
      </x:c>
      <x:c r="K382" t="str">
        <x:f>IF($A382="","",COUNTIFS(CaseLedger!$F:$F,$A382,CaseLedger!$B:$B,"TRUE",CaseLedger!$K:$K,"Community Support"))</x:f>
      </x:c>
      <x:c r="L382" t="str">
        <x:f>IF($A382="","",SUMIFS(CaseLedger!$M:$M,CaseLedger!$F:$F,$A382,CaseLedger!$B:$B,"TRUE"))</x:f>
      </x:c>
      <x:c r="M382" t="str">
        <x:f>IF($A382="","",SUMIFS(CaseLedger!$N:$N,CaseLedger!$F:$F,$A382,CaseLedger!$B:$B,"TRUE"))</x:f>
      </x:c>
      <x:c r="N382" t="str">
        <x:f>IF($A382="","",0)</x:f>
      </x:c>
      <x:c r="O382" t="str">
        <x:f>IF($A382="","",SUMIFS(CaseLedger!$O:$O,CaseLedger!$F:$F,$A382,CaseLedger!$B:$B,"TRUE"))</x:f>
      </x:c>
      <x:c r="P382" t="str">
        <x:f>IF($A382="","",IFERROR(VLOOKUP($A382,MonthlyFinance!$A:$G,4,FALSE),""))</x:f>
      </x:c>
      <x:c r="Q382" t="str">
        <x:f>IF($A382="","",IFERROR(VLOOKUP($A382,MonthlyFinance!$A:$G,5,FALSE),""))</x:f>
      </x:c>
      <x:c r="R382" t="str">
        <x:f>IF($A382="","",IFERROR(VLOOKUP($A382,MonthlyFinance!$A:$G,6,FALSE),""))</x:f>
      </x:c>
      <x:c r="S382" t="str">
        <x:f>IF($A382="","","Formula-linked from CaseLedger; finance fields from MonthlyFinance.")</x:f>
      </x:c>
      <x:c r="T382" t="str">
        <x:f>IF($A382="","","TRUE")</x:f>
      </x:c>
    </x:row>
    <x:row r="383">
      <x:c r="D383" t="str">
        <x:f>IF($A383="","",COUNTIFS(CaseLedger!$F:$F,$A383,CaseLedger!$B:$B,"TRUE"))</x:f>
      </x:c>
      <x:c r="E383" t="str">
        <x:f>IF($A383="","",COUNTIFS(CaseLedger!$F:$F,$A383,CaseLedger!$B:$B,"TRUE",CaseLedger!$P:$P,"Zakat"))</x:f>
      </x:c>
      <x:c r="F383" t="str">
        <x:f>IF($A383="","",COUNTIFS(CaseLedger!$F:$F,$A383,CaseLedger!$B:$B,"TRUE",CaseLedger!$P:$P,"Sadaqah"))</x:f>
      </x:c>
      <x:c r="G383" t="str">
        <x:f>IF($A383="","",COUNTIFS(CaseLedger!$F:$F,$A383,CaseLedger!$B:$B,"TRUE",CaseLedger!$P:$P,"Mixed"))</x:f>
      </x:c>
      <x:c r="H383" t="str">
        <x:f>IF($A383="","",COUNTIFS(CaseLedger!$F:$F,$A383,CaseLedger!$B:$B,"TRUE",CaseLedger!$K:$K,"Livelihood"))</x:f>
      </x:c>
      <x:c r="I383" t="str">
        <x:f>IF($A383="","",COUNTIFS(CaseLedger!$F:$F,$A383,CaseLedger!$B:$B,"TRUE",CaseLedger!$K:$K,"Skill Sponsorship"))</x:f>
      </x:c>
      <x:c r="J383" t="str">
        <x:f>IF($A383="","",COUNTIFS(CaseLedger!$F:$F,$A383,CaseLedger!$B:$B,"TRUE",CaseLedger!$K:$K,"Emergency Support"))</x:f>
      </x:c>
      <x:c r="K383" t="str">
        <x:f>IF($A383="","",COUNTIFS(CaseLedger!$F:$F,$A383,CaseLedger!$B:$B,"TRUE",CaseLedger!$K:$K,"Community Support"))</x:f>
      </x:c>
      <x:c r="L383" t="str">
        <x:f>IF($A383="","",SUMIFS(CaseLedger!$M:$M,CaseLedger!$F:$F,$A383,CaseLedger!$B:$B,"TRUE"))</x:f>
      </x:c>
      <x:c r="M383" t="str">
        <x:f>IF($A383="","",SUMIFS(CaseLedger!$N:$N,CaseLedger!$F:$F,$A383,CaseLedger!$B:$B,"TRUE"))</x:f>
      </x:c>
      <x:c r="N383" t="str">
        <x:f>IF($A383="","",0)</x:f>
      </x:c>
      <x:c r="O383" t="str">
        <x:f>IF($A383="","",SUMIFS(CaseLedger!$O:$O,CaseLedger!$F:$F,$A383,CaseLedger!$B:$B,"TRUE"))</x:f>
      </x:c>
      <x:c r="P383" t="str">
        <x:f>IF($A383="","",IFERROR(VLOOKUP($A383,MonthlyFinance!$A:$G,4,FALSE),""))</x:f>
      </x:c>
      <x:c r="Q383" t="str">
        <x:f>IF($A383="","",IFERROR(VLOOKUP($A383,MonthlyFinance!$A:$G,5,FALSE),""))</x:f>
      </x:c>
      <x:c r="R383" t="str">
        <x:f>IF($A383="","",IFERROR(VLOOKUP($A383,MonthlyFinance!$A:$G,6,FALSE),""))</x:f>
      </x:c>
      <x:c r="S383" t="str">
        <x:f>IF($A383="","","Formula-linked from CaseLedger; finance fields from MonthlyFinance.")</x:f>
      </x:c>
      <x:c r="T383" t="str">
        <x:f>IF($A383="","","TRUE")</x:f>
      </x:c>
    </x:row>
    <x:row r="384">
      <x:c r="D384" t="str">
        <x:f>IF($A384="","",COUNTIFS(CaseLedger!$F:$F,$A384,CaseLedger!$B:$B,"TRUE"))</x:f>
      </x:c>
      <x:c r="E384" t="str">
        <x:f>IF($A384="","",COUNTIFS(CaseLedger!$F:$F,$A384,CaseLedger!$B:$B,"TRUE",CaseLedger!$P:$P,"Zakat"))</x:f>
      </x:c>
      <x:c r="F384" t="str">
        <x:f>IF($A384="","",COUNTIFS(CaseLedger!$F:$F,$A384,CaseLedger!$B:$B,"TRUE",CaseLedger!$P:$P,"Sadaqah"))</x:f>
      </x:c>
      <x:c r="G384" t="str">
        <x:f>IF($A384="","",COUNTIFS(CaseLedger!$F:$F,$A384,CaseLedger!$B:$B,"TRUE",CaseLedger!$P:$P,"Mixed"))</x:f>
      </x:c>
      <x:c r="H384" t="str">
        <x:f>IF($A384="","",COUNTIFS(CaseLedger!$F:$F,$A384,CaseLedger!$B:$B,"TRUE",CaseLedger!$K:$K,"Livelihood"))</x:f>
      </x:c>
      <x:c r="I384" t="str">
        <x:f>IF($A384="","",COUNTIFS(CaseLedger!$F:$F,$A384,CaseLedger!$B:$B,"TRUE",CaseLedger!$K:$K,"Skill Sponsorship"))</x:f>
      </x:c>
      <x:c r="J384" t="str">
        <x:f>IF($A384="","",COUNTIFS(CaseLedger!$F:$F,$A384,CaseLedger!$B:$B,"TRUE",CaseLedger!$K:$K,"Emergency Support"))</x:f>
      </x:c>
      <x:c r="K384" t="str">
        <x:f>IF($A384="","",COUNTIFS(CaseLedger!$F:$F,$A384,CaseLedger!$B:$B,"TRUE",CaseLedger!$K:$K,"Community Support"))</x:f>
      </x:c>
      <x:c r="L384" t="str">
        <x:f>IF($A384="","",SUMIFS(CaseLedger!$M:$M,CaseLedger!$F:$F,$A384,CaseLedger!$B:$B,"TRUE"))</x:f>
      </x:c>
      <x:c r="M384" t="str">
        <x:f>IF($A384="","",SUMIFS(CaseLedger!$N:$N,CaseLedger!$F:$F,$A384,CaseLedger!$B:$B,"TRUE"))</x:f>
      </x:c>
      <x:c r="N384" t="str">
        <x:f>IF($A384="","",0)</x:f>
      </x:c>
      <x:c r="O384" t="str">
        <x:f>IF($A384="","",SUMIFS(CaseLedger!$O:$O,CaseLedger!$F:$F,$A384,CaseLedger!$B:$B,"TRUE"))</x:f>
      </x:c>
      <x:c r="P384" t="str">
        <x:f>IF($A384="","",IFERROR(VLOOKUP($A384,MonthlyFinance!$A:$G,4,FALSE),""))</x:f>
      </x:c>
      <x:c r="Q384" t="str">
        <x:f>IF($A384="","",IFERROR(VLOOKUP($A384,MonthlyFinance!$A:$G,5,FALSE),""))</x:f>
      </x:c>
      <x:c r="R384" t="str">
        <x:f>IF($A384="","",IFERROR(VLOOKUP($A384,MonthlyFinance!$A:$G,6,FALSE),""))</x:f>
      </x:c>
      <x:c r="S384" t="str">
        <x:f>IF($A384="","","Formula-linked from CaseLedger; finance fields from MonthlyFinance.")</x:f>
      </x:c>
      <x:c r="T384" t="str">
        <x:f>IF($A384="","","TRUE")</x:f>
      </x:c>
    </x:row>
    <x:row r="385">
      <x:c r="D385" t="str">
        <x:f>IF($A385="","",COUNTIFS(CaseLedger!$F:$F,$A385,CaseLedger!$B:$B,"TRUE"))</x:f>
      </x:c>
      <x:c r="E385" t="str">
        <x:f>IF($A385="","",COUNTIFS(CaseLedger!$F:$F,$A385,CaseLedger!$B:$B,"TRUE",CaseLedger!$P:$P,"Zakat"))</x:f>
      </x:c>
      <x:c r="F385" t="str">
        <x:f>IF($A385="","",COUNTIFS(CaseLedger!$F:$F,$A385,CaseLedger!$B:$B,"TRUE",CaseLedger!$P:$P,"Sadaqah"))</x:f>
      </x:c>
      <x:c r="G385" t="str">
        <x:f>IF($A385="","",COUNTIFS(CaseLedger!$F:$F,$A385,CaseLedger!$B:$B,"TRUE",CaseLedger!$P:$P,"Mixed"))</x:f>
      </x:c>
      <x:c r="H385" t="str">
        <x:f>IF($A385="","",COUNTIFS(CaseLedger!$F:$F,$A385,CaseLedger!$B:$B,"TRUE",CaseLedger!$K:$K,"Livelihood"))</x:f>
      </x:c>
      <x:c r="I385" t="str">
        <x:f>IF($A385="","",COUNTIFS(CaseLedger!$F:$F,$A385,CaseLedger!$B:$B,"TRUE",CaseLedger!$K:$K,"Skill Sponsorship"))</x:f>
      </x:c>
      <x:c r="J385" t="str">
        <x:f>IF($A385="","",COUNTIFS(CaseLedger!$F:$F,$A385,CaseLedger!$B:$B,"TRUE",CaseLedger!$K:$K,"Emergency Support"))</x:f>
      </x:c>
      <x:c r="K385" t="str">
        <x:f>IF($A385="","",COUNTIFS(CaseLedger!$F:$F,$A385,CaseLedger!$B:$B,"TRUE",CaseLedger!$K:$K,"Community Support"))</x:f>
      </x:c>
      <x:c r="L385" t="str">
        <x:f>IF($A385="","",SUMIFS(CaseLedger!$M:$M,CaseLedger!$F:$F,$A385,CaseLedger!$B:$B,"TRUE"))</x:f>
      </x:c>
      <x:c r="M385" t="str">
        <x:f>IF($A385="","",SUMIFS(CaseLedger!$N:$N,CaseLedger!$F:$F,$A385,CaseLedger!$B:$B,"TRUE"))</x:f>
      </x:c>
      <x:c r="N385" t="str">
        <x:f>IF($A385="","",0)</x:f>
      </x:c>
      <x:c r="O385" t="str">
        <x:f>IF($A385="","",SUMIFS(CaseLedger!$O:$O,CaseLedger!$F:$F,$A385,CaseLedger!$B:$B,"TRUE"))</x:f>
      </x:c>
      <x:c r="P385" t="str">
        <x:f>IF($A385="","",IFERROR(VLOOKUP($A385,MonthlyFinance!$A:$G,4,FALSE),""))</x:f>
      </x:c>
      <x:c r="Q385" t="str">
        <x:f>IF($A385="","",IFERROR(VLOOKUP($A385,MonthlyFinance!$A:$G,5,FALSE),""))</x:f>
      </x:c>
      <x:c r="R385" t="str">
        <x:f>IF($A385="","",IFERROR(VLOOKUP($A385,MonthlyFinance!$A:$G,6,FALSE),""))</x:f>
      </x:c>
      <x:c r="S385" t="str">
        <x:f>IF($A385="","","Formula-linked from CaseLedger; finance fields from MonthlyFinance.")</x:f>
      </x:c>
      <x:c r="T385" t="str">
        <x:f>IF($A385="","","TRUE")</x:f>
      </x:c>
    </x:row>
    <x:row r="386">
      <x:c r="D386" t="str">
        <x:f>IF($A386="","",COUNTIFS(CaseLedger!$F:$F,$A386,CaseLedger!$B:$B,"TRUE"))</x:f>
      </x:c>
      <x:c r="E386" t="str">
        <x:f>IF($A386="","",COUNTIFS(CaseLedger!$F:$F,$A386,CaseLedger!$B:$B,"TRUE",CaseLedger!$P:$P,"Zakat"))</x:f>
      </x:c>
      <x:c r="F386" t="str">
        <x:f>IF($A386="","",COUNTIFS(CaseLedger!$F:$F,$A386,CaseLedger!$B:$B,"TRUE",CaseLedger!$P:$P,"Sadaqah"))</x:f>
      </x:c>
      <x:c r="G386" t="str">
        <x:f>IF($A386="","",COUNTIFS(CaseLedger!$F:$F,$A386,CaseLedger!$B:$B,"TRUE",CaseLedger!$P:$P,"Mixed"))</x:f>
      </x:c>
      <x:c r="H386" t="str">
        <x:f>IF($A386="","",COUNTIFS(CaseLedger!$F:$F,$A386,CaseLedger!$B:$B,"TRUE",CaseLedger!$K:$K,"Livelihood"))</x:f>
      </x:c>
      <x:c r="I386" t="str">
        <x:f>IF($A386="","",COUNTIFS(CaseLedger!$F:$F,$A386,CaseLedger!$B:$B,"TRUE",CaseLedger!$K:$K,"Skill Sponsorship"))</x:f>
      </x:c>
      <x:c r="J386" t="str">
        <x:f>IF($A386="","",COUNTIFS(CaseLedger!$F:$F,$A386,CaseLedger!$B:$B,"TRUE",CaseLedger!$K:$K,"Emergency Support"))</x:f>
      </x:c>
      <x:c r="K386" t="str">
        <x:f>IF($A386="","",COUNTIFS(CaseLedger!$F:$F,$A386,CaseLedger!$B:$B,"TRUE",CaseLedger!$K:$K,"Community Support"))</x:f>
      </x:c>
      <x:c r="L386" t="str">
        <x:f>IF($A386="","",SUMIFS(CaseLedger!$M:$M,CaseLedger!$F:$F,$A386,CaseLedger!$B:$B,"TRUE"))</x:f>
      </x:c>
      <x:c r="M386" t="str">
        <x:f>IF($A386="","",SUMIFS(CaseLedger!$N:$N,CaseLedger!$F:$F,$A386,CaseLedger!$B:$B,"TRUE"))</x:f>
      </x:c>
      <x:c r="N386" t="str">
        <x:f>IF($A386="","",0)</x:f>
      </x:c>
      <x:c r="O386" t="str">
        <x:f>IF($A386="","",SUMIFS(CaseLedger!$O:$O,CaseLedger!$F:$F,$A386,CaseLedger!$B:$B,"TRUE"))</x:f>
      </x:c>
      <x:c r="P386" t="str">
        <x:f>IF($A386="","",IFERROR(VLOOKUP($A386,MonthlyFinance!$A:$G,4,FALSE),""))</x:f>
      </x:c>
      <x:c r="Q386" t="str">
        <x:f>IF($A386="","",IFERROR(VLOOKUP($A386,MonthlyFinance!$A:$G,5,FALSE),""))</x:f>
      </x:c>
      <x:c r="R386" t="str">
        <x:f>IF($A386="","",IFERROR(VLOOKUP($A386,MonthlyFinance!$A:$G,6,FALSE),""))</x:f>
      </x:c>
      <x:c r="S386" t="str">
        <x:f>IF($A386="","","Formula-linked from CaseLedger; finance fields from MonthlyFinance.")</x:f>
      </x:c>
      <x:c r="T386" t="str">
        <x:f>IF($A386="","","TRUE")</x:f>
      </x:c>
    </x:row>
    <x:row r="387">
      <x:c r="D387" t="str">
        <x:f>IF($A387="","",COUNTIFS(CaseLedger!$F:$F,$A387,CaseLedger!$B:$B,"TRUE"))</x:f>
      </x:c>
      <x:c r="E387" t="str">
        <x:f>IF($A387="","",COUNTIFS(CaseLedger!$F:$F,$A387,CaseLedger!$B:$B,"TRUE",CaseLedger!$P:$P,"Zakat"))</x:f>
      </x:c>
      <x:c r="F387" t="str">
        <x:f>IF($A387="","",COUNTIFS(CaseLedger!$F:$F,$A387,CaseLedger!$B:$B,"TRUE",CaseLedger!$P:$P,"Sadaqah"))</x:f>
      </x:c>
      <x:c r="G387" t="str">
        <x:f>IF($A387="","",COUNTIFS(CaseLedger!$F:$F,$A387,CaseLedger!$B:$B,"TRUE",CaseLedger!$P:$P,"Mixed"))</x:f>
      </x:c>
      <x:c r="H387" t="str">
        <x:f>IF($A387="","",COUNTIFS(CaseLedger!$F:$F,$A387,CaseLedger!$B:$B,"TRUE",CaseLedger!$K:$K,"Livelihood"))</x:f>
      </x:c>
      <x:c r="I387" t="str">
        <x:f>IF($A387="","",COUNTIFS(CaseLedger!$F:$F,$A387,CaseLedger!$B:$B,"TRUE",CaseLedger!$K:$K,"Skill Sponsorship"))</x:f>
      </x:c>
      <x:c r="J387" t="str">
        <x:f>IF($A387="","",COUNTIFS(CaseLedger!$F:$F,$A387,CaseLedger!$B:$B,"TRUE",CaseLedger!$K:$K,"Emergency Support"))</x:f>
      </x:c>
      <x:c r="K387" t="str">
        <x:f>IF($A387="","",COUNTIFS(CaseLedger!$F:$F,$A387,CaseLedger!$B:$B,"TRUE",CaseLedger!$K:$K,"Community Support"))</x:f>
      </x:c>
      <x:c r="L387" t="str">
        <x:f>IF($A387="","",SUMIFS(CaseLedger!$M:$M,CaseLedger!$F:$F,$A387,CaseLedger!$B:$B,"TRUE"))</x:f>
      </x:c>
      <x:c r="M387" t="str">
        <x:f>IF($A387="","",SUMIFS(CaseLedger!$N:$N,CaseLedger!$F:$F,$A387,CaseLedger!$B:$B,"TRUE"))</x:f>
      </x:c>
      <x:c r="N387" t="str">
        <x:f>IF($A387="","",0)</x:f>
      </x:c>
      <x:c r="O387" t="str">
        <x:f>IF($A387="","",SUMIFS(CaseLedger!$O:$O,CaseLedger!$F:$F,$A387,CaseLedger!$B:$B,"TRUE"))</x:f>
      </x:c>
      <x:c r="P387" t="str">
        <x:f>IF($A387="","",IFERROR(VLOOKUP($A387,MonthlyFinance!$A:$G,4,FALSE),""))</x:f>
      </x:c>
      <x:c r="Q387" t="str">
        <x:f>IF($A387="","",IFERROR(VLOOKUP($A387,MonthlyFinance!$A:$G,5,FALSE),""))</x:f>
      </x:c>
      <x:c r="R387" t="str">
        <x:f>IF($A387="","",IFERROR(VLOOKUP($A387,MonthlyFinance!$A:$G,6,FALSE),""))</x:f>
      </x:c>
      <x:c r="S387" t="str">
        <x:f>IF($A387="","","Formula-linked from CaseLedger; finance fields from MonthlyFinance.")</x:f>
      </x:c>
      <x:c r="T387" t="str">
        <x:f>IF($A387="","","TRUE")</x:f>
      </x:c>
    </x:row>
    <x:row r="388">
      <x:c r="D388" t="str">
        <x:f>IF($A388="","",COUNTIFS(CaseLedger!$F:$F,$A388,CaseLedger!$B:$B,"TRUE"))</x:f>
      </x:c>
      <x:c r="E388" t="str">
        <x:f>IF($A388="","",COUNTIFS(CaseLedger!$F:$F,$A388,CaseLedger!$B:$B,"TRUE",CaseLedger!$P:$P,"Zakat"))</x:f>
      </x:c>
      <x:c r="F388" t="str">
        <x:f>IF($A388="","",COUNTIFS(CaseLedger!$F:$F,$A388,CaseLedger!$B:$B,"TRUE",CaseLedger!$P:$P,"Sadaqah"))</x:f>
      </x:c>
      <x:c r="G388" t="str">
        <x:f>IF($A388="","",COUNTIFS(CaseLedger!$F:$F,$A388,CaseLedger!$B:$B,"TRUE",CaseLedger!$P:$P,"Mixed"))</x:f>
      </x:c>
      <x:c r="H388" t="str">
        <x:f>IF($A388="","",COUNTIFS(CaseLedger!$F:$F,$A388,CaseLedger!$B:$B,"TRUE",CaseLedger!$K:$K,"Livelihood"))</x:f>
      </x:c>
      <x:c r="I388" t="str">
        <x:f>IF($A388="","",COUNTIFS(CaseLedger!$F:$F,$A388,CaseLedger!$B:$B,"TRUE",CaseLedger!$K:$K,"Skill Sponsorship"))</x:f>
      </x:c>
      <x:c r="J388" t="str">
        <x:f>IF($A388="","",COUNTIFS(CaseLedger!$F:$F,$A388,CaseLedger!$B:$B,"TRUE",CaseLedger!$K:$K,"Emergency Support"))</x:f>
      </x:c>
      <x:c r="K388" t="str">
        <x:f>IF($A388="","",COUNTIFS(CaseLedger!$F:$F,$A388,CaseLedger!$B:$B,"TRUE",CaseLedger!$K:$K,"Community Support"))</x:f>
      </x:c>
      <x:c r="L388" t="str">
        <x:f>IF($A388="","",SUMIFS(CaseLedger!$M:$M,CaseLedger!$F:$F,$A388,CaseLedger!$B:$B,"TRUE"))</x:f>
      </x:c>
      <x:c r="M388" t="str">
        <x:f>IF($A388="","",SUMIFS(CaseLedger!$N:$N,CaseLedger!$F:$F,$A388,CaseLedger!$B:$B,"TRUE"))</x:f>
      </x:c>
      <x:c r="N388" t="str">
        <x:f>IF($A388="","",0)</x:f>
      </x:c>
      <x:c r="O388" t="str">
        <x:f>IF($A388="","",SUMIFS(CaseLedger!$O:$O,CaseLedger!$F:$F,$A388,CaseLedger!$B:$B,"TRUE"))</x:f>
      </x:c>
      <x:c r="P388" t="str">
        <x:f>IF($A388="","",IFERROR(VLOOKUP($A388,MonthlyFinance!$A:$G,4,FALSE),""))</x:f>
      </x:c>
      <x:c r="Q388" t="str">
        <x:f>IF($A388="","",IFERROR(VLOOKUP($A388,MonthlyFinance!$A:$G,5,FALSE),""))</x:f>
      </x:c>
      <x:c r="R388" t="str">
        <x:f>IF($A388="","",IFERROR(VLOOKUP($A388,MonthlyFinance!$A:$G,6,FALSE),""))</x:f>
      </x:c>
      <x:c r="S388" t="str">
        <x:f>IF($A388="","","Formula-linked from CaseLedger; finance fields from MonthlyFinance.")</x:f>
      </x:c>
      <x:c r="T388" t="str">
        <x:f>IF($A388="","","TRUE")</x:f>
      </x:c>
    </x:row>
    <x:row r="389">
      <x:c r="D389" t="str">
        <x:f>IF($A389="","",COUNTIFS(CaseLedger!$F:$F,$A389,CaseLedger!$B:$B,"TRUE"))</x:f>
      </x:c>
      <x:c r="E389" t="str">
        <x:f>IF($A389="","",COUNTIFS(CaseLedger!$F:$F,$A389,CaseLedger!$B:$B,"TRUE",CaseLedger!$P:$P,"Zakat"))</x:f>
      </x:c>
      <x:c r="F389" t="str">
        <x:f>IF($A389="","",COUNTIFS(CaseLedger!$F:$F,$A389,CaseLedger!$B:$B,"TRUE",CaseLedger!$P:$P,"Sadaqah"))</x:f>
      </x:c>
      <x:c r="G389" t="str">
        <x:f>IF($A389="","",COUNTIFS(CaseLedger!$F:$F,$A389,CaseLedger!$B:$B,"TRUE",CaseLedger!$P:$P,"Mixed"))</x:f>
      </x:c>
      <x:c r="H389" t="str">
        <x:f>IF($A389="","",COUNTIFS(CaseLedger!$F:$F,$A389,CaseLedger!$B:$B,"TRUE",CaseLedger!$K:$K,"Livelihood"))</x:f>
      </x:c>
      <x:c r="I389" t="str">
        <x:f>IF($A389="","",COUNTIFS(CaseLedger!$F:$F,$A389,CaseLedger!$B:$B,"TRUE",CaseLedger!$K:$K,"Skill Sponsorship"))</x:f>
      </x:c>
      <x:c r="J389" t="str">
        <x:f>IF($A389="","",COUNTIFS(CaseLedger!$F:$F,$A389,CaseLedger!$B:$B,"TRUE",CaseLedger!$K:$K,"Emergency Support"))</x:f>
      </x:c>
      <x:c r="K389" t="str">
        <x:f>IF($A389="","",COUNTIFS(CaseLedger!$F:$F,$A389,CaseLedger!$B:$B,"TRUE",CaseLedger!$K:$K,"Community Support"))</x:f>
      </x:c>
      <x:c r="L389" t="str">
        <x:f>IF($A389="","",SUMIFS(CaseLedger!$M:$M,CaseLedger!$F:$F,$A389,CaseLedger!$B:$B,"TRUE"))</x:f>
      </x:c>
      <x:c r="M389" t="str">
        <x:f>IF($A389="","",SUMIFS(CaseLedger!$N:$N,CaseLedger!$F:$F,$A389,CaseLedger!$B:$B,"TRUE"))</x:f>
      </x:c>
      <x:c r="N389" t="str">
        <x:f>IF($A389="","",0)</x:f>
      </x:c>
      <x:c r="O389" t="str">
        <x:f>IF($A389="","",SUMIFS(CaseLedger!$O:$O,CaseLedger!$F:$F,$A389,CaseLedger!$B:$B,"TRUE"))</x:f>
      </x:c>
      <x:c r="P389" t="str">
        <x:f>IF($A389="","",IFERROR(VLOOKUP($A389,MonthlyFinance!$A:$G,4,FALSE),""))</x:f>
      </x:c>
      <x:c r="Q389" t="str">
        <x:f>IF($A389="","",IFERROR(VLOOKUP($A389,MonthlyFinance!$A:$G,5,FALSE),""))</x:f>
      </x:c>
      <x:c r="R389" t="str">
        <x:f>IF($A389="","",IFERROR(VLOOKUP($A389,MonthlyFinance!$A:$G,6,FALSE),""))</x:f>
      </x:c>
      <x:c r="S389" t="str">
        <x:f>IF($A389="","","Formula-linked from CaseLedger; finance fields from MonthlyFinance.")</x:f>
      </x:c>
      <x:c r="T389" t="str">
        <x:f>IF($A389="","","TRUE")</x:f>
      </x:c>
    </x:row>
    <x:row r="390">
      <x:c r="D390" t="str">
        <x:f>IF($A390="","",COUNTIFS(CaseLedger!$F:$F,$A390,CaseLedger!$B:$B,"TRUE"))</x:f>
      </x:c>
      <x:c r="E390" t="str">
        <x:f>IF($A390="","",COUNTIFS(CaseLedger!$F:$F,$A390,CaseLedger!$B:$B,"TRUE",CaseLedger!$P:$P,"Zakat"))</x:f>
      </x:c>
      <x:c r="F390" t="str">
        <x:f>IF($A390="","",COUNTIFS(CaseLedger!$F:$F,$A390,CaseLedger!$B:$B,"TRUE",CaseLedger!$P:$P,"Sadaqah"))</x:f>
      </x:c>
      <x:c r="G390" t="str">
        <x:f>IF($A390="","",COUNTIFS(CaseLedger!$F:$F,$A390,CaseLedger!$B:$B,"TRUE",CaseLedger!$P:$P,"Mixed"))</x:f>
      </x:c>
      <x:c r="H390" t="str">
        <x:f>IF($A390="","",COUNTIFS(CaseLedger!$F:$F,$A390,CaseLedger!$B:$B,"TRUE",CaseLedger!$K:$K,"Livelihood"))</x:f>
      </x:c>
      <x:c r="I390" t="str">
        <x:f>IF($A390="","",COUNTIFS(CaseLedger!$F:$F,$A390,CaseLedger!$B:$B,"TRUE",CaseLedger!$K:$K,"Skill Sponsorship"))</x:f>
      </x:c>
      <x:c r="J390" t="str">
        <x:f>IF($A390="","",COUNTIFS(CaseLedger!$F:$F,$A390,CaseLedger!$B:$B,"TRUE",CaseLedger!$K:$K,"Emergency Support"))</x:f>
      </x:c>
      <x:c r="K390" t="str">
        <x:f>IF($A390="","",COUNTIFS(CaseLedger!$F:$F,$A390,CaseLedger!$B:$B,"TRUE",CaseLedger!$K:$K,"Community Support"))</x:f>
      </x:c>
      <x:c r="L390" t="str">
        <x:f>IF($A390="","",SUMIFS(CaseLedger!$M:$M,CaseLedger!$F:$F,$A390,CaseLedger!$B:$B,"TRUE"))</x:f>
      </x:c>
      <x:c r="M390" t="str">
        <x:f>IF($A390="","",SUMIFS(CaseLedger!$N:$N,CaseLedger!$F:$F,$A390,CaseLedger!$B:$B,"TRUE"))</x:f>
      </x:c>
      <x:c r="N390" t="str">
        <x:f>IF($A390="","",0)</x:f>
      </x:c>
      <x:c r="O390" t="str">
        <x:f>IF($A390="","",SUMIFS(CaseLedger!$O:$O,CaseLedger!$F:$F,$A390,CaseLedger!$B:$B,"TRUE"))</x:f>
      </x:c>
      <x:c r="P390" t="str">
        <x:f>IF($A390="","",IFERROR(VLOOKUP($A390,MonthlyFinance!$A:$G,4,FALSE),""))</x:f>
      </x:c>
      <x:c r="Q390" t="str">
        <x:f>IF($A390="","",IFERROR(VLOOKUP($A390,MonthlyFinance!$A:$G,5,FALSE),""))</x:f>
      </x:c>
      <x:c r="R390" t="str">
        <x:f>IF($A390="","",IFERROR(VLOOKUP($A390,MonthlyFinance!$A:$G,6,FALSE),""))</x:f>
      </x:c>
      <x:c r="S390" t="str">
        <x:f>IF($A390="","","Formula-linked from CaseLedger; finance fields from MonthlyFinance.")</x:f>
      </x:c>
      <x:c r="T390" t="str">
        <x:f>IF($A390="","","TRUE")</x:f>
      </x:c>
    </x:row>
    <x:row r="391">
      <x:c r="D391" t="str">
        <x:f>IF($A391="","",COUNTIFS(CaseLedger!$F:$F,$A391,CaseLedger!$B:$B,"TRUE"))</x:f>
      </x:c>
      <x:c r="E391" t="str">
        <x:f>IF($A391="","",COUNTIFS(CaseLedger!$F:$F,$A391,CaseLedger!$B:$B,"TRUE",CaseLedger!$P:$P,"Zakat"))</x:f>
      </x:c>
      <x:c r="F391" t="str">
        <x:f>IF($A391="","",COUNTIFS(CaseLedger!$F:$F,$A391,CaseLedger!$B:$B,"TRUE",CaseLedger!$P:$P,"Sadaqah"))</x:f>
      </x:c>
      <x:c r="G391" t="str">
        <x:f>IF($A391="","",COUNTIFS(CaseLedger!$F:$F,$A391,CaseLedger!$B:$B,"TRUE",CaseLedger!$P:$P,"Mixed"))</x:f>
      </x:c>
      <x:c r="H391" t="str">
        <x:f>IF($A391="","",COUNTIFS(CaseLedger!$F:$F,$A391,CaseLedger!$B:$B,"TRUE",CaseLedger!$K:$K,"Livelihood"))</x:f>
      </x:c>
      <x:c r="I391" t="str">
        <x:f>IF($A391="","",COUNTIFS(CaseLedger!$F:$F,$A391,CaseLedger!$B:$B,"TRUE",CaseLedger!$K:$K,"Skill Sponsorship"))</x:f>
      </x:c>
      <x:c r="J391" t="str">
        <x:f>IF($A391="","",COUNTIFS(CaseLedger!$F:$F,$A391,CaseLedger!$B:$B,"TRUE",CaseLedger!$K:$K,"Emergency Support"))</x:f>
      </x:c>
      <x:c r="K391" t="str">
        <x:f>IF($A391="","",COUNTIFS(CaseLedger!$F:$F,$A391,CaseLedger!$B:$B,"TRUE",CaseLedger!$K:$K,"Community Support"))</x:f>
      </x:c>
      <x:c r="L391" t="str">
        <x:f>IF($A391="","",SUMIFS(CaseLedger!$M:$M,CaseLedger!$F:$F,$A391,CaseLedger!$B:$B,"TRUE"))</x:f>
      </x:c>
      <x:c r="M391" t="str">
        <x:f>IF($A391="","",SUMIFS(CaseLedger!$N:$N,CaseLedger!$F:$F,$A391,CaseLedger!$B:$B,"TRUE"))</x:f>
      </x:c>
      <x:c r="N391" t="str">
        <x:f>IF($A391="","",0)</x:f>
      </x:c>
      <x:c r="O391" t="str">
        <x:f>IF($A391="","",SUMIFS(CaseLedger!$O:$O,CaseLedger!$F:$F,$A391,CaseLedger!$B:$B,"TRUE"))</x:f>
      </x:c>
      <x:c r="P391" t="str">
        <x:f>IF($A391="","",IFERROR(VLOOKUP($A391,MonthlyFinance!$A:$G,4,FALSE),""))</x:f>
      </x:c>
      <x:c r="Q391" t="str">
        <x:f>IF($A391="","",IFERROR(VLOOKUP($A391,MonthlyFinance!$A:$G,5,FALSE),""))</x:f>
      </x:c>
      <x:c r="R391" t="str">
        <x:f>IF($A391="","",IFERROR(VLOOKUP($A391,MonthlyFinance!$A:$G,6,FALSE),""))</x:f>
      </x:c>
      <x:c r="S391" t="str">
        <x:f>IF($A391="","","Formula-linked from CaseLedger; finance fields from MonthlyFinance.")</x:f>
      </x:c>
      <x:c r="T391" t="str">
        <x:f>IF($A391="","","TRUE")</x:f>
      </x:c>
    </x:row>
    <x:row r="392">
      <x:c r="D392" t="str">
        <x:f>IF($A392="","",COUNTIFS(CaseLedger!$F:$F,$A392,CaseLedger!$B:$B,"TRUE"))</x:f>
      </x:c>
      <x:c r="E392" t="str">
        <x:f>IF($A392="","",COUNTIFS(CaseLedger!$F:$F,$A392,CaseLedger!$B:$B,"TRUE",CaseLedger!$P:$P,"Zakat"))</x:f>
      </x:c>
      <x:c r="F392" t="str">
        <x:f>IF($A392="","",COUNTIFS(CaseLedger!$F:$F,$A392,CaseLedger!$B:$B,"TRUE",CaseLedger!$P:$P,"Sadaqah"))</x:f>
      </x:c>
      <x:c r="G392" t="str">
        <x:f>IF($A392="","",COUNTIFS(CaseLedger!$F:$F,$A392,CaseLedger!$B:$B,"TRUE",CaseLedger!$P:$P,"Mixed"))</x:f>
      </x:c>
      <x:c r="H392" t="str">
        <x:f>IF($A392="","",COUNTIFS(CaseLedger!$F:$F,$A392,CaseLedger!$B:$B,"TRUE",CaseLedger!$K:$K,"Livelihood"))</x:f>
      </x:c>
      <x:c r="I392" t="str">
        <x:f>IF($A392="","",COUNTIFS(CaseLedger!$F:$F,$A392,CaseLedger!$B:$B,"TRUE",CaseLedger!$K:$K,"Skill Sponsorship"))</x:f>
      </x:c>
      <x:c r="J392" t="str">
        <x:f>IF($A392="","",COUNTIFS(CaseLedger!$F:$F,$A392,CaseLedger!$B:$B,"TRUE",CaseLedger!$K:$K,"Emergency Support"))</x:f>
      </x:c>
      <x:c r="K392" t="str">
        <x:f>IF($A392="","",COUNTIFS(CaseLedger!$F:$F,$A392,CaseLedger!$B:$B,"TRUE",CaseLedger!$K:$K,"Community Support"))</x:f>
      </x:c>
      <x:c r="L392" t="str">
        <x:f>IF($A392="","",SUMIFS(CaseLedger!$M:$M,CaseLedger!$F:$F,$A392,CaseLedger!$B:$B,"TRUE"))</x:f>
      </x:c>
      <x:c r="M392" t="str">
        <x:f>IF($A392="","",SUMIFS(CaseLedger!$N:$N,CaseLedger!$F:$F,$A392,CaseLedger!$B:$B,"TRUE"))</x:f>
      </x:c>
      <x:c r="N392" t="str">
        <x:f>IF($A392="","",0)</x:f>
      </x:c>
      <x:c r="O392" t="str">
        <x:f>IF($A392="","",SUMIFS(CaseLedger!$O:$O,CaseLedger!$F:$F,$A392,CaseLedger!$B:$B,"TRUE"))</x:f>
      </x:c>
      <x:c r="P392" t="str">
        <x:f>IF($A392="","",IFERROR(VLOOKUP($A392,MonthlyFinance!$A:$G,4,FALSE),""))</x:f>
      </x:c>
      <x:c r="Q392" t="str">
        <x:f>IF($A392="","",IFERROR(VLOOKUP($A392,MonthlyFinance!$A:$G,5,FALSE),""))</x:f>
      </x:c>
      <x:c r="R392" t="str">
        <x:f>IF($A392="","",IFERROR(VLOOKUP($A392,MonthlyFinance!$A:$G,6,FALSE),""))</x:f>
      </x:c>
      <x:c r="S392" t="str">
        <x:f>IF($A392="","","Formula-linked from CaseLedger; finance fields from MonthlyFinance.")</x:f>
      </x:c>
      <x:c r="T392" t="str">
        <x:f>IF($A392="","","TRUE")</x:f>
      </x:c>
    </x:row>
    <x:row r="393">
      <x:c r="D393" t="str">
        <x:f>IF($A393="","",COUNTIFS(CaseLedger!$F:$F,$A393,CaseLedger!$B:$B,"TRUE"))</x:f>
      </x:c>
      <x:c r="E393" t="str">
        <x:f>IF($A393="","",COUNTIFS(CaseLedger!$F:$F,$A393,CaseLedger!$B:$B,"TRUE",CaseLedger!$P:$P,"Zakat"))</x:f>
      </x:c>
      <x:c r="F393" t="str">
        <x:f>IF($A393="","",COUNTIFS(CaseLedger!$F:$F,$A393,CaseLedger!$B:$B,"TRUE",CaseLedger!$P:$P,"Sadaqah"))</x:f>
      </x:c>
      <x:c r="G393" t="str">
        <x:f>IF($A393="","",COUNTIFS(CaseLedger!$F:$F,$A393,CaseLedger!$B:$B,"TRUE",CaseLedger!$P:$P,"Mixed"))</x:f>
      </x:c>
      <x:c r="H393" t="str">
        <x:f>IF($A393="","",COUNTIFS(CaseLedger!$F:$F,$A393,CaseLedger!$B:$B,"TRUE",CaseLedger!$K:$K,"Livelihood"))</x:f>
      </x:c>
      <x:c r="I393" t="str">
        <x:f>IF($A393="","",COUNTIFS(CaseLedger!$F:$F,$A393,CaseLedger!$B:$B,"TRUE",CaseLedger!$K:$K,"Skill Sponsorship"))</x:f>
      </x:c>
      <x:c r="J393" t="str">
        <x:f>IF($A393="","",COUNTIFS(CaseLedger!$F:$F,$A393,CaseLedger!$B:$B,"TRUE",CaseLedger!$K:$K,"Emergency Support"))</x:f>
      </x:c>
      <x:c r="K393" t="str">
        <x:f>IF($A393="","",COUNTIFS(CaseLedger!$F:$F,$A393,CaseLedger!$B:$B,"TRUE",CaseLedger!$K:$K,"Community Support"))</x:f>
      </x:c>
      <x:c r="L393" t="str">
        <x:f>IF($A393="","",SUMIFS(CaseLedger!$M:$M,CaseLedger!$F:$F,$A393,CaseLedger!$B:$B,"TRUE"))</x:f>
      </x:c>
      <x:c r="M393" t="str">
        <x:f>IF($A393="","",SUMIFS(CaseLedger!$N:$N,CaseLedger!$F:$F,$A393,CaseLedger!$B:$B,"TRUE"))</x:f>
      </x:c>
      <x:c r="N393" t="str">
        <x:f>IF($A393="","",0)</x:f>
      </x:c>
      <x:c r="O393" t="str">
        <x:f>IF($A393="","",SUMIFS(CaseLedger!$O:$O,CaseLedger!$F:$F,$A393,CaseLedger!$B:$B,"TRUE"))</x:f>
      </x:c>
      <x:c r="P393" t="str">
        <x:f>IF($A393="","",IFERROR(VLOOKUP($A393,MonthlyFinance!$A:$G,4,FALSE),""))</x:f>
      </x:c>
      <x:c r="Q393" t="str">
        <x:f>IF($A393="","",IFERROR(VLOOKUP($A393,MonthlyFinance!$A:$G,5,FALSE),""))</x:f>
      </x:c>
      <x:c r="R393" t="str">
        <x:f>IF($A393="","",IFERROR(VLOOKUP($A393,MonthlyFinance!$A:$G,6,FALSE),""))</x:f>
      </x:c>
      <x:c r="S393" t="str">
        <x:f>IF($A393="","","Formula-linked from CaseLedger; finance fields from MonthlyFinance.")</x:f>
      </x:c>
      <x:c r="T393" t="str">
        <x:f>IF($A393="","","TRUE")</x:f>
      </x:c>
    </x:row>
    <x:row r="394">
      <x:c r="D394" t="str">
        <x:f>IF($A394="","",COUNTIFS(CaseLedger!$F:$F,$A394,CaseLedger!$B:$B,"TRUE"))</x:f>
      </x:c>
      <x:c r="E394" t="str">
        <x:f>IF($A394="","",COUNTIFS(CaseLedger!$F:$F,$A394,CaseLedger!$B:$B,"TRUE",CaseLedger!$P:$P,"Zakat"))</x:f>
      </x:c>
      <x:c r="F394" t="str">
        <x:f>IF($A394="","",COUNTIFS(CaseLedger!$F:$F,$A394,CaseLedger!$B:$B,"TRUE",CaseLedger!$P:$P,"Sadaqah"))</x:f>
      </x:c>
      <x:c r="G394" t="str">
        <x:f>IF($A394="","",COUNTIFS(CaseLedger!$F:$F,$A394,CaseLedger!$B:$B,"TRUE",CaseLedger!$P:$P,"Mixed"))</x:f>
      </x:c>
      <x:c r="H394" t="str">
        <x:f>IF($A394="","",COUNTIFS(CaseLedger!$F:$F,$A394,CaseLedger!$B:$B,"TRUE",CaseLedger!$K:$K,"Livelihood"))</x:f>
      </x:c>
      <x:c r="I394" t="str">
        <x:f>IF($A394="","",COUNTIFS(CaseLedger!$F:$F,$A394,CaseLedger!$B:$B,"TRUE",CaseLedger!$K:$K,"Skill Sponsorship"))</x:f>
      </x:c>
      <x:c r="J394" t="str">
        <x:f>IF($A394="","",COUNTIFS(CaseLedger!$F:$F,$A394,CaseLedger!$B:$B,"TRUE",CaseLedger!$K:$K,"Emergency Support"))</x:f>
      </x:c>
      <x:c r="K394" t="str">
        <x:f>IF($A394="","",COUNTIFS(CaseLedger!$F:$F,$A394,CaseLedger!$B:$B,"TRUE",CaseLedger!$K:$K,"Community Support"))</x:f>
      </x:c>
      <x:c r="L394" t="str">
        <x:f>IF($A394="","",SUMIFS(CaseLedger!$M:$M,CaseLedger!$F:$F,$A394,CaseLedger!$B:$B,"TRUE"))</x:f>
      </x:c>
      <x:c r="M394" t="str">
        <x:f>IF($A394="","",SUMIFS(CaseLedger!$N:$N,CaseLedger!$F:$F,$A394,CaseLedger!$B:$B,"TRUE"))</x:f>
      </x:c>
      <x:c r="N394" t="str">
        <x:f>IF($A394="","",0)</x:f>
      </x:c>
      <x:c r="O394" t="str">
        <x:f>IF($A394="","",SUMIFS(CaseLedger!$O:$O,CaseLedger!$F:$F,$A394,CaseLedger!$B:$B,"TRUE"))</x:f>
      </x:c>
      <x:c r="P394" t="str">
        <x:f>IF($A394="","",IFERROR(VLOOKUP($A394,MonthlyFinance!$A:$G,4,FALSE),""))</x:f>
      </x:c>
      <x:c r="Q394" t="str">
        <x:f>IF($A394="","",IFERROR(VLOOKUP($A394,MonthlyFinance!$A:$G,5,FALSE),""))</x:f>
      </x:c>
      <x:c r="R394" t="str">
        <x:f>IF($A394="","",IFERROR(VLOOKUP($A394,MonthlyFinance!$A:$G,6,FALSE),""))</x:f>
      </x:c>
      <x:c r="S394" t="str">
        <x:f>IF($A394="","","Formula-linked from CaseLedger; finance fields from MonthlyFinance.")</x:f>
      </x:c>
      <x:c r="T394" t="str">
        <x:f>IF($A394="","","TRUE")</x:f>
      </x:c>
    </x:row>
    <x:row r="395">
      <x:c r="D395" t="str">
        <x:f>IF($A395="","",COUNTIFS(CaseLedger!$F:$F,$A395,CaseLedger!$B:$B,"TRUE"))</x:f>
      </x:c>
      <x:c r="E395" t="str">
        <x:f>IF($A395="","",COUNTIFS(CaseLedger!$F:$F,$A395,CaseLedger!$B:$B,"TRUE",CaseLedger!$P:$P,"Zakat"))</x:f>
      </x:c>
      <x:c r="F395" t="str">
        <x:f>IF($A395="","",COUNTIFS(CaseLedger!$F:$F,$A395,CaseLedger!$B:$B,"TRUE",CaseLedger!$P:$P,"Sadaqah"))</x:f>
      </x:c>
      <x:c r="G395" t="str">
        <x:f>IF($A395="","",COUNTIFS(CaseLedger!$F:$F,$A395,CaseLedger!$B:$B,"TRUE",CaseLedger!$P:$P,"Mixed"))</x:f>
      </x:c>
      <x:c r="H395" t="str">
        <x:f>IF($A395="","",COUNTIFS(CaseLedger!$F:$F,$A395,CaseLedger!$B:$B,"TRUE",CaseLedger!$K:$K,"Livelihood"))</x:f>
      </x:c>
      <x:c r="I395" t="str">
        <x:f>IF($A395="","",COUNTIFS(CaseLedger!$F:$F,$A395,CaseLedger!$B:$B,"TRUE",CaseLedger!$K:$K,"Skill Sponsorship"))</x:f>
      </x:c>
      <x:c r="J395" t="str">
        <x:f>IF($A395="","",COUNTIFS(CaseLedger!$F:$F,$A395,CaseLedger!$B:$B,"TRUE",CaseLedger!$K:$K,"Emergency Support"))</x:f>
      </x:c>
      <x:c r="K395" t="str">
        <x:f>IF($A395="","",COUNTIFS(CaseLedger!$F:$F,$A395,CaseLedger!$B:$B,"TRUE",CaseLedger!$K:$K,"Community Support"))</x:f>
      </x:c>
      <x:c r="L395" t="str">
        <x:f>IF($A395="","",SUMIFS(CaseLedger!$M:$M,CaseLedger!$F:$F,$A395,CaseLedger!$B:$B,"TRUE"))</x:f>
      </x:c>
      <x:c r="M395" t="str">
        <x:f>IF($A395="","",SUMIFS(CaseLedger!$N:$N,CaseLedger!$F:$F,$A395,CaseLedger!$B:$B,"TRUE"))</x:f>
      </x:c>
      <x:c r="N395" t="str">
        <x:f>IF($A395="","",0)</x:f>
      </x:c>
      <x:c r="O395" t="str">
        <x:f>IF($A395="","",SUMIFS(CaseLedger!$O:$O,CaseLedger!$F:$F,$A395,CaseLedger!$B:$B,"TRUE"))</x:f>
      </x:c>
      <x:c r="P395" t="str">
        <x:f>IF($A395="","",IFERROR(VLOOKUP($A395,MonthlyFinance!$A:$G,4,FALSE),""))</x:f>
      </x:c>
      <x:c r="Q395" t="str">
        <x:f>IF($A395="","",IFERROR(VLOOKUP($A395,MonthlyFinance!$A:$G,5,FALSE),""))</x:f>
      </x:c>
      <x:c r="R395" t="str">
        <x:f>IF($A395="","",IFERROR(VLOOKUP($A395,MonthlyFinance!$A:$G,6,FALSE),""))</x:f>
      </x:c>
      <x:c r="S395" t="str">
        <x:f>IF($A395="","","Formula-linked from CaseLedger; finance fields from MonthlyFinance.")</x:f>
      </x:c>
      <x:c r="T395" t="str">
        <x:f>IF($A395="","","TRUE")</x:f>
      </x:c>
    </x:row>
    <x:row r="396">
      <x:c r="D396" t="str">
        <x:f>IF($A396="","",COUNTIFS(CaseLedger!$F:$F,$A396,CaseLedger!$B:$B,"TRUE"))</x:f>
      </x:c>
      <x:c r="E396" t="str">
        <x:f>IF($A396="","",COUNTIFS(CaseLedger!$F:$F,$A396,CaseLedger!$B:$B,"TRUE",CaseLedger!$P:$P,"Zakat"))</x:f>
      </x:c>
      <x:c r="F396" t="str">
        <x:f>IF($A396="","",COUNTIFS(CaseLedger!$F:$F,$A396,CaseLedger!$B:$B,"TRUE",CaseLedger!$P:$P,"Sadaqah"))</x:f>
      </x:c>
      <x:c r="G396" t="str">
        <x:f>IF($A396="","",COUNTIFS(CaseLedger!$F:$F,$A396,CaseLedger!$B:$B,"TRUE",CaseLedger!$P:$P,"Mixed"))</x:f>
      </x:c>
      <x:c r="H396" t="str">
        <x:f>IF($A396="","",COUNTIFS(CaseLedger!$F:$F,$A396,CaseLedger!$B:$B,"TRUE",CaseLedger!$K:$K,"Livelihood"))</x:f>
      </x:c>
      <x:c r="I396" t="str">
        <x:f>IF($A396="","",COUNTIFS(CaseLedger!$F:$F,$A396,CaseLedger!$B:$B,"TRUE",CaseLedger!$K:$K,"Skill Sponsorship"))</x:f>
      </x:c>
      <x:c r="J396" t="str">
        <x:f>IF($A396="","",COUNTIFS(CaseLedger!$F:$F,$A396,CaseLedger!$B:$B,"TRUE",CaseLedger!$K:$K,"Emergency Support"))</x:f>
      </x:c>
      <x:c r="K396" t="str">
        <x:f>IF($A396="","",COUNTIFS(CaseLedger!$F:$F,$A396,CaseLedger!$B:$B,"TRUE",CaseLedger!$K:$K,"Community Support"))</x:f>
      </x:c>
      <x:c r="L396" t="str">
        <x:f>IF($A396="","",SUMIFS(CaseLedger!$M:$M,CaseLedger!$F:$F,$A396,CaseLedger!$B:$B,"TRUE"))</x:f>
      </x:c>
      <x:c r="M396" t="str">
        <x:f>IF($A396="","",SUMIFS(CaseLedger!$N:$N,CaseLedger!$F:$F,$A396,CaseLedger!$B:$B,"TRUE"))</x:f>
      </x:c>
      <x:c r="N396" t="str">
        <x:f>IF($A396="","",0)</x:f>
      </x:c>
      <x:c r="O396" t="str">
        <x:f>IF($A396="","",SUMIFS(CaseLedger!$O:$O,CaseLedger!$F:$F,$A396,CaseLedger!$B:$B,"TRUE"))</x:f>
      </x:c>
      <x:c r="P396" t="str">
        <x:f>IF($A396="","",IFERROR(VLOOKUP($A396,MonthlyFinance!$A:$G,4,FALSE),""))</x:f>
      </x:c>
      <x:c r="Q396" t="str">
        <x:f>IF($A396="","",IFERROR(VLOOKUP($A396,MonthlyFinance!$A:$G,5,FALSE),""))</x:f>
      </x:c>
      <x:c r="R396" t="str">
        <x:f>IF($A396="","",IFERROR(VLOOKUP($A396,MonthlyFinance!$A:$G,6,FALSE),""))</x:f>
      </x:c>
      <x:c r="S396" t="str">
        <x:f>IF($A396="","","Formula-linked from CaseLedger; finance fields from MonthlyFinance.")</x:f>
      </x:c>
      <x:c r="T396" t="str">
        <x:f>IF($A396="","","TRUE")</x:f>
      </x:c>
    </x:row>
    <x:row r="397">
      <x:c r="D397" t="str">
        <x:f>IF($A397="","",COUNTIFS(CaseLedger!$F:$F,$A397,CaseLedger!$B:$B,"TRUE"))</x:f>
      </x:c>
      <x:c r="E397" t="str">
        <x:f>IF($A397="","",COUNTIFS(CaseLedger!$F:$F,$A397,CaseLedger!$B:$B,"TRUE",CaseLedger!$P:$P,"Zakat"))</x:f>
      </x:c>
      <x:c r="F397" t="str">
        <x:f>IF($A397="","",COUNTIFS(CaseLedger!$F:$F,$A397,CaseLedger!$B:$B,"TRUE",CaseLedger!$P:$P,"Sadaqah"))</x:f>
      </x:c>
      <x:c r="G397" t="str">
        <x:f>IF($A397="","",COUNTIFS(CaseLedger!$F:$F,$A397,CaseLedger!$B:$B,"TRUE",CaseLedger!$P:$P,"Mixed"))</x:f>
      </x:c>
      <x:c r="H397" t="str">
        <x:f>IF($A397="","",COUNTIFS(CaseLedger!$F:$F,$A397,CaseLedger!$B:$B,"TRUE",CaseLedger!$K:$K,"Livelihood"))</x:f>
      </x:c>
      <x:c r="I397" t="str">
        <x:f>IF($A397="","",COUNTIFS(CaseLedger!$F:$F,$A397,CaseLedger!$B:$B,"TRUE",CaseLedger!$K:$K,"Skill Sponsorship"))</x:f>
      </x:c>
      <x:c r="J397" t="str">
        <x:f>IF($A397="","",COUNTIFS(CaseLedger!$F:$F,$A397,CaseLedger!$B:$B,"TRUE",CaseLedger!$K:$K,"Emergency Support"))</x:f>
      </x:c>
      <x:c r="K397" t="str">
        <x:f>IF($A397="","",COUNTIFS(CaseLedger!$F:$F,$A397,CaseLedger!$B:$B,"TRUE",CaseLedger!$K:$K,"Community Support"))</x:f>
      </x:c>
      <x:c r="L397" t="str">
        <x:f>IF($A397="","",SUMIFS(CaseLedger!$M:$M,CaseLedger!$F:$F,$A397,CaseLedger!$B:$B,"TRUE"))</x:f>
      </x:c>
      <x:c r="M397" t="str">
        <x:f>IF($A397="","",SUMIFS(CaseLedger!$N:$N,CaseLedger!$F:$F,$A397,CaseLedger!$B:$B,"TRUE"))</x:f>
      </x:c>
      <x:c r="N397" t="str">
        <x:f>IF($A397="","",0)</x:f>
      </x:c>
      <x:c r="O397" t="str">
        <x:f>IF($A397="","",SUMIFS(CaseLedger!$O:$O,CaseLedger!$F:$F,$A397,CaseLedger!$B:$B,"TRUE"))</x:f>
      </x:c>
      <x:c r="P397" t="str">
        <x:f>IF($A397="","",IFERROR(VLOOKUP($A397,MonthlyFinance!$A:$G,4,FALSE),""))</x:f>
      </x:c>
      <x:c r="Q397" t="str">
        <x:f>IF($A397="","",IFERROR(VLOOKUP($A397,MonthlyFinance!$A:$G,5,FALSE),""))</x:f>
      </x:c>
      <x:c r="R397" t="str">
        <x:f>IF($A397="","",IFERROR(VLOOKUP($A397,MonthlyFinance!$A:$G,6,FALSE),""))</x:f>
      </x:c>
      <x:c r="S397" t="str">
        <x:f>IF($A397="","","Formula-linked from CaseLedger; finance fields from MonthlyFinance.")</x:f>
      </x:c>
      <x:c r="T397" t="str">
        <x:f>IF($A397="","","TRUE")</x:f>
      </x:c>
    </x:row>
    <x:row r="398">
      <x:c r="D398" t="str">
        <x:f>IF($A398="","",COUNTIFS(CaseLedger!$F:$F,$A398,CaseLedger!$B:$B,"TRUE"))</x:f>
      </x:c>
      <x:c r="E398" t="str">
        <x:f>IF($A398="","",COUNTIFS(CaseLedger!$F:$F,$A398,CaseLedger!$B:$B,"TRUE",CaseLedger!$P:$P,"Zakat"))</x:f>
      </x:c>
      <x:c r="F398" t="str">
        <x:f>IF($A398="","",COUNTIFS(CaseLedger!$F:$F,$A398,CaseLedger!$B:$B,"TRUE",CaseLedger!$P:$P,"Sadaqah"))</x:f>
      </x:c>
      <x:c r="G398" t="str">
        <x:f>IF($A398="","",COUNTIFS(CaseLedger!$F:$F,$A398,CaseLedger!$B:$B,"TRUE",CaseLedger!$P:$P,"Mixed"))</x:f>
      </x:c>
      <x:c r="H398" t="str">
        <x:f>IF($A398="","",COUNTIFS(CaseLedger!$F:$F,$A398,CaseLedger!$B:$B,"TRUE",CaseLedger!$K:$K,"Livelihood"))</x:f>
      </x:c>
      <x:c r="I398" t="str">
        <x:f>IF($A398="","",COUNTIFS(CaseLedger!$F:$F,$A398,CaseLedger!$B:$B,"TRUE",CaseLedger!$K:$K,"Skill Sponsorship"))</x:f>
      </x:c>
      <x:c r="J398" t="str">
        <x:f>IF($A398="","",COUNTIFS(CaseLedger!$F:$F,$A398,CaseLedger!$B:$B,"TRUE",CaseLedger!$K:$K,"Emergency Support"))</x:f>
      </x:c>
      <x:c r="K398" t="str">
        <x:f>IF($A398="","",COUNTIFS(CaseLedger!$F:$F,$A398,CaseLedger!$B:$B,"TRUE",CaseLedger!$K:$K,"Community Support"))</x:f>
      </x:c>
      <x:c r="L398" t="str">
        <x:f>IF($A398="","",SUMIFS(CaseLedger!$M:$M,CaseLedger!$F:$F,$A398,CaseLedger!$B:$B,"TRUE"))</x:f>
      </x:c>
      <x:c r="M398" t="str">
        <x:f>IF($A398="","",SUMIFS(CaseLedger!$N:$N,CaseLedger!$F:$F,$A398,CaseLedger!$B:$B,"TRUE"))</x:f>
      </x:c>
      <x:c r="N398" t="str">
        <x:f>IF($A398="","",0)</x:f>
      </x:c>
      <x:c r="O398" t="str">
        <x:f>IF($A398="","",SUMIFS(CaseLedger!$O:$O,CaseLedger!$F:$F,$A398,CaseLedger!$B:$B,"TRUE"))</x:f>
      </x:c>
      <x:c r="P398" t="str">
        <x:f>IF($A398="","",IFERROR(VLOOKUP($A398,MonthlyFinance!$A:$G,4,FALSE),""))</x:f>
      </x:c>
      <x:c r="Q398" t="str">
        <x:f>IF($A398="","",IFERROR(VLOOKUP($A398,MonthlyFinance!$A:$G,5,FALSE),""))</x:f>
      </x:c>
      <x:c r="R398" t="str">
        <x:f>IF($A398="","",IFERROR(VLOOKUP($A398,MonthlyFinance!$A:$G,6,FALSE),""))</x:f>
      </x:c>
      <x:c r="S398" t="str">
        <x:f>IF($A398="","","Formula-linked from CaseLedger; finance fields from MonthlyFinance.")</x:f>
      </x:c>
      <x:c r="T398" t="str">
        <x:f>IF($A398="","","TRUE")</x:f>
      </x:c>
    </x:row>
    <x:row r="399">
      <x:c r="D399" t="str">
        <x:f>IF($A399="","",COUNTIFS(CaseLedger!$F:$F,$A399,CaseLedger!$B:$B,"TRUE"))</x:f>
      </x:c>
      <x:c r="E399" t="str">
        <x:f>IF($A399="","",COUNTIFS(CaseLedger!$F:$F,$A399,CaseLedger!$B:$B,"TRUE",CaseLedger!$P:$P,"Zakat"))</x:f>
      </x:c>
      <x:c r="F399" t="str">
        <x:f>IF($A399="","",COUNTIFS(CaseLedger!$F:$F,$A399,CaseLedger!$B:$B,"TRUE",CaseLedger!$P:$P,"Sadaqah"))</x:f>
      </x:c>
      <x:c r="G399" t="str">
        <x:f>IF($A399="","",COUNTIFS(CaseLedger!$F:$F,$A399,CaseLedger!$B:$B,"TRUE",CaseLedger!$P:$P,"Mixed"))</x:f>
      </x:c>
      <x:c r="H399" t="str">
        <x:f>IF($A399="","",COUNTIFS(CaseLedger!$F:$F,$A399,CaseLedger!$B:$B,"TRUE",CaseLedger!$K:$K,"Livelihood"))</x:f>
      </x:c>
      <x:c r="I399" t="str">
        <x:f>IF($A399="","",COUNTIFS(CaseLedger!$F:$F,$A399,CaseLedger!$B:$B,"TRUE",CaseLedger!$K:$K,"Skill Sponsorship"))</x:f>
      </x:c>
      <x:c r="J399" t="str">
        <x:f>IF($A399="","",COUNTIFS(CaseLedger!$F:$F,$A399,CaseLedger!$B:$B,"TRUE",CaseLedger!$K:$K,"Emergency Support"))</x:f>
      </x:c>
      <x:c r="K399" t="str">
        <x:f>IF($A399="","",COUNTIFS(CaseLedger!$F:$F,$A399,CaseLedger!$B:$B,"TRUE",CaseLedger!$K:$K,"Community Support"))</x:f>
      </x:c>
      <x:c r="L399" t="str">
        <x:f>IF($A399="","",SUMIFS(CaseLedger!$M:$M,CaseLedger!$F:$F,$A399,CaseLedger!$B:$B,"TRUE"))</x:f>
      </x:c>
      <x:c r="M399" t="str">
        <x:f>IF($A399="","",SUMIFS(CaseLedger!$N:$N,CaseLedger!$F:$F,$A399,CaseLedger!$B:$B,"TRUE"))</x:f>
      </x:c>
      <x:c r="N399" t="str">
        <x:f>IF($A399="","",0)</x:f>
      </x:c>
      <x:c r="O399" t="str">
        <x:f>IF($A399="","",SUMIFS(CaseLedger!$O:$O,CaseLedger!$F:$F,$A399,CaseLedger!$B:$B,"TRUE"))</x:f>
      </x:c>
      <x:c r="P399" t="str">
        <x:f>IF($A399="","",IFERROR(VLOOKUP($A399,MonthlyFinance!$A:$G,4,FALSE),""))</x:f>
      </x:c>
      <x:c r="Q399" t="str">
        <x:f>IF($A399="","",IFERROR(VLOOKUP($A399,MonthlyFinance!$A:$G,5,FALSE),""))</x:f>
      </x:c>
      <x:c r="R399" t="str">
        <x:f>IF($A399="","",IFERROR(VLOOKUP($A399,MonthlyFinance!$A:$G,6,FALSE),""))</x:f>
      </x:c>
      <x:c r="S399" t="str">
        <x:f>IF($A399="","","Formula-linked from CaseLedger; finance fields from MonthlyFinance.")</x:f>
      </x:c>
      <x:c r="T399" t="str">
        <x:f>IF($A399="","","TRUE")</x:f>
      </x:c>
    </x:row>
    <x:row r="400">
      <x:c r="D400" t="str">
        <x:f>IF($A400="","",COUNTIFS(CaseLedger!$F:$F,$A400,CaseLedger!$B:$B,"TRUE"))</x:f>
      </x:c>
      <x:c r="E400" t="str">
        <x:f>IF($A400="","",COUNTIFS(CaseLedger!$F:$F,$A400,CaseLedger!$B:$B,"TRUE",CaseLedger!$P:$P,"Zakat"))</x:f>
      </x:c>
      <x:c r="F400" t="str">
        <x:f>IF($A400="","",COUNTIFS(CaseLedger!$F:$F,$A400,CaseLedger!$B:$B,"TRUE",CaseLedger!$P:$P,"Sadaqah"))</x:f>
      </x:c>
      <x:c r="G400" t="str">
        <x:f>IF($A400="","",COUNTIFS(CaseLedger!$F:$F,$A400,CaseLedger!$B:$B,"TRUE",CaseLedger!$P:$P,"Mixed"))</x:f>
      </x:c>
      <x:c r="H400" t="str">
        <x:f>IF($A400="","",COUNTIFS(CaseLedger!$F:$F,$A400,CaseLedger!$B:$B,"TRUE",CaseLedger!$K:$K,"Livelihood"))</x:f>
      </x:c>
      <x:c r="I400" t="str">
        <x:f>IF($A400="","",COUNTIFS(CaseLedger!$F:$F,$A400,CaseLedger!$B:$B,"TRUE",CaseLedger!$K:$K,"Skill Sponsorship"))</x:f>
      </x:c>
      <x:c r="J400" t="str">
        <x:f>IF($A400="","",COUNTIFS(CaseLedger!$F:$F,$A400,CaseLedger!$B:$B,"TRUE",CaseLedger!$K:$K,"Emergency Support"))</x:f>
      </x:c>
      <x:c r="K400" t="str">
        <x:f>IF($A400="","",COUNTIFS(CaseLedger!$F:$F,$A400,CaseLedger!$B:$B,"TRUE",CaseLedger!$K:$K,"Community Support"))</x:f>
      </x:c>
      <x:c r="L400" t="str">
        <x:f>IF($A400="","",SUMIFS(CaseLedger!$M:$M,CaseLedger!$F:$F,$A400,CaseLedger!$B:$B,"TRUE"))</x:f>
      </x:c>
      <x:c r="M400" t="str">
        <x:f>IF($A400="","",SUMIFS(CaseLedger!$N:$N,CaseLedger!$F:$F,$A400,CaseLedger!$B:$B,"TRUE"))</x:f>
      </x:c>
      <x:c r="N400" t="str">
        <x:f>IF($A400="","",0)</x:f>
      </x:c>
      <x:c r="O400" t="str">
        <x:f>IF($A400="","",SUMIFS(CaseLedger!$O:$O,CaseLedger!$F:$F,$A400,CaseLedger!$B:$B,"TRUE"))</x:f>
      </x:c>
      <x:c r="P400" t="str">
        <x:f>IF($A400="","",IFERROR(VLOOKUP($A400,MonthlyFinance!$A:$G,4,FALSE),""))</x:f>
      </x:c>
      <x:c r="Q400" t="str">
        <x:f>IF($A400="","",IFERROR(VLOOKUP($A400,MonthlyFinance!$A:$G,5,FALSE),""))</x:f>
      </x:c>
      <x:c r="R400" t="str">
        <x:f>IF($A400="","",IFERROR(VLOOKUP($A400,MonthlyFinance!$A:$G,6,FALSE),""))</x:f>
      </x:c>
      <x:c r="S400" t="str">
        <x:f>IF($A400="","","Formula-linked from CaseLedger; finance fields from MonthlyFinance.")</x:f>
      </x:c>
      <x:c r="T400" t="str">
        <x:f>IF($A400="","","TRUE")</x:f>
      </x:c>
    </x:row>
    <x:row r="401">
      <x:c r="D401" t="str">
        <x:f>IF($A401="","",COUNTIFS(CaseLedger!$F:$F,$A401,CaseLedger!$B:$B,"TRUE"))</x:f>
      </x:c>
      <x:c r="E401" t="str">
        <x:f>IF($A401="","",COUNTIFS(CaseLedger!$F:$F,$A401,CaseLedger!$B:$B,"TRUE",CaseLedger!$P:$P,"Zakat"))</x:f>
      </x:c>
      <x:c r="F401" t="str">
        <x:f>IF($A401="","",COUNTIFS(CaseLedger!$F:$F,$A401,CaseLedger!$B:$B,"TRUE",CaseLedger!$P:$P,"Sadaqah"))</x:f>
      </x:c>
      <x:c r="G401" t="str">
        <x:f>IF($A401="","",COUNTIFS(CaseLedger!$F:$F,$A401,CaseLedger!$B:$B,"TRUE",CaseLedger!$P:$P,"Mixed"))</x:f>
      </x:c>
      <x:c r="H401" t="str">
        <x:f>IF($A401="","",COUNTIFS(CaseLedger!$F:$F,$A401,CaseLedger!$B:$B,"TRUE",CaseLedger!$K:$K,"Livelihood"))</x:f>
      </x:c>
      <x:c r="I401" t="str">
        <x:f>IF($A401="","",COUNTIFS(CaseLedger!$F:$F,$A401,CaseLedger!$B:$B,"TRUE",CaseLedger!$K:$K,"Skill Sponsorship"))</x:f>
      </x:c>
      <x:c r="J401" t="str">
        <x:f>IF($A401="","",COUNTIFS(CaseLedger!$F:$F,$A401,CaseLedger!$B:$B,"TRUE",CaseLedger!$K:$K,"Emergency Support"))</x:f>
      </x:c>
      <x:c r="K401" t="str">
        <x:f>IF($A401="","",COUNTIFS(CaseLedger!$F:$F,$A401,CaseLedger!$B:$B,"TRUE",CaseLedger!$K:$K,"Community Support"))</x:f>
      </x:c>
      <x:c r="L401" t="str">
        <x:f>IF($A401="","",SUMIFS(CaseLedger!$M:$M,CaseLedger!$F:$F,$A401,CaseLedger!$B:$B,"TRUE"))</x:f>
      </x:c>
      <x:c r="M401" t="str">
        <x:f>IF($A401="","",SUMIFS(CaseLedger!$N:$N,CaseLedger!$F:$F,$A401,CaseLedger!$B:$B,"TRUE"))</x:f>
      </x:c>
      <x:c r="N401" t="str">
        <x:f>IF($A401="","",0)</x:f>
      </x:c>
      <x:c r="O401" t="str">
        <x:f>IF($A401="","",SUMIFS(CaseLedger!$O:$O,CaseLedger!$F:$F,$A401,CaseLedger!$B:$B,"TRUE"))</x:f>
      </x:c>
      <x:c r="P401" t="str">
        <x:f>IF($A401="","",IFERROR(VLOOKUP($A401,MonthlyFinance!$A:$G,4,FALSE),""))</x:f>
      </x:c>
      <x:c r="Q401" t="str">
        <x:f>IF($A401="","",IFERROR(VLOOKUP($A401,MonthlyFinance!$A:$G,5,FALSE),""))</x:f>
      </x:c>
      <x:c r="R401" t="str">
        <x:f>IF($A401="","",IFERROR(VLOOKUP($A401,MonthlyFinance!$A:$G,6,FALSE),""))</x:f>
      </x:c>
      <x:c r="S401" t="str">
        <x:f>IF($A401="","","Formula-linked from CaseLedger; finance fields from MonthlyFinance.")</x:f>
      </x:c>
      <x:c r="T401" t="str">
        <x:f>IF($A401="","","TRUE")</x:f>
      </x:c>
    </x:row>
    <x:row r="402">
      <x:c r="D402" t="str">
        <x:f>IF($A402="","",COUNTIFS(CaseLedger!$F:$F,$A402,CaseLedger!$B:$B,"TRUE"))</x:f>
      </x:c>
      <x:c r="E402" t="str">
        <x:f>IF($A402="","",COUNTIFS(CaseLedger!$F:$F,$A402,CaseLedger!$B:$B,"TRUE",CaseLedger!$P:$P,"Zakat"))</x:f>
      </x:c>
      <x:c r="F402" t="str">
        <x:f>IF($A402="","",COUNTIFS(CaseLedger!$F:$F,$A402,CaseLedger!$B:$B,"TRUE",CaseLedger!$P:$P,"Sadaqah"))</x:f>
      </x:c>
      <x:c r="G402" t="str">
        <x:f>IF($A402="","",COUNTIFS(CaseLedger!$F:$F,$A402,CaseLedger!$B:$B,"TRUE",CaseLedger!$P:$P,"Mixed"))</x:f>
      </x:c>
      <x:c r="H402" t="str">
        <x:f>IF($A402="","",COUNTIFS(CaseLedger!$F:$F,$A402,CaseLedger!$B:$B,"TRUE",CaseLedger!$K:$K,"Livelihood"))</x:f>
      </x:c>
      <x:c r="I402" t="str">
        <x:f>IF($A402="","",COUNTIFS(CaseLedger!$F:$F,$A402,CaseLedger!$B:$B,"TRUE",CaseLedger!$K:$K,"Skill Sponsorship"))</x:f>
      </x:c>
      <x:c r="J402" t="str">
        <x:f>IF($A402="","",COUNTIFS(CaseLedger!$F:$F,$A402,CaseLedger!$B:$B,"TRUE",CaseLedger!$K:$K,"Emergency Support"))</x:f>
      </x:c>
      <x:c r="K402" t="str">
        <x:f>IF($A402="","",COUNTIFS(CaseLedger!$F:$F,$A402,CaseLedger!$B:$B,"TRUE",CaseLedger!$K:$K,"Community Support"))</x:f>
      </x:c>
      <x:c r="L402" t="str">
        <x:f>IF($A402="","",SUMIFS(CaseLedger!$M:$M,CaseLedger!$F:$F,$A402,CaseLedger!$B:$B,"TRUE"))</x:f>
      </x:c>
      <x:c r="M402" t="str">
        <x:f>IF($A402="","",SUMIFS(CaseLedger!$N:$N,CaseLedger!$F:$F,$A402,CaseLedger!$B:$B,"TRUE"))</x:f>
      </x:c>
      <x:c r="N402" t="str">
        <x:f>IF($A402="","",0)</x:f>
      </x:c>
      <x:c r="O402" t="str">
        <x:f>IF($A402="","",SUMIFS(CaseLedger!$O:$O,CaseLedger!$F:$F,$A402,CaseLedger!$B:$B,"TRUE"))</x:f>
      </x:c>
      <x:c r="P402" t="str">
        <x:f>IF($A402="","",IFERROR(VLOOKUP($A402,MonthlyFinance!$A:$G,4,FALSE),""))</x:f>
      </x:c>
      <x:c r="Q402" t="str">
        <x:f>IF($A402="","",IFERROR(VLOOKUP($A402,MonthlyFinance!$A:$G,5,FALSE),""))</x:f>
      </x:c>
      <x:c r="R402" t="str">
        <x:f>IF($A402="","",IFERROR(VLOOKUP($A402,MonthlyFinance!$A:$G,6,FALSE),""))</x:f>
      </x:c>
      <x:c r="S402" t="str">
        <x:f>IF($A402="","","Formula-linked from CaseLedger; finance fields from MonthlyFinance.")</x:f>
      </x:c>
      <x:c r="T402" t="str">
        <x:f>IF($A402="","","TRUE")</x:f>
      </x:c>
    </x:row>
    <x:row r="403">
      <x:c r="D403" t="str">
        <x:f>IF($A403="","",COUNTIFS(CaseLedger!$F:$F,$A403,CaseLedger!$B:$B,"TRUE"))</x:f>
      </x:c>
      <x:c r="E403" t="str">
        <x:f>IF($A403="","",COUNTIFS(CaseLedger!$F:$F,$A403,CaseLedger!$B:$B,"TRUE",CaseLedger!$P:$P,"Zakat"))</x:f>
      </x:c>
      <x:c r="F403" t="str">
        <x:f>IF($A403="","",COUNTIFS(CaseLedger!$F:$F,$A403,CaseLedger!$B:$B,"TRUE",CaseLedger!$P:$P,"Sadaqah"))</x:f>
      </x:c>
      <x:c r="G403" t="str">
        <x:f>IF($A403="","",COUNTIFS(CaseLedger!$F:$F,$A403,CaseLedger!$B:$B,"TRUE",CaseLedger!$P:$P,"Mixed"))</x:f>
      </x:c>
      <x:c r="H403" t="str">
        <x:f>IF($A403="","",COUNTIFS(CaseLedger!$F:$F,$A403,CaseLedger!$B:$B,"TRUE",CaseLedger!$K:$K,"Livelihood"))</x:f>
      </x:c>
      <x:c r="I403" t="str">
        <x:f>IF($A403="","",COUNTIFS(CaseLedger!$F:$F,$A403,CaseLedger!$B:$B,"TRUE",CaseLedger!$K:$K,"Skill Sponsorship"))</x:f>
      </x:c>
      <x:c r="J403" t="str">
        <x:f>IF($A403="","",COUNTIFS(CaseLedger!$F:$F,$A403,CaseLedger!$B:$B,"TRUE",CaseLedger!$K:$K,"Emergency Support"))</x:f>
      </x:c>
      <x:c r="K403" t="str">
        <x:f>IF($A403="","",COUNTIFS(CaseLedger!$F:$F,$A403,CaseLedger!$B:$B,"TRUE",CaseLedger!$K:$K,"Community Support"))</x:f>
      </x:c>
      <x:c r="L403" t="str">
        <x:f>IF($A403="","",SUMIFS(CaseLedger!$M:$M,CaseLedger!$F:$F,$A403,CaseLedger!$B:$B,"TRUE"))</x:f>
      </x:c>
      <x:c r="M403" t="str">
        <x:f>IF($A403="","",SUMIFS(CaseLedger!$N:$N,CaseLedger!$F:$F,$A403,CaseLedger!$B:$B,"TRUE"))</x:f>
      </x:c>
      <x:c r="N403" t="str">
        <x:f>IF($A403="","",0)</x:f>
      </x:c>
      <x:c r="O403" t="str">
        <x:f>IF($A403="","",SUMIFS(CaseLedger!$O:$O,CaseLedger!$F:$F,$A403,CaseLedger!$B:$B,"TRUE"))</x:f>
      </x:c>
      <x:c r="P403" t="str">
        <x:f>IF($A403="","",IFERROR(VLOOKUP($A403,MonthlyFinance!$A:$G,4,FALSE),""))</x:f>
      </x:c>
      <x:c r="Q403" t="str">
        <x:f>IF($A403="","",IFERROR(VLOOKUP($A403,MonthlyFinance!$A:$G,5,FALSE),""))</x:f>
      </x:c>
      <x:c r="R403" t="str">
        <x:f>IF($A403="","",IFERROR(VLOOKUP($A403,MonthlyFinance!$A:$G,6,FALSE),""))</x:f>
      </x:c>
      <x:c r="S403" t="str">
        <x:f>IF($A403="","","Formula-linked from CaseLedger; finance fields from MonthlyFinance.")</x:f>
      </x:c>
      <x:c r="T403" t="str">
        <x:f>IF($A403="","","TRUE")</x:f>
      </x:c>
    </x:row>
    <x:row r="404">
      <x:c r="D404" t="str">
        <x:f>IF($A404="","",COUNTIFS(CaseLedger!$F:$F,$A404,CaseLedger!$B:$B,"TRUE"))</x:f>
      </x:c>
      <x:c r="E404" t="str">
        <x:f>IF($A404="","",COUNTIFS(CaseLedger!$F:$F,$A404,CaseLedger!$B:$B,"TRUE",CaseLedger!$P:$P,"Zakat"))</x:f>
      </x:c>
      <x:c r="F404" t="str">
        <x:f>IF($A404="","",COUNTIFS(CaseLedger!$F:$F,$A404,CaseLedger!$B:$B,"TRUE",CaseLedger!$P:$P,"Sadaqah"))</x:f>
      </x:c>
      <x:c r="G404" t="str">
        <x:f>IF($A404="","",COUNTIFS(CaseLedger!$F:$F,$A404,CaseLedger!$B:$B,"TRUE",CaseLedger!$P:$P,"Mixed"))</x:f>
      </x:c>
      <x:c r="H404" t="str">
        <x:f>IF($A404="","",COUNTIFS(CaseLedger!$F:$F,$A404,CaseLedger!$B:$B,"TRUE",CaseLedger!$K:$K,"Livelihood"))</x:f>
      </x:c>
      <x:c r="I404" t="str">
        <x:f>IF($A404="","",COUNTIFS(CaseLedger!$F:$F,$A404,CaseLedger!$B:$B,"TRUE",CaseLedger!$K:$K,"Skill Sponsorship"))</x:f>
      </x:c>
      <x:c r="J404" t="str">
        <x:f>IF($A404="","",COUNTIFS(CaseLedger!$F:$F,$A404,CaseLedger!$B:$B,"TRUE",CaseLedger!$K:$K,"Emergency Support"))</x:f>
      </x:c>
      <x:c r="K404" t="str">
        <x:f>IF($A404="","",COUNTIFS(CaseLedger!$F:$F,$A404,CaseLedger!$B:$B,"TRUE",CaseLedger!$K:$K,"Community Support"))</x:f>
      </x:c>
      <x:c r="L404" t="str">
        <x:f>IF($A404="","",SUMIFS(CaseLedger!$M:$M,CaseLedger!$F:$F,$A404,CaseLedger!$B:$B,"TRUE"))</x:f>
      </x:c>
      <x:c r="M404" t="str">
        <x:f>IF($A404="","",SUMIFS(CaseLedger!$N:$N,CaseLedger!$F:$F,$A404,CaseLedger!$B:$B,"TRUE"))</x:f>
      </x:c>
      <x:c r="N404" t="str">
        <x:f>IF($A404="","",0)</x:f>
      </x:c>
      <x:c r="O404" t="str">
        <x:f>IF($A404="","",SUMIFS(CaseLedger!$O:$O,CaseLedger!$F:$F,$A404,CaseLedger!$B:$B,"TRUE"))</x:f>
      </x:c>
      <x:c r="P404" t="str">
        <x:f>IF($A404="","",IFERROR(VLOOKUP($A404,MonthlyFinance!$A:$G,4,FALSE),""))</x:f>
      </x:c>
      <x:c r="Q404" t="str">
        <x:f>IF($A404="","",IFERROR(VLOOKUP($A404,MonthlyFinance!$A:$G,5,FALSE),""))</x:f>
      </x:c>
      <x:c r="R404" t="str">
        <x:f>IF($A404="","",IFERROR(VLOOKUP($A404,MonthlyFinance!$A:$G,6,FALSE),""))</x:f>
      </x:c>
      <x:c r="S404" t="str">
        <x:f>IF($A404="","","Formula-linked from CaseLedger; finance fields from MonthlyFinance.")</x:f>
      </x:c>
      <x:c r="T404" t="str">
        <x:f>IF($A404="","","TRUE")</x:f>
      </x:c>
    </x:row>
    <x:row r="405">
      <x:c r="D405" t="str">
        <x:f>IF($A405="","",COUNTIFS(CaseLedger!$F:$F,$A405,CaseLedger!$B:$B,"TRUE"))</x:f>
      </x:c>
      <x:c r="E405" t="str">
        <x:f>IF($A405="","",COUNTIFS(CaseLedger!$F:$F,$A405,CaseLedger!$B:$B,"TRUE",CaseLedger!$P:$P,"Zakat"))</x:f>
      </x:c>
      <x:c r="F405" t="str">
        <x:f>IF($A405="","",COUNTIFS(CaseLedger!$F:$F,$A405,CaseLedger!$B:$B,"TRUE",CaseLedger!$P:$P,"Sadaqah"))</x:f>
      </x:c>
      <x:c r="G405" t="str">
        <x:f>IF($A405="","",COUNTIFS(CaseLedger!$F:$F,$A405,CaseLedger!$B:$B,"TRUE",CaseLedger!$P:$P,"Mixed"))</x:f>
      </x:c>
      <x:c r="H405" t="str">
        <x:f>IF($A405="","",COUNTIFS(CaseLedger!$F:$F,$A405,CaseLedger!$B:$B,"TRUE",CaseLedger!$K:$K,"Livelihood"))</x:f>
      </x:c>
      <x:c r="I405" t="str">
        <x:f>IF($A405="","",COUNTIFS(CaseLedger!$F:$F,$A405,CaseLedger!$B:$B,"TRUE",CaseLedger!$K:$K,"Skill Sponsorship"))</x:f>
      </x:c>
      <x:c r="J405" t="str">
        <x:f>IF($A405="","",COUNTIFS(CaseLedger!$F:$F,$A405,CaseLedger!$B:$B,"TRUE",CaseLedger!$K:$K,"Emergency Support"))</x:f>
      </x:c>
      <x:c r="K405" t="str">
        <x:f>IF($A405="","",COUNTIFS(CaseLedger!$F:$F,$A405,CaseLedger!$B:$B,"TRUE",CaseLedger!$K:$K,"Community Support"))</x:f>
      </x:c>
      <x:c r="L405" t="str">
        <x:f>IF($A405="","",SUMIFS(CaseLedger!$M:$M,CaseLedger!$F:$F,$A405,CaseLedger!$B:$B,"TRUE"))</x:f>
      </x:c>
      <x:c r="M405" t="str">
        <x:f>IF($A405="","",SUMIFS(CaseLedger!$N:$N,CaseLedger!$F:$F,$A405,CaseLedger!$B:$B,"TRUE"))</x:f>
      </x:c>
      <x:c r="N405" t="str">
        <x:f>IF($A405="","",0)</x:f>
      </x:c>
      <x:c r="O405" t="str">
        <x:f>IF($A405="","",SUMIFS(CaseLedger!$O:$O,CaseLedger!$F:$F,$A405,CaseLedger!$B:$B,"TRUE"))</x:f>
      </x:c>
      <x:c r="P405" t="str">
        <x:f>IF($A405="","",IFERROR(VLOOKUP($A405,MonthlyFinance!$A:$G,4,FALSE),""))</x:f>
      </x:c>
      <x:c r="Q405" t="str">
        <x:f>IF($A405="","",IFERROR(VLOOKUP($A405,MonthlyFinance!$A:$G,5,FALSE),""))</x:f>
      </x:c>
      <x:c r="R405" t="str">
        <x:f>IF($A405="","",IFERROR(VLOOKUP($A405,MonthlyFinance!$A:$G,6,FALSE),""))</x:f>
      </x:c>
      <x:c r="S405" t="str">
        <x:f>IF($A405="","","Formula-linked from CaseLedger; finance fields from MonthlyFinance.")</x:f>
      </x:c>
      <x:c r="T405" t="str">
        <x:f>IF($A405="","","TRUE")</x:f>
      </x:c>
    </x:row>
    <x:row r="406">
      <x:c r="D406" t="str">
        <x:f>IF($A406="","",COUNTIFS(CaseLedger!$F:$F,$A406,CaseLedger!$B:$B,"TRUE"))</x:f>
      </x:c>
      <x:c r="E406" t="str">
        <x:f>IF($A406="","",COUNTIFS(CaseLedger!$F:$F,$A406,CaseLedger!$B:$B,"TRUE",CaseLedger!$P:$P,"Zakat"))</x:f>
      </x:c>
      <x:c r="F406" t="str">
        <x:f>IF($A406="","",COUNTIFS(CaseLedger!$F:$F,$A406,CaseLedger!$B:$B,"TRUE",CaseLedger!$P:$P,"Sadaqah"))</x:f>
      </x:c>
      <x:c r="G406" t="str">
        <x:f>IF($A406="","",COUNTIFS(CaseLedger!$F:$F,$A406,CaseLedger!$B:$B,"TRUE",CaseLedger!$P:$P,"Mixed"))</x:f>
      </x:c>
      <x:c r="H406" t="str">
        <x:f>IF($A406="","",COUNTIFS(CaseLedger!$F:$F,$A406,CaseLedger!$B:$B,"TRUE",CaseLedger!$K:$K,"Livelihood"))</x:f>
      </x:c>
      <x:c r="I406" t="str">
        <x:f>IF($A406="","",COUNTIFS(CaseLedger!$F:$F,$A406,CaseLedger!$B:$B,"TRUE",CaseLedger!$K:$K,"Skill Sponsorship"))</x:f>
      </x:c>
      <x:c r="J406" t="str">
        <x:f>IF($A406="","",COUNTIFS(CaseLedger!$F:$F,$A406,CaseLedger!$B:$B,"TRUE",CaseLedger!$K:$K,"Emergency Support"))</x:f>
      </x:c>
      <x:c r="K406" t="str">
        <x:f>IF($A406="","",COUNTIFS(CaseLedger!$F:$F,$A406,CaseLedger!$B:$B,"TRUE",CaseLedger!$K:$K,"Community Support"))</x:f>
      </x:c>
      <x:c r="L406" t="str">
        <x:f>IF($A406="","",SUMIFS(CaseLedger!$M:$M,CaseLedger!$F:$F,$A406,CaseLedger!$B:$B,"TRUE"))</x:f>
      </x:c>
      <x:c r="M406" t="str">
        <x:f>IF($A406="","",SUMIFS(CaseLedger!$N:$N,CaseLedger!$F:$F,$A406,CaseLedger!$B:$B,"TRUE"))</x:f>
      </x:c>
      <x:c r="N406" t="str">
        <x:f>IF($A406="","",0)</x:f>
      </x:c>
      <x:c r="O406" t="str">
        <x:f>IF($A406="","",SUMIFS(CaseLedger!$O:$O,CaseLedger!$F:$F,$A406,CaseLedger!$B:$B,"TRUE"))</x:f>
      </x:c>
      <x:c r="P406" t="str">
        <x:f>IF($A406="","",IFERROR(VLOOKUP($A406,MonthlyFinance!$A:$G,4,FALSE),""))</x:f>
      </x:c>
      <x:c r="Q406" t="str">
        <x:f>IF($A406="","",IFERROR(VLOOKUP($A406,MonthlyFinance!$A:$G,5,FALSE),""))</x:f>
      </x:c>
      <x:c r="R406" t="str">
        <x:f>IF($A406="","",IFERROR(VLOOKUP($A406,MonthlyFinance!$A:$G,6,FALSE),""))</x:f>
      </x:c>
      <x:c r="S406" t="str">
        <x:f>IF($A406="","","Formula-linked from CaseLedger; finance fields from MonthlyFinance.")</x:f>
      </x:c>
      <x:c r="T406" t="str">
        <x:f>IF($A406="","","TRUE")</x:f>
      </x:c>
    </x:row>
    <x:row r="407">
      <x:c r="D407" t="str">
        <x:f>IF($A407="","",COUNTIFS(CaseLedger!$F:$F,$A407,CaseLedger!$B:$B,"TRUE"))</x:f>
      </x:c>
      <x:c r="E407" t="str">
        <x:f>IF($A407="","",COUNTIFS(CaseLedger!$F:$F,$A407,CaseLedger!$B:$B,"TRUE",CaseLedger!$P:$P,"Zakat"))</x:f>
      </x:c>
      <x:c r="F407" t="str">
        <x:f>IF($A407="","",COUNTIFS(CaseLedger!$F:$F,$A407,CaseLedger!$B:$B,"TRUE",CaseLedger!$P:$P,"Sadaqah"))</x:f>
      </x:c>
      <x:c r="G407" t="str">
        <x:f>IF($A407="","",COUNTIFS(CaseLedger!$F:$F,$A407,CaseLedger!$B:$B,"TRUE",CaseLedger!$P:$P,"Mixed"))</x:f>
      </x:c>
      <x:c r="H407" t="str">
        <x:f>IF($A407="","",COUNTIFS(CaseLedger!$F:$F,$A407,CaseLedger!$B:$B,"TRUE",CaseLedger!$K:$K,"Livelihood"))</x:f>
      </x:c>
      <x:c r="I407" t="str">
        <x:f>IF($A407="","",COUNTIFS(CaseLedger!$F:$F,$A407,CaseLedger!$B:$B,"TRUE",CaseLedger!$K:$K,"Skill Sponsorship"))</x:f>
      </x:c>
      <x:c r="J407" t="str">
        <x:f>IF($A407="","",COUNTIFS(CaseLedger!$F:$F,$A407,CaseLedger!$B:$B,"TRUE",CaseLedger!$K:$K,"Emergency Support"))</x:f>
      </x:c>
      <x:c r="K407" t="str">
        <x:f>IF($A407="","",COUNTIFS(CaseLedger!$F:$F,$A407,CaseLedger!$B:$B,"TRUE",CaseLedger!$K:$K,"Community Support"))</x:f>
      </x:c>
      <x:c r="L407" t="str">
        <x:f>IF($A407="","",SUMIFS(CaseLedger!$M:$M,CaseLedger!$F:$F,$A407,CaseLedger!$B:$B,"TRUE"))</x:f>
      </x:c>
      <x:c r="M407" t="str">
        <x:f>IF($A407="","",SUMIFS(CaseLedger!$N:$N,CaseLedger!$F:$F,$A407,CaseLedger!$B:$B,"TRUE"))</x:f>
      </x:c>
      <x:c r="N407" t="str">
        <x:f>IF($A407="","",0)</x:f>
      </x:c>
      <x:c r="O407" t="str">
        <x:f>IF($A407="","",SUMIFS(CaseLedger!$O:$O,CaseLedger!$F:$F,$A407,CaseLedger!$B:$B,"TRUE"))</x:f>
      </x:c>
      <x:c r="P407" t="str">
        <x:f>IF($A407="","",IFERROR(VLOOKUP($A407,MonthlyFinance!$A:$G,4,FALSE),""))</x:f>
      </x:c>
      <x:c r="Q407" t="str">
        <x:f>IF($A407="","",IFERROR(VLOOKUP($A407,MonthlyFinance!$A:$G,5,FALSE),""))</x:f>
      </x:c>
      <x:c r="R407" t="str">
        <x:f>IF($A407="","",IFERROR(VLOOKUP($A407,MonthlyFinance!$A:$G,6,FALSE),""))</x:f>
      </x:c>
      <x:c r="S407" t="str">
        <x:f>IF($A407="","","Formula-linked from CaseLedger; finance fields from MonthlyFinance.")</x:f>
      </x:c>
      <x:c r="T407" t="str">
        <x:f>IF($A407="","","TRUE")</x:f>
      </x:c>
    </x:row>
    <x:row r="408">
      <x:c r="D408" t="str">
        <x:f>IF($A408="","",COUNTIFS(CaseLedger!$F:$F,$A408,CaseLedger!$B:$B,"TRUE"))</x:f>
      </x:c>
      <x:c r="E408" t="str">
        <x:f>IF($A408="","",COUNTIFS(CaseLedger!$F:$F,$A408,CaseLedger!$B:$B,"TRUE",CaseLedger!$P:$P,"Zakat"))</x:f>
      </x:c>
      <x:c r="F408" t="str">
        <x:f>IF($A408="","",COUNTIFS(CaseLedger!$F:$F,$A408,CaseLedger!$B:$B,"TRUE",CaseLedger!$P:$P,"Sadaqah"))</x:f>
      </x:c>
      <x:c r="G408" t="str">
        <x:f>IF($A408="","",COUNTIFS(CaseLedger!$F:$F,$A408,CaseLedger!$B:$B,"TRUE",CaseLedger!$P:$P,"Mixed"))</x:f>
      </x:c>
      <x:c r="H408" t="str">
        <x:f>IF($A408="","",COUNTIFS(CaseLedger!$F:$F,$A408,CaseLedger!$B:$B,"TRUE",CaseLedger!$K:$K,"Livelihood"))</x:f>
      </x:c>
      <x:c r="I408" t="str">
        <x:f>IF($A408="","",COUNTIFS(CaseLedger!$F:$F,$A408,CaseLedger!$B:$B,"TRUE",CaseLedger!$K:$K,"Skill Sponsorship"))</x:f>
      </x:c>
      <x:c r="J408" t="str">
        <x:f>IF($A408="","",COUNTIFS(CaseLedger!$F:$F,$A408,CaseLedger!$B:$B,"TRUE",CaseLedger!$K:$K,"Emergency Support"))</x:f>
      </x:c>
      <x:c r="K408" t="str">
        <x:f>IF($A408="","",COUNTIFS(CaseLedger!$F:$F,$A408,CaseLedger!$B:$B,"TRUE",CaseLedger!$K:$K,"Community Support"))</x:f>
      </x:c>
      <x:c r="L408" t="str">
        <x:f>IF($A408="","",SUMIFS(CaseLedger!$M:$M,CaseLedger!$F:$F,$A408,CaseLedger!$B:$B,"TRUE"))</x:f>
      </x:c>
      <x:c r="M408" t="str">
        <x:f>IF($A408="","",SUMIFS(CaseLedger!$N:$N,CaseLedger!$F:$F,$A408,CaseLedger!$B:$B,"TRUE"))</x:f>
      </x:c>
      <x:c r="N408" t="str">
        <x:f>IF($A408="","",0)</x:f>
      </x:c>
      <x:c r="O408" t="str">
        <x:f>IF($A408="","",SUMIFS(CaseLedger!$O:$O,CaseLedger!$F:$F,$A408,CaseLedger!$B:$B,"TRUE"))</x:f>
      </x:c>
      <x:c r="P408" t="str">
        <x:f>IF($A408="","",IFERROR(VLOOKUP($A408,MonthlyFinance!$A:$G,4,FALSE),""))</x:f>
      </x:c>
      <x:c r="Q408" t="str">
        <x:f>IF($A408="","",IFERROR(VLOOKUP($A408,MonthlyFinance!$A:$G,5,FALSE),""))</x:f>
      </x:c>
      <x:c r="R408" t="str">
        <x:f>IF($A408="","",IFERROR(VLOOKUP($A408,MonthlyFinance!$A:$G,6,FALSE),""))</x:f>
      </x:c>
      <x:c r="S408" t="str">
        <x:f>IF($A408="","","Formula-linked from CaseLedger; finance fields from MonthlyFinance.")</x:f>
      </x:c>
      <x:c r="T408" t="str">
        <x:f>IF($A408="","","TRUE")</x:f>
      </x:c>
    </x:row>
    <x:row r="409">
      <x:c r="D409" t="str">
        <x:f>IF($A409="","",COUNTIFS(CaseLedger!$F:$F,$A409,CaseLedger!$B:$B,"TRUE"))</x:f>
      </x:c>
      <x:c r="E409" t="str">
        <x:f>IF($A409="","",COUNTIFS(CaseLedger!$F:$F,$A409,CaseLedger!$B:$B,"TRUE",CaseLedger!$P:$P,"Zakat"))</x:f>
      </x:c>
      <x:c r="F409" t="str">
        <x:f>IF($A409="","",COUNTIFS(CaseLedger!$F:$F,$A409,CaseLedger!$B:$B,"TRUE",CaseLedger!$P:$P,"Sadaqah"))</x:f>
      </x:c>
      <x:c r="G409" t="str">
        <x:f>IF($A409="","",COUNTIFS(CaseLedger!$F:$F,$A409,CaseLedger!$B:$B,"TRUE",CaseLedger!$P:$P,"Mixed"))</x:f>
      </x:c>
      <x:c r="H409" t="str">
        <x:f>IF($A409="","",COUNTIFS(CaseLedger!$F:$F,$A409,CaseLedger!$B:$B,"TRUE",CaseLedger!$K:$K,"Livelihood"))</x:f>
      </x:c>
      <x:c r="I409" t="str">
        <x:f>IF($A409="","",COUNTIFS(CaseLedger!$F:$F,$A409,CaseLedger!$B:$B,"TRUE",CaseLedger!$K:$K,"Skill Sponsorship"))</x:f>
      </x:c>
      <x:c r="J409" t="str">
        <x:f>IF($A409="","",COUNTIFS(CaseLedger!$F:$F,$A409,CaseLedger!$B:$B,"TRUE",CaseLedger!$K:$K,"Emergency Support"))</x:f>
      </x:c>
      <x:c r="K409" t="str">
        <x:f>IF($A409="","",COUNTIFS(CaseLedger!$F:$F,$A409,CaseLedger!$B:$B,"TRUE",CaseLedger!$K:$K,"Community Support"))</x:f>
      </x:c>
      <x:c r="L409" t="str">
        <x:f>IF($A409="","",SUMIFS(CaseLedger!$M:$M,CaseLedger!$F:$F,$A409,CaseLedger!$B:$B,"TRUE"))</x:f>
      </x:c>
      <x:c r="M409" t="str">
        <x:f>IF($A409="","",SUMIFS(CaseLedger!$N:$N,CaseLedger!$F:$F,$A409,CaseLedger!$B:$B,"TRUE"))</x:f>
      </x:c>
      <x:c r="N409" t="str">
        <x:f>IF($A409="","",0)</x:f>
      </x:c>
      <x:c r="O409" t="str">
        <x:f>IF($A409="","",SUMIFS(CaseLedger!$O:$O,CaseLedger!$F:$F,$A409,CaseLedger!$B:$B,"TRUE"))</x:f>
      </x:c>
      <x:c r="P409" t="str">
        <x:f>IF($A409="","",IFERROR(VLOOKUP($A409,MonthlyFinance!$A:$G,4,FALSE),""))</x:f>
      </x:c>
      <x:c r="Q409" t="str">
        <x:f>IF($A409="","",IFERROR(VLOOKUP($A409,MonthlyFinance!$A:$G,5,FALSE),""))</x:f>
      </x:c>
      <x:c r="R409" t="str">
        <x:f>IF($A409="","",IFERROR(VLOOKUP($A409,MonthlyFinance!$A:$G,6,FALSE),""))</x:f>
      </x:c>
      <x:c r="S409" t="str">
        <x:f>IF($A409="","","Formula-linked from CaseLedger; finance fields from MonthlyFinance.")</x:f>
      </x:c>
      <x:c r="T409" t="str">
        <x:f>IF($A409="","","TRUE")</x:f>
      </x:c>
    </x:row>
    <x:row r="410">
      <x:c r="D410" t="str">
        <x:f>IF($A410="","",COUNTIFS(CaseLedger!$F:$F,$A410,CaseLedger!$B:$B,"TRUE"))</x:f>
      </x:c>
      <x:c r="E410" t="str">
        <x:f>IF($A410="","",COUNTIFS(CaseLedger!$F:$F,$A410,CaseLedger!$B:$B,"TRUE",CaseLedger!$P:$P,"Zakat"))</x:f>
      </x:c>
      <x:c r="F410" t="str">
        <x:f>IF($A410="","",COUNTIFS(CaseLedger!$F:$F,$A410,CaseLedger!$B:$B,"TRUE",CaseLedger!$P:$P,"Sadaqah"))</x:f>
      </x:c>
      <x:c r="G410" t="str">
        <x:f>IF($A410="","",COUNTIFS(CaseLedger!$F:$F,$A410,CaseLedger!$B:$B,"TRUE",CaseLedger!$P:$P,"Mixed"))</x:f>
      </x:c>
      <x:c r="H410" t="str">
        <x:f>IF($A410="","",COUNTIFS(CaseLedger!$F:$F,$A410,CaseLedger!$B:$B,"TRUE",CaseLedger!$K:$K,"Livelihood"))</x:f>
      </x:c>
      <x:c r="I410" t="str">
        <x:f>IF($A410="","",COUNTIFS(CaseLedger!$F:$F,$A410,CaseLedger!$B:$B,"TRUE",CaseLedger!$K:$K,"Skill Sponsorship"))</x:f>
      </x:c>
      <x:c r="J410" t="str">
        <x:f>IF($A410="","",COUNTIFS(CaseLedger!$F:$F,$A410,CaseLedger!$B:$B,"TRUE",CaseLedger!$K:$K,"Emergency Support"))</x:f>
      </x:c>
      <x:c r="K410" t="str">
        <x:f>IF($A410="","",COUNTIFS(CaseLedger!$F:$F,$A410,CaseLedger!$B:$B,"TRUE",CaseLedger!$K:$K,"Community Support"))</x:f>
      </x:c>
      <x:c r="L410" t="str">
        <x:f>IF($A410="","",SUMIFS(CaseLedger!$M:$M,CaseLedger!$F:$F,$A410,CaseLedger!$B:$B,"TRUE"))</x:f>
      </x:c>
      <x:c r="M410" t="str">
        <x:f>IF($A410="","",SUMIFS(CaseLedger!$N:$N,CaseLedger!$F:$F,$A410,CaseLedger!$B:$B,"TRUE"))</x:f>
      </x:c>
      <x:c r="N410" t="str">
        <x:f>IF($A410="","",0)</x:f>
      </x:c>
      <x:c r="O410" t="str">
        <x:f>IF($A410="","",SUMIFS(CaseLedger!$O:$O,CaseLedger!$F:$F,$A410,CaseLedger!$B:$B,"TRUE"))</x:f>
      </x:c>
      <x:c r="P410" t="str">
        <x:f>IF($A410="","",IFERROR(VLOOKUP($A410,MonthlyFinance!$A:$G,4,FALSE),""))</x:f>
      </x:c>
      <x:c r="Q410" t="str">
        <x:f>IF($A410="","",IFERROR(VLOOKUP($A410,MonthlyFinance!$A:$G,5,FALSE),""))</x:f>
      </x:c>
      <x:c r="R410" t="str">
        <x:f>IF($A410="","",IFERROR(VLOOKUP($A410,MonthlyFinance!$A:$G,6,FALSE),""))</x:f>
      </x:c>
      <x:c r="S410" t="str">
        <x:f>IF($A410="","","Formula-linked from CaseLedger; finance fields from MonthlyFinance.")</x:f>
      </x:c>
      <x:c r="T410" t="str">
        <x:f>IF($A410="","","TRUE")</x:f>
      </x:c>
    </x:row>
    <x:row r="411">
      <x:c r="D411" t="str">
        <x:f>IF($A411="","",COUNTIFS(CaseLedger!$F:$F,$A411,CaseLedger!$B:$B,"TRUE"))</x:f>
      </x:c>
      <x:c r="E411" t="str">
        <x:f>IF($A411="","",COUNTIFS(CaseLedger!$F:$F,$A411,CaseLedger!$B:$B,"TRUE",CaseLedger!$P:$P,"Zakat"))</x:f>
      </x:c>
      <x:c r="F411" t="str">
        <x:f>IF($A411="","",COUNTIFS(CaseLedger!$F:$F,$A411,CaseLedger!$B:$B,"TRUE",CaseLedger!$P:$P,"Sadaqah"))</x:f>
      </x:c>
      <x:c r="G411" t="str">
        <x:f>IF($A411="","",COUNTIFS(CaseLedger!$F:$F,$A411,CaseLedger!$B:$B,"TRUE",CaseLedger!$P:$P,"Mixed"))</x:f>
      </x:c>
      <x:c r="H411" t="str">
        <x:f>IF($A411="","",COUNTIFS(CaseLedger!$F:$F,$A411,CaseLedger!$B:$B,"TRUE",CaseLedger!$K:$K,"Livelihood"))</x:f>
      </x:c>
      <x:c r="I411" t="str">
        <x:f>IF($A411="","",COUNTIFS(CaseLedger!$F:$F,$A411,CaseLedger!$B:$B,"TRUE",CaseLedger!$K:$K,"Skill Sponsorship"))</x:f>
      </x:c>
      <x:c r="J411" t="str">
        <x:f>IF($A411="","",COUNTIFS(CaseLedger!$F:$F,$A411,CaseLedger!$B:$B,"TRUE",CaseLedger!$K:$K,"Emergency Support"))</x:f>
      </x:c>
      <x:c r="K411" t="str">
        <x:f>IF($A411="","",COUNTIFS(CaseLedger!$F:$F,$A411,CaseLedger!$B:$B,"TRUE",CaseLedger!$K:$K,"Community Support"))</x:f>
      </x:c>
      <x:c r="L411" t="str">
        <x:f>IF($A411="","",SUMIFS(CaseLedger!$M:$M,CaseLedger!$F:$F,$A411,CaseLedger!$B:$B,"TRUE"))</x:f>
      </x:c>
      <x:c r="M411" t="str">
        <x:f>IF($A411="","",SUMIFS(CaseLedger!$N:$N,CaseLedger!$F:$F,$A411,CaseLedger!$B:$B,"TRUE"))</x:f>
      </x:c>
      <x:c r="N411" t="str">
        <x:f>IF($A411="","",0)</x:f>
      </x:c>
      <x:c r="O411" t="str">
        <x:f>IF($A411="","",SUMIFS(CaseLedger!$O:$O,CaseLedger!$F:$F,$A411,CaseLedger!$B:$B,"TRUE"))</x:f>
      </x:c>
      <x:c r="P411" t="str">
        <x:f>IF($A411="","",IFERROR(VLOOKUP($A411,MonthlyFinance!$A:$G,4,FALSE),""))</x:f>
      </x:c>
      <x:c r="Q411" t="str">
        <x:f>IF($A411="","",IFERROR(VLOOKUP($A411,MonthlyFinance!$A:$G,5,FALSE),""))</x:f>
      </x:c>
      <x:c r="R411" t="str">
        <x:f>IF($A411="","",IFERROR(VLOOKUP($A411,MonthlyFinance!$A:$G,6,FALSE),""))</x:f>
      </x:c>
      <x:c r="S411" t="str">
        <x:f>IF($A411="","","Formula-linked from CaseLedger; finance fields from MonthlyFinance.")</x:f>
      </x:c>
      <x:c r="T411" t="str">
        <x:f>IF($A411="","","TRUE")</x:f>
      </x:c>
    </x:row>
    <x:row r="412">
      <x:c r="D412" t="str">
        <x:f>IF($A412="","",COUNTIFS(CaseLedger!$F:$F,$A412,CaseLedger!$B:$B,"TRUE"))</x:f>
      </x:c>
      <x:c r="E412" t="str">
        <x:f>IF($A412="","",COUNTIFS(CaseLedger!$F:$F,$A412,CaseLedger!$B:$B,"TRUE",CaseLedger!$P:$P,"Zakat"))</x:f>
      </x:c>
      <x:c r="F412" t="str">
        <x:f>IF($A412="","",COUNTIFS(CaseLedger!$F:$F,$A412,CaseLedger!$B:$B,"TRUE",CaseLedger!$P:$P,"Sadaqah"))</x:f>
      </x:c>
      <x:c r="G412" t="str">
        <x:f>IF($A412="","",COUNTIFS(CaseLedger!$F:$F,$A412,CaseLedger!$B:$B,"TRUE",CaseLedger!$P:$P,"Mixed"))</x:f>
      </x:c>
      <x:c r="H412" t="str">
        <x:f>IF($A412="","",COUNTIFS(CaseLedger!$F:$F,$A412,CaseLedger!$B:$B,"TRUE",CaseLedger!$K:$K,"Livelihood"))</x:f>
      </x:c>
      <x:c r="I412" t="str">
        <x:f>IF($A412="","",COUNTIFS(CaseLedger!$F:$F,$A412,CaseLedger!$B:$B,"TRUE",CaseLedger!$K:$K,"Skill Sponsorship"))</x:f>
      </x:c>
      <x:c r="J412" t="str">
        <x:f>IF($A412="","",COUNTIFS(CaseLedger!$F:$F,$A412,CaseLedger!$B:$B,"TRUE",CaseLedger!$K:$K,"Emergency Support"))</x:f>
      </x:c>
      <x:c r="K412" t="str">
        <x:f>IF($A412="","",COUNTIFS(CaseLedger!$F:$F,$A412,CaseLedger!$B:$B,"TRUE",CaseLedger!$K:$K,"Community Support"))</x:f>
      </x:c>
      <x:c r="L412" t="str">
        <x:f>IF($A412="","",SUMIFS(CaseLedger!$M:$M,CaseLedger!$F:$F,$A412,CaseLedger!$B:$B,"TRUE"))</x:f>
      </x:c>
      <x:c r="M412" t="str">
        <x:f>IF($A412="","",SUMIFS(CaseLedger!$N:$N,CaseLedger!$F:$F,$A412,CaseLedger!$B:$B,"TRUE"))</x:f>
      </x:c>
      <x:c r="N412" t="str">
        <x:f>IF($A412="","",0)</x:f>
      </x:c>
      <x:c r="O412" t="str">
        <x:f>IF($A412="","",SUMIFS(CaseLedger!$O:$O,CaseLedger!$F:$F,$A412,CaseLedger!$B:$B,"TRUE"))</x:f>
      </x:c>
      <x:c r="P412" t="str">
        <x:f>IF($A412="","",IFERROR(VLOOKUP($A412,MonthlyFinance!$A:$G,4,FALSE),""))</x:f>
      </x:c>
      <x:c r="Q412" t="str">
        <x:f>IF($A412="","",IFERROR(VLOOKUP($A412,MonthlyFinance!$A:$G,5,FALSE),""))</x:f>
      </x:c>
      <x:c r="R412" t="str">
        <x:f>IF($A412="","",IFERROR(VLOOKUP($A412,MonthlyFinance!$A:$G,6,FALSE),""))</x:f>
      </x:c>
      <x:c r="S412" t="str">
        <x:f>IF($A412="","","Formula-linked from CaseLedger; finance fields from MonthlyFinance.")</x:f>
      </x:c>
      <x:c r="T412" t="str">
        <x:f>IF($A412="","","TRUE")</x:f>
      </x:c>
    </x:row>
    <x:row r="413">
      <x:c r="D413" t="str">
        <x:f>IF($A413="","",COUNTIFS(CaseLedger!$F:$F,$A413,CaseLedger!$B:$B,"TRUE"))</x:f>
      </x:c>
      <x:c r="E413" t="str">
        <x:f>IF($A413="","",COUNTIFS(CaseLedger!$F:$F,$A413,CaseLedger!$B:$B,"TRUE",CaseLedger!$P:$P,"Zakat"))</x:f>
      </x:c>
      <x:c r="F413" t="str">
        <x:f>IF($A413="","",COUNTIFS(CaseLedger!$F:$F,$A413,CaseLedger!$B:$B,"TRUE",CaseLedger!$P:$P,"Sadaqah"))</x:f>
      </x:c>
      <x:c r="G413" t="str">
        <x:f>IF($A413="","",COUNTIFS(CaseLedger!$F:$F,$A413,CaseLedger!$B:$B,"TRUE",CaseLedger!$P:$P,"Mixed"))</x:f>
      </x:c>
      <x:c r="H413" t="str">
        <x:f>IF($A413="","",COUNTIFS(CaseLedger!$F:$F,$A413,CaseLedger!$B:$B,"TRUE",CaseLedger!$K:$K,"Livelihood"))</x:f>
      </x:c>
      <x:c r="I413" t="str">
        <x:f>IF($A413="","",COUNTIFS(CaseLedger!$F:$F,$A413,CaseLedger!$B:$B,"TRUE",CaseLedger!$K:$K,"Skill Sponsorship"))</x:f>
      </x:c>
      <x:c r="J413" t="str">
        <x:f>IF($A413="","",COUNTIFS(CaseLedger!$F:$F,$A413,CaseLedger!$B:$B,"TRUE",CaseLedger!$K:$K,"Emergency Support"))</x:f>
      </x:c>
      <x:c r="K413" t="str">
        <x:f>IF($A413="","",COUNTIFS(CaseLedger!$F:$F,$A413,CaseLedger!$B:$B,"TRUE",CaseLedger!$K:$K,"Community Support"))</x:f>
      </x:c>
      <x:c r="L413" t="str">
        <x:f>IF($A413="","",SUMIFS(CaseLedger!$M:$M,CaseLedger!$F:$F,$A413,CaseLedger!$B:$B,"TRUE"))</x:f>
      </x:c>
      <x:c r="M413" t="str">
        <x:f>IF($A413="","",SUMIFS(CaseLedger!$N:$N,CaseLedger!$F:$F,$A413,CaseLedger!$B:$B,"TRUE"))</x:f>
      </x:c>
      <x:c r="N413" t="str">
        <x:f>IF($A413="","",0)</x:f>
      </x:c>
      <x:c r="O413" t="str">
        <x:f>IF($A413="","",SUMIFS(CaseLedger!$O:$O,CaseLedger!$F:$F,$A413,CaseLedger!$B:$B,"TRUE"))</x:f>
      </x:c>
      <x:c r="P413" t="str">
        <x:f>IF($A413="","",IFERROR(VLOOKUP($A413,MonthlyFinance!$A:$G,4,FALSE),""))</x:f>
      </x:c>
      <x:c r="Q413" t="str">
        <x:f>IF($A413="","",IFERROR(VLOOKUP($A413,MonthlyFinance!$A:$G,5,FALSE),""))</x:f>
      </x:c>
      <x:c r="R413" t="str">
        <x:f>IF($A413="","",IFERROR(VLOOKUP($A413,MonthlyFinance!$A:$G,6,FALSE),""))</x:f>
      </x:c>
      <x:c r="S413" t="str">
        <x:f>IF($A413="","","Formula-linked from CaseLedger; finance fields from MonthlyFinance.")</x:f>
      </x:c>
      <x:c r="T413" t="str">
        <x:f>IF($A413="","","TRUE")</x:f>
      </x:c>
    </x:row>
    <x:row r="414">
      <x:c r="D414" t="str">
        <x:f>IF($A414="","",COUNTIFS(CaseLedger!$F:$F,$A414,CaseLedger!$B:$B,"TRUE"))</x:f>
      </x:c>
      <x:c r="E414" t="str">
        <x:f>IF($A414="","",COUNTIFS(CaseLedger!$F:$F,$A414,CaseLedger!$B:$B,"TRUE",CaseLedger!$P:$P,"Zakat"))</x:f>
      </x:c>
      <x:c r="F414" t="str">
        <x:f>IF($A414="","",COUNTIFS(CaseLedger!$F:$F,$A414,CaseLedger!$B:$B,"TRUE",CaseLedger!$P:$P,"Sadaqah"))</x:f>
      </x:c>
      <x:c r="G414" t="str">
        <x:f>IF($A414="","",COUNTIFS(CaseLedger!$F:$F,$A414,CaseLedger!$B:$B,"TRUE",CaseLedger!$P:$P,"Mixed"))</x:f>
      </x:c>
      <x:c r="H414" t="str">
        <x:f>IF($A414="","",COUNTIFS(CaseLedger!$F:$F,$A414,CaseLedger!$B:$B,"TRUE",CaseLedger!$K:$K,"Livelihood"))</x:f>
      </x:c>
      <x:c r="I414" t="str">
        <x:f>IF($A414="","",COUNTIFS(CaseLedger!$F:$F,$A414,CaseLedger!$B:$B,"TRUE",CaseLedger!$K:$K,"Skill Sponsorship"))</x:f>
      </x:c>
      <x:c r="J414" t="str">
        <x:f>IF($A414="","",COUNTIFS(CaseLedger!$F:$F,$A414,CaseLedger!$B:$B,"TRUE",CaseLedger!$K:$K,"Emergency Support"))</x:f>
      </x:c>
      <x:c r="K414" t="str">
        <x:f>IF($A414="","",COUNTIFS(CaseLedger!$F:$F,$A414,CaseLedger!$B:$B,"TRUE",CaseLedger!$K:$K,"Community Support"))</x:f>
      </x:c>
      <x:c r="L414" t="str">
        <x:f>IF($A414="","",SUMIFS(CaseLedger!$M:$M,CaseLedger!$F:$F,$A414,CaseLedger!$B:$B,"TRUE"))</x:f>
      </x:c>
      <x:c r="M414" t="str">
        <x:f>IF($A414="","",SUMIFS(CaseLedger!$N:$N,CaseLedger!$F:$F,$A414,CaseLedger!$B:$B,"TRUE"))</x:f>
      </x:c>
      <x:c r="N414" t="str">
        <x:f>IF($A414="","",0)</x:f>
      </x:c>
      <x:c r="O414" t="str">
        <x:f>IF($A414="","",SUMIFS(CaseLedger!$O:$O,CaseLedger!$F:$F,$A414,CaseLedger!$B:$B,"TRUE"))</x:f>
      </x:c>
      <x:c r="P414" t="str">
        <x:f>IF($A414="","",IFERROR(VLOOKUP($A414,MonthlyFinance!$A:$G,4,FALSE),""))</x:f>
      </x:c>
      <x:c r="Q414" t="str">
        <x:f>IF($A414="","",IFERROR(VLOOKUP($A414,MonthlyFinance!$A:$G,5,FALSE),""))</x:f>
      </x:c>
      <x:c r="R414" t="str">
        <x:f>IF($A414="","",IFERROR(VLOOKUP($A414,MonthlyFinance!$A:$G,6,FALSE),""))</x:f>
      </x:c>
      <x:c r="S414" t="str">
        <x:f>IF($A414="","","Formula-linked from CaseLedger; finance fields from MonthlyFinance.")</x:f>
      </x:c>
      <x:c r="T414" t="str">
        <x:f>IF($A414="","","TRUE")</x:f>
      </x:c>
    </x:row>
    <x:row r="415">
      <x:c r="D415" t="str">
        <x:f>IF($A415="","",COUNTIFS(CaseLedger!$F:$F,$A415,CaseLedger!$B:$B,"TRUE"))</x:f>
      </x:c>
      <x:c r="E415" t="str">
        <x:f>IF($A415="","",COUNTIFS(CaseLedger!$F:$F,$A415,CaseLedger!$B:$B,"TRUE",CaseLedger!$P:$P,"Zakat"))</x:f>
      </x:c>
      <x:c r="F415" t="str">
        <x:f>IF($A415="","",COUNTIFS(CaseLedger!$F:$F,$A415,CaseLedger!$B:$B,"TRUE",CaseLedger!$P:$P,"Sadaqah"))</x:f>
      </x:c>
      <x:c r="G415" t="str">
        <x:f>IF($A415="","",COUNTIFS(CaseLedger!$F:$F,$A415,CaseLedger!$B:$B,"TRUE",CaseLedger!$P:$P,"Mixed"))</x:f>
      </x:c>
      <x:c r="H415" t="str">
        <x:f>IF($A415="","",COUNTIFS(CaseLedger!$F:$F,$A415,CaseLedger!$B:$B,"TRUE",CaseLedger!$K:$K,"Livelihood"))</x:f>
      </x:c>
      <x:c r="I415" t="str">
        <x:f>IF($A415="","",COUNTIFS(CaseLedger!$F:$F,$A415,CaseLedger!$B:$B,"TRUE",CaseLedger!$K:$K,"Skill Sponsorship"))</x:f>
      </x:c>
      <x:c r="J415" t="str">
        <x:f>IF($A415="","",COUNTIFS(CaseLedger!$F:$F,$A415,CaseLedger!$B:$B,"TRUE",CaseLedger!$K:$K,"Emergency Support"))</x:f>
      </x:c>
      <x:c r="K415" t="str">
        <x:f>IF($A415="","",COUNTIFS(CaseLedger!$F:$F,$A415,CaseLedger!$B:$B,"TRUE",CaseLedger!$K:$K,"Community Support"))</x:f>
      </x:c>
      <x:c r="L415" t="str">
        <x:f>IF($A415="","",SUMIFS(CaseLedger!$M:$M,CaseLedger!$F:$F,$A415,CaseLedger!$B:$B,"TRUE"))</x:f>
      </x:c>
      <x:c r="M415" t="str">
        <x:f>IF($A415="","",SUMIFS(CaseLedger!$N:$N,CaseLedger!$F:$F,$A415,CaseLedger!$B:$B,"TRUE"))</x:f>
      </x:c>
      <x:c r="N415" t="str">
        <x:f>IF($A415="","",0)</x:f>
      </x:c>
      <x:c r="O415" t="str">
        <x:f>IF($A415="","",SUMIFS(CaseLedger!$O:$O,CaseLedger!$F:$F,$A415,CaseLedger!$B:$B,"TRUE"))</x:f>
      </x:c>
      <x:c r="P415" t="str">
        <x:f>IF($A415="","",IFERROR(VLOOKUP($A415,MonthlyFinance!$A:$G,4,FALSE),""))</x:f>
      </x:c>
      <x:c r="Q415" t="str">
        <x:f>IF($A415="","",IFERROR(VLOOKUP($A415,MonthlyFinance!$A:$G,5,FALSE),""))</x:f>
      </x:c>
      <x:c r="R415" t="str">
        <x:f>IF($A415="","",IFERROR(VLOOKUP($A415,MonthlyFinance!$A:$G,6,FALSE),""))</x:f>
      </x:c>
      <x:c r="S415" t="str">
        <x:f>IF($A415="","","Formula-linked from CaseLedger; finance fields from MonthlyFinance.")</x:f>
      </x:c>
      <x:c r="T415" t="str">
        <x:f>IF($A415="","","TRUE")</x:f>
      </x:c>
    </x:row>
    <x:row r="416">
      <x:c r="D416" t="str">
        <x:f>IF($A416="","",COUNTIFS(CaseLedger!$F:$F,$A416,CaseLedger!$B:$B,"TRUE"))</x:f>
      </x:c>
      <x:c r="E416" t="str">
        <x:f>IF($A416="","",COUNTIFS(CaseLedger!$F:$F,$A416,CaseLedger!$B:$B,"TRUE",CaseLedger!$P:$P,"Zakat"))</x:f>
      </x:c>
      <x:c r="F416" t="str">
        <x:f>IF($A416="","",COUNTIFS(CaseLedger!$F:$F,$A416,CaseLedger!$B:$B,"TRUE",CaseLedger!$P:$P,"Sadaqah"))</x:f>
      </x:c>
      <x:c r="G416" t="str">
        <x:f>IF($A416="","",COUNTIFS(CaseLedger!$F:$F,$A416,CaseLedger!$B:$B,"TRUE",CaseLedger!$P:$P,"Mixed"))</x:f>
      </x:c>
      <x:c r="H416" t="str">
        <x:f>IF($A416="","",COUNTIFS(CaseLedger!$F:$F,$A416,CaseLedger!$B:$B,"TRUE",CaseLedger!$K:$K,"Livelihood"))</x:f>
      </x:c>
      <x:c r="I416" t="str">
        <x:f>IF($A416="","",COUNTIFS(CaseLedger!$F:$F,$A416,CaseLedger!$B:$B,"TRUE",CaseLedger!$K:$K,"Skill Sponsorship"))</x:f>
      </x:c>
      <x:c r="J416" t="str">
        <x:f>IF($A416="","",COUNTIFS(CaseLedger!$F:$F,$A416,CaseLedger!$B:$B,"TRUE",CaseLedger!$K:$K,"Emergency Support"))</x:f>
      </x:c>
      <x:c r="K416" t="str">
        <x:f>IF($A416="","",COUNTIFS(CaseLedger!$F:$F,$A416,CaseLedger!$B:$B,"TRUE",CaseLedger!$K:$K,"Community Support"))</x:f>
      </x:c>
      <x:c r="L416" t="str">
        <x:f>IF($A416="","",SUMIFS(CaseLedger!$M:$M,CaseLedger!$F:$F,$A416,CaseLedger!$B:$B,"TRUE"))</x:f>
      </x:c>
      <x:c r="M416" t="str">
        <x:f>IF($A416="","",SUMIFS(CaseLedger!$N:$N,CaseLedger!$F:$F,$A416,CaseLedger!$B:$B,"TRUE"))</x:f>
      </x:c>
      <x:c r="N416" t="str">
        <x:f>IF($A416="","",0)</x:f>
      </x:c>
      <x:c r="O416" t="str">
        <x:f>IF($A416="","",SUMIFS(CaseLedger!$O:$O,CaseLedger!$F:$F,$A416,CaseLedger!$B:$B,"TRUE"))</x:f>
      </x:c>
      <x:c r="P416" t="str">
        <x:f>IF($A416="","",IFERROR(VLOOKUP($A416,MonthlyFinance!$A:$G,4,FALSE),""))</x:f>
      </x:c>
      <x:c r="Q416" t="str">
        <x:f>IF($A416="","",IFERROR(VLOOKUP($A416,MonthlyFinance!$A:$G,5,FALSE),""))</x:f>
      </x:c>
      <x:c r="R416" t="str">
        <x:f>IF($A416="","",IFERROR(VLOOKUP($A416,MonthlyFinance!$A:$G,6,FALSE),""))</x:f>
      </x:c>
      <x:c r="S416" t="str">
        <x:f>IF($A416="","","Formula-linked from CaseLedger; finance fields from MonthlyFinance.")</x:f>
      </x:c>
      <x:c r="T416" t="str">
        <x:f>IF($A416="","","TRUE")</x:f>
      </x:c>
    </x:row>
    <x:row r="417">
      <x:c r="D417" t="str">
        <x:f>IF($A417="","",COUNTIFS(CaseLedger!$F:$F,$A417,CaseLedger!$B:$B,"TRUE"))</x:f>
      </x:c>
      <x:c r="E417" t="str">
        <x:f>IF($A417="","",COUNTIFS(CaseLedger!$F:$F,$A417,CaseLedger!$B:$B,"TRUE",CaseLedger!$P:$P,"Zakat"))</x:f>
      </x:c>
      <x:c r="F417" t="str">
        <x:f>IF($A417="","",COUNTIFS(CaseLedger!$F:$F,$A417,CaseLedger!$B:$B,"TRUE",CaseLedger!$P:$P,"Sadaqah"))</x:f>
      </x:c>
      <x:c r="G417" t="str">
        <x:f>IF($A417="","",COUNTIFS(CaseLedger!$F:$F,$A417,CaseLedger!$B:$B,"TRUE",CaseLedger!$P:$P,"Mixed"))</x:f>
      </x:c>
      <x:c r="H417" t="str">
        <x:f>IF($A417="","",COUNTIFS(CaseLedger!$F:$F,$A417,CaseLedger!$B:$B,"TRUE",CaseLedger!$K:$K,"Livelihood"))</x:f>
      </x:c>
      <x:c r="I417" t="str">
        <x:f>IF($A417="","",COUNTIFS(CaseLedger!$F:$F,$A417,CaseLedger!$B:$B,"TRUE",CaseLedger!$K:$K,"Skill Sponsorship"))</x:f>
      </x:c>
      <x:c r="J417" t="str">
        <x:f>IF($A417="","",COUNTIFS(CaseLedger!$F:$F,$A417,CaseLedger!$B:$B,"TRUE",CaseLedger!$K:$K,"Emergency Support"))</x:f>
      </x:c>
      <x:c r="K417" t="str">
        <x:f>IF($A417="","",COUNTIFS(CaseLedger!$F:$F,$A417,CaseLedger!$B:$B,"TRUE",CaseLedger!$K:$K,"Community Support"))</x:f>
      </x:c>
      <x:c r="L417" t="str">
        <x:f>IF($A417="","",SUMIFS(CaseLedger!$M:$M,CaseLedger!$F:$F,$A417,CaseLedger!$B:$B,"TRUE"))</x:f>
      </x:c>
      <x:c r="M417" t="str">
        <x:f>IF($A417="","",SUMIFS(CaseLedger!$N:$N,CaseLedger!$F:$F,$A417,CaseLedger!$B:$B,"TRUE"))</x:f>
      </x:c>
      <x:c r="N417" t="str">
        <x:f>IF($A417="","",0)</x:f>
      </x:c>
      <x:c r="O417" t="str">
        <x:f>IF($A417="","",SUMIFS(CaseLedger!$O:$O,CaseLedger!$F:$F,$A417,CaseLedger!$B:$B,"TRUE"))</x:f>
      </x:c>
      <x:c r="P417" t="str">
        <x:f>IF($A417="","",IFERROR(VLOOKUP($A417,MonthlyFinance!$A:$G,4,FALSE),""))</x:f>
      </x:c>
      <x:c r="Q417" t="str">
        <x:f>IF($A417="","",IFERROR(VLOOKUP($A417,MonthlyFinance!$A:$G,5,FALSE),""))</x:f>
      </x:c>
      <x:c r="R417" t="str">
        <x:f>IF($A417="","",IFERROR(VLOOKUP($A417,MonthlyFinance!$A:$G,6,FALSE),""))</x:f>
      </x:c>
      <x:c r="S417" t="str">
        <x:f>IF($A417="","","Formula-linked from CaseLedger; finance fields from MonthlyFinance.")</x:f>
      </x:c>
      <x:c r="T417" t="str">
        <x:f>IF($A417="","","TRUE")</x:f>
      </x:c>
    </x:row>
    <x:row r="418">
      <x:c r="D418" t="str">
        <x:f>IF($A418="","",COUNTIFS(CaseLedger!$F:$F,$A418,CaseLedger!$B:$B,"TRUE"))</x:f>
      </x:c>
      <x:c r="E418" t="str">
        <x:f>IF($A418="","",COUNTIFS(CaseLedger!$F:$F,$A418,CaseLedger!$B:$B,"TRUE",CaseLedger!$P:$P,"Zakat"))</x:f>
      </x:c>
      <x:c r="F418" t="str">
        <x:f>IF($A418="","",COUNTIFS(CaseLedger!$F:$F,$A418,CaseLedger!$B:$B,"TRUE",CaseLedger!$P:$P,"Sadaqah"))</x:f>
      </x:c>
      <x:c r="G418" t="str">
        <x:f>IF($A418="","",COUNTIFS(CaseLedger!$F:$F,$A418,CaseLedger!$B:$B,"TRUE",CaseLedger!$P:$P,"Mixed"))</x:f>
      </x:c>
      <x:c r="H418" t="str">
        <x:f>IF($A418="","",COUNTIFS(CaseLedger!$F:$F,$A418,CaseLedger!$B:$B,"TRUE",CaseLedger!$K:$K,"Livelihood"))</x:f>
      </x:c>
      <x:c r="I418" t="str">
        <x:f>IF($A418="","",COUNTIFS(CaseLedger!$F:$F,$A418,CaseLedger!$B:$B,"TRUE",CaseLedger!$K:$K,"Skill Sponsorship"))</x:f>
      </x:c>
      <x:c r="J418" t="str">
        <x:f>IF($A418="","",COUNTIFS(CaseLedger!$F:$F,$A418,CaseLedger!$B:$B,"TRUE",CaseLedger!$K:$K,"Emergency Support"))</x:f>
      </x:c>
      <x:c r="K418" t="str">
        <x:f>IF($A418="","",COUNTIFS(CaseLedger!$F:$F,$A418,CaseLedger!$B:$B,"TRUE",CaseLedger!$K:$K,"Community Support"))</x:f>
      </x:c>
      <x:c r="L418" t="str">
        <x:f>IF($A418="","",SUMIFS(CaseLedger!$M:$M,CaseLedger!$F:$F,$A418,CaseLedger!$B:$B,"TRUE"))</x:f>
      </x:c>
      <x:c r="M418" t="str">
        <x:f>IF($A418="","",SUMIFS(CaseLedger!$N:$N,CaseLedger!$F:$F,$A418,CaseLedger!$B:$B,"TRUE"))</x:f>
      </x:c>
      <x:c r="N418" t="str">
        <x:f>IF($A418="","",0)</x:f>
      </x:c>
      <x:c r="O418" t="str">
        <x:f>IF($A418="","",SUMIFS(CaseLedger!$O:$O,CaseLedger!$F:$F,$A418,CaseLedger!$B:$B,"TRUE"))</x:f>
      </x:c>
      <x:c r="P418" t="str">
        <x:f>IF($A418="","",IFERROR(VLOOKUP($A418,MonthlyFinance!$A:$G,4,FALSE),""))</x:f>
      </x:c>
      <x:c r="Q418" t="str">
        <x:f>IF($A418="","",IFERROR(VLOOKUP($A418,MonthlyFinance!$A:$G,5,FALSE),""))</x:f>
      </x:c>
      <x:c r="R418" t="str">
        <x:f>IF($A418="","",IFERROR(VLOOKUP($A418,MonthlyFinance!$A:$G,6,FALSE),""))</x:f>
      </x:c>
      <x:c r="S418" t="str">
        <x:f>IF($A418="","","Formula-linked from CaseLedger; finance fields from MonthlyFinance.")</x:f>
      </x:c>
      <x:c r="T418" t="str">
        <x:f>IF($A418="","","TRUE")</x:f>
      </x:c>
    </x:row>
    <x:row r="419">
      <x:c r="D419" t="str">
        <x:f>IF($A419="","",COUNTIFS(CaseLedger!$F:$F,$A419,CaseLedger!$B:$B,"TRUE"))</x:f>
      </x:c>
      <x:c r="E419" t="str">
        <x:f>IF($A419="","",COUNTIFS(CaseLedger!$F:$F,$A419,CaseLedger!$B:$B,"TRUE",CaseLedger!$P:$P,"Zakat"))</x:f>
      </x:c>
      <x:c r="F419" t="str">
        <x:f>IF($A419="","",COUNTIFS(CaseLedger!$F:$F,$A419,CaseLedger!$B:$B,"TRUE",CaseLedger!$P:$P,"Sadaqah"))</x:f>
      </x:c>
      <x:c r="G419" t="str">
        <x:f>IF($A419="","",COUNTIFS(CaseLedger!$F:$F,$A419,CaseLedger!$B:$B,"TRUE",CaseLedger!$P:$P,"Mixed"))</x:f>
      </x:c>
      <x:c r="H419" t="str">
        <x:f>IF($A419="","",COUNTIFS(CaseLedger!$F:$F,$A419,CaseLedger!$B:$B,"TRUE",CaseLedger!$K:$K,"Livelihood"))</x:f>
      </x:c>
      <x:c r="I419" t="str">
        <x:f>IF($A419="","",COUNTIFS(CaseLedger!$F:$F,$A419,CaseLedger!$B:$B,"TRUE",CaseLedger!$K:$K,"Skill Sponsorship"))</x:f>
      </x:c>
      <x:c r="J419" t="str">
        <x:f>IF($A419="","",COUNTIFS(CaseLedger!$F:$F,$A419,CaseLedger!$B:$B,"TRUE",CaseLedger!$K:$K,"Emergency Support"))</x:f>
      </x:c>
      <x:c r="K419" t="str">
        <x:f>IF($A419="","",COUNTIFS(CaseLedger!$F:$F,$A419,CaseLedger!$B:$B,"TRUE",CaseLedger!$K:$K,"Community Support"))</x:f>
      </x:c>
      <x:c r="L419" t="str">
        <x:f>IF($A419="","",SUMIFS(CaseLedger!$M:$M,CaseLedger!$F:$F,$A419,CaseLedger!$B:$B,"TRUE"))</x:f>
      </x:c>
      <x:c r="M419" t="str">
        <x:f>IF($A419="","",SUMIFS(CaseLedger!$N:$N,CaseLedger!$F:$F,$A419,CaseLedger!$B:$B,"TRUE"))</x:f>
      </x:c>
      <x:c r="N419" t="str">
        <x:f>IF($A419="","",0)</x:f>
      </x:c>
      <x:c r="O419" t="str">
        <x:f>IF($A419="","",SUMIFS(CaseLedger!$O:$O,CaseLedger!$F:$F,$A419,CaseLedger!$B:$B,"TRUE"))</x:f>
      </x:c>
      <x:c r="P419" t="str">
        <x:f>IF($A419="","",IFERROR(VLOOKUP($A419,MonthlyFinance!$A:$G,4,FALSE),""))</x:f>
      </x:c>
      <x:c r="Q419" t="str">
        <x:f>IF($A419="","",IFERROR(VLOOKUP($A419,MonthlyFinance!$A:$G,5,FALSE),""))</x:f>
      </x:c>
      <x:c r="R419" t="str">
        <x:f>IF($A419="","",IFERROR(VLOOKUP($A419,MonthlyFinance!$A:$G,6,FALSE),""))</x:f>
      </x:c>
      <x:c r="S419" t="str">
        <x:f>IF($A419="","","Formula-linked from CaseLedger; finance fields from MonthlyFinance.")</x:f>
      </x:c>
      <x:c r="T419" t="str">
        <x:f>IF($A419="","","TRUE")</x:f>
      </x:c>
    </x:row>
    <x:row r="420">
      <x:c r="D420" t="str">
        <x:f>IF($A420="","",COUNTIFS(CaseLedger!$F:$F,$A420,CaseLedger!$B:$B,"TRUE"))</x:f>
      </x:c>
      <x:c r="E420" t="str">
        <x:f>IF($A420="","",COUNTIFS(CaseLedger!$F:$F,$A420,CaseLedger!$B:$B,"TRUE",CaseLedger!$P:$P,"Zakat"))</x:f>
      </x:c>
      <x:c r="F420" t="str">
        <x:f>IF($A420="","",COUNTIFS(CaseLedger!$F:$F,$A420,CaseLedger!$B:$B,"TRUE",CaseLedger!$P:$P,"Sadaqah"))</x:f>
      </x:c>
      <x:c r="G420" t="str">
        <x:f>IF($A420="","",COUNTIFS(CaseLedger!$F:$F,$A420,CaseLedger!$B:$B,"TRUE",CaseLedger!$P:$P,"Mixed"))</x:f>
      </x:c>
      <x:c r="H420" t="str">
        <x:f>IF($A420="","",COUNTIFS(CaseLedger!$F:$F,$A420,CaseLedger!$B:$B,"TRUE",CaseLedger!$K:$K,"Livelihood"))</x:f>
      </x:c>
      <x:c r="I420" t="str">
        <x:f>IF($A420="","",COUNTIFS(CaseLedger!$F:$F,$A420,CaseLedger!$B:$B,"TRUE",CaseLedger!$K:$K,"Skill Sponsorship"))</x:f>
      </x:c>
      <x:c r="J420" t="str">
        <x:f>IF($A420="","",COUNTIFS(CaseLedger!$F:$F,$A420,CaseLedger!$B:$B,"TRUE",CaseLedger!$K:$K,"Emergency Support"))</x:f>
      </x:c>
      <x:c r="K420" t="str">
        <x:f>IF($A420="","",COUNTIFS(CaseLedger!$F:$F,$A420,CaseLedger!$B:$B,"TRUE",CaseLedger!$K:$K,"Community Support"))</x:f>
      </x:c>
      <x:c r="L420" t="str">
        <x:f>IF($A420="","",SUMIFS(CaseLedger!$M:$M,CaseLedger!$F:$F,$A420,CaseLedger!$B:$B,"TRUE"))</x:f>
      </x:c>
      <x:c r="M420" t="str">
        <x:f>IF($A420="","",SUMIFS(CaseLedger!$N:$N,CaseLedger!$F:$F,$A420,CaseLedger!$B:$B,"TRUE"))</x:f>
      </x:c>
      <x:c r="N420" t="str">
        <x:f>IF($A420="","",0)</x:f>
      </x:c>
      <x:c r="O420" t="str">
        <x:f>IF($A420="","",SUMIFS(CaseLedger!$O:$O,CaseLedger!$F:$F,$A420,CaseLedger!$B:$B,"TRUE"))</x:f>
      </x:c>
      <x:c r="P420" t="str">
        <x:f>IF($A420="","",IFERROR(VLOOKUP($A420,MonthlyFinance!$A:$G,4,FALSE),""))</x:f>
      </x:c>
      <x:c r="Q420" t="str">
        <x:f>IF($A420="","",IFERROR(VLOOKUP($A420,MonthlyFinance!$A:$G,5,FALSE),""))</x:f>
      </x:c>
      <x:c r="R420" t="str">
        <x:f>IF($A420="","",IFERROR(VLOOKUP($A420,MonthlyFinance!$A:$G,6,FALSE),""))</x:f>
      </x:c>
      <x:c r="S420" t="str">
        <x:f>IF($A420="","","Formula-linked from CaseLedger; finance fields from MonthlyFinance.")</x:f>
      </x:c>
      <x:c r="T420" t="str">
        <x:f>IF($A420="","","TRUE")</x:f>
      </x:c>
    </x:row>
    <x:row r="421">
      <x:c r="D421" t="str">
        <x:f>IF($A421="","",COUNTIFS(CaseLedger!$F:$F,$A421,CaseLedger!$B:$B,"TRUE"))</x:f>
      </x:c>
      <x:c r="E421" t="str">
        <x:f>IF($A421="","",COUNTIFS(CaseLedger!$F:$F,$A421,CaseLedger!$B:$B,"TRUE",CaseLedger!$P:$P,"Zakat"))</x:f>
      </x:c>
      <x:c r="F421" t="str">
        <x:f>IF($A421="","",COUNTIFS(CaseLedger!$F:$F,$A421,CaseLedger!$B:$B,"TRUE",CaseLedger!$P:$P,"Sadaqah"))</x:f>
      </x:c>
      <x:c r="G421" t="str">
        <x:f>IF($A421="","",COUNTIFS(CaseLedger!$F:$F,$A421,CaseLedger!$B:$B,"TRUE",CaseLedger!$P:$P,"Mixed"))</x:f>
      </x:c>
      <x:c r="H421" t="str">
        <x:f>IF($A421="","",COUNTIFS(CaseLedger!$F:$F,$A421,CaseLedger!$B:$B,"TRUE",CaseLedger!$K:$K,"Livelihood"))</x:f>
      </x:c>
      <x:c r="I421" t="str">
        <x:f>IF($A421="","",COUNTIFS(CaseLedger!$F:$F,$A421,CaseLedger!$B:$B,"TRUE",CaseLedger!$K:$K,"Skill Sponsorship"))</x:f>
      </x:c>
      <x:c r="J421" t="str">
        <x:f>IF($A421="","",COUNTIFS(CaseLedger!$F:$F,$A421,CaseLedger!$B:$B,"TRUE",CaseLedger!$K:$K,"Emergency Support"))</x:f>
      </x:c>
      <x:c r="K421" t="str">
        <x:f>IF($A421="","",COUNTIFS(CaseLedger!$F:$F,$A421,CaseLedger!$B:$B,"TRUE",CaseLedger!$K:$K,"Community Support"))</x:f>
      </x:c>
      <x:c r="L421" t="str">
        <x:f>IF($A421="","",SUMIFS(CaseLedger!$M:$M,CaseLedger!$F:$F,$A421,CaseLedger!$B:$B,"TRUE"))</x:f>
      </x:c>
      <x:c r="M421" t="str">
        <x:f>IF($A421="","",SUMIFS(CaseLedger!$N:$N,CaseLedger!$F:$F,$A421,CaseLedger!$B:$B,"TRUE"))</x:f>
      </x:c>
      <x:c r="N421" t="str">
        <x:f>IF($A421="","",0)</x:f>
      </x:c>
      <x:c r="O421" t="str">
        <x:f>IF($A421="","",SUMIFS(CaseLedger!$O:$O,CaseLedger!$F:$F,$A421,CaseLedger!$B:$B,"TRUE"))</x:f>
      </x:c>
      <x:c r="P421" t="str">
        <x:f>IF($A421="","",IFERROR(VLOOKUP($A421,MonthlyFinance!$A:$G,4,FALSE),""))</x:f>
      </x:c>
      <x:c r="Q421" t="str">
        <x:f>IF($A421="","",IFERROR(VLOOKUP($A421,MonthlyFinance!$A:$G,5,FALSE),""))</x:f>
      </x:c>
      <x:c r="R421" t="str">
        <x:f>IF($A421="","",IFERROR(VLOOKUP($A421,MonthlyFinance!$A:$G,6,FALSE),""))</x:f>
      </x:c>
      <x:c r="S421" t="str">
        <x:f>IF($A421="","","Formula-linked from CaseLedger; finance fields from MonthlyFinance.")</x:f>
      </x:c>
      <x:c r="T421" t="str">
        <x:f>IF($A421="","","TRUE")</x:f>
      </x:c>
    </x:row>
    <x:row r="422">
      <x:c r="D422" t="str">
        <x:f>IF($A422="","",COUNTIFS(CaseLedger!$F:$F,$A422,CaseLedger!$B:$B,"TRUE"))</x:f>
      </x:c>
      <x:c r="E422" t="str">
        <x:f>IF($A422="","",COUNTIFS(CaseLedger!$F:$F,$A422,CaseLedger!$B:$B,"TRUE",CaseLedger!$P:$P,"Zakat"))</x:f>
      </x:c>
      <x:c r="F422" t="str">
        <x:f>IF($A422="","",COUNTIFS(CaseLedger!$F:$F,$A422,CaseLedger!$B:$B,"TRUE",CaseLedger!$P:$P,"Sadaqah"))</x:f>
      </x:c>
      <x:c r="G422" t="str">
        <x:f>IF($A422="","",COUNTIFS(CaseLedger!$F:$F,$A422,CaseLedger!$B:$B,"TRUE",CaseLedger!$P:$P,"Mixed"))</x:f>
      </x:c>
      <x:c r="H422" t="str">
        <x:f>IF($A422="","",COUNTIFS(CaseLedger!$F:$F,$A422,CaseLedger!$B:$B,"TRUE",CaseLedger!$K:$K,"Livelihood"))</x:f>
      </x:c>
      <x:c r="I422" t="str">
        <x:f>IF($A422="","",COUNTIFS(CaseLedger!$F:$F,$A422,CaseLedger!$B:$B,"TRUE",CaseLedger!$K:$K,"Skill Sponsorship"))</x:f>
      </x:c>
      <x:c r="J422" t="str">
        <x:f>IF($A422="","",COUNTIFS(CaseLedger!$F:$F,$A422,CaseLedger!$B:$B,"TRUE",CaseLedger!$K:$K,"Emergency Support"))</x:f>
      </x:c>
      <x:c r="K422" t="str">
        <x:f>IF($A422="","",COUNTIFS(CaseLedger!$F:$F,$A422,CaseLedger!$B:$B,"TRUE",CaseLedger!$K:$K,"Community Support"))</x:f>
      </x:c>
      <x:c r="L422" t="str">
        <x:f>IF($A422="","",SUMIFS(CaseLedger!$M:$M,CaseLedger!$F:$F,$A422,CaseLedger!$B:$B,"TRUE"))</x:f>
      </x:c>
      <x:c r="M422" t="str">
        <x:f>IF($A422="","",SUMIFS(CaseLedger!$N:$N,CaseLedger!$F:$F,$A422,CaseLedger!$B:$B,"TRUE"))</x:f>
      </x:c>
      <x:c r="N422" t="str">
        <x:f>IF($A422="","",0)</x:f>
      </x:c>
      <x:c r="O422" t="str">
        <x:f>IF($A422="","",SUMIFS(CaseLedger!$O:$O,CaseLedger!$F:$F,$A422,CaseLedger!$B:$B,"TRUE"))</x:f>
      </x:c>
      <x:c r="P422" t="str">
        <x:f>IF($A422="","",IFERROR(VLOOKUP($A422,MonthlyFinance!$A:$G,4,FALSE),""))</x:f>
      </x:c>
      <x:c r="Q422" t="str">
        <x:f>IF($A422="","",IFERROR(VLOOKUP($A422,MonthlyFinance!$A:$G,5,FALSE),""))</x:f>
      </x:c>
      <x:c r="R422" t="str">
        <x:f>IF($A422="","",IFERROR(VLOOKUP($A422,MonthlyFinance!$A:$G,6,FALSE),""))</x:f>
      </x:c>
      <x:c r="S422" t="str">
        <x:f>IF($A422="","","Formula-linked from CaseLedger; finance fields from MonthlyFinance.")</x:f>
      </x:c>
      <x:c r="T422" t="str">
        <x:f>IF($A422="","","TRUE")</x:f>
      </x:c>
    </x:row>
    <x:row r="423">
      <x:c r="D423" t="str">
        <x:f>IF($A423="","",COUNTIFS(CaseLedger!$F:$F,$A423,CaseLedger!$B:$B,"TRUE"))</x:f>
      </x:c>
      <x:c r="E423" t="str">
        <x:f>IF($A423="","",COUNTIFS(CaseLedger!$F:$F,$A423,CaseLedger!$B:$B,"TRUE",CaseLedger!$P:$P,"Zakat"))</x:f>
      </x:c>
      <x:c r="F423" t="str">
        <x:f>IF($A423="","",COUNTIFS(CaseLedger!$F:$F,$A423,CaseLedger!$B:$B,"TRUE",CaseLedger!$P:$P,"Sadaqah"))</x:f>
      </x:c>
      <x:c r="G423" t="str">
        <x:f>IF($A423="","",COUNTIFS(CaseLedger!$F:$F,$A423,CaseLedger!$B:$B,"TRUE",CaseLedger!$P:$P,"Mixed"))</x:f>
      </x:c>
      <x:c r="H423" t="str">
        <x:f>IF($A423="","",COUNTIFS(CaseLedger!$F:$F,$A423,CaseLedger!$B:$B,"TRUE",CaseLedger!$K:$K,"Livelihood"))</x:f>
      </x:c>
      <x:c r="I423" t="str">
        <x:f>IF($A423="","",COUNTIFS(CaseLedger!$F:$F,$A423,CaseLedger!$B:$B,"TRUE",CaseLedger!$K:$K,"Skill Sponsorship"))</x:f>
      </x:c>
      <x:c r="J423" t="str">
        <x:f>IF($A423="","",COUNTIFS(CaseLedger!$F:$F,$A423,CaseLedger!$B:$B,"TRUE",CaseLedger!$K:$K,"Emergency Support"))</x:f>
      </x:c>
      <x:c r="K423" t="str">
        <x:f>IF($A423="","",COUNTIFS(CaseLedger!$F:$F,$A423,CaseLedger!$B:$B,"TRUE",CaseLedger!$K:$K,"Community Support"))</x:f>
      </x:c>
      <x:c r="L423" t="str">
        <x:f>IF($A423="","",SUMIFS(CaseLedger!$M:$M,CaseLedger!$F:$F,$A423,CaseLedger!$B:$B,"TRUE"))</x:f>
      </x:c>
      <x:c r="M423" t="str">
        <x:f>IF($A423="","",SUMIFS(CaseLedger!$N:$N,CaseLedger!$F:$F,$A423,CaseLedger!$B:$B,"TRUE"))</x:f>
      </x:c>
      <x:c r="N423" t="str">
        <x:f>IF($A423="","",0)</x:f>
      </x:c>
      <x:c r="O423" t="str">
        <x:f>IF($A423="","",SUMIFS(CaseLedger!$O:$O,CaseLedger!$F:$F,$A423,CaseLedger!$B:$B,"TRUE"))</x:f>
      </x:c>
      <x:c r="P423" t="str">
        <x:f>IF($A423="","",IFERROR(VLOOKUP($A423,MonthlyFinance!$A:$G,4,FALSE),""))</x:f>
      </x:c>
      <x:c r="Q423" t="str">
        <x:f>IF($A423="","",IFERROR(VLOOKUP($A423,MonthlyFinance!$A:$G,5,FALSE),""))</x:f>
      </x:c>
      <x:c r="R423" t="str">
        <x:f>IF($A423="","",IFERROR(VLOOKUP($A423,MonthlyFinance!$A:$G,6,FALSE),""))</x:f>
      </x:c>
      <x:c r="S423" t="str">
        <x:f>IF($A423="","","Formula-linked from CaseLedger; finance fields from MonthlyFinance.")</x:f>
      </x:c>
      <x:c r="T423" t="str">
        <x:f>IF($A423="","","TRUE")</x:f>
      </x:c>
    </x:row>
    <x:row r="424">
      <x:c r="D424" t="str">
        <x:f>IF($A424="","",COUNTIFS(CaseLedger!$F:$F,$A424,CaseLedger!$B:$B,"TRUE"))</x:f>
      </x:c>
      <x:c r="E424" t="str">
        <x:f>IF($A424="","",COUNTIFS(CaseLedger!$F:$F,$A424,CaseLedger!$B:$B,"TRUE",CaseLedger!$P:$P,"Zakat"))</x:f>
      </x:c>
      <x:c r="F424" t="str">
        <x:f>IF($A424="","",COUNTIFS(CaseLedger!$F:$F,$A424,CaseLedger!$B:$B,"TRUE",CaseLedger!$P:$P,"Sadaqah"))</x:f>
      </x:c>
      <x:c r="G424" t="str">
        <x:f>IF($A424="","",COUNTIFS(CaseLedger!$F:$F,$A424,CaseLedger!$B:$B,"TRUE",CaseLedger!$P:$P,"Mixed"))</x:f>
      </x:c>
      <x:c r="H424" t="str">
        <x:f>IF($A424="","",COUNTIFS(CaseLedger!$F:$F,$A424,CaseLedger!$B:$B,"TRUE",CaseLedger!$K:$K,"Livelihood"))</x:f>
      </x:c>
      <x:c r="I424" t="str">
        <x:f>IF($A424="","",COUNTIFS(CaseLedger!$F:$F,$A424,CaseLedger!$B:$B,"TRUE",CaseLedger!$K:$K,"Skill Sponsorship"))</x:f>
      </x:c>
      <x:c r="J424" t="str">
        <x:f>IF($A424="","",COUNTIFS(CaseLedger!$F:$F,$A424,CaseLedger!$B:$B,"TRUE",CaseLedger!$K:$K,"Emergency Support"))</x:f>
      </x:c>
      <x:c r="K424" t="str">
        <x:f>IF($A424="","",COUNTIFS(CaseLedger!$F:$F,$A424,CaseLedger!$B:$B,"TRUE",CaseLedger!$K:$K,"Community Support"))</x:f>
      </x:c>
      <x:c r="L424" t="str">
        <x:f>IF($A424="","",SUMIFS(CaseLedger!$M:$M,CaseLedger!$F:$F,$A424,CaseLedger!$B:$B,"TRUE"))</x:f>
      </x:c>
      <x:c r="M424" t="str">
        <x:f>IF($A424="","",SUMIFS(CaseLedger!$N:$N,CaseLedger!$F:$F,$A424,CaseLedger!$B:$B,"TRUE"))</x:f>
      </x:c>
      <x:c r="N424" t="str">
        <x:f>IF($A424="","",0)</x:f>
      </x:c>
      <x:c r="O424" t="str">
        <x:f>IF($A424="","",SUMIFS(CaseLedger!$O:$O,CaseLedger!$F:$F,$A424,CaseLedger!$B:$B,"TRUE"))</x:f>
      </x:c>
      <x:c r="P424" t="str">
        <x:f>IF($A424="","",IFERROR(VLOOKUP($A424,MonthlyFinance!$A:$G,4,FALSE),""))</x:f>
      </x:c>
      <x:c r="Q424" t="str">
        <x:f>IF($A424="","",IFERROR(VLOOKUP($A424,MonthlyFinance!$A:$G,5,FALSE),""))</x:f>
      </x:c>
      <x:c r="R424" t="str">
        <x:f>IF($A424="","",IFERROR(VLOOKUP($A424,MonthlyFinance!$A:$G,6,FALSE),""))</x:f>
      </x:c>
      <x:c r="S424" t="str">
        <x:f>IF($A424="","","Formula-linked from CaseLedger; finance fields from MonthlyFinance.")</x:f>
      </x:c>
      <x:c r="T424" t="str">
        <x:f>IF($A424="","","TRUE")</x:f>
      </x:c>
    </x:row>
    <x:row r="425">
      <x:c r="D425" t="str">
        <x:f>IF($A425="","",COUNTIFS(CaseLedger!$F:$F,$A425,CaseLedger!$B:$B,"TRUE"))</x:f>
      </x:c>
      <x:c r="E425" t="str">
        <x:f>IF($A425="","",COUNTIFS(CaseLedger!$F:$F,$A425,CaseLedger!$B:$B,"TRUE",CaseLedger!$P:$P,"Zakat"))</x:f>
      </x:c>
      <x:c r="F425" t="str">
        <x:f>IF($A425="","",COUNTIFS(CaseLedger!$F:$F,$A425,CaseLedger!$B:$B,"TRUE",CaseLedger!$P:$P,"Sadaqah"))</x:f>
      </x:c>
      <x:c r="G425" t="str">
        <x:f>IF($A425="","",COUNTIFS(CaseLedger!$F:$F,$A425,CaseLedger!$B:$B,"TRUE",CaseLedger!$P:$P,"Mixed"))</x:f>
      </x:c>
      <x:c r="H425" t="str">
        <x:f>IF($A425="","",COUNTIFS(CaseLedger!$F:$F,$A425,CaseLedger!$B:$B,"TRUE",CaseLedger!$K:$K,"Livelihood"))</x:f>
      </x:c>
      <x:c r="I425" t="str">
        <x:f>IF($A425="","",COUNTIFS(CaseLedger!$F:$F,$A425,CaseLedger!$B:$B,"TRUE",CaseLedger!$K:$K,"Skill Sponsorship"))</x:f>
      </x:c>
      <x:c r="J425" t="str">
        <x:f>IF($A425="","",COUNTIFS(CaseLedger!$F:$F,$A425,CaseLedger!$B:$B,"TRUE",CaseLedger!$K:$K,"Emergency Support"))</x:f>
      </x:c>
      <x:c r="K425" t="str">
        <x:f>IF($A425="","",COUNTIFS(CaseLedger!$F:$F,$A425,CaseLedger!$B:$B,"TRUE",CaseLedger!$K:$K,"Community Support"))</x:f>
      </x:c>
      <x:c r="L425" t="str">
        <x:f>IF($A425="","",SUMIFS(CaseLedger!$M:$M,CaseLedger!$F:$F,$A425,CaseLedger!$B:$B,"TRUE"))</x:f>
      </x:c>
      <x:c r="M425" t="str">
        <x:f>IF($A425="","",SUMIFS(CaseLedger!$N:$N,CaseLedger!$F:$F,$A425,CaseLedger!$B:$B,"TRUE"))</x:f>
      </x:c>
      <x:c r="N425" t="str">
        <x:f>IF($A425="","",0)</x:f>
      </x:c>
      <x:c r="O425" t="str">
        <x:f>IF($A425="","",SUMIFS(CaseLedger!$O:$O,CaseLedger!$F:$F,$A425,CaseLedger!$B:$B,"TRUE"))</x:f>
      </x:c>
      <x:c r="P425" t="str">
        <x:f>IF($A425="","",IFERROR(VLOOKUP($A425,MonthlyFinance!$A:$G,4,FALSE),""))</x:f>
      </x:c>
      <x:c r="Q425" t="str">
        <x:f>IF($A425="","",IFERROR(VLOOKUP($A425,MonthlyFinance!$A:$G,5,FALSE),""))</x:f>
      </x:c>
      <x:c r="R425" t="str">
        <x:f>IF($A425="","",IFERROR(VLOOKUP($A425,MonthlyFinance!$A:$G,6,FALSE),""))</x:f>
      </x:c>
      <x:c r="S425" t="str">
        <x:f>IF($A425="","","Formula-linked from CaseLedger; finance fields from MonthlyFinance.")</x:f>
      </x:c>
      <x:c r="T425" t="str">
        <x:f>IF($A425="","","TRUE")</x:f>
      </x:c>
    </x:row>
    <x:row r="426">
      <x:c r="D426" t="str">
        <x:f>IF($A426="","",COUNTIFS(CaseLedger!$F:$F,$A426,CaseLedger!$B:$B,"TRUE"))</x:f>
      </x:c>
      <x:c r="E426" t="str">
        <x:f>IF($A426="","",COUNTIFS(CaseLedger!$F:$F,$A426,CaseLedger!$B:$B,"TRUE",CaseLedger!$P:$P,"Zakat"))</x:f>
      </x:c>
      <x:c r="F426" t="str">
        <x:f>IF($A426="","",COUNTIFS(CaseLedger!$F:$F,$A426,CaseLedger!$B:$B,"TRUE",CaseLedger!$P:$P,"Sadaqah"))</x:f>
      </x:c>
      <x:c r="G426" t="str">
        <x:f>IF($A426="","",COUNTIFS(CaseLedger!$F:$F,$A426,CaseLedger!$B:$B,"TRUE",CaseLedger!$P:$P,"Mixed"))</x:f>
      </x:c>
      <x:c r="H426" t="str">
        <x:f>IF($A426="","",COUNTIFS(CaseLedger!$F:$F,$A426,CaseLedger!$B:$B,"TRUE",CaseLedger!$K:$K,"Livelihood"))</x:f>
      </x:c>
      <x:c r="I426" t="str">
        <x:f>IF($A426="","",COUNTIFS(CaseLedger!$F:$F,$A426,CaseLedger!$B:$B,"TRUE",CaseLedger!$K:$K,"Skill Sponsorship"))</x:f>
      </x:c>
      <x:c r="J426" t="str">
        <x:f>IF($A426="","",COUNTIFS(CaseLedger!$F:$F,$A426,CaseLedger!$B:$B,"TRUE",CaseLedger!$K:$K,"Emergency Support"))</x:f>
      </x:c>
      <x:c r="K426" t="str">
        <x:f>IF($A426="","",COUNTIFS(CaseLedger!$F:$F,$A426,CaseLedger!$B:$B,"TRUE",CaseLedger!$K:$K,"Community Support"))</x:f>
      </x:c>
      <x:c r="L426" t="str">
        <x:f>IF($A426="","",SUMIFS(CaseLedger!$M:$M,CaseLedger!$F:$F,$A426,CaseLedger!$B:$B,"TRUE"))</x:f>
      </x:c>
      <x:c r="M426" t="str">
        <x:f>IF($A426="","",SUMIFS(CaseLedger!$N:$N,CaseLedger!$F:$F,$A426,CaseLedger!$B:$B,"TRUE"))</x:f>
      </x:c>
      <x:c r="N426" t="str">
        <x:f>IF($A426="","",0)</x:f>
      </x:c>
      <x:c r="O426" t="str">
        <x:f>IF($A426="","",SUMIFS(CaseLedger!$O:$O,CaseLedger!$F:$F,$A426,CaseLedger!$B:$B,"TRUE"))</x:f>
      </x:c>
      <x:c r="P426" t="str">
        <x:f>IF($A426="","",IFERROR(VLOOKUP($A426,MonthlyFinance!$A:$G,4,FALSE),""))</x:f>
      </x:c>
      <x:c r="Q426" t="str">
        <x:f>IF($A426="","",IFERROR(VLOOKUP($A426,MonthlyFinance!$A:$G,5,FALSE),""))</x:f>
      </x:c>
      <x:c r="R426" t="str">
        <x:f>IF($A426="","",IFERROR(VLOOKUP($A426,MonthlyFinance!$A:$G,6,FALSE),""))</x:f>
      </x:c>
      <x:c r="S426" t="str">
        <x:f>IF($A426="","","Formula-linked from CaseLedger; finance fields from MonthlyFinance.")</x:f>
      </x:c>
      <x:c r="T426" t="str">
        <x:f>IF($A426="","","TRUE")</x:f>
      </x:c>
    </x:row>
    <x:row r="427">
      <x:c r="D427" t="str">
        <x:f>IF($A427="","",COUNTIFS(CaseLedger!$F:$F,$A427,CaseLedger!$B:$B,"TRUE"))</x:f>
      </x:c>
      <x:c r="E427" t="str">
        <x:f>IF($A427="","",COUNTIFS(CaseLedger!$F:$F,$A427,CaseLedger!$B:$B,"TRUE",CaseLedger!$P:$P,"Zakat"))</x:f>
      </x:c>
      <x:c r="F427" t="str">
        <x:f>IF($A427="","",COUNTIFS(CaseLedger!$F:$F,$A427,CaseLedger!$B:$B,"TRUE",CaseLedger!$P:$P,"Sadaqah"))</x:f>
      </x:c>
      <x:c r="G427" t="str">
        <x:f>IF($A427="","",COUNTIFS(CaseLedger!$F:$F,$A427,CaseLedger!$B:$B,"TRUE",CaseLedger!$P:$P,"Mixed"))</x:f>
      </x:c>
      <x:c r="H427" t="str">
        <x:f>IF($A427="","",COUNTIFS(CaseLedger!$F:$F,$A427,CaseLedger!$B:$B,"TRUE",CaseLedger!$K:$K,"Livelihood"))</x:f>
      </x:c>
      <x:c r="I427" t="str">
        <x:f>IF($A427="","",COUNTIFS(CaseLedger!$F:$F,$A427,CaseLedger!$B:$B,"TRUE",CaseLedger!$K:$K,"Skill Sponsorship"))</x:f>
      </x:c>
      <x:c r="J427" t="str">
        <x:f>IF($A427="","",COUNTIFS(CaseLedger!$F:$F,$A427,CaseLedger!$B:$B,"TRUE",CaseLedger!$K:$K,"Emergency Support"))</x:f>
      </x:c>
      <x:c r="K427" t="str">
        <x:f>IF($A427="","",COUNTIFS(CaseLedger!$F:$F,$A427,CaseLedger!$B:$B,"TRUE",CaseLedger!$K:$K,"Community Support"))</x:f>
      </x:c>
      <x:c r="L427" t="str">
        <x:f>IF($A427="","",SUMIFS(CaseLedger!$M:$M,CaseLedger!$F:$F,$A427,CaseLedger!$B:$B,"TRUE"))</x:f>
      </x:c>
      <x:c r="M427" t="str">
        <x:f>IF($A427="","",SUMIFS(CaseLedger!$N:$N,CaseLedger!$F:$F,$A427,CaseLedger!$B:$B,"TRUE"))</x:f>
      </x:c>
      <x:c r="N427" t="str">
        <x:f>IF($A427="","",0)</x:f>
      </x:c>
      <x:c r="O427" t="str">
        <x:f>IF($A427="","",SUMIFS(CaseLedger!$O:$O,CaseLedger!$F:$F,$A427,CaseLedger!$B:$B,"TRUE"))</x:f>
      </x:c>
      <x:c r="P427" t="str">
        <x:f>IF($A427="","",IFERROR(VLOOKUP($A427,MonthlyFinance!$A:$G,4,FALSE),""))</x:f>
      </x:c>
      <x:c r="Q427" t="str">
        <x:f>IF($A427="","",IFERROR(VLOOKUP($A427,MonthlyFinance!$A:$G,5,FALSE),""))</x:f>
      </x:c>
      <x:c r="R427" t="str">
        <x:f>IF($A427="","",IFERROR(VLOOKUP($A427,MonthlyFinance!$A:$G,6,FALSE),""))</x:f>
      </x:c>
      <x:c r="S427" t="str">
        <x:f>IF($A427="","","Formula-linked from CaseLedger; finance fields from MonthlyFinance.")</x:f>
      </x:c>
      <x:c r="T427" t="str">
        <x:f>IF($A427="","","TRUE")</x:f>
      </x:c>
    </x:row>
    <x:row r="428">
      <x:c r="D428" t="str">
        <x:f>IF($A428="","",COUNTIFS(CaseLedger!$F:$F,$A428,CaseLedger!$B:$B,"TRUE"))</x:f>
      </x:c>
      <x:c r="E428" t="str">
        <x:f>IF($A428="","",COUNTIFS(CaseLedger!$F:$F,$A428,CaseLedger!$B:$B,"TRUE",CaseLedger!$P:$P,"Zakat"))</x:f>
      </x:c>
      <x:c r="F428" t="str">
        <x:f>IF($A428="","",COUNTIFS(CaseLedger!$F:$F,$A428,CaseLedger!$B:$B,"TRUE",CaseLedger!$P:$P,"Sadaqah"))</x:f>
      </x:c>
      <x:c r="G428" t="str">
        <x:f>IF($A428="","",COUNTIFS(CaseLedger!$F:$F,$A428,CaseLedger!$B:$B,"TRUE",CaseLedger!$P:$P,"Mixed"))</x:f>
      </x:c>
      <x:c r="H428" t="str">
        <x:f>IF($A428="","",COUNTIFS(CaseLedger!$F:$F,$A428,CaseLedger!$B:$B,"TRUE",CaseLedger!$K:$K,"Livelihood"))</x:f>
      </x:c>
      <x:c r="I428" t="str">
        <x:f>IF($A428="","",COUNTIFS(CaseLedger!$F:$F,$A428,CaseLedger!$B:$B,"TRUE",CaseLedger!$K:$K,"Skill Sponsorship"))</x:f>
      </x:c>
      <x:c r="J428" t="str">
        <x:f>IF($A428="","",COUNTIFS(CaseLedger!$F:$F,$A428,CaseLedger!$B:$B,"TRUE",CaseLedger!$K:$K,"Emergency Support"))</x:f>
      </x:c>
      <x:c r="K428" t="str">
        <x:f>IF($A428="","",COUNTIFS(CaseLedger!$F:$F,$A428,CaseLedger!$B:$B,"TRUE",CaseLedger!$K:$K,"Community Support"))</x:f>
      </x:c>
      <x:c r="L428" t="str">
        <x:f>IF($A428="","",SUMIFS(CaseLedger!$M:$M,CaseLedger!$F:$F,$A428,CaseLedger!$B:$B,"TRUE"))</x:f>
      </x:c>
      <x:c r="M428" t="str">
        <x:f>IF($A428="","",SUMIFS(CaseLedger!$N:$N,CaseLedger!$F:$F,$A428,CaseLedger!$B:$B,"TRUE"))</x:f>
      </x:c>
      <x:c r="N428" t="str">
        <x:f>IF($A428="","",0)</x:f>
      </x:c>
      <x:c r="O428" t="str">
        <x:f>IF($A428="","",SUMIFS(CaseLedger!$O:$O,CaseLedger!$F:$F,$A428,CaseLedger!$B:$B,"TRUE"))</x:f>
      </x:c>
      <x:c r="P428" t="str">
        <x:f>IF($A428="","",IFERROR(VLOOKUP($A428,MonthlyFinance!$A:$G,4,FALSE),""))</x:f>
      </x:c>
      <x:c r="Q428" t="str">
        <x:f>IF($A428="","",IFERROR(VLOOKUP($A428,MonthlyFinance!$A:$G,5,FALSE),""))</x:f>
      </x:c>
      <x:c r="R428" t="str">
        <x:f>IF($A428="","",IFERROR(VLOOKUP($A428,MonthlyFinance!$A:$G,6,FALSE),""))</x:f>
      </x:c>
      <x:c r="S428" t="str">
        <x:f>IF($A428="","","Formula-linked from CaseLedger; finance fields from MonthlyFinance.")</x:f>
      </x:c>
      <x:c r="T428" t="str">
        <x:f>IF($A428="","","TRUE")</x:f>
      </x:c>
    </x:row>
    <x:row r="429">
      <x:c r="D429" t="str">
        <x:f>IF($A429="","",COUNTIFS(CaseLedger!$F:$F,$A429,CaseLedger!$B:$B,"TRUE"))</x:f>
      </x:c>
      <x:c r="E429" t="str">
        <x:f>IF($A429="","",COUNTIFS(CaseLedger!$F:$F,$A429,CaseLedger!$B:$B,"TRUE",CaseLedger!$P:$P,"Zakat"))</x:f>
      </x:c>
      <x:c r="F429" t="str">
        <x:f>IF($A429="","",COUNTIFS(CaseLedger!$F:$F,$A429,CaseLedger!$B:$B,"TRUE",CaseLedger!$P:$P,"Sadaqah"))</x:f>
      </x:c>
      <x:c r="G429" t="str">
        <x:f>IF($A429="","",COUNTIFS(CaseLedger!$F:$F,$A429,CaseLedger!$B:$B,"TRUE",CaseLedger!$P:$P,"Mixed"))</x:f>
      </x:c>
      <x:c r="H429" t="str">
        <x:f>IF($A429="","",COUNTIFS(CaseLedger!$F:$F,$A429,CaseLedger!$B:$B,"TRUE",CaseLedger!$K:$K,"Livelihood"))</x:f>
      </x:c>
      <x:c r="I429" t="str">
        <x:f>IF($A429="","",COUNTIFS(CaseLedger!$F:$F,$A429,CaseLedger!$B:$B,"TRUE",CaseLedger!$K:$K,"Skill Sponsorship"))</x:f>
      </x:c>
      <x:c r="J429" t="str">
        <x:f>IF($A429="","",COUNTIFS(CaseLedger!$F:$F,$A429,CaseLedger!$B:$B,"TRUE",CaseLedger!$K:$K,"Emergency Support"))</x:f>
      </x:c>
      <x:c r="K429" t="str">
        <x:f>IF($A429="","",COUNTIFS(CaseLedger!$F:$F,$A429,CaseLedger!$B:$B,"TRUE",CaseLedger!$K:$K,"Community Support"))</x:f>
      </x:c>
      <x:c r="L429" t="str">
        <x:f>IF($A429="","",SUMIFS(CaseLedger!$M:$M,CaseLedger!$F:$F,$A429,CaseLedger!$B:$B,"TRUE"))</x:f>
      </x:c>
      <x:c r="M429" t="str">
        <x:f>IF($A429="","",SUMIFS(CaseLedger!$N:$N,CaseLedger!$F:$F,$A429,CaseLedger!$B:$B,"TRUE"))</x:f>
      </x:c>
      <x:c r="N429" t="str">
        <x:f>IF($A429="","",0)</x:f>
      </x:c>
      <x:c r="O429" t="str">
        <x:f>IF($A429="","",SUMIFS(CaseLedger!$O:$O,CaseLedger!$F:$F,$A429,CaseLedger!$B:$B,"TRUE"))</x:f>
      </x:c>
      <x:c r="P429" t="str">
        <x:f>IF($A429="","",IFERROR(VLOOKUP($A429,MonthlyFinance!$A:$G,4,FALSE),""))</x:f>
      </x:c>
      <x:c r="Q429" t="str">
        <x:f>IF($A429="","",IFERROR(VLOOKUP($A429,MonthlyFinance!$A:$G,5,FALSE),""))</x:f>
      </x:c>
      <x:c r="R429" t="str">
        <x:f>IF($A429="","",IFERROR(VLOOKUP($A429,MonthlyFinance!$A:$G,6,FALSE),""))</x:f>
      </x:c>
      <x:c r="S429" t="str">
        <x:f>IF($A429="","","Formula-linked from CaseLedger; finance fields from MonthlyFinance.")</x:f>
      </x:c>
      <x:c r="T429" t="str">
        <x:f>IF($A429="","","TRUE")</x:f>
      </x:c>
    </x:row>
    <x:row r="430">
      <x:c r="D430" t="str">
        <x:f>IF($A430="","",COUNTIFS(CaseLedger!$F:$F,$A430,CaseLedger!$B:$B,"TRUE"))</x:f>
      </x:c>
      <x:c r="E430" t="str">
        <x:f>IF($A430="","",COUNTIFS(CaseLedger!$F:$F,$A430,CaseLedger!$B:$B,"TRUE",CaseLedger!$P:$P,"Zakat"))</x:f>
      </x:c>
      <x:c r="F430" t="str">
        <x:f>IF($A430="","",COUNTIFS(CaseLedger!$F:$F,$A430,CaseLedger!$B:$B,"TRUE",CaseLedger!$P:$P,"Sadaqah"))</x:f>
      </x:c>
      <x:c r="G430" t="str">
        <x:f>IF($A430="","",COUNTIFS(CaseLedger!$F:$F,$A430,CaseLedger!$B:$B,"TRUE",CaseLedger!$P:$P,"Mixed"))</x:f>
      </x:c>
      <x:c r="H430" t="str">
        <x:f>IF($A430="","",COUNTIFS(CaseLedger!$F:$F,$A430,CaseLedger!$B:$B,"TRUE",CaseLedger!$K:$K,"Livelihood"))</x:f>
      </x:c>
      <x:c r="I430" t="str">
        <x:f>IF($A430="","",COUNTIFS(CaseLedger!$F:$F,$A430,CaseLedger!$B:$B,"TRUE",CaseLedger!$K:$K,"Skill Sponsorship"))</x:f>
      </x:c>
      <x:c r="J430" t="str">
        <x:f>IF($A430="","",COUNTIFS(CaseLedger!$F:$F,$A430,CaseLedger!$B:$B,"TRUE",CaseLedger!$K:$K,"Emergency Support"))</x:f>
      </x:c>
      <x:c r="K430" t="str">
        <x:f>IF($A430="","",COUNTIFS(CaseLedger!$F:$F,$A430,CaseLedger!$B:$B,"TRUE",CaseLedger!$K:$K,"Community Support"))</x:f>
      </x:c>
      <x:c r="L430" t="str">
        <x:f>IF($A430="","",SUMIFS(CaseLedger!$M:$M,CaseLedger!$F:$F,$A430,CaseLedger!$B:$B,"TRUE"))</x:f>
      </x:c>
      <x:c r="M430" t="str">
        <x:f>IF($A430="","",SUMIFS(CaseLedger!$N:$N,CaseLedger!$F:$F,$A430,CaseLedger!$B:$B,"TRUE"))</x:f>
      </x:c>
      <x:c r="N430" t="str">
        <x:f>IF($A430="","",0)</x:f>
      </x:c>
      <x:c r="O430" t="str">
        <x:f>IF($A430="","",SUMIFS(CaseLedger!$O:$O,CaseLedger!$F:$F,$A430,CaseLedger!$B:$B,"TRUE"))</x:f>
      </x:c>
      <x:c r="P430" t="str">
        <x:f>IF($A430="","",IFERROR(VLOOKUP($A430,MonthlyFinance!$A:$G,4,FALSE),""))</x:f>
      </x:c>
      <x:c r="Q430" t="str">
        <x:f>IF($A430="","",IFERROR(VLOOKUP($A430,MonthlyFinance!$A:$G,5,FALSE),""))</x:f>
      </x:c>
      <x:c r="R430" t="str">
        <x:f>IF($A430="","",IFERROR(VLOOKUP($A430,MonthlyFinance!$A:$G,6,FALSE),""))</x:f>
      </x:c>
      <x:c r="S430" t="str">
        <x:f>IF($A430="","","Formula-linked from CaseLedger; finance fields from MonthlyFinance.")</x:f>
      </x:c>
      <x:c r="T430" t="str">
        <x:f>IF($A430="","","TRUE")</x:f>
      </x:c>
    </x:row>
    <x:row r="431">
      <x:c r="D431" t="str">
        <x:f>IF($A431="","",COUNTIFS(CaseLedger!$F:$F,$A431,CaseLedger!$B:$B,"TRUE"))</x:f>
      </x:c>
      <x:c r="E431" t="str">
        <x:f>IF($A431="","",COUNTIFS(CaseLedger!$F:$F,$A431,CaseLedger!$B:$B,"TRUE",CaseLedger!$P:$P,"Zakat"))</x:f>
      </x:c>
      <x:c r="F431" t="str">
        <x:f>IF($A431="","",COUNTIFS(CaseLedger!$F:$F,$A431,CaseLedger!$B:$B,"TRUE",CaseLedger!$P:$P,"Sadaqah"))</x:f>
      </x:c>
      <x:c r="G431" t="str">
        <x:f>IF($A431="","",COUNTIFS(CaseLedger!$F:$F,$A431,CaseLedger!$B:$B,"TRUE",CaseLedger!$P:$P,"Mixed"))</x:f>
      </x:c>
      <x:c r="H431" t="str">
        <x:f>IF($A431="","",COUNTIFS(CaseLedger!$F:$F,$A431,CaseLedger!$B:$B,"TRUE",CaseLedger!$K:$K,"Livelihood"))</x:f>
      </x:c>
      <x:c r="I431" t="str">
        <x:f>IF($A431="","",COUNTIFS(CaseLedger!$F:$F,$A431,CaseLedger!$B:$B,"TRUE",CaseLedger!$K:$K,"Skill Sponsorship"))</x:f>
      </x:c>
      <x:c r="J431" t="str">
        <x:f>IF($A431="","",COUNTIFS(CaseLedger!$F:$F,$A431,CaseLedger!$B:$B,"TRUE",CaseLedger!$K:$K,"Emergency Support"))</x:f>
      </x:c>
      <x:c r="K431" t="str">
        <x:f>IF($A431="","",COUNTIFS(CaseLedger!$F:$F,$A431,CaseLedger!$B:$B,"TRUE",CaseLedger!$K:$K,"Community Support"))</x:f>
      </x:c>
      <x:c r="L431" t="str">
        <x:f>IF($A431="","",SUMIFS(CaseLedger!$M:$M,CaseLedger!$F:$F,$A431,CaseLedger!$B:$B,"TRUE"))</x:f>
      </x:c>
      <x:c r="M431" t="str">
        <x:f>IF($A431="","",SUMIFS(CaseLedger!$N:$N,CaseLedger!$F:$F,$A431,CaseLedger!$B:$B,"TRUE"))</x:f>
      </x:c>
      <x:c r="N431" t="str">
        <x:f>IF($A431="","",0)</x:f>
      </x:c>
      <x:c r="O431" t="str">
        <x:f>IF($A431="","",SUMIFS(CaseLedger!$O:$O,CaseLedger!$F:$F,$A431,CaseLedger!$B:$B,"TRUE"))</x:f>
      </x:c>
      <x:c r="P431" t="str">
        <x:f>IF($A431="","",IFERROR(VLOOKUP($A431,MonthlyFinance!$A:$G,4,FALSE),""))</x:f>
      </x:c>
      <x:c r="Q431" t="str">
        <x:f>IF($A431="","",IFERROR(VLOOKUP($A431,MonthlyFinance!$A:$G,5,FALSE),""))</x:f>
      </x:c>
      <x:c r="R431" t="str">
        <x:f>IF($A431="","",IFERROR(VLOOKUP($A431,MonthlyFinance!$A:$G,6,FALSE),""))</x:f>
      </x:c>
      <x:c r="S431" t="str">
        <x:f>IF($A431="","","Formula-linked from CaseLedger; finance fields from MonthlyFinance.")</x:f>
      </x:c>
      <x:c r="T431" t="str">
        <x:f>IF($A431="","","TRUE")</x:f>
      </x:c>
    </x:row>
    <x:row r="432">
      <x:c r="D432" t="str">
        <x:f>IF($A432="","",COUNTIFS(CaseLedger!$F:$F,$A432,CaseLedger!$B:$B,"TRUE"))</x:f>
      </x:c>
      <x:c r="E432" t="str">
        <x:f>IF($A432="","",COUNTIFS(CaseLedger!$F:$F,$A432,CaseLedger!$B:$B,"TRUE",CaseLedger!$P:$P,"Zakat"))</x:f>
      </x:c>
      <x:c r="F432" t="str">
        <x:f>IF($A432="","",COUNTIFS(CaseLedger!$F:$F,$A432,CaseLedger!$B:$B,"TRUE",CaseLedger!$P:$P,"Sadaqah"))</x:f>
      </x:c>
      <x:c r="G432" t="str">
        <x:f>IF($A432="","",COUNTIFS(CaseLedger!$F:$F,$A432,CaseLedger!$B:$B,"TRUE",CaseLedger!$P:$P,"Mixed"))</x:f>
      </x:c>
      <x:c r="H432" t="str">
        <x:f>IF($A432="","",COUNTIFS(CaseLedger!$F:$F,$A432,CaseLedger!$B:$B,"TRUE",CaseLedger!$K:$K,"Livelihood"))</x:f>
      </x:c>
      <x:c r="I432" t="str">
        <x:f>IF($A432="","",COUNTIFS(CaseLedger!$F:$F,$A432,CaseLedger!$B:$B,"TRUE",CaseLedger!$K:$K,"Skill Sponsorship"))</x:f>
      </x:c>
      <x:c r="J432" t="str">
        <x:f>IF($A432="","",COUNTIFS(CaseLedger!$F:$F,$A432,CaseLedger!$B:$B,"TRUE",CaseLedger!$K:$K,"Emergency Support"))</x:f>
      </x:c>
      <x:c r="K432" t="str">
        <x:f>IF($A432="","",COUNTIFS(CaseLedger!$F:$F,$A432,CaseLedger!$B:$B,"TRUE",CaseLedger!$K:$K,"Community Support"))</x:f>
      </x:c>
      <x:c r="L432" t="str">
        <x:f>IF($A432="","",SUMIFS(CaseLedger!$M:$M,CaseLedger!$F:$F,$A432,CaseLedger!$B:$B,"TRUE"))</x:f>
      </x:c>
      <x:c r="M432" t="str">
        <x:f>IF($A432="","",SUMIFS(CaseLedger!$N:$N,CaseLedger!$F:$F,$A432,CaseLedger!$B:$B,"TRUE"))</x:f>
      </x:c>
      <x:c r="N432" t="str">
        <x:f>IF($A432="","",0)</x:f>
      </x:c>
      <x:c r="O432" t="str">
        <x:f>IF($A432="","",SUMIFS(CaseLedger!$O:$O,CaseLedger!$F:$F,$A432,CaseLedger!$B:$B,"TRUE"))</x:f>
      </x:c>
      <x:c r="P432" t="str">
        <x:f>IF($A432="","",IFERROR(VLOOKUP($A432,MonthlyFinance!$A:$G,4,FALSE),""))</x:f>
      </x:c>
      <x:c r="Q432" t="str">
        <x:f>IF($A432="","",IFERROR(VLOOKUP($A432,MonthlyFinance!$A:$G,5,FALSE),""))</x:f>
      </x:c>
      <x:c r="R432" t="str">
        <x:f>IF($A432="","",IFERROR(VLOOKUP($A432,MonthlyFinance!$A:$G,6,FALSE),""))</x:f>
      </x:c>
      <x:c r="S432" t="str">
        <x:f>IF($A432="","","Formula-linked from CaseLedger; finance fields from MonthlyFinance.")</x:f>
      </x:c>
      <x:c r="T432" t="str">
        <x:f>IF($A432="","","TRUE")</x:f>
      </x:c>
    </x:row>
    <x:row r="433">
      <x:c r="D433" t="str">
        <x:f>IF($A433="","",COUNTIFS(CaseLedger!$F:$F,$A433,CaseLedger!$B:$B,"TRUE"))</x:f>
      </x:c>
      <x:c r="E433" t="str">
        <x:f>IF($A433="","",COUNTIFS(CaseLedger!$F:$F,$A433,CaseLedger!$B:$B,"TRUE",CaseLedger!$P:$P,"Zakat"))</x:f>
      </x:c>
      <x:c r="F433" t="str">
        <x:f>IF($A433="","",COUNTIFS(CaseLedger!$F:$F,$A433,CaseLedger!$B:$B,"TRUE",CaseLedger!$P:$P,"Sadaqah"))</x:f>
      </x:c>
      <x:c r="G433" t="str">
        <x:f>IF($A433="","",COUNTIFS(CaseLedger!$F:$F,$A433,CaseLedger!$B:$B,"TRUE",CaseLedger!$P:$P,"Mixed"))</x:f>
      </x:c>
      <x:c r="H433" t="str">
        <x:f>IF($A433="","",COUNTIFS(CaseLedger!$F:$F,$A433,CaseLedger!$B:$B,"TRUE",CaseLedger!$K:$K,"Livelihood"))</x:f>
      </x:c>
      <x:c r="I433" t="str">
        <x:f>IF($A433="","",COUNTIFS(CaseLedger!$F:$F,$A433,CaseLedger!$B:$B,"TRUE",CaseLedger!$K:$K,"Skill Sponsorship"))</x:f>
      </x:c>
      <x:c r="J433" t="str">
        <x:f>IF($A433="","",COUNTIFS(CaseLedger!$F:$F,$A433,CaseLedger!$B:$B,"TRUE",CaseLedger!$K:$K,"Emergency Support"))</x:f>
      </x:c>
      <x:c r="K433" t="str">
        <x:f>IF($A433="","",COUNTIFS(CaseLedger!$F:$F,$A433,CaseLedger!$B:$B,"TRUE",CaseLedger!$K:$K,"Community Support"))</x:f>
      </x:c>
      <x:c r="L433" t="str">
        <x:f>IF($A433="","",SUMIFS(CaseLedger!$M:$M,CaseLedger!$F:$F,$A433,CaseLedger!$B:$B,"TRUE"))</x:f>
      </x:c>
      <x:c r="M433" t="str">
        <x:f>IF($A433="","",SUMIFS(CaseLedger!$N:$N,CaseLedger!$F:$F,$A433,CaseLedger!$B:$B,"TRUE"))</x:f>
      </x:c>
      <x:c r="N433" t="str">
        <x:f>IF($A433="","",0)</x:f>
      </x:c>
      <x:c r="O433" t="str">
        <x:f>IF($A433="","",SUMIFS(CaseLedger!$O:$O,CaseLedger!$F:$F,$A433,CaseLedger!$B:$B,"TRUE"))</x:f>
      </x:c>
      <x:c r="P433" t="str">
        <x:f>IF($A433="","",IFERROR(VLOOKUP($A433,MonthlyFinance!$A:$G,4,FALSE),""))</x:f>
      </x:c>
      <x:c r="Q433" t="str">
        <x:f>IF($A433="","",IFERROR(VLOOKUP($A433,MonthlyFinance!$A:$G,5,FALSE),""))</x:f>
      </x:c>
      <x:c r="R433" t="str">
        <x:f>IF($A433="","",IFERROR(VLOOKUP($A433,MonthlyFinance!$A:$G,6,FALSE),""))</x:f>
      </x:c>
      <x:c r="S433" t="str">
        <x:f>IF($A433="","","Formula-linked from CaseLedger; finance fields from MonthlyFinance.")</x:f>
      </x:c>
      <x:c r="T433" t="str">
        <x:f>IF($A433="","","TRUE")</x:f>
      </x:c>
    </x:row>
    <x:row r="434">
      <x:c r="D434" t="str">
        <x:f>IF($A434="","",COUNTIFS(CaseLedger!$F:$F,$A434,CaseLedger!$B:$B,"TRUE"))</x:f>
      </x:c>
      <x:c r="E434" t="str">
        <x:f>IF($A434="","",COUNTIFS(CaseLedger!$F:$F,$A434,CaseLedger!$B:$B,"TRUE",CaseLedger!$P:$P,"Zakat"))</x:f>
      </x:c>
      <x:c r="F434" t="str">
        <x:f>IF($A434="","",COUNTIFS(CaseLedger!$F:$F,$A434,CaseLedger!$B:$B,"TRUE",CaseLedger!$P:$P,"Sadaqah"))</x:f>
      </x:c>
      <x:c r="G434" t="str">
        <x:f>IF($A434="","",COUNTIFS(CaseLedger!$F:$F,$A434,CaseLedger!$B:$B,"TRUE",CaseLedger!$P:$P,"Mixed"))</x:f>
      </x:c>
      <x:c r="H434" t="str">
        <x:f>IF($A434="","",COUNTIFS(CaseLedger!$F:$F,$A434,CaseLedger!$B:$B,"TRUE",CaseLedger!$K:$K,"Livelihood"))</x:f>
      </x:c>
      <x:c r="I434" t="str">
        <x:f>IF($A434="","",COUNTIFS(CaseLedger!$F:$F,$A434,CaseLedger!$B:$B,"TRUE",CaseLedger!$K:$K,"Skill Sponsorship"))</x:f>
      </x:c>
      <x:c r="J434" t="str">
        <x:f>IF($A434="","",COUNTIFS(CaseLedger!$F:$F,$A434,CaseLedger!$B:$B,"TRUE",CaseLedger!$K:$K,"Emergency Support"))</x:f>
      </x:c>
      <x:c r="K434" t="str">
        <x:f>IF($A434="","",COUNTIFS(CaseLedger!$F:$F,$A434,CaseLedger!$B:$B,"TRUE",CaseLedger!$K:$K,"Community Support"))</x:f>
      </x:c>
      <x:c r="L434" t="str">
        <x:f>IF($A434="","",SUMIFS(CaseLedger!$M:$M,CaseLedger!$F:$F,$A434,CaseLedger!$B:$B,"TRUE"))</x:f>
      </x:c>
      <x:c r="M434" t="str">
        <x:f>IF($A434="","",SUMIFS(CaseLedger!$N:$N,CaseLedger!$F:$F,$A434,CaseLedger!$B:$B,"TRUE"))</x:f>
      </x:c>
      <x:c r="N434" t="str">
        <x:f>IF($A434="","",0)</x:f>
      </x:c>
      <x:c r="O434" t="str">
        <x:f>IF($A434="","",SUMIFS(CaseLedger!$O:$O,CaseLedger!$F:$F,$A434,CaseLedger!$B:$B,"TRUE"))</x:f>
      </x:c>
      <x:c r="P434" t="str">
        <x:f>IF($A434="","",IFERROR(VLOOKUP($A434,MonthlyFinance!$A:$G,4,FALSE),""))</x:f>
      </x:c>
      <x:c r="Q434" t="str">
        <x:f>IF($A434="","",IFERROR(VLOOKUP($A434,MonthlyFinance!$A:$G,5,FALSE),""))</x:f>
      </x:c>
      <x:c r="R434" t="str">
        <x:f>IF($A434="","",IFERROR(VLOOKUP($A434,MonthlyFinance!$A:$G,6,FALSE),""))</x:f>
      </x:c>
      <x:c r="S434" t="str">
        <x:f>IF($A434="","","Formula-linked from CaseLedger; finance fields from MonthlyFinance.")</x:f>
      </x:c>
      <x:c r="T434" t="str">
        <x:f>IF($A434="","","TRUE")</x:f>
      </x:c>
    </x:row>
    <x:row r="435">
      <x:c r="D435" t="str">
        <x:f>IF($A435="","",COUNTIFS(CaseLedger!$F:$F,$A435,CaseLedger!$B:$B,"TRUE"))</x:f>
      </x:c>
      <x:c r="E435" t="str">
        <x:f>IF($A435="","",COUNTIFS(CaseLedger!$F:$F,$A435,CaseLedger!$B:$B,"TRUE",CaseLedger!$P:$P,"Zakat"))</x:f>
      </x:c>
      <x:c r="F435" t="str">
        <x:f>IF($A435="","",COUNTIFS(CaseLedger!$F:$F,$A435,CaseLedger!$B:$B,"TRUE",CaseLedger!$P:$P,"Sadaqah"))</x:f>
      </x:c>
      <x:c r="G435" t="str">
        <x:f>IF($A435="","",COUNTIFS(CaseLedger!$F:$F,$A435,CaseLedger!$B:$B,"TRUE",CaseLedger!$P:$P,"Mixed"))</x:f>
      </x:c>
      <x:c r="H435" t="str">
        <x:f>IF($A435="","",COUNTIFS(CaseLedger!$F:$F,$A435,CaseLedger!$B:$B,"TRUE",CaseLedger!$K:$K,"Livelihood"))</x:f>
      </x:c>
      <x:c r="I435" t="str">
        <x:f>IF($A435="","",COUNTIFS(CaseLedger!$F:$F,$A435,CaseLedger!$B:$B,"TRUE",CaseLedger!$K:$K,"Skill Sponsorship"))</x:f>
      </x:c>
      <x:c r="J435" t="str">
        <x:f>IF($A435="","",COUNTIFS(CaseLedger!$F:$F,$A435,CaseLedger!$B:$B,"TRUE",CaseLedger!$K:$K,"Emergency Support"))</x:f>
      </x:c>
      <x:c r="K435" t="str">
        <x:f>IF($A435="","",COUNTIFS(CaseLedger!$F:$F,$A435,CaseLedger!$B:$B,"TRUE",CaseLedger!$K:$K,"Community Support"))</x:f>
      </x:c>
      <x:c r="L435" t="str">
        <x:f>IF($A435="","",SUMIFS(CaseLedger!$M:$M,CaseLedger!$F:$F,$A435,CaseLedger!$B:$B,"TRUE"))</x:f>
      </x:c>
      <x:c r="M435" t="str">
        <x:f>IF($A435="","",SUMIFS(CaseLedger!$N:$N,CaseLedger!$F:$F,$A435,CaseLedger!$B:$B,"TRUE"))</x:f>
      </x:c>
      <x:c r="N435" t="str">
        <x:f>IF($A435="","",0)</x:f>
      </x:c>
      <x:c r="O435" t="str">
        <x:f>IF($A435="","",SUMIFS(CaseLedger!$O:$O,CaseLedger!$F:$F,$A435,CaseLedger!$B:$B,"TRUE"))</x:f>
      </x:c>
      <x:c r="P435" t="str">
        <x:f>IF($A435="","",IFERROR(VLOOKUP($A435,MonthlyFinance!$A:$G,4,FALSE),""))</x:f>
      </x:c>
      <x:c r="Q435" t="str">
        <x:f>IF($A435="","",IFERROR(VLOOKUP($A435,MonthlyFinance!$A:$G,5,FALSE),""))</x:f>
      </x:c>
      <x:c r="R435" t="str">
        <x:f>IF($A435="","",IFERROR(VLOOKUP($A435,MonthlyFinance!$A:$G,6,FALSE),""))</x:f>
      </x:c>
      <x:c r="S435" t="str">
        <x:f>IF($A435="","","Formula-linked from CaseLedger; finance fields from MonthlyFinance.")</x:f>
      </x:c>
      <x:c r="T435" t="str">
        <x:f>IF($A435="","","TRUE")</x:f>
      </x:c>
    </x:row>
    <x:row r="436">
      <x:c r="D436" t="str">
        <x:f>IF($A436="","",COUNTIFS(CaseLedger!$F:$F,$A436,CaseLedger!$B:$B,"TRUE"))</x:f>
      </x:c>
      <x:c r="E436" t="str">
        <x:f>IF($A436="","",COUNTIFS(CaseLedger!$F:$F,$A436,CaseLedger!$B:$B,"TRUE",CaseLedger!$P:$P,"Zakat"))</x:f>
      </x:c>
      <x:c r="F436" t="str">
        <x:f>IF($A436="","",COUNTIFS(CaseLedger!$F:$F,$A436,CaseLedger!$B:$B,"TRUE",CaseLedger!$P:$P,"Sadaqah"))</x:f>
      </x:c>
      <x:c r="G436" t="str">
        <x:f>IF($A436="","",COUNTIFS(CaseLedger!$F:$F,$A436,CaseLedger!$B:$B,"TRUE",CaseLedger!$P:$P,"Mixed"))</x:f>
      </x:c>
      <x:c r="H436" t="str">
        <x:f>IF($A436="","",COUNTIFS(CaseLedger!$F:$F,$A436,CaseLedger!$B:$B,"TRUE",CaseLedger!$K:$K,"Livelihood"))</x:f>
      </x:c>
      <x:c r="I436" t="str">
        <x:f>IF($A436="","",COUNTIFS(CaseLedger!$F:$F,$A436,CaseLedger!$B:$B,"TRUE",CaseLedger!$K:$K,"Skill Sponsorship"))</x:f>
      </x:c>
      <x:c r="J436" t="str">
        <x:f>IF($A436="","",COUNTIFS(CaseLedger!$F:$F,$A436,CaseLedger!$B:$B,"TRUE",CaseLedger!$K:$K,"Emergency Support"))</x:f>
      </x:c>
      <x:c r="K436" t="str">
        <x:f>IF($A436="","",COUNTIFS(CaseLedger!$F:$F,$A436,CaseLedger!$B:$B,"TRUE",CaseLedger!$K:$K,"Community Support"))</x:f>
      </x:c>
      <x:c r="L436" t="str">
        <x:f>IF($A436="","",SUMIFS(CaseLedger!$M:$M,CaseLedger!$F:$F,$A436,CaseLedger!$B:$B,"TRUE"))</x:f>
      </x:c>
      <x:c r="M436" t="str">
        <x:f>IF($A436="","",SUMIFS(CaseLedger!$N:$N,CaseLedger!$F:$F,$A436,CaseLedger!$B:$B,"TRUE"))</x:f>
      </x:c>
      <x:c r="N436" t="str">
        <x:f>IF($A436="","",0)</x:f>
      </x:c>
      <x:c r="O436" t="str">
        <x:f>IF($A436="","",SUMIFS(CaseLedger!$O:$O,CaseLedger!$F:$F,$A436,CaseLedger!$B:$B,"TRUE"))</x:f>
      </x:c>
      <x:c r="P436" t="str">
        <x:f>IF($A436="","",IFERROR(VLOOKUP($A436,MonthlyFinance!$A:$G,4,FALSE),""))</x:f>
      </x:c>
      <x:c r="Q436" t="str">
        <x:f>IF($A436="","",IFERROR(VLOOKUP($A436,MonthlyFinance!$A:$G,5,FALSE),""))</x:f>
      </x:c>
      <x:c r="R436" t="str">
        <x:f>IF($A436="","",IFERROR(VLOOKUP($A436,MonthlyFinance!$A:$G,6,FALSE),""))</x:f>
      </x:c>
      <x:c r="S436" t="str">
        <x:f>IF($A436="","","Formula-linked from CaseLedger; finance fields from MonthlyFinance.")</x:f>
      </x:c>
      <x:c r="T436" t="str">
        <x:f>IF($A436="","","TRUE")</x:f>
      </x:c>
    </x:row>
    <x:row r="437">
      <x:c r="D437" t="str">
        <x:f>IF($A437="","",COUNTIFS(CaseLedger!$F:$F,$A437,CaseLedger!$B:$B,"TRUE"))</x:f>
      </x:c>
      <x:c r="E437" t="str">
        <x:f>IF($A437="","",COUNTIFS(CaseLedger!$F:$F,$A437,CaseLedger!$B:$B,"TRUE",CaseLedger!$P:$P,"Zakat"))</x:f>
      </x:c>
      <x:c r="F437" t="str">
        <x:f>IF($A437="","",COUNTIFS(CaseLedger!$F:$F,$A437,CaseLedger!$B:$B,"TRUE",CaseLedger!$P:$P,"Sadaqah"))</x:f>
      </x:c>
      <x:c r="G437" t="str">
        <x:f>IF($A437="","",COUNTIFS(CaseLedger!$F:$F,$A437,CaseLedger!$B:$B,"TRUE",CaseLedger!$P:$P,"Mixed"))</x:f>
      </x:c>
      <x:c r="H437" t="str">
        <x:f>IF($A437="","",COUNTIFS(CaseLedger!$F:$F,$A437,CaseLedger!$B:$B,"TRUE",CaseLedger!$K:$K,"Livelihood"))</x:f>
      </x:c>
      <x:c r="I437" t="str">
        <x:f>IF($A437="","",COUNTIFS(CaseLedger!$F:$F,$A437,CaseLedger!$B:$B,"TRUE",CaseLedger!$K:$K,"Skill Sponsorship"))</x:f>
      </x:c>
      <x:c r="J437" t="str">
        <x:f>IF($A437="","",COUNTIFS(CaseLedger!$F:$F,$A437,CaseLedger!$B:$B,"TRUE",CaseLedger!$K:$K,"Emergency Support"))</x:f>
      </x:c>
      <x:c r="K437" t="str">
        <x:f>IF($A437="","",COUNTIFS(CaseLedger!$F:$F,$A437,CaseLedger!$B:$B,"TRUE",CaseLedger!$K:$K,"Community Support"))</x:f>
      </x:c>
      <x:c r="L437" t="str">
        <x:f>IF($A437="","",SUMIFS(CaseLedger!$M:$M,CaseLedger!$F:$F,$A437,CaseLedger!$B:$B,"TRUE"))</x:f>
      </x:c>
      <x:c r="M437" t="str">
        <x:f>IF($A437="","",SUMIFS(CaseLedger!$N:$N,CaseLedger!$F:$F,$A437,CaseLedger!$B:$B,"TRUE"))</x:f>
      </x:c>
      <x:c r="N437" t="str">
        <x:f>IF($A437="","",0)</x:f>
      </x:c>
      <x:c r="O437" t="str">
        <x:f>IF($A437="","",SUMIFS(CaseLedger!$O:$O,CaseLedger!$F:$F,$A437,CaseLedger!$B:$B,"TRUE"))</x:f>
      </x:c>
      <x:c r="P437" t="str">
        <x:f>IF($A437="","",IFERROR(VLOOKUP($A437,MonthlyFinance!$A:$G,4,FALSE),""))</x:f>
      </x:c>
      <x:c r="Q437" t="str">
        <x:f>IF($A437="","",IFERROR(VLOOKUP($A437,MonthlyFinance!$A:$G,5,FALSE),""))</x:f>
      </x:c>
      <x:c r="R437" t="str">
        <x:f>IF($A437="","",IFERROR(VLOOKUP($A437,MonthlyFinance!$A:$G,6,FALSE),""))</x:f>
      </x:c>
      <x:c r="S437" t="str">
        <x:f>IF($A437="","","Formula-linked from CaseLedger; finance fields from MonthlyFinance.")</x:f>
      </x:c>
      <x:c r="T437" t="str">
        <x:f>IF($A437="","","TRUE")</x:f>
      </x:c>
    </x:row>
    <x:row r="438">
      <x:c r="D438" t="str">
        <x:f>IF($A438="","",COUNTIFS(CaseLedger!$F:$F,$A438,CaseLedger!$B:$B,"TRUE"))</x:f>
      </x:c>
      <x:c r="E438" t="str">
        <x:f>IF($A438="","",COUNTIFS(CaseLedger!$F:$F,$A438,CaseLedger!$B:$B,"TRUE",CaseLedger!$P:$P,"Zakat"))</x:f>
      </x:c>
      <x:c r="F438" t="str">
        <x:f>IF($A438="","",COUNTIFS(CaseLedger!$F:$F,$A438,CaseLedger!$B:$B,"TRUE",CaseLedger!$P:$P,"Sadaqah"))</x:f>
      </x:c>
      <x:c r="G438" t="str">
        <x:f>IF($A438="","",COUNTIFS(CaseLedger!$F:$F,$A438,CaseLedger!$B:$B,"TRUE",CaseLedger!$P:$P,"Mixed"))</x:f>
      </x:c>
      <x:c r="H438" t="str">
        <x:f>IF($A438="","",COUNTIFS(CaseLedger!$F:$F,$A438,CaseLedger!$B:$B,"TRUE",CaseLedger!$K:$K,"Livelihood"))</x:f>
      </x:c>
      <x:c r="I438" t="str">
        <x:f>IF($A438="","",COUNTIFS(CaseLedger!$F:$F,$A438,CaseLedger!$B:$B,"TRUE",CaseLedger!$K:$K,"Skill Sponsorship"))</x:f>
      </x:c>
      <x:c r="J438" t="str">
        <x:f>IF($A438="","",COUNTIFS(CaseLedger!$F:$F,$A438,CaseLedger!$B:$B,"TRUE",CaseLedger!$K:$K,"Emergency Support"))</x:f>
      </x:c>
      <x:c r="K438" t="str">
        <x:f>IF($A438="","",COUNTIFS(CaseLedger!$F:$F,$A438,CaseLedger!$B:$B,"TRUE",CaseLedger!$K:$K,"Community Support"))</x:f>
      </x:c>
      <x:c r="L438" t="str">
        <x:f>IF($A438="","",SUMIFS(CaseLedger!$M:$M,CaseLedger!$F:$F,$A438,CaseLedger!$B:$B,"TRUE"))</x:f>
      </x:c>
      <x:c r="M438" t="str">
        <x:f>IF($A438="","",SUMIFS(CaseLedger!$N:$N,CaseLedger!$F:$F,$A438,CaseLedger!$B:$B,"TRUE"))</x:f>
      </x:c>
      <x:c r="N438" t="str">
        <x:f>IF($A438="","",0)</x:f>
      </x:c>
      <x:c r="O438" t="str">
        <x:f>IF($A438="","",SUMIFS(CaseLedger!$O:$O,CaseLedger!$F:$F,$A438,CaseLedger!$B:$B,"TRUE"))</x:f>
      </x:c>
      <x:c r="P438" t="str">
        <x:f>IF($A438="","",IFERROR(VLOOKUP($A438,MonthlyFinance!$A:$G,4,FALSE),""))</x:f>
      </x:c>
      <x:c r="Q438" t="str">
        <x:f>IF($A438="","",IFERROR(VLOOKUP($A438,MonthlyFinance!$A:$G,5,FALSE),""))</x:f>
      </x:c>
      <x:c r="R438" t="str">
        <x:f>IF($A438="","",IFERROR(VLOOKUP($A438,MonthlyFinance!$A:$G,6,FALSE),""))</x:f>
      </x:c>
      <x:c r="S438" t="str">
        <x:f>IF($A438="","","Formula-linked from CaseLedger; finance fields from MonthlyFinance.")</x:f>
      </x:c>
      <x:c r="T438" t="str">
        <x:f>IF($A438="","","TRUE")</x:f>
      </x:c>
    </x:row>
    <x:row r="439">
      <x:c r="D439" t="str">
        <x:f>IF($A439="","",COUNTIFS(CaseLedger!$F:$F,$A439,CaseLedger!$B:$B,"TRUE"))</x:f>
      </x:c>
      <x:c r="E439" t="str">
        <x:f>IF($A439="","",COUNTIFS(CaseLedger!$F:$F,$A439,CaseLedger!$B:$B,"TRUE",CaseLedger!$P:$P,"Zakat"))</x:f>
      </x:c>
      <x:c r="F439" t="str">
        <x:f>IF($A439="","",COUNTIFS(CaseLedger!$F:$F,$A439,CaseLedger!$B:$B,"TRUE",CaseLedger!$P:$P,"Sadaqah"))</x:f>
      </x:c>
      <x:c r="G439" t="str">
        <x:f>IF($A439="","",COUNTIFS(CaseLedger!$F:$F,$A439,CaseLedger!$B:$B,"TRUE",CaseLedger!$P:$P,"Mixed"))</x:f>
      </x:c>
      <x:c r="H439" t="str">
        <x:f>IF($A439="","",COUNTIFS(CaseLedger!$F:$F,$A439,CaseLedger!$B:$B,"TRUE",CaseLedger!$K:$K,"Livelihood"))</x:f>
      </x:c>
      <x:c r="I439" t="str">
        <x:f>IF($A439="","",COUNTIFS(CaseLedger!$F:$F,$A439,CaseLedger!$B:$B,"TRUE",CaseLedger!$K:$K,"Skill Sponsorship"))</x:f>
      </x:c>
      <x:c r="J439" t="str">
        <x:f>IF($A439="","",COUNTIFS(CaseLedger!$F:$F,$A439,CaseLedger!$B:$B,"TRUE",CaseLedger!$K:$K,"Emergency Support"))</x:f>
      </x:c>
      <x:c r="K439" t="str">
        <x:f>IF($A439="","",COUNTIFS(CaseLedger!$F:$F,$A439,CaseLedger!$B:$B,"TRUE",CaseLedger!$K:$K,"Community Support"))</x:f>
      </x:c>
      <x:c r="L439" t="str">
        <x:f>IF($A439="","",SUMIFS(CaseLedger!$M:$M,CaseLedger!$F:$F,$A439,CaseLedger!$B:$B,"TRUE"))</x:f>
      </x:c>
      <x:c r="M439" t="str">
        <x:f>IF($A439="","",SUMIFS(CaseLedger!$N:$N,CaseLedger!$F:$F,$A439,CaseLedger!$B:$B,"TRUE"))</x:f>
      </x:c>
      <x:c r="N439" t="str">
        <x:f>IF($A439="","",0)</x:f>
      </x:c>
      <x:c r="O439" t="str">
        <x:f>IF($A439="","",SUMIFS(CaseLedger!$O:$O,CaseLedger!$F:$F,$A439,CaseLedger!$B:$B,"TRUE"))</x:f>
      </x:c>
      <x:c r="P439" t="str">
        <x:f>IF($A439="","",IFERROR(VLOOKUP($A439,MonthlyFinance!$A:$G,4,FALSE),""))</x:f>
      </x:c>
      <x:c r="Q439" t="str">
        <x:f>IF($A439="","",IFERROR(VLOOKUP($A439,MonthlyFinance!$A:$G,5,FALSE),""))</x:f>
      </x:c>
      <x:c r="R439" t="str">
        <x:f>IF($A439="","",IFERROR(VLOOKUP($A439,MonthlyFinance!$A:$G,6,FALSE),""))</x:f>
      </x:c>
      <x:c r="S439" t="str">
        <x:f>IF($A439="","","Formula-linked from CaseLedger; finance fields from MonthlyFinance.")</x:f>
      </x:c>
      <x:c r="T439" t="str">
        <x:f>IF($A439="","","TRUE")</x:f>
      </x:c>
    </x:row>
    <x:row r="440">
      <x:c r="D440" t="str">
        <x:f>IF($A440="","",COUNTIFS(CaseLedger!$F:$F,$A440,CaseLedger!$B:$B,"TRUE"))</x:f>
      </x:c>
      <x:c r="E440" t="str">
        <x:f>IF($A440="","",COUNTIFS(CaseLedger!$F:$F,$A440,CaseLedger!$B:$B,"TRUE",CaseLedger!$P:$P,"Zakat"))</x:f>
      </x:c>
      <x:c r="F440" t="str">
        <x:f>IF($A440="","",COUNTIFS(CaseLedger!$F:$F,$A440,CaseLedger!$B:$B,"TRUE",CaseLedger!$P:$P,"Sadaqah"))</x:f>
      </x:c>
      <x:c r="G440" t="str">
        <x:f>IF($A440="","",COUNTIFS(CaseLedger!$F:$F,$A440,CaseLedger!$B:$B,"TRUE",CaseLedger!$P:$P,"Mixed"))</x:f>
      </x:c>
      <x:c r="H440" t="str">
        <x:f>IF($A440="","",COUNTIFS(CaseLedger!$F:$F,$A440,CaseLedger!$B:$B,"TRUE",CaseLedger!$K:$K,"Livelihood"))</x:f>
      </x:c>
      <x:c r="I440" t="str">
        <x:f>IF($A440="","",COUNTIFS(CaseLedger!$F:$F,$A440,CaseLedger!$B:$B,"TRUE",CaseLedger!$K:$K,"Skill Sponsorship"))</x:f>
      </x:c>
      <x:c r="J440" t="str">
        <x:f>IF($A440="","",COUNTIFS(CaseLedger!$F:$F,$A440,CaseLedger!$B:$B,"TRUE",CaseLedger!$K:$K,"Emergency Support"))</x:f>
      </x:c>
      <x:c r="K440" t="str">
        <x:f>IF($A440="","",COUNTIFS(CaseLedger!$F:$F,$A440,CaseLedger!$B:$B,"TRUE",CaseLedger!$K:$K,"Community Support"))</x:f>
      </x:c>
      <x:c r="L440" t="str">
        <x:f>IF($A440="","",SUMIFS(CaseLedger!$M:$M,CaseLedger!$F:$F,$A440,CaseLedger!$B:$B,"TRUE"))</x:f>
      </x:c>
      <x:c r="M440" t="str">
        <x:f>IF($A440="","",SUMIFS(CaseLedger!$N:$N,CaseLedger!$F:$F,$A440,CaseLedger!$B:$B,"TRUE"))</x:f>
      </x:c>
      <x:c r="N440" t="str">
        <x:f>IF($A440="","",0)</x:f>
      </x:c>
      <x:c r="O440" t="str">
        <x:f>IF($A440="","",SUMIFS(CaseLedger!$O:$O,CaseLedger!$F:$F,$A440,CaseLedger!$B:$B,"TRUE"))</x:f>
      </x:c>
      <x:c r="P440" t="str">
        <x:f>IF($A440="","",IFERROR(VLOOKUP($A440,MonthlyFinance!$A:$G,4,FALSE),""))</x:f>
      </x:c>
      <x:c r="Q440" t="str">
        <x:f>IF($A440="","",IFERROR(VLOOKUP($A440,MonthlyFinance!$A:$G,5,FALSE),""))</x:f>
      </x:c>
      <x:c r="R440" t="str">
        <x:f>IF($A440="","",IFERROR(VLOOKUP($A440,MonthlyFinance!$A:$G,6,FALSE),""))</x:f>
      </x:c>
      <x:c r="S440" t="str">
        <x:f>IF($A440="","","Formula-linked from CaseLedger; finance fields from MonthlyFinance.")</x:f>
      </x:c>
      <x:c r="T440" t="str">
        <x:f>IF($A440="","","TRUE")</x:f>
      </x:c>
    </x:row>
    <x:row r="441">
      <x:c r="D441" t="str">
        <x:f>IF($A441="","",COUNTIFS(CaseLedger!$F:$F,$A441,CaseLedger!$B:$B,"TRUE"))</x:f>
      </x:c>
      <x:c r="E441" t="str">
        <x:f>IF($A441="","",COUNTIFS(CaseLedger!$F:$F,$A441,CaseLedger!$B:$B,"TRUE",CaseLedger!$P:$P,"Zakat"))</x:f>
      </x:c>
      <x:c r="F441" t="str">
        <x:f>IF($A441="","",COUNTIFS(CaseLedger!$F:$F,$A441,CaseLedger!$B:$B,"TRUE",CaseLedger!$P:$P,"Sadaqah"))</x:f>
      </x:c>
      <x:c r="G441" t="str">
        <x:f>IF($A441="","",COUNTIFS(CaseLedger!$F:$F,$A441,CaseLedger!$B:$B,"TRUE",CaseLedger!$P:$P,"Mixed"))</x:f>
      </x:c>
      <x:c r="H441" t="str">
        <x:f>IF($A441="","",COUNTIFS(CaseLedger!$F:$F,$A441,CaseLedger!$B:$B,"TRUE",CaseLedger!$K:$K,"Livelihood"))</x:f>
      </x:c>
      <x:c r="I441" t="str">
        <x:f>IF($A441="","",COUNTIFS(CaseLedger!$F:$F,$A441,CaseLedger!$B:$B,"TRUE",CaseLedger!$K:$K,"Skill Sponsorship"))</x:f>
      </x:c>
      <x:c r="J441" t="str">
        <x:f>IF($A441="","",COUNTIFS(CaseLedger!$F:$F,$A441,CaseLedger!$B:$B,"TRUE",CaseLedger!$K:$K,"Emergency Support"))</x:f>
      </x:c>
      <x:c r="K441" t="str">
        <x:f>IF($A441="","",COUNTIFS(CaseLedger!$F:$F,$A441,CaseLedger!$B:$B,"TRUE",CaseLedger!$K:$K,"Community Support"))</x:f>
      </x:c>
      <x:c r="L441" t="str">
        <x:f>IF($A441="","",SUMIFS(CaseLedger!$M:$M,CaseLedger!$F:$F,$A441,CaseLedger!$B:$B,"TRUE"))</x:f>
      </x:c>
      <x:c r="M441" t="str">
        <x:f>IF($A441="","",SUMIFS(CaseLedger!$N:$N,CaseLedger!$F:$F,$A441,CaseLedger!$B:$B,"TRUE"))</x:f>
      </x:c>
      <x:c r="N441" t="str">
        <x:f>IF($A441="","",0)</x:f>
      </x:c>
      <x:c r="O441" t="str">
        <x:f>IF($A441="","",SUMIFS(CaseLedger!$O:$O,CaseLedger!$F:$F,$A441,CaseLedger!$B:$B,"TRUE"))</x:f>
      </x:c>
      <x:c r="P441" t="str">
        <x:f>IF($A441="","",IFERROR(VLOOKUP($A441,MonthlyFinance!$A:$G,4,FALSE),""))</x:f>
      </x:c>
      <x:c r="Q441" t="str">
        <x:f>IF($A441="","",IFERROR(VLOOKUP($A441,MonthlyFinance!$A:$G,5,FALSE),""))</x:f>
      </x:c>
      <x:c r="R441" t="str">
        <x:f>IF($A441="","",IFERROR(VLOOKUP($A441,MonthlyFinance!$A:$G,6,FALSE),""))</x:f>
      </x:c>
      <x:c r="S441" t="str">
        <x:f>IF($A441="","","Formula-linked from CaseLedger; finance fields from MonthlyFinance.")</x:f>
      </x:c>
      <x:c r="T441" t="str">
        <x:f>IF($A441="","","TRUE")</x:f>
      </x:c>
    </x:row>
    <x:row r="442">
      <x:c r="D442" t="str">
        <x:f>IF($A442="","",COUNTIFS(CaseLedger!$F:$F,$A442,CaseLedger!$B:$B,"TRUE"))</x:f>
      </x:c>
      <x:c r="E442" t="str">
        <x:f>IF($A442="","",COUNTIFS(CaseLedger!$F:$F,$A442,CaseLedger!$B:$B,"TRUE",CaseLedger!$P:$P,"Zakat"))</x:f>
      </x:c>
      <x:c r="F442" t="str">
        <x:f>IF($A442="","",COUNTIFS(CaseLedger!$F:$F,$A442,CaseLedger!$B:$B,"TRUE",CaseLedger!$P:$P,"Sadaqah"))</x:f>
      </x:c>
      <x:c r="G442" t="str">
        <x:f>IF($A442="","",COUNTIFS(CaseLedger!$F:$F,$A442,CaseLedger!$B:$B,"TRUE",CaseLedger!$P:$P,"Mixed"))</x:f>
      </x:c>
      <x:c r="H442" t="str">
        <x:f>IF($A442="","",COUNTIFS(CaseLedger!$F:$F,$A442,CaseLedger!$B:$B,"TRUE",CaseLedger!$K:$K,"Livelihood"))</x:f>
      </x:c>
      <x:c r="I442" t="str">
        <x:f>IF($A442="","",COUNTIFS(CaseLedger!$F:$F,$A442,CaseLedger!$B:$B,"TRUE",CaseLedger!$K:$K,"Skill Sponsorship"))</x:f>
      </x:c>
      <x:c r="J442" t="str">
        <x:f>IF($A442="","",COUNTIFS(CaseLedger!$F:$F,$A442,CaseLedger!$B:$B,"TRUE",CaseLedger!$K:$K,"Emergency Support"))</x:f>
      </x:c>
      <x:c r="K442" t="str">
        <x:f>IF($A442="","",COUNTIFS(CaseLedger!$F:$F,$A442,CaseLedger!$B:$B,"TRUE",CaseLedger!$K:$K,"Community Support"))</x:f>
      </x:c>
      <x:c r="L442" t="str">
        <x:f>IF($A442="","",SUMIFS(CaseLedger!$M:$M,CaseLedger!$F:$F,$A442,CaseLedger!$B:$B,"TRUE"))</x:f>
      </x:c>
      <x:c r="M442" t="str">
        <x:f>IF($A442="","",SUMIFS(CaseLedger!$N:$N,CaseLedger!$F:$F,$A442,CaseLedger!$B:$B,"TRUE"))</x:f>
      </x:c>
      <x:c r="N442" t="str">
        <x:f>IF($A442="","",0)</x:f>
      </x:c>
      <x:c r="O442" t="str">
        <x:f>IF($A442="","",SUMIFS(CaseLedger!$O:$O,CaseLedger!$F:$F,$A442,CaseLedger!$B:$B,"TRUE"))</x:f>
      </x:c>
      <x:c r="P442" t="str">
        <x:f>IF($A442="","",IFERROR(VLOOKUP($A442,MonthlyFinance!$A:$G,4,FALSE),""))</x:f>
      </x:c>
      <x:c r="Q442" t="str">
        <x:f>IF($A442="","",IFERROR(VLOOKUP($A442,MonthlyFinance!$A:$G,5,FALSE),""))</x:f>
      </x:c>
      <x:c r="R442" t="str">
        <x:f>IF($A442="","",IFERROR(VLOOKUP($A442,MonthlyFinance!$A:$G,6,FALSE),""))</x:f>
      </x:c>
      <x:c r="S442" t="str">
        <x:f>IF($A442="","","Formula-linked from CaseLedger; finance fields from MonthlyFinance.")</x:f>
      </x:c>
      <x:c r="T442" t="str">
        <x:f>IF($A442="","","TRUE")</x:f>
      </x:c>
    </x:row>
    <x:row r="443">
      <x:c r="D443" t="str">
        <x:f>IF($A443="","",COUNTIFS(CaseLedger!$F:$F,$A443,CaseLedger!$B:$B,"TRUE"))</x:f>
      </x:c>
      <x:c r="E443" t="str">
        <x:f>IF($A443="","",COUNTIFS(CaseLedger!$F:$F,$A443,CaseLedger!$B:$B,"TRUE",CaseLedger!$P:$P,"Zakat"))</x:f>
      </x:c>
      <x:c r="F443" t="str">
        <x:f>IF($A443="","",COUNTIFS(CaseLedger!$F:$F,$A443,CaseLedger!$B:$B,"TRUE",CaseLedger!$P:$P,"Sadaqah"))</x:f>
      </x:c>
      <x:c r="G443" t="str">
        <x:f>IF($A443="","",COUNTIFS(CaseLedger!$F:$F,$A443,CaseLedger!$B:$B,"TRUE",CaseLedger!$P:$P,"Mixed"))</x:f>
      </x:c>
      <x:c r="H443" t="str">
        <x:f>IF($A443="","",COUNTIFS(CaseLedger!$F:$F,$A443,CaseLedger!$B:$B,"TRUE",CaseLedger!$K:$K,"Livelihood"))</x:f>
      </x:c>
      <x:c r="I443" t="str">
        <x:f>IF($A443="","",COUNTIFS(CaseLedger!$F:$F,$A443,CaseLedger!$B:$B,"TRUE",CaseLedger!$K:$K,"Skill Sponsorship"))</x:f>
      </x:c>
      <x:c r="J443" t="str">
        <x:f>IF($A443="","",COUNTIFS(CaseLedger!$F:$F,$A443,CaseLedger!$B:$B,"TRUE",CaseLedger!$K:$K,"Emergency Support"))</x:f>
      </x:c>
      <x:c r="K443" t="str">
        <x:f>IF($A443="","",COUNTIFS(CaseLedger!$F:$F,$A443,CaseLedger!$B:$B,"TRUE",CaseLedger!$K:$K,"Community Support"))</x:f>
      </x:c>
      <x:c r="L443" t="str">
        <x:f>IF($A443="","",SUMIFS(CaseLedger!$M:$M,CaseLedger!$F:$F,$A443,CaseLedger!$B:$B,"TRUE"))</x:f>
      </x:c>
      <x:c r="M443" t="str">
        <x:f>IF($A443="","",SUMIFS(CaseLedger!$N:$N,CaseLedger!$F:$F,$A443,CaseLedger!$B:$B,"TRUE"))</x:f>
      </x:c>
      <x:c r="N443" t="str">
        <x:f>IF($A443="","",0)</x:f>
      </x:c>
      <x:c r="O443" t="str">
        <x:f>IF($A443="","",SUMIFS(CaseLedger!$O:$O,CaseLedger!$F:$F,$A443,CaseLedger!$B:$B,"TRUE"))</x:f>
      </x:c>
      <x:c r="P443" t="str">
        <x:f>IF($A443="","",IFERROR(VLOOKUP($A443,MonthlyFinance!$A:$G,4,FALSE),""))</x:f>
      </x:c>
      <x:c r="Q443" t="str">
        <x:f>IF($A443="","",IFERROR(VLOOKUP($A443,MonthlyFinance!$A:$G,5,FALSE),""))</x:f>
      </x:c>
      <x:c r="R443" t="str">
        <x:f>IF($A443="","",IFERROR(VLOOKUP($A443,MonthlyFinance!$A:$G,6,FALSE),""))</x:f>
      </x:c>
      <x:c r="S443" t="str">
        <x:f>IF($A443="","","Formula-linked from CaseLedger; finance fields from MonthlyFinance.")</x:f>
      </x:c>
      <x:c r="T443" t="str">
        <x:f>IF($A443="","","TRUE")</x:f>
      </x:c>
    </x:row>
    <x:row r="444">
      <x:c r="D444" t="str">
        <x:f>IF($A444="","",COUNTIFS(CaseLedger!$F:$F,$A444,CaseLedger!$B:$B,"TRUE"))</x:f>
      </x:c>
      <x:c r="E444" t="str">
        <x:f>IF($A444="","",COUNTIFS(CaseLedger!$F:$F,$A444,CaseLedger!$B:$B,"TRUE",CaseLedger!$P:$P,"Zakat"))</x:f>
      </x:c>
      <x:c r="F444" t="str">
        <x:f>IF($A444="","",COUNTIFS(CaseLedger!$F:$F,$A444,CaseLedger!$B:$B,"TRUE",CaseLedger!$P:$P,"Sadaqah"))</x:f>
      </x:c>
      <x:c r="G444" t="str">
        <x:f>IF($A444="","",COUNTIFS(CaseLedger!$F:$F,$A444,CaseLedger!$B:$B,"TRUE",CaseLedger!$P:$P,"Mixed"))</x:f>
      </x:c>
      <x:c r="H444" t="str">
        <x:f>IF($A444="","",COUNTIFS(CaseLedger!$F:$F,$A444,CaseLedger!$B:$B,"TRUE",CaseLedger!$K:$K,"Livelihood"))</x:f>
      </x:c>
      <x:c r="I444" t="str">
        <x:f>IF($A444="","",COUNTIFS(CaseLedger!$F:$F,$A444,CaseLedger!$B:$B,"TRUE",CaseLedger!$K:$K,"Skill Sponsorship"))</x:f>
      </x:c>
      <x:c r="J444" t="str">
        <x:f>IF($A444="","",COUNTIFS(CaseLedger!$F:$F,$A444,CaseLedger!$B:$B,"TRUE",CaseLedger!$K:$K,"Emergency Support"))</x:f>
      </x:c>
      <x:c r="K444" t="str">
        <x:f>IF($A444="","",COUNTIFS(CaseLedger!$F:$F,$A444,CaseLedger!$B:$B,"TRUE",CaseLedger!$K:$K,"Community Support"))</x:f>
      </x:c>
      <x:c r="L444" t="str">
        <x:f>IF($A444="","",SUMIFS(CaseLedger!$M:$M,CaseLedger!$F:$F,$A444,CaseLedger!$B:$B,"TRUE"))</x:f>
      </x:c>
      <x:c r="M444" t="str">
        <x:f>IF($A444="","",SUMIFS(CaseLedger!$N:$N,CaseLedger!$F:$F,$A444,CaseLedger!$B:$B,"TRUE"))</x:f>
      </x:c>
      <x:c r="N444" t="str">
        <x:f>IF($A444="","",0)</x:f>
      </x:c>
      <x:c r="O444" t="str">
        <x:f>IF($A444="","",SUMIFS(CaseLedger!$O:$O,CaseLedger!$F:$F,$A444,CaseLedger!$B:$B,"TRUE"))</x:f>
      </x:c>
      <x:c r="P444" t="str">
        <x:f>IF($A444="","",IFERROR(VLOOKUP($A444,MonthlyFinance!$A:$G,4,FALSE),""))</x:f>
      </x:c>
      <x:c r="Q444" t="str">
        <x:f>IF($A444="","",IFERROR(VLOOKUP($A444,MonthlyFinance!$A:$G,5,FALSE),""))</x:f>
      </x:c>
      <x:c r="R444" t="str">
        <x:f>IF($A444="","",IFERROR(VLOOKUP($A444,MonthlyFinance!$A:$G,6,FALSE),""))</x:f>
      </x:c>
      <x:c r="S444" t="str">
        <x:f>IF($A444="","","Formula-linked from CaseLedger; finance fields from MonthlyFinance.")</x:f>
      </x:c>
      <x:c r="T444" t="str">
        <x:f>IF($A444="","","TRUE")</x:f>
      </x:c>
    </x:row>
    <x:row r="445">
      <x:c r="D445" t="str">
        <x:f>IF($A445="","",COUNTIFS(CaseLedger!$F:$F,$A445,CaseLedger!$B:$B,"TRUE"))</x:f>
      </x:c>
      <x:c r="E445" t="str">
        <x:f>IF($A445="","",COUNTIFS(CaseLedger!$F:$F,$A445,CaseLedger!$B:$B,"TRUE",CaseLedger!$P:$P,"Zakat"))</x:f>
      </x:c>
      <x:c r="F445" t="str">
        <x:f>IF($A445="","",COUNTIFS(CaseLedger!$F:$F,$A445,CaseLedger!$B:$B,"TRUE",CaseLedger!$P:$P,"Sadaqah"))</x:f>
      </x:c>
      <x:c r="G445" t="str">
        <x:f>IF($A445="","",COUNTIFS(CaseLedger!$F:$F,$A445,CaseLedger!$B:$B,"TRUE",CaseLedger!$P:$P,"Mixed"))</x:f>
      </x:c>
      <x:c r="H445" t="str">
        <x:f>IF($A445="","",COUNTIFS(CaseLedger!$F:$F,$A445,CaseLedger!$B:$B,"TRUE",CaseLedger!$K:$K,"Livelihood"))</x:f>
      </x:c>
      <x:c r="I445" t="str">
        <x:f>IF($A445="","",COUNTIFS(CaseLedger!$F:$F,$A445,CaseLedger!$B:$B,"TRUE",CaseLedger!$K:$K,"Skill Sponsorship"))</x:f>
      </x:c>
      <x:c r="J445" t="str">
        <x:f>IF($A445="","",COUNTIFS(CaseLedger!$F:$F,$A445,CaseLedger!$B:$B,"TRUE",CaseLedger!$K:$K,"Emergency Support"))</x:f>
      </x:c>
      <x:c r="K445" t="str">
        <x:f>IF($A445="","",COUNTIFS(CaseLedger!$F:$F,$A445,CaseLedger!$B:$B,"TRUE",CaseLedger!$K:$K,"Community Support"))</x:f>
      </x:c>
      <x:c r="L445" t="str">
        <x:f>IF($A445="","",SUMIFS(CaseLedger!$M:$M,CaseLedger!$F:$F,$A445,CaseLedger!$B:$B,"TRUE"))</x:f>
      </x:c>
      <x:c r="M445" t="str">
        <x:f>IF($A445="","",SUMIFS(CaseLedger!$N:$N,CaseLedger!$F:$F,$A445,CaseLedger!$B:$B,"TRUE"))</x:f>
      </x:c>
      <x:c r="N445" t="str">
        <x:f>IF($A445="","",0)</x:f>
      </x:c>
      <x:c r="O445" t="str">
        <x:f>IF($A445="","",SUMIFS(CaseLedger!$O:$O,CaseLedger!$F:$F,$A445,CaseLedger!$B:$B,"TRUE"))</x:f>
      </x:c>
      <x:c r="P445" t="str">
        <x:f>IF($A445="","",IFERROR(VLOOKUP($A445,MonthlyFinance!$A:$G,4,FALSE),""))</x:f>
      </x:c>
      <x:c r="Q445" t="str">
        <x:f>IF($A445="","",IFERROR(VLOOKUP($A445,MonthlyFinance!$A:$G,5,FALSE),""))</x:f>
      </x:c>
      <x:c r="R445" t="str">
        <x:f>IF($A445="","",IFERROR(VLOOKUP($A445,MonthlyFinance!$A:$G,6,FALSE),""))</x:f>
      </x:c>
      <x:c r="S445" t="str">
        <x:f>IF($A445="","","Formula-linked from CaseLedger; finance fields from MonthlyFinance.")</x:f>
      </x:c>
      <x:c r="T445" t="str">
        <x:f>IF($A445="","","TRUE")</x:f>
      </x:c>
    </x:row>
    <x:row r="446">
      <x:c r="D446" t="str">
        <x:f>IF($A446="","",COUNTIFS(CaseLedger!$F:$F,$A446,CaseLedger!$B:$B,"TRUE"))</x:f>
      </x:c>
      <x:c r="E446" t="str">
        <x:f>IF($A446="","",COUNTIFS(CaseLedger!$F:$F,$A446,CaseLedger!$B:$B,"TRUE",CaseLedger!$P:$P,"Zakat"))</x:f>
      </x:c>
      <x:c r="F446" t="str">
        <x:f>IF($A446="","",COUNTIFS(CaseLedger!$F:$F,$A446,CaseLedger!$B:$B,"TRUE",CaseLedger!$P:$P,"Sadaqah"))</x:f>
      </x:c>
      <x:c r="G446" t="str">
        <x:f>IF($A446="","",COUNTIFS(CaseLedger!$F:$F,$A446,CaseLedger!$B:$B,"TRUE",CaseLedger!$P:$P,"Mixed"))</x:f>
      </x:c>
      <x:c r="H446" t="str">
        <x:f>IF($A446="","",COUNTIFS(CaseLedger!$F:$F,$A446,CaseLedger!$B:$B,"TRUE",CaseLedger!$K:$K,"Livelihood"))</x:f>
      </x:c>
      <x:c r="I446" t="str">
        <x:f>IF($A446="","",COUNTIFS(CaseLedger!$F:$F,$A446,CaseLedger!$B:$B,"TRUE",CaseLedger!$K:$K,"Skill Sponsorship"))</x:f>
      </x:c>
      <x:c r="J446" t="str">
        <x:f>IF($A446="","",COUNTIFS(CaseLedger!$F:$F,$A446,CaseLedger!$B:$B,"TRUE",CaseLedger!$K:$K,"Emergency Support"))</x:f>
      </x:c>
      <x:c r="K446" t="str">
        <x:f>IF($A446="","",COUNTIFS(CaseLedger!$F:$F,$A446,CaseLedger!$B:$B,"TRUE",CaseLedger!$K:$K,"Community Support"))</x:f>
      </x:c>
      <x:c r="L446" t="str">
        <x:f>IF($A446="","",SUMIFS(CaseLedger!$M:$M,CaseLedger!$F:$F,$A446,CaseLedger!$B:$B,"TRUE"))</x:f>
      </x:c>
      <x:c r="M446" t="str">
        <x:f>IF($A446="","",SUMIFS(CaseLedger!$N:$N,CaseLedger!$F:$F,$A446,CaseLedger!$B:$B,"TRUE"))</x:f>
      </x:c>
      <x:c r="N446" t="str">
        <x:f>IF($A446="","",0)</x:f>
      </x:c>
      <x:c r="O446" t="str">
        <x:f>IF($A446="","",SUMIFS(CaseLedger!$O:$O,CaseLedger!$F:$F,$A446,CaseLedger!$B:$B,"TRUE"))</x:f>
      </x:c>
      <x:c r="P446" t="str">
        <x:f>IF($A446="","",IFERROR(VLOOKUP($A446,MonthlyFinance!$A:$G,4,FALSE),""))</x:f>
      </x:c>
      <x:c r="Q446" t="str">
        <x:f>IF($A446="","",IFERROR(VLOOKUP($A446,MonthlyFinance!$A:$G,5,FALSE),""))</x:f>
      </x:c>
      <x:c r="R446" t="str">
        <x:f>IF($A446="","",IFERROR(VLOOKUP($A446,MonthlyFinance!$A:$G,6,FALSE),""))</x:f>
      </x:c>
      <x:c r="S446" t="str">
        <x:f>IF($A446="","","Formula-linked from CaseLedger; finance fields from MonthlyFinance.")</x:f>
      </x:c>
      <x:c r="T446" t="str">
        <x:f>IF($A446="","","TRUE")</x:f>
      </x:c>
    </x:row>
    <x:row r="447">
      <x:c r="D447" t="str">
        <x:f>IF($A447="","",COUNTIFS(CaseLedger!$F:$F,$A447,CaseLedger!$B:$B,"TRUE"))</x:f>
      </x:c>
      <x:c r="E447" t="str">
        <x:f>IF($A447="","",COUNTIFS(CaseLedger!$F:$F,$A447,CaseLedger!$B:$B,"TRUE",CaseLedger!$P:$P,"Zakat"))</x:f>
      </x:c>
      <x:c r="F447" t="str">
        <x:f>IF($A447="","",COUNTIFS(CaseLedger!$F:$F,$A447,CaseLedger!$B:$B,"TRUE",CaseLedger!$P:$P,"Sadaqah"))</x:f>
      </x:c>
      <x:c r="G447" t="str">
        <x:f>IF($A447="","",COUNTIFS(CaseLedger!$F:$F,$A447,CaseLedger!$B:$B,"TRUE",CaseLedger!$P:$P,"Mixed"))</x:f>
      </x:c>
      <x:c r="H447" t="str">
        <x:f>IF($A447="","",COUNTIFS(CaseLedger!$F:$F,$A447,CaseLedger!$B:$B,"TRUE",CaseLedger!$K:$K,"Livelihood"))</x:f>
      </x:c>
      <x:c r="I447" t="str">
        <x:f>IF($A447="","",COUNTIFS(CaseLedger!$F:$F,$A447,CaseLedger!$B:$B,"TRUE",CaseLedger!$K:$K,"Skill Sponsorship"))</x:f>
      </x:c>
      <x:c r="J447" t="str">
        <x:f>IF($A447="","",COUNTIFS(CaseLedger!$F:$F,$A447,CaseLedger!$B:$B,"TRUE",CaseLedger!$K:$K,"Emergency Support"))</x:f>
      </x:c>
      <x:c r="K447" t="str">
        <x:f>IF($A447="","",COUNTIFS(CaseLedger!$F:$F,$A447,CaseLedger!$B:$B,"TRUE",CaseLedger!$K:$K,"Community Support"))</x:f>
      </x:c>
      <x:c r="L447" t="str">
        <x:f>IF($A447="","",SUMIFS(CaseLedger!$M:$M,CaseLedger!$F:$F,$A447,CaseLedger!$B:$B,"TRUE"))</x:f>
      </x:c>
      <x:c r="M447" t="str">
        <x:f>IF($A447="","",SUMIFS(CaseLedger!$N:$N,CaseLedger!$F:$F,$A447,CaseLedger!$B:$B,"TRUE"))</x:f>
      </x:c>
      <x:c r="N447" t="str">
        <x:f>IF($A447="","",0)</x:f>
      </x:c>
      <x:c r="O447" t="str">
        <x:f>IF($A447="","",SUMIFS(CaseLedger!$O:$O,CaseLedger!$F:$F,$A447,CaseLedger!$B:$B,"TRUE"))</x:f>
      </x:c>
      <x:c r="P447" t="str">
        <x:f>IF($A447="","",IFERROR(VLOOKUP($A447,MonthlyFinance!$A:$G,4,FALSE),""))</x:f>
      </x:c>
      <x:c r="Q447" t="str">
        <x:f>IF($A447="","",IFERROR(VLOOKUP($A447,MonthlyFinance!$A:$G,5,FALSE),""))</x:f>
      </x:c>
      <x:c r="R447" t="str">
        <x:f>IF($A447="","",IFERROR(VLOOKUP($A447,MonthlyFinance!$A:$G,6,FALSE),""))</x:f>
      </x:c>
      <x:c r="S447" t="str">
        <x:f>IF($A447="","","Formula-linked from CaseLedger; finance fields from MonthlyFinance.")</x:f>
      </x:c>
      <x:c r="T447" t="str">
        <x:f>IF($A447="","","TRUE")</x:f>
      </x:c>
    </x:row>
    <x:row r="448">
      <x:c r="D448" t="str">
        <x:f>IF($A448="","",COUNTIFS(CaseLedger!$F:$F,$A448,CaseLedger!$B:$B,"TRUE"))</x:f>
      </x:c>
      <x:c r="E448" t="str">
        <x:f>IF($A448="","",COUNTIFS(CaseLedger!$F:$F,$A448,CaseLedger!$B:$B,"TRUE",CaseLedger!$P:$P,"Zakat"))</x:f>
      </x:c>
      <x:c r="F448" t="str">
        <x:f>IF($A448="","",COUNTIFS(CaseLedger!$F:$F,$A448,CaseLedger!$B:$B,"TRUE",CaseLedger!$P:$P,"Sadaqah"))</x:f>
      </x:c>
      <x:c r="G448" t="str">
        <x:f>IF($A448="","",COUNTIFS(CaseLedger!$F:$F,$A448,CaseLedger!$B:$B,"TRUE",CaseLedger!$P:$P,"Mixed"))</x:f>
      </x:c>
      <x:c r="H448" t="str">
        <x:f>IF($A448="","",COUNTIFS(CaseLedger!$F:$F,$A448,CaseLedger!$B:$B,"TRUE",CaseLedger!$K:$K,"Livelihood"))</x:f>
      </x:c>
      <x:c r="I448" t="str">
        <x:f>IF($A448="","",COUNTIFS(CaseLedger!$F:$F,$A448,CaseLedger!$B:$B,"TRUE",CaseLedger!$K:$K,"Skill Sponsorship"))</x:f>
      </x:c>
      <x:c r="J448" t="str">
        <x:f>IF($A448="","",COUNTIFS(CaseLedger!$F:$F,$A448,CaseLedger!$B:$B,"TRUE",CaseLedger!$K:$K,"Emergency Support"))</x:f>
      </x:c>
      <x:c r="K448" t="str">
        <x:f>IF($A448="","",COUNTIFS(CaseLedger!$F:$F,$A448,CaseLedger!$B:$B,"TRUE",CaseLedger!$K:$K,"Community Support"))</x:f>
      </x:c>
      <x:c r="L448" t="str">
        <x:f>IF($A448="","",SUMIFS(CaseLedger!$M:$M,CaseLedger!$F:$F,$A448,CaseLedger!$B:$B,"TRUE"))</x:f>
      </x:c>
      <x:c r="M448" t="str">
        <x:f>IF($A448="","",SUMIFS(CaseLedger!$N:$N,CaseLedger!$F:$F,$A448,CaseLedger!$B:$B,"TRUE"))</x:f>
      </x:c>
      <x:c r="N448" t="str">
        <x:f>IF($A448="","",0)</x:f>
      </x:c>
      <x:c r="O448" t="str">
        <x:f>IF($A448="","",SUMIFS(CaseLedger!$O:$O,CaseLedger!$F:$F,$A448,CaseLedger!$B:$B,"TRUE"))</x:f>
      </x:c>
      <x:c r="P448" t="str">
        <x:f>IF($A448="","",IFERROR(VLOOKUP($A448,MonthlyFinance!$A:$G,4,FALSE),""))</x:f>
      </x:c>
      <x:c r="Q448" t="str">
        <x:f>IF($A448="","",IFERROR(VLOOKUP($A448,MonthlyFinance!$A:$G,5,FALSE),""))</x:f>
      </x:c>
      <x:c r="R448" t="str">
        <x:f>IF($A448="","",IFERROR(VLOOKUP($A448,MonthlyFinance!$A:$G,6,FALSE),""))</x:f>
      </x:c>
      <x:c r="S448" t="str">
        <x:f>IF($A448="","","Formula-linked from CaseLedger; finance fields from MonthlyFinance.")</x:f>
      </x:c>
      <x:c r="T448" t="str">
        <x:f>IF($A448="","","TRUE")</x:f>
      </x:c>
    </x:row>
    <x:row r="449">
      <x:c r="D449" t="str">
        <x:f>IF($A449="","",COUNTIFS(CaseLedger!$F:$F,$A449,CaseLedger!$B:$B,"TRUE"))</x:f>
      </x:c>
      <x:c r="E449" t="str">
        <x:f>IF($A449="","",COUNTIFS(CaseLedger!$F:$F,$A449,CaseLedger!$B:$B,"TRUE",CaseLedger!$P:$P,"Zakat"))</x:f>
      </x:c>
      <x:c r="F449" t="str">
        <x:f>IF($A449="","",COUNTIFS(CaseLedger!$F:$F,$A449,CaseLedger!$B:$B,"TRUE",CaseLedger!$P:$P,"Sadaqah"))</x:f>
      </x:c>
      <x:c r="G449" t="str">
        <x:f>IF($A449="","",COUNTIFS(CaseLedger!$F:$F,$A449,CaseLedger!$B:$B,"TRUE",CaseLedger!$P:$P,"Mixed"))</x:f>
      </x:c>
      <x:c r="H449" t="str">
        <x:f>IF($A449="","",COUNTIFS(CaseLedger!$F:$F,$A449,CaseLedger!$B:$B,"TRUE",CaseLedger!$K:$K,"Livelihood"))</x:f>
      </x:c>
      <x:c r="I449" t="str">
        <x:f>IF($A449="","",COUNTIFS(CaseLedger!$F:$F,$A449,CaseLedger!$B:$B,"TRUE",CaseLedger!$K:$K,"Skill Sponsorship"))</x:f>
      </x:c>
      <x:c r="J449" t="str">
        <x:f>IF($A449="","",COUNTIFS(CaseLedger!$F:$F,$A449,CaseLedger!$B:$B,"TRUE",CaseLedger!$K:$K,"Emergency Support"))</x:f>
      </x:c>
      <x:c r="K449" t="str">
        <x:f>IF($A449="","",COUNTIFS(CaseLedger!$F:$F,$A449,CaseLedger!$B:$B,"TRUE",CaseLedger!$K:$K,"Community Support"))</x:f>
      </x:c>
      <x:c r="L449" t="str">
        <x:f>IF($A449="","",SUMIFS(CaseLedger!$M:$M,CaseLedger!$F:$F,$A449,CaseLedger!$B:$B,"TRUE"))</x:f>
      </x:c>
      <x:c r="M449" t="str">
        <x:f>IF($A449="","",SUMIFS(CaseLedger!$N:$N,CaseLedger!$F:$F,$A449,CaseLedger!$B:$B,"TRUE"))</x:f>
      </x:c>
      <x:c r="N449" t="str">
        <x:f>IF($A449="","",0)</x:f>
      </x:c>
      <x:c r="O449" t="str">
        <x:f>IF($A449="","",SUMIFS(CaseLedger!$O:$O,CaseLedger!$F:$F,$A449,CaseLedger!$B:$B,"TRUE"))</x:f>
      </x:c>
      <x:c r="P449" t="str">
        <x:f>IF($A449="","",IFERROR(VLOOKUP($A449,MonthlyFinance!$A:$G,4,FALSE),""))</x:f>
      </x:c>
      <x:c r="Q449" t="str">
        <x:f>IF($A449="","",IFERROR(VLOOKUP($A449,MonthlyFinance!$A:$G,5,FALSE),""))</x:f>
      </x:c>
      <x:c r="R449" t="str">
        <x:f>IF($A449="","",IFERROR(VLOOKUP($A449,MonthlyFinance!$A:$G,6,FALSE),""))</x:f>
      </x:c>
      <x:c r="S449" t="str">
        <x:f>IF($A449="","","Formula-linked from CaseLedger; finance fields from MonthlyFinance.")</x:f>
      </x:c>
      <x:c r="T449" t="str">
        <x:f>IF($A449="","","TRUE")</x:f>
      </x:c>
    </x:row>
    <x:row r="450">
      <x:c r="D450" t="str">
        <x:f>IF($A450="","",COUNTIFS(CaseLedger!$F:$F,$A450,CaseLedger!$B:$B,"TRUE"))</x:f>
      </x:c>
      <x:c r="E450" t="str">
        <x:f>IF($A450="","",COUNTIFS(CaseLedger!$F:$F,$A450,CaseLedger!$B:$B,"TRUE",CaseLedger!$P:$P,"Zakat"))</x:f>
      </x:c>
      <x:c r="F450" t="str">
        <x:f>IF($A450="","",COUNTIFS(CaseLedger!$F:$F,$A450,CaseLedger!$B:$B,"TRUE",CaseLedger!$P:$P,"Sadaqah"))</x:f>
      </x:c>
      <x:c r="G450" t="str">
        <x:f>IF($A450="","",COUNTIFS(CaseLedger!$F:$F,$A450,CaseLedger!$B:$B,"TRUE",CaseLedger!$P:$P,"Mixed"))</x:f>
      </x:c>
      <x:c r="H450" t="str">
        <x:f>IF($A450="","",COUNTIFS(CaseLedger!$F:$F,$A450,CaseLedger!$B:$B,"TRUE",CaseLedger!$K:$K,"Livelihood"))</x:f>
      </x:c>
      <x:c r="I450" t="str">
        <x:f>IF($A450="","",COUNTIFS(CaseLedger!$F:$F,$A450,CaseLedger!$B:$B,"TRUE",CaseLedger!$K:$K,"Skill Sponsorship"))</x:f>
      </x:c>
      <x:c r="J450" t="str">
        <x:f>IF($A450="","",COUNTIFS(CaseLedger!$F:$F,$A450,CaseLedger!$B:$B,"TRUE",CaseLedger!$K:$K,"Emergency Support"))</x:f>
      </x:c>
      <x:c r="K450" t="str">
        <x:f>IF($A450="","",COUNTIFS(CaseLedger!$F:$F,$A450,CaseLedger!$B:$B,"TRUE",CaseLedger!$K:$K,"Community Support"))</x:f>
      </x:c>
      <x:c r="L450" t="str">
        <x:f>IF($A450="","",SUMIFS(CaseLedger!$M:$M,CaseLedger!$F:$F,$A450,CaseLedger!$B:$B,"TRUE"))</x:f>
      </x:c>
      <x:c r="M450" t="str">
        <x:f>IF($A450="","",SUMIFS(CaseLedger!$N:$N,CaseLedger!$F:$F,$A450,CaseLedger!$B:$B,"TRUE"))</x:f>
      </x:c>
      <x:c r="N450" t="str">
        <x:f>IF($A450="","",0)</x:f>
      </x:c>
      <x:c r="O450" t="str">
        <x:f>IF($A450="","",SUMIFS(CaseLedger!$O:$O,CaseLedger!$F:$F,$A450,CaseLedger!$B:$B,"TRUE"))</x:f>
      </x:c>
      <x:c r="P450" t="str">
        <x:f>IF($A450="","",IFERROR(VLOOKUP($A450,MonthlyFinance!$A:$G,4,FALSE),""))</x:f>
      </x:c>
      <x:c r="Q450" t="str">
        <x:f>IF($A450="","",IFERROR(VLOOKUP($A450,MonthlyFinance!$A:$G,5,FALSE),""))</x:f>
      </x:c>
      <x:c r="R450" t="str">
        <x:f>IF($A450="","",IFERROR(VLOOKUP($A450,MonthlyFinance!$A:$G,6,FALSE),""))</x:f>
      </x:c>
      <x:c r="S450" t="str">
        <x:f>IF($A450="","","Formula-linked from CaseLedger; finance fields from MonthlyFinance.")</x:f>
      </x:c>
      <x:c r="T450" t="str">
        <x:f>IF($A450="","","TRUE")</x:f>
      </x:c>
    </x:row>
    <x:row r="451">
      <x:c r="D451" t="str">
        <x:f>IF($A451="","",COUNTIFS(CaseLedger!$F:$F,$A451,CaseLedger!$B:$B,"TRUE"))</x:f>
      </x:c>
      <x:c r="E451" t="str">
        <x:f>IF($A451="","",COUNTIFS(CaseLedger!$F:$F,$A451,CaseLedger!$B:$B,"TRUE",CaseLedger!$P:$P,"Zakat"))</x:f>
      </x:c>
      <x:c r="F451" t="str">
        <x:f>IF($A451="","",COUNTIFS(CaseLedger!$F:$F,$A451,CaseLedger!$B:$B,"TRUE",CaseLedger!$P:$P,"Sadaqah"))</x:f>
      </x:c>
      <x:c r="G451" t="str">
        <x:f>IF($A451="","",COUNTIFS(CaseLedger!$F:$F,$A451,CaseLedger!$B:$B,"TRUE",CaseLedger!$P:$P,"Mixed"))</x:f>
      </x:c>
      <x:c r="H451" t="str">
        <x:f>IF($A451="","",COUNTIFS(CaseLedger!$F:$F,$A451,CaseLedger!$B:$B,"TRUE",CaseLedger!$K:$K,"Livelihood"))</x:f>
      </x:c>
      <x:c r="I451" t="str">
        <x:f>IF($A451="","",COUNTIFS(CaseLedger!$F:$F,$A451,CaseLedger!$B:$B,"TRUE",CaseLedger!$K:$K,"Skill Sponsorship"))</x:f>
      </x:c>
      <x:c r="J451" t="str">
        <x:f>IF($A451="","",COUNTIFS(CaseLedger!$F:$F,$A451,CaseLedger!$B:$B,"TRUE",CaseLedger!$K:$K,"Emergency Support"))</x:f>
      </x:c>
      <x:c r="K451" t="str">
        <x:f>IF($A451="","",COUNTIFS(CaseLedger!$F:$F,$A451,CaseLedger!$B:$B,"TRUE",CaseLedger!$K:$K,"Community Support"))</x:f>
      </x:c>
      <x:c r="L451" t="str">
        <x:f>IF($A451="","",SUMIFS(CaseLedger!$M:$M,CaseLedger!$F:$F,$A451,CaseLedger!$B:$B,"TRUE"))</x:f>
      </x:c>
      <x:c r="M451" t="str">
        <x:f>IF($A451="","",SUMIFS(CaseLedger!$N:$N,CaseLedger!$F:$F,$A451,CaseLedger!$B:$B,"TRUE"))</x:f>
      </x:c>
      <x:c r="N451" t="str">
        <x:f>IF($A451="","",0)</x:f>
      </x:c>
      <x:c r="O451" t="str">
        <x:f>IF($A451="","",SUMIFS(CaseLedger!$O:$O,CaseLedger!$F:$F,$A451,CaseLedger!$B:$B,"TRUE"))</x:f>
      </x:c>
      <x:c r="P451" t="str">
        <x:f>IF($A451="","",IFERROR(VLOOKUP($A451,MonthlyFinance!$A:$G,4,FALSE),""))</x:f>
      </x:c>
      <x:c r="Q451" t="str">
        <x:f>IF($A451="","",IFERROR(VLOOKUP($A451,MonthlyFinance!$A:$G,5,FALSE),""))</x:f>
      </x:c>
      <x:c r="R451" t="str">
        <x:f>IF($A451="","",IFERROR(VLOOKUP($A451,MonthlyFinance!$A:$G,6,FALSE),""))</x:f>
      </x:c>
      <x:c r="S451" t="str">
        <x:f>IF($A451="","","Formula-linked from CaseLedger; finance fields from MonthlyFinance.")</x:f>
      </x:c>
      <x:c r="T451" t="str">
        <x:f>IF($A451="","","TRUE")</x:f>
      </x:c>
    </x:row>
    <x:row r="452">
      <x:c r="D452" t="str">
        <x:f>IF($A452="","",COUNTIFS(CaseLedger!$F:$F,$A452,CaseLedger!$B:$B,"TRUE"))</x:f>
      </x:c>
      <x:c r="E452" t="str">
        <x:f>IF($A452="","",COUNTIFS(CaseLedger!$F:$F,$A452,CaseLedger!$B:$B,"TRUE",CaseLedger!$P:$P,"Zakat"))</x:f>
      </x:c>
      <x:c r="F452" t="str">
        <x:f>IF($A452="","",COUNTIFS(CaseLedger!$F:$F,$A452,CaseLedger!$B:$B,"TRUE",CaseLedger!$P:$P,"Sadaqah"))</x:f>
      </x:c>
      <x:c r="G452" t="str">
        <x:f>IF($A452="","",COUNTIFS(CaseLedger!$F:$F,$A452,CaseLedger!$B:$B,"TRUE",CaseLedger!$P:$P,"Mixed"))</x:f>
      </x:c>
      <x:c r="H452" t="str">
        <x:f>IF($A452="","",COUNTIFS(CaseLedger!$F:$F,$A452,CaseLedger!$B:$B,"TRUE",CaseLedger!$K:$K,"Livelihood"))</x:f>
      </x:c>
      <x:c r="I452" t="str">
        <x:f>IF($A452="","",COUNTIFS(CaseLedger!$F:$F,$A452,CaseLedger!$B:$B,"TRUE",CaseLedger!$K:$K,"Skill Sponsorship"))</x:f>
      </x:c>
      <x:c r="J452" t="str">
        <x:f>IF($A452="","",COUNTIFS(CaseLedger!$F:$F,$A452,CaseLedger!$B:$B,"TRUE",CaseLedger!$K:$K,"Emergency Support"))</x:f>
      </x:c>
      <x:c r="K452" t="str">
        <x:f>IF($A452="","",COUNTIFS(CaseLedger!$F:$F,$A452,CaseLedger!$B:$B,"TRUE",CaseLedger!$K:$K,"Community Support"))</x:f>
      </x:c>
      <x:c r="L452" t="str">
        <x:f>IF($A452="","",SUMIFS(CaseLedger!$M:$M,CaseLedger!$F:$F,$A452,CaseLedger!$B:$B,"TRUE"))</x:f>
      </x:c>
      <x:c r="M452" t="str">
        <x:f>IF($A452="","",SUMIFS(CaseLedger!$N:$N,CaseLedger!$F:$F,$A452,CaseLedger!$B:$B,"TRUE"))</x:f>
      </x:c>
      <x:c r="N452" t="str">
        <x:f>IF($A452="","",0)</x:f>
      </x:c>
      <x:c r="O452" t="str">
        <x:f>IF($A452="","",SUMIFS(CaseLedger!$O:$O,CaseLedger!$F:$F,$A452,CaseLedger!$B:$B,"TRUE"))</x:f>
      </x:c>
      <x:c r="P452" t="str">
        <x:f>IF($A452="","",IFERROR(VLOOKUP($A452,MonthlyFinance!$A:$G,4,FALSE),""))</x:f>
      </x:c>
      <x:c r="Q452" t="str">
        <x:f>IF($A452="","",IFERROR(VLOOKUP($A452,MonthlyFinance!$A:$G,5,FALSE),""))</x:f>
      </x:c>
      <x:c r="R452" t="str">
        <x:f>IF($A452="","",IFERROR(VLOOKUP($A452,MonthlyFinance!$A:$G,6,FALSE),""))</x:f>
      </x:c>
      <x:c r="S452" t="str">
        <x:f>IF($A452="","","Formula-linked from CaseLedger; finance fields from MonthlyFinance.")</x:f>
      </x:c>
      <x:c r="T452" t="str">
        <x:f>IF($A452="","","TRUE")</x:f>
      </x:c>
    </x:row>
    <x:row r="453">
      <x:c r="D453" t="str">
        <x:f>IF($A453="","",COUNTIFS(CaseLedger!$F:$F,$A453,CaseLedger!$B:$B,"TRUE"))</x:f>
      </x:c>
      <x:c r="E453" t="str">
        <x:f>IF($A453="","",COUNTIFS(CaseLedger!$F:$F,$A453,CaseLedger!$B:$B,"TRUE",CaseLedger!$P:$P,"Zakat"))</x:f>
      </x:c>
      <x:c r="F453" t="str">
        <x:f>IF($A453="","",COUNTIFS(CaseLedger!$F:$F,$A453,CaseLedger!$B:$B,"TRUE",CaseLedger!$P:$P,"Sadaqah"))</x:f>
      </x:c>
      <x:c r="G453" t="str">
        <x:f>IF($A453="","",COUNTIFS(CaseLedger!$F:$F,$A453,CaseLedger!$B:$B,"TRUE",CaseLedger!$P:$P,"Mixed"))</x:f>
      </x:c>
      <x:c r="H453" t="str">
        <x:f>IF($A453="","",COUNTIFS(CaseLedger!$F:$F,$A453,CaseLedger!$B:$B,"TRUE",CaseLedger!$K:$K,"Livelihood"))</x:f>
      </x:c>
      <x:c r="I453" t="str">
        <x:f>IF($A453="","",COUNTIFS(CaseLedger!$F:$F,$A453,CaseLedger!$B:$B,"TRUE",CaseLedger!$K:$K,"Skill Sponsorship"))</x:f>
      </x:c>
      <x:c r="J453" t="str">
        <x:f>IF($A453="","",COUNTIFS(CaseLedger!$F:$F,$A453,CaseLedger!$B:$B,"TRUE",CaseLedger!$K:$K,"Emergency Support"))</x:f>
      </x:c>
      <x:c r="K453" t="str">
        <x:f>IF($A453="","",COUNTIFS(CaseLedger!$F:$F,$A453,CaseLedger!$B:$B,"TRUE",CaseLedger!$K:$K,"Community Support"))</x:f>
      </x:c>
      <x:c r="L453" t="str">
        <x:f>IF($A453="","",SUMIFS(CaseLedger!$M:$M,CaseLedger!$F:$F,$A453,CaseLedger!$B:$B,"TRUE"))</x:f>
      </x:c>
      <x:c r="M453" t="str">
        <x:f>IF($A453="","",SUMIFS(CaseLedger!$N:$N,CaseLedger!$F:$F,$A453,CaseLedger!$B:$B,"TRUE"))</x:f>
      </x:c>
      <x:c r="N453" t="str">
        <x:f>IF($A453="","",0)</x:f>
      </x:c>
      <x:c r="O453" t="str">
        <x:f>IF($A453="","",SUMIFS(CaseLedger!$O:$O,CaseLedger!$F:$F,$A453,CaseLedger!$B:$B,"TRUE"))</x:f>
      </x:c>
      <x:c r="P453" t="str">
        <x:f>IF($A453="","",IFERROR(VLOOKUP($A453,MonthlyFinance!$A:$G,4,FALSE),""))</x:f>
      </x:c>
      <x:c r="Q453" t="str">
        <x:f>IF($A453="","",IFERROR(VLOOKUP($A453,MonthlyFinance!$A:$G,5,FALSE),""))</x:f>
      </x:c>
      <x:c r="R453" t="str">
        <x:f>IF($A453="","",IFERROR(VLOOKUP($A453,MonthlyFinance!$A:$G,6,FALSE),""))</x:f>
      </x:c>
      <x:c r="S453" t="str">
        <x:f>IF($A453="","","Formula-linked from CaseLedger; finance fields from MonthlyFinance.")</x:f>
      </x:c>
      <x:c r="T453" t="str">
        <x:f>IF($A453="","","TRUE")</x:f>
      </x:c>
    </x:row>
    <x:row r="454">
      <x:c r="D454" t="str">
        <x:f>IF($A454="","",COUNTIFS(CaseLedger!$F:$F,$A454,CaseLedger!$B:$B,"TRUE"))</x:f>
      </x:c>
      <x:c r="E454" t="str">
        <x:f>IF($A454="","",COUNTIFS(CaseLedger!$F:$F,$A454,CaseLedger!$B:$B,"TRUE",CaseLedger!$P:$P,"Zakat"))</x:f>
      </x:c>
      <x:c r="F454" t="str">
        <x:f>IF($A454="","",COUNTIFS(CaseLedger!$F:$F,$A454,CaseLedger!$B:$B,"TRUE",CaseLedger!$P:$P,"Sadaqah"))</x:f>
      </x:c>
      <x:c r="G454" t="str">
        <x:f>IF($A454="","",COUNTIFS(CaseLedger!$F:$F,$A454,CaseLedger!$B:$B,"TRUE",CaseLedger!$P:$P,"Mixed"))</x:f>
      </x:c>
      <x:c r="H454" t="str">
        <x:f>IF($A454="","",COUNTIFS(CaseLedger!$F:$F,$A454,CaseLedger!$B:$B,"TRUE",CaseLedger!$K:$K,"Livelihood"))</x:f>
      </x:c>
      <x:c r="I454" t="str">
        <x:f>IF($A454="","",COUNTIFS(CaseLedger!$F:$F,$A454,CaseLedger!$B:$B,"TRUE",CaseLedger!$K:$K,"Skill Sponsorship"))</x:f>
      </x:c>
      <x:c r="J454" t="str">
        <x:f>IF($A454="","",COUNTIFS(CaseLedger!$F:$F,$A454,CaseLedger!$B:$B,"TRUE",CaseLedger!$K:$K,"Emergency Support"))</x:f>
      </x:c>
      <x:c r="K454" t="str">
        <x:f>IF($A454="","",COUNTIFS(CaseLedger!$F:$F,$A454,CaseLedger!$B:$B,"TRUE",CaseLedger!$K:$K,"Community Support"))</x:f>
      </x:c>
      <x:c r="L454" t="str">
        <x:f>IF($A454="","",SUMIFS(CaseLedger!$M:$M,CaseLedger!$F:$F,$A454,CaseLedger!$B:$B,"TRUE"))</x:f>
      </x:c>
      <x:c r="M454" t="str">
        <x:f>IF($A454="","",SUMIFS(CaseLedger!$N:$N,CaseLedger!$F:$F,$A454,CaseLedger!$B:$B,"TRUE"))</x:f>
      </x:c>
      <x:c r="N454" t="str">
        <x:f>IF($A454="","",0)</x:f>
      </x:c>
      <x:c r="O454" t="str">
        <x:f>IF($A454="","",SUMIFS(CaseLedger!$O:$O,CaseLedger!$F:$F,$A454,CaseLedger!$B:$B,"TRUE"))</x:f>
      </x:c>
      <x:c r="P454" t="str">
        <x:f>IF($A454="","",IFERROR(VLOOKUP($A454,MonthlyFinance!$A:$G,4,FALSE),""))</x:f>
      </x:c>
      <x:c r="Q454" t="str">
        <x:f>IF($A454="","",IFERROR(VLOOKUP($A454,MonthlyFinance!$A:$G,5,FALSE),""))</x:f>
      </x:c>
      <x:c r="R454" t="str">
        <x:f>IF($A454="","",IFERROR(VLOOKUP($A454,MonthlyFinance!$A:$G,6,FALSE),""))</x:f>
      </x:c>
      <x:c r="S454" t="str">
        <x:f>IF($A454="","","Formula-linked from CaseLedger; finance fields from MonthlyFinance.")</x:f>
      </x:c>
      <x:c r="T454" t="str">
        <x:f>IF($A454="","","TRUE")</x:f>
      </x:c>
    </x:row>
    <x:row r="455">
      <x:c r="D455" t="str">
        <x:f>IF($A455="","",COUNTIFS(CaseLedger!$F:$F,$A455,CaseLedger!$B:$B,"TRUE"))</x:f>
      </x:c>
      <x:c r="E455" t="str">
        <x:f>IF($A455="","",COUNTIFS(CaseLedger!$F:$F,$A455,CaseLedger!$B:$B,"TRUE",CaseLedger!$P:$P,"Zakat"))</x:f>
      </x:c>
      <x:c r="F455" t="str">
        <x:f>IF($A455="","",COUNTIFS(CaseLedger!$F:$F,$A455,CaseLedger!$B:$B,"TRUE",CaseLedger!$P:$P,"Sadaqah"))</x:f>
      </x:c>
      <x:c r="G455" t="str">
        <x:f>IF($A455="","",COUNTIFS(CaseLedger!$F:$F,$A455,CaseLedger!$B:$B,"TRUE",CaseLedger!$P:$P,"Mixed"))</x:f>
      </x:c>
      <x:c r="H455" t="str">
        <x:f>IF($A455="","",COUNTIFS(CaseLedger!$F:$F,$A455,CaseLedger!$B:$B,"TRUE",CaseLedger!$K:$K,"Livelihood"))</x:f>
      </x:c>
      <x:c r="I455" t="str">
        <x:f>IF($A455="","",COUNTIFS(CaseLedger!$F:$F,$A455,CaseLedger!$B:$B,"TRUE",CaseLedger!$K:$K,"Skill Sponsorship"))</x:f>
      </x:c>
      <x:c r="J455" t="str">
        <x:f>IF($A455="","",COUNTIFS(CaseLedger!$F:$F,$A455,CaseLedger!$B:$B,"TRUE",CaseLedger!$K:$K,"Emergency Support"))</x:f>
      </x:c>
      <x:c r="K455" t="str">
        <x:f>IF($A455="","",COUNTIFS(CaseLedger!$F:$F,$A455,CaseLedger!$B:$B,"TRUE",CaseLedger!$K:$K,"Community Support"))</x:f>
      </x:c>
      <x:c r="L455" t="str">
        <x:f>IF($A455="","",SUMIFS(CaseLedger!$M:$M,CaseLedger!$F:$F,$A455,CaseLedger!$B:$B,"TRUE"))</x:f>
      </x:c>
      <x:c r="M455" t="str">
        <x:f>IF($A455="","",SUMIFS(CaseLedger!$N:$N,CaseLedger!$F:$F,$A455,CaseLedger!$B:$B,"TRUE"))</x:f>
      </x:c>
      <x:c r="N455" t="str">
        <x:f>IF($A455="","",0)</x:f>
      </x:c>
      <x:c r="O455" t="str">
        <x:f>IF($A455="","",SUMIFS(CaseLedger!$O:$O,CaseLedger!$F:$F,$A455,CaseLedger!$B:$B,"TRUE"))</x:f>
      </x:c>
      <x:c r="P455" t="str">
        <x:f>IF($A455="","",IFERROR(VLOOKUP($A455,MonthlyFinance!$A:$G,4,FALSE),""))</x:f>
      </x:c>
      <x:c r="Q455" t="str">
        <x:f>IF($A455="","",IFERROR(VLOOKUP($A455,MonthlyFinance!$A:$G,5,FALSE),""))</x:f>
      </x:c>
      <x:c r="R455" t="str">
        <x:f>IF($A455="","",IFERROR(VLOOKUP($A455,MonthlyFinance!$A:$G,6,FALSE),""))</x:f>
      </x:c>
      <x:c r="S455" t="str">
        <x:f>IF($A455="","","Formula-linked from CaseLedger; finance fields from MonthlyFinance.")</x:f>
      </x:c>
      <x:c r="T455" t="str">
        <x:f>IF($A455="","","TRUE")</x:f>
      </x:c>
    </x:row>
    <x:row r="456">
      <x:c r="D456" t="str">
        <x:f>IF($A456="","",COUNTIFS(CaseLedger!$F:$F,$A456,CaseLedger!$B:$B,"TRUE"))</x:f>
      </x:c>
      <x:c r="E456" t="str">
        <x:f>IF($A456="","",COUNTIFS(CaseLedger!$F:$F,$A456,CaseLedger!$B:$B,"TRUE",CaseLedger!$P:$P,"Zakat"))</x:f>
      </x:c>
      <x:c r="F456" t="str">
        <x:f>IF($A456="","",COUNTIFS(CaseLedger!$F:$F,$A456,CaseLedger!$B:$B,"TRUE",CaseLedger!$P:$P,"Sadaqah"))</x:f>
      </x:c>
      <x:c r="G456" t="str">
        <x:f>IF($A456="","",COUNTIFS(CaseLedger!$F:$F,$A456,CaseLedger!$B:$B,"TRUE",CaseLedger!$P:$P,"Mixed"))</x:f>
      </x:c>
      <x:c r="H456" t="str">
        <x:f>IF($A456="","",COUNTIFS(CaseLedger!$F:$F,$A456,CaseLedger!$B:$B,"TRUE",CaseLedger!$K:$K,"Livelihood"))</x:f>
      </x:c>
      <x:c r="I456" t="str">
        <x:f>IF($A456="","",COUNTIFS(CaseLedger!$F:$F,$A456,CaseLedger!$B:$B,"TRUE",CaseLedger!$K:$K,"Skill Sponsorship"))</x:f>
      </x:c>
      <x:c r="J456" t="str">
        <x:f>IF($A456="","",COUNTIFS(CaseLedger!$F:$F,$A456,CaseLedger!$B:$B,"TRUE",CaseLedger!$K:$K,"Emergency Support"))</x:f>
      </x:c>
      <x:c r="K456" t="str">
        <x:f>IF($A456="","",COUNTIFS(CaseLedger!$F:$F,$A456,CaseLedger!$B:$B,"TRUE",CaseLedger!$K:$K,"Community Support"))</x:f>
      </x:c>
      <x:c r="L456" t="str">
        <x:f>IF($A456="","",SUMIFS(CaseLedger!$M:$M,CaseLedger!$F:$F,$A456,CaseLedger!$B:$B,"TRUE"))</x:f>
      </x:c>
      <x:c r="M456" t="str">
        <x:f>IF($A456="","",SUMIFS(CaseLedger!$N:$N,CaseLedger!$F:$F,$A456,CaseLedger!$B:$B,"TRUE"))</x:f>
      </x:c>
      <x:c r="N456" t="str">
        <x:f>IF($A456="","",0)</x:f>
      </x:c>
      <x:c r="O456" t="str">
        <x:f>IF($A456="","",SUMIFS(CaseLedger!$O:$O,CaseLedger!$F:$F,$A456,CaseLedger!$B:$B,"TRUE"))</x:f>
      </x:c>
      <x:c r="P456" t="str">
        <x:f>IF($A456="","",IFERROR(VLOOKUP($A456,MonthlyFinance!$A:$G,4,FALSE),""))</x:f>
      </x:c>
      <x:c r="Q456" t="str">
        <x:f>IF($A456="","",IFERROR(VLOOKUP($A456,MonthlyFinance!$A:$G,5,FALSE),""))</x:f>
      </x:c>
      <x:c r="R456" t="str">
        <x:f>IF($A456="","",IFERROR(VLOOKUP($A456,MonthlyFinance!$A:$G,6,FALSE),""))</x:f>
      </x:c>
      <x:c r="S456" t="str">
        <x:f>IF($A456="","","Formula-linked from CaseLedger; finance fields from MonthlyFinance.")</x:f>
      </x:c>
      <x:c r="T456" t="str">
        <x:f>IF($A456="","","TRUE")</x:f>
      </x:c>
    </x:row>
    <x:row r="457">
      <x:c r="D457" t="str">
        <x:f>IF($A457="","",COUNTIFS(CaseLedger!$F:$F,$A457,CaseLedger!$B:$B,"TRUE"))</x:f>
      </x:c>
      <x:c r="E457" t="str">
        <x:f>IF($A457="","",COUNTIFS(CaseLedger!$F:$F,$A457,CaseLedger!$B:$B,"TRUE",CaseLedger!$P:$P,"Zakat"))</x:f>
      </x:c>
      <x:c r="F457" t="str">
        <x:f>IF($A457="","",COUNTIFS(CaseLedger!$F:$F,$A457,CaseLedger!$B:$B,"TRUE",CaseLedger!$P:$P,"Sadaqah"))</x:f>
      </x:c>
      <x:c r="G457" t="str">
        <x:f>IF($A457="","",COUNTIFS(CaseLedger!$F:$F,$A457,CaseLedger!$B:$B,"TRUE",CaseLedger!$P:$P,"Mixed"))</x:f>
      </x:c>
      <x:c r="H457" t="str">
        <x:f>IF($A457="","",COUNTIFS(CaseLedger!$F:$F,$A457,CaseLedger!$B:$B,"TRUE",CaseLedger!$K:$K,"Livelihood"))</x:f>
      </x:c>
      <x:c r="I457" t="str">
        <x:f>IF($A457="","",COUNTIFS(CaseLedger!$F:$F,$A457,CaseLedger!$B:$B,"TRUE",CaseLedger!$K:$K,"Skill Sponsorship"))</x:f>
      </x:c>
      <x:c r="J457" t="str">
        <x:f>IF($A457="","",COUNTIFS(CaseLedger!$F:$F,$A457,CaseLedger!$B:$B,"TRUE",CaseLedger!$K:$K,"Emergency Support"))</x:f>
      </x:c>
      <x:c r="K457" t="str">
        <x:f>IF($A457="","",COUNTIFS(CaseLedger!$F:$F,$A457,CaseLedger!$B:$B,"TRUE",CaseLedger!$K:$K,"Community Support"))</x:f>
      </x:c>
      <x:c r="L457" t="str">
        <x:f>IF($A457="","",SUMIFS(CaseLedger!$M:$M,CaseLedger!$F:$F,$A457,CaseLedger!$B:$B,"TRUE"))</x:f>
      </x:c>
      <x:c r="M457" t="str">
        <x:f>IF($A457="","",SUMIFS(CaseLedger!$N:$N,CaseLedger!$F:$F,$A457,CaseLedger!$B:$B,"TRUE"))</x:f>
      </x:c>
      <x:c r="N457" t="str">
        <x:f>IF($A457="","",0)</x:f>
      </x:c>
      <x:c r="O457" t="str">
        <x:f>IF($A457="","",SUMIFS(CaseLedger!$O:$O,CaseLedger!$F:$F,$A457,CaseLedger!$B:$B,"TRUE"))</x:f>
      </x:c>
      <x:c r="P457" t="str">
        <x:f>IF($A457="","",IFERROR(VLOOKUP($A457,MonthlyFinance!$A:$G,4,FALSE),""))</x:f>
      </x:c>
      <x:c r="Q457" t="str">
        <x:f>IF($A457="","",IFERROR(VLOOKUP($A457,MonthlyFinance!$A:$G,5,FALSE),""))</x:f>
      </x:c>
      <x:c r="R457" t="str">
        <x:f>IF($A457="","",IFERROR(VLOOKUP($A457,MonthlyFinance!$A:$G,6,FALSE),""))</x:f>
      </x:c>
      <x:c r="S457" t="str">
        <x:f>IF($A457="","","Formula-linked from CaseLedger; finance fields from MonthlyFinance.")</x:f>
      </x:c>
      <x:c r="T457" t="str">
        <x:f>IF($A457="","","TRUE")</x:f>
      </x:c>
    </x:row>
    <x:row r="458">
      <x:c r="D458" t="str">
        <x:f>IF($A458="","",COUNTIFS(CaseLedger!$F:$F,$A458,CaseLedger!$B:$B,"TRUE"))</x:f>
      </x:c>
      <x:c r="E458" t="str">
        <x:f>IF($A458="","",COUNTIFS(CaseLedger!$F:$F,$A458,CaseLedger!$B:$B,"TRUE",CaseLedger!$P:$P,"Zakat"))</x:f>
      </x:c>
      <x:c r="F458" t="str">
        <x:f>IF($A458="","",COUNTIFS(CaseLedger!$F:$F,$A458,CaseLedger!$B:$B,"TRUE",CaseLedger!$P:$P,"Sadaqah"))</x:f>
      </x:c>
      <x:c r="G458" t="str">
        <x:f>IF($A458="","",COUNTIFS(CaseLedger!$F:$F,$A458,CaseLedger!$B:$B,"TRUE",CaseLedger!$P:$P,"Mixed"))</x:f>
      </x:c>
      <x:c r="H458" t="str">
        <x:f>IF($A458="","",COUNTIFS(CaseLedger!$F:$F,$A458,CaseLedger!$B:$B,"TRUE",CaseLedger!$K:$K,"Livelihood"))</x:f>
      </x:c>
      <x:c r="I458" t="str">
        <x:f>IF($A458="","",COUNTIFS(CaseLedger!$F:$F,$A458,CaseLedger!$B:$B,"TRUE",CaseLedger!$K:$K,"Skill Sponsorship"))</x:f>
      </x:c>
      <x:c r="J458" t="str">
        <x:f>IF($A458="","",COUNTIFS(CaseLedger!$F:$F,$A458,CaseLedger!$B:$B,"TRUE",CaseLedger!$K:$K,"Emergency Support"))</x:f>
      </x:c>
      <x:c r="K458" t="str">
        <x:f>IF($A458="","",COUNTIFS(CaseLedger!$F:$F,$A458,CaseLedger!$B:$B,"TRUE",CaseLedger!$K:$K,"Community Support"))</x:f>
      </x:c>
      <x:c r="L458" t="str">
        <x:f>IF($A458="","",SUMIFS(CaseLedger!$M:$M,CaseLedger!$F:$F,$A458,CaseLedger!$B:$B,"TRUE"))</x:f>
      </x:c>
      <x:c r="M458" t="str">
        <x:f>IF($A458="","",SUMIFS(CaseLedger!$N:$N,CaseLedger!$F:$F,$A458,CaseLedger!$B:$B,"TRUE"))</x:f>
      </x:c>
      <x:c r="N458" t="str">
        <x:f>IF($A458="","",0)</x:f>
      </x:c>
      <x:c r="O458" t="str">
        <x:f>IF($A458="","",SUMIFS(CaseLedger!$O:$O,CaseLedger!$F:$F,$A458,CaseLedger!$B:$B,"TRUE"))</x:f>
      </x:c>
      <x:c r="P458" t="str">
        <x:f>IF($A458="","",IFERROR(VLOOKUP($A458,MonthlyFinance!$A:$G,4,FALSE),""))</x:f>
      </x:c>
      <x:c r="Q458" t="str">
        <x:f>IF($A458="","",IFERROR(VLOOKUP($A458,MonthlyFinance!$A:$G,5,FALSE),""))</x:f>
      </x:c>
      <x:c r="R458" t="str">
        <x:f>IF($A458="","",IFERROR(VLOOKUP($A458,MonthlyFinance!$A:$G,6,FALSE),""))</x:f>
      </x:c>
      <x:c r="S458" t="str">
        <x:f>IF($A458="","","Formula-linked from CaseLedger; finance fields from MonthlyFinance.")</x:f>
      </x:c>
      <x:c r="T458" t="str">
        <x:f>IF($A458="","","TRUE")</x:f>
      </x:c>
    </x:row>
    <x:row r="459">
      <x:c r="D459" t="str">
        <x:f>IF($A459="","",COUNTIFS(CaseLedger!$F:$F,$A459,CaseLedger!$B:$B,"TRUE"))</x:f>
      </x:c>
      <x:c r="E459" t="str">
        <x:f>IF($A459="","",COUNTIFS(CaseLedger!$F:$F,$A459,CaseLedger!$B:$B,"TRUE",CaseLedger!$P:$P,"Zakat"))</x:f>
      </x:c>
      <x:c r="F459" t="str">
        <x:f>IF($A459="","",COUNTIFS(CaseLedger!$F:$F,$A459,CaseLedger!$B:$B,"TRUE",CaseLedger!$P:$P,"Sadaqah"))</x:f>
      </x:c>
      <x:c r="G459" t="str">
        <x:f>IF($A459="","",COUNTIFS(CaseLedger!$F:$F,$A459,CaseLedger!$B:$B,"TRUE",CaseLedger!$P:$P,"Mixed"))</x:f>
      </x:c>
      <x:c r="H459" t="str">
        <x:f>IF($A459="","",COUNTIFS(CaseLedger!$F:$F,$A459,CaseLedger!$B:$B,"TRUE",CaseLedger!$K:$K,"Livelihood"))</x:f>
      </x:c>
      <x:c r="I459" t="str">
        <x:f>IF($A459="","",COUNTIFS(CaseLedger!$F:$F,$A459,CaseLedger!$B:$B,"TRUE",CaseLedger!$K:$K,"Skill Sponsorship"))</x:f>
      </x:c>
      <x:c r="J459" t="str">
        <x:f>IF($A459="","",COUNTIFS(CaseLedger!$F:$F,$A459,CaseLedger!$B:$B,"TRUE",CaseLedger!$K:$K,"Emergency Support"))</x:f>
      </x:c>
      <x:c r="K459" t="str">
        <x:f>IF($A459="","",COUNTIFS(CaseLedger!$F:$F,$A459,CaseLedger!$B:$B,"TRUE",CaseLedger!$K:$K,"Community Support"))</x:f>
      </x:c>
      <x:c r="L459" t="str">
        <x:f>IF($A459="","",SUMIFS(CaseLedger!$M:$M,CaseLedger!$F:$F,$A459,CaseLedger!$B:$B,"TRUE"))</x:f>
      </x:c>
      <x:c r="M459" t="str">
        <x:f>IF($A459="","",SUMIFS(CaseLedger!$N:$N,CaseLedger!$F:$F,$A459,CaseLedger!$B:$B,"TRUE"))</x:f>
      </x:c>
      <x:c r="N459" t="str">
        <x:f>IF($A459="","",0)</x:f>
      </x:c>
      <x:c r="O459" t="str">
        <x:f>IF($A459="","",SUMIFS(CaseLedger!$O:$O,CaseLedger!$F:$F,$A459,CaseLedger!$B:$B,"TRUE"))</x:f>
      </x:c>
      <x:c r="P459" t="str">
        <x:f>IF($A459="","",IFERROR(VLOOKUP($A459,MonthlyFinance!$A:$G,4,FALSE),""))</x:f>
      </x:c>
      <x:c r="Q459" t="str">
        <x:f>IF($A459="","",IFERROR(VLOOKUP($A459,MonthlyFinance!$A:$G,5,FALSE),""))</x:f>
      </x:c>
      <x:c r="R459" t="str">
        <x:f>IF($A459="","",IFERROR(VLOOKUP($A459,MonthlyFinance!$A:$G,6,FALSE),""))</x:f>
      </x:c>
      <x:c r="S459" t="str">
        <x:f>IF($A459="","","Formula-linked from CaseLedger; finance fields from MonthlyFinance.")</x:f>
      </x:c>
      <x:c r="T459" t="str">
        <x:f>IF($A459="","","TRUE")</x:f>
      </x:c>
    </x:row>
    <x:row r="460">
      <x:c r="D460" t="str">
        <x:f>IF($A460="","",COUNTIFS(CaseLedger!$F:$F,$A460,CaseLedger!$B:$B,"TRUE"))</x:f>
      </x:c>
      <x:c r="E460" t="str">
        <x:f>IF($A460="","",COUNTIFS(CaseLedger!$F:$F,$A460,CaseLedger!$B:$B,"TRUE",CaseLedger!$P:$P,"Zakat"))</x:f>
      </x:c>
      <x:c r="F460" t="str">
        <x:f>IF($A460="","",COUNTIFS(CaseLedger!$F:$F,$A460,CaseLedger!$B:$B,"TRUE",CaseLedger!$P:$P,"Sadaqah"))</x:f>
      </x:c>
      <x:c r="G460" t="str">
        <x:f>IF($A460="","",COUNTIFS(CaseLedger!$F:$F,$A460,CaseLedger!$B:$B,"TRUE",CaseLedger!$P:$P,"Mixed"))</x:f>
      </x:c>
      <x:c r="H460" t="str">
        <x:f>IF($A460="","",COUNTIFS(CaseLedger!$F:$F,$A460,CaseLedger!$B:$B,"TRUE",CaseLedger!$K:$K,"Livelihood"))</x:f>
      </x:c>
      <x:c r="I460" t="str">
        <x:f>IF($A460="","",COUNTIFS(CaseLedger!$F:$F,$A460,CaseLedger!$B:$B,"TRUE",CaseLedger!$K:$K,"Skill Sponsorship"))</x:f>
      </x:c>
      <x:c r="J460" t="str">
        <x:f>IF($A460="","",COUNTIFS(CaseLedger!$F:$F,$A460,CaseLedger!$B:$B,"TRUE",CaseLedger!$K:$K,"Emergency Support"))</x:f>
      </x:c>
      <x:c r="K460" t="str">
        <x:f>IF($A460="","",COUNTIFS(CaseLedger!$F:$F,$A460,CaseLedger!$B:$B,"TRUE",CaseLedger!$K:$K,"Community Support"))</x:f>
      </x:c>
      <x:c r="L460" t="str">
        <x:f>IF($A460="","",SUMIFS(CaseLedger!$M:$M,CaseLedger!$F:$F,$A460,CaseLedger!$B:$B,"TRUE"))</x:f>
      </x:c>
      <x:c r="M460" t="str">
        <x:f>IF($A460="","",SUMIFS(CaseLedger!$N:$N,CaseLedger!$F:$F,$A460,CaseLedger!$B:$B,"TRUE"))</x:f>
      </x:c>
      <x:c r="N460" t="str">
        <x:f>IF($A460="","",0)</x:f>
      </x:c>
      <x:c r="O460" t="str">
        <x:f>IF($A460="","",SUMIFS(CaseLedger!$O:$O,CaseLedger!$F:$F,$A460,CaseLedger!$B:$B,"TRUE"))</x:f>
      </x:c>
      <x:c r="P460" t="str">
        <x:f>IF($A460="","",IFERROR(VLOOKUP($A460,MonthlyFinance!$A:$G,4,FALSE),""))</x:f>
      </x:c>
      <x:c r="Q460" t="str">
        <x:f>IF($A460="","",IFERROR(VLOOKUP($A460,MonthlyFinance!$A:$G,5,FALSE),""))</x:f>
      </x:c>
      <x:c r="R460" t="str">
        <x:f>IF($A460="","",IFERROR(VLOOKUP($A460,MonthlyFinance!$A:$G,6,FALSE),""))</x:f>
      </x:c>
      <x:c r="S460" t="str">
        <x:f>IF($A460="","","Formula-linked from CaseLedger; finance fields from MonthlyFinance.")</x:f>
      </x:c>
      <x:c r="T460" t="str">
        <x:f>IF($A460="","","TRUE")</x:f>
      </x:c>
    </x:row>
    <x:row r="461">
      <x:c r="D461" t="str">
        <x:f>IF($A461="","",COUNTIFS(CaseLedger!$F:$F,$A461,CaseLedger!$B:$B,"TRUE"))</x:f>
      </x:c>
      <x:c r="E461" t="str">
        <x:f>IF($A461="","",COUNTIFS(CaseLedger!$F:$F,$A461,CaseLedger!$B:$B,"TRUE",CaseLedger!$P:$P,"Zakat"))</x:f>
      </x:c>
      <x:c r="F461" t="str">
        <x:f>IF($A461="","",COUNTIFS(CaseLedger!$F:$F,$A461,CaseLedger!$B:$B,"TRUE",CaseLedger!$P:$P,"Sadaqah"))</x:f>
      </x:c>
      <x:c r="G461" t="str">
        <x:f>IF($A461="","",COUNTIFS(CaseLedger!$F:$F,$A461,CaseLedger!$B:$B,"TRUE",CaseLedger!$P:$P,"Mixed"))</x:f>
      </x:c>
      <x:c r="H461" t="str">
        <x:f>IF($A461="","",COUNTIFS(CaseLedger!$F:$F,$A461,CaseLedger!$B:$B,"TRUE",CaseLedger!$K:$K,"Livelihood"))</x:f>
      </x:c>
      <x:c r="I461" t="str">
        <x:f>IF($A461="","",COUNTIFS(CaseLedger!$F:$F,$A461,CaseLedger!$B:$B,"TRUE",CaseLedger!$K:$K,"Skill Sponsorship"))</x:f>
      </x:c>
      <x:c r="J461" t="str">
        <x:f>IF($A461="","",COUNTIFS(CaseLedger!$F:$F,$A461,CaseLedger!$B:$B,"TRUE",CaseLedger!$K:$K,"Emergency Support"))</x:f>
      </x:c>
      <x:c r="K461" t="str">
        <x:f>IF($A461="","",COUNTIFS(CaseLedger!$F:$F,$A461,CaseLedger!$B:$B,"TRUE",CaseLedger!$K:$K,"Community Support"))</x:f>
      </x:c>
      <x:c r="L461" t="str">
        <x:f>IF($A461="","",SUMIFS(CaseLedger!$M:$M,CaseLedger!$F:$F,$A461,CaseLedger!$B:$B,"TRUE"))</x:f>
      </x:c>
      <x:c r="M461" t="str">
        <x:f>IF($A461="","",SUMIFS(CaseLedger!$N:$N,CaseLedger!$F:$F,$A461,CaseLedger!$B:$B,"TRUE"))</x:f>
      </x:c>
      <x:c r="N461" t="str">
        <x:f>IF($A461="","",0)</x:f>
      </x:c>
      <x:c r="O461" t="str">
        <x:f>IF($A461="","",SUMIFS(CaseLedger!$O:$O,CaseLedger!$F:$F,$A461,CaseLedger!$B:$B,"TRUE"))</x:f>
      </x:c>
      <x:c r="P461" t="str">
        <x:f>IF($A461="","",IFERROR(VLOOKUP($A461,MonthlyFinance!$A:$G,4,FALSE),""))</x:f>
      </x:c>
      <x:c r="Q461" t="str">
        <x:f>IF($A461="","",IFERROR(VLOOKUP($A461,MonthlyFinance!$A:$G,5,FALSE),""))</x:f>
      </x:c>
      <x:c r="R461" t="str">
        <x:f>IF($A461="","",IFERROR(VLOOKUP($A461,MonthlyFinance!$A:$G,6,FALSE),""))</x:f>
      </x:c>
      <x:c r="S461" t="str">
        <x:f>IF($A461="","","Formula-linked from CaseLedger; finance fields from MonthlyFinance.")</x:f>
      </x:c>
      <x:c r="T461" t="str">
        <x:f>IF($A461="","","TRUE")</x:f>
      </x:c>
    </x:row>
    <x:row r="462">
      <x:c r="D462" t="str">
        <x:f>IF($A462="","",COUNTIFS(CaseLedger!$F:$F,$A462,CaseLedger!$B:$B,"TRUE"))</x:f>
      </x:c>
      <x:c r="E462" t="str">
        <x:f>IF($A462="","",COUNTIFS(CaseLedger!$F:$F,$A462,CaseLedger!$B:$B,"TRUE",CaseLedger!$P:$P,"Zakat"))</x:f>
      </x:c>
      <x:c r="F462" t="str">
        <x:f>IF($A462="","",COUNTIFS(CaseLedger!$F:$F,$A462,CaseLedger!$B:$B,"TRUE",CaseLedger!$P:$P,"Sadaqah"))</x:f>
      </x:c>
      <x:c r="G462" t="str">
        <x:f>IF($A462="","",COUNTIFS(CaseLedger!$F:$F,$A462,CaseLedger!$B:$B,"TRUE",CaseLedger!$P:$P,"Mixed"))</x:f>
      </x:c>
      <x:c r="H462" t="str">
        <x:f>IF($A462="","",COUNTIFS(CaseLedger!$F:$F,$A462,CaseLedger!$B:$B,"TRUE",CaseLedger!$K:$K,"Livelihood"))</x:f>
      </x:c>
      <x:c r="I462" t="str">
        <x:f>IF($A462="","",COUNTIFS(CaseLedger!$F:$F,$A462,CaseLedger!$B:$B,"TRUE",CaseLedger!$K:$K,"Skill Sponsorship"))</x:f>
      </x:c>
      <x:c r="J462" t="str">
        <x:f>IF($A462="","",COUNTIFS(CaseLedger!$F:$F,$A462,CaseLedger!$B:$B,"TRUE",CaseLedger!$K:$K,"Emergency Support"))</x:f>
      </x:c>
      <x:c r="K462" t="str">
        <x:f>IF($A462="","",COUNTIFS(CaseLedger!$F:$F,$A462,CaseLedger!$B:$B,"TRUE",CaseLedger!$K:$K,"Community Support"))</x:f>
      </x:c>
      <x:c r="L462" t="str">
        <x:f>IF($A462="","",SUMIFS(CaseLedger!$M:$M,CaseLedger!$F:$F,$A462,CaseLedger!$B:$B,"TRUE"))</x:f>
      </x:c>
      <x:c r="M462" t="str">
        <x:f>IF($A462="","",SUMIFS(CaseLedger!$N:$N,CaseLedger!$F:$F,$A462,CaseLedger!$B:$B,"TRUE"))</x:f>
      </x:c>
      <x:c r="N462" t="str">
        <x:f>IF($A462="","",0)</x:f>
      </x:c>
      <x:c r="O462" t="str">
        <x:f>IF($A462="","",SUMIFS(CaseLedger!$O:$O,CaseLedger!$F:$F,$A462,CaseLedger!$B:$B,"TRUE"))</x:f>
      </x:c>
      <x:c r="P462" t="str">
        <x:f>IF($A462="","",IFERROR(VLOOKUP($A462,MonthlyFinance!$A:$G,4,FALSE),""))</x:f>
      </x:c>
      <x:c r="Q462" t="str">
        <x:f>IF($A462="","",IFERROR(VLOOKUP($A462,MonthlyFinance!$A:$G,5,FALSE),""))</x:f>
      </x:c>
      <x:c r="R462" t="str">
        <x:f>IF($A462="","",IFERROR(VLOOKUP($A462,MonthlyFinance!$A:$G,6,FALSE),""))</x:f>
      </x:c>
      <x:c r="S462" t="str">
        <x:f>IF($A462="","","Formula-linked from CaseLedger; finance fields from MonthlyFinance.")</x:f>
      </x:c>
      <x:c r="T462" t="str">
        <x:f>IF($A462="","","TRUE")</x:f>
      </x:c>
    </x:row>
    <x:row r="463">
      <x:c r="D463" t="str">
        <x:f>IF($A463="","",COUNTIFS(CaseLedger!$F:$F,$A463,CaseLedger!$B:$B,"TRUE"))</x:f>
      </x:c>
      <x:c r="E463" t="str">
        <x:f>IF($A463="","",COUNTIFS(CaseLedger!$F:$F,$A463,CaseLedger!$B:$B,"TRUE",CaseLedger!$P:$P,"Zakat"))</x:f>
      </x:c>
      <x:c r="F463" t="str">
        <x:f>IF($A463="","",COUNTIFS(CaseLedger!$F:$F,$A463,CaseLedger!$B:$B,"TRUE",CaseLedger!$P:$P,"Sadaqah"))</x:f>
      </x:c>
      <x:c r="G463" t="str">
        <x:f>IF($A463="","",COUNTIFS(CaseLedger!$F:$F,$A463,CaseLedger!$B:$B,"TRUE",CaseLedger!$P:$P,"Mixed"))</x:f>
      </x:c>
      <x:c r="H463" t="str">
        <x:f>IF($A463="","",COUNTIFS(CaseLedger!$F:$F,$A463,CaseLedger!$B:$B,"TRUE",CaseLedger!$K:$K,"Livelihood"))</x:f>
      </x:c>
      <x:c r="I463" t="str">
        <x:f>IF($A463="","",COUNTIFS(CaseLedger!$F:$F,$A463,CaseLedger!$B:$B,"TRUE",CaseLedger!$K:$K,"Skill Sponsorship"))</x:f>
      </x:c>
      <x:c r="J463" t="str">
        <x:f>IF($A463="","",COUNTIFS(CaseLedger!$F:$F,$A463,CaseLedger!$B:$B,"TRUE",CaseLedger!$K:$K,"Emergency Support"))</x:f>
      </x:c>
      <x:c r="K463" t="str">
        <x:f>IF($A463="","",COUNTIFS(CaseLedger!$F:$F,$A463,CaseLedger!$B:$B,"TRUE",CaseLedger!$K:$K,"Community Support"))</x:f>
      </x:c>
      <x:c r="L463" t="str">
        <x:f>IF($A463="","",SUMIFS(CaseLedger!$M:$M,CaseLedger!$F:$F,$A463,CaseLedger!$B:$B,"TRUE"))</x:f>
      </x:c>
      <x:c r="M463" t="str">
        <x:f>IF($A463="","",SUMIFS(CaseLedger!$N:$N,CaseLedger!$F:$F,$A463,CaseLedger!$B:$B,"TRUE"))</x:f>
      </x:c>
      <x:c r="N463" t="str">
        <x:f>IF($A463="","",0)</x:f>
      </x:c>
      <x:c r="O463" t="str">
        <x:f>IF($A463="","",SUMIFS(CaseLedger!$O:$O,CaseLedger!$F:$F,$A463,CaseLedger!$B:$B,"TRUE"))</x:f>
      </x:c>
      <x:c r="P463" t="str">
        <x:f>IF($A463="","",IFERROR(VLOOKUP($A463,MonthlyFinance!$A:$G,4,FALSE),""))</x:f>
      </x:c>
      <x:c r="Q463" t="str">
        <x:f>IF($A463="","",IFERROR(VLOOKUP($A463,MonthlyFinance!$A:$G,5,FALSE),""))</x:f>
      </x:c>
      <x:c r="R463" t="str">
        <x:f>IF($A463="","",IFERROR(VLOOKUP($A463,MonthlyFinance!$A:$G,6,FALSE),""))</x:f>
      </x:c>
      <x:c r="S463" t="str">
        <x:f>IF($A463="","","Formula-linked from CaseLedger; finance fields from MonthlyFinance.")</x:f>
      </x:c>
      <x:c r="T463" t="str">
        <x:f>IF($A463="","","TRUE")</x:f>
      </x:c>
    </x:row>
    <x:row r="464">
      <x:c r="D464" t="str">
        <x:f>IF($A464="","",COUNTIFS(CaseLedger!$F:$F,$A464,CaseLedger!$B:$B,"TRUE"))</x:f>
      </x:c>
      <x:c r="E464" t="str">
        <x:f>IF($A464="","",COUNTIFS(CaseLedger!$F:$F,$A464,CaseLedger!$B:$B,"TRUE",CaseLedger!$P:$P,"Zakat"))</x:f>
      </x:c>
      <x:c r="F464" t="str">
        <x:f>IF($A464="","",COUNTIFS(CaseLedger!$F:$F,$A464,CaseLedger!$B:$B,"TRUE",CaseLedger!$P:$P,"Sadaqah"))</x:f>
      </x:c>
      <x:c r="G464" t="str">
        <x:f>IF($A464="","",COUNTIFS(CaseLedger!$F:$F,$A464,CaseLedger!$B:$B,"TRUE",CaseLedger!$P:$P,"Mixed"))</x:f>
      </x:c>
      <x:c r="H464" t="str">
        <x:f>IF($A464="","",COUNTIFS(CaseLedger!$F:$F,$A464,CaseLedger!$B:$B,"TRUE",CaseLedger!$K:$K,"Livelihood"))</x:f>
      </x:c>
      <x:c r="I464" t="str">
        <x:f>IF($A464="","",COUNTIFS(CaseLedger!$F:$F,$A464,CaseLedger!$B:$B,"TRUE",CaseLedger!$K:$K,"Skill Sponsorship"))</x:f>
      </x:c>
      <x:c r="J464" t="str">
        <x:f>IF($A464="","",COUNTIFS(CaseLedger!$F:$F,$A464,CaseLedger!$B:$B,"TRUE",CaseLedger!$K:$K,"Emergency Support"))</x:f>
      </x:c>
      <x:c r="K464" t="str">
        <x:f>IF($A464="","",COUNTIFS(CaseLedger!$F:$F,$A464,CaseLedger!$B:$B,"TRUE",CaseLedger!$K:$K,"Community Support"))</x:f>
      </x:c>
      <x:c r="L464" t="str">
        <x:f>IF($A464="","",SUMIFS(CaseLedger!$M:$M,CaseLedger!$F:$F,$A464,CaseLedger!$B:$B,"TRUE"))</x:f>
      </x:c>
      <x:c r="M464" t="str">
        <x:f>IF($A464="","",SUMIFS(CaseLedger!$N:$N,CaseLedger!$F:$F,$A464,CaseLedger!$B:$B,"TRUE"))</x:f>
      </x:c>
      <x:c r="N464" t="str">
        <x:f>IF($A464="","",0)</x:f>
      </x:c>
      <x:c r="O464" t="str">
        <x:f>IF($A464="","",SUMIFS(CaseLedger!$O:$O,CaseLedger!$F:$F,$A464,CaseLedger!$B:$B,"TRUE"))</x:f>
      </x:c>
      <x:c r="P464" t="str">
        <x:f>IF($A464="","",IFERROR(VLOOKUP($A464,MonthlyFinance!$A:$G,4,FALSE),""))</x:f>
      </x:c>
      <x:c r="Q464" t="str">
        <x:f>IF($A464="","",IFERROR(VLOOKUP($A464,MonthlyFinance!$A:$G,5,FALSE),""))</x:f>
      </x:c>
      <x:c r="R464" t="str">
        <x:f>IF($A464="","",IFERROR(VLOOKUP($A464,MonthlyFinance!$A:$G,6,FALSE),""))</x:f>
      </x:c>
      <x:c r="S464" t="str">
        <x:f>IF($A464="","","Formula-linked from CaseLedger; finance fields from MonthlyFinance.")</x:f>
      </x:c>
      <x:c r="T464" t="str">
        <x:f>IF($A464="","","TRUE")</x:f>
      </x:c>
    </x:row>
    <x:row r="465">
      <x:c r="D465" t="str">
        <x:f>IF($A465="","",COUNTIFS(CaseLedger!$F:$F,$A465,CaseLedger!$B:$B,"TRUE"))</x:f>
      </x:c>
      <x:c r="E465" t="str">
        <x:f>IF($A465="","",COUNTIFS(CaseLedger!$F:$F,$A465,CaseLedger!$B:$B,"TRUE",CaseLedger!$P:$P,"Zakat"))</x:f>
      </x:c>
      <x:c r="F465" t="str">
        <x:f>IF($A465="","",COUNTIFS(CaseLedger!$F:$F,$A465,CaseLedger!$B:$B,"TRUE",CaseLedger!$P:$P,"Sadaqah"))</x:f>
      </x:c>
      <x:c r="G465" t="str">
        <x:f>IF($A465="","",COUNTIFS(CaseLedger!$F:$F,$A465,CaseLedger!$B:$B,"TRUE",CaseLedger!$P:$P,"Mixed"))</x:f>
      </x:c>
      <x:c r="H465" t="str">
        <x:f>IF($A465="","",COUNTIFS(CaseLedger!$F:$F,$A465,CaseLedger!$B:$B,"TRUE",CaseLedger!$K:$K,"Livelihood"))</x:f>
      </x:c>
      <x:c r="I465" t="str">
        <x:f>IF($A465="","",COUNTIFS(CaseLedger!$F:$F,$A465,CaseLedger!$B:$B,"TRUE",CaseLedger!$K:$K,"Skill Sponsorship"))</x:f>
      </x:c>
      <x:c r="J465" t="str">
        <x:f>IF($A465="","",COUNTIFS(CaseLedger!$F:$F,$A465,CaseLedger!$B:$B,"TRUE",CaseLedger!$K:$K,"Emergency Support"))</x:f>
      </x:c>
      <x:c r="K465" t="str">
        <x:f>IF($A465="","",COUNTIFS(CaseLedger!$F:$F,$A465,CaseLedger!$B:$B,"TRUE",CaseLedger!$K:$K,"Community Support"))</x:f>
      </x:c>
      <x:c r="L465" t="str">
        <x:f>IF($A465="","",SUMIFS(CaseLedger!$M:$M,CaseLedger!$F:$F,$A465,CaseLedger!$B:$B,"TRUE"))</x:f>
      </x:c>
      <x:c r="M465" t="str">
        <x:f>IF($A465="","",SUMIFS(CaseLedger!$N:$N,CaseLedger!$F:$F,$A465,CaseLedger!$B:$B,"TRUE"))</x:f>
      </x:c>
      <x:c r="N465" t="str">
        <x:f>IF($A465="","",0)</x:f>
      </x:c>
      <x:c r="O465" t="str">
        <x:f>IF($A465="","",SUMIFS(CaseLedger!$O:$O,CaseLedger!$F:$F,$A465,CaseLedger!$B:$B,"TRUE"))</x:f>
      </x:c>
      <x:c r="P465" t="str">
        <x:f>IF($A465="","",IFERROR(VLOOKUP($A465,MonthlyFinance!$A:$G,4,FALSE),""))</x:f>
      </x:c>
      <x:c r="Q465" t="str">
        <x:f>IF($A465="","",IFERROR(VLOOKUP($A465,MonthlyFinance!$A:$G,5,FALSE),""))</x:f>
      </x:c>
      <x:c r="R465" t="str">
        <x:f>IF($A465="","",IFERROR(VLOOKUP($A465,MonthlyFinance!$A:$G,6,FALSE),""))</x:f>
      </x:c>
      <x:c r="S465" t="str">
        <x:f>IF($A465="","","Formula-linked from CaseLedger; finance fields from MonthlyFinance.")</x:f>
      </x:c>
      <x:c r="T465" t="str">
        <x:f>IF($A465="","","TRUE")</x:f>
      </x:c>
    </x:row>
    <x:row r="466">
      <x:c r="D466" t="str">
        <x:f>IF($A466="","",COUNTIFS(CaseLedger!$F:$F,$A466,CaseLedger!$B:$B,"TRUE"))</x:f>
      </x:c>
      <x:c r="E466" t="str">
        <x:f>IF($A466="","",COUNTIFS(CaseLedger!$F:$F,$A466,CaseLedger!$B:$B,"TRUE",CaseLedger!$P:$P,"Zakat"))</x:f>
      </x:c>
      <x:c r="F466" t="str">
        <x:f>IF($A466="","",COUNTIFS(CaseLedger!$F:$F,$A466,CaseLedger!$B:$B,"TRUE",CaseLedger!$P:$P,"Sadaqah"))</x:f>
      </x:c>
      <x:c r="G466" t="str">
        <x:f>IF($A466="","",COUNTIFS(CaseLedger!$F:$F,$A466,CaseLedger!$B:$B,"TRUE",CaseLedger!$P:$P,"Mixed"))</x:f>
      </x:c>
      <x:c r="H466" t="str">
        <x:f>IF($A466="","",COUNTIFS(CaseLedger!$F:$F,$A466,CaseLedger!$B:$B,"TRUE",CaseLedger!$K:$K,"Livelihood"))</x:f>
      </x:c>
      <x:c r="I466" t="str">
        <x:f>IF($A466="","",COUNTIFS(CaseLedger!$F:$F,$A466,CaseLedger!$B:$B,"TRUE",CaseLedger!$K:$K,"Skill Sponsorship"))</x:f>
      </x:c>
      <x:c r="J466" t="str">
        <x:f>IF($A466="","",COUNTIFS(CaseLedger!$F:$F,$A466,CaseLedger!$B:$B,"TRUE",CaseLedger!$K:$K,"Emergency Support"))</x:f>
      </x:c>
      <x:c r="K466" t="str">
        <x:f>IF($A466="","",COUNTIFS(CaseLedger!$F:$F,$A466,CaseLedger!$B:$B,"TRUE",CaseLedger!$K:$K,"Community Support"))</x:f>
      </x:c>
      <x:c r="L466" t="str">
        <x:f>IF($A466="","",SUMIFS(CaseLedger!$M:$M,CaseLedger!$F:$F,$A466,CaseLedger!$B:$B,"TRUE"))</x:f>
      </x:c>
      <x:c r="M466" t="str">
        <x:f>IF($A466="","",SUMIFS(CaseLedger!$N:$N,CaseLedger!$F:$F,$A466,CaseLedger!$B:$B,"TRUE"))</x:f>
      </x:c>
      <x:c r="N466" t="str">
        <x:f>IF($A466="","",0)</x:f>
      </x:c>
      <x:c r="O466" t="str">
        <x:f>IF($A466="","",SUMIFS(CaseLedger!$O:$O,CaseLedger!$F:$F,$A466,CaseLedger!$B:$B,"TRUE"))</x:f>
      </x:c>
      <x:c r="P466" t="str">
        <x:f>IF($A466="","",IFERROR(VLOOKUP($A466,MonthlyFinance!$A:$G,4,FALSE),""))</x:f>
      </x:c>
      <x:c r="Q466" t="str">
        <x:f>IF($A466="","",IFERROR(VLOOKUP($A466,MonthlyFinance!$A:$G,5,FALSE),""))</x:f>
      </x:c>
      <x:c r="R466" t="str">
        <x:f>IF($A466="","",IFERROR(VLOOKUP($A466,MonthlyFinance!$A:$G,6,FALSE),""))</x:f>
      </x:c>
      <x:c r="S466" t="str">
        <x:f>IF($A466="","","Formula-linked from CaseLedger; finance fields from MonthlyFinance.")</x:f>
      </x:c>
      <x:c r="T466" t="str">
        <x:f>IF($A466="","","TRUE")</x:f>
      </x:c>
    </x:row>
    <x:row r="467">
      <x:c r="D467" t="str">
        <x:f>IF($A467="","",COUNTIFS(CaseLedger!$F:$F,$A467,CaseLedger!$B:$B,"TRUE"))</x:f>
      </x:c>
      <x:c r="E467" t="str">
        <x:f>IF($A467="","",COUNTIFS(CaseLedger!$F:$F,$A467,CaseLedger!$B:$B,"TRUE",CaseLedger!$P:$P,"Zakat"))</x:f>
      </x:c>
      <x:c r="F467" t="str">
        <x:f>IF($A467="","",COUNTIFS(CaseLedger!$F:$F,$A467,CaseLedger!$B:$B,"TRUE",CaseLedger!$P:$P,"Sadaqah"))</x:f>
      </x:c>
      <x:c r="G467" t="str">
        <x:f>IF($A467="","",COUNTIFS(CaseLedger!$F:$F,$A467,CaseLedger!$B:$B,"TRUE",CaseLedger!$P:$P,"Mixed"))</x:f>
      </x:c>
      <x:c r="H467" t="str">
        <x:f>IF($A467="","",COUNTIFS(CaseLedger!$F:$F,$A467,CaseLedger!$B:$B,"TRUE",CaseLedger!$K:$K,"Livelihood"))</x:f>
      </x:c>
      <x:c r="I467" t="str">
        <x:f>IF($A467="","",COUNTIFS(CaseLedger!$F:$F,$A467,CaseLedger!$B:$B,"TRUE",CaseLedger!$K:$K,"Skill Sponsorship"))</x:f>
      </x:c>
      <x:c r="J467" t="str">
        <x:f>IF($A467="","",COUNTIFS(CaseLedger!$F:$F,$A467,CaseLedger!$B:$B,"TRUE",CaseLedger!$K:$K,"Emergency Support"))</x:f>
      </x:c>
      <x:c r="K467" t="str">
        <x:f>IF($A467="","",COUNTIFS(CaseLedger!$F:$F,$A467,CaseLedger!$B:$B,"TRUE",CaseLedger!$K:$K,"Community Support"))</x:f>
      </x:c>
      <x:c r="L467" t="str">
        <x:f>IF($A467="","",SUMIFS(CaseLedger!$M:$M,CaseLedger!$F:$F,$A467,CaseLedger!$B:$B,"TRUE"))</x:f>
      </x:c>
      <x:c r="M467" t="str">
        <x:f>IF($A467="","",SUMIFS(CaseLedger!$N:$N,CaseLedger!$F:$F,$A467,CaseLedger!$B:$B,"TRUE"))</x:f>
      </x:c>
      <x:c r="N467" t="str">
        <x:f>IF($A467="","",0)</x:f>
      </x:c>
      <x:c r="O467" t="str">
        <x:f>IF($A467="","",SUMIFS(CaseLedger!$O:$O,CaseLedger!$F:$F,$A467,CaseLedger!$B:$B,"TRUE"))</x:f>
      </x:c>
      <x:c r="P467" t="str">
        <x:f>IF($A467="","",IFERROR(VLOOKUP($A467,MonthlyFinance!$A:$G,4,FALSE),""))</x:f>
      </x:c>
      <x:c r="Q467" t="str">
        <x:f>IF($A467="","",IFERROR(VLOOKUP($A467,MonthlyFinance!$A:$G,5,FALSE),""))</x:f>
      </x:c>
      <x:c r="R467" t="str">
        <x:f>IF($A467="","",IFERROR(VLOOKUP($A467,MonthlyFinance!$A:$G,6,FALSE),""))</x:f>
      </x:c>
      <x:c r="S467" t="str">
        <x:f>IF($A467="","","Formula-linked from CaseLedger; finance fields from MonthlyFinance.")</x:f>
      </x:c>
      <x:c r="T467" t="str">
        <x:f>IF($A467="","","TRUE")</x:f>
      </x:c>
    </x:row>
    <x:row r="468">
      <x:c r="D468" t="str">
        <x:f>IF($A468="","",COUNTIFS(CaseLedger!$F:$F,$A468,CaseLedger!$B:$B,"TRUE"))</x:f>
      </x:c>
      <x:c r="E468" t="str">
        <x:f>IF($A468="","",COUNTIFS(CaseLedger!$F:$F,$A468,CaseLedger!$B:$B,"TRUE",CaseLedger!$P:$P,"Zakat"))</x:f>
      </x:c>
      <x:c r="F468" t="str">
        <x:f>IF($A468="","",COUNTIFS(CaseLedger!$F:$F,$A468,CaseLedger!$B:$B,"TRUE",CaseLedger!$P:$P,"Sadaqah"))</x:f>
      </x:c>
      <x:c r="G468" t="str">
        <x:f>IF($A468="","",COUNTIFS(CaseLedger!$F:$F,$A468,CaseLedger!$B:$B,"TRUE",CaseLedger!$P:$P,"Mixed"))</x:f>
      </x:c>
      <x:c r="H468" t="str">
        <x:f>IF($A468="","",COUNTIFS(CaseLedger!$F:$F,$A468,CaseLedger!$B:$B,"TRUE",CaseLedger!$K:$K,"Livelihood"))</x:f>
      </x:c>
      <x:c r="I468" t="str">
        <x:f>IF($A468="","",COUNTIFS(CaseLedger!$F:$F,$A468,CaseLedger!$B:$B,"TRUE",CaseLedger!$K:$K,"Skill Sponsorship"))</x:f>
      </x:c>
      <x:c r="J468" t="str">
        <x:f>IF($A468="","",COUNTIFS(CaseLedger!$F:$F,$A468,CaseLedger!$B:$B,"TRUE",CaseLedger!$K:$K,"Emergency Support"))</x:f>
      </x:c>
      <x:c r="K468" t="str">
        <x:f>IF($A468="","",COUNTIFS(CaseLedger!$F:$F,$A468,CaseLedger!$B:$B,"TRUE",CaseLedger!$K:$K,"Community Support"))</x:f>
      </x:c>
      <x:c r="L468" t="str">
        <x:f>IF($A468="","",SUMIFS(CaseLedger!$M:$M,CaseLedger!$F:$F,$A468,CaseLedger!$B:$B,"TRUE"))</x:f>
      </x:c>
      <x:c r="M468" t="str">
        <x:f>IF($A468="","",SUMIFS(CaseLedger!$N:$N,CaseLedger!$F:$F,$A468,CaseLedger!$B:$B,"TRUE"))</x:f>
      </x:c>
      <x:c r="N468" t="str">
        <x:f>IF($A468="","",0)</x:f>
      </x:c>
      <x:c r="O468" t="str">
        <x:f>IF($A468="","",SUMIFS(CaseLedger!$O:$O,CaseLedger!$F:$F,$A468,CaseLedger!$B:$B,"TRUE"))</x:f>
      </x:c>
      <x:c r="P468" t="str">
        <x:f>IF($A468="","",IFERROR(VLOOKUP($A468,MonthlyFinance!$A:$G,4,FALSE),""))</x:f>
      </x:c>
      <x:c r="Q468" t="str">
        <x:f>IF($A468="","",IFERROR(VLOOKUP($A468,MonthlyFinance!$A:$G,5,FALSE),""))</x:f>
      </x:c>
      <x:c r="R468" t="str">
        <x:f>IF($A468="","",IFERROR(VLOOKUP($A468,MonthlyFinance!$A:$G,6,FALSE),""))</x:f>
      </x:c>
      <x:c r="S468" t="str">
        <x:f>IF($A468="","","Formula-linked from CaseLedger; finance fields from MonthlyFinance.")</x:f>
      </x:c>
      <x:c r="T468" t="str">
        <x:f>IF($A468="","","TRUE")</x:f>
      </x:c>
    </x:row>
    <x:row r="469">
      <x:c r="D469" t="str">
        <x:f>IF($A469="","",COUNTIFS(CaseLedger!$F:$F,$A469,CaseLedger!$B:$B,"TRUE"))</x:f>
      </x:c>
      <x:c r="E469" t="str">
        <x:f>IF($A469="","",COUNTIFS(CaseLedger!$F:$F,$A469,CaseLedger!$B:$B,"TRUE",CaseLedger!$P:$P,"Zakat"))</x:f>
      </x:c>
      <x:c r="F469" t="str">
        <x:f>IF($A469="","",COUNTIFS(CaseLedger!$F:$F,$A469,CaseLedger!$B:$B,"TRUE",CaseLedger!$P:$P,"Sadaqah"))</x:f>
      </x:c>
      <x:c r="G469" t="str">
        <x:f>IF($A469="","",COUNTIFS(CaseLedger!$F:$F,$A469,CaseLedger!$B:$B,"TRUE",CaseLedger!$P:$P,"Mixed"))</x:f>
      </x:c>
      <x:c r="H469" t="str">
        <x:f>IF($A469="","",COUNTIFS(CaseLedger!$F:$F,$A469,CaseLedger!$B:$B,"TRUE",CaseLedger!$K:$K,"Livelihood"))</x:f>
      </x:c>
      <x:c r="I469" t="str">
        <x:f>IF($A469="","",COUNTIFS(CaseLedger!$F:$F,$A469,CaseLedger!$B:$B,"TRUE",CaseLedger!$K:$K,"Skill Sponsorship"))</x:f>
      </x:c>
      <x:c r="J469" t="str">
        <x:f>IF($A469="","",COUNTIFS(CaseLedger!$F:$F,$A469,CaseLedger!$B:$B,"TRUE",CaseLedger!$K:$K,"Emergency Support"))</x:f>
      </x:c>
      <x:c r="K469" t="str">
        <x:f>IF($A469="","",COUNTIFS(CaseLedger!$F:$F,$A469,CaseLedger!$B:$B,"TRUE",CaseLedger!$K:$K,"Community Support"))</x:f>
      </x:c>
      <x:c r="L469" t="str">
        <x:f>IF($A469="","",SUMIFS(CaseLedger!$M:$M,CaseLedger!$F:$F,$A469,CaseLedger!$B:$B,"TRUE"))</x:f>
      </x:c>
      <x:c r="M469" t="str">
        <x:f>IF($A469="","",SUMIFS(CaseLedger!$N:$N,CaseLedger!$F:$F,$A469,CaseLedger!$B:$B,"TRUE"))</x:f>
      </x:c>
      <x:c r="N469" t="str">
        <x:f>IF($A469="","",0)</x:f>
      </x:c>
      <x:c r="O469" t="str">
        <x:f>IF($A469="","",SUMIFS(CaseLedger!$O:$O,CaseLedger!$F:$F,$A469,CaseLedger!$B:$B,"TRUE"))</x:f>
      </x:c>
      <x:c r="P469" t="str">
        <x:f>IF($A469="","",IFERROR(VLOOKUP($A469,MonthlyFinance!$A:$G,4,FALSE),""))</x:f>
      </x:c>
      <x:c r="Q469" t="str">
        <x:f>IF($A469="","",IFERROR(VLOOKUP($A469,MonthlyFinance!$A:$G,5,FALSE),""))</x:f>
      </x:c>
      <x:c r="R469" t="str">
        <x:f>IF($A469="","",IFERROR(VLOOKUP($A469,MonthlyFinance!$A:$G,6,FALSE),""))</x:f>
      </x:c>
      <x:c r="S469" t="str">
        <x:f>IF($A469="","","Formula-linked from CaseLedger; finance fields from MonthlyFinance.")</x:f>
      </x:c>
      <x:c r="T469" t="str">
        <x:f>IF($A469="","","TRUE")</x:f>
      </x:c>
    </x:row>
    <x:row r="470">
      <x:c r="D470" t="str">
        <x:f>IF($A470="","",COUNTIFS(CaseLedger!$F:$F,$A470,CaseLedger!$B:$B,"TRUE"))</x:f>
      </x:c>
      <x:c r="E470" t="str">
        <x:f>IF($A470="","",COUNTIFS(CaseLedger!$F:$F,$A470,CaseLedger!$B:$B,"TRUE",CaseLedger!$P:$P,"Zakat"))</x:f>
      </x:c>
      <x:c r="F470" t="str">
        <x:f>IF($A470="","",COUNTIFS(CaseLedger!$F:$F,$A470,CaseLedger!$B:$B,"TRUE",CaseLedger!$P:$P,"Sadaqah"))</x:f>
      </x:c>
      <x:c r="G470" t="str">
        <x:f>IF($A470="","",COUNTIFS(CaseLedger!$F:$F,$A470,CaseLedger!$B:$B,"TRUE",CaseLedger!$P:$P,"Mixed"))</x:f>
      </x:c>
      <x:c r="H470" t="str">
        <x:f>IF($A470="","",COUNTIFS(CaseLedger!$F:$F,$A470,CaseLedger!$B:$B,"TRUE",CaseLedger!$K:$K,"Livelihood"))</x:f>
      </x:c>
      <x:c r="I470" t="str">
        <x:f>IF($A470="","",COUNTIFS(CaseLedger!$F:$F,$A470,CaseLedger!$B:$B,"TRUE",CaseLedger!$K:$K,"Skill Sponsorship"))</x:f>
      </x:c>
      <x:c r="J470" t="str">
        <x:f>IF($A470="","",COUNTIFS(CaseLedger!$F:$F,$A470,CaseLedger!$B:$B,"TRUE",CaseLedger!$K:$K,"Emergency Support"))</x:f>
      </x:c>
      <x:c r="K470" t="str">
        <x:f>IF($A470="","",COUNTIFS(CaseLedger!$F:$F,$A470,CaseLedger!$B:$B,"TRUE",CaseLedger!$K:$K,"Community Support"))</x:f>
      </x:c>
      <x:c r="L470" t="str">
        <x:f>IF($A470="","",SUMIFS(CaseLedger!$M:$M,CaseLedger!$F:$F,$A470,CaseLedger!$B:$B,"TRUE"))</x:f>
      </x:c>
      <x:c r="M470" t="str">
        <x:f>IF($A470="","",SUMIFS(CaseLedger!$N:$N,CaseLedger!$F:$F,$A470,CaseLedger!$B:$B,"TRUE"))</x:f>
      </x:c>
      <x:c r="N470" t="str">
        <x:f>IF($A470="","",0)</x:f>
      </x:c>
      <x:c r="O470" t="str">
        <x:f>IF($A470="","",SUMIFS(CaseLedger!$O:$O,CaseLedger!$F:$F,$A470,CaseLedger!$B:$B,"TRUE"))</x:f>
      </x:c>
      <x:c r="P470" t="str">
        <x:f>IF($A470="","",IFERROR(VLOOKUP($A470,MonthlyFinance!$A:$G,4,FALSE),""))</x:f>
      </x:c>
      <x:c r="Q470" t="str">
        <x:f>IF($A470="","",IFERROR(VLOOKUP($A470,MonthlyFinance!$A:$G,5,FALSE),""))</x:f>
      </x:c>
      <x:c r="R470" t="str">
        <x:f>IF($A470="","",IFERROR(VLOOKUP($A470,MonthlyFinance!$A:$G,6,FALSE),""))</x:f>
      </x:c>
      <x:c r="S470" t="str">
        <x:f>IF($A470="","","Formula-linked from CaseLedger; finance fields from MonthlyFinance.")</x:f>
      </x:c>
      <x:c r="T470" t="str">
        <x:f>IF($A470="","","TRUE")</x:f>
      </x:c>
    </x:row>
    <x:row r="471">
      <x:c r="D471" t="str">
        <x:f>IF($A471="","",COUNTIFS(CaseLedger!$F:$F,$A471,CaseLedger!$B:$B,"TRUE"))</x:f>
      </x:c>
      <x:c r="E471" t="str">
        <x:f>IF($A471="","",COUNTIFS(CaseLedger!$F:$F,$A471,CaseLedger!$B:$B,"TRUE",CaseLedger!$P:$P,"Zakat"))</x:f>
      </x:c>
      <x:c r="F471" t="str">
        <x:f>IF($A471="","",COUNTIFS(CaseLedger!$F:$F,$A471,CaseLedger!$B:$B,"TRUE",CaseLedger!$P:$P,"Sadaqah"))</x:f>
      </x:c>
      <x:c r="G471" t="str">
        <x:f>IF($A471="","",COUNTIFS(CaseLedger!$F:$F,$A471,CaseLedger!$B:$B,"TRUE",CaseLedger!$P:$P,"Mixed"))</x:f>
      </x:c>
      <x:c r="H471" t="str">
        <x:f>IF($A471="","",COUNTIFS(CaseLedger!$F:$F,$A471,CaseLedger!$B:$B,"TRUE",CaseLedger!$K:$K,"Livelihood"))</x:f>
      </x:c>
      <x:c r="I471" t="str">
        <x:f>IF($A471="","",COUNTIFS(CaseLedger!$F:$F,$A471,CaseLedger!$B:$B,"TRUE",CaseLedger!$K:$K,"Skill Sponsorship"))</x:f>
      </x:c>
      <x:c r="J471" t="str">
        <x:f>IF($A471="","",COUNTIFS(CaseLedger!$F:$F,$A471,CaseLedger!$B:$B,"TRUE",CaseLedger!$K:$K,"Emergency Support"))</x:f>
      </x:c>
      <x:c r="K471" t="str">
        <x:f>IF($A471="","",COUNTIFS(CaseLedger!$F:$F,$A471,CaseLedger!$B:$B,"TRUE",CaseLedger!$K:$K,"Community Support"))</x:f>
      </x:c>
      <x:c r="L471" t="str">
        <x:f>IF($A471="","",SUMIFS(CaseLedger!$M:$M,CaseLedger!$F:$F,$A471,CaseLedger!$B:$B,"TRUE"))</x:f>
      </x:c>
      <x:c r="M471" t="str">
        <x:f>IF($A471="","",SUMIFS(CaseLedger!$N:$N,CaseLedger!$F:$F,$A471,CaseLedger!$B:$B,"TRUE"))</x:f>
      </x:c>
      <x:c r="N471" t="str">
        <x:f>IF($A471="","",0)</x:f>
      </x:c>
      <x:c r="O471" t="str">
        <x:f>IF($A471="","",SUMIFS(CaseLedger!$O:$O,CaseLedger!$F:$F,$A471,CaseLedger!$B:$B,"TRUE"))</x:f>
      </x:c>
      <x:c r="P471" t="str">
        <x:f>IF($A471="","",IFERROR(VLOOKUP($A471,MonthlyFinance!$A:$G,4,FALSE),""))</x:f>
      </x:c>
      <x:c r="Q471" t="str">
        <x:f>IF($A471="","",IFERROR(VLOOKUP($A471,MonthlyFinance!$A:$G,5,FALSE),""))</x:f>
      </x:c>
      <x:c r="R471" t="str">
        <x:f>IF($A471="","",IFERROR(VLOOKUP($A471,MonthlyFinance!$A:$G,6,FALSE),""))</x:f>
      </x:c>
      <x:c r="S471" t="str">
        <x:f>IF($A471="","","Formula-linked from CaseLedger; finance fields from MonthlyFinance.")</x:f>
      </x:c>
      <x:c r="T471" t="str">
        <x:f>IF($A471="","","TRUE")</x:f>
      </x:c>
    </x:row>
    <x:row r="472">
      <x:c r="D472" t="str">
        <x:f>IF($A472="","",COUNTIFS(CaseLedger!$F:$F,$A472,CaseLedger!$B:$B,"TRUE"))</x:f>
      </x:c>
      <x:c r="E472" t="str">
        <x:f>IF($A472="","",COUNTIFS(CaseLedger!$F:$F,$A472,CaseLedger!$B:$B,"TRUE",CaseLedger!$P:$P,"Zakat"))</x:f>
      </x:c>
      <x:c r="F472" t="str">
        <x:f>IF($A472="","",COUNTIFS(CaseLedger!$F:$F,$A472,CaseLedger!$B:$B,"TRUE",CaseLedger!$P:$P,"Sadaqah"))</x:f>
      </x:c>
      <x:c r="G472" t="str">
        <x:f>IF($A472="","",COUNTIFS(CaseLedger!$F:$F,$A472,CaseLedger!$B:$B,"TRUE",CaseLedger!$P:$P,"Mixed"))</x:f>
      </x:c>
      <x:c r="H472" t="str">
        <x:f>IF($A472="","",COUNTIFS(CaseLedger!$F:$F,$A472,CaseLedger!$B:$B,"TRUE",CaseLedger!$K:$K,"Livelihood"))</x:f>
      </x:c>
      <x:c r="I472" t="str">
        <x:f>IF($A472="","",COUNTIFS(CaseLedger!$F:$F,$A472,CaseLedger!$B:$B,"TRUE",CaseLedger!$K:$K,"Skill Sponsorship"))</x:f>
      </x:c>
      <x:c r="J472" t="str">
        <x:f>IF($A472="","",COUNTIFS(CaseLedger!$F:$F,$A472,CaseLedger!$B:$B,"TRUE",CaseLedger!$K:$K,"Emergency Support"))</x:f>
      </x:c>
      <x:c r="K472" t="str">
        <x:f>IF($A472="","",COUNTIFS(CaseLedger!$F:$F,$A472,CaseLedger!$B:$B,"TRUE",CaseLedger!$K:$K,"Community Support"))</x:f>
      </x:c>
      <x:c r="L472" t="str">
        <x:f>IF($A472="","",SUMIFS(CaseLedger!$M:$M,CaseLedger!$F:$F,$A472,CaseLedger!$B:$B,"TRUE"))</x:f>
      </x:c>
      <x:c r="M472" t="str">
        <x:f>IF($A472="","",SUMIFS(CaseLedger!$N:$N,CaseLedger!$F:$F,$A472,CaseLedger!$B:$B,"TRUE"))</x:f>
      </x:c>
      <x:c r="N472" t="str">
        <x:f>IF($A472="","",0)</x:f>
      </x:c>
      <x:c r="O472" t="str">
        <x:f>IF($A472="","",SUMIFS(CaseLedger!$O:$O,CaseLedger!$F:$F,$A472,CaseLedger!$B:$B,"TRUE"))</x:f>
      </x:c>
      <x:c r="P472" t="str">
        <x:f>IF($A472="","",IFERROR(VLOOKUP($A472,MonthlyFinance!$A:$G,4,FALSE),""))</x:f>
      </x:c>
      <x:c r="Q472" t="str">
        <x:f>IF($A472="","",IFERROR(VLOOKUP($A472,MonthlyFinance!$A:$G,5,FALSE),""))</x:f>
      </x:c>
      <x:c r="R472" t="str">
        <x:f>IF($A472="","",IFERROR(VLOOKUP($A472,MonthlyFinance!$A:$G,6,FALSE),""))</x:f>
      </x:c>
      <x:c r="S472" t="str">
        <x:f>IF($A472="","","Formula-linked from CaseLedger; finance fields from MonthlyFinance.")</x:f>
      </x:c>
      <x:c r="T472" t="str">
        <x:f>IF($A472="","","TRUE")</x:f>
      </x:c>
    </x:row>
    <x:row r="473">
      <x:c r="D473" t="str">
        <x:f>IF($A473="","",COUNTIFS(CaseLedger!$F:$F,$A473,CaseLedger!$B:$B,"TRUE"))</x:f>
      </x:c>
      <x:c r="E473" t="str">
        <x:f>IF($A473="","",COUNTIFS(CaseLedger!$F:$F,$A473,CaseLedger!$B:$B,"TRUE",CaseLedger!$P:$P,"Zakat"))</x:f>
      </x:c>
      <x:c r="F473" t="str">
        <x:f>IF($A473="","",COUNTIFS(CaseLedger!$F:$F,$A473,CaseLedger!$B:$B,"TRUE",CaseLedger!$P:$P,"Sadaqah"))</x:f>
      </x:c>
      <x:c r="G473" t="str">
        <x:f>IF($A473="","",COUNTIFS(CaseLedger!$F:$F,$A473,CaseLedger!$B:$B,"TRUE",CaseLedger!$P:$P,"Mixed"))</x:f>
      </x:c>
      <x:c r="H473" t="str">
        <x:f>IF($A473="","",COUNTIFS(CaseLedger!$F:$F,$A473,CaseLedger!$B:$B,"TRUE",CaseLedger!$K:$K,"Livelihood"))</x:f>
      </x:c>
      <x:c r="I473" t="str">
        <x:f>IF($A473="","",COUNTIFS(CaseLedger!$F:$F,$A473,CaseLedger!$B:$B,"TRUE",CaseLedger!$K:$K,"Skill Sponsorship"))</x:f>
      </x:c>
      <x:c r="J473" t="str">
        <x:f>IF($A473="","",COUNTIFS(CaseLedger!$F:$F,$A473,CaseLedger!$B:$B,"TRUE",CaseLedger!$K:$K,"Emergency Support"))</x:f>
      </x:c>
      <x:c r="K473" t="str">
        <x:f>IF($A473="","",COUNTIFS(CaseLedger!$F:$F,$A473,CaseLedger!$B:$B,"TRUE",CaseLedger!$K:$K,"Community Support"))</x:f>
      </x:c>
      <x:c r="L473" t="str">
        <x:f>IF($A473="","",SUMIFS(CaseLedger!$M:$M,CaseLedger!$F:$F,$A473,CaseLedger!$B:$B,"TRUE"))</x:f>
      </x:c>
      <x:c r="M473" t="str">
        <x:f>IF($A473="","",SUMIFS(CaseLedger!$N:$N,CaseLedger!$F:$F,$A473,CaseLedger!$B:$B,"TRUE"))</x:f>
      </x:c>
      <x:c r="N473" t="str">
        <x:f>IF($A473="","",0)</x:f>
      </x:c>
      <x:c r="O473" t="str">
        <x:f>IF($A473="","",SUMIFS(CaseLedger!$O:$O,CaseLedger!$F:$F,$A473,CaseLedger!$B:$B,"TRUE"))</x:f>
      </x:c>
      <x:c r="P473" t="str">
        <x:f>IF($A473="","",IFERROR(VLOOKUP($A473,MonthlyFinance!$A:$G,4,FALSE),""))</x:f>
      </x:c>
      <x:c r="Q473" t="str">
        <x:f>IF($A473="","",IFERROR(VLOOKUP($A473,MonthlyFinance!$A:$G,5,FALSE),""))</x:f>
      </x:c>
      <x:c r="R473" t="str">
        <x:f>IF($A473="","",IFERROR(VLOOKUP($A473,MonthlyFinance!$A:$G,6,FALSE),""))</x:f>
      </x:c>
      <x:c r="S473" t="str">
        <x:f>IF($A473="","","Formula-linked from CaseLedger; finance fields from MonthlyFinance.")</x:f>
      </x:c>
      <x:c r="T473" t="str">
        <x:f>IF($A473="","","TRUE")</x:f>
      </x:c>
    </x:row>
    <x:row r="474">
      <x:c r="D474" t="str">
        <x:f>IF($A474="","",COUNTIFS(CaseLedger!$F:$F,$A474,CaseLedger!$B:$B,"TRUE"))</x:f>
      </x:c>
      <x:c r="E474" t="str">
        <x:f>IF($A474="","",COUNTIFS(CaseLedger!$F:$F,$A474,CaseLedger!$B:$B,"TRUE",CaseLedger!$P:$P,"Zakat"))</x:f>
      </x:c>
      <x:c r="F474" t="str">
        <x:f>IF($A474="","",COUNTIFS(CaseLedger!$F:$F,$A474,CaseLedger!$B:$B,"TRUE",CaseLedger!$P:$P,"Sadaqah"))</x:f>
      </x:c>
      <x:c r="G474" t="str">
        <x:f>IF($A474="","",COUNTIFS(CaseLedger!$F:$F,$A474,CaseLedger!$B:$B,"TRUE",CaseLedger!$P:$P,"Mixed"))</x:f>
      </x:c>
      <x:c r="H474" t="str">
        <x:f>IF($A474="","",COUNTIFS(CaseLedger!$F:$F,$A474,CaseLedger!$B:$B,"TRUE",CaseLedger!$K:$K,"Livelihood"))</x:f>
      </x:c>
      <x:c r="I474" t="str">
        <x:f>IF($A474="","",COUNTIFS(CaseLedger!$F:$F,$A474,CaseLedger!$B:$B,"TRUE",CaseLedger!$K:$K,"Skill Sponsorship"))</x:f>
      </x:c>
      <x:c r="J474" t="str">
        <x:f>IF($A474="","",COUNTIFS(CaseLedger!$F:$F,$A474,CaseLedger!$B:$B,"TRUE",CaseLedger!$K:$K,"Emergency Support"))</x:f>
      </x:c>
      <x:c r="K474" t="str">
        <x:f>IF($A474="","",COUNTIFS(CaseLedger!$F:$F,$A474,CaseLedger!$B:$B,"TRUE",CaseLedger!$K:$K,"Community Support"))</x:f>
      </x:c>
      <x:c r="L474" t="str">
        <x:f>IF($A474="","",SUMIFS(CaseLedger!$M:$M,CaseLedger!$F:$F,$A474,CaseLedger!$B:$B,"TRUE"))</x:f>
      </x:c>
      <x:c r="M474" t="str">
        <x:f>IF($A474="","",SUMIFS(CaseLedger!$N:$N,CaseLedger!$F:$F,$A474,CaseLedger!$B:$B,"TRUE"))</x:f>
      </x:c>
      <x:c r="N474" t="str">
        <x:f>IF($A474="","",0)</x:f>
      </x:c>
      <x:c r="O474" t="str">
        <x:f>IF($A474="","",SUMIFS(CaseLedger!$O:$O,CaseLedger!$F:$F,$A474,CaseLedger!$B:$B,"TRUE"))</x:f>
      </x:c>
      <x:c r="P474" t="str">
        <x:f>IF($A474="","",IFERROR(VLOOKUP($A474,MonthlyFinance!$A:$G,4,FALSE),""))</x:f>
      </x:c>
      <x:c r="Q474" t="str">
        <x:f>IF($A474="","",IFERROR(VLOOKUP($A474,MonthlyFinance!$A:$G,5,FALSE),""))</x:f>
      </x:c>
      <x:c r="R474" t="str">
        <x:f>IF($A474="","",IFERROR(VLOOKUP($A474,MonthlyFinance!$A:$G,6,FALSE),""))</x:f>
      </x:c>
      <x:c r="S474" t="str">
        <x:f>IF($A474="","","Formula-linked from CaseLedger; finance fields from MonthlyFinance.")</x:f>
      </x:c>
      <x:c r="T474" t="str">
        <x:f>IF($A474="","","TRUE")</x:f>
      </x:c>
    </x:row>
    <x:row r="475">
      <x:c r="D475" t="str">
        <x:f>IF($A475="","",COUNTIFS(CaseLedger!$F:$F,$A475,CaseLedger!$B:$B,"TRUE"))</x:f>
      </x:c>
      <x:c r="E475" t="str">
        <x:f>IF($A475="","",COUNTIFS(CaseLedger!$F:$F,$A475,CaseLedger!$B:$B,"TRUE",CaseLedger!$P:$P,"Zakat"))</x:f>
      </x:c>
      <x:c r="F475" t="str">
        <x:f>IF($A475="","",COUNTIFS(CaseLedger!$F:$F,$A475,CaseLedger!$B:$B,"TRUE",CaseLedger!$P:$P,"Sadaqah"))</x:f>
      </x:c>
      <x:c r="G475" t="str">
        <x:f>IF($A475="","",COUNTIFS(CaseLedger!$F:$F,$A475,CaseLedger!$B:$B,"TRUE",CaseLedger!$P:$P,"Mixed"))</x:f>
      </x:c>
      <x:c r="H475" t="str">
        <x:f>IF($A475="","",COUNTIFS(CaseLedger!$F:$F,$A475,CaseLedger!$B:$B,"TRUE",CaseLedger!$K:$K,"Livelihood"))</x:f>
      </x:c>
      <x:c r="I475" t="str">
        <x:f>IF($A475="","",COUNTIFS(CaseLedger!$F:$F,$A475,CaseLedger!$B:$B,"TRUE",CaseLedger!$K:$K,"Skill Sponsorship"))</x:f>
      </x:c>
      <x:c r="J475" t="str">
        <x:f>IF($A475="","",COUNTIFS(CaseLedger!$F:$F,$A475,CaseLedger!$B:$B,"TRUE",CaseLedger!$K:$K,"Emergency Support"))</x:f>
      </x:c>
      <x:c r="K475" t="str">
        <x:f>IF($A475="","",COUNTIFS(CaseLedger!$F:$F,$A475,CaseLedger!$B:$B,"TRUE",CaseLedger!$K:$K,"Community Support"))</x:f>
      </x:c>
      <x:c r="L475" t="str">
        <x:f>IF($A475="","",SUMIFS(CaseLedger!$M:$M,CaseLedger!$F:$F,$A475,CaseLedger!$B:$B,"TRUE"))</x:f>
      </x:c>
      <x:c r="M475" t="str">
        <x:f>IF($A475="","",SUMIFS(CaseLedger!$N:$N,CaseLedger!$F:$F,$A475,CaseLedger!$B:$B,"TRUE"))</x:f>
      </x:c>
      <x:c r="N475" t="str">
        <x:f>IF($A475="","",0)</x:f>
      </x:c>
      <x:c r="O475" t="str">
        <x:f>IF($A475="","",SUMIFS(CaseLedger!$O:$O,CaseLedger!$F:$F,$A475,CaseLedger!$B:$B,"TRUE"))</x:f>
      </x:c>
      <x:c r="P475" t="str">
        <x:f>IF($A475="","",IFERROR(VLOOKUP($A475,MonthlyFinance!$A:$G,4,FALSE),""))</x:f>
      </x:c>
      <x:c r="Q475" t="str">
        <x:f>IF($A475="","",IFERROR(VLOOKUP($A475,MonthlyFinance!$A:$G,5,FALSE),""))</x:f>
      </x:c>
      <x:c r="R475" t="str">
        <x:f>IF($A475="","",IFERROR(VLOOKUP($A475,MonthlyFinance!$A:$G,6,FALSE),""))</x:f>
      </x:c>
      <x:c r="S475" t="str">
        <x:f>IF($A475="","","Formula-linked from CaseLedger; finance fields from MonthlyFinance.")</x:f>
      </x:c>
      <x:c r="T475" t="str">
        <x:f>IF($A475="","","TRUE")</x:f>
      </x:c>
    </x:row>
    <x:row r="476">
      <x:c r="D476" t="str">
        <x:f>IF($A476="","",COUNTIFS(CaseLedger!$F:$F,$A476,CaseLedger!$B:$B,"TRUE"))</x:f>
      </x:c>
      <x:c r="E476" t="str">
        <x:f>IF($A476="","",COUNTIFS(CaseLedger!$F:$F,$A476,CaseLedger!$B:$B,"TRUE",CaseLedger!$P:$P,"Zakat"))</x:f>
      </x:c>
      <x:c r="F476" t="str">
        <x:f>IF($A476="","",COUNTIFS(CaseLedger!$F:$F,$A476,CaseLedger!$B:$B,"TRUE",CaseLedger!$P:$P,"Sadaqah"))</x:f>
      </x:c>
      <x:c r="G476" t="str">
        <x:f>IF($A476="","",COUNTIFS(CaseLedger!$F:$F,$A476,CaseLedger!$B:$B,"TRUE",CaseLedger!$P:$P,"Mixed"))</x:f>
      </x:c>
      <x:c r="H476" t="str">
        <x:f>IF($A476="","",COUNTIFS(CaseLedger!$F:$F,$A476,CaseLedger!$B:$B,"TRUE",CaseLedger!$K:$K,"Livelihood"))</x:f>
      </x:c>
      <x:c r="I476" t="str">
        <x:f>IF($A476="","",COUNTIFS(CaseLedger!$F:$F,$A476,CaseLedger!$B:$B,"TRUE",CaseLedger!$K:$K,"Skill Sponsorship"))</x:f>
      </x:c>
      <x:c r="J476" t="str">
        <x:f>IF($A476="","",COUNTIFS(CaseLedger!$F:$F,$A476,CaseLedger!$B:$B,"TRUE",CaseLedger!$K:$K,"Emergency Support"))</x:f>
      </x:c>
      <x:c r="K476" t="str">
        <x:f>IF($A476="","",COUNTIFS(CaseLedger!$F:$F,$A476,CaseLedger!$B:$B,"TRUE",CaseLedger!$K:$K,"Community Support"))</x:f>
      </x:c>
      <x:c r="L476" t="str">
        <x:f>IF($A476="","",SUMIFS(CaseLedger!$M:$M,CaseLedger!$F:$F,$A476,CaseLedger!$B:$B,"TRUE"))</x:f>
      </x:c>
      <x:c r="M476" t="str">
        <x:f>IF($A476="","",SUMIFS(CaseLedger!$N:$N,CaseLedger!$F:$F,$A476,CaseLedger!$B:$B,"TRUE"))</x:f>
      </x:c>
      <x:c r="N476" t="str">
        <x:f>IF($A476="","",0)</x:f>
      </x:c>
      <x:c r="O476" t="str">
        <x:f>IF($A476="","",SUMIFS(CaseLedger!$O:$O,CaseLedger!$F:$F,$A476,CaseLedger!$B:$B,"TRUE"))</x:f>
      </x:c>
      <x:c r="P476" t="str">
        <x:f>IF($A476="","",IFERROR(VLOOKUP($A476,MonthlyFinance!$A:$G,4,FALSE),""))</x:f>
      </x:c>
      <x:c r="Q476" t="str">
        <x:f>IF($A476="","",IFERROR(VLOOKUP($A476,MonthlyFinance!$A:$G,5,FALSE),""))</x:f>
      </x:c>
      <x:c r="R476" t="str">
        <x:f>IF($A476="","",IFERROR(VLOOKUP($A476,MonthlyFinance!$A:$G,6,FALSE),""))</x:f>
      </x:c>
      <x:c r="S476" t="str">
        <x:f>IF($A476="","","Formula-linked from CaseLedger; finance fields from MonthlyFinance.")</x:f>
      </x:c>
      <x:c r="T476" t="str">
        <x:f>IF($A476="","","TRUE")</x:f>
      </x:c>
    </x:row>
    <x:row r="477">
      <x:c r="D477" t="str">
        <x:f>IF($A477="","",COUNTIFS(CaseLedger!$F:$F,$A477,CaseLedger!$B:$B,"TRUE"))</x:f>
      </x:c>
      <x:c r="E477" t="str">
        <x:f>IF($A477="","",COUNTIFS(CaseLedger!$F:$F,$A477,CaseLedger!$B:$B,"TRUE",CaseLedger!$P:$P,"Zakat"))</x:f>
      </x:c>
      <x:c r="F477" t="str">
        <x:f>IF($A477="","",COUNTIFS(CaseLedger!$F:$F,$A477,CaseLedger!$B:$B,"TRUE",CaseLedger!$P:$P,"Sadaqah"))</x:f>
      </x:c>
      <x:c r="G477" t="str">
        <x:f>IF($A477="","",COUNTIFS(CaseLedger!$F:$F,$A477,CaseLedger!$B:$B,"TRUE",CaseLedger!$P:$P,"Mixed"))</x:f>
      </x:c>
      <x:c r="H477" t="str">
        <x:f>IF($A477="","",COUNTIFS(CaseLedger!$F:$F,$A477,CaseLedger!$B:$B,"TRUE",CaseLedger!$K:$K,"Livelihood"))</x:f>
      </x:c>
      <x:c r="I477" t="str">
        <x:f>IF($A477="","",COUNTIFS(CaseLedger!$F:$F,$A477,CaseLedger!$B:$B,"TRUE",CaseLedger!$K:$K,"Skill Sponsorship"))</x:f>
      </x:c>
      <x:c r="J477" t="str">
        <x:f>IF($A477="","",COUNTIFS(CaseLedger!$F:$F,$A477,CaseLedger!$B:$B,"TRUE",CaseLedger!$K:$K,"Emergency Support"))</x:f>
      </x:c>
      <x:c r="K477" t="str">
        <x:f>IF($A477="","",COUNTIFS(CaseLedger!$F:$F,$A477,CaseLedger!$B:$B,"TRUE",CaseLedger!$K:$K,"Community Support"))</x:f>
      </x:c>
      <x:c r="L477" t="str">
        <x:f>IF($A477="","",SUMIFS(CaseLedger!$M:$M,CaseLedger!$F:$F,$A477,CaseLedger!$B:$B,"TRUE"))</x:f>
      </x:c>
      <x:c r="M477" t="str">
        <x:f>IF($A477="","",SUMIFS(CaseLedger!$N:$N,CaseLedger!$F:$F,$A477,CaseLedger!$B:$B,"TRUE"))</x:f>
      </x:c>
      <x:c r="N477" t="str">
        <x:f>IF($A477="","",0)</x:f>
      </x:c>
      <x:c r="O477" t="str">
        <x:f>IF($A477="","",SUMIFS(CaseLedger!$O:$O,CaseLedger!$F:$F,$A477,CaseLedger!$B:$B,"TRUE"))</x:f>
      </x:c>
      <x:c r="P477" t="str">
        <x:f>IF($A477="","",IFERROR(VLOOKUP($A477,MonthlyFinance!$A:$G,4,FALSE),""))</x:f>
      </x:c>
      <x:c r="Q477" t="str">
        <x:f>IF($A477="","",IFERROR(VLOOKUP($A477,MonthlyFinance!$A:$G,5,FALSE),""))</x:f>
      </x:c>
      <x:c r="R477" t="str">
        <x:f>IF($A477="","",IFERROR(VLOOKUP($A477,MonthlyFinance!$A:$G,6,FALSE),""))</x:f>
      </x:c>
      <x:c r="S477" t="str">
        <x:f>IF($A477="","","Formula-linked from CaseLedger; finance fields from MonthlyFinance.")</x:f>
      </x:c>
      <x:c r="T477" t="str">
        <x:f>IF($A477="","","TRUE")</x:f>
      </x:c>
    </x:row>
    <x:row r="478">
      <x:c r="D478" t="str">
        <x:f>IF($A478="","",COUNTIFS(CaseLedger!$F:$F,$A478,CaseLedger!$B:$B,"TRUE"))</x:f>
      </x:c>
      <x:c r="E478" t="str">
        <x:f>IF($A478="","",COUNTIFS(CaseLedger!$F:$F,$A478,CaseLedger!$B:$B,"TRUE",CaseLedger!$P:$P,"Zakat"))</x:f>
      </x:c>
      <x:c r="F478" t="str">
        <x:f>IF($A478="","",COUNTIFS(CaseLedger!$F:$F,$A478,CaseLedger!$B:$B,"TRUE",CaseLedger!$P:$P,"Sadaqah"))</x:f>
      </x:c>
      <x:c r="G478" t="str">
        <x:f>IF($A478="","",COUNTIFS(CaseLedger!$F:$F,$A478,CaseLedger!$B:$B,"TRUE",CaseLedger!$P:$P,"Mixed"))</x:f>
      </x:c>
      <x:c r="H478" t="str">
        <x:f>IF($A478="","",COUNTIFS(CaseLedger!$F:$F,$A478,CaseLedger!$B:$B,"TRUE",CaseLedger!$K:$K,"Livelihood"))</x:f>
      </x:c>
      <x:c r="I478" t="str">
        <x:f>IF($A478="","",COUNTIFS(CaseLedger!$F:$F,$A478,CaseLedger!$B:$B,"TRUE",CaseLedger!$K:$K,"Skill Sponsorship"))</x:f>
      </x:c>
      <x:c r="J478" t="str">
        <x:f>IF($A478="","",COUNTIFS(CaseLedger!$F:$F,$A478,CaseLedger!$B:$B,"TRUE",CaseLedger!$K:$K,"Emergency Support"))</x:f>
      </x:c>
      <x:c r="K478" t="str">
        <x:f>IF($A478="","",COUNTIFS(CaseLedger!$F:$F,$A478,CaseLedger!$B:$B,"TRUE",CaseLedger!$K:$K,"Community Support"))</x:f>
      </x:c>
      <x:c r="L478" t="str">
        <x:f>IF($A478="","",SUMIFS(CaseLedger!$M:$M,CaseLedger!$F:$F,$A478,CaseLedger!$B:$B,"TRUE"))</x:f>
      </x:c>
      <x:c r="M478" t="str">
        <x:f>IF($A478="","",SUMIFS(CaseLedger!$N:$N,CaseLedger!$F:$F,$A478,CaseLedger!$B:$B,"TRUE"))</x:f>
      </x:c>
      <x:c r="N478" t="str">
        <x:f>IF($A478="","",0)</x:f>
      </x:c>
      <x:c r="O478" t="str">
        <x:f>IF($A478="","",SUMIFS(CaseLedger!$O:$O,CaseLedger!$F:$F,$A478,CaseLedger!$B:$B,"TRUE"))</x:f>
      </x:c>
      <x:c r="P478" t="str">
        <x:f>IF($A478="","",IFERROR(VLOOKUP($A478,MonthlyFinance!$A:$G,4,FALSE),""))</x:f>
      </x:c>
      <x:c r="Q478" t="str">
        <x:f>IF($A478="","",IFERROR(VLOOKUP($A478,MonthlyFinance!$A:$G,5,FALSE),""))</x:f>
      </x:c>
      <x:c r="R478" t="str">
        <x:f>IF($A478="","",IFERROR(VLOOKUP($A478,MonthlyFinance!$A:$G,6,FALSE),""))</x:f>
      </x:c>
      <x:c r="S478" t="str">
        <x:f>IF($A478="","","Formula-linked from CaseLedger; finance fields from MonthlyFinance.")</x:f>
      </x:c>
      <x:c r="T478" t="str">
        <x:f>IF($A478="","","TRUE")</x:f>
      </x:c>
    </x:row>
    <x:row r="479">
      <x:c r="D479" t="str">
        <x:f>IF($A479="","",COUNTIFS(CaseLedger!$F:$F,$A479,CaseLedger!$B:$B,"TRUE"))</x:f>
      </x:c>
      <x:c r="E479" t="str">
        <x:f>IF($A479="","",COUNTIFS(CaseLedger!$F:$F,$A479,CaseLedger!$B:$B,"TRUE",CaseLedger!$P:$P,"Zakat"))</x:f>
      </x:c>
      <x:c r="F479" t="str">
        <x:f>IF($A479="","",COUNTIFS(CaseLedger!$F:$F,$A479,CaseLedger!$B:$B,"TRUE",CaseLedger!$P:$P,"Sadaqah"))</x:f>
      </x:c>
      <x:c r="G479" t="str">
        <x:f>IF($A479="","",COUNTIFS(CaseLedger!$F:$F,$A479,CaseLedger!$B:$B,"TRUE",CaseLedger!$P:$P,"Mixed"))</x:f>
      </x:c>
      <x:c r="H479" t="str">
        <x:f>IF($A479="","",COUNTIFS(CaseLedger!$F:$F,$A479,CaseLedger!$B:$B,"TRUE",CaseLedger!$K:$K,"Livelihood"))</x:f>
      </x:c>
      <x:c r="I479" t="str">
        <x:f>IF($A479="","",COUNTIFS(CaseLedger!$F:$F,$A479,CaseLedger!$B:$B,"TRUE",CaseLedger!$K:$K,"Skill Sponsorship"))</x:f>
      </x:c>
      <x:c r="J479" t="str">
        <x:f>IF($A479="","",COUNTIFS(CaseLedger!$F:$F,$A479,CaseLedger!$B:$B,"TRUE",CaseLedger!$K:$K,"Emergency Support"))</x:f>
      </x:c>
      <x:c r="K479" t="str">
        <x:f>IF($A479="","",COUNTIFS(CaseLedger!$F:$F,$A479,CaseLedger!$B:$B,"TRUE",CaseLedger!$K:$K,"Community Support"))</x:f>
      </x:c>
      <x:c r="L479" t="str">
        <x:f>IF($A479="","",SUMIFS(CaseLedger!$M:$M,CaseLedger!$F:$F,$A479,CaseLedger!$B:$B,"TRUE"))</x:f>
      </x:c>
      <x:c r="M479" t="str">
        <x:f>IF($A479="","",SUMIFS(CaseLedger!$N:$N,CaseLedger!$F:$F,$A479,CaseLedger!$B:$B,"TRUE"))</x:f>
      </x:c>
      <x:c r="N479" t="str">
        <x:f>IF($A479="","",0)</x:f>
      </x:c>
      <x:c r="O479" t="str">
        <x:f>IF($A479="","",SUMIFS(CaseLedger!$O:$O,CaseLedger!$F:$F,$A479,CaseLedger!$B:$B,"TRUE"))</x:f>
      </x:c>
      <x:c r="P479" t="str">
        <x:f>IF($A479="","",IFERROR(VLOOKUP($A479,MonthlyFinance!$A:$G,4,FALSE),""))</x:f>
      </x:c>
      <x:c r="Q479" t="str">
        <x:f>IF($A479="","",IFERROR(VLOOKUP($A479,MonthlyFinance!$A:$G,5,FALSE),""))</x:f>
      </x:c>
      <x:c r="R479" t="str">
        <x:f>IF($A479="","",IFERROR(VLOOKUP($A479,MonthlyFinance!$A:$G,6,FALSE),""))</x:f>
      </x:c>
      <x:c r="S479" t="str">
        <x:f>IF($A479="","","Formula-linked from CaseLedger; finance fields from MonthlyFinance.")</x:f>
      </x:c>
      <x:c r="T479" t="str">
        <x:f>IF($A479="","","TRUE")</x:f>
      </x:c>
    </x:row>
    <x:row r="480">
      <x:c r="D480" t="str">
        <x:f>IF($A480="","",COUNTIFS(CaseLedger!$F:$F,$A480,CaseLedger!$B:$B,"TRUE"))</x:f>
      </x:c>
      <x:c r="E480" t="str">
        <x:f>IF($A480="","",COUNTIFS(CaseLedger!$F:$F,$A480,CaseLedger!$B:$B,"TRUE",CaseLedger!$P:$P,"Zakat"))</x:f>
      </x:c>
      <x:c r="F480" t="str">
        <x:f>IF($A480="","",COUNTIFS(CaseLedger!$F:$F,$A480,CaseLedger!$B:$B,"TRUE",CaseLedger!$P:$P,"Sadaqah"))</x:f>
      </x:c>
      <x:c r="G480" t="str">
        <x:f>IF($A480="","",COUNTIFS(CaseLedger!$F:$F,$A480,CaseLedger!$B:$B,"TRUE",CaseLedger!$P:$P,"Mixed"))</x:f>
      </x:c>
      <x:c r="H480" t="str">
        <x:f>IF($A480="","",COUNTIFS(CaseLedger!$F:$F,$A480,CaseLedger!$B:$B,"TRUE",CaseLedger!$K:$K,"Livelihood"))</x:f>
      </x:c>
      <x:c r="I480" t="str">
        <x:f>IF($A480="","",COUNTIFS(CaseLedger!$F:$F,$A480,CaseLedger!$B:$B,"TRUE",CaseLedger!$K:$K,"Skill Sponsorship"))</x:f>
      </x:c>
      <x:c r="J480" t="str">
        <x:f>IF($A480="","",COUNTIFS(CaseLedger!$F:$F,$A480,CaseLedger!$B:$B,"TRUE",CaseLedger!$K:$K,"Emergency Support"))</x:f>
      </x:c>
      <x:c r="K480" t="str">
        <x:f>IF($A480="","",COUNTIFS(CaseLedger!$F:$F,$A480,CaseLedger!$B:$B,"TRUE",CaseLedger!$K:$K,"Community Support"))</x:f>
      </x:c>
      <x:c r="L480" t="str">
        <x:f>IF($A480="","",SUMIFS(CaseLedger!$M:$M,CaseLedger!$F:$F,$A480,CaseLedger!$B:$B,"TRUE"))</x:f>
      </x:c>
      <x:c r="M480" t="str">
        <x:f>IF($A480="","",SUMIFS(CaseLedger!$N:$N,CaseLedger!$F:$F,$A480,CaseLedger!$B:$B,"TRUE"))</x:f>
      </x:c>
      <x:c r="N480" t="str">
        <x:f>IF($A480="","",0)</x:f>
      </x:c>
      <x:c r="O480" t="str">
        <x:f>IF($A480="","",SUMIFS(CaseLedger!$O:$O,CaseLedger!$F:$F,$A480,CaseLedger!$B:$B,"TRUE"))</x:f>
      </x:c>
      <x:c r="P480" t="str">
        <x:f>IF($A480="","",IFERROR(VLOOKUP($A480,MonthlyFinance!$A:$G,4,FALSE),""))</x:f>
      </x:c>
      <x:c r="Q480" t="str">
        <x:f>IF($A480="","",IFERROR(VLOOKUP($A480,MonthlyFinance!$A:$G,5,FALSE),""))</x:f>
      </x:c>
      <x:c r="R480" t="str">
        <x:f>IF($A480="","",IFERROR(VLOOKUP($A480,MonthlyFinance!$A:$G,6,FALSE),""))</x:f>
      </x:c>
      <x:c r="S480" t="str">
        <x:f>IF($A480="","","Formula-linked from CaseLedger; finance fields from MonthlyFinance.")</x:f>
      </x:c>
      <x:c r="T480" t="str">
        <x:f>IF($A480="","","TRUE")</x:f>
      </x:c>
    </x:row>
    <x:row r="481">
      <x:c r="D481" t="str">
        <x:f>IF($A481="","",COUNTIFS(CaseLedger!$F:$F,$A481,CaseLedger!$B:$B,"TRUE"))</x:f>
      </x:c>
      <x:c r="E481" t="str">
        <x:f>IF($A481="","",COUNTIFS(CaseLedger!$F:$F,$A481,CaseLedger!$B:$B,"TRUE",CaseLedger!$P:$P,"Zakat"))</x:f>
      </x:c>
      <x:c r="F481" t="str">
        <x:f>IF($A481="","",COUNTIFS(CaseLedger!$F:$F,$A481,CaseLedger!$B:$B,"TRUE",CaseLedger!$P:$P,"Sadaqah"))</x:f>
      </x:c>
      <x:c r="G481" t="str">
        <x:f>IF($A481="","",COUNTIFS(CaseLedger!$F:$F,$A481,CaseLedger!$B:$B,"TRUE",CaseLedger!$P:$P,"Mixed"))</x:f>
      </x:c>
      <x:c r="H481" t="str">
        <x:f>IF($A481="","",COUNTIFS(CaseLedger!$F:$F,$A481,CaseLedger!$B:$B,"TRUE",CaseLedger!$K:$K,"Livelihood"))</x:f>
      </x:c>
      <x:c r="I481" t="str">
        <x:f>IF($A481="","",COUNTIFS(CaseLedger!$F:$F,$A481,CaseLedger!$B:$B,"TRUE",CaseLedger!$K:$K,"Skill Sponsorship"))</x:f>
      </x:c>
      <x:c r="J481" t="str">
        <x:f>IF($A481="","",COUNTIFS(CaseLedger!$F:$F,$A481,CaseLedger!$B:$B,"TRUE",CaseLedger!$K:$K,"Emergency Support"))</x:f>
      </x:c>
      <x:c r="K481" t="str">
        <x:f>IF($A481="","",COUNTIFS(CaseLedger!$F:$F,$A481,CaseLedger!$B:$B,"TRUE",CaseLedger!$K:$K,"Community Support"))</x:f>
      </x:c>
      <x:c r="L481" t="str">
        <x:f>IF($A481="","",SUMIFS(CaseLedger!$M:$M,CaseLedger!$F:$F,$A481,CaseLedger!$B:$B,"TRUE"))</x:f>
      </x:c>
      <x:c r="M481" t="str">
        <x:f>IF($A481="","",SUMIFS(CaseLedger!$N:$N,CaseLedger!$F:$F,$A481,CaseLedger!$B:$B,"TRUE"))</x:f>
      </x:c>
      <x:c r="N481" t="str">
        <x:f>IF($A481="","",0)</x:f>
      </x:c>
      <x:c r="O481" t="str">
        <x:f>IF($A481="","",SUMIFS(CaseLedger!$O:$O,CaseLedger!$F:$F,$A481,CaseLedger!$B:$B,"TRUE"))</x:f>
      </x:c>
      <x:c r="P481" t="str">
        <x:f>IF($A481="","",IFERROR(VLOOKUP($A481,MonthlyFinance!$A:$G,4,FALSE),""))</x:f>
      </x:c>
      <x:c r="Q481" t="str">
        <x:f>IF($A481="","",IFERROR(VLOOKUP($A481,MonthlyFinance!$A:$G,5,FALSE),""))</x:f>
      </x:c>
      <x:c r="R481" t="str">
        <x:f>IF($A481="","",IFERROR(VLOOKUP($A481,MonthlyFinance!$A:$G,6,FALSE),""))</x:f>
      </x:c>
      <x:c r="S481" t="str">
        <x:f>IF($A481="","","Formula-linked from CaseLedger; finance fields from MonthlyFinance.")</x:f>
      </x:c>
      <x:c r="T481" t="str">
        <x:f>IF($A481="","","TRUE")</x:f>
      </x:c>
    </x:row>
    <x:row r="482">
      <x:c r="D482" t="str">
        <x:f>IF($A482="","",COUNTIFS(CaseLedger!$F:$F,$A482,CaseLedger!$B:$B,"TRUE"))</x:f>
      </x:c>
      <x:c r="E482" t="str">
        <x:f>IF($A482="","",COUNTIFS(CaseLedger!$F:$F,$A482,CaseLedger!$B:$B,"TRUE",CaseLedger!$P:$P,"Zakat"))</x:f>
      </x:c>
      <x:c r="F482" t="str">
        <x:f>IF($A482="","",COUNTIFS(CaseLedger!$F:$F,$A482,CaseLedger!$B:$B,"TRUE",CaseLedger!$P:$P,"Sadaqah"))</x:f>
      </x:c>
      <x:c r="G482" t="str">
        <x:f>IF($A482="","",COUNTIFS(CaseLedger!$F:$F,$A482,CaseLedger!$B:$B,"TRUE",CaseLedger!$P:$P,"Mixed"))</x:f>
      </x:c>
      <x:c r="H482" t="str">
        <x:f>IF($A482="","",COUNTIFS(CaseLedger!$F:$F,$A482,CaseLedger!$B:$B,"TRUE",CaseLedger!$K:$K,"Livelihood"))</x:f>
      </x:c>
      <x:c r="I482" t="str">
        <x:f>IF($A482="","",COUNTIFS(CaseLedger!$F:$F,$A482,CaseLedger!$B:$B,"TRUE",CaseLedger!$K:$K,"Skill Sponsorship"))</x:f>
      </x:c>
      <x:c r="J482" t="str">
        <x:f>IF($A482="","",COUNTIFS(CaseLedger!$F:$F,$A482,CaseLedger!$B:$B,"TRUE",CaseLedger!$K:$K,"Emergency Support"))</x:f>
      </x:c>
      <x:c r="K482" t="str">
        <x:f>IF($A482="","",COUNTIFS(CaseLedger!$F:$F,$A482,CaseLedger!$B:$B,"TRUE",CaseLedger!$K:$K,"Community Support"))</x:f>
      </x:c>
      <x:c r="L482" t="str">
        <x:f>IF($A482="","",SUMIFS(CaseLedger!$M:$M,CaseLedger!$F:$F,$A482,CaseLedger!$B:$B,"TRUE"))</x:f>
      </x:c>
      <x:c r="M482" t="str">
        <x:f>IF($A482="","",SUMIFS(CaseLedger!$N:$N,CaseLedger!$F:$F,$A482,CaseLedger!$B:$B,"TRUE"))</x:f>
      </x:c>
      <x:c r="N482" t="str">
        <x:f>IF($A482="","",0)</x:f>
      </x:c>
      <x:c r="O482" t="str">
        <x:f>IF($A482="","",SUMIFS(CaseLedger!$O:$O,CaseLedger!$F:$F,$A482,CaseLedger!$B:$B,"TRUE"))</x:f>
      </x:c>
      <x:c r="P482" t="str">
        <x:f>IF($A482="","",IFERROR(VLOOKUP($A482,MonthlyFinance!$A:$G,4,FALSE),""))</x:f>
      </x:c>
      <x:c r="Q482" t="str">
        <x:f>IF($A482="","",IFERROR(VLOOKUP($A482,MonthlyFinance!$A:$G,5,FALSE),""))</x:f>
      </x:c>
      <x:c r="R482" t="str">
        <x:f>IF($A482="","",IFERROR(VLOOKUP($A482,MonthlyFinance!$A:$G,6,FALSE),""))</x:f>
      </x:c>
      <x:c r="S482" t="str">
        <x:f>IF($A482="","","Formula-linked from CaseLedger; finance fields from MonthlyFinance.")</x:f>
      </x:c>
      <x:c r="T482" t="str">
        <x:f>IF($A482="","","TRUE")</x:f>
      </x:c>
    </x:row>
    <x:row r="483">
      <x:c r="D483" t="str">
        <x:f>IF($A483="","",COUNTIFS(CaseLedger!$F:$F,$A483,CaseLedger!$B:$B,"TRUE"))</x:f>
      </x:c>
      <x:c r="E483" t="str">
        <x:f>IF($A483="","",COUNTIFS(CaseLedger!$F:$F,$A483,CaseLedger!$B:$B,"TRUE",CaseLedger!$P:$P,"Zakat"))</x:f>
      </x:c>
      <x:c r="F483" t="str">
        <x:f>IF($A483="","",COUNTIFS(CaseLedger!$F:$F,$A483,CaseLedger!$B:$B,"TRUE",CaseLedger!$P:$P,"Sadaqah"))</x:f>
      </x:c>
      <x:c r="G483" t="str">
        <x:f>IF($A483="","",COUNTIFS(CaseLedger!$F:$F,$A483,CaseLedger!$B:$B,"TRUE",CaseLedger!$P:$P,"Mixed"))</x:f>
      </x:c>
      <x:c r="H483" t="str">
        <x:f>IF($A483="","",COUNTIFS(CaseLedger!$F:$F,$A483,CaseLedger!$B:$B,"TRUE",CaseLedger!$K:$K,"Livelihood"))</x:f>
      </x:c>
      <x:c r="I483" t="str">
        <x:f>IF($A483="","",COUNTIFS(CaseLedger!$F:$F,$A483,CaseLedger!$B:$B,"TRUE",CaseLedger!$K:$K,"Skill Sponsorship"))</x:f>
      </x:c>
      <x:c r="J483" t="str">
        <x:f>IF($A483="","",COUNTIFS(CaseLedger!$F:$F,$A483,CaseLedger!$B:$B,"TRUE",CaseLedger!$K:$K,"Emergency Support"))</x:f>
      </x:c>
      <x:c r="K483" t="str">
        <x:f>IF($A483="","",COUNTIFS(CaseLedger!$F:$F,$A483,CaseLedger!$B:$B,"TRUE",CaseLedger!$K:$K,"Community Support"))</x:f>
      </x:c>
      <x:c r="L483" t="str">
        <x:f>IF($A483="","",SUMIFS(CaseLedger!$M:$M,CaseLedger!$F:$F,$A483,CaseLedger!$B:$B,"TRUE"))</x:f>
      </x:c>
      <x:c r="M483" t="str">
        <x:f>IF($A483="","",SUMIFS(CaseLedger!$N:$N,CaseLedger!$F:$F,$A483,CaseLedger!$B:$B,"TRUE"))</x:f>
      </x:c>
      <x:c r="N483" t="str">
        <x:f>IF($A483="","",0)</x:f>
      </x:c>
      <x:c r="O483" t="str">
        <x:f>IF($A483="","",SUMIFS(CaseLedger!$O:$O,CaseLedger!$F:$F,$A483,CaseLedger!$B:$B,"TRUE"))</x:f>
      </x:c>
      <x:c r="P483" t="str">
        <x:f>IF($A483="","",IFERROR(VLOOKUP($A483,MonthlyFinance!$A:$G,4,FALSE),""))</x:f>
      </x:c>
      <x:c r="Q483" t="str">
        <x:f>IF($A483="","",IFERROR(VLOOKUP($A483,MonthlyFinance!$A:$G,5,FALSE),""))</x:f>
      </x:c>
      <x:c r="R483" t="str">
        <x:f>IF($A483="","",IFERROR(VLOOKUP($A483,MonthlyFinance!$A:$G,6,FALSE),""))</x:f>
      </x:c>
      <x:c r="S483" t="str">
        <x:f>IF($A483="","","Formula-linked from CaseLedger; finance fields from MonthlyFinance.")</x:f>
      </x:c>
      <x:c r="T483" t="str">
        <x:f>IF($A483="","","TRUE")</x:f>
      </x:c>
    </x:row>
    <x:row r="484">
      <x:c r="D484" t="str">
        <x:f>IF($A484="","",COUNTIFS(CaseLedger!$F:$F,$A484,CaseLedger!$B:$B,"TRUE"))</x:f>
      </x:c>
      <x:c r="E484" t="str">
        <x:f>IF($A484="","",COUNTIFS(CaseLedger!$F:$F,$A484,CaseLedger!$B:$B,"TRUE",CaseLedger!$P:$P,"Zakat"))</x:f>
      </x:c>
      <x:c r="F484" t="str">
        <x:f>IF($A484="","",COUNTIFS(CaseLedger!$F:$F,$A484,CaseLedger!$B:$B,"TRUE",CaseLedger!$P:$P,"Sadaqah"))</x:f>
      </x:c>
      <x:c r="G484" t="str">
        <x:f>IF($A484="","",COUNTIFS(CaseLedger!$F:$F,$A484,CaseLedger!$B:$B,"TRUE",CaseLedger!$P:$P,"Mixed"))</x:f>
      </x:c>
      <x:c r="H484" t="str">
        <x:f>IF($A484="","",COUNTIFS(CaseLedger!$F:$F,$A484,CaseLedger!$B:$B,"TRUE",CaseLedger!$K:$K,"Livelihood"))</x:f>
      </x:c>
      <x:c r="I484" t="str">
        <x:f>IF($A484="","",COUNTIFS(CaseLedger!$F:$F,$A484,CaseLedger!$B:$B,"TRUE",CaseLedger!$K:$K,"Skill Sponsorship"))</x:f>
      </x:c>
      <x:c r="J484" t="str">
        <x:f>IF($A484="","",COUNTIFS(CaseLedger!$F:$F,$A484,CaseLedger!$B:$B,"TRUE",CaseLedger!$K:$K,"Emergency Support"))</x:f>
      </x:c>
      <x:c r="K484" t="str">
        <x:f>IF($A484="","",COUNTIFS(CaseLedger!$F:$F,$A484,CaseLedger!$B:$B,"TRUE",CaseLedger!$K:$K,"Community Support"))</x:f>
      </x:c>
      <x:c r="L484" t="str">
        <x:f>IF($A484="","",SUMIFS(CaseLedger!$M:$M,CaseLedger!$F:$F,$A484,CaseLedger!$B:$B,"TRUE"))</x:f>
      </x:c>
      <x:c r="M484" t="str">
        <x:f>IF($A484="","",SUMIFS(CaseLedger!$N:$N,CaseLedger!$F:$F,$A484,CaseLedger!$B:$B,"TRUE"))</x:f>
      </x:c>
      <x:c r="N484" t="str">
        <x:f>IF($A484="","",0)</x:f>
      </x:c>
      <x:c r="O484" t="str">
        <x:f>IF($A484="","",SUMIFS(CaseLedger!$O:$O,CaseLedger!$F:$F,$A484,CaseLedger!$B:$B,"TRUE"))</x:f>
      </x:c>
      <x:c r="P484" t="str">
        <x:f>IF($A484="","",IFERROR(VLOOKUP($A484,MonthlyFinance!$A:$G,4,FALSE),""))</x:f>
      </x:c>
      <x:c r="Q484" t="str">
        <x:f>IF($A484="","",IFERROR(VLOOKUP($A484,MonthlyFinance!$A:$G,5,FALSE),""))</x:f>
      </x:c>
      <x:c r="R484" t="str">
        <x:f>IF($A484="","",IFERROR(VLOOKUP($A484,MonthlyFinance!$A:$G,6,FALSE),""))</x:f>
      </x:c>
      <x:c r="S484" t="str">
        <x:f>IF($A484="","","Formula-linked from CaseLedger; finance fields from MonthlyFinance.")</x:f>
      </x:c>
      <x:c r="T484" t="str">
        <x:f>IF($A484="","","TRUE")</x:f>
      </x:c>
    </x:row>
    <x:row r="485">
      <x:c r="D485" t="str">
        <x:f>IF($A485="","",COUNTIFS(CaseLedger!$F:$F,$A485,CaseLedger!$B:$B,"TRUE"))</x:f>
      </x:c>
      <x:c r="E485" t="str">
        <x:f>IF($A485="","",COUNTIFS(CaseLedger!$F:$F,$A485,CaseLedger!$B:$B,"TRUE",CaseLedger!$P:$P,"Zakat"))</x:f>
      </x:c>
      <x:c r="F485" t="str">
        <x:f>IF($A485="","",COUNTIFS(CaseLedger!$F:$F,$A485,CaseLedger!$B:$B,"TRUE",CaseLedger!$P:$P,"Sadaqah"))</x:f>
      </x:c>
      <x:c r="G485" t="str">
        <x:f>IF($A485="","",COUNTIFS(CaseLedger!$F:$F,$A485,CaseLedger!$B:$B,"TRUE",CaseLedger!$P:$P,"Mixed"))</x:f>
      </x:c>
      <x:c r="H485" t="str">
        <x:f>IF($A485="","",COUNTIFS(CaseLedger!$F:$F,$A485,CaseLedger!$B:$B,"TRUE",CaseLedger!$K:$K,"Livelihood"))</x:f>
      </x:c>
      <x:c r="I485" t="str">
        <x:f>IF($A485="","",COUNTIFS(CaseLedger!$F:$F,$A485,CaseLedger!$B:$B,"TRUE",CaseLedger!$K:$K,"Skill Sponsorship"))</x:f>
      </x:c>
      <x:c r="J485" t="str">
        <x:f>IF($A485="","",COUNTIFS(CaseLedger!$F:$F,$A485,CaseLedger!$B:$B,"TRUE",CaseLedger!$K:$K,"Emergency Support"))</x:f>
      </x:c>
      <x:c r="K485" t="str">
        <x:f>IF($A485="","",COUNTIFS(CaseLedger!$F:$F,$A485,CaseLedger!$B:$B,"TRUE",CaseLedger!$K:$K,"Community Support"))</x:f>
      </x:c>
      <x:c r="L485" t="str">
        <x:f>IF($A485="","",SUMIFS(CaseLedger!$M:$M,CaseLedger!$F:$F,$A485,CaseLedger!$B:$B,"TRUE"))</x:f>
      </x:c>
      <x:c r="M485" t="str">
        <x:f>IF($A485="","",SUMIFS(CaseLedger!$N:$N,CaseLedger!$F:$F,$A485,CaseLedger!$B:$B,"TRUE"))</x:f>
      </x:c>
      <x:c r="N485" t="str">
        <x:f>IF($A485="","",0)</x:f>
      </x:c>
      <x:c r="O485" t="str">
        <x:f>IF($A485="","",SUMIFS(CaseLedger!$O:$O,CaseLedger!$F:$F,$A485,CaseLedger!$B:$B,"TRUE"))</x:f>
      </x:c>
      <x:c r="P485" t="str">
        <x:f>IF($A485="","",IFERROR(VLOOKUP($A485,MonthlyFinance!$A:$G,4,FALSE),""))</x:f>
      </x:c>
      <x:c r="Q485" t="str">
        <x:f>IF($A485="","",IFERROR(VLOOKUP($A485,MonthlyFinance!$A:$G,5,FALSE),""))</x:f>
      </x:c>
      <x:c r="R485" t="str">
        <x:f>IF($A485="","",IFERROR(VLOOKUP($A485,MonthlyFinance!$A:$G,6,FALSE),""))</x:f>
      </x:c>
      <x:c r="S485" t="str">
        <x:f>IF($A485="","","Formula-linked from CaseLedger; finance fields from MonthlyFinance.")</x:f>
      </x:c>
      <x:c r="T485" t="str">
        <x:f>IF($A485="","","TRUE")</x:f>
      </x:c>
    </x:row>
    <x:row r="486">
      <x:c r="D486" t="str">
        <x:f>IF($A486="","",COUNTIFS(CaseLedger!$F:$F,$A486,CaseLedger!$B:$B,"TRUE"))</x:f>
      </x:c>
      <x:c r="E486" t="str">
        <x:f>IF($A486="","",COUNTIFS(CaseLedger!$F:$F,$A486,CaseLedger!$B:$B,"TRUE",CaseLedger!$P:$P,"Zakat"))</x:f>
      </x:c>
      <x:c r="F486" t="str">
        <x:f>IF($A486="","",COUNTIFS(CaseLedger!$F:$F,$A486,CaseLedger!$B:$B,"TRUE",CaseLedger!$P:$P,"Sadaqah"))</x:f>
      </x:c>
      <x:c r="G486" t="str">
        <x:f>IF($A486="","",COUNTIFS(CaseLedger!$F:$F,$A486,CaseLedger!$B:$B,"TRUE",CaseLedger!$P:$P,"Mixed"))</x:f>
      </x:c>
      <x:c r="H486" t="str">
        <x:f>IF($A486="","",COUNTIFS(CaseLedger!$F:$F,$A486,CaseLedger!$B:$B,"TRUE",CaseLedger!$K:$K,"Livelihood"))</x:f>
      </x:c>
      <x:c r="I486" t="str">
        <x:f>IF($A486="","",COUNTIFS(CaseLedger!$F:$F,$A486,CaseLedger!$B:$B,"TRUE",CaseLedger!$K:$K,"Skill Sponsorship"))</x:f>
      </x:c>
      <x:c r="J486" t="str">
        <x:f>IF($A486="","",COUNTIFS(CaseLedger!$F:$F,$A486,CaseLedger!$B:$B,"TRUE",CaseLedger!$K:$K,"Emergency Support"))</x:f>
      </x:c>
      <x:c r="K486" t="str">
        <x:f>IF($A486="","",COUNTIFS(CaseLedger!$F:$F,$A486,CaseLedger!$B:$B,"TRUE",CaseLedger!$K:$K,"Community Support"))</x:f>
      </x:c>
      <x:c r="L486" t="str">
        <x:f>IF($A486="","",SUMIFS(CaseLedger!$M:$M,CaseLedger!$F:$F,$A486,CaseLedger!$B:$B,"TRUE"))</x:f>
      </x:c>
      <x:c r="M486" t="str">
        <x:f>IF($A486="","",SUMIFS(CaseLedger!$N:$N,CaseLedger!$F:$F,$A486,CaseLedger!$B:$B,"TRUE"))</x:f>
      </x:c>
      <x:c r="N486" t="str">
        <x:f>IF($A486="","",0)</x:f>
      </x:c>
      <x:c r="O486" t="str">
        <x:f>IF($A486="","",SUMIFS(CaseLedger!$O:$O,CaseLedger!$F:$F,$A486,CaseLedger!$B:$B,"TRUE"))</x:f>
      </x:c>
      <x:c r="P486" t="str">
        <x:f>IF($A486="","",IFERROR(VLOOKUP($A486,MonthlyFinance!$A:$G,4,FALSE),""))</x:f>
      </x:c>
      <x:c r="Q486" t="str">
        <x:f>IF($A486="","",IFERROR(VLOOKUP($A486,MonthlyFinance!$A:$G,5,FALSE),""))</x:f>
      </x:c>
      <x:c r="R486" t="str">
        <x:f>IF($A486="","",IFERROR(VLOOKUP($A486,MonthlyFinance!$A:$G,6,FALSE),""))</x:f>
      </x:c>
      <x:c r="S486" t="str">
        <x:f>IF($A486="","","Formula-linked from CaseLedger; finance fields from MonthlyFinance.")</x:f>
      </x:c>
      <x:c r="T486" t="str">
        <x:f>IF($A486="","","TRUE")</x:f>
      </x:c>
    </x:row>
    <x:row r="487">
      <x:c r="D487" t="str">
        <x:f>IF($A487="","",COUNTIFS(CaseLedger!$F:$F,$A487,CaseLedger!$B:$B,"TRUE"))</x:f>
      </x:c>
      <x:c r="E487" t="str">
        <x:f>IF($A487="","",COUNTIFS(CaseLedger!$F:$F,$A487,CaseLedger!$B:$B,"TRUE",CaseLedger!$P:$P,"Zakat"))</x:f>
      </x:c>
      <x:c r="F487" t="str">
        <x:f>IF($A487="","",COUNTIFS(CaseLedger!$F:$F,$A487,CaseLedger!$B:$B,"TRUE",CaseLedger!$P:$P,"Sadaqah"))</x:f>
      </x:c>
      <x:c r="G487" t="str">
        <x:f>IF($A487="","",COUNTIFS(CaseLedger!$F:$F,$A487,CaseLedger!$B:$B,"TRUE",CaseLedger!$P:$P,"Mixed"))</x:f>
      </x:c>
      <x:c r="H487" t="str">
        <x:f>IF($A487="","",COUNTIFS(CaseLedger!$F:$F,$A487,CaseLedger!$B:$B,"TRUE",CaseLedger!$K:$K,"Livelihood"))</x:f>
      </x:c>
      <x:c r="I487" t="str">
        <x:f>IF($A487="","",COUNTIFS(CaseLedger!$F:$F,$A487,CaseLedger!$B:$B,"TRUE",CaseLedger!$K:$K,"Skill Sponsorship"))</x:f>
      </x:c>
      <x:c r="J487" t="str">
        <x:f>IF($A487="","",COUNTIFS(CaseLedger!$F:$F,$A487,CaseLedger!$B:$B,"TRUE",CaseLedger!$K:$K,"Emergency Support"))</x:f>
      </x:c>
      <x:c r="K487" t="str">
        <x:f>IF($A487="","",COUNTIFS(CaseLedger!$F:$F,$A487,CaseLedger!$B:$B,"TRUE",CaseLedger!$K:$K,"Community Support"))</x:f>
      </x:c>
      <x:c r="L487" t="str">
        <x:f>IF($A487="","",SUMIFS(CaseLedger!$M:$M,CaseLedger!$F:$F,$A487,CaseLedger!$B:$B,"TRUE"))</x:f>
      </x:c>
      <x:c r="M487" t="str">
        <x:f>IF($A487="","",SUMIFS(CaseLedger!$N:$N,CaseLedger!$F:$F,$A487,CaseLedger!$B:$B,"TRUE"))</x:f>
      </x:c>
      <x:c r="N487" t="str">
        <x:f>IF($A487="","",0)</x:f>
      </x:c>
      <x:c r="O487" t="str">
        <x:f>IF($A487="","",SUMIFS(CaseLedger!$O:$O,CaseLedger!$F:$F,$A487,CaseLedger!$B:$B,"TRUE"))</x:f>
      </x:c>
      <x:c r="P487" t="str">
        <x:f>IF($A487="","",IFERROR(VLOOKUP($A487,MonthlyFinance!$A:$G,4,FALSE),""))</x:f>
      </x:c>
      <x:c r="Q487" t="str">
        <x:f>IF($A487="","",IFERROR(VLOOKUP($A487,MonthlyFinance!$A:$G,5,FALSE),""))</x:f>
      </x:c>
      <x:c r="R487" t="str">
        <x:f>IF($A487="","",IFERROR(VLOOKUP($A487,MonthlyFinance!$A:$G,6,FALSE),""))</x:f>
      </x:c>
      <x:c r="S487" t="str">
        <x:f>IF($A487="","","Formula-linked from CaseLedger; finance fields from MonthlyFinance.")</x:f>
      </x:c>
      <x:c r="T487" t="str">
        <x:f>IF($A487="","","TRUE")</x:f>
      </x:c>
    </x:row>
    <x:row r="488">
      <x:c r="D488" t="str">
        <x:f>IF($A488="","",COUNTIFS(CaseLedger!$F:$F,$A488,CaseLedger!$B:$B,"TRUE"))</x:f>
      </x:c>
      <x:c r="E488" t="str">
        <x:f>IF($A488="","",COUNTIFS(CaseLedger!$F:$F,$A488,CaseLedger!$B:$B,"TRUE",CaseLedger!$P:$P,"Zakat"))</x:f>
      </x:c>
      <x:c r="F488" t="str">
        <x:f>IF($A488="","",COUNTIFS(CaseLedger!$F:$F,$A488,CaseLedger!$B:$B,"TRUE",CaseLedger!$P:$P,"Sadaqah"))</x:f>
      </x:c>
      <x:c r="G488" t="str">
        <x:f>IF($A488="","",COUNTIFS(CaseLedger!$F:$F,$A488,CaseLedger!$B:$B,"TRUE",CaseLedger!$P:$P,"Mixed"))</x:f>
      </x:c>
      <x:c r="H488" t="str">
        <x:f>IF($A488="","",COUNTIFS(CaseLedger!$F:$F,$A488,CaseLedger!$B:$B,"TRUE",CaseLedger!$K:$K,"Livelihood"))</x:f>
      </x:c>
      <x:c r="I488" t="str">
        <x:f>IF($A488="","",COUNTIFS(CaseLedger!$F:$F,$A488,CaseLedger!$B:$B,"TRUE",CaseLedger!$K:$K,"Skill Sponsorship"))</x:f>
      </x:c>
      <x:c r="J488" t="str">
        <x:f>IF($A488="","",COUNTIFS(CaseLedger!$F:$F,$A488,CaseLedger!$B:$B,"TRUE",CaseLedger!$K:$K,"Emergency Support"))</x:f>
      </x:c>
      <x:c r="K488" t="str">
        <x:f>IF($A488="","",COUNTIFS(CaseLedger!$F:$F,$A488,CaseLedger!$B:$B,"TRUE",CaseLedger!$K:$K,"Community Support"))</x:f>
      </x:c>
      <x:c r="L488" t="str">
        <x:f>IF($A488="","",SUMIFS(CaseLedger!$M:$M,CaseLedger!$F:$F,$A488,CaseLedger!$B:$B,"TRUE"))</x:f>
      </x:c>
      <x:c r="M488" t="str">
        <x:f>IF($A488="","",SUMIFS(CaseLedger!$N:$N,CaseLedger!$F:$F,$A488,CaseLedger!$B:$B,"TRUE"))</x:f>
      </x:c>
      <x:c r="N488" t="str">
        <x:f>IF($A488="","",0)</x:f>
      </x:c>
      <x:c r="O488" t="str">
        <x:f>IF($A488="","",SUMIFS(CaseLedger!$O:$O,CaseLedger!$F:$F,$A488,CaseLedger!$B:$B,"TRUE"))</x:f>
      </x:c>
      <x:c r="P488" t="str">
        <x:f>IF($A488="","",IFERROR(VLOOKUP($A488,MonthlyFinance!$A:$G,4,FALSE),""))</x:f>
      </x:c>
      <x:c r="Q488" t="str">
        <x:f>IF($A488="","",IFERROR(VLOOKUP($A488,MonthlyFinance!$A:$G,5,FALSE),""))</x:f>
      </x:c>
      <x:c r="R488" t="str">
        <x:f>IF($A488="","",IFERROR(VLOOKUP($A488,MonthlyFinance!$A:$G,6,FALSE),""))</x:f>
      </x:c>
      <x:c r="S488" t="str">
        <x:f>IF($A488="","","Formula-linked from CaseLedger; finance fields from MonthlyFinance.")</x:f>
      </x:c>
      <x:c r="T488" t="str">
        <x:f>IF($A488="","","TRUE")</x:f>
      </x:c>
    </x:row>
    <x:row r="489">
      <x:c r="D489" t="str">
        <x:f>IF($A489="","",COUNTIFS(CaseLedger!$F:$F,$A489,CaseLedger!$B:$B,"TRUE"))</x:f>
      </x:c>
      <x:c r="E489" t="str">
        <x:f>IF($A489="","",COUNTIFS(CaseLedger!$F:$F,$A489,CaseLedger!$B:$B,"TRUE",CaseLedger!$P:$P,"Zakat"))</x:f>
      </x:c>
      <x:c r="F489" t="str">
        <x:f>IF($A489="","",COUNTIFS(CaseLedger!$F:$F,$A489,CaseLedger!$B:$B,"TRUE",CaseLedger!$P:$P,"Sadaqah"))</x:f>
      </x:c>
      <x:c r="G489" t="str">
        <x:f>IF($A489="","",COUNTIFS(CaseLedger!$F:$F,$A489,CaseLedger!$B:$B,"TRUE",CaseLedger!$P:$P,"Mixed"))</x:f>
      </x:c>
      <x:c r="H489" t="str">
        <x:f>IF($A489="","",COUNTIFS(CaseLedger!$F:$F,$A489,CaseLedger!$B:$B,"TRUE",CaseLedger!$K:$K,"Livelihood"))</x:f>
      </x:c>
      <x:c r="I489" t="str">
        <x:f>IF($A489="","",COUNTIFS(CaseLedger!$F:$F,$A489,CaseLedger!$B:$B,"TRUE",CaseLedger!$K:$K,"Skill Sponsorship"))</x:f>
      </x:c>
      <x:c r="J489" t="str">
        <x:f>IF($A489="","",COUNTIFS(CaseLedger!$F:$F,$A489,CaseLedger!$B:$B,"TRUE",CaseLedger!$K:$K,"Emergency Support"))</x:f>
      </x:c>
      <x:c r="K489" t="str">
        <x:f>IF($A489="","",COUNTIFS(CaseLedger!$F:$F,$A489,CaseLedger!$B:$B,"TRUE",CaseLedger!$K:$K,"Community Support"))</x:f>
      </x:c>
      <x:c r="L489" t="str">
        <x:f>IF($A489="","",SUMIFS(CaseLedger!$M:$M,CaseLedger!$F:$F,$A489,CaseLedger!$B:$B,"TRUE"))</x:f>
      </x:c>
      <x:c r="M489" t="str">
        <x:f>IF($A489="","",SUMIFS(CaseLedger!$N:$N,CaseLedger!$F:$F,$A489,CaseLedger!$B:$B,"TRUE"))</x:f>
      </x:c>
      <x:c r="N489" t="str">
        <x:f>IF($A489="","",0)</x:f>
      </x:c>
      <x:c r="O489" t="str">
        <x:f>IF($A489="","",SUMIFS(CaseLedger!$O:$O,CaseLedger!$F:$F,$A489,CaseLedger!$B:$B,"TRUE"))</x:f>
      </x:c>
      <x:c r="P489" t="str">
        <x:f>IF($A489="","",IFERROR(VLOOKUP($A489,MonthlyFinance!$A:$G,4,FALSE),""))</x:f>
      </x:c>
      <x:c r="Q489" t="str">
        <x:f>IF($A489="","",IFERROR(VLOOKUP($A489,MonthlyFinance!$A:$G,5,FALSE),""))</x:f>
      </x:c>
      <x:c r="R489" t="str">
        <x:f>IF($A489="","",IFERROR(VLOOKUP($A489,MonthlyFinance!$A:$G,6,FALSE),""))</x:f>
      </x:c>
      <x:c r="S489" t="str">
        <x:f>IF($A489="","","Formula-linked from CaseLedger; finance fields from MonthlyFinance.")</x:f>
      </x:c>
      <x:c r="T489" t="str">
        <x:f>IF($A489="","","TRUE")</x:f>
      </x:c>
    </x:row>
    <x:row r="490">
      <x:c r="D490" t="str">
        <x:f>IF($A490="","",COUNTIFS(CaseLedger!$F:$F,$A490,CaseLedger!$B:$B,"TRUE"))</x:f>
      </x:c>
      <x:c r="E490" t="str">
        <x:f>IF($A490="","",COUNTIFS(CaseLedger!$F:$F,$A490,CaseLedger!$B:$B,"TRUE",CaseLedger!$P:$P,"Zakat"))</x:f>
      </x:c>
      <x:c r="F490" t="str">
        <x:f>IF($A490="","",COUNTIFS(CaseLedger!$F:$F,$A490,CaseLedger!$B:$B,"TRUE",CaseLedger!$P:$P,"Sadaqah"))</x:f>
      </x:c>
      <x:c r="G490" t="str">
        <x:f>IF($A490="","",COUNTIFS(CaseLedger!$F:$F,$A490,CaseLedger!$B:$B,"TRUE",CaseLedger!$P:$P,"Mixed"))</x:f>
      </x:c>
      <x:c r="H490" t="str">
        <x:f>IF($A490="","",COUNTIFS(CaseLedger!$F:$F,$A490,CaseLedger!$B:$B,"TRUE",CaseLedger!$K:$K,"Livelihood"))</x:f>
      </x:c>
      <x:c r="I490" t="str">
        <x:f>IF($A490="","",COUNTIFS(CaseLedger!$F:$F,$A490,CaseLedger!$B:$B,"TRUE",CaseLedger!$K:$K,"Skill Sponsorship"))</x:f>
      </x:c>
      <x:c r="J490" t="str">
        <x:f>IF($A490="","",COUNTIFS(CaseLedger!$F:$F,$A490,CaseLedger!$B:$B,"TRUE",CaseLedger!$K:$K,"Emergency Support"))</x:f>
      </x:c>
      <x:c r="K490" t="str">
        <x:f>IF($A490="","",COUNTIFS(CaseLedger!$F:$F,$A490,CaseLedger!$B:$B,"TRUE",CaseLedger!$K:$K,"Community Support"))</x:f>
      </x:c>
      <x:c r="L490" t="str">
        <x:f>IF($A490="","",SUMIFS(CaseLedger!$M:$M,CaseLedger!$F:$F,$A490,CaseLedger!$B:$B,"TRUE"))</x:f>
      </x:c>
      <x:c r="M490" t="str">
        <x:f>IF($A490="","",SUMIFS(CaseLedger!$N:$N,CaseLedger!$F:$F,$A490,CaseLedger!$B:$B,"TRUE"))</x:f>
      </x:c>
      <x:c r="N490" t="str">
        <x:f>IF($A490="","",0)</x:f>
      </x:c>
      <x:c r="O490" t="str">
        <x:f>IF($A490="","",SUMIFS(CaseLedger!$O:$O,CaseLedger!$F:$F,$A490,CaseLedger!$B:$B,"TRUE"))</x:f>
      </x:c>
      <x:c r="P490" t="str">
        <x:f>IF($A490="","",IFERROR(VLOOKUP($A490,MonthlyFinance!$A:$G,4,FALSE),""))</x:f>
      </x:c>
      <x:c r="Q490" t="str">
        <x:f>IF($A490="","",IFERROR(VLOOKUP($A490,MonthlyFinance!$A:$G,5,FALSE),""))</x:f>
      </x:c>
      <x:c r="R490" t="str">
        <x:f>IF($A490="","",IFERROR(VLOOKUP($A490,MonthlyFinance!$A:$G,6,FALSE),""))</x:f>
      </x:c>
      <x:c r="S490" t="str">
        <x:f>IF($A490="","","Formula-linked from CaseLedger; finance fields from MonthlyFinance.")</x:f>
      </x:c>
      <x:c r="T490" t="str">
        <x:f>IF($A490="","","TRUE")</x:f>
      </x:c>
    </x:row>
    <x:row r="491">
      <x:c r="D491" t="str">
        <x:f>IF($A491="","",COUNTIFS(CaseLedger!$F:$F,$A491,CaseLedger!$B:$B,"TRUE"))</x:f>
      </x:c>
      <x:c r="E491" t="str">
        <x:f>IF($A491="","",COUNTIFS(CaseLedger!$F:$F,$A491,CaseLedger!$B:$B,"TRUE",CaseLedger!$P:$P,"Zakat"))</x:f>
      </x:c>
      <x:c r="F491" t="str">
        <x:f>IF($A491="","",COUNTIFS(CaseLedger!$F:$F,$A491,CaseLedger!$B:$B,"TRUE",CaseLedger!$P:$P,"Sadaqah"))</x:f>
      </x:c>
      <x:c r="G491" t="str">
        <x:f>IF($A491="","",COUNTIFS(CaseLedger!$F:$F,$A491,CaseLedger!$B:$B,"TRUE",CaseLedger!$P:$P,"Mixed"))</x:f>
      </x:c>
      <x:c r="H491" t="str">
        <x:f>IF($A491="","",COUNTIFS(CaseLedger!$F:$F,$A491,CaseLedger!$B:$B,"TRUE",CaseLedger!$K:$K,"Livelihood"))</x:f>
      </x:c>
      <x:c r="I491" t="str">
        <x:f>IF($A491="","",COUNTIFS(CaseLedger!$F:$F,$A491,CaseLedger!$B:$B,"TRUE",CaseLedger!$K:$K,"Skill Sponsorship"))</x:f>
      </x:c>
      <x:c r="J491" t="str">
        <x:f>IF($A491="","",COUNTIFS(CaseLedger!$F:$F,$A491,CaseLedger!$B:$B,"TRUE",CaseLedger!$K:$K,"Emergency Support"))</x:f>
      </x:c>
      <x:c r="K491" t="str">
        <x:f>IF($A491="","",COUNTIFS(CaseLedger!$F:$F,$A491,CaseLedger!$B:$B,"TRUE",CaseLedger!$K:$K,"Community Support"))</x:f>
      </x:c>
      <x:c r="L491" t="str">
        <x:f>IF($A491="","",SUMIFS(CaseLedger!$M:$M,CaseLedger!$F:$F,$A491,CaseLedger!$B:$B,"TRUE"))</x:f>
      </x:c>
      <x:c r="M491" t="str">
        <x:f>IF($A491="","",SUMIFS(CaseLedger!$N:$N,CaseLedger!$F:$F,$A491,CaseLedger!$B:$B,"TRUE"))</x:f>
      </x:c>
      <x:c r="N491" t="str">
        <x:f>IF($A491="","",0)</x:f>
      </x:c>
      <x:c r="O491" t="str">
        <x:f>IF($A491="","",SUMIFS(CaseLedger!$O:$O,CaseLedger!$F:$F,$A491,CaseLedger!$B:$B,"TRUE"))</x:f>
      </x:c>
      <x:c r="P491" t="str">
        <x:f>IF($A491="","",IFERROR(VLOOKUP($A491,MonthlyFinance!$A:$G,4,FALSE),""))</x:f>
      </x:c>
      <x:c r="Q491" t="str">
        <x:f>IF($A491="","",IFERROR(VLOOKUP($A491,MonthlyFinance!$A:$G,5,FALSE),""))</x:f>
      </x:c>
      <x:c r="R491" t="str">
        <x:f>IF($A491="","",IFERROR(VLOOKUP($A491,MonthlyFinance!$A:$G,6,FALSE),""))</x:f>
      </x:c>
      <x:c r="S491" t="str">
        <x:f>IF($A491="","","Formula-linked from CaseLedger; finance fields from MonthlyFinance.")</x:f>
      </x:c>
      <x:c r="T491" t="str">
        <x:f>IF($A491="","","TRUE")</x:f>
      </x:c>
    </x:row>
    <x:row r="492">
      <x:c r="D492" t="str">
        <x:f>IF($A492="","",COUNTIFS(CaseLedger!$F:$F,$A492,CaseLedger!$B:$B,"TRUE"))</x:f>
      </x:c>
      <x:c r="E492" t="str">
        <x:f>IF($A492="","",COUNTIFS(CaseLedger!$F:$F,$A492,CaseLedger!$B:$B,"TRUE",CaseLedger!$P:$P,"Zakat"))</x:f>
      </x:c>
      <x:c r="F492" t="str">
        <x:f>IF($A492="","",COUNTIFS(CaseLedger!$F:$F,$A492,CaseLedger!$B:$B,"TRUE",CaseLedger!$P:$P,"Sadaqah"))</x:f>
      </x:c>
      <x:c r="G492" t="str">
        <x:f>IF($A492="","",COUNTIFS(CaseLedger!$F:$F,$A492,CaseLedger!$B:$B,"TRUE",CaseLedger!$P:$P,"Mixed"))</x:f>
      </x:c>
      <x:c r="H492" t="str">
        <x:f>IF($A492="","",COUNTIFS(CaseLedger!$F:$F,$A492,CaseLedger!$B:$B,"TRUE",CaseLedger!$K:$K,"Livelihood"))</x:f>
      </x:c>
      <x:c r="I492" t="str">
        <x:f>IF($A492="","",COUNTIFS(CaseLedger!$F:$F,$A492,CaseLedger!$B:$B,"TRUE",CaseLedger!$K:$K,"Skill Sponsorship"))</x:f>
      </x:c>
      <x:c r="J492" t="str">
        <x:f>IF($A492="","",COUNTIFS(CaseLedger!$F:$F,$A492,CaseLedger!$B:$B,"TRUE",CaseLedger!$K:$K,"Emergency Support"))</x:f>
      </x:c>
      <x:c r="K492" t="str">
        <x:f>IF($A492="","",COUNTIFS(CaseLedger!$F:$F,$A492,CaseLedger!$B:$B,"TRUE",CaseLedger!$K:$K,"Community Support"))</x:f>
      </x:c>
      <x:c r="L492" t="str">
        <x:f>IF($A492="","",SUMIFS(CaseLedger!$M:$M,CaseLedger!$F:$F,$A492,CaseLedger!$B:$B,"TRUE"))</x:f>
      </x:c>
      <x:c r="M492" t="str">
        <x:f>IF($A492="","",SUMIFS(CaseLedger!$N:$N,CaseLedger!$F:$F,$A492,CaseLedger!$B:$B,"TRUE"))</x:f>
      </x:c>
      <x:c r="N492" t="str">
        <x:f>IF($A492="","",0)</x:f>
      </x:c>
      <x:c r="O492" t="str">
        <x:f>IF($A492="","",SUMIFS(CaseLedger!$O:$O,CaseLedger!$F:$F,$A492,CaseLedger!$B:$B,"TRUE"))</x:f>
      </x:c>
      <x:c r="P492" t="str">
        <x:f>IF($A492="","",IFERROR(VLOOKUP($A492,MonthlyFinance!$A:$G,4,FALSE),""))</x:f>
      </x:c>
      <x:c r="Q492" t="str">
        <x:f>IF($A492="","",IFERROR(VLOOKUP($A492,MonthlyFinance!$A:$G,5,FALSE),""))</x:f>
      </x:c>
      <x:c r="R492" t="str">
        <x:f>IF($A492="","",IFERROR(VLOOKUP($A492,MonthlyFinance!$A:$G,6,FALSE),""))</x:f>
      </x:c>
      <x:c r="S492" t="str">
        <x:f>IF($A492="","","Formula-linked from CaseLedger; finance fields from MonthlyFinance.")</x:f>
      </x:c>
      <x:c r="T492" t="str">
        <x:f>IF($A492="","","TRUE")</x:f>
      </x:c>
    </x:row>
    <x:row r="493">
      <x:c r="D493" t="str">
        <x:f>IF($A493="","",COUNTIFS(CaseLedger!$F:$F,$A493,CaseLedger!$B:$B,"TRUE"))</x:f>
      </x:c>
      <x:c r="E493" t="str">
        <x:f>IF($A493="","",COUNTIFS(CaseLedger!$F:$F,$A493,CaseLedger!$B:$B,"TRUE",CaseLedger!$P:$P,"Zakat"))</x:f>
      </x:c>
      <x:c r="F493" t="str">
        <x:f>IF($A493="","",COUNTIFS(CaseLedger!$F:$F,$A493,CaseLedger!$B:$B,"TRUE",CaseLedger!$P:$P,"Sadaqah"))</x:f>
      </x:c>
      <x:c r="G493" t="str">
        <x:f>IF($A493="","",COUNTIFS(CaseLedger!$F:$F,$A493,CaseLedger!$B:$B,"TRUE",CaseLedger!$P:$P,"Mixed"))</x:f>
      </x:c>
      <x:c r="H493" t="str">
        <x:f>IF($A493="","",COUNTIFS(CaseLedger!$F:$F,$A493,CaseLedger!$B:$B,"TRUE",CaseLedger!$K:$K,"Livelihood"))</x:f>
      </x:c>
      <x:c r="I493" t="str">
        <x:f>IF($A493="","",COUNTIFS(CaseLedger!$F:$F,$A493,CaseLedger!$B:$B,"TRUE",CaseLedger!$K:$K,"Skill Sponsorship"))</x:f>
      </x:c>
      <x:c r="J493" t="str">
        <x:f>IF($A493="","",COUNTIFS(CaseLedger!$F:$F,$A493,CaseLedger!$B:$B,"TRUE",CaseLedger!$K:$K,"Emergency Support"))</x:f>
      </x:c>
      <x:c r="K493" t="str">
        <x:f>IF($A493="","",COUNTIFS(CaseLedger!$F:$F,$A493,CaseLedger!$B:$B,"TRUE",CaseLedger!$K:$K,"Community Support"))</x:f>
      </x:c>
      <x:c r="L493" t="str">
        <x:f>IF($A493="","",SUMIFS(CaseLedger!$M:$M,CaseLedger!$F:$F,$A493,CaseLedger!$B:$B,"TRUE"))</x:f>
      </x:c>
      <x:c r="M493" t="str">
        <x:f>IF($A493="","",SUMIFS(CaseLedger!$N:$N,CaseLedger!$F:$F,$A493,CaseLedger!$B:$B,"TRUE"))</x:f>
      </x:c>
      <x:c r="N493" t="str">
        <x:f>IF($A493="","",0)</x:f>
      </x:c>
      <x:c r="O493" t="str">
        <x:f>IF($A493="","",SUMIFS(CaseLedger!$O:$O,CaseLedger!$F:$F,$A493,CaseLedger!$B:$B,"TRUE"))</x:f>
      </x:c>
      <x:c r="P493" t="str">
        <x:f>IF($A493="","",IFERROR(VLOOKUP($A493,MonthlyFinance!$A:$G,4,FALSE),""))</x:f>
      </x:c>
      <x:c r="Q493" t="str">
        <x:f>IF($A493="","",IFERROR(VLOOKUP($A493,MonthlyFinance!$A:$G,5,FALSE),""))</x:f>
      </x:c>
      <x:c r="R493" t="str">
        <x:f>IF($A493="","",IFERROR(VLOOKUP($A493,MonthlyFinance!$A:$G,6,FALSE),""))</x:f>
      </x:c>
      <x:c r="S493" t="str">
        <x:f>IF($A493="","","Formula-linked from CaseLedger; finance fields from MonthlyFinance.")</x:f>
      </x:c>
      <x:c r="T493" t="str">
        <x:f>IF($A493="","","TRUE")</x:f>
      </x:c>
    </x:row>
    <x:row r="494">
      <x:c r="D494" t="str">
        <x:f>IF($A494="","",COUNTIFS(CaseLedger!$F:$F,$A494,CaseLedger!$B:$B,"TRUE"))</x:f>
      </x:c>
      <x:c r="E494" t="str">
        <x:f>IF($A494="","",COUNTIFS(CaseLedger!$F:$F,$A494,CaseLedger!$B:$B,"TRUE",CaseLedger!$P:$P,"Zakat"))</x:f>
      </x:c>
      <x:c r="F494" t="str">
        <x:f>IF($A494="","",COUNTIFS(CaseLedger!$F:$F,$A494,CaseLedger!$B:$B,"TRUE",CaseLedger!$P:$P,"Sadaqah"))</x:f>
      </x:c>
      <x:c r="G494" t="str">
        <x:f>IF($A494="","",COUNTIFS(CaseLedger!$F:$F,$A494,CaseLedger!$B:$B,"TRUE",CaseLedger!$P:$P,"Mixed"))</x:f>
      </x:c>
      <x:c r="H494" t="str">
        <x:f>IF($A494="","",COUNTIFS(CaseLedger!$F:$F,$A494,CaseLedger!$B:$B,"TRUE",CaseLedger!$K:$K,"Livelihood"))</x:f>
      </x:c>
      <x:c r="I494" t="str">
        <x:f>IF($A494="","",COUNTIFS(CaseLedger!$F:$F,$A494,CaseLedger!$B:$B,"TRUE",CaseLedger!$K:$K,"Skill Sponsorship"))</x:f>
      </x:c>
      <x:c r="J494" t="str">
        <x:f>IF($A494="","",COUNTIFS(CaseLedger!$F:$F,$A494,CaseLedger!$B:$B,"TRUE",CaseLedger!$K:$K,"Emergency Support"))</x:f>
      </x:c>
      <x:c r="K494" t="str">
        <x:f>IF($A494="","",COUNTIFS(CaseLedger!$F:$F,$A494,CaseLedger!$B:$B,"TRUE",CaseLedger!$K:$K,"Community Support"))</x:f>
      </x:c>
      <x:c r="L494" t="str">
        <x:f>IF($A494="","",SUMIFS(CaseLedger!$M:$M,CaseLedger!$F:$F,$A494,CaseLedger!$B:$B,"TRUE"))</x:f>
      </x:c>
      <x:c r="M494" t="str">
        <x:f>IF($A494="","",SUMIFS(CaseLedger!$N:$N,CaseLedger!$F:$F,$A494,CaseLedger!$B:$B,"TRUE"))</x:f>
      </x:c>
      <x:c r="N494" t="str">
        <x:f>IF($A494="","",0)</x:f>
      </x:c>
      <x:c r="O494" t="str">
        <x:f>IF($A494="","",SUMIFS(CaseLedger!$O:$O,CaseLedger!$F:$F,$A494,CaseLedger!$B:$B,"TRUE"))</x:f>
      </x:c>
      <x:c r="P494" t="str">
        <x:f>IF($A494="","",IFERROR(VLOOKUP($A494,MonthlyFinance!$A:$G,4,FALSE),""))</x:f>
      </x:c>
      <x:c r="Q494" t="str">
        <x:f>IF($A494="","",IFERROR(VLOOKUP($A494,MonthlyFinance!$A:$G,5,FALSE),""))</x:f>
      </x:c>
      <x:c r="R494" t="str">
        <x:f>IF($A494="","",IFERROR(VLOOKUP($A494,MonthlyFinance!$A:$G,6,FALSE),""))</x:f>
      </x:c>
      <x:c r="S494" t="str">
        <x:f>IF($A494="","","Formula-linked from CaseLedger; finance fields from MonthlyFinance.")</x:f>
      </x:c>
      <x:c r="T494" t="str">
        <x:f>IF($A494="","","TRUE")</x:f>
      </x:c>
    </x:row>
    <x:row r="495">
      <x:c r="D495" t="str">
        <x:f>IF($A495="","",COUNTIFS(CaseLedger!$F:$F,$A495,CaseLedger!$B:$B,"TRUE"))</x:f>
      </x:c>
      <x:c r="E495" t="str">
        <x:f>IF($A495="","",COUNTIFS(CaseLedger!$F:$F,$A495,CaseLedger!$B:$B,"TRUE",CaseLedger!$P:$P,"Zakat"))</x:f>
      </x:c>
      <x:c r="F495" t="str">
        <x:f>IF($A495="","",COUNTIFS(CaseLedger!$F:$F,$A495,CaseLedger!$B:$B,"TRUE",CaseLedger!$P:$P,"Sadaqah"))</x:f>
      </x:c>
      <x:c r="G495" t="str">
        <x:f>IF($A495="","",COUNTIFS(CaseLedger!$F:$F,$A495,CaseLedger!$B:$B,"TRUE",CaseLedger!$P:$P,"Mixed"))</x:f>
      </x:c>
      <x:c r="H495" t="str">
        <x:f>IF($A495="","",COUNTIFS(CaseLedger!$F:$F,$A495,CaseLedger!$B:$B,"TRUE",CaseLedger!$K:$K,"Livelihood"))</x:f>
      </x:c>
      <x:c r="I495" t="str">
        <x:f>IF($A495="","",COUNTIFS(CaseLedger!$F:$F,$A495,CaseLedger!$B:$B,"TRUE",CaseLedger!$K:$K,"Skill Sponsorship"))</x:f>
      </x:c>
      <x:c r="J495" t="str">
        <x:f>IF($A495="","",COUNTIFS(CaseLedger!$F:$F,$A495,CaseLedger!$B:$B,"TRUE",CaseLedger!$K:$K,"Emergency Support"))</x:f>
      </x:c>
      <x:c r="K495" t="str">
        <x:f>IF($A495="","",COUNTIFS(CaseLedger!$F:$F,$A495,CaseLedger!$B:$B,"TRUE",CaseLedger!$K:$K,"Community Support"))</x:f>
      </x:c>
      <x:c r="L495" t="str">
        <x:f>IF($A495="","",SUMIFS(CaseLedger!$M:$M,CaseLedger!$F:$F,$A495,CaseLedger!$B:$B,"TRUE"))</x:f>
      </x:c>
      <x:c r="M495" t="str">
        <x:f>IF($A495="","",SUMIFS(CaseLedger!$N:$N,CaseLedger!$F:$F,$A495,CaseLedger!$B:$B,"TRUE"))</x:f>
      </x:c>
      <x:c r="N495" t="str">
        <x:f>IF($A495="","",0)</x:f>
      </x:c>
      <x:c r="O495" t="str">
        <x:f>IF($A495="","",SUMIFS(CaseLedger!$O:$O,CaseLedger!$F:$F,$A495,CaseLedger!$B:$B,"TRUE"))</x:f>
      </x:c>
      <x:c r="P495" t="str">
        <x:f>IF($A495="","",IFERROR(VLOOKUP($A495,MonthlyFinance!$A:$G,4,FALSE),""))</x:f>
      </x:c>
      <x:c r="Q495" t="str">
        <x:f>IF($A495="","",IFERROR(VLOOKUP($A495,MonthlyFinance!$A:$G,5,FALSE),""))</x:f>
      </x:c>
      <x:c r="R495" t="str">
        <x:f>IF($A495="","",IFERROR(VLOOKUP($A495,MonthlyFinance!$A:$G,6,FALSE),""))</x:f>
      </x:c>
      <x:c r="S495" t="str">
        <x:f>IF($A495="","","Formula-linked from CaseLedger; finance fields from MonthlyFinance.")</x:f>
      </x:c>
      <x:c r="T495" t="str">
        <x:f>IF($A495="","","TRUE")</x:f>
      </x:c>
    </x:row>
    <x:row r="496">
      <x:c r="D496" t="str">
        <x:f>IF($A496="","",COUNTIFS(CaseLedger!$F:$F,$A496,CaseLedger!$B:$B,"TRUE"))</x:f>
      </x:c>
      <x:c r="E496" t="str">
        <x:f>IF($A496="","",COUNTIFS(CaseLedger!$F:$F,$A496,CaseLedger!$B:$B,"TRUE",CaseLedger!$P:$P,"Zakat"))</x:f>
      </x:c>
      <x:c r="F496" t="str">
        <x:f>IF($A496="","",COUNTIFS(CaseLedger!$F:$F,$A496,CaseLedger!$B:$B,"TRUE",CaseLedger!$P:$P,"Sadaqah"))</x:f>
      </x:c>
      <x:c r="G496" t="str">
        <x:f>IF($A496="","",COUNTIFS(CaseLedger!$F:$F,$A496,CaseLedger!$B:$B,"TRUE",CaseLedger!$P:$P,"Mixed"))</x:f>
      </x:c>
      <x:c r="H496" t="str">
        <x:f>IF($A496="","",COUNTIFS(CaseLedger!$F:$F,$A496,CaseLedger!$B:$B,"TRUE",CaseLedger!$K:$K,"Livelihood"))</x:f>
      </x:c>
      <x:c r="I496" t="str">
        <x:f>IF($A496="","",COUNTIFS(CaseLedger!$F:$F,$A496,CaseLedger!$B:$B,"TRUE",CaseLedger!$K:$K,"Skill Sponsorship"))</x:f>
      </x:c>
      <x:c r="J496" t="str">
        <x:f>IF($A496="","",COUNTIFS(CaseLedger!$F:$F,$A496,CaseLedger!$B:$B,"TRUE",CaseLedger!$K:$K,"Emergency Support"))</x:f>
      </x:c>
      <x:c r="K496" t="str">
        <x:f>IF($A496="","",COUNTIFS(CaseLedger!$F:$F,$A496,CaseLedger!$B:$B,"TRUE",CaseLedger!$K:$K,"Community Support"))</x:f>
      </x:c>
      <x:c r="L496" t="str">
        <x:f>IF($A496="","",SUMIFS(CaseLedger!$M:$M,CaseLedger!$F:$F,$A496,CaseLedger!$B:$B,"TRUE"))</x:f>
      </x:c>
      <x:c r="M496" t="str">
        <x:f>IF($A496="","",SUMIFS(CaseLedger!$N:$N,CaseLedger!$F:$F,$A496,CaseLedger!$B:$B,"TRUE"))</x:f>
      </x:c>
      <x:c r="N496" t="str">
        <x:f>IF($A496="","",0)</x:f>
      </x:c>
      <x:c r="O496" t="str">
        <x:f>IF($A496="","",SUMIFS(CaseLedger!$O:$O,CaseLedger!$F:$F,$A496,CaseLedger!$B:$B,"TRUE"))</x:f>
      </x:c>
      <x:c r="P496" t="str">
        <x:f>IF($A496="","",IFERROR(VLOOKUP($A496,MonthlyFinance!$A:$G,4,FALSE),""))</x:f>
      </x:c>
      <x:c r="Q496" t="str">
        <x:f>IF($A496="","",IFERROR(VLOOKUP($A496,MonthlyFinance!$A:$G,5,FALSE),""))</x:f>
      </x:c>
      <x:c r="R496" t="str">
        <x:f>IF($A496="","",IFERROR(VLOOKUP($A496,MonthlyFinance!$A:$G,6,FALSE),""))</x:f>
      </x:c>
      <x:c r="S496" t="str">
        <x:f>IF($A496="","","Formula-linked from CaseLedger; finance fields from MonthlyFinance.")</x:f>
      </x:c>
      <x:c r="T496" t="str">
        <x:f>IF($A496="","","TRUE")</x:f>
      </x:c>
    </x:row>
    <x:row r="497">
      <x:c r="D497" t="str">
        <x:f>IF($A497="","",COUNTIFS(CaseLedger!$F:$F,$A497,CaseLedger!$B:$B,"TRUE"))</x:f>
      </x:c>
      <x:c r="E497" t="str">
        <x:f>IF($A497="","",COUNTIFS(CaseLedger!$F:$F,$A497,CaseLedger!$B:$B,"TRUE",CaseLedger!$P:$P,"Zakat"))</x:f>
      </x:c>
      <x:c r="F497" t="str">
        <x:f>IF($A497="","",COUNTIFS(CaseLedger!$F:$F,$A497,CaseLedger!$B:$B,"TRUE",CaseLedger!$P:$P,"Sadaqah"))</x:f>
      </x:c>
      <x:c r="G497" t="str">
        <x:f>IF($A497="","",COUNTIFS(CaseLedger!$F:$F,$A497,CaseLedger!$B:$B,"TRUE",CaseLedger!$P:$P,"Mixed"))</x:f>
      </x:c>
      <x:c r="H497" t="str">
        <x:f>IF($A497="","",COUNTIFS(CaseLedger!$F:$F,$A497,CaseLedger!$B:$B,"TRUE",CaseLedger!$K:$K,"Livelihood"))</x:f>
      </x:c>
      <x:c r="I497" t="str">
        <x:f>IF($A497="","",COUNTIFS(CaseLedger!$F:$F,$A497,CaseLedger!$B:$B,"TRUE",CaseLedger!$K:$K,"Skill Sponsorship"))</x:f>
      </x:c>
      <x:c r="J497" t="str">
        <x:f>IF($A497="","",COUNTIFS(CaseLedger!$F:$F,$A497,CaseLedger!$B:$B,"TRUE",CaseLedger!$K:$K,"Emergency Support"))</x:f>
      </x:c>
      <x:c r="K497" t="str">
        <x:f>IF($A497="","",COUNTIFS(CaseLedger!$F:$F,$A497,CaseLedger!$B:$B,"TRUE",CaseLedger!$K:$K,"Community Support"))</x:f>
      </x:c>
      <x:c r="L497" t="str">
        <x:f>IF($A497="","",SUMIFS(CaseLedger!$M:$M,CaseLedger!$F:$F,$A497,CaseLedger!$B:$B,"TRUE"))</x:f>
      </x:c>
      <x:c r="M497" t="str">
        <x:f>IF($A497="","",SUMIFS(CaseLedger!$N:$N,CaseLedger!$F:$F,$A497,CaseLedger!$B:$B,"TRUE"))</x:f>
      </x:c>
      <x:c r="N497" t="str">
        <x:f>IF($A497="","",0)</x:f>
      </x:c>
      <x:c r="O497" t="str">
        <x:f>IF($A497="","",SUMIFS(CaseLedger!$O:$O,CaseLedger!$F:$F,$A497,CaseLedger!$B:$B,"TRUE"))</x:f>
      </x:c>
      <x:c r="P497" t="str">
        <x:f>IF($A497="","",IFERROR(VLOOKUP($A497,MonthlyFinance!$A:$G,4,FALSE),""))</x:f>
      </x:c>
      <x:c r="Q497" t="str">
        <x:f>IF($A497="","",IFERROR(VLOOKUP($A497,MonthlyFinance!$A:$G,5,FALSE),""))</x:f>
      </x:c>
      <x:c r="R497" t="str">
        <x:f>IF($A497="","",IFERROR(VLOOKUP($A497,MonthlyFinance!$A:$G,6,FALSE),""))</x:f>
      </x:c>
      <x:c r="S497" t="str">
        <x:f>IF($A497="","","Formula-linked from CaseLedger; finance fields from MonthlyFinance.")</x:f>
      </x:c>
      <x:c r="T497" t="str">
        <x:f>IF($A497="","","TRUE")</x:f>
      </x:c>
    </x:row>
    <x:row r="498">
      <x:c r="D498" t="str">
        <x:f>IF($A498="","",COUNTIFS(CaseLedger!$F:$F,$A498,CaseLedger!$B:$B,"TRUE"))</x:f>
      </x:c>
      <x:c r="E498" t="str">
        <x:f>IF($A498="","",COUNTIFS(CaseLedger!$F:$F,$A498,CaseLedger!$B:$B,"TRUE",CaseLedger!$P:$P,"Zakat"))</x:f>
      </x:c>
      <x:c r="F498" t="str">
        <x:f>IF($A498="","",COUNTIFS(CaseLedger!$F:$F,$A498,CaseLedger!$B:$B,"TRUE",CaseLedger!$P:$P,"Sadaqah"))</x:f>
      </x:c>
      <x:c r="G498" t="str">
        <x:f>IF($A498="","",COUNTIFS(CaseLedger!$F:$F,$A498,CaseLedger!$B:$B,"TRUE",CaseLedger!$P:$P,"Mixed"))</x:f>
      </x:c>
      <x:c r="H498" t="str">
        <x:f>IF($A498="","",COUNTIFS(CaseLedger!$F:$F,$A498,CaseLedger!$B:$B,"TRUE",CaseLedger!$K:$K,"Livelihood"))</x:f>
      </x:c>
      <x:c r="I498" t="str">
        <x:f>IF($A498="","",COUNTIFS(CaseLedger!$F:$F,$A498,CaseLedger!$B:$B,"TRUE",CaseLedger!$K:$K,"Skill Sponsorship"))</x:f>
      </x:c>
      <x:c r="J498" t="str">
        <x:f>IF($A498="","",COUNTIFS(CaseLedger!$F:$F,$A498,CaseLedger!$B:$B,"TRUE",CaseLedger!$K:$K,"Emergency Support"))</x:f>
      </x:c>
      <x:c r="K498" t="str">
        <x:f>IF($A498="","",COUNTIFS(CaseLedger!$F:$F,$A498,CaseLedger!$B:$B,"TRUE",CaseLedger!$K:$K,"Community Support"))</x:f>
      </x:c>
      <x:c r="L498" t="str">
        <x:f>IF($A498="","",SUMIFS(CaseLedger!$M:$M,CaseLedger!$F:$F,$A498,CaseLedger!$B:$B,"TRUE"))</x:f>
      </x:c>
      <x:c r="M498" t="str">
        <x:f>IF($A498="","",SUMIFS(CaseLedger!$N:$N,CaseLedger!$F:$F,$A498,CaseLedger!$B:$B,"TRUE"))</x:f>
      </x:c>
      <x:c r="N498" t="str">
        <x:f>IF($A498="","",0)</x:f>
      </x:c>
      <x:c r="O498" t="str">
        <x:f>IF($A498="","",SUMIFS(CaseLedger!$O:$O,CaseLedger!$F:$F,$A498,CaseLedger!$B:$B,"TRUE"))</x:f>
      </x:c>
      <x:c r="P498" t="str">
        <x:f>IF($A498="","",IFERROR(VLOOKUP($A498,MonthlyFinance!$A:$G,4,FALSE),""))</x:f>
      </x:c>
      <x:c r="Q498" t="str">
        <x:f>IF($A498="","",IFERROR(VLOOKUP($A498,MonthlyFinance!$A:$G,5,FALSE),""))</x:f>
      </x:c>
      <x:c r="R498" t="str">
        <x:f>IF($A498="","",IFERROR(VLOOKUP($A498,MonthlyFinance!$A:$G,6,FALSE),""))</x:f>
      </x:c>
      <x:c r="S498" t="str">
        <x:f>IF($A498="","","Formula-linked from CaseLedger; finance fields from MonthlyFinance.")</x:f>
      </x:c>
      <x:c r="T498" t="str">
        <x:f>IF($A498="","","TRUE")</x:f>
      </x:c>
    </x:row>
    <x:row r="499">
      <x:c r="D499" t="str">
        <x:f>IF($A499="","",COUNTIFS(CaseLedger!$F:$F,$A499,CaseLedger!$B:$B,"TRUE"))</x:f>
      </x:c>
      <x:c r="E499" t="str">
        <x:f>IF($A499="","",COUNTIFS(CaseLedger!$F:$F,$A499,CaseLedger!$B:$B,"TRUE",CaseLedger!$P:$P,"Zakat"))</x:f>
      </x:c>
      <x:c r="F499" t="str">
        <x:f>IF($A499="","",COUNTIFS(CaseLedger!$F:$F,$A499,CaseLedger!$B:$B,"TRUE",CaseLedger!$P:$P,"Sadaqah"))</x:f>
      </x:c>
      <x:c r="G499" t="str">
        <x:f>IF($A499="","",COUNTIFS(CaseLedger!$F:$F,$A499,CaseLedger!$B:$B,"TRUE",CaseLedger!$P:$P,"Mixed"))</x:f>
      </x:c>
      <x:c r="H499" t="str">
        <x:f>IF($A499="","",COUNTIFS(CaseLedger!$F:$F,$A499,CaseLedger!$B:$B,"TRUE",CaseLedger!$K:$K,"Livelihood"))</x:f>
      </x:c>
      <x:c r="I499" t="str">
        <x:f>IF($A499="","",COUNTIFS(CaseLedger!$F:$F,$A499,CaseLedger!$B:$B,"TRUE",CaseLedger!$K:$K,"Skill Sponsorship"))</x:f>
      </x:c>
      <x:c r="J499" t="str">
        <x:f>IF($A499="","",COUNTIFS(CaseLedger!$F:$F,$A499,CaseLedger!$B:$B,"TRUE",CaseLedger!$K:$K,"Emergency Support"))</x:f>
      </x:c>
      <x:c r="K499" t="str">
        <x:f>IF($A499="","",COUNTIFS(CaseLedger!$F:$F,$A499,CaseLedger!$B:$B,"TRUE",CaseLedger!$K:$K,"Community Support"))</x:f>
      </x:c>
      <x:c r="L499" t="str">
        <x:f>IF($A499="","",SUMIFS(CaseLedger!$M:$M,CaseLedger!$F:$F,$A499,CaseLedger!$B:$B,"TRUE"))</x:f>
      </x:c>
      <x:c r="M499" t="str">
        <x:f>IF($A499="","",SUMIFS(CaseLedger!$N:$N,CaseLedger!$F:$F,$A499,CaseLedger!$B:$B,"TRUE"))</x:f>
      </x:c>
      <x:c r="N499" t="str">
        <x:f>IF($A499="","",0)</x:f>
      </x:c>
      <x:c r="O499" t="str">
        <x:f>IF($A499="","",SUMIFS(CaseLedger!$O:$O,CaseLedger!$F:$F,$A499,CaseLedger!$B:$B,"TRUE"))</x:f>
      </x:c>
      <x:c r="P499" t="str">
        <x:f>IF($A499="","",IFERROR(VLOOKUP($A499,MonthlyFinance!$A:$G,4,FALSE),""))</x:f>
      </x:c>
      <x:c r="Q499" t="str">
        <x:f>IF($A499="","",IFERROR(VLOOKUP($A499,MonthlyFinance!$A:$G,5,FALSE),""))</x:f>
      </x:c>
      <x:c r="R499" t="str">
        <x:f>IF($A499="","",IFERROR(VLOOKUP($A499,MonthlyFinance!$A:$G,6,FALSE),""))</x:f>
      </x:c>
      <x:c r="S499" t="str">
        <x:f>IF($A499="","","Formula-linked from CaseLedger; finance fields from MonthlyFinance.")</x:f>
      </x:c>
      <x:c r="T499" t="str">
        <x:f>IF($A499="","","TRUE")</x:f>
      </x:c>
    </x:row>
    <x:row r="500">
      <x:c r="D500" t="str">
        <x:f>IF($A500="","",COUNTIFS(CaseLedger!$F:$F,$A500,CaseLedger!$B:$B,"TRUE"))</x:f>
      </x:c>
      <x:c r="E500" t="str">
        <x:f>IF($A500="","",COUNTIFS(CaseLedger!$F:$F,$A500,CaseLedger!$B:$B,"TRUE",CaseLedger!$P:$P,"Zakat"))</x:f>
      </x:c>
      <x:c r="F500" t="str">
        <x:f>IF($A500="","",COUNTIFS(CaseLedger!$F:$F,$A500,CaseLedger!$B:$B,"TRUE",CaseLedger!$P:$P,"Sadaqah"))</x:f>
      </x:c>
      <x:c r="G500" t="str">
        <x:f>IF($A500="","",COUNTIFS(CaseLedger!$F:$F,$A500,CaseLedger!$B:$B,"TRUE",CaseLedger!$P:$P,"Mixed"))</x:f>
      </x:c>
      <x:c r="H500" t="str">
        <x:f>IF($A500="","",COUNTIFS(CaseLedger!$F:$F,$A500,CaseLedger!$B:$B,"TRUE",CaseLedger!$K:$K,"Livelihood"))</x:f>
      </x:c>
      <x:c r="I500" t="str">
        <x:f>IF($A500="","",COUNTIFS(CaseLedger!$F:$F,$A500,CaseLedger!$B:$B,"TRUE",CaseLedger!$K:$K,"Skill Sponsorship"))</x:f>
      </x:c>
      <x:c r="J500" t="str">
        <x:f>IF($A500="","",COUNTIFS(CaseLedger!$F:$F,$A500,CaseLedger!$B:$B,"TRUE",CaseLedger!$K:$K,"Emergency Support"))</x:f>
      </x:c>
      <x:c r="K500" t="str">
        <x:f>IF($A500="","",COUNTIFS(CaseLedger!$F:$F,$A500,CaseLedger!$B:$B,"TRUE",CaseLedger!$K:$K,"Community Support"))</x:f>
      </x:c>
      <x:c r="L500" t="str">
        <x:f>IF($A500="","",SUMIFS(CaseLedger!$M:$M,CaseLedger!$F:$F,$A500,CaseLedger!$B:$B,"TRUE"))</x:f>
      </x:c>
      <x:c r="M500" t="str">
        <x:f>IF($A500="","",SUMIFS(CaseLedger!$N:$N,CaseLedger!$F:$F,$A500,CaseLedger!$B:$B,"TRUE"))</x:f>
      </x:c>
      <x:c r="N500" t="str">
        <x:f>IF($A500="","",0)</x:f>
      </x:c>
      <x:c r="O500" t="str">
        <x:f>IF($A500="","",SUMIFS(CaseLedger!$O:$O,CaseLedger!$F:$F,$A500,CaseLedger!$B:$B,"TRUE"))</x:f>
      </x:c>
      <x:c r="P500" t="str">
        <x:f>IF($A500="","",IFERROR(VLOOKUP($A500,MonthlyFinance!$A:$G,4,FALSE),""))</x:f>
      </x:c>
      <x:c r="Q500" t="str">
        <x:f>IF($A500="","",IFERROR(VLOOKUP($A500,MonthlyFinance!$A:$G,5,FALSE),""))</x:f>
      </x:c>
      <x:c r="R500" t="str">
        <x:f>IF($A500="","",IFERROR(VLOOKUP($A500,MonthlyFinance!$A:$G,6,FALSE),""))</x:f>
      </x:c>
      <x:c r="S500" t="str">
        <x:f>IF($A500="","","Formula-linked from CaseLedger; finance fields from MonthlyFinance.")</x:f>
      </x:c>
      <x:c r="T500" t="str">
        <x:f>IF($A500="","","TRUE")</x:f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30" hidden="0" customWidth="1"/>
  </x:cols>
  <x:sheetData>
    <x:row r="1" ht="24" customHeight="1">
      <x:c r="A1" s="32" t="str">
        <x:v>support_type</x:v>
      </x:c>
      <x:c r="B1" s="32" t="str">
        <x:v>cases</x:v>
      </x:c>
      <x:c r="C1" s="34" t="str">
        <x:v>total_amount</x:v>
      </x:c>
      <x:c r="D1" s="34" t="str">
        <x:v>zakat_amount</x:v>
      </x:c>
      <x:c r="E1" s="34" t="str">
        <x:v>sadaqah_amount</x:v>
      </x:c>
      <x:c r="F1" s="32" t="str">
        <x:v>mixed_cases</x:v>
      </x:c>
      <x:c r="G1" s="32" t="str">
        <x:v>public_label</x:v>
      </x:c>
    </x:row>
    <x:row r="2">
      <x:c r="A2" t="str">
        <x:f>IFERROR(SORT(UNIQUE(FILTER(CaseLedger!L2:L,CaseLedger!B2:B="TRUE",CaseLedger!L2:L&lt;&gt;""))),"")</x:f>
      </x:c>
      <x:c r="B2" t="str">
        <x:f>IF($A2="","",COUNTIFS(CaseLedger!$L:$L,$A2,CaseLedger!$B:$B,"TRUE"))</x:f>
      </x:c>
      <x:c r="C2" t="str">
        <x:f>IF($A2="","",SUMIFS(CaseLedger!$O:$O,CaseLedger!$L:$L,$A2,CaseLedger!$B:$B,"TRUE"))</x:f>
      </x:c>
      <x:c r="D2" t="str">
        <x:f>IF($A2="","",SUMIFS(CaseLedger!$M:$M,CaseLedger!$L:$L,$A2,CaseLedger!$B:$B,"TRUE"))</x:f>
      </x:c>
      <x:c r="E2" t="str">
        <x:f>IF($A2="","",SUMIFS(CaseLedger!$N:$N,CaseLedger!$L:$L,$A2,CaseLedger!$B:$B,"TRUE"))</x:f>
      </x:c>
      <x:c r="F2" t="str">
        <x:f>IF($A2="","",COUNTIFS(CaseLedger!$L:$L,$A2,CaseLedger!$B:$B,"TRUE",CaseLedger!$P:$P,"Mixed"))</x:f>
      </x:c>
      <x:c r="G2" t="str">
        <x:f>IF($A2="","",$A2)</x:f>
      </x:c>
    </x:row>
    <x:row r="3">
      <x:c r="B3" t="str">
        <x:f>IF($A3="","",COUNTIFS(CaseLedger!$L:$L,$A3,CaseLedger!$B:$B,"TRUE"))</x:f>
      </x:c>
      <x:c r="C3" t="str">
        <x:f>IF($A3="","",SUMIFS(CaseLedger!$O:$O,CaseLedger!$L:$L,$A3,CaseLedger!$B:$B,"TRUE"))</x:f>
      </x:c>
      <x:c r="D3" t="str">
        <x:f>IF($A3="","",SUMIFS(CaseLedger!$M:$M,CaseLedger!$L:$L,$A3,CaseLedger!$B:$B,"TRUE"))</x:f>
      </x:c>
      <x:c r="E3" t="str">
        <x:f>IF($A3="","",SUMIFS(CaseLedger!$N:$N,CaseLedger!$L:$L,$A3,CaseLedger!$B:$B,"TRUE"))</x:f>
      </x:c>
      <x:c r="F3" t="str">
        <x:f>IF($A3="","",COUNTIFS(CaseLedger!$L:$L,$A3,CaseLedger!$B:$B,"TRUE",CaseLedger!$P:$P,"Mixed"))</x:f>
      </x:c>
      <x:c r="G3" t="str">
        <x:f>IF($A3="","",$A3)</x:f>
      </x:c>
    </x:row>
    <x:row r="4">
      <x:c r="B4" t="str">
        <x:f>IF($A4="","",COUNTIFS(CaseLedger!$L:$L,$A4,CaseLedger!$B:$B,"TRUE"))</x:f>
      </x:c>
      <x:c r="C4" t="str">
        <x:f>IF($A4="","",SUMIFS(CaseLedger!$O:$O,CaseLedger!$L:$L,$A4,CaseLedger!$B:$B,"TRUE"))</x:f>
      </x:c>
      <x:c r="D4" t="str">
        <x:f>IF($A4="","",SUMIFS(CaseLedger!$M:$M,CaseLedger!$L:$L,$A4,CaseLedger!$B:$B,"TRUE"))</x:f>
      </x:c>
      <x:c r="E4" t="str">
        <x:f>IF($A4="","",SUMIFS(CaseLedger!$N:$N,CaseLedger!$L:$L,$A4,CaseLedger!$B:$B,"TRUE"))</x:f>
      </x:c>
      <x:c r="F4" t="str">
        <x:f>IF($A4="","",COUNTIFS(CaseLedger!$L:$L,$A4,CaseLedger!$B:$B,"TRUE",CaseLedger!$P:$P,"Mixed"))</x:f>
      </x:c>
      <x:c r="G4" t="str">
        <x:f>IF($A4="","",$A4)</x:f>
      </x:c>
    </x:row>
    <x:row r="5">
      <x:c r="B5" t="str">
        <x:f>IF($A5="","",COUNTIFS(CaseLedger!$L:$L,$A5,CaseLedger!$B:$B,"TRUE"))</x:f>
      </x:c>
      <x:c r="C5" t="str">
        <x:f>IF($A5="","",SUMIFS(CaseLedger!$O:$O,CaseLedger!$L:$L,$A5,CaseLedger!$B:$B,"TRUE"))</x:f>
      </x:c>
      <x:c r="D5" t="str">
        <x:f>IF($A5="","",SUMIFS(CaseLedger!$M:$M,CaseLedger!$L:$L,$A5,CaseLedger!$B:$B,"TRUE"))</x:f>
      </x:c>
      <x:c r="E5" t="str">
        <x:f>IF($A5="","",SUMIFS(CaseLedger!$N:$N,CaseLedger!$L:$L,$A5,CaseLedger!$B:$B,"TRUE"))</x:f>
      </x:c>
      <x:c r="F5" t="str">
        <x:f>IF($A5="","",COUNTIFS(CaseLedger!$L:$L,$A5,CaseLedger!$B:$B,"TRUE",CaseLedger!$P:$P,"Mixed"))</x:f>
      </x:c>
      <x:c r="G5" t="str">
        <x:f>IF($A5="","",$A5)</x:f>
      </x:c>
    </x:row>
    <x:row r="6">
      <x:c r="B6" t="str">
        <x:f>IF($A6="","",COUNTIFS(CaseLedger!$L:$L,$A6,CaseLedger!$B:$B,"TRUE"))</x:f>
      </x:c>
      <x:c r="C6" t="str">
        <x:f>IF($A6="","",SUMIFS(CaseLedger!$O:$O,CaseLedger!$L:$L,$A6,CaseLedger!$B:$B,"TRUE"))</x:f>
      </x:c>
      <x:c r="D6" t="str">
        <x:f>IF($A6="","",SUMIFS(CaseLedger!$M:$M,CaseLedger!$L:$L,$A6,CaseLedger!$B:$B,"TRUE"))</x:f>
      </x:c>
      <x:c r="E6" t="str">
        <x:f>IF($A6="","",SUMIFS(CaseLedger!$N:$N,CaseLedger!$L:$L,$A6,CaseLedger!$B:$B,"TRUE"))</x:f>
      </x:c>
      <x:c r="F6" t="str">
        <x:f>IF($A6="","",COUNTIFS(CaseLedger!$L:$L,$A6,CaseLedger!$B:$B,"TRUE",CaseLedger!$P:$P,"Mixed"))</x:f>
      </x:c>
      <x:c r="G6" t="str">
        <x:f>IF($A6="","",$A6)</x:f>
      </x:c>
    </x:row>
    <x:row r="7">
      <x:c r="B7" t="str">
        <x:f>IF($A7="","",COUNTIFS(CaseLedger!$L:$L,$A7,CaseLedger!$B:$B,"TRUE"))</x:f>
      </x:c>
      <x:c r="C7" t="str">
        <x:f>IF($A7="","",SUMIFS(CaseLedger!$O:$O,CaseLedger!$L:$L,$A7,CaseLedger!$B:$B,"TRUE"))</x:f>
      </x:c>
      <x:c r="D7" t="str">
        <x:f>IF($A7="","",SUMIFS(CaseLedger!$M:$M,CaseLedger!$L:$L,$A7,CaseLedger!$B:$B,"TRUE"))</x:f>
      </x:c>
      <x:c r="E7" t="str">
        <x:f>IF($A7="","",SUMIFS(CaseLedger!$N:$N,CaseLedger!$L:$L,$A7,CaseLedger!$B:$B,"TRUE"))</x:f>
      </x:c>
      <x:c r="F7" t="str">
        <x:f>IF($A7="","",COUNTIFS(CaseLedger!$L:$L,$A7,CaseLedger!$B:$B,"TRUE",CaseLedger!$P:$P,"Mixed"))</x:f>
      </x:c>
      <x:c r="G7" t="str">
        <x:f>IF($A7="","",$A7)</x:f>
      </x:c>
    </x:row>
    <x:row r="8">
      <x:c r="B8" t="str">
        <x:f>IF($A8="","",COUNTIFS(CaseLedger!$L:$L,$A8,CaseLedger!$B:$B,"TRUE"))</x:f>
      </x:c>
      <x:c r="C8" t="str">
        <x:f>IF($A8="","",SUMIFS(CaseLedger!$O:$O,CaseLedger!$L:$L,$A8,CaseLedger!$B:$B,"TRUE"))</x:f>
      </x:c>
      <x:c r="D8" t="str">
        <x:f>IF($A8="","",SUMIFS(CaseLedger!$M:$M,CaseLedger!$L:$L,$A8,CaseLedger!$B:$B,"TRUE"))</x:f>
      </x:c>
      <x:c r="E8" t="str">
        <x:f>IF($A8="","",SUMIFS(CaseLedger!$N:$N,CaseLedger!$L:$L,$A8,CaseLedger!$B:$B,"TRUE"))</x:f>
      </x:c>
      <x:c r="F8" t="str">
        <x:f>IF($A8="","",COUNTIFS(CaseLedger!$L:$L,$A8,CaseLedger!$B:$B,"TRUE",CaseLedger!$P:$P,"Mixed"))</x:f>
      </x:c>
      <x:c r="G8" t="str">
        <x:f>IF($A8="","",$A8)</x:f>
      </x:c>
    </x:row>
    <x:row r="9">
      <x:c r="B9" t="str">
        <x:f>IF($A9="","",COUNTIFS(CaseLedger!$L:$L,$A9,CaseLedger!$B:$B,"TRUE"))</x:f>
      </x:c>
      <x:c r="C9" t="str">
        <x:f>IF($A9="","",SUMIFS(CaseLedger!$O:$O,CaseLedger!$L:$L,$A9,CaseLedger!$B:$B,"TRUE"))</x:f>
      </x:c>
      <x:c r="D9" t="str">
        <x:f>IF($A9="","",SUMIFS(CaseLedger!$M:$M,CaseLedger!$L:$L,$A9,CaseLedger!$B:$B,"TRUE"))</x:f>
      </x:c>
      <x:c r="E9" t="str">
        <x:f>IF($A9="","",SUMIFS(CaseLedger!$N:$N,CaseLedger!$L:$L,$A9,CaseLedger!$B:$B,"TRUE"))</x:f>
      </x:c>
      <x:c r="F9" t="str">
        <x:f>IF($A9="","",COUNTIFS(CaseLedger!$L:$L,$A9,CaseLedger!$B:$B,"TRUE",CaseLedger!$P:$P,"Mixed"))</x:f>
      </x:c>
      <x:c r="G9" t="str">
        <x:f>IF($A9="","",$A9)</x:f>
      </x:c>
    </x:row>
    <x:row r="10">
      <x:c r="B10" t="str">
        <x:f>IF($A10="","",COUNTIFS(CaseLedger!$L:$L,$A10,CaseLedger!$B:$B,"TRUE"))</x:f>
      </x:c>
      <x:c r="C10" t="str">
        <x:f>IF($A10="","",SUMIFS(CaseLedger!$O:$O,CaseLedger!$L:$L,$A10,CaseLedger!$B:$B,"TRUE"))</x:f>
      </x:c>
      <x:c r="D10" t="str">
        <x:f>IF($A10="","",SUMIFS(CaseLedger!$M:$M,CaseLedger!$L:$L,$A10,CaseLedger!$B:$B,"TRUE"))</x:f>
      </x:c>
      <x:c r="E10" t="str">
        <x:f>IF($A10="","",SUMIFS(CaseLedger!$N:$N,CaseLedger!$L:$L,$A10,CaseLedger!$B:$B,"TRUE"))</x:f>
      </x:c>
      <x:c r="F10" t="str">
        <x:f>IF($A10="","",COUNTIFS(CaseLedger!$L:$L,$A10,CaseLedger!$B:$B,"TRUE",CaseLedger!$P:$P,"Mixed"))</x:f>
      </x:c>
      <x:c r="G10" t="str">
        <x:f>IF($A10="","",$A10)</x:f>
      </x:c>
    </x:row>
    <x:row r="11">
      <x:c r="B11" t="str">
        <x:f>IF($A11="","",COUNTIFS(CaseLedger!$L:$L,$A11,CaseLedger!$B:$B,"TRUE"))</x:f>
      </x:c>
      <x:c r="C11" t="str">
        <x:f>IF($A11="","",SUMIFS(CaseLedger!$O:$O,CaseLedger!$L:$L,$A11,CaseLedger!$B:$B,"TRUE"))</x:f>
      </x:c>
      <x:c r="D11" t="str">
        <x:f>IF($A11="","",SUMIFS(CaseLedger!$M:$M,CaseLedger!$L:$L,$A11,CaseLedger!$B:$B,"TRUE"))</x:f>
      </x:c>
      <x:c r="E11" t="str">
        <x:f>IF($A11="","",SUMIFS(CaseLedger!$N:$N,CaseLedger!$L:$L,$A11,CaseLedger!$B:$B,"TRUE"))</x:f>
      </x:c>
      <x:c r="F11" t="str">
        <x:f>IF($A11="","",COUNTIFS(CaseLedger!$L:$L,$A11,CaseLedger!$B:$B,"TRUE",CaseLedger!$P:$P,"Mixed"))</x:f>
      </x:c>
      <x:c r="G11" t="str">
        <x:f>IF($A11="","",$A11)</x:f>
      </x:c>
    </x:row>
    <x:row r="12">
      <x:c r="B12" t="str">
        <x:f>IF($A12="","",COUNTIFS(CaseLedger!$L:$L,$A12,CaseLedger!$B:$B,"TRUE"))</x:f>
      </x:c>
      <x:c r="C12" t="str">
        <x:f>IF($A12="","",SUMIFS(CaseLedger!$O:$O,CaseLedger!$L:$L,$A12,CaseLedger!$B:$B,"TRUE"))</x:f>
      </x:c>
      <x:c r="D12" t="str">
        <x:f>IF($A12="","",SUMIFS(CaseLedger!$M:$M,CaseLedger!$L:$L,$A12,CaseLedger!$B:$B,"TRUE"))</x:f>
      </x:c>
      <x:c r="E12" t="str">
        <x:f>IF($A12="","",SUMIFS(CaseLedger!$N:$N,CaseLedger!$L:$L,$A12,CaseLedger!$B:$B,"TRUE"))</x:f>
      </x:c>
      <x:c r="F12" t="str">
        <x:f>IF($A12="","",COUNTIFS(CaseLedger!$L:$L,$A12,CaseLedger!$B:$B,"TRUE",CaseLedger!$P:$P,"Mixed"))</x:f>
      </x:c>
      <x:c r="G12" t="str">
        <x:f>IF($A12="","",$A12)</x:f>
      </x:c>
    </x:row>
    <x:row r="13">
      <x:c r="B13" t="str">
        <x:f>IF($A13="","",COUNTIFS(CaseLedger!$L:$L,$A13,CaseLedger!$B:$B,"TRUE"))</x:f>
      </x:c>
      <x:c r="C13" t="str">
        <x:f>IF($A13="","",SUMIFS(CaseLedger!$O:$O,CaseLedger!$L:$L,$A13,CaseLedger!$B:$B,"TRUE"))</x:f>
      </x:c>
      <x:c r="D13" t="str">
        <x:f>IF($A13="","",SUMIFS(CaseLedger!$M:$M,CaseLedger!$L:$L,$A13,CaseLedger!$B:$B,"TRUE"))</x:f>
      </x:c>
      <x:c r="E13" t="str">
        <x:f>IF($A13="","",SUMIFS(CaseLedger!$N:$N,CaseLedger!$L:$L,$A13,CaseLedger!$B:$B,"TRUE"))</x:f>
      </x:c>
      <x:c r="F13" t="str">
        <x:f>IF($A13="","",COUNTIFS(CaseLedger!$L:$L,$A13,CaseLedger!$B:$B,"TRUE",CaseLedger!$P:$P,"Mixed"))</x:f>
      </x:c>
      <x:c r="G13" t="str">
        <x:f>IF($A13="","",$A13)</x:f>
      </x:c>
    </x:row>
    <x:row r="14">
      <x:c r="B14" t="str">
        <x:f>IF($A14="","",COUNTIFS(CaseLedger!$L:$L,$A14,CaseLedger!$B:$B,"TRUE"))</x:f>
      </x:c>
      <x:c r="C14" t="str">
        <x:f>IF($A14="","",SUMIFS(CaseLedger!$O:$O,CaseLedger!$L:$L,$A14,CaseLedger!$B:$B,"TRUE"))</x:f>
      </x:c>
      <x:c r="D14" t="str">
        <x:f>IF($A14="","",SUMIFS(CaseLedger!$M:$M,CaseLedger!$L:$L,$A14,CaseLedger!$B:$B,"TRUE"))</x:f>
      </x:c>
      <x:c r="E14" t="str">
        <x:f>IF($A14="","",SUMIFS(CaseLedger!$N:$N,CaseLedger!$L:$L,$A14,CaseLedger!$B:$B,"TRUE"))</x:f>
      </x:c>
      <x:c r="F14" t="str">
        <x:f>IF($A14="","",COUNTIFS(CaseLedger!$L:$L,$A14,CaseLedger!$B:$B,"TRUE",CaseLedger!$P:$P,"Mixed"))</x:f>
      </x:c>
      <x:c r="G14" t="str">
        <x:f>IF($A14="","",$A14)</x:f>
      </x:c>
    </x:row>
    <x:row r="15">
      <x:c r="B15" t="str">
        <x:f>IF($A15="","",COUNTIFS(CaseLedger!$L:$L,$A15,CaseLedger!$B:$B,"TRUE"))</x:f>
      </x:c>
      <x:c r="C15" t="str">
        <x:f>IF($A15="","",SUMIFS(CaseLedger!$O:$O,CaseLedger!$L:$L,$A15,CaseLedger!$B:$B,"TRUE"))</x:f>
      </x:c>
      <x:c r="D15" t="str">
        <x:f>IF($A15="","",SUMIFS(CaseLedger!$M:$M,CaseLedger!$L:$L,$A15,CaseLedger!$B:$B,"TRUE"))</x:f>
      </x:c>
      <x:c r="E15" t="str">
        <x:f>IF($A15="","",SUMIFS(CaseLedger!$N:$N,CaseLedger!$L:$L,$A15,CaseLedger!$B:$B,"TRUE"))</x:f>
      </x:c>
      <x:c r="F15" t="str">
        <x:f>IF($A15="","",COUNTIFS(CaseLedger!$L:$L,$A15,CaseLedger!$B:$B,"TRUE",CaseLedger!$P:$P,"Mixed"))</x:f>
      </x:c>
      <x:c r="G15" t="str">
        <x:f>IF($A15="","",$A15)</x:f>
      </x:c>
    </x:row>
    <x:row r="16">
      <x:c r="B16" t="str">
        <x:f>IF($A16="","",COUNTIFS(CaseLedger!$L:$L,$A16,CaseLedger!$B:$B,"TRUE"))</x:f>
      </x:c>
      <x:c r="C16" t="str">
        <x:f>IF($A16="","",SUMIFS(CaseLedger!$O:$O,CaseLedger!$L:$L,$A16,CaseLedger!$B:$B,"TRUE"))</x:f>
      </x:c>
      <x:c r="D16" t="str">
        <x:f>IF($A16="","",SUMIFS(CaseLedger!$M:$M,CaseLedger!$L:$L,$A16,CaseLedger!$B:$B,"TRUE"))</x:f>
      </x:c>
      <x:c r="E16" t="str">
        <x:f>IF($A16="","",SUMIFS(CaseLedger!$N:$N,CaseLedger!$L:$L,$A16,CaseLedger!$B:$B,"TRUE"))</x:f>
      </x:c>
      <x:c r="F16" t="str">
        <x:f>IF($A16="","",COUNTIFS(CaseLedger!$L:$L,$A16,CaseLedger!$B:$B,"TRUE",CaseLedger!$P:$P,"Mixed"))</x:f>
      </x:c>
      <x:c r="G16" t="str">
        <x:f>IF($A16="","",$A16)</x:f>
      </x:c>
    </x:row>
    <x:row r="17">
      <x:c r="B17" t="str">
        <x:f>IF($A17="","",COUNTIFS(CaseLedger!$L:$L,$A17,CaseLedger!$B:$B,"TRUE"))</x:f>
      </x:c>
      <x:c r="C17" t="str">
        <x:f>IF($A17="","",SUMIFS(CaseLedger!$O:$O,CaseLedger!$L:$L,$A17,CaseLedger!$B:$B,"TRUE"))</x:f>
      </x:c>
      <x:c r="D17" t="str">
        <x:f>IF($A17="","",SUMIFS(CaseLedger!$M:$M,CaseLedger!$L:$L,$A17,CaseLedger!$B:$B,"TRUE"))</x:f>
      </x:c>
      <x:c r="E17" t="str">
        <x:f>IF($A17="","",SUMIFS(CaseLedger!$N:$N,CaseLedger!$L:$L,$A17,CaseLedger!$B:$B,"TRUE"))</x:f>
      </x:c>
      <x:c r="F17" t="str">
        <x:f>IF($A17="","",COUNTIFS(CaseLedger!$L:$L,$A17,CaseLedger!$B:$B,"TRUE",CaseLedger!$P:$P,"Mixed"))</x:f>
      </x:c>
      <x:c r="G17" t="str">
        <x:f>IF($A17="","",$A17)</x:f>
      </x:c>
    </x:row>
    <x:row r="18">
      <x:c r="B18" t="str">
        <x:f>IF($A18="","",COUNTIFS(CaseLedger!$L:$L,$A18,CaseLedger!$B:$B,"TRUE"))</x:f>
      </x:c>
      <x:c r="C18" t="str">
        <x:f>IF($A18="","",SUMIFS(CaseLedger!$O:$O,CaseLedger!$L:$L,$A18,CaseLedger!$B:$B,"TRUE"))</x:f>
      </x:c>
      <x:c r="D18" t="str">
        <x:f>IF($A18="","",SUMIFS(CaseLedger!$M:$M,CaseLedger!$L:$L,$A18,CaseLedger!$B:$B,"TRUE"))</x:f>
      </x:c>
      <x:c r="E18" t="str">
        <x:f>IF($A18="","",SUMIFS(CaseLedger!$N:$N,CaseLedger!$L:$L,$A18,CaseLedger!$B:$B,"TRUE"))</x:f>
      </x:c>
      <x:c r="F18" t="str">
        <x:f>IF($A18="","",COUNTIFS(CaseLedger!$L:$L,$A18,CaseLedger!$B:$B,"TRUE",CaseLedger!$P:$P,"Mixed"))</x:f>
      </x:c>
      <x:c r="G18" t="str">
        <x:f>IF($A18="","",$A18)</x:f>
      </x:c>
    </x:row>
    <x:row r="19">
      <x:c r="B19" t="str">
        <x:f>IF($A19="","",COUNTIFS(CaseLedger!$L:$L,$A19,CaseLedger!$B:$B,"TRUE"))</x:f>
      </x:c>
      <x:c r="C19" t="str">
        <x:f>IF($A19="","",SUMIFS(CaseLedger!$O:$O,CaseLedger!$L:$L,$A19,CaseLedger!$B:$B,"TRUE"))</x:f>
      </x:c>
      <x:c r="D19" t="str">
        <x:f>IF($A19="","",SUMIFS(CaseLedger!$M:$M,CaseLedger!$L:$L,$A19,CaseLedger!$B:$B,"TRUE"))</x:f>
      </x:c>
      <x:c r="E19" t="str">
        <x:f>IF($A19="","",SUMIFS(CaseLedger!$N:$N,CaseLedger!$L:$L,$A19,CaseLedger!$B:$B,"TRUE"))</x:f>
      </x:c>
      <x:c r="F19" t="str">
        <x:f>IF($A19="","",COUNTIFS(CaseLedger!$L:$L,$A19,CaseLedger!$B:$B,"TRUE",CaseLedger!$P:$P,"Mixed"))</x:f>
      </x:c>
      <x:c r="G19" t="str">
        <x:f>IF($A19="","",$A19)</x:f>
      </x:c>
    </x:row>
    <x:row r="20">
      <x:c r="B20" t="str">
        <x:f>IF($A20="","",COUNTIFS(CaseLedger!$L:$L,$A20,CaseLedger!$B:$B,"TRUE"))</x:f>
      </x:c>
      <x:c r="C20" t="str">
        <x:f>IF($A20="","",SUMIFS(CaseLedger!$O:$O,CaseLedger!$L:$L,$A20,CaseLedger!$B:$B,"TRUE"))</x:f>
      </x:c>
      <x:c r="D20" t="str">
        <x:f>IF($A20="","",SUMIFS(CaseLedger!$M:$M,CaseLedger!$L:$L,$A20,CaseLedger!$B:$B,"TRUE"))</x:f>
      </x:c>
      <x:c r="E20" t="str">
        <x:f>IF($A20="","",SUMIFS(CaseLedger!$N:$N,CaseLedger!$L:$L,$A20,CaseLedger!$B:$B,"TRUE"))</x:f>
      </x:c>
      <x:c r="F20" t="str">
        <x:f>IF($A20="","",COUNTIFS(CaseLedger!$L:$L,$A20,CaseLedger!$B:$B,"TRUE",CaseLedger!$P:$P,"Mixed"))</x:f>
      </x:c>
      <x:c r="G20" t="str">
        <x:f>IF($A20="","",$A20)</x:f>
      </x:c>
    </x:row>
    <x:row r="21">
      <x:c r="B21" t="str">
        <x:f>IF($A21="","",COUNTIFS(CaseLedger!$L:$L,$A21,CaseLedger!$B:$B,"TRUE"))</x:f>
      </x:c>
      <x:c r="C21" t="str">
        <x:f>IF($A21="","",SUMIFS(CaseLedger!$O:$O,CaseLedger!$L:$L,$A21,CaseLedger!$B:$B,"TRUE"))</x:f>
      </x:c>
      <x:c r="D21" t="str">
        <x:f>IF($A21="","",SUMIFS(CaseLedger!$M:$M,CaseLedger!$L:$L,$A21,CaseLedger!$B:$B,"TRUE"))</x:f>
      </x:c>
      <x:c r="E21" t="str">
        <x:f>IF($A21="","",SUMIFS(CaseLedger!$N:$N,CaseLedger!$L:$L,$A21,CaseLedger!$B:$B,"TRUE"))</x:f>
      </x:c>
      <x:c r="F21" t="str">
        <x:f>IF($A21="","",COUNTIFS(CaseLedger!$L:$L,$A21,CaseLedger!$B:$B,"TRUE",CaseLedger!$P:$P,"Mixed"))</x:f>
      </x:c>
      <x:c r="G21" t="str">
        <x:f>IF($A21="","",$A21)</x:f>
      </x:c>
    </x:row>
    <x:row r="22">
      <x:c r="B22" t="str">
        <x:f>IF($A22="","",COUNTIFS(CaseLedger!$L:$L,$A22,CaseLedger!$B:$B,"TRUE"))</x:f>
      </x:c>
      <x:c r="C22" t="str">
        <x:f>IF($A22="","",SUMIFS(CaseLedger!$O:$O,CaseLedger!$L:$L,$A22,CaseLedger!$B:$B,"TRUE"))</x:f>
      </x:c>
      <x:c r="D22" t="str">
        <x:f>IF($A22="","",SUMIFS(CaseLedger!$M:$M,CaseLedger!$L:$L,$A22,CaseLedger!$B:$B,"TRUE"))</x:f>
      </x:c>
      <x:c r="E22" t="str">
        <x:f>IF($A22="","",SUMIFS(CaseLedger!$N:$N,CaseLedger!$L:$L,$A22,CaseLedger!$B:$B,"TRUE"))</x:f>
      </x:c>
      <x:c r="F22" t="str">
        <x:f>IF($A22="","",COUNTIFS(CaseLedger!$L:$L,$A22,CaseLedger!$B:$B,"TRUE",CaseLedger!$P:$P,"Mixed"))</x:f>
      </x:c>
      <x:c r="G22" t="str">
        <x:f>IF($A22="","",$A22)</x:f>
      </x:c>
    </x:row>
    <x:row r="23">
      <x:c r="B23" t="str">
        <x:f>IF($A23="","",COUNTIFS(CaseLedger!$L:$L,$A23,CaseLedger!$B:$B,"TRUE"))</x:f>
      </x:c>
      <x:c r="C23" t="str">
        <x:f>IF($A23="","",SUMIFS(CaseLedger!$O:$O,CaseLedger!$L:$L,$A23,CaseLedger!$B:$B,"TRUE"))</x:f>
      </x:c>
      <x:c r="D23" t="str">
        <x:f>IF($A23="","",SUMIFS(CaseLedger!$M:$M,CaseLedger!$L:$L,$A23,CaseLedger!$B:$B,"TRUE"))</x:f>
      </x:c>
      <x:c r="E23" t="str">
        <x:f>IF($A23="","",SUMIFS(CaseLedger!$N:$N,CaseLedger!$L:$L,$A23,CaseLedger!$B:$B,"TRUE"))</x:f>
      </x:c>
      <x:c r="F23" t="str">
        <x:f>IF($A23="","",COUNTIFS(CaseLedger!$L:$L,$A23,CaseLedger!$B:$B,"TRUE",CaseLedger!$P:$P,"Mixed"))</x:f>
      </x:c>
      <x:c r="G23" t="str">
        <x:f>IF($A23="","",$A23)</x:f>
      </x:c>
    </x:row>
    <x:row r="24">
      <x:c r="B24" t="str">
        <x:f>IF($A24="","",COUNTIFS(CaseLedger!$L:$L,$A24,CaseLedger!$B:$B,"TRUE"))</x:f>
      </x:c>
      <x:c r="C24" t="str">
        <x:f>IF($A24="","",SUMIFS(CaseLedger!$O:$O,CaseLedger!$L:$L,$A24,CaseLedger!$B:$B,"TRUE"))</x:f>
      </x:c>
      <x:c r="D24" t="str">
        <x:f>IF($A24="","",SUMIFS(CaseLedger!$M:$M,CaseLedger!$L:$L,$A24,CaseLedger!$B:$B,"TRUE"))</x:f>
      </x:c>
      <x:c r="E24" t="str">
        <x:f>IF($A24="","",SUMIFS(CaseLedger!$N:$N,CaseLedger!$L:$L,$A24,CaseLedger!$B:$B,"TRUE"))</x:f>
      </x:c>
      <x:c r="F24" t="str">
        <x:f>IF($A24="","",COUNTIFS(CaseLedger!$L:$L,$A24,CaseLedger!$B:$B,"TRUE",CaseLedger!$P:$P,"Mixed"))</x:f>
      </x:c>
      <x:c r="G24" t="str">
        <x:f>IF($A24="","",$A24)</x:f>
      </x:c>
    </x:row>
    <x:row r="25">
      <x:c r="B25" t="str">
        <x:f>IF($A25="","",COUNTIFS(CaseLedger!$L:$L,$A25,CaseLedger!$B:$B,"TRUE"))</x:f>
      </x:c>
      <x:c r="C25" t="str">
        <x:f>IF($A25="","",SUMIFS(CaseLedger!$O:$O,CaseLedger!$L:$L,$A25,CaseLedger!$B:$B,"TRUE"))</x:f>
      </x:c>
      <x:c r="D25" t="str">
        <x:f>IF($A25="","",SUMIFS(CaseLedger!$M:$M,CaseLedger!$L:$L,$A25,CaseLedger!$B:$B,"TRUE"))</x:f>
      </x:c>
      <x:c r="E25" t="str">
        <x:f>IF($A25="","",SUMIFS(CaseLedger!$N:$N,CaseLedger!$L:$L,$A25,CaseLedger!$B:$B,"TRUE"))</x:f>
      </x:c>
      <x:c r="F25" t="str">
        <x:f>IF($A25="","",COUNTIFS(CaseLedger!$L:$L,$A25,CaseLedger!$B:$B,"TRUE",CaseLedger!$P:$P,"Mixed"))</x:f>
      </x:c>
      <x:c r="G25" t="str">
        <x:f>IF($A25="","",$A25)</x:f>
      </x:c>
    </x:row>
    <x:row r="26">
      <x:c r="B26" t="str">
        <x:f>IF($A26="","",COUNTIFS(CaseLedger!$L:$L,$A26,CaseLedger!$B:$B,"TRUE"))</x:f>
      </x:c>
      <x:c r="C26" t="str">
        <x:f>IF($A26="","",SUMIFS(CaseLedger!$O:$O,CaseLedger!$L:$L,$A26,CaseLedger!$B:$B,"TRUE"))</x:f>
      </x:c>
      <x:c r="D26" t="str">
        <x:f>IF($A26="","",SUMIFS(CaseLedger!$M:$M,CaseLedger!$L:$L,$A26,CaseLedger!$B:$B,"TRUE"))</x:f>
      </x:c>
      <x:c r="E26" t="str">
        <x:f>IF($A26="","",SUMIFS(CaseLedger!$N:$N,CaseLedger!$L:$L,$A26,CaseLedger!$B:$B,"TRUE"))</x:f>
      </x:c>
      <x:c r="F26" t="str">
        <x:f>IF($A26="","",COUNTIFS(CaseLedger!$L:$L,$A26,CaseLedger!$B:$B,"TRUE",CaseLedger!$P:$P,"Mixed"))</x:f>
      </x:c>
      <x:c r="G26" t="str">
        <x:f>IF($A26="","",$A26)</x:f>
      </x:c>
    </x:row>
    <x:row r="27">
      <x:c r="B27" t="str">
        <x:f>IF($A27="","",COUNTIFS(CaseLedger!$L:$L,$A27,CaseLedger!$B:$B,"TRUE"))</x:f>
      </x:c>
      <x:c r="C27" t="str">
        <x:f>IF($A27="","",SUMIFS(CaseLedger!$O:$O,CaseLedger!$L:$L,$A27,CaseLedger!$B:$B,"TRUE"))</x:f>
      </x:c>
      <x:c r="D27" t="str">
        <x:f>IF($A27="","",SUMIFS(CaseLedger!$M:$M,CaseLedger!$L:$L,$A27,CaseLedger!$B:$B,"TRUE"))</x:f>
      </x:c>
      <x:c r="E27" t="str">
        <x:f>IF($A27="","",SUMIFS(CaseLedger!$N:$N,CaseLedger!$L:$L,$A27,CaseLedger!$B:$B,"TRUE"))</x:f>
      </x:c>
      <x:c r="F27" t="str">
        <x:f>IF($A27="","",COUNTIFS(CaseLedger!$L:$L,$A27,CaseLedger!$B:$B,"TRUE",CaseLedger!$P:$P,"Mixed"))</x:f>
      </x:c>
      <x:c r="G27" t="str">
        <x:f>IF($A27="","",$A27)</x:f>
      </x:c>
    </x:row>
    <x:row r="28">
      <x:c r="B28" t="str">
        <x:f>IF($A28="","",COUNTIFS(CaseLedger!$L:$L,$A28,CaseLedger!$B:$B,"TRUE"))</x:f>
      </x:c>
      <x:c r="C28" t="str">
        <x:f>IF($A28="","",SUMIFS(CaseLedger!$O:$O,CaseLedger!$L:$L,$A28,CaseLedger!$B:$B,"TRUE"))</x:f>
      </x:c>
      <x:c r="D28" t="str">
        <x:f>IF($A28="","",SUMIFS(CaseLedger!$M:$M,CaseLedger!$L:$L,$A28,CaseLedger!$B:$B,"TRUE"))</x:f>
      </x:c>
      <x:c r="E28" t="str">
        <x:f>IF($A28="","",SUMIFS(CaseLedger!$N:$N,CaseLedger!$L:$L,$A28,CaseLedger!$B:$B,"TRUE"))</x:f>
      </x:c>
      <x:c r="F28" t="str">
        <x:f>IF($A28="","",COUNTIFS(CaseLedger!$L:$L,$A28,CaseLedger!$B:$B,"TRUE",CaseLedger!$P:$P,"Mixed"))</x:f>
      </x:c>
      <x:c r="G28" t="str">
        <x:f>IF($A28="","",$A28)</x:f>
      </x:c>
    </x:row>
    <x:row r="29">
      <x:c r="B29" t="str">
        <x:f>IF($A29="","",COUNTIFS(CaseLedger!$L:$L,$A29,CaseLedger!$B:$B,"TRUE"))</x:f>
      </x:c>
      <x:c r="C29" t="str">
        <x:f>IF($A29="","",SUMIFS(CaseLedger!$O:$O,CaseLedger!$L:$L,$A29,CaseLedger!$B:$B,"TRUE"))</x:f>
      </x:c>
      <x:c r="D29" t="str">
        <x:f>IF($A29="","",SUMIFS(CaseLedger!$M:$M,CaseLedger!$L:$L,$A29,CaseLedger!$B:$B,"TRUE"))</x:f>
      </x:c>
      <x:c r="E29" t="str">
        <x:f>IF($A29="","",SUMIFS(CaseLedger!$N:$N,CaseLedger!$L:$L,$A29,CaseLedger!$B:$B,"TRUE"))</x:f>
      </x:c>
      <x:c r="F29" t="str">
        <x:f>IF($A29="","",COUNTIFS(CaseLedger!$L:$L,$A29,CaseLedger!$B:$B,"TRUE",CaseLedger!$P:$P,"Mixed"))</x:f>
      </x:c>
      <x:c r="G29" t="str">
        <x:f>IF($A29="","",$A29)</x:f>
      </x:c>
    </x:row>
    <x:row r="30">
      <x:c r="B30" t="str">
        <x:f>IF($A30="","",COUNTIFS(CaseLedger!$L:$L,$A30,CaseLedger!$B:$B,"TRUE"))</x:f>
      </x:c>
      <x:c r="C30" t="str">
        <x:f>IF($A30="","",SUMIFS(CaseLedger!$O:$O,CaseLedger!$L:$L,$A30,CaseLedger!$B:$B,"TRUE"))</x:f>
      </x:c>
      <x:c r="D30" t="str">
        <x:f>IF($A30="","",SUMIFS(CaseLedger!$M:$M,CaseLedger!$L:$L,$A30,CaseLedger!$B:$B,"TRUE"))</x:f>
      </x:c>
      <x:c r="E30" t="str">
        <x:f>IF($A30="","",SUMIFS(CaseLedger!$N:$N,CaseLedger!$L:$L,$A30,CaseLedger!$B:$B,"TRUE"))</x:f>
      </x:c>
      <x:c r="F30" t="str">
        <x:f>IF($A30="","",COUNTIFS(CaseLedger!$L:$L,$A30,CaseLedger!$B:$B,"TRUE",CaseLedger!$P:$P,"Mixed"))</x:f>
      </x:c>
      <x:c r="G30" t="str">
        <x:f>IF($A30="","",$A30)</x:f>
      </x:c>
    </x:row>
    <x:row r="31">
      <x:c r="B31" t="str">
        <x:f>IF($A31="","",COUNTIFS(CaseLedger!$L:$L,$A31,CaseLedger!$B:$B,"TRUE"))</x:f>
      </x:c>
      <x:c r="C31" t="str">
        <x:f>IF($A31="","",SUMIFS(CaseLedger!$O:$O,CaseLedger!$L:$L,$A31,CaseLedger!$B:$B,"TRUE"))</x:f>
      </x:c>
      <x:c r="D31" t="str">
        <x:f>IF($A31="","",SUMIFS(CaseLedger!$M:$M,CaseLedger!$L:$L,$A31,CaseLedger!$B:$B,"TRUE"))</x:f>
      </x:c>
      <x:c r="E31" t="str">
        <x:f>IF($A31="","",SUMIFS(CaseLedger!$N:$N,CaseLedger!$L:$L,$A31,CaseLedger!$B:$B,"TRUE"))</x:f>
      </x:c>
      <x:c r="F31" t="str">
        <x:f>IF($A31="","",COUNTIFS(CaseLedger!$L:$L,$A31,CaseLedger!$B:$B,"TRUE",CaseLedger!$P:$P,"Mixed"))</x:f>
      </x:c>
      <x:c r="G31" t="str">
        <x:f>IF($A31="","",$A31)</x:f>
      </x:c>
    </x:row>
    <x:row r="32">
      <x:c r="B32" t="str">
        <x:f>IF($A32="","",COUNTIFS(CaseLedger!$L:$L,$A32,CaseLedger!$B:$B,"TRUE"))</x:f>
      </x:c>
      <x:c r="C32" t="str">
        <x:f>IF($A32="","",SUMIFS(CaseLedger!$O:$O,CaseLedger!$L:$L,$A32,CaseLedger!$B:$B,"TRUE"))</x:f>
      </x:c>
      <x:c r="D32" t="str">
        <x:f>IF($A32="","",SUMIFS(CaseLedger!$M:$M,CaseLedger!$L:$L,$A32,CaseLedger!$B:$B,"TRUE"))</x:f>
      </x:c>
      <x:c r="E32" t="str">
        <x:f>IF($A32="","",SUMIFS(CaseLedger!$N:$N,CaseLedger!$L:$L,$A32,CaseLedger!$B:$B,"TRUE"))</x:f>
      </x:c>
      <x:c r="F32" t="str">
        <x:f>IF($A32="","",COUNTIFS(CaseLedger!$L:$L,$A32,CaseLedger!$B:$B,"TRUE",CaseLedger!$P:$P,"Mixed"))</x:f>
      </x:c>
      <x:c r="G32" t="str">
        <x:f>IF($A32="","",$A32)</x:f>
      </x:c>
    </x:row>
    <x:row r="33">
      <x:c r="B33" t="str">
        <x:f>IF($A33="","",COUNTIFS(CaseLedger!$L:$L,$A33,CaseLedger!$B:$B,"TRUE"))</x:f>
      </x:c>
      <x:c r="C33" t="str">
        <x:f>IF($A33="","",SUMIFS(CaseLedger!$O:$O,CaseLedger!$L:$L,$A33,CaseLedger!$B:$B,"TRUE"))</x:f>
      </x:c>
      <x:c r="D33" t="str">
        <x:f>IF($A33="","",SUMIFS(CaseLedger!$M:$M,CaseLedger!$L:$L,$A33,CaseLedger!$B:$B,"TRUE"))</x:f>
      </x:c>
      <x:c r="E33" t="str">
        <x:f>IF($A33="","",SUMIFS(CaseLedger!$N:$N,CaseLedger!$L:$L,$A33,CaseLedger!$B:$B,"TRUE"))</x:f>
      </x:c>
      <x:c r="F33" t="str">
        <x:f>IF($A33="","",COUNTIFS(CaseLedger!$L:$L,$A33,CaseLedger!$B:$B,"TRUE",CaseLedger!$P:$P,"Mixed"))</x:f>
      </x:c>
      <x:c r="G33" t="str">
        <x:f>IF($A33="","",$A33)</x:f>
      </x:c>
    </x:row>
    <x:row r="34">
      <x:c r="B34" t="str">
        <x:f>IF($A34="","",COUNTIFS(CaseLedger!$L:$L,$A34,CaseLedger!$B:$B,"TRUE"))</x:f>
      </x:c>
      <x:c r="C34" t="str">
        <x:f>IF($A34="","",SUMIFS(CaseLedger!$O:$O,CaseLedger!$L:$L,$A34,CaseLedger!$B:$B,"TRUE"))</x:f>
      </x:c>
      <x:c r="D34" t="str">
        <x:f>IF($A34="","",SUMIFS(CaseLedger!$M:$M,CaseLedger!$L:$L,$A34,CaseLedger!$B:$B,"TRUE"))</x:f>
      </x:c>
      <x:c r="E34" t="str">
        <x:f>IF($A34="","",SUMIFS(CaseLedger!$N:$N,CaseLedger!$L:$L,$A34,CaseLedger!$B:$B,"TRUE"))</x:f>
      </x:c>
      <x:c r="F34" t="str">
        <x:f>IF($A34="","",COUNTIFS(CaseLedger!$L:$L,$A34,CaseLedger!$B:$B,"TRUE",CaseLedger!$P:$P,"Mixed"))</x:f>
      </x:c>
      <x:c r="G34" t="str">
        <x:f>IF($A34="","",$A34)</x:f>
      </x:c>
    </x:row>
    <x:row r="35">
      <x:c r="B35" t="str">
        <x:f>IF($A35="","",COUNTIFS(CaseLedger!$L:$L,$A35,CaseLedger!$B:$B,"TRUE"))</x:f>
      </x:c>
      <x:c r="C35" t="str">
        <x:f>IF($A35="","",SUMIFS(CaseLedger!$O:$O,CaseLedger!$L:$L,$A35,CaseLedger!$B:$B,"TRUE"))</x:f>
      </x:c>
      <x:c r="D35" t="str">
        <x:f>IF($A35="","",SUMIFS(CaseLedger!$M:$M,CaseLedger!$L:$L,$A35,CaseLedger!$B:$B,"TRUE"))</x:f>
      </x:c>
      <x:c r="E35" t="str">
        <x:f>IF($A35="","",SUMIFS(CaseLedger!$N:$N,CaseLedger!$L:$L,$A35,CaseLedger!$B:$B,"TRUE"))</x:f>
      </x:c>
      <x:c r="F35" t="str">
        <x:f>IF($A35="","",COUNTIFS(CaseLedger!$L:$L,$A35,CaseLedger!$B:$B,"TRUE",CaseLedger!$P:$P,"Mixed"))</x:f>
      </x:c>
      <x:c r="G35" t="str">
        <x:f>IF($A35="","",$A35)</x:f>
      </x:c>
    </x:row>
    <x:row r="36">
      <x:c r="B36" t="str">
        <x:f>IF($A36="","",COUNTIFS(CaseLedger!$L:$L,$A36,CaseLedger!$B:$B,"TRUE"))</x:f>
      </x:c>
      <x:c r="C36" t="str">
        <x:f>IF($A36="","",SUMIFS(CaseLedger!$O:$O,CaseLedger!$L:$L,$A36,CaseLedger!$B:$B,"TRUE"))</x:f>
      </x:c>
      <x:c r="D36" t="str">
        <x:f>IF($A36="","",SUMIFS(CaseLedger!$M:$M,CaseLedger!$L:$L,$A36,CaseLedger!$B:$B,"TRUE"))</x:f>
      </x:c>
      <x:c r="E36" t="str">
        <x:f>IF($A36="","",SUMIFS(CaseLedger!$N:$N,CaseLedger!$L:$L,$A36,CaseLedger!$B:$B,"TRUE"))</x:f>
      </x:c>
      <x:c r="F36" t="str">
        <x:f>IF($A36="","",COUNTIFS(CaseLedger!$L:$L,$A36,CaseLedger!$B:$B,"TRUE",CaseLedger!$P:$P,"Mixed"))</x:f>
      </x:c>
      <x:c r="G36" t="str">
        <x:f>IF($A36="","",$A36)</x:f>
      </x:c>
    </x:row>
    <x:row r="37">
      <x:c r="B37" t="str">
        <x:f>IF($A37="","",COUNTIFS(CaseLedger!$L:$L,$A37,CaseLedger!$B:$B,"TRUE"))</x:f>
      </x:c>
      <x:c r="C37" t="str">
        <x:f>IF($A37="","",SUMIFS(CaseLedger!$O:$O,CaseLedger!$L:$L,$A37,CaseLedger!$B:$B,"TRUE"))</x:f>
      </x:c>
      <x:c r="D37" t="str">
        <x:f>IF($A37="","",SUMIFS(CaseLedger!$M:$M,CaseLedger!$L:$L,$A37,CaseLedger!$B:$B,"TRUE"))</x:f>
      </x:c>
      <x:c r="E37" t="str">
        <x:f>IF($A37="","",SUMIFS(CaseLedger!$N:$N,CaseLedger!$L:$L,$A37,CaseLedger!$B:$B,"TRUE"))</x:f>
      </x:c>
      <x:c r="F37" t="str">
        <x:f>IF($A37="","",COUNTIFS(CaseLedger!$L:$L,$A37,CaseLedger!$B:$B,"TRUE",CaseLedger!$P:$P,"Mixed"))</x:f>
      </x:c>
      <x:c r="G37" t="str">
        <x:f>IF($A37="","",$A37)</x:f>
      </x:c>
    </x:row>
    <x:row r="38">
      <x:c r="B38" t="str">
        <x:f>IF($A38="","",COUNTIFS(CaseLedger!$L:$L,$A38,CaseLedger!$B:$B,"TRUE"))</x:f>
      </x:c>
      <x:c r="C38" t="str">
        <x:f>IF($A38="","",SUMIFS(CaseLedger!$O:$O,CaseLedger!$L:$L,$A38,CaseLedger!$B:$B,"TRUE"))</x:f>
      </x:c>
      <x:c r="D38" t="str">
        <x:f>IF($A38="","",SUMIFS(CaseLedger!$M:$M,CaseLedger!$L:$L,$A38,CaseLedger!$B:$B,"TRUE"))</x:f>
      </x:c>
      <x:c r="E38" t="str">
        <x:f>IF($A38="","",SUMIFS(CaseLedger!$N:$N,CaseLedger!$L:$L,$A38,CaseLedger!$B:$B,"TRUE"))</x:f>
      </x:c>
      <x:c r="F38" t="str">
        <x:f>IF($A38="","",COUNTIFS(CaseLedger!$L:$L,$A38,CaseLedger!$B:$B,"TRUE",CaseLedger!$P:$P,"Mixed"))</x:f>
      </x:c>
      <x:c r="G38" t="str">
        <x:f>IF($A38="","",$A38)</x:f>
      </x:c>
    </x:row>
    <x:row r="39">
      <x:c r="B39" t="str">
        <x:f>IF($A39="","",COUNTIFS(CaseLedger!$L:$L,$A39,CaseLedger!$B:$B,"TRUE"))</x:f>
      </x:c>
      <x:c r="C39" t="str">
        <x:f>IF($A39="","",SUMIFS(CaseLedger!$O:$O,CaseLedger!$L:$L,$A39,CaseLedger!$B:$B,"TRUE"))</x:f>
      </x:c>
      <x:c r="D39" t="str">
        <x:f>IF($A39="","",SUMIFS(CaseLedger!$M:$M,CaseLedger!$L:$L,$A39,CaseLedger!$B:$B,"TRUE"))</x:f>
      </x:c>
      <x:c r="E39" t="str">
        <x:f>IF($A39="","",SUMIFS(CaseLedger!$N:$N,CaseLedger!$L:$L,$A39,CaseLedger!$B:$B,"TRUE"))</x:f>
      </x:c>
      <x:c r="F39" t="str">
        <x:f>IF($A39="","",COUNTIFS(CaseLedger!$L:$L,$A39,CaseLedger!$B:$B,"TRUE",CaseLedger!$P:$P,"Mixed"))</x:f>
      </x:c>
      <x:c r="G39" t="str">
        <x:f>IF($A39="","",$A39)</x:f>
      </x:c>
    </x:row>
    <x:row r="40">
      <x:c r="B40" t="str">
        <x:f>IF($A40="","",COUNTIFS(CaseLedger!$L:$L,$A40,CaseLedger!$B:$B,"TRUE"))</x:f>
      </x:c>
      <x:c r="C40" t="str">
        <x:f>IF($A40="","",SUMIFS(CaseLedger!$O:$O,CaseLedger!$L:$L,$A40,CaseLedger!$B:$B,"TRUE"))</x:f>
      </x:c>
      <x:c r="D40" t="str">
        <x:f>IF($A40="","",SUMIFS(CaseLedger!$M:$M,CaseLedger!$L:$L,$A40,CaseLedger!$B:$B,"TRUE"))</x:f>
      </x:c>
      <x:c r="E40" t="str">
        <x:f>IF($A40="","",SUMIFS(CaseLedger!$N:$N,CaseLedger!$L:$L,$A40,CaseLedger!$B:$B,"TRUE"))</x:f>
      </x:c>
      <x:c r="F40" t="str">
        <x:f>IF($A40="","",COUNTIFS(CaseLedger!$L:$L,$A40,CaseLedger!$B:$B,"TRUE",CaseLedger!$P:$P,"Mixed"))</x:f>
      </x:c>
      <x:c r="G40" t="str">
        <x:f>IF($A40="","",$A40)</x:f>
      </x:c>
    </x:row>
    <x:row r="41">
      <x:c r="B41" t="str">
        <x:f>IF($A41="","",COUNTIFS(CaseLedger!$L:$L,$A41,CaseLedger!$B:$B,"TRUE"))</x:f>
      </x:c>
      <x:c r="C41" t="str">
        <x:f>IF($A41="","",SUMIFS(CaseLedger!$O:$O,CaseLedger!$L:$L,$A41,CaseLedger!$B:$B,"TRUE"))</x:f>
      </x:c>
      <x:c r="D41" t="str">
        <x:f>IF($A41="","",SUMIFS(CaseLedger!$M:$M,CaseLedger!$L:$L,$A41,CaseLedger!$B:$B,"TRUE"))</x:f>
      </x:c>
      <x:c r="E41" t="str">
        <x:f>IF($A41="","",SUMIFS(CaseLedger!$N:$N,CaseLedger!$L:$L,$A41,CaseLedger!$B:$B,"TRUE"))</x:f>
      </x:c>
      <x:c r="F41" t="str">
        <x:f>IF($A41="","",COUNTIFS(CaseLedger!$L:$L,$A41,CaseLedger!$B:$B,"TRUE",CaseLedger!$P:$P,"Mixed"))</x:f>
      </x:c>
      <x:c r="G41" t="str">
        <x:f>IF($A41="","",$A41)</x:f>
      </x:c>
    </x:row>
    <x:row r="42">
      <x:c r="B42" t="str">
        <x:f>IF($A42="","",COUNTIFS(CaseLedger!$L:$L,$A42,CaseLedger!$B:$B,"TRUE"))</x:f>
      </x:c>
      <x:c r="C42" t="str">
        <x:f>IF($A42="","",SUMIFS(CaseLedger!$O:$O,CaseLedger!$L:$L,$A42,CaseLedger!$B:$B,"TRUE"))</x:f>
      </x:c>
      <x:c r="D42" t="str">
        <x:f>IF($A42="","",SUMIFS(CaseLedger!$M:$M,CaseLedger!$L:$L,$A42,CaseLedger!$B:$B,"TRUE"))</x:f>
      </x:c>
      <x:c r="E42" t="str">
        <x:f>IF($A42="","",SUMIFS(CaseLedger!$N:$N,CaseLedger!$L:$L,$A42,CaseLedger!$B:$B,"TRUE"))</x:f>
      </x:c>
      <x:c r="F42" t="str">
        <x:f>IF($A42="","",COUNTIFS(CaseLedger!$L:$L,$A42,CaseLedger!$B:$B,"TRUE",CaseLedger!$P:$P,"Mixed"))</x:f>
      </x:c>
      <x:c r="G42" t="str">
        <x:f>IF($A42="","",$A42)</x:f>
      </x:c>
    </x:row>
    <x:row r="43">
      <x:c r="B43" t="str">
        <x:f>IF($A43="","",COUNTIFS(CaseLedger!$L:$L,$A43,CaseLedger!$B:$B,"TRUE"))</x:f>
      </x:c>
      <x:c r="C43" t="str">
        <x:f>IF($A43="","",SUMIFS(CaseLedger!$O:$O,CaseLedger!$L:$L,$A43,CaseLedger!$B:$B,"TRUE"))</x:f>
      </x:c>
      <x:c r="D43" t="str">
        <x:f>IF($A43="","",SUMIFS(CaseLedger!$M:$M,CaseLedger!$L:$L,$A43,CaseLedger!$B:$B,"TRUE"))</x:f>
      </x:c>
      <x:c r="E43" t="str">
        <x:f>IF($A43="","",SUMIFS(CaseLedger!$N:$N,CaseLedger!$L:$L,$A43,CaseLedger!$B:$B,"TRUE"))</x:f>
      </x:c>
      <x:c r="F43" t="str">
        <x:f>IF($A43="","",COUNTIFS(CaseLedger!$L:$L,$A43,CaseLedger!$B:$B,"TRUE",CaseLedger!$P:$P,"Mixed"))</x:f>
      </x:c>
      <x:c r="G43" t="str">
        <x:f>IF($A43="","",$A43)</x:f>
      </x:c>
    </x:row>
    <x:row r="44">
      <x:c r="B44" t="str">
        <x:f>IF($A44="","",COUNTIFS(CaseLedger!$L:$L,$A44,CaseLedger!$B:$B,"TRUE"))</x:f>
      </x:c>
      <x:c r="C44" t="str">
        <x:f>IF($A44="","",SUMIFS(CaseLedger!$O:$O,CaseLedger!$L:$L,$A44,CaseLedger!$B:$B,"TRUE"))</x:f>
      </x:c>
      <x:c r="D44" t="str">
        <x:f>IF($A44="","",SUMIFS(CaseLedger!$M:$M,CaseLedger!$L:$L,$A44,CaseLedger!$B:$B,"TRUE"))</x:f>
      </x:c>
      <x:c r="E44" t="str">
        <x:f>IF($A44="","",SUMIFS(CaseLedger!$N:$N,CaseLedger!$L:$L,$A44,CaseLedger!$B:$B,"TRUE"))</x:f>
      </x:c>
      <x:c r="F44" t="str">
        <x:f>IF($A44="","",COUNTIFS(CaseLedger!$L:$L,$A44,CaseLedger!$B:$B,"TRUE",CaseLedger!$P:$P,"Mixed"))</x:f>
      </x:c>
      <x:c r="G44" t="str">
        <x:f>IF($A44="","",$A44)</x:f>
      </x:c>
    </x:row>
    <x:row r="45">
      <x:c r="B45" t="str">
        <x:f>IF($A45="","",COUNTIFS(CaseLedger!$L:$L,$A45,CaseLedger!$B:$B,"TRUE"))</x:f>
      </x:c>
      <x:c r="C45" t="str">
        <x:f>IF($A45="","",SUMIFS(CaseLedger!$O:$O,CaseLedger!$L:$L,$A45,CaseLedger!$B:$B,"TRUE"))</x:f>
      </x:c>
      <x:c r="D45" t="str">
        <x:f>IF($A45="","",SUMIFS(CaseLedger!$M:$M,CaseLedger!$L:$L,$A45,CaseLedger!$B:$B,"TRUE"))</x:f>
      </x:c>
      <x:c r="E45" t="str">
        <x:f>IF($A45="","",SUMIFS(CaseLedger!$N:$N,CaseLedger!$L:$L,$A45,CaseLedger!$B:$B,"TRUE"))</x:f>
      </x:c>
      <x:c r="F45" t="str">
        <x:f>IF($A45="","",COUNTIFS(CaseLedger!$L:$L,$A45,CaseLedger!$B:$B,"TRUE",CaseLedger!$P:$P,"Mixed"))</x:f>
      </x:c>
      <x:c r="G45" t="str">
        <x:f>IF($A45="","",$A45)</x:f>
      </x:c>
    </x:row>
    <x:row r="46">
      <x:c r="B46" t="str">
        <x:f>IF($A46="","",COUNTIFS(CaseLedger!$L:$L,$A46,CaseLedger!$B:$B,"TRUE"))</x:f>
      </x:c>
      <x:c r="C46" t="str">
        <x:f>IF($A46="","",SUMIFS(CaseLedger!$O:$O,CaseLedger!$L:$L,$A46,CaseLedger!$B:$B,"TRUE"))</x:f>
      </x:c>
      <x:c r="D46" t="str">
        <x:f>IF($A46="","",SUMIFS(CaseLedger!$M:$M,CaseLedger!$L:$L,$A46,CaseLedger!$B:$B,"TRUE"))</x:f>
      </x:c>
      <x:c r="E46" t="str">
        <x:f>IF($A46="","",SUMIFS(CaseLedger!$N:$N,CaseLedger!$L:$L,$A46,CaseLedger!$B:$B,"TRUE"))</x:f>
      </x:c>
      <x:c r="F46" t="str">
        <x:f>IF($A46="","",COUNTIFS(CaseLedger!$L:$L,$A46,CaseLedger!$B:$B,"TRUE",CaseLedger!$P:$P,"Mixed"))</x:f>
      </x:c>
      <x:c r="G46" t="str">
        <x:f>IF($A46="","",$A46)</x:f>
      </x:c>
    </x:row>
    <x:row r="47">
      <x:c r="B47" t="str">
        <x:f>IF($A47="","",COUNTIFS(CaseLedger!$L:$L,$A47,CaseLedger!$B:$B,"TRUE"))</x:f>
      </x:c>
      <x:c r="C47" t="str">
        <x:f>IF($A47="","",SUMIFS(CaseLedger!$O:$O,CaseLedger!$L:$L,$A47,CaseLedger!$B:$B,"TRUE"))</x:f>
      </x:c>
      <x:c r="D47" t="str">
        <x:f>IF($A47="","",SUMIFS(CaseLedger!$M:$M,CaseLedger!$L:$L,$A47,CaseLedger!$B:$B,"TRUE"))</x:f>
      </x:c>
      <x:c r="E47" t="str">
        <x:f>IF($A47="","",SUMIFS(CaseLedger!$N:$N,CaseLedger!$L:$L,$A47,CaseLedger!$B:$B,"TRUE"))</x:f>
      </x:c>
      <x:c r="F47" t="str">
        <x:f>IF($A47="","",COUNTIFS(CaseLedger!$L:$L,$A47,CaseLedger!$B:$B,"TRUE",CaseLedger!$P:$P,"Mixed"))</x:f>
      </x:c>
      <x:c r="G47" t="str">
        <x:f>IF($A47="","",$A47)</x:f>
      </x:c>
    </x:row>
    <x:row r="48">
      <x:c r="B48" t="str">
        <x:f>IF($A48="","",COUNTIFS(CaseLedger!$L:$L,$A48,CaseLedger!$B:$B,"TRUE"))</x:f>
      </x:c>
      <x:c r="C48" t="str">
        <x:f>IF($A48="","",SUMIFS(CaseLedger!$O:$O,CaseLedger!$L:$L,$A48,CaseLedger!$B:$B,"TRUE"))</x:f>
      </x:c>
      <x:c r="D48" t="str">
        <x:f>IF($A48="","",SUMIFS(CaseLedger!$M:$M,CaseLedger!$L:$L,$A48,CaseLedger!$B:$B,"TRUE"))</x:f>
      </x:c>
      <x:c r="E48" t="str">
        <x:f>IF($A48="","",SUMIFS(CaseLedger!$N:$N,CaseLedger!$L:$L,$A48,CaseLedger!$B:$B,"TRUE"))</x:f>
      </x:c>
      <x:c r="F48" t="str">
        <x:f>IF($A48="","",COUNTIFS(CaseLedger!$L:$L,$A48,CaseLedger!$B:$B,"TRUE",CaseLedger!$P:$P,"Mixed"))</x:f>
      </x:c>
      <x:c r="G48" t="str">
        <x:f>IF($A48="","",$A48)</x:f>
      </x:c>
    </x:row>
    <x:row r="49">
      <x:c r="B49" t="str">
        <x:f>IF($A49="","",COUNTIFS(CaseLedger!$L:$L,$A49,CaseLedger!$B:$B,"TRUE"))</x:f>
      </x:c>
      <x:c r="C49" t="str">
        <x:f>IF($A49="","",SUMIFS(CaseLedger!$O:$O,CaseLedger!$L:$L,$A49,CaseLedger!$B:$B,"TRUE"))</x:f>
      </x:c>
      <x:c r="D49" t="str">
        <x:f>IF($A49="","",SUMIFS(CaseLedger!$M:$M,CaseLedger!$L:$L,$A49,CaseLedger!$B:$B,"TRUE"))</x:f>
      </x:c>
      <x:c r="E49" t="str">
        <x:f>IF($A49="","",SUMIFS(CaseLedger!$N:$N,CaseLedger!$L:$L,$A49,CaseLedger!$B:$B,"TRUE"))</x:f>
      </x:c>
      <x:c r="F49" t="str">
        <x:f>IF($A49="","",COUNTIFS(CaseLedger!$L:$L,$A49,CaseLedger!$B:$B,"TRUE",CaseLedger!$P:$P,"Mixed"))</x:f>
      </x:c>
      <x:c r="G49" t="str">
        <x:f>IF($A49="","",$A49)</x:f>
      </x:c>
    </x:row>
    <x:row r="50">
      <x:c r="B50" t="str">
        <x:f>IF($A50="","",COUNTIFS(CaseLedger!$L:$L,$A50,CaseLedger!$B:$B,"TRUE"))</x:f>
      </x:c>
      <x:c r="C50" t="str">
        <x:f>IF($A50="","",SUMIFS(CaseLedger!$O:$O,CaseLedger!$L:$L,$A50,CaseLedger!$B:$B,"TRUE"))</x:f>
      </x:c>
      <x:c r="D50" t="str">
        <x:f>IF($A50="","",SUMIFS(CaseLedger!$M:$M,CaseLedger!$L:$L,$A50,CaseLedger!$B:$B,"TRUE"))</x:f>
      </x:c>
      <x:c r="E50" t="str">
        <x:f>IF($A50="","",SUMIFS(CaseLedger!$N:$N,CaseLedger!$L:$L,$A50,CaseLedger!$B:$B,"TRUE"))</x:f>
      </x:c>
      <x:c r="F50" t="str">
        <x:f>IF($A50="","",COUNTIFS(CaseLedger!$L:$L,$A50,CaseLedger!$B:$B,"TRUE",CaseLedger!$P:$P,"Mixed"))</x:f>
      </x:c>
      <x:c r="G50" t="str">
        <x:f>IF($A50="","",$A50)</x:f>
      </x:c>
    </x:row>
    <x:row r="51">
      <x:c r="B51" t="str">
        <x:f>IF($A51="","",COUNTIFS(CaseLedger!$L:$L,$A51,CaseLedger!$B:$B,"TRUE"))</x:f>
      </x:c>
      <x:c r="C51" t="str">
        <x:f>IF($A51="","",SUMIFS(CaseLedger!$O:$O,CaseLedger!$L:$L,$A51,CaseLedger!$B:$B,"TRUE"))</x:f>
      </x:c>
      <x:c r="D51" t="str">
        <x:f>IF($A51="","",SUMIFS(CaseLedger!$M:$M,CaseLedger!$L:$L,$A51,CaseLedger!$B:$B,"TRUE"))</x:f>
      </x:c>
      <x:c r="E51" t="str">
        <x:f>IF($A51="","",SUMIFS(CaseLedger!$N:$N,CaseLedger!$L:$L,$A51,CaseLedger!$B:$B,"TRUE"))</x:f>
      </x:c>
      <x:c r="F51" t="str">
        <x:f>IF($A51="","",COUNTIFS(CaseLedger!$L:$L,$A51,CaseLedger!$B:$B,"TRUE",CaseLedger!$P:$P,"Mixed"))</x:f>
      </x:c>
      <x:c r="G51" t="str">
        <x:f>IF($A51="","",$A51)</x:f>
      </x:c>
    </x:row>
    <x:row r="52">
      <x:c r="B52" t="str">
        <x:f>IF($A52="","",COUNTIFS(CaseLedger!$L:$L,$A52,CaseLedger!$B:$B,"TRUE"))</x:f>
      </x:c>
      <x:c r="C52" t="str">
        <x:f>IF($A52="","",SUMIFS(CaseLedger!$O:$O,CaseLedger!$L:$L,$A52,CaseLedger!$B:$B,"TRUE"))</x:f>
      </x:c>
      <x:c r="D52" t="str">
        <x:f>IF($A52="","",SUMIFS(CaseLedger!$M:$M,CaseLedger!$L:$L,$A52,CaseLedger!$B:$B,"TRUE"))</x:f>
      </x:c>
      <x:c r="E52" t="str">
        <x:f>IF($A52="","",SUMIFS(CaseLedger!$N:$N,CaseLedger!$L:$L,$A52,CaseLedger!$B:$B,"TRUE"))</x:f>
      </x:c>
      <x:c r="F52" t="str">
        <x:f>IF($A52="","",COUNTIFS(CaseLedger!$L:$L,$A52,CaseLedger!$B:$B,"TRUE",CaseLedger!$P:$P,"Mixed"))</x:f>
      </x:c>
      <x:c r="G52" t="str">
        <x:f>IF($A52="","",$A52)</x:f>
      </x:c>
    </x:row>
    <x:row r="53">
      <x:c r="B53" t="str">
        <x:f>IF($A53="","",COUNTIFS(CaseLedger!$L:$L,$A53,CaseLedger!$B:$B,"TRUE"))</x:f>
      </x:c>
      <x:c r="C53" t="str">
        <x:f>IF($A53="","",SUMIFS(CaseLedger!$O:$O,CaseLedger!$L:$L,$A53,CaseLedger!$B:$B,"TRUE"))</x:f>
      </x:c>
      <x:c r="D53" t="str">
        <x:f>IF($A53="","",SUMIFS(CaseLedger!$M:$M,CaseLedger!$L:$L,$A53,CaseLedger!$B:$B,"TRUE"))</x:f>
      </x:c>
      <x:c r="E53" t="str">
        <x:f>IF($A53="","",SUMIFS(CaseLedger!$N:$N,CaseLedger!$L:$L,$A53,CaseLedger!$B:$B,"TRUE"))</x:f>
      </x:c>
      <x:c r="F53" t="str">
        <x:f>IF($A53="","",COUNTIFS(CaseLedger!$L:$L,$A53,CaseLedger!$B:$B,"TRUE",CaseLedger!$P:$P,"Mixed"))</x:f>
      </x:c>
      <x:c r="G53" t="str">
        <x:f>IF($A53="","",$A53)</x:f>
      </x:c>
    </x:row>
    <x:row r="54">
      <x:c r="B54" t="str">
        <x:f>IF($A54="","",COUNTIFS(CaseLedger!$L:$L,$A54,CaseLedger!$B:$B,"TRUE"))</x:f>
      </x:c>
      <x:c r="C54" t="str">
        <x:f>IF($A54="","",SUMIFS(CaseLedger!$O:$O,CaseLedger!$L:$L,$A54,CaseLedger!$B:$B,"TRUE"))</x:f>
      </x:c>
      <x:c r="D54" t="str">
        <x:f>IF($A54="","",SUMIFS(CaseLedger!$M:$M,CaseLedger!$L:$L,$A54,CaseLedger!$B:$B,"TRUE"))</x:f>
      </x:c>
      <x:c r="E54" t="str">
        <x:f>IF($A54="","",SUMIFS(CaseLedger!$N:$N,CaseLedger!$L:$L,$A54,CaseLedger!$B:$B,"TRUE"))</x:f>
      </x:c>
      <x:c r="F54" t="str">
        <x:f>IF($A54="","",COUNTIFS(CaseLedger!$L:$L,$A54,CaseLedger!$B:$B,"TRUE",CaseLedger!$P:$P,"Mixed"))</x:f>
      </x:c>
      <x:c r="G54" t="str">
        <x:f>IF($A54="","",$A54)</x:f>
      </x:c>
    </x:row>
    <x:row r="55">
      <x:c r="B55" t="str">
        <x:f>IF($A55="","",COUNTIFS(CaseLedger!$L:$L,$A55,CaseLedger!$B:$B,"TRUE"))</x:f>
      </x:c>
      <x:c r="C55" t="str">
        <x:f>IF($A55="","",SUMIFS(CaseLedger!$O:$O,CaseLedger!$L:$L,$A55,CaseLedger!$B:$B,"TRUE"))</x:f>
      </x:c>
      <x:c r="D55" t="str">
        <x:f>IF($A55="","",SUMIFS(CaseLedger!$M:$M,CaseLedger!$L:$L,$A55,CaseLedger!$B:$B,"TRUE"))</x:f>
      </x:c>
      <x:c r="E55" t="str">
        <x:f>IF($A55="","",SUMIFS(CaseLedger!$N:$N,CaseLedger!$L:$L,$A55,CaseLedger!$B:$B,"TRUE"))</x:f>
      </x:c>
      <x:c r="F55" t="str">
        <x:f>IF($A55="","",COUNTIFS(CaseLedger!$L:$L,$A55,CaseLedger!$B:$B,"TRUE",CaseLedger!$P:$P,"Mixed"))</x:f>
      </x:c>
      <x:c r="G55" t="str">
        <x:f>IF($A55="","",$A55)</x:f>
      </x:c>
    </x:row>
    <x:row r="56">
      <x:c r="B56" t="str">
        <x:f>IF($A56="","",COUNTIFS(CaseLedger!$L:$L,$A56,CaseLedger!$B:$B,"TRUE"))</x:f>
      </x:c>
      <x:c r="C56" t="str">
        <x:f>IF($A56="","",SUMIFS(CaseLedger!$O:$O,CaseLedger!$L:$L,$A56,CaseLedger!$B:$B,"TRUE"))</x:f>
      </x:c>
      <x:c r="D56" t="str">
        <x:f>IF($A56="","",SUMIFS(CaseLedger!$M:$M,CaseLedger!$L:$L,$A56,CaseLedger!$B:$B,"TRUE"))</x:f>
      </x:c>
      <x:c r="E56" t="str">
        <x:f>IF($A56="","",SUMIFS(CaseLedger!$N:$N,CaseLedger!$L:$L,$A56,CaseLedger!$B:$B,"TRUE"))</x:f>
      </x:c>
      <x:c r="F56" t="str">
        <x:f>IF($A56="","",COUNTIFS(CaseLedger!$L:$L,$A56,CaseLedger!$B:$B,"TRUE",CaseLedger!$P:$P,"Mixed"))</x:f>
      </x:c>
      <x:c r="G56" t="str">
        <x:f>IF($A56="","",$A56)</x:f>
      </x:c>
    </x:row>
    <x:row r="57">
      <x:c r="B57" t="str">
        <x:f>IF($A57="","",COUNTIFS(CaseLedger!$L:$L,$A57,CaseLedger!$B:$B,"TRUE"))</x:f>
      </x:c>
      <x:c r="C57" t="str">
        <x:f>IF($A57="","",SUMIFS(CaseLedger!$O:$O,CaseLedger!$L:$L,$A57,CaseLedger!$B:$B,"TRUE"))</x:f>
      </x:c>
      <x:c r="D57" t="str">
        <x:f>IF($A57="","",SUMIFS(CaseLedger!$M:$M,CaseLedger!$L:$L,$A57,CaseLedger!$B:$B,"TRUE"))</x:f>
      </x:c>
      <x:c r="E57" t="str">
        <x:f>IF($A57="","",SUMIFS(CaseLedger!$N:$N,CaseLedger!$L:$L,$A57,CaseLedger!$B:$B,"TRUE"))</x:f>
      </x:c>
      <x:c r="F57" t="str">
        <x:f>IF($A57="","",COUNTIFS(CaseLedger!$L:$L,$A57,CaseLedger!$B:$B,"TRUE",CaseLedger!$P:$P,"Mixed"))</x:f>
      </x:c>
      <x:c r="G57" t="str">
        <x:f>IF($A57="","",$A57)</x:f>
      </x:c>
    </x:row>
    <x:row r="58">
      <x:c r="B58" t="str">
        <x:f>IF($A58="","",COUNTIFS(CaseLedger!$L:$L,$A58,CaseLedger!$B:$B,"TRUE"))</x:f>
      </x:c>
      <x:c r="C58" t="str">
        <x:f>IF($A58="","",SUMIFS(CaseLedger!$O:$O,CaseLedger!$L:$L,$A58,CaseLedger!$B:$B,"TRUE"))</x:f>
      </x:c>
      <x:c r="D58" t="str">
        <x:f>IF($A58="","",SUMIFS(CaseLedger!$M:$M,CaseLedger!$L:$L,$A58,CaseLedger!$B:$B,"TRUE"))</x:f>
      </x:c>
      <x:c r="E58" t="str">
        <x:f>IF($A58="","",SUMIFS(CaseLedger!$N:$N,CaseLedger!$L:$L,$A58,CaseLedger!$B:$B,"TRUE"))</x:f>
      </x:c>
      <x:c r="F58" t="str">
        <x:f>IF($A58="","",COUNTIFS(CaseLedger!$L:$L,$A58,CaseLedger!$B:$B,"TRUE",CaseLedger!$P:$P,"Mixed"))</x:f>
      </x:c>
      <x:c r="G58" t="str">
        <x:f>IF($A58="","",$A58)</x:f>
      </x:c>
    </x:row>
    <x:row r="59">
      <x:c r="B59" t="str">
        <x:f>IF($A59="","",COUNTIFS(CaseLedger!$L:$L,$A59,CaseLedger!$B:$B,"TRUE"))</x:f>
      </x:c>
      <x:c r="C59" t="str">
        <x:f>IF($A59="","",SUMIFS(CaseLedger!$O:$O,CaseLedger!$L:$L,$A59,CaseLedger!$B:$B,"TRUE"))</x:f>
      </x:c>
      <x:c r="D59" t="str">
        <x:f>IF($A59="","",SUMIFS(CaseLedger!$M:$M,CaseLedger!$L:$L,$A59,CaseLedger!$B:$B,"TRUE"))</x:f>
      </x:c>
      <x:c r="E59" t="str">
        <x:f>IF($A59="","",SUMIFS(CaseLedger!$N:$N,CaseLedger!$L:$L,$A59,CaseLedger!$B:$B,"TRUE"))</x:f>
      </x:c>
      <x:c r="F59" t="str">
        <x:f>IF($A59="","",COUNTIFS(CaseLedger!$L:$L,$A59,CaseLedger!$B:$B,"TRUE",CaseLedger!$P:$P,"Mixed"))</x:f>
      </x:c>
      <x:c r="G59" t="str">
        <x:f>IF($A59="","",$A59)</x:f>
      </x:c>
    </x:row>
    <x:row r="60">
      <x:c r="B60" t="str">
        <x:f>IF($A60="","",COUNTIFS(CaseLedger!$L:$L,$A60,CaseLedger!$B:$B,"TRUE"))</x:f>
      </x:c>
      <x:c r="C60" t="str">
        <x:f>IF($A60="","",SUMIFS(CaseLedger!$O:$O,CaseLedger!$L:$L,$A60,CaseLedger!$B:$B,"TRUE"))</x:f>
      </x:c>
      <x:c r="D60" t="str">
        <x:f>IF($A60="","",SUMIFS(CaseLedger!$M:$M,CaseLedger!$L:$L,$A60,CaseLedger!$B:$B,"TRUE"))</x:f>
      </x:c>
      <x:c r="E60" t="str">
        <x:f>IF($A60="","",SUMIFS(CaseLedger!$N:$N,CaseLedger!$L:$L,$A60,CaseLedger!$B:$B,"TRUE"))</x:f>
      </x:c>
      <x:c r="F60" t="str">
        <x:f>IF($A60="","",COUNTIFS(CaseLedger!$L:$L,$A60,CaseLedger!$B:$B,"TRUE",CaseLedger!$P:$P,"Mixed"))</x:f>
      </x:c>
      <x:c r="G60" t="str">
        <x:f>IF($A60="","",$A60)</x:f>
      </x:c>
    </x:row>
    <x:row r="61">
      <x:c r="B61" t="str">
        <x:f>IF($A61="","",COUNTIFS(CaseLedger!$L:$L,$A61,CaseLedger!$B:$B,"TRUE"))</x:f>
      </x:c>
      <x:c r="C61" t="str">
        <x:f>IF($A61="","",SUMIFS(CaseLedger!$O:$O,CaseLedger!$L:$L,$A61,CaseLedger!$B:$B,"TRUE"))</x:f>
      </x:c>
      <x:c r="D61" t="str">
        <x:f>IF($A61="","",SUMIFS(CaseLedger!$M:$M,CaseLedger!$L:$L,$A61,CaseLedger!$B:$B,"TRUE"))</x:f>
      </x:c>
      <x:c r="E61" t="str">
        <x:f>IF($A61="","",SUMIFS(CaseLedger!$N:$N,CaseLedger!$L:$L,$A61,CaseLedger!$B:$B,"TRUE"))</x:f>
      </x:c>
      <x:c r="F61" t="str">
        <x:f>IF($A61="","",COUNTIFS(CaseLedger!$L:$L,$A61,CaseLedger!$B:$B,"TRUE",CaseLedger!$P:$P,"Mixed"))</x:f>
      </x:c>
      <x:c r="G61" t="str">
        <x:f>IF($A61="","",$A61)</x:f>
      </x:c>
    </x:row>
    <x:row r="62">
      <x:c r="B62" t="str">
        <x:f>IF($A62="","",COUNTIFS(CaseLedger!$L:$L,$A62,CaseLedger!$B:$B,"TRUE"))</x:f>
      </x:c>
      <x:c r="C62" t="str">
        <x:f>IF($A62="","",SUMIFS(CaseLedger!$O:$O,CaseLedger!$L:$L,$A62,CaseLedger!$B:$B,"TRUE"))</x:f>
      </x:c>
      <x:c r="D62" t="str">
        <x:f>IF($A62="","",SUMIFS(CaseLedger!$M:$M,CaseLedger!$L:$L,$A62,CaseLedger!$B:$B,"TRUE"))</x:f>
      </x:c>
      <x:c r="E62" t="str">
        <x:f>IF($A62="","",SUMIFS(CaseLedger!$N:$N,CaseLedger!$L:$L,$A62,CaseLedger!$B:$B,"TRUE"))</x:f>
      </x:c>
      <x:c r="F62" t="str">
        <x:f>IF($A62="","",COUNTIFS(CaseLedger!$L:$L,$A62,CaseLedger!$B:$B,"TRUE",CaseLedger!$P:$P,"Mixed"))</x:f>
      </x:c>
      <x:c r="G62" t="str">
        <x:f>IF($A62="","",$A62)</x:f>
      </x:c>
    </x:row>
    <x:row r="63">
      <x:c r="B63" t="str">
        <x:f>IF($A63="","",COUNTIFS(CaseLedger!$L:$L,$A63,CaseLedger!$B:$B,"TRUE"))</x:f>
      </x:c>
      <x:c r="C63" t="str">
        <x:f>IF($A63="","",SUMIFS(CaseLedger!$O:$O,CaseLedger!$L:$L,$A63,CaseLedger!$B:$B,"TRUE"))</x:f>
      </x:c>
      <x:c r="D63" t="str">
        <x:f>IF($A63="","",SUMIFS(CaseLedger!$M:$M,CaseLedger!$L:$L,$A63,CaseLedger!$B:$B,"TRUE"))</x:f>
      </x:c>
      <x:c r="E63" t="str">
        <x:f>IF($A63="","",SUMIFS(CaseLedger!$N:$N,CaseLedger!$L:$L,$A63,CaseLedger!$B:$B,"TRUE"))</x:f>
      </x:c>
      <x:c r="F63" t="str">
        <x:f>IF($A63="","",COUNTIFS(CaseLedger!$L:$L,$A63,CaseLedger!$B:$B,"TRUE",CaseLedger!$P:$P,"Mixed"))</x:f>
      </x:c>
      <x:c r="G63" t="str">
        <x:f>IF($A63="","",$A63)</x:f>
      </x:c>
    </x:row>
    <x:row r="64">
      <x:c r="B64" t="str">
        <x:f>IF($A64="","",COUNTIFS(CaseLedger!$L:$L,$A64,CaseLedger!$B:$B,"TRUE"))</x:f>
      </x:c>
      <x:c r="C64" t="str">
        <x:f>IF($A64="","",SUMIFS(CaseLedger!$O:$O,CaseLedger!$L:$L,$A64,CaseLedger!$B:$B,"TRUE"))</x:f>
      </x:c>
      <x:c r="D64" t="str">
        <x:f>IF($A64="","",SUMIFS(CaseLedger!$M:$M,CaseLedger!$L:$L,$A64,CaseLedger!$B:$B,"TRUE"))</x:f>
      </x:c>
      <x:c r="E64" t="str">
        <x:f>IF($A64="","",SUMIFS(CaseLedger!$N:$N,CaseLedger!$L:$L,$A64,CaseLedger!$B:$B,"TRUE"))</x:f>
      </x:c>
      <x:c r="F64" t="str">
        <x:f>IF($A64="","",COUNTIFS(CaseLedger!$L:$L,$A64,CaseLedger!$B:$B,"TRUE",CaseLedger!$P:$P,"Mixed"))</x:f>
      </x:c>
      <x:c r="G64" t="str">
        <x:f>IF($A64="","",$A64)</x:f>
      </x:c>
    </x:row>
    <x:row r="65">
      <x:c r="B65" t="str">
        <x:f>IF($A65="","",COUNTIFS(CaseLedger!$L:$L,$A65,CaseLedger!$B:$B,"TRUE"))</x:f>
      </x:c>
      <x:c r="C65" t="str">
        <x:f>IF($A65="","",SUMIFS(CaseLedger!$O:$O,CaseLedger!$L:$L,$A65,CaseLedger!$B:$B,"TRUE"))</x:f>
      </x:c>
      <x:c r="D65" t="str">
        <x:f>IF($A65="","",SUMIFS(CaseLedger!$M:$M,CaseLedger!$L:$L,$A65,CaseLedger!$B:$B,"TRUE"))</x:f>
      </x:c>
      <x:c r="E65" t="str">
        <x:f>IF($A65="","",SUMIFS(CaseLedger!$N:$N,CaseLedger!$L:$L,$A65,CaseLedger!$B:$B,"TRUE"))</x:f>
      </x:c>
      <x:c r="F65" t="str">
        <x:f>IF($A65="","",COUNTIFS(CaseLedger!$L:$L,$A65,CaseLedger!$B:$B,"TRUE",CaseLedger!$P:$P,"Mixed"))</x:f>
      </x:c>
      <x:c r="G65" t="str">
        <x:f>IF($A65="","",$A65)</x:f>
      </x:c>
    </x:row>
    <x:row r="66">
      <x:c r="B66" t="str">
        <x:f>IF($A66="","",COUNTIFS(CaseLedger!$L:$L,$A66,CaseLedger!$B:$B,"TRUE"))</x:f>
      </x:c>
      <x:c r="C66" t="str">
        <x:f>IF($A66="","",SUMIFS(CaseLedger!$O:$O,CaseLedger!$L:$L,$A66,CaseLedger!$B:$B,"TRUE"))</x:f>
      </x:c>
      <x:c r="D66" t="str">
        <x:f>IF($A66="","",SUMIFS(CaseLedger!$M:$M,CaseLedger!$L:$L,$A66,CaseLedger!$B:$B,"TRUE"))</x:f>
      </x:c>
      <x:c r="E66" t="str">
        <x:f>IF($A66="","",SUMIFS(CaseLedger!$N:$N,CaseLedger!$L:$L,$A66,CaseLedger!$B:$B,"TRUE"))</x:f>
      </x:c>
      <x:c r="F66" t="str">
        <x:f>IF($A66="","",COUNTIFS(CaseLedger!$L:$L,$A66,CaseLedger!$B:$B,"TRUE",CaseLedger!$P:$P,"Mixed"))</x:f>
      </x:c>
      <x:c r="G66" t="str">
        <x:f>IF($A66="","",$A66)</x:f>
      </x:c>
    </x:row>
    <x:row r="67">
      <x:c r="B67" t="str">
        <x:f>IF($A67="","",COUNTIFS(CaseLedger!$L:$L,$A67,CaseLedger!$B:$B,"TRUE"))</x:f>
      </x:c>
      <x:c r="C67" t="str">
        <x:f>IF($A67="","",SUMIFS(CaseLedger!$O:$O,CaseLedger!$L:$L,$A67,CaseLedger!$B:$B,"TRUE"))</x:f>
      </x:c>
      <x:c r="D67" t="str">
        <x:f>IF($A67="","",SUMIFS(CaseLedger!$M:$M,CaseLedger!$L:$L,$A67,CaseLedger!$B:$B,"TRUE"))</x:f>
      </x:c>
      <x:c r="E67" t="str">
        <x:f>IF($A67="","",SUMIFS(CaseLedger!$N:$N,CaseLedger!$L:$L,$A67,CaseLedger!$B:$B,"TRUE"))</x:f>
      </x:c>
      <x:c r="F67" t="str">
        <x:f>IF($A67="","",COUNTIFS(CaseLedger!$L:$L,$A67,CaseLedger!$B:$B,"TRUE",CaseLedger!$P:$P,"Mixed"))</x:f>
      </x:c>
      <x:c r="G67" t="str">
        <x:f>IF($A67="","",$A67)</x:f>
      </x:c>
    </x:row>
    <x:row r="68">
      <x:c r="B68" t="str">
        <x:f>IF($A68="","",COUNTIFS(CaseLedger!$L:$L,$A68,CaseLedger!$B:$B,"TRUE"))</x:f>
      </x:c>
      <x:c r="C68" t="str">
        <x:f>IF($A68="","",SUMIFS(CaseLedger!$O:$O,CaseLedger!$L:$L,$A68,CaseLedger!$B:$B,"TRUE"))</x:f>
      </x:c>
      <x:c r="D68" t="str">
        <x:f>IF($A68="","",SUMIFS(CaseLedger!$M:$M,CaseLedger!$L:$L,$A68,CaseLedger!$B:$B,"TRUE"))</x:f>
      </x:c>
      <x:c r="E68" t="str">
        <x:f>IF($A68="","",SUMIFS(CaseLedger!$N:$N,CaseLedger!$L:$L,$A68,CaseLedger!$B:$B,"TRUE"))</x:f>
      </x:c>
      <x:c r="F68" t="str">
        <x:f>IF($A68="","",COUNTIFS(CaseLedger!$L:$L,$A68,CaseLedger!$B:$B,"TRUE",CaseLedger!$P:$P,"Mixed"))</x:f>
      </x:c>
      <x:c r="G68" t="str">
        <x:f>IF($A68="","",$A68)</x:f>
      </x:c>
    </x:row>
    <x:row r="69">
      <x:c r="B69" t="str">
        <x:f>IF($A69="","",COUNTIFS(CaseLedger!$L:$L,$A69,CaseLedger!$B:$B,"TRUE"))</x:f>
      </x:c>
      <x:c r="C69" t="str">
        <x:f>IF($A69="","",SUMIFS(CaseLedger!$O:$O,CaseLedger!$L:$L,$A69,CaseLedger!$B:$B,"TRUE"))</x:f>
      </x:c>
      <x:c r="D69" t="str">
        <x:f>IF($A69="","",SUMIFS(CaseLedger!$M:$M,CaseLedger!$L:$L,$A69,CaseLedger!$B:$B,"TRUE"))</x:f>
      </x:c>
      <x:c r="E69" t="str">
        <x:f>IF($A69="","",SUMIFS(CaseLedger!$N:$N,CaseLedger!$L:$L,$A69,CaseLedger!$B:$B,"TRUE"))</x:f>
      </x:c>
      <x:c r="F69" t="str">
        <x:f>IF($A69="","",COUNTIFS(CaseLedger!$L:$L,$A69,CaseLedger!$B:$B,"TRUE",CaseLedger!$P:$P,"Mixed"))</x:f>
      </x:c>
      <x:c r="G69" t="str">
        <x:f>IF($A69="","",$A69)</x:f>
      </x:c>
    </x:row>
    <x:row r="70">
      <x:c r="B70" t="str">
        <x:f>IF($A70="","",COUNTIFS(CaseLedger!$L:$L,$A70,CaseLedger!$B:$B,"TRUE"))</x:f>
      </x:c>
      <x:c r="C70" t="str">
        <x:f>IF($A70="","",SUMIFS(CaseLedger!$O:$O,CaseLedger!$L:$L,$A70,CaseLedger!$B:$B,"TRUE"))</x:f>
      </x:c>
      <x:c r="D70" t="str">
        <x:f>IF($A70="","",SUMIFS(CaseLedger!$M:$M,CaseLedger!$L:$L,$A70,CaseLedger!$B:$B,"TRUE"))</x:f>
      </x:c>
      <x:c r="E70" t="str">
        <x:f>IF($A70="","",SUMIFS(CaseLedger!$N:$N,CaseLedger!$L:$L,$A70,CaseLedger!$B:$B,"TRUE"))</x:f>
      </x:c>
      <x:c r="F70" t="str">
        <x:f>IF($A70="","",COUNTIFS(CaseLedger!$L:$L,$A70,CaseLedger!$B:$B,"TRUE",CaseLedger!$P:$P,"Mixed"))</x:f>
      </x:c>
      <x:c r="G70" t="str">
        <x:f>IF($A70="","",$A70)</x:f>
      </x:c>
    </x:row>
    <x:row r="71">
      <x:c r="B71" t="str">
        <x:f>IF($A71="","",COUNTIFS(CaseLedger!$L:$L,$A71,CaseLedger!$B:$B,"TRUE"))</x:f>
      </x:c>
      <x:c r="C71" t="str">
        <x:f>IF($A71="","",SUMIFS(CaseLedger!$O:$O,CaseLedger!$L:$L,$A71,CaseLedger!$B:$B,"TRUE"))</x:f>
      </x:c>
      <x:c r="D71" t="str">
        <x:f>IF($A71="","",SUMIFS(CaseLedger!$M:$M,CaseLedger!$L:$L,$A71,CaseLedger!$B:$B,"TRUE"))</x:f>
      </x:c>
      <x:c r="E71" t="str">
        <x:f>IF($A71="","",SUMIFS(CaseLedger!$N:$N,CaseLedger!$L:$L,$A71,CaseLedger!$B:$B,"TRUE"))</x:f>
      </x:c>
      <x:c r="F71" t="str">
        <x:f>IF($A71="","",COUNTIFS(CaseLedger!$L:$L,$A71,CaseLedger!$B:$B,"TRUE",CaseLedger!$P:$P,"Mixed"))</x:f>
      </x:c>
      <x:c r="G71" t="str">
        <x:f>IF($A71="","",$A71)</x:f>
      </x:c>
    </x:row>
    <x:row r="72">
      <x:c r="B72" t="str">
        <x:f>IF($A72="","",COUNTIFS(CaseLedger!$L:$L,$A72,CaseLedger!$B:$B,"TRUE"))</x:f>
      </x:c>
      <x:c r="C72" t="str">
        <x:f>IF($A72="","",SUMIFS(CaseLedger!$O:$O,CaseLedger!$L:$L,$A72,CaseLedger!$B:$B,"TRUE"))</x:f>
      </x:c>
      <x:c r="D72" t="str">
        <x:f>IF($A72="","",SUMIFS(CaseLedger!$M:$M,CaseLedger!$L:$L,$A72,CaseLedger!$B:$B,"TRUE"))</x:f>
      </x:c>
      <x:c r="E72" t="str">
        <x:f>IF($A72="","",SUMIFS(CaseLedger!$N:$N,CaseLedger!$L:$L,$A72,CaseLedger!$B:$B,"TRUE"))</x:f>
      </x:c>
      <x:c r="F72" t="str">
        <x:f>IF($A72="","",COUNTIFS(CaseLedger!$L:$L,$A72,CaseLedger!$B:$B,"TRUE",CaseLedger!$P:$P,"Mixed"))</x:f>
      </x:c>
      <x:c r="G72" t="str">
        <x:f>IF($A72="","",$A72)</x:f>
      </x:c>
    </x:row>
    <x:row r="73">
      <x:c r="B73" t="str">
        <x:f>IF($A73="","",COUNTIFS(CaseLedger!$L:$L,$A73,CaseLedger!$B:$B,"TRUE"))</x:f>
      </x:c>
      <x:c r="C73" t="str">
        <x:f>IF($A73="","",SUMIFS(CaseLedger!$O:$O,CaseLedger!$L:$L,$A73,CaseLedger!$B:$B,"TRUE"))</x:f>
      </x:c>
      <x:c r="D73" t="str">
        <x:f>IF($A73="","",SUMIFS(CaseLedger!$M:$M,CaseLedger!$L:$L,$A73,CaseLedger!$B:$B,"TRUE"))</x:f>
      </x:c>
      <x:c r="E73" t="str">
        <x:f>IF($A73="","",SUMIFS(CaseLedger!$N:$N,CaseLedger!$L:$L,$A73,CaseLedger!$B:$B,"TRUE"))</x:f>
      </x:c>
      <x:c r="F73" t="str">
        <x:f>IF($A73="","",COUNTIFS(CaseLedger!$L:$L,$A73,CaseLedger!$B:$B,"TRUE",CaseLedger!$P:$P,"Mixed"))</x:f>
      </x:c>
      <x:c r="G73" t="str">
        <x:f>IF($A73="","",$A73)</x:f>
      </x:c>
    </x:row>
    <x:row r="74">
      <x:c r="B74" t="str">
        <x:f>IF($A74="","",COUNTIFS(CaseLedger!$L:$L,$A74,CaseLedger!$B:$B,"TRUE"))</x:f>
      </x:c>
      <x:c r="C74" t="str">
        <x:f>IF($A74="","",SUMIFS(CaseLedger!$O:$O,CaseLedger!$L:$L,$A74,CaseLedger!$B:$B,"TRUE"))</x:f>
      </x:c>
      <x:c r="D74" t="str">
        <x:f>IF($A74="","",SUMIFS(CaseLedger!$M:$M,CaseLedger!$L:$L,$A74,CaseLedger!$B:$B,"TRUE"))</x:f>
      </x:c>
      <x:c r="E74" t="str">
        <x:f>IF($A74="","",SUMIFS(CaseLedger!$N:$N,CaseLedger!$L:$L,$A74,CaseLedger!$B:$B,"TRUE"))</x:f>
      </x:c>
      <x:c r="F74" t="str">
        <x:f>IF($A74="","",COUNTIFS(CaseLedger!$L:$L,$A74,CaseLedger!$B:$B,"TRUE",CaseLedger!$P:$P,"Mixed"))</x:f>
      </x:c>
      <x:c r="G74" t="str">
        <x:f>IF($A74="","",$A74)</x:f>
      </x:c>
    </x:row>
    <x:row r="75">
      <x:c r="B75" t="str">
        <x:f>IF($A75="","",COUNTIFS(CaseLedger!$L:$L,$A75,CaseLedger!$B:$B,"TRUE"))</x:f>
      </x:c>
      <x:c r="C75" t="str">
        <x:f>IF($A75="","",SUMIFS(CaseLedger!$O:$O,CaseLedger!$L:$L,$A75,CaseLedger!$B:$B,"TRUE"))</x:f>
      </x:c>
      <x:c r="D75" t="str">
        <x:f>IF($A75="","",SUMIFS(CaseLedger!$M:$M,CaseLedger!$L:$L,$A75,CaseLedger!$B:$B,"TRUE"))</x:f>
      </x:c>
      <x:c r="E75" t="str">
        <x:f>IF($A75="","",SUMIFS(CaseLedger!$N:$N,CaseLedger!$L:$L,$A75,CaseLedger!$B:$B,"TRUE"))</x:f>
      </x:c>
      <x:c r="F75" t="str">
        <x:f>IF($A75="","",COUNTIFS(CaseLedger!$L:$L,$A75,CaseLedger!$B:$B,"TRUE",CaseLedger!$P:$P,"Mixed"))</x:f>
      </x:c>
      <x:c r="G75" t="str">
        <x:f>IF($A75="","",$A75)</x:f>
      </x:c>
    </x:row>
    <x:row r="76">
      <x:c r="B76" t="str">
        <x:f>IF($A76="","",COUNTIFS(CaseLedger!$L:$L,$A76,CaseLedger!$B:$B,"TRUE"))</x:f>
      </x:c>
      <x:c r="C76" t="str">
        <x:f>IF($A76="","",SUMIFS(CaseLedger!$O:$O,CaseLedger!$L:$L,$A76,CaseLedger!$B:$B,"TRUE"))</x:f>
      </x:c>
      <x:c r="D76" t="str">
        <x:f>IF($A76="","",SUMIFS(CaseLedger!$M:$M,CaseLedger!$L:$L,$A76,CaseLedger!$B:$B,"TRUE"))</x:f>
      </x:c>
      <x:c r="E76" t="str">
        <x:f>IF($A76="","",SUMIFS(CaseLedger!$N:$N,CaseLedger!$L:$L,$A76,CaseLedger!$B:$B,"TRUE"))</x:f>
      </x:c>
      <x:c r="F76" t="str">
        <x:f>IF($A76="","",COUNTIFS(CaseLedger!$L:$L,$A76,CaseLedger!$B:$B,"TRUE",CaseLedger!$P:$P,"Mixed"))</x:f>
      </x:c>
      <x:c r="G76" t="str">
        <x:f>IF($A76="","",$A76)</x:f>
      </x:c>
    </x:row>
    <x:row r="77">
      <x:c r="B77" t="str">
        <x:f>IF($A77="","",COUNTIFS(CaseLedger!$L:$L,$A77,CaseLedger!$B:$B,"TRUE"))</x:f>
      </x:c>
      <x:c r="C77" t="str">
        <x:f>IF($A77="","",SUMIFS(CaseLedger!$O:$O,CaseLedger!$L:$L,$A77,CaseLedger!$B:$B,"TRUE"))</x:f>
      </x:c>
      <x:c r="D77" t="str">
        <x:f>IF($A77="","",SUMIFS(CaseLedger!$M:$M,CaseLedger!$L:$L,$A77,CaseLedger!$B:$B,"TRUE"))</x:f>
      </x:c>
      <x:c r="E77" t="str">
        <x:f>IF($A77="","",SUMIFS(CaseLedger!$N:$N,CaseLedger!$L:$L,$A77,CaseLedger!$B:$B,"TRUE"))</x:f>
      </x:c>
      <x:c r="F77" t="str">
        <x:f>IF($A77="","",COUNTIFS(CaseLedger!$L:$L,$A77,CaseLedger!$B:$B,"TRUE",CaseLedger!$P:$P,"Mixed"))</x:f>
      </x:c>
      <x:c r="G77" t="str">
        <x:f>IF($A77="","",$A77)</x:f>
      </x:c>
    </x:row>
    <x:row r="78">
      <x:c r="B78" t="str">
        <x:f>IF($A78="","",COUNTIFS(CaseLedger!$L:$L,$A78,CaseLedger!$B:$B,"TRUE"))</x:f>
      </x:c>
      <x:c r="C78" t="str">
        <x:f>IF($A78="","",SUMIFS(CaseLedger!$O:$O,CaseLedger!$L:$L,$A78,CaseLedger!$B:$B,"TRUE"))</x:f>
      </x:c>
      <x:c r="D78" t="str">
        <x:f>IF($A78="","",SUMIFS(CaseLedger!$M:$M,CaseLedger!$L:$L,$A78,CaseLedger!$B:$B,"TRUE"))</x:f>
      </x:c>
      <x:c r="E78" t="str">
        <x:f>IF($A78="","",SUMIFS(CaseLedger!$N:$N,CaseLedger!$L:$L,$A78,CaseLedger!$B:$B,"TRUE"))</x:f>
      </x:c>
      <x:c r="F78" t="str">
        <x:f>IF($A78="","",COUNTIFS(CaseLedger!$L:$L,$A78,CaseLedger!$B:$B,"TRUE",CaseLedger!$P:$P,"Mixed"))</x:f>
      </x:c>
      <x:c r="G78" t="str">
        <x:f>IF($A78="","",$A78)</x:f>
      </x:c>
    </x:row>
    <x:row r="79">
      <x:c r="B79" t="str">
        <x:f>IF($A79="","",COUNTIFS(CaseLedger!$L:$L,$A79,CaseLedger!$B:$B,"TRUE"))</x:f>
      </x:c>
      <x:c r="C79" t="str">
        <x:f>IF($A79="","",SUMIFS(CaseLedger!$O:$O,CaseLedger!$L:$L,$A79,CaseLedger!$B:$B,"TRUE"))</x:f>
      </x:c>
      <x:c r="D79" t="str">
        <x:f>IF($A79="","",SUMIFS(CaseLedger!$M:$M,CaseLedger!$L:$L,$A79,CaseLedger!$B:$B,"TRUE"))</x:f>
      </x:c>
      <x:c r="E79" t="str">
        <x:f>IF($A79="","",SUMIFS(CaseLedger!$N:$N,CaseLedger!$L:$L,$A79,CaseLedger!$B:$B,"TRUE"))</x:f>
      </x:c>
      <x:c r="F79" t="str">
        <x:f>IF($A79="","",COUNTIFS(CaseLedger!$L:$L,$A79,CaseLedger!$B:$B,"TRUE",CaseLedger!$P:$P,"Mixed"))</x:f>
      </x:c>
      <x:c r="G79" t="str">
        <x:f>IF($A79="","",$A79)</x:f>
      </x:c>
    </x:row>
    <x:row r="80">
      <x:c r="B80" t="str">
        <x:f>IF($A80="","",COUNTIFS(CaseLedger!$L:$L,$A80,CaseLedger!$B:$B,"TRUE"))</x:f>
      </x:c>
      <x:c r="C80" t="str">
        <x:f>IF($A80="","",SUMIFS(CaseLedger!$O:$O,CaseLedger!$L:$L,$A80,CaseLedger!$B:$B,"TRUE"))</x:f>
      </x:c>
      <x:c r="D80" t="str">
        <x:f>IF($A80="","",SUMIFS(CaseLedger!$M:$M,CaseLedger!$L:$L,$A80,CaseLedger!$B:$B,"TRUE"))</x:f>
      </x:c>
      <x:c r="E80" t="str">
        <x:f>IF($A80="","",SUMIFS(CaseLedger!$N:$N,CaseLedger!$L:$L,$A80,CaseLedger!$B:$B,"TRUE"))</x:f>
      </x:c>
      <x:c r="F80" t="str">
        <x:f>IF($A80="","",COUNTIFS(CaseLedger!$L:$L,$A80,CaseLedger!$B:$B,"TRUE",CaseLedger!$P:$P,"Mixed"))</x:f>
      </x:c>
      <x:c r="G80" t="str">
        <x:f>IF($A80="","",$A80)</x:f>
      </x:c>
    </x:row>
    <x:row r="81">
      <x:c r="B81" t="str">
        <x:f>IF($A81="","",COUNTIFS(CaseLedger!$L:$L,$A81,CaseLedger!$B:$B,"TRUE"))</x:f>
      </x:c>
      <x:c r="C81" t="str">
        <x:f>IF($A81="","",SUMIFS(CaseLedger!$O:$O,CaseLedger!$L:$L,$A81,CaseLedger!$B:$B,"TRUE"))</x:f>
      </x:c>
      <x:c r="D81" t="str">
        <x:f>IF($A81="","",SUMIFS(CaseLedger!$M:$M,CaseLedger!$L:$L,$A81,CaseLedger!$B:$B,"TRUE"))</x:f>
      </x:c>
      <x:c r="E81" t="str">
        <x:f>IF($A81="","",SUMIFS(CaseLedger!$N:$N,CaseLedger!$L:$L,$A81,CaseLedger!$B:$B,"TRUE"))</x:f>
      </x:c>
      <x:c r="F81" t="str">
        <x:f>IF($A81="","",COUNTIFS(CaseLedger!$L:$L,$A81,CaseLedger!$B:$B,"TRUE",CaseLedger!$P:$P,"Mixed"))</x:f>
      </x:c>
      <x:c r="G81" t="str">
        <x:f>IF($A81="","",$A81)</x:f>
      </x:c>
    </x:row>
    <x:row r="82">
      <x:c r="B82" t="str">
        <x:f>IF($A82="","",COUNTIFS(CaseLedger!$L:$L,$A82,CaseLedger!$B:$B,"TRUE"))</x:f>
      </x:c>
      <x:c r="C82" t="str">
        <x:f>IF($A82="","",SUMIFS(CaseLedger!$O:$O,CaseLedger!$L:$L,$A82,CaseLedger!$B:$B,"TRUE"))</x:f>
      </x:c>
      <x:c r="D82" t="str">
        <x:f>IF($A82="","",SUMIFS(CaseLedger!$M:$M,CaseLedger!$L:$L,$A82,CaseLedger!$B:$B,"TRUE"))</x:f>
      </x:c>
      <x:c r="E82" t="str">
        <x:f>IF($A82="","",SUMIFS(CaseLedger!$N:$N,CaseLedger!$L:$L,$A82,CaseLedger!$B:$B,"TRUE"))</x:f>
      </x:c>
      <x:c r="F82" t="str">
        <x:f>IF($A82="","",COUNTIFS(CaseLedger!$L:$L,$A82,CaseLedger!$B:$B,"TRUE",CaseLedger!$P:$P,"Mixed"))</x:f>
      </x:c>
      <x:c r="G82" t="str">
        <x:f>IF($A82="","",$A82)</x:f>
      </x:c>
    </x:row>
    <x:row r="83">
      <x:c r="B83" t="str">
        <x:f>IF($A83="","",COUNTIFS(CaseLedger!$L:$L,$A83,CaseLedger!$B:$B,"TRUE"))</x:f>
      </x:c>
      <x:c r="C83" t="str">
        <x:f>IF($A83="","",SUMIFS(CaseLedger!$O:$O,CaseLedger!$L:$L,$A83,CaseLedger!$B:$B,"TRUE"))</x:f>
      </x:c>
      <x:c r="D83" t="str">
        <x:f>IF($A83="","",SUMIFS(CaseLedger!$M:$M,CaseLedger!$L:$L,$A83,CaseLedger!$B:$B,"TRUE"))</x:f>
      </x:c>
      <x:c r="E83" t="str">
        <x:f>IF($A83="","",SUMIFS(CaseLedger!$N:$N,CaseLedger!$L:$L,$A83,CaseLedger!$B:$B,"TRUE"))</x:f>
      </x:c>
      <x:c r="F83" t="str">
        <x:f>IF($A83="","",COUNTIFS(CaseLedger!$L:$L,$A83,CaseLedger!$B:$B,"TRUE",CaseLedger!$P:$P,"Mixed"))</x:f>
      </x:c>
      <x:c r="G83" t="str">
        <x:f>IF($A83="","",$A83)</x:f>
      </x:c>
    </x:row>
    <x:row r="84">
      <x:c r="B84" t="str">
        <x:f>IF($A84="","",COUNTIFS(CaseLedger!$L:$L,$A84,CaseLedger!$B:$B,"TRUE"))</x:f>
      </x:c>
      <x:c r="C84" t="str">
        <x:f>IF($A84="","",SUMIFS(CaseLedger!$O:$O,CaseLedger!$L:$L,$A84,CaseLedger!$B:$B,"TRUE"))</x:f>
      </x:c>
      <x:c r="D84" t="str">
        <x:f>IF($A84="","",SUMIFS(CaseLedger!$M:$M,CaseLedger!$L:$L,$A84,CaseLedger!$B:$B,"TRUE"))</x:f>
      </x:c>
      <x:c r="E84" t="str">
        <x:f>IF($A84="","",SUMIFS(CaseLedger!$N:$N,CaseLedger!$L:$L,$A84,CaseLedger!$B:$B,"TRUE"))</x:f>
      </x:c>
      <x:c r="F84" t="str">
        <x:f>IF($A84="","",COUNTIFS(CaseLedger!$L:$L,$A84,CaseLedger!$B:$B,"TRUE",CaseLedger!$P:$P,"Mixed"))</x:f>
      </x:c>
      <x:c r="G84" t="str">
        <x:f>IF($A84="","",$A84)</x:f>
      </x:c>
    </x:row>
    <x:row r="85">
      <x:c r="B85" t="str">
        <x:f>IF($A85="","",COUNTIFS(CaseLedger!$L:$L,$A85,CaseLedger!$B:$B,"TRUE"))</x:f>
      </x:c>
      <x:c r="C85" t="str">
        <x:f>IF($A85="","",SUMIFS(CaseLedger!$O:$O,CaseLedger!$L:$L,$A85,CaseLedger!$B:$B,"TRUE"))</x:f>
      </x:c>
      <x:c r="D85" t="str">
        <x:f>IF($A85="","",SUMIFS(CaseLedger!$M:$M,CaseLedger!$L:$L,$A85,CaseLedger!$B:$B,"TRUE"))</x:f>
      </x:c>
      <x:c r="E85" t="str">
        <x:f>IF($A85="","",SUMIFS(CaseLedger!$N:$N,CaseLedger!$L:$L,$A85,CaseLedger!$B:$B,"TRUE"))</x:f>
      </x:c>
      <x:c r="F85" t="str">
        <x:f>IF($A85="","",COUNTIFS(CaseLedger!$L:$L,$A85,CaseLedger!$B:$B,"TRUE",CaseLedger!$P:$P,"Mixed"))</x:f>
      </x:c>
      <x:c r="G85" t="str">
        <x:f>IF($A85="","",$A85)</x:f>
      </x:c>
    </x:row>
    <x:row r="86">
      <x:c r="B86" t="str">
        <x:f>IF($A86="","",COUNTIFS(CaseLedger!$L:$L,$A86,CaseLedger!$B:$B,"TRUE"))</x:f>
      </x:c>
      <x:c r="C86" t="str">
        <x:f>IF($A86="","",SUMIFS(CaseLedger!$O:$O,CaseLedger!$L:$L,$A86,CaseLedger!$B:$B,"TRUE"))</x:f>
      </x:c>
      <x:c r="D86" t="str">
        <x:f>IF($A86="","",SUMIFS(CaseLedger!$M:$M,CaseLedger!$L:$L,$A86,CaseLedger!$B:$B,"TRUE"))</x:f>
      </x:c>
      <x:c r="E86" t="str">
        <x:f>IF($A86="","",SUMIFS(CaseLedger!$N:$N,CaseLedger!$L:$L,$A86,CaseLedger!$B:$B,"TRUE"))</x:f>
      </x:c>
      <x:c r="F86" t="str">
        <x:f>IF($A86="","",COUNTIFS(CaseLedger!$L:$L,$A86,CaseLedger!$B:$B,"TRUE",CaseLedger!$P:$P,"Mixed"))</x:f>
      </x:c>
      <x:c r="G86" t="str">
        <x:f>IF($A86="","",$A86)</x:f>
      </x:c>
    </x:row>
    <x:row r="87">
      <x:c r="B87" t="str">
        <x:f>IF($A87="","",COUNTIFS(CaseLedger!$L:$L,$A87,CaseLedger!$B:$B,"TRUE"))</x:f>
      </x:c>
      <x:c r="C87" t="str">
        <x:f>IF($A87="","",SUMIFS(CaseLedger!$O:$O,CaseLedger!$L:$L,$A87,CaseLedger!$B:$B,"TRUE"))</x:f>
      </x:c>
      <x:c r="D87" t="str">
        <x:f>IF($A87="","",SUMIFS(CaseLedger!$M:$M,CaseLedger!$L:$L,$A87,CaseLedger!$B:$B,"TRUE"))</x:f>
      </x:c>
      <x:c r="E87" t="str">
        <x:f>IF($A87="","",SUMIFS(CaseLedger!$N:$N,CaseLedger!$L:$L,$A87,CaseLedger!$B:$B,"TRUE"))</x:f>
      </x:c>
      <x:c r="F87" t="str">
        <x:f>IF($A87="","",COUNTIFS(CaseLedger!$L:$L,$A87,CaseLedger!$B:$B,"TRUE",CaseLedger!$P:$P,"Mixed"))</x:f>
      </x:c>
      <x:c r="G87" t="str">
        <x:f>IF($A87="","",$A87)</x:f>
      </x:c>
    </x:row>
    <x:row r="88">
      <x:c r="B88" t="str">
        <x:f>IF($A88="","",COUNTIFS(CaseLedger!$L:$L,$A88,CaseLedger!$B:$B,"TRUE"))</x:f>
      </x:c>
      <x:c r="C88" t="str">
        <x:f>IF($A88="","",SUMIFS(CaseLedger!$O:$O,CaseLedger!$L:$L,$A88,CaseLedger!$B:$B,"TRUE"))</x:f>
      </x:c>
      <x:c r="D88" t="str">
        <x:f>IF($A88="","",SUMIFS(CaseLedger!$M:$M,CaseLedger!$L:$L,$A88,CaseLedger!$B:$B,"TRUE"))</x:f>
      </x:c>
      <x:c r="E88" t="str">
        <x:f>IF($A88="","",SUMIFS(CaseLedger!$N:$N,CaseLedger!$L:$L,$A88,CaseLedger!$B:$B,"TRUE"))</x:f>
      </x:c>
      <x:c r="F88" t="str">
        <x:f>IF($A88="","",COUNTIFS(CaseLedger!$L:$L,$A88,CaseLedger!$B:$B,"TRUE",CaseLedger!$P:$P,"Mixed"))</x:f>
      </x:c>
      <x:c r="G88" t="str">
        <x:f>IF($A88="","",$A88)</x:f>
      </x:c>
    </x:row>
    <x:row r="89">
      <x:c r="B89" t="str">
        <x:f>IF($A89="","",COUNTIFS(CaseLedger!$L:$L,$A89,CaseLedger!$B:$B,"TRUE"))</x:f>
      </x:c>
      <x:c r="C89" t="str">
        <x:f>IF($A89="","",SUMIFS(CaseLedger!$O:$O,CaseLedger!$L:$L,$A89,CaseLedger!$B:$B,"TRUE"))</x:f>
      </x:c>
      <x:c r="D89" t="str">
        <x:f>IF($A89="","",SUMIFS(CaseLedger!$M:$M,CaseLedger!$L:$L,$A89,CaseLedger!$B:$B,"TRUE"))</x:f>
      </x:c>
      <x:c r="E89" t="str">
        <x:f>IF($A89="","",SUMIFS(CaseLedger!$N:$N,CaseLedger!$L:$L,$A89,CaseLedger!$B:$B,"TRUE"))</x:f>
      </x:c>
      <x:c r="F89" t="str">
        <x:f>IF($A89="","",COUNTIFS(CaseLedger!$L:$L,$A89,CaseLedger!$B:$B,"TRUE",CaseLedger!$P:$P,"Mixed"))</x:f>
      </x:c>
      <x:c r="G89" t="str">
        <x:f>IF($A89="","",$A89)</x:f>
      </x:c>
    </x:row>
    <x:row r="90">
      <x:c r="B90" t="str">
        <x:f>IF($A90="","",COUNTIFS(CaseLedger!$L:$L,$A90,CaseLedger!$B:$B,"TRUE"))</x:f>
      </x:c>
      <x:c r="C90" t="str">
        <x:f>IF($A90="","",SUMIFS(CaseLedger!$O:$O,CaseLedger!$L:$L,$A90,CaseLedger!$B:$B,"TRUE"))</x:f>
      </x:c>
      <x:c r="D90" t="str">
        <x:f>IF($A90="","",SUMIFS(CaseLedger!$M:$M,CaseLedger!$L:$L,$A90,CaseLedger!$B:$B,"TRUE"))</x:f>
      </x:c>
      <x:c r="E90" t="str">
        <x:f>IF($A90="","",SUMIFS(CaseLedger!$N:$N,CaseLedger!$L:$L,$A90,CaseLedger!$B:$B,"TRUE"))</x:f>
      </x:c>
      <x:c r="F90" t="str">
        <x:f>IF($A90="","",COUNTIFS(CaseLedger!$L:$L,$A90,CaseLedger!$B:$B,"TRUE",CaseLedger!$P:$P,"Mixed"))</x:f>
      </x:c>
      <x:c r="G90" t="str">
        <x:f>IF($A90="","",$A90)</x:f>
      </x:c>
    </x:row>
    <x:row r="91">
      <x:c r="B91" t="str">
        <x:f>IF($A91="","",COUNTIFS(CaseLedger!$L:$L,$A91,CaseLedger!$B:$B,"TRUE"))</x:f>
      </x:c>
      <x:c r="C91" t="str">
        <x:f>IF($A91="","",SUMIFS(CaseLedger!$O:$O,CaseLedger!$L:$L,$A91,CaseLedger!$B:$B,"TRUE"))</x:f>
      </x:c>
      <x:c r="D91" t="str">
        <x:f>IF($A91="","",SUMIFS(CaseLedger!$M:$M,CaseLedger!$L:$L,$A91,CaseLedger!$B:$B,"TRUE"))</x:f>
      </x:c>
      <x:c r="E91" t="str">
        <x:f>IF($A91="","",SUMIFS(CaseLedger!$N:$N,CaseLedger!$L:$L,$A91,CaseLedger!$B:$B,"TRUE"))</x:f>
      </x:c>
      <x:c r="F91" t="str">
        <x:f>IF($A91="","",COUNTIFS(CaseLedger!$L:$L,$A91,CaseLedger!$B:$B,"TRUE",CaseLedger!$P:$P,"Mixed"))</x:f>
      </x:c>
      <x:c r="G91" t="str">
        <x:f>IF($A91="","",$A91)</x:f>
      </x:c>
    </x:row>
    <x:row r="92">
      <x:c r="B92" t="str">
        <x:f>IF($A92="","",COUNTIFS(CaseLedger!$L:$L,$A92,CaseLedger!$B:$B,"TRUE"))</x:f>
      </x:c>
      <x:c r="C92" t="str">
        <x:f>IF($A92="","",SUMIFS(CaseLedger!$O:$O,CaseLedger!$L:$L,$A92,CaseLedger!$B:$B,"TRUE"))</x:f>
      </x:c>
      <x:c r="D92" t="str">
        <x:f>IF($A92="","",SUMIFS(CaseLedger!$M:$M,CaseLedger!$L:$L,$A92,CaseLedger!$B:$B,"TRUE"))</x:f>
      </x:c>
      <x:c r="E92" t="str">
        <x:f>IF($A92="","",SUMIFS(CaseLedger!$N:$N,CaseLedger!$L:$L,$A92,CaseLedger!$B:$B,"TRUE"))</x:f>
      </x:c>
      <x:c r="F92" t="str">
        <x:f>IF($A92="","",COUNTIFS(CaseLedger!$L:$L,$A92,CaseLedger!$B:$B,"TRUE",CaseLedger!$P:$P,"Mixed"))</x:f>
      </x:c>
      <x:c r="G92" t="str">
        <x:f>IF($A92="","",$A92)</x:f>
      </x:c>
    </x:row>
    <x:row r="93">
      <x:c r="B93" t="str">
        <x:f>IF($A93="","",COUNTIFS(CaseLedger!$L:$L,$A93,CaseLedger!$B:$B,"TRUE"))</x:f>
      </x:c>
      <x:c r="C93" t="str">
        <x:f>IF($A93="","",SUMIFS(CaseLedger!$O:$O,CaseLedger!$L:$L,$A93,CaseLedger!$B:$B,"TRUE"))</x:f>
      </x:c>
      <x:c r="D93" t="str">
        <x:f>IF($A93="","",SUMIFS(CaseLedger!$M:$M,CaseLedger!$L:$L,$A93,CaseLedger!$B:$B,"TRUE"))</x:f>
      </x:c>
      <x:c r="E93" t="str">
        <x:f>IF($A93="","",SUMIFS(CaseLedger!$N:$N,CaseLedger!$L:$L,$A93,CaseLedger!$B:$B,"TRUE"))</x:f>
      </x:c>
      <x:c r="F93" t="str">
        <x:f>IF($A93="","",COUNTIFS(CaseLedger!$L:$L,$A93,CaseLedger!$B:$B,"TRUE",CaseLedger!$P:$P,"Mixed"))</x:f>
      </x:c>
      <x:c r="G93" t="str">
        <x:f>IF($A93="","",$A93)</x:f>
      </x:c>
    </x:row>
    <x:row r="94">
      <x:c r="B94" t="str">
        <x:f>IF($A94="","",COUNTIFS(CaseLedger!$L:$L,$A94,CaseLedger!$B:$B,"TRUE"))</x:f>
      </x:c>
      <x:c r="C94" t="str">
        <x:f>IF($A94="","",SUMIFS(CaseLedger!$O:$O,CaseLedger!$L:$L,$A94,CaseLedger!$B:$B,"TRUE"))</x:f>
      </x:c>
      <x:c r="D94" t="str">
        <x:f>IF($A94="","",SUMIFS(CaseLedger!$M:$M,CaseLedger!$L:$L,$A94,CaseLedger!$B:$B,"TRUE"))</x:f>
      </x:c>
      <x:c r="E94" t="str">
        <x:f>IF($A94="","",SUMIFS(CaseLedger!$N:$N,CaseLedger!$L:$L,$A94,CaseLedger!$B:$B,"TRUE"))</x:f>
      </x:c>
      <x:c r="F94" t="str">
        <x:f>IF($A94="","",COUNTIFS(CaseLedger!$L:$L,$A94,CaseLedger!$B:$B,"TRUE",CaseLedger!$P:$P,"Mixed"))</x:f>
      </x:c>
      <x:c r="G94" t="str">
        <x:f>IF($A94="","",$A94)</x:f>
      </x:c>
    </x:row>
    <x:row r="95">
      <x:c r="B95" t="str">
        <x:f>IF($A95="","",COUNTIFS(CaseLedger!$L:$L,$A95,CaseLedger!$B:$B,"TRUE"))</x:f>
      </x:c>
      <x:c r="C95" t="str">
        <x:f>IF($A95="","",SUMIFS(CaseLedger!$O:$O,CaseLedger!$L:$L,$A95,CaseLedger!$B:$B,"TRUE"))</x:f>
      </x:c>
      <x:c r="D95" t="str">
        <x:f>IF($A95="","",SUMIFS(CaseLedger!$M:$M,CaseLedger!$L:$L,$A95,CaseLedger!$B:$B,"TRUE"))</x:f>
      </x:c>
      <x:c r="E95" t="str">
        <x:f>IF($A95="","",SUMIFS(CaseLedger!$N:$N,CaseLedger!$L:$L,$A95,CaseLedger!$B:$B,"TRUE"))</x:f>
      </x:c>
      <x:c r="F95" t="str">
        <x:f>IF($A95="","",COUNTIFS(CaseLedger!$L:$L,$A95,CaseLedger!$B:$B,"TRUE",CaseLedger!$P:$P,"Mixed"))</x:f>
      </x:c>
      <x:c r="G95" t="str">
        <x:f>IF($A95="","",$A95)</x:f>
      </x:c>
    </x:row>
    <x:row r="96">
      <x:c r="B96" t="str">
        <x:f>IF($A96="","",COUNTIFS(CaseLedger!$L:$L,$A96,CaseLedger!$B:$B,"TRUE"))</x:f>
      </x:c>
      <x:c r="C96" t="str">
        <x:f>IF($A96="","",SUMIFS(CaseLedger!$O:$O,CaseLedger!$L:$L,$A96,CaseLedger!$B:$B,"TRUE"))</x:f>
      </x:c>
      <x:c r="D96" t="str">
        <x:f>IF($A96="","",SUMIFS(CaseLedger!$M:$M,CaseLedger!$L:$L,$A96,CaseLedger!$B:$B,"TRUE"))</x:f>
      </x:c>
      <x:c r="E96" t="str">
        <x:f>IF($A96="","",SUMIFS(CaseLedger!$N:$N,CaseLedger!$L:$L,$A96,CaseLedger!$B:$B,"TRUE"))</x:f>
      </x:c>
      <x:c r="F96" t="str">
        <x:f>IF($A96="","",COUNTIFS(CaseLedger!$L:$L,$A96,CaseLedger!$B:$B,"TRUE",CaseLedger!$P:$P,"Mixed"))</x:f>
      </x:c>
      <x:c r="G96" t="str">
        <x:f>IF($A96="","",$A96)</x:f>
      </x:c>
    </x:row>
    <x:row r="97">
      <x:c r="B97" t="str">
        <x:f>IF($A97="","",COUNTIFS(CaseLedger!$L:$L,$A97,CaseLedger!$B:$B,"TRUE"))</x:f>
      </x:c>
      <x:c r="C97" t="str">
        <x:f>IF($A97="","",SUMIFS(CaseLedger!$O:$O,CaseLedger!$L:$L,$A97,CaseLedger!$B:$B,"TRUE"))</x:f>
      </x:c>
      <x:c r="D97" t="str">
        <x:f>IF($A97="","",SUMIFS(CaseLedger!$M:$M,CaseLedger!$L:$L,$A97,CaseLedger!$B:$B,"TRUE"))</x:f>
      </x:c>
      <x:c r="E97" t="str">
        <x:f>IF($A97="","",SUMIFS(CaseLedger!$N:$N,CaseLedger!$L:$L,$A97,CaseLedger!$B:$B,"TRUE"))</x:f>
      </x:c>
      <x:c r="F97" t="str">
        <x:f>IF($A97="","",COUNTIFS(CaseLedger!$L:$L,$A97,CaseLedger!$B:$B,"TRUE",CaseLedger!$P:$P,"Mixed"))</x:f>
      </x:c>
      <x:c r="G97" t="str">
        <x:f>IF($A97="","",$A97)</x:f>
      </x:c>
    </x:row>
    <x:row r="98">
      <x:c r="B98" t="str">
        <x:f>IF($A98="","",COUNTIFS(CaseLedger!$L:$L,$A98,CaseLedger!$B:$B,"TRUE"))</x:f>
      </x:c>
      <x:c r="C98" t="str">
        <x:f>IF($A98="","",SUMIFS(CaseLedger!$O:$O,CaseLedger!$L:$L,$A98,CaseLedger!$B:$B,"TRUE"))</x:f>
      </x:c>
      <x:c r="D98" t="str">
        <x:f>IF($A98="","",SUMIFS(CaseLedger!$M:$M,CaseLedger!$L:$L,$A98,CaseLedger!$B:$B,"TRUE"))</x:f>
      </x:c>
      <x:c r="E98" t="str">
        <x:f>IF($A98="","",SUMIFS(CaseLedger!$N:$N,CaseLedger!$L:$L,$A98,CaseLedger!$B:$B,"TRUE"))</x:f>
      </x:c>
      <x:c r="F98" t="str">
        <x:f>IF($A98="","",COUNTIFS(CaseLedger!$L:$L,$A98,CaseLedger!$B:$B,"TRUE",CaseLedger!$P:$P,"Mixed"))</x:f>
      </x:c>
      <x:c r="G98" t="str">
        <x:f>IF($A98="","",$A98)</x:f>
      </x:c>
    </x:row>
    <x:row r="99">
      <x:c r="B99" t="str">
        <x:f>IF($A99="","",COUNTIFS(CaseLedger!$L:$L,$A99,CaseLedger!$B:$B,"TRUE"))</x:f>
      </x:c>
      <x:c r="C99" t="str">
        <x:f>IF($A99="","",SUMIFS(CaseLedger!$O:$O,CaseLedger!$L:$L,$A99,CaseLedger!$B:$B,"TRUE"))</x:f>
      </x:c>
      <x:c r="D99" t="str">
        <x:f>IF($A99="","",SUMIFS(CaseLedger!$M:$M,CaseLedger!$L:$L,$A99,CaseLedger!$B:$B,"TRUE"))</x:f>
      </x:c>
      <x:c r="E99" t="str">
        <x:f>IF($A99="","",SUMIFS(CaseLedger!$N:$N,CaseLedger!$L:$L,$A99,CaseLedger!$B:$B,"TRUE"))</x:f>
      </x:c>
      <x:c r="F99" t="str">
        <x:f>IF($A99="","",COUNTIFS(CaseLedger!$L:$L,$A99,CaseLedger!$B:$B,"TRUE",CaseLedger!$P:$P,"Mixed"))</x:f>
      </x:c>
      <x:c r="G99" t="str">
        <x:f>IF($A99="","",$A99)</x:f>
      </x:c>
    </x:row>
    <x:row r="100">
      <x:c r="B100" t="str">
        <x:f>IF($A100="","",COUNTIFS(CaseLedger!$L:$L,$A100,CaseLedger!$B:$B,"TRUE"))</x:f>
      </x:c>
      <x:c r="C100" t="str">
        <x:f>IF($A100="","",SUMIFS(CaseLedger!$O:$O,CaseLedger!$L:$L,$A100,CaseLedger!$B:$B,"TRUE"))</x:f>
      </x:c>
      <x:c r="D100" t="str">
        <x:f>IF($A100="","",SUMIFS(CaseLedger!$M:$M,CaseLedger!$L:$L,$A100,CaseLedger!$B:$B,"TRUE"))</x:f>
      </x:c>
      <x:c r="E100" t="str">
        <x:f>IF($A100="","",SUMIFS(CaseLedger!$N:$N,CaseLedger!$L:$L,$A100,CaseLedger!$B:$B,"TRUE"))</x:f>
      </x:c>
      <x:c r="F100" t="str">
        <x:f>IF($A100="","",COUNTIFS(CaseLedger!$L:$L,$A100,CaseLedger!$B:$B,"TRUE",CaseLedger!$P:$P,"Mixed"))</x:f>
      </x:c>
      <x:c r="G100" t="str">
        <x:f>IF($A100="","",$A100)</x:f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44" hidden="0" customWidth="1"/>
    <x:col min="4" max="4" width="14" hidden="0" customWidth="1"/>
    <x:col min="5" max="5" width="50" hidden="0" customWidth="1"/>
  </x:cols>
  <x:sheetData>
    <x:row r="1" ht="24" customHeight="1">
      <x:c r="A1" s="32" t="str">
        <x:v>metric</x:v>
      </x:c>
      <x:c r="B1" s="38" t="str">
        <x:v>value</x:v>
      </x:c>
      <x:c r="C1" s="32" t="str">
        <x:v>label</x:v>
      </x:c>
      <x:c r="D1" s="32" t="str">
        <x:v>display_order</x:v>
      </x:c>
      <x:c r="E1" s="32" t="str">
        <x:v>source_note</x:v>
      </x:c>
    </x:row>
    <x:row r="2">
      <x:c r="A2" t="str">
        <x:v>active_donor_community</x:v>
      </x:c>
      <x:c r="B2" t="str">
        <x:v>200+</x:v>
      </x:c>
      <x:c r="C2" t="str">
        <x:v>Active WhatsApp donor community</x:v>
      </x:c>
      <x:c r="D2" t="n">
        <x:v>1</x:v>
      </x:c>
      <x:c r="E2" t="str">
        <x:v>User-provided by Humanitarians.</x:v>
      </x:c>
    </x:row>
    <x:row r="3">
      <x:c r="A3" t="str">
        <x:v>total_public_cases</x:v>
      </x:c>
      <x:c r="B3" t="n">
        <x:f>COUNTIF(CaseLedger!B2:B500,"TRUE")</x:f>
        <x:v>57</x:v>
      </x:c>
      <x:c r="C3" t="str">
        <x:v>Anonymized public cases tracked</x:v>
      </x:c>
      <x:c r="D3" t="n">
        <x:v>2</x:v>
      </x:c>
      <x:c r="E3" t="str">
        <x:v>Formula-linked from CaseLedger.</x:v>
      </x:c>
    </x:row>
    <x:row r="4">
      <x:c r="A4" t="str">
        <x:v>total_amount_disbursed</x:v>
      </x:c>
      <x:c r="B4" t="n">
        <x:f>SUMIF(CaseLedger!B2:B500,"TRUE",CaseLedger!O2:O500)</x:f>
        <x:v>932506</x:v>
      </x:c>
      <x:c r="C4" t="str">
        <x:v>Total support amount in public-safe summary</x:v>
      </x:c>
      <x:c r="D4" t="n">
        <x:v>3</x:v>
      </x:c>
      <x:c r="E4" t="str">
        <x:v>Formula-linked from CaseLedger.</x:v>
      </x:c>
    </x:row>
    <x:row r="5">
      <x:c r="A5" t="str">
        <x:v>livelihood_cases</x:v>
      </x:c>
      <x:c r="B5" t="n">
        <x:f>COUNTIFS(CaseLedger!B2:B500,"TRUE",CaseLedger!K2:K500,"Livelihood")</x:f>
        <x:v>45</x:v>
      </x:c>
      <x:c r="C5" t="str">
        <x:v>Livelihood generation cases</x:v>
      </x:c>
      <x:c r="D5" t="n">
        <x:v>4</x:v>
      </x:c>
      <x:c r="E5" t="str">
        <x:v>Formula-linked from CaseLedger.</x:v>
      </x:c>
    </x:row>
    <x:row r="6">
      <x:c r="A6" t="str">
        <x:v>skill_education_cases</x:v>
      </x:c>
      <x:c r="B6" t="n">
        <x:f>COUNTIFS(CaseLedger!B2:B500,"TRUE",CaseLedger!K2:K500,"Skill Sponsorship")</x:f>
        <x:v>4</x:v>
      </x:c>
      <x:c r="C6" t="str">
        <x:v>Skill / education / course cases</x:v>
      </x:c>
      <x:c r="D6" t="n">
        <x:v>5</x:v>
      </x:c>
      <x:c r="E6" t="str">
        <x:v>Formula-linked from CaseLedger.</x:v>
      </x:c>
    </x:row>
    <x:row r="7">
      <x:c r="A7" t="str">
        <x:v>emergency_community_cases</x:v>
      </x:c>
      <x:c r="B7" t="n">
        <x:f>COUNTIFS(CaseLedger!B2:B500,"TRUE",CaseLedger!K2:K500,"Emergency Support")+COUNTIFS(CaseLedger!B2:B500,"TRUE",CaseLedger!K2:K500,"Community Support")</x:f>
        <x:v>8</x:v>
      </x:c>
      <x:c r="C7" t="str">
        <x:v>Emergency and community cases</x:v>
      </x:c>
      <x:c r="D7" t="n">
        <x:v>6</x:v>
      </x:c>
      <x:c r="E7" t="str">
        <x:v>Formula-linked from CaseLedger.</x:v>
      </x:c>
    </x:row>
    <x:row r="8">
      <x:c r="A8" t="str">
        <x:v>zakat_only_cases</x:v>
      </x:c>
      <x:c r="B8" t="n">
        <x:f>COUNTIFS(CaseLedger!B2:B500,"TRUE",CaseLedger!P2:P500,"Zakat")</x:f>
        <x:v>19</x:v>
      </x:c>
      <x:c r="C8" t="str">
        <x:v>Zakat-only cases</x:v>
      </x:c>
      <x:c r="D8" t="n">
        <x:v>7</x:v>
      </x:c>
      <x:c r="E8" t="str">
        <x:v>Formula-linked from CaseLedger.</x:v>
      </x:c>
    </x:row>
    <x:row r="9">
      <x:c r="A9" t="str">
        <x:v>sadaqah_only_cases</x:v>
      </x:c>
      <x:c r="B9" t="n">
        <x:f>COUNTIFS(CaseLedger!B2:B500,"TRUE",CaseLedger!P2:P500,"Sadaqah")</x:f>
        <x:v>32</x:v>
      </x:c>
      <x:c r="C9" t="str">
        <x:v>Sadaqah-only cases</x:v>
      </x:c>
      <x:c r="D9" t="n">
        <x:v>8</x:v>
      </x:c>
      <x:c r="E9" t="str">
        <x:v>Formula-linked from CaseLedger.</x:v>
      </x:c>
    </x:row>
    <x:row r="10">
      <x:c r="A10" t="str">
        <x:v>mixed_fund_cases</x:v>
      </x:c>
      <x:c r="B10" t="n">
        <x:f>COUNTIFS(CaseLedger!B2:B500,"TRUE",CaseLedger!P2:P500,"Mixed")</x:f>
        <x:v>6</x:v>
      </x:c>
      <x:c r="C10" t="str">
        <x:v>Mixed Zakat + Sadaqah cases</x:v>
      </x:c>
      <x:c r="D10" t="n">
        <x:v>9</x:v>
      </x:c>
      <x:c r="E10" t="str">
        <x:v>Formula-linked from CaseLedger.</x:v>
      </x:c>
    </x:row>
    <x:row r="11">
      <x:c r="A11" t="str">
        <x:v>zakat_amount_disbursed</x:v>
      </x:c>
      <x:c r="B11" t="n">
        <x:f>SUMIF(CaseLedger!B2:B500,"TRUE",CaseLedger!M2:M500)</x:f>
        <x:v>469700</x:v>
      </x:c>
      <x:c r="C11" t="str">
        <x:v>Zakat amount allocated</x:v>
      </x:c>
      <x:c r="D11" t="n">
        <x:v>10</x:v>
      </x:c>
      <x:c r="E11" t="str">
        <x:v>Formula-linked from CaseLedger.</x:v>
      </x:c>
    </x:row>
    <x:row r="12">
      <x:c r="A12" t="str">
        <x:v>sadaqah_amount_disbursed</x:v>
      </x:c>
      <x:c r="B12" t="n">
        <x:f>SUMIF(CaseLedger!B2:B500,"TRUE",CaseLedger!N2:N500)</x:f>
        <x:v>462806</x:v>
      </x:c>
      <x:c r="C12" t="str">
        <x:v>Sadaqah amount allocated</x:v>
      </x:c>
      <x:c r="D12" t="n">
        <x:v>11</x:v>
      </x:c>
      <x:c r="E12" t="str">
        <x:v>Formula-linked from CaseLedger.</x:v>
      </x:c>
    </x:row>
    <x:row r="13">
      <x:c r="A13" t="str">
        <x:v>top_support_type_1</x:v>
      </x:c>
      <x:c r="B13" t="str">
        <x:f>IFERROR(INDEX(SORT(FILTER(SupportTypes!A2:C,SupportTypes!A2:A&lt;&gt;""),2,FALSE),1,2),"")</x:f>
      </x:c>
      <x:c r="C13" t="str">
        <x:f>IFERROR(INDEX(SORT(FILTER(SupportTypes!A2:C,SupportTypes!A2:A&lt;&gt;""),2,FALSE),1,1)&amp;" cases","")</x:f>
      </x:c>
      <x:c r="D13" t="n">
        <x:v>12</x:v>
      </x:c>
      <x:c r="E13" t="str">
        <x:v>Formula-linked from SupportTypes.</x:v>
      </x:c>
    </x:row>
    <x:row r="14">
      <x:c r="A14" t="str">
        <x:v>top_support_type_2</x:v>
      </x:c>
      <x:c r="B14" t="str">
        <x:f>IFERROR(INDEX(SORT(FILTER(SupportTypes!A2:C,SupportTypes!A2:A&lt;&gt;""),2,FALSE),2,2),"")</x:f>
      </x:c>
      <x:c r="C14" t="str">
        <x:f>IFERROR(INDEX(SORT(FILTER(SupportTypes!A2:C,SupportTypes!A2:A&lt;&gt;""),2,FALSE),2,1)&amp;" cases","")</x:f>
      </x:c>
      <x:c r="D14" t="n">
        <x:v>13</x:v>
      </x:c>
      <x:c r="E14" t="str">
        <x:v>Formula-linked from SupportTypes.</x:v>
      </x:c>
    </x:row>
    <x:row r="15">
      <x:c r="A15" t="str">
        <x:v>top_support_type_3</x:v>
      </x:c>
      <x:c r="B15" t="str">
        <x:f>IFERROR(INDEX(SORT(FILTER(SupportTypes!A2:C,SupportTypes!A2:A&lt;&gt;""),2,FALSE),3,2),"")</x:f>
      </x:c>
      <x:c r="C15" t="str">
        <x:f>IFERROR(INDEX(SORT(FILTER(SupportTypes!A2:C,SupportTypes!A2:A&lt;&gt;""),2,FALSE),3,1)&amp;" cases","")</x:f>
      </x:c>
      <x:c r="D15" t="n">
        <x:v>14</x:v>
      </x:c>
      <x:c r="E15" t="str">
        <x:v>Formula-linked from SupportTypes.</x:v>
      </x:c>
    </x:row>
    <x:row r="16">
      <x:c r="A16" t="str">
        <x:v>top_support_type_4</x:v>
      </x:c>
      <x:c r="B16" t="str">
        <x:f>IFERROR(INDEX(SORT(FILTER(SupportTypes!A2:C,SupportTypes!A2:A&lt;&gt;""),2,FALSE),4,2),"")</x:f>
      </x:c>
      <x:c r="C16" t="str">
        <x:f>IFERROR(INDEX(SORT(FILTER(SupportTypes!A2:C,SupportTypes!A2:A&lt;&gt;""),2,FALSE),4,1)&amp;" cases","")</x:f>
      </x:c>
      <x:c r="D16" t="n">
        <x:v>15</x:v>
      </x:c>
      <x:c r="E16" t="str">
        <x:v>Formula-linked from SupportTypes.</x:v>
      </x:c>
    </x:row>
    <x:row r="17">
      <x:c r="A17" t="str">
        <x:v>top_support_type_5</x:v>
      </x:c>
      <x:c r="B17" t="str">
        <x:f>IFERROR(INDEX(SORT(FILTER(SupportTypes!A2:C,SupportTypes!A2:A&lt;&gt;""),2,FALSE),5,2),"")</x:f>
      </x:c>
      <x:c r="C17" t="str">
        <x:f>IFERROR(INDEX(SORT(FILTER(SupportTypes!A2:C,SupportTypes!A2:A&lt;&gt;""),2,FALSE),5,1)&amp;" cases","")</x:f>
      </x:c>
      <x:c r="D17" t="n">
        <x:v>16</x:v>
      </x:c>
      <x:c r="E17" t="str">
        <x:v>Formula-linked from SupportTypes.</x:v>
      </x:c>
    </x:row>
    <x:row r="18">
      <x:c r="A18" t="str">
        <x:v>published_case_stories</x:v>
      </x:c>
      <x:c r="B18" t="n">
        <x:f>COUNTIFS(CaseLedger!C2:C500,"Yes",CaseLedger!D2:D500,"Publish")</x:f>
        <x:v>0</x:v>
      </x:c>
      <x:c r="C18" t="str">
        <x:v>Case stories approved for website publishing</x:v>
      </x:c>
      <x:c r="D18" t="n">
        <x:v>17</x:v>
      </x:c>
      <x:c r="E18" t="str">
        <x:v>Change CaseLedger.published to Yes and publish_status to Publish after consent/privacy review.</x:v>
      </x:c>
    </x:row>
    <x:row r="19">
      <x:c r="A19" t="str">
        <x:v>data_through</x:v>
      </x:c>
      <x:c r="B19" t="str">
        <x:f>LastUpdated!B2</x:f>
        <x:v>Apr 2026 confirmed</x:v>
      </x:c>
      <x:c r="C19" t="str">
        <x:v>Latest confirmed public stats period</x:v>
      </x:c>
      <x:c r="D19" t="n">
        <x:v>20</x:v>
      </x:c>
      <x:c r="E19" t="str">
        <x:v>Updated from LastUpdated tab.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70" hidden="0" customWidth="1"/>
    <x:col min="4" max="4" width="70" hidden="0" customWidth="1"/>
  </x:cols>
  <x:sheetData>
    <x:row r="1" ht="24" customHeight="1">
      <x:c r="A1" s="32" t="str">
        <x:v>last_updated</x:v>
      </x:c>
      <x:c r="B1" s="32" t="str">
        <x:v>data_through</x:v>
      </x:c>
      <x:c r="C1" s="32" t="str">
        <x:v>note</x:v>
      </x:c>
      <x:c r="D1" s="32" t="str">
        <x:v>source_workbook</x:v>
      </x:c>
    </x:row>
    <x:row r="2">
      <x:c r="A2" t="str">
        <x:v>2026-05-08</x:v>
      </x:c>
      <x:c r="B2" t="str">
        <x:v>Apr 2026 confirmed</x:v>
      </x:c>
      <x:c r="C2" t="str">
        <x:v>May-26 source tab appears to duplicate Apr-26; excluded until confirmed. CaseLedger is the single source of truth for new public case rows.</x:v>
      </x:c>
      <x:c r="D2" t="str">
        <x:v>Contributions - Humanitarians.xlsx -&gt; Humanitarians_Public_Impact_Stats_v3_Linked.xlsx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6" hidden="0" customWidth="1"/>
    <x:col min="4" max="4" width="18" hidden="0" customWidth="1"/>
    <x:col min="5" max="5" width="16" hidden="0" customWidth="1"/>
    <x:col min="6" max="6" width="18" hidden="0" customWidth="1"/>
    <x:col min="7" max="7" width="24" hidden="0" customWidth="1"/>
    <x:col min="8" max="8" width="28" hidden="0" customWidth="1"/>
    <x:col min="9" max="9" width="36" hidden="0" customWidth="1"/>
    <x:col min="10" max="10" width="20" hidden="0" customWidth="1"/>
    <x:col min="11" max="11" width="50" hidden="0" customWidth="1"/>
    <x:col min="12" max="12" width="18" hidden="0" customWidth="1"/>
  </x:cols>
  <x:sheetData>
    <x:row r="1" ht="24" customHeight="1">
      <x:c r="A1" s="32" t="str">
        <x:v>period_label</x:v>
      </x:c>
      <x:c r="B1" s="32" t="str">
        <x:v>period_sort</x:v>
      </x:c>
      <x:c r="C1" s="32" t="str">
        <x:v>zakat_cases_count</x:v>
      </x:c>
      <x:c r="D1" s="32" t="str">
        <x:v>sadaqah_cases_count</x:v>
      </x:c>
      <x:c r="E1" s="32" t="str">
        <x:v>mixed_cases_count</x:v>
      </x:c>
      <x:c r="F1" s="32" t="str">
        <x:v>livelihood_cases_count</x:v>
      </x:c>
      <x:c r="G1" s="32" t="str">
        <x:v>skill_or_education_cases_count</x:v>
      </x:c>
      <x:c r="H1" s="32" t="str">
        <x:v>emergency_community_cases_count</x:v>
      </x:c>
      <x:c r="I1" s="32" t="str">
        <x:v>total_public_summary</x:v>
      </x:c>
      <x:c r="J1" s="32" t="str">
        <x:v>download_report_url</x:v>
      </x:c>
      <x:c r="K1" s="32" t="str">
        <x:v>source_notes</x:v>
      </x:c>
      <x:c r="L1" s="32" t="str">
        <x:v>status</x:v>
      </x:c>
    </x:row>
    <x:row r="2">
      <x:c r="A2" t="str">
        <x:f>IF(MonthlyStats!A2="","",MonthlyStats!A2)</x:f>
      </x:c>
      <x:c r="B2" t="str">
        <x:f>IF(MonthlyStats!A2="","",MonthlyStats!B2)</x:f>
      </x:c>
      <x:c r="C2" t="str">
        <x:f>IF(MonthlyStats!A2="","",MonthlyStats!E2)</x:f>
      </x:c>
      <x:c r="D2" t="str">
        <x:f>IF(MonthlyStats!A2="","",MonthlyStats!F2)</x:f>
      </x:c>
      <x:c r="E2" t="str">
        <x:f>IF(MonthlyStats!A2="","",MonthlyStats!G2)</x:f>
      </x:c>
      <x:c r="F2" t="str">
        <x:f>IF(MonthlyStats!A2="","",MonthlyStats!H2)</x:f>
      </x:c>
      <x:c r="G2" t="str">
        <x:f>IF(MonthlyStats!A2="","",MonthlyStats!I2)</x:f>
      </x:c>
      <x:c r="H2" t="str">
        <x:f>IF(MonthlyStats!A2="","",MonthlyStats!J2+MonthlyStats!K2)</x:f>
      </x:c>
      <x:c r="I2" t="str">
        <x:f>IF(MonthlyStats!A2="","",TEXT(MonthlyStats!O2,"₹#,##0")&amp;" public summary; "&amp;MonthlyStats!D2&amp;" cases")</x:f>
      </x:c>
      <x:c r="J2" t="str">
        <x:f>IF(MonthlyStats!A2="","","#")</x:f>
      </x:c>
      <x:c r="K2" t="str">
        <x:f>IF(MonthlyStats!A2="","",MonthlyStats!S2)</x:f>
      </x:c>
      <x:c r="L2" t="str">
        <x:f>IF(MonthlyStats!A2="","","Formula-linked")</x:f>
      </x:c>
    </x:row>
    <x:row r="3">
      <x:c r="A3" t="str">
        <x:f>IF(MonthlyStats!A3="","",MonthlyStats!A3)</x:f>
      </x:c>
      <x:c r="B3" t="str">
        <x:f>IF(MonthlyStats!A3="","",MonthlyStats!B3)</x:f>
      </x:c>
      <x:c r="C3" t="str">
        <x:f>IF(MonthlyStats!A3="","",MonthlyStats!E3)</x:f>
      </x:c>
      <x:c r="D3" t="str">
        <x:f>IF(MonthlyStats!A3="","",MonthlyStats!F3)</x:f>
      </x:c>
      <x:c r="E3" t="str">
        <x:f>IF(MonthlyStats!A3="","",MonthlyStats!G3)</x:f>
      </x:c>
      <x:c r="F3" t="str">
        <x:f>IF(MonthlyStats!A3="","",MonthlyStats!H3)</x:f>
      </x:c>
      <x:c r="G3" t="str">
        <x:f>IF(MonthlyStats!A3="","",MonthlyStats!I3)</x:f>
      </x:c>
      <x:c r="H3" t="str">
        <x:f>IF(MonthlyStats!A3="","",MonthlyStats!J3+MonthlyStats!K3)</x:f>
      </x:c>
      <x:c r="I3" t="str">
        <x:f>IF(MonthlyStats!A3="","",TEXT(MonthlyStats!O3,"₹#,##0")&amp;" public summary; "&amp;MonthlyStats!D3&amp;" cases")</x:f>
      </x:c>
      <x:c r="J3" t="str">
        <x:f>IF(MonthlyStats!A3="","","#")</x:f>
      </x:c>
      <x:c r="K3" t="str">
        <x:f>IF(MonthlyStats!A3="","",MonthlyStats!S3)</x:f>
      </x:c>
      <x:c r="L3" t="str">
        <x:f>IF(MonthlyStats!A3="","","Formula-linked")</x:f>
      </x:c>
    </x:row>
    <x:row r="4">
      <x:c r="A4" t="str">
        <x:f>IF(MonthlyStats!A4="","",MonthlyStats!A4)</x:f>
      </x:c>
      <x:c r="B4" t="str">
        <x:f>IF(MonthlyStats!A4="","",MonthlyStats!B4)</x:f>
      </x:c>
      <x:c r="C4" t="str">
        <x:f>IF(MonthlyStats!A4="","",MonthlyStats!E4)</x:f>
      </x:c>
      <x:c r="D4" t="str">
        <x:f>IF(MonthlyStats!A4="","",MonthlyStats!F4)</x:f>
      </x:c>
      <x:c r="E4" t="str">
        <x:f>IF(MonthlyStats!A4="","",MonthlyStats!G4)</x:f>
      </x:c>
      <x:c r="F4" t="str">
        <x:f>IF(MonthlyStats!A4="","",MonthlyStats!H4)</x:f>
      </x:c>
      <x:c r="G4" t="str">
        <x:f>IF(MonthlyStats!A4="","",MonthlyStats!I4)</x:f>
      </x:c>
      <x:c r="H4" t="str">
        <x:f>IF(MonthlyStats!A4="","",MonthlyStats!J4+MonthlyStats!K4)</x:f>
      </x:c>
      <x:c r="I4" t="str">
        <x:f>IF(MonthlyStats!A4="","",TEXT(MonthlyStats!O4,"₹#,##0")&amp;" public summary; "&amp;MonthlyStats!D4&amp;" cases")</x:f>
      </x:c>
      <x:c r="J4" t="str">
        <x:f>IF(MonthlyStats!A4="","","#")</x:f>
      </x:c>
      <x:c r="K4" t="str">
        <x:f>IF(MonthlyStats!A4="","",MonthlyStats!S4)</x:f>
      </x:c>
      <x:c r="L4" t="str">
        <x:f>IF(MonthlyStats!A4="","","Formula-linked")</x:f>
      </x:c>
    </x:row>
    <x:row r="5">
      <x:c r="A5" t="str">
        <x:f>IF(MonthlyStats!A5="","",MonthlyStats!A5)</x:f>
      </x:c>
      <x:c r="B5" t="str">
        <x:f>IF(MonthlyStats!A5="","",MonthlyStats!B5)</x:f>
      </x:c>
      <x:c r="C5" t="str">
        <x:f>IF(MonthlyStats!A5="","",MonthlyStats!E5)</x:f>
      </x:c>
      <x:c r="D5" t="str">
        <x:f>IF(MonthlyStats!A5="","",MonthlyStats!F5)</x:f>
      </x:c>
      <x:c r="E5" t="str">
        <x:f>IF(MonthlyStats!A5="","",MonthlyStats!G5)</x:f>
      </x:c>
      <x:c r="F5" t="str">
        <x:f>IF(MonthlyStats!A5="","",MonthlyStats!H5)</x:f>
      </x:c>
      <x:c r="G5" t="str">
        <x:f>IF(MonthlyStats!A5="","",MonthlyStats!I5)</x:f>
      </x:c>
      <x:c r="H5" t="str">
        <x:f>IF(MonthlyStats!A5="","",MonthlyStats!J5+MonthlyStats!K5)</x:f>
      </x:c>
      <x:c r="I5" t="str">
        <x:f>IF(MonthlyStats!A5="","",TEXT(MonthlyStats!O5,"₹#,##0")&amp;" public summary; "&amp;MonthlyStats!D5&amp;" cases")</x:f>
      </x:c>
      <x:c r="J5" t="str">
        <x:f>IF(MonthlyStats!A5="","","#")</x:f>
      </x:c>
      <x:c r="K5" t="str">
        <x:f>IF(MonthlyStats!A5="","",MonthlyStats!S5)</x:f>
      </x:c>
      <x:c r="L5" t="str">
        <x:f>IF(MonthlyStats!A5="","","Formula-linked")</x:f>
      </x:c>
    </x:row>
    <x:row r="6">
      <x:c r="A6" t="str">
        <x:f>IF(MonthlyStats!A6="","",MonthlyStats!A6)</x:f>
      </x:c>
      <x:c r="B6" t="str">
        <x:f>IF(MonthlyStats!A6="","",MonthlyStats!B6)</x:f>
      </x:c>
      <x:c r="C6" t="str">
        <x:f>IF(MonthlyStats!A6="","",MonthlyStats!E6)</x:f>
      </x:c>
      <x:c r="D6" t="str">
        <x:f>IF(MonthlyStats!A6="","",MonthlyStats!F6)</x:f>
      </x:c>
      <x:c r="E6" t="str">
        <x:f>IF(MonthlyStats!A6="","",MonthlyStats!G6)</x:f>
      </x:c>
      <x:c r="F6" t="str">
        <x:f>IF(MonthlyStats!A6="","",MonthlyStats!H6)</x:f>
      </x:c>
      <x:c r="G6" t="str">
        <x:f>IF(MonthlyStats!A6="","",MonthlyStats!I6)</x:f>
      </x:c>
      <x:c r="H6" t="str">
        <x:f>IF(MonthlyStats!A6="","",MonthlyStats!J6+MonthlyStats!K6)</x:f>
      </x:c>
      <x:c r="I6" t="str">
        <x:f>IF(MonthlyStats!A6="","",TEXT(MonthlyStats!O6,"₹#,##0")&amp;" public summary; "&amp;MonthlyStats!D6&amp;" cases")</x:f>
      </x:c>
      <x:c r="J6" t="str">
        <x:f>IF(MonthlyStats!A6="","","#")</x:f>
      </x:c>
      <x:c r="K6" t="str">
        <x:f>IF(MonthlyStats!A6="","",MonthlyStats!S6)</x:f>
      </x:c>
      <x:c r="L6" t="str">
        <x:f>IF(MonthlyStats!A6="","","Formula-linked")</x:f>
      </x:c>
    </x:row>
    <x:row r="7">
      <x:c r="A7" t="str">
        <x:f>IF(MonthlyStats!A7="","",MonthlyStats!A7)</x:f>
      </x:c>
      <x:c r="B7" t="str">
        <x:f>IF(MonthlyStats!A7="","",MonthlyStats!B7)</x:f>
      </x:c>
      <x:c r="C7" t="str">
        <x:f>IF(MonthlyStats!A7="","",MonthlyStats!E7)</x:f>
      </x:c>
      <x:c r="D7" t="str">
        <x:f>IF(MonthlyStats!A7="","",MonthlyStats!F7)</x:f>
      </x:c>
      <x:c r="E7" t="str">
        <x:f>IF(MonthlyStats!A7="","",MonthlyStats!G7)</x:f>
      </x:c>
      <x:c r="F7" t="str">
        <x:f>IF(MonthlyStats!A7="","",MonthlyStats!H7)</x:f>
      </x:c>
      <x:c r="G7" t="str">
        <x:f>IF(MonthlyStats!A7="","",MonthlyStats!I7)</x:f>
      </x:c>
      <x:c r="H7" t="str">
        <x:f>IF(MonthlyStats!A7="","",MonthlyStats!J7+MonthlyStats!K7)</x:f>
      </x:c>
      <x:c r="I7" t="str">
        <x:f>IF(MonthlyStats!A7="","",TEXT(MonthlyStats!O7,"₹#,##0")&amp;" public summary; "&amp;MonthlyStats!D7&amp;" cases")</x:f>
      </x:c>
      <x:c r="J7" t="str">
        <x:f>IF(MonthlyStats!A7="","","#")</x:f>
      </x:c>
      <x:c r="K7" t="str">
        <x:f>IF(MonthlyStats!A7="","",MonthlyStats!S7)</x:f>
      </x:c>
      <x:c r="L7" t="str">
        <x:f>IF(MonthlyStats!A7="","","Formula-linked")</x:f>
      </x:c>
    </x:row>
    <x:row r="8">
      <x:c r="A8" t="str">
        <x:f>IF(MonthlyStats!A8="","",MonthlyStats!A8)</x:f>
      </x:c>
      <x:c r="B8" t="str">
        <x:f>IF(MonthlyStats!A8="","",MonthlyStats!B8)</x:f>
      </x:c>
      <x:c r="C8" t="str">
        <x:f>IF(MonthlyStats!A8="","",MonthlyStats!E8)</x:f>
      </x:c>
      <x:c r="D8" t="str">
        <x:f>IF(MonthlyStats!A8="","",MonthlyStats!F8)</x:f>
      </x:c>
      <x:c r="E8" t="str">
        <x:f>IF(MonthlyStats!A8="","",MonthlyStats!G8)</x:f>
      </x:c>
      <x:c r="F8" t="str">
        <x:f>IF(MonthlyStats!A8="","",MonthlyStats!H8)</x:f>
      </x:c>
      <x:c r="G8" t="str">
        <x:f>IF(MonthlyStats!A8="","",MonthlyStats!I8)</x:f>
      </x:c>
      <x:c r="H8" t="str">
        <x:f>IF(MonthlyStats!A8="","",MonthlyStats!J8+MonthlyStats!K8)</x:f>
      </x:c>
      <x:c r="I8" t="str">
        <x:f>IF(MonthlyStats!A8="","",TEXT(MonthlyStats!O8,"₹#,##0")&amp;" public summary; "&amp;MonthlyStats!D8&amp;" cases")</x:f>
      </x:c>
      <x:c r="J8" t="str">
        <x:f>IF(MonthlyStats!A8="","","#")</x:f>
      </x:c>
      <x:c r="K8" t="str">
        <x:f>IF(MonthlyStats!A8="","",MonthlyStats!S8)</x:f>
      </x:c>
      <x:c r="L8" t="str">
        <x:f>IF(MonthlyStats!A8="","","Formula-linked")</x:f>
      </x:c>
    </x:row>
    <x:row r="9">
      <x:c r="A9" t="str">
        <x:f>IF(MonthlyStats!A9="","",MonthlyStats!A9)</x:f>
      </x:c>
      <x:c r="B9" t="str">
        <x:f>IF(MonthlyStats!A9="","",MonthlyStats!B9)</x:f>
      </x:c>
      <x:c r="C9" t="str">
        <x:f>IF(MonthlyStats!A9="","",MonthlyStats!E9)</x:f>
      </x:c>
      <x:c r="D9" t="str">
        <x:f>IF(MonthlyStats!A9="","",MonthlyStats!F9)</x:f>
      </x:c>
      <x:c r="E9" t="str">
        <x:f>IF(MonthlyStats!A9="","",MonthlyStats!G9)</x:f>
      </x:c>
      <x:c r="F9" t="str">
        <x:f>IF(MonthlyStats!A9="","",MonthlyStats!H9)</x:f>
      </x:c>
      <x:c r="G9" t="str">
        <x:f>IF(MonthlyStats!A9="","",MonthlyStats!I9)</x:f>
      </x:c>
      <x:c r="H9" t="str">
        <x:f>IF(MonthlyStats!A9="","",MonthlyStats!J9+MonthlyStats!K9)</x:f>
      </x:c>
      <x:c r="I9" t="str">
        <x:f>IF(MonthlyStats!A9="","",TEXT(MonthlyStats!O9,"₹#,##0")&amp;" public summary; "&amp;MonthlyStats!D9&amp;" cases")</x:f>
      </x:c>
      <x:c r="J9" t="str">
        <x:f>IF(MonthlyStats!A9="","","#")</x:f>
      </x:c>
      <x:c r="K9" t="str">
        <x:f>IF(MonthlyStats!A9="","",MonthlyStats!S9)</x:f>
      </x:c>
      <x:c r="L9" t="str">
        <x:f>IF(MonthlyStats!A9="","","Formula-linked")</x:f>
      </x:c>
    </x:row>
    <x:row r="10">
      <x:c r="A10" t="str">
        <x:f>IF(MonthlyStats!A10="","",MonthlyStats!A10)</x:f>
      </x:c>
      <x:c r="B10" t="str">
        <x:f>IF(MonthlyStats!A10="","",MonthlyStats!B10)</x:f>
      </x:c>
      <x:c r="C10" t="str">
        <x:f>IF(MonthlyStats!A10="","",MonthlyStats!E10)</x:f>
      </x:c>
      <x:c r="D10" t="str">
        <x:f>IF(MonthlyStats!A10="","",MonthlyStats!F10)</x:f>
      </x:c>
      <x:c r="E10" t="str">
        <x:f>IF(MonthlyStats!A10="","",MonthlyStats!G10)</x:f>
      </x:c>
      <x:c r="F10" t="str">
        <x:f>IF(MonthlyStats!A10="","",MonthlyStats!H10)</x:f>
      </x:c>
      <x:c r="G10" t="str">
        <x:f>IF(MonthlyStats!A10="","",MonthlyStats!I10)</x:f>
      </x:c>
      <x:c r="H10" t="str">
        <x:f>IF(MonthlyStats!A10="","",MonthlyStats!J10+MonthlyStats!K10)</x:f>
      </x:c>
      <x:c r="I10" t="str">
        <x:f>IF(MonthlyStats!A10="","",TEXT(MonthlyStats!O10,"₹#,##0")&amp;" public summary; "&amp;MonthlyStats!D10&amp;" cases")</x:f>
      </x:c>
      <x:c r="J10" t="str">
        <x:f>IF(MonthlyStats!A10="","","#")</x:f>
      </x:c>
      <x:c r="K10" t="str">
        <x:f>IF(MonthlyStats!A10="","",MonthlyStats!S10)</x:f>
      </x:c>
      <x:c r="L10" t="str">
        <x:f>IF(MonthlyStats!A10="","","Formula-linked")</x:f>
      </x:c>
    </x:row>
    <x:row r="11">
      <x:c r="A11" t="str">
        <x:f>IF(MonthlyStats!A11="","",MonthlyStats!A11)</x:f>
      </x:c>
      <x:c r="B11" t="str">
        <x:f>IF(MonthlyStats!A11="","",MonthlyStats!B11)</x:f>
      </x:c>
      <x:c r="C11" t="str">
        <x:f>IF(MonthlyStats!A11="","",MonthlyStats!E11)</x:f>
      </x:c>
      <x:c r="D11" t="str">
        <x:f>IF(MonthlyStats!A11="","",MonthlyStats!F11)</x:f>
      </x:c>
      <x:c r="E11" t="str">
        <x:f>IF(MonthlyStats!A11="","",MonthlyStats!G11)</x:f>
      </x:c>
      <x:c r="F11" t="str">
        <x:f>IF(MonthlyStats!A11="","",MonthlyStats!H11)</x:f>
      </x:c>
      <x:c r="G11" t="str">
        <x:f>IF(MonthlyStats!A11="","",MonthlyStats!I11)</x:f>
      </x:c>
      <x:c r="H11" t="str">
        <x:f>IF(MonthlyStats!A11="","",MonthlyStats!J11+MonthlyStats!K11)</x:f>
      </x:c>
      <x:c r="I11" t="str">
        <x:f>IF(MonthlyStats!A11="","",TEXT(MonthlyStats!O11,"₹#,##0")&amp;" public summary; "&amp;MonthlyStats!D11&amp;" cases")</x:f>
      </x:c>
      <x:c r="J11" t="str">
        <x:f>IF(MonthlyStats!A11="","","#")</x:f>
      </x:c>
      <x:c r="K11" t="str">
        <x:f>IF(MonthlyStats!A11="","",MonthlyStats!S11)</x:f>
      </x:c>
      <x:c r="L11" t="str">
        <x:f>IF(MonthlyStats!A11="","","Formula-linked")</x:f>
      </x:c>
    </x:row>
    <x:row r="12">
      <x:c r="A12" t="str">
        <x:f>IF(MonthlyStats!A12="","",MonthlyStats!A12)</x:f>
      </x:c>
      <x:c r="B12" t="str">
        <x:f>IF(MonthlyStats!A12="","",MonthlyStats!B12)</x:f>
      </x:c>
      <x:c r="C12" t="str">
        <x:f>IF(MonthlyStats!A12="","",MonthlyStats!E12)</x:f>
      </x:c>
      <x:c r="D12" t="str">
        <x:f>IF(MonthlyStats!A12="","",MonthlyStats!F12)</x:f>
      </x:c>
      <x:c r="E12" t="str">
        <x:f>IF(MonthlyStats!A12="","",MonthlyStats!G12)</x:f>
      </x:c>
      <x:c r="F12" t="str">
        <x:f>IF(MonthlyStats!A12="","",MonthlyStats!H12)</x:f>
      </x:c>
      <x:c r="G12" t="str">
        <x:f>IF(MonthlyStats!A12="","",MonthlyStats!I12)</x:f>
      </x:c>
      <x:c r="H12" t="str">
        <x:f>IF(MonthlyStats!A12="","",MonthlyStats!J12+MonthlyStats!K12)</x:f>
      </x:c>
      <x:c r="I12" t="str">
        <x:f>IF(MonthlyStats!A12="","",TEXT(MonthlyStats!O12,"₹#,##0")&amp;" public summary; "&amp;MonthlyStats!D12&amp;" cases")</x:f>
      </x:c>
      <x:c r="J12" t="str">
        <x:f>IF(MonthlyStats!A12="","","#")</x:f>
      </x:c>
      <x:c r="K12" t="str">
        <x:f>IF(MonthlyStats!A12="","",MonthlyStats!S12)</x:f>
      </x:c>
      <x:c r="L12" t="str">
        <x:f>IF(MonthlyStats!A12="","","Formula-linked")</x:f>
      </x:c>
    </x:row>
    <x:row r="13">
      <x:c r="A13" t="str">
        <x:f>IF(MonthlyStats!A13="","",MonthlyStats!A13)</x:f>
      </x:c>
      <x:c r="B13" t="str">
        <x:f>IF(MonthlyStats!A13="","",MonthlyStats!B13)</x:f>
      </x:c>
      <x:c r="C13" t="str">
        <x:f>IF(MonthlyStats!A13="","",MonthlyStats!E13)</x:f>
      </x:c>
      <x:c r="D13" t="str">
        <x:f>IF(MonthlyStats!A13="","",MonthlyStats!F13)</x:f>
      </x:c>
      <x:c r="E13" t="str">
        <x:f>IF(MonthlyStats!A13="","",MonthlyStats!G13)</x:f>
      </x:c>
      <x:c r="F13" t="str">
        <x:f>IF(MonthlyStats!A13="","",MonthlyStats!H13)</x:f>
      </x:c>
      <x:c r="G13" t="str">
        <x:f>IF(MonthlyStats!A13="","",MonthlyStats!I13)</x:f>
      </x:c>
      <x:c r="H13" t="str">
        <x:f>IF(MonthlyStats!A13="","",MonthlyStats!J13+MonthlyStats!K13)</x:f>
      </x:c>
      <x:c r="I13" t="str">
        <x:f>IF(MonthlyStats!A13="","",TEXT(MonthlyStats!O13,"₹#,##0")&amp;" public summary; "&amp;MonthlyStats!D13&amp;" cases")</x:f>
      </x:c>
      <x:c r="J13" t="str">
        <x:f>IF(MonthlyStats!A13="","","#")</x:f>
      </x:c>
      <x:c r="K13" t="str">
        <x:f>IF(MonthlyStats!A13="","",MonthlyStats!S13)</x:f>
      </x:c>
      <x:c r="L13" t="str">
        <x:f>IF(MonthlyStats!A13="","","Formula-linked")</x:f>
      </x:c>
    </x:row>
    <x:row r="14">
      <x:c r="A14" t="str">
        <x:f>IF(MonthlyStats!A14="","",MonthlyStats!A14)</x:f>
      </x:c>
      <x:c r="B14" t="str">
        <x:f>IF(MonthlyStats!A14="","",MonthlyStats!B14)</x:f>
      </x:c>
      <x:c r="C14" t="str">
        <x:f>IF(MonthlyStats!A14="","",MonthlyStats!E14)</x:f>
      </x:c>
      <x:c r="D14" t="str">
        <x:f>IF(MonthlyStats!A14="","",MonthlyStats!F14)</x:f>
      </x:c>
      <x:c r="E14" t="str">
        <x:f>IF(MonthlyStats!A14="","",MonthlyStats!G14)</x:f>
      </x:c>
      <x:c r="F14" t="str">
        <x:f>IF(MonthlyStats!A14="","",MonthlyStats!H14)</x:f>
      </x:c>
      <x:c r="G14" t="str">
        <x:f>IF(MonthlyStats!A14="","",MonthlyStats!I14)</x:f>
      </x:c>
      <x:c r="H14" t="str">
        <x:f>IF(MonthlyStats!A14="","",MonthlyStats!J14+MonthlyStats!K14)</x:f>
      </x:c>
      <x:c r="I14" t="str">
        <x:f>IF(MonthlyStats!A14="","",TEXT(MonthlyStats!O14,"₹#,##0")&amp;" public summary; "&amp;MonthlyStats!D14&amp;" cases")</x:f>
      </x:c>
      <x:c r="J14" t="str">
        <x:f>IF(MonthlyStats!A14="","","#")</x:f>
      </x:c>
      <x:c r="K14" t="str">
        <x:f>IF(MonthlyStats!A14="","",MonthlyStats!S14)</x:f>
      </x:c>
      <x:c r="L14" t="str">
        <x:f>IF(MonthlyStats!A14="","","Formula-linked")</x:f>
      </x:c>
    </x:row>
    <x:row r="15">
      <x:c r="A15" t="str">
        <x:f>IF(MonthlyStats!A15="","",MonthlyStats!A15)</x:f>
      </x:c>
      <x:c r="B15" t="str">
        <x:f>IF(MonthlyStats!A15="","",MonthlyStats!B15)</x:f>
      </x:c>
      <x:c r="C15" t="str">
        <x:f>IF(MonthlyStats!A15="","",MonthlyStats!E15)</x:f>
      </x:c>
      <x:c r="D15" t="str">
        <x:f>IF(MonthlyStats!A15="","",MonthlyStats!F15)</x:f>
      </x:c>
      <x:c r="E15" t="str">
        <x:f>IF(MonthlyStats!A15="","",MonthlyStats!G15)</x:f>
      </x:c>
      <x:c r="F15" t="str">
        <x:f>IF(MonthlyStats!A15="","",MonthlyStats!H15)</x:f>
      </x:c>
      <x:c r="G15" t="str">
        <x:f>IF(MonthlyStats!A15="","",MonthlyStats!I15)</x:f>
      </x:c>
      <x:c r="H15" t="str">
        <x:f>IF(MonthlyStats!A15="","",MonthlyStats!J15+MonthlyStats!K15)</x:f>
      </x:c>
      <x:c r="I15" t="str">
        <x:f>IF(MonthlyStats!A15="","",TEXT(MonthlyStats!O15,"₹#,##0")&amp;" public summary; "&amp;MonthlyStats!D15&amp;" cases")</x:f>
      </x:c>
      <x:c r="J15" t="str">
        <x:f>IF(MonthlyStats!A15="","","#")</x:f>
      </x:c>
      <x:c r="K15" t="str">
        <x:f>IF(MonthlyStats!A15="","",MonthlyStats!S15)</x:f>
      </x:c>
      <x:c r="L15" t="str">
        <x:f>IF(MonthlyStats!A15="","","Formula-linked")</x:f>
      </x:c>
    </x:row>
    <x:row r="16">
      <x:c r="A16" t="str">
        <x:f>IF(MonthlyStats!A16="","",MonthlyStats!A16)</x:f>
      </x:c>
      <x:c r="B16" t="str">
        <x:f>IF(MonthlyStats!A16="","",MonthlyStats!B16)</x:f>
      </x:c>
      <x:c r="C16" t="str">
        <x:f>IF(MonthlyStats!A16="","",MonthlyStats!E16)</x:f>
      </x:c>
      <x:c r="D16" t="str">
        <x:f>IF(MonthlyStats!A16="","",MonthlyStats!F16)</x:f>
      </x:c>
      <x:c r="E16" t="str">
        <x:f>IF(MonthlyStats!A16="","",MonthlyStats!G16)</x:f>
      </x:c>
      <x:c r="F16" t="str">
        <x:f>IF(MonthlyStats!A16="","",MonthlyStats!H16)</x:f>
      </x:c>
      <x:c r="G16" t="str">
        <x:f>IF(MonthlyStats!A16="","",MonthlyStats!I16)</x:f>
      </x:c>
      <x:c r="H16" t="str">
        <x:f>IF(MonthlyStats!A16="","",MonthlyStats!J16+MonthlyStats!K16)</x:f>
      </x:c>
      <x:c r="I16" t="str">
        <x:f>IF(MonthlyStats!A16="","",TEXT(MonthlyStats!O16,"₹#,##0")&amp;" public summary; "&amp;MonthlyStats!D16&amp;" cases")</x:f>
      </x:c>
      <x:c r="J16" t="str">
        <x:f>IF(MonthlyStats!A16="","","#")</x:f>
      </x:c>
      <x:c r="K16" t="str">
        <x:f>IF(MonthlyStats!A16="","",MonthlyStats!S16)</x:f>
      </x:c>
      <x:c r="L16" t="str">
        <x:f>IF(MonthlyStats!A16="","","Formula-linked")</x:f>
      </x:c>
    </x:row>
    <x:row r="17">
      <x:c r="A17" t="str">
        <x:f>IF(MonthlyStats!A17="","",MonthlyStats!A17)</x:f>
      </x:c>
      <x:c r="B17" t="str">
        <x:f>IF(MonthlyStats!A17="","",MonthlyStats!B17)</x:f>
      </x:c>
      <x:c r="C17" t="str">
        <x:f>IF(MonthlyStats!A17="","",MonthlyStats!E17)</x:f>
      </x:c>
      <x:c r="D17" t="str">
        <x:f>IF(MonthlyStats!A17="","",MonthlyStats!F17)</x:f>
      </x:c>
      <x:c r="E17" t="str">
        <x:f>IF(MonthlyStats!A17="","",MonthlyStats!G17)</x:f>
      </x:c>
      <x:c r="F17" t="str">
        <x:f>IF(MonthlyStats!A17="","",MonthlyStats!H17)</x:f>
      </x:c>
      <x:c r="G17" t="str">
        <x:f>IF(MonthlyStats!A17="","",MonthlyStats!I17)</x:f>
      </x:c>
      <x:c r="H17" t="str">
        <x:f>IF(MonthlyStats!A17="","",MonthlyStats!J17+MonthlyStats!K17)</x:f>
      </x:c>
      <x:c r="I17" t="str">
        <x:f>IF(MonthlyStats!A17="","",TEXT(MonthlyStats!O17,"₹#,##0")&amp;" public summary; "&amp;MonthlyStats!D17&amp;" cases")</x:f>
      </x:c>
      <x:c r="J17" t="str">
        <x:f>IF(MonthlyStats!A17="","","#")</x:f>
      </x:c>
      <x:c r="K17" t="str">
        <x:f>IF(MonthlyStats!A17="","",MonthlyStats!S17)</x:f>
      </x:c>
      <x:c r="L17" t="str">
        <x:f>IF(MonthlyStats!A17="","","Formula-linked")</x:f>
      </x:c>
    </x:row>
    <x:row r="18">
      <x:c r="A18" t="str">
        <x:f>IF(MonthlyStats!A18="","",MonthlyStats!A18)</x:f>
      </x:c>
      <x:c r="B18" t="str">
        <x:f>IF(MonthlyStats!A18="","",MonthlyStats!B18)</x:f>
      </x:c>
      <x:c r="C18" t="str">
        <x:f>IF(MonthlyStats!A18="","",MonthlyStats!E18)</x:f>
      </x:c>
      <x:c r="D18" t="str">
        <x:f>IF(MonthlyStats!A18="","",MonthlyStats!F18)</x:f>
      </x:c>
      <x:c r="E18" t="str">
        <x:f>IF(MonthlyStats!A18="","",MonthlyStats!G18)</x:f>
      </x:c>
      <x:c r="F18" t="str">
        <x:f>IF(MonthlyStats!A18="","",MonthlyStats!H18)</x:f>
      </x:c>
      <x:c r="G18" t="str">
        <x:f>IF(MonthlyStats!A18="","",MonthlyStats!I18)</x:f>
      </x:c>
      <x:c r="H18" t="str">
        <x:f>IF(MonthlyStats!A18="","",MonthlyStats!J18+MonthlyStats!K18)</x:f>
      </x:c>
      <x:c r="I18" t="str">
        <x:f>IF(MonthlyStats!A18="","",TEXT(MonthlyStats!O18,"₹#,##0")&amp;" public summary; "&amp;MonthlyStats!D18&amp;" cases")</x:f>
      </x:c>
      <x:c r="J18" t="str">
        <x:f>IF(MonthlyStats!A18="","","#")</x:f>
      </x:c>
      <x:c r="K18" t="str">
        <x:f>IF(MonthlyStats!A18="","",MonthlyStats!S18)</x:f>
      </x:c>
      <x:c r="L18" t="str">
        <x:f>IF(MonthlyStats!A18="","","Formula-linked")</x:f>
      </x:c>
    </x:row>
    <x:row r="19">
      <x:c r="A19" t="str">
        <x:f>IF(MonthlyStats!A19="","",MonthlyStats!A19)</x:f>
      </x:c>
      <x:c r="B19" t="str">
        <x:f>IF(MonthlyStats!A19="","",MonthlyStats!B19)</x:f>
      </x:c>
      <x:c r="C19" t="str">
        <x:f>IF(MonthlyStats!A19="","",MonthlyStats!E19)</x:f>
      </x:c>
      <x:c r="D19" t="str">
        <x:f>IF(MonthlyStats!A19="","",MonthlyStats!F19)</x:f>
      </x:c>
      <x:c r="E19" t="str">
        <x:f>IF(MonthlyStats!A19="","",MonthlyStats!G19)</x:f>
      </x:c>
      <x:c r="F19" t="str">
        <x:f>IF(MonthlyStats!A19="","",MonthlyStats!H19)</x:f>
      </x:c>
      <x:c r="G19" t="str">
        <x:f>IF(MonthlyStats!A19="","",MonthlyStats!I19)</x:f>
      </x:c>
      <x:c r="H19" t="str">
        <x:f>IF(MonthlyStats!A19="","",MonthlyStats!J19+MonthlyStats!K19)</x:f>
      </x:c>
      <x:c r="I19" t="str">
        <x:f>IF(MonthlyStats!A19="","",TEXT(MonthlyStats!O19,"₹#,##0")&amp;" public summary; "&amp;MonthlyStats!D19&amp;" cases")</x:f>
      </x:c>
      <x:c r="J19" t="str">
        <x:f>IF(MonthlyStats!A19="","","#")</x:f>
      </x:c>
      <x:c r="K19" t="str">
        <x:f>IF(MonthlyStats!A19="","",MonthlyStats!S19)</x:f>
      </x:c>
      <x:c r="L19" t="str">
        <x:f>IF(MonthlyStats!A19="","","Formula-linked")</x:f>
      </x:c>
    </x:row>
    <x:row r="20">
      <x:c r="A20" t="str">
        <x:f>IF(MonthlyStats!A20="","",MonthlyStats!A20)</x:f>
      </x:c>
      <x:c r="B20" t="str">
        <x:f>IF(MonthlyStats!A20="","",MonthlyStats!B20)</x:f>
      </x:c>
      <x:c r="C20" t="str">
        <x:f>IF(MonthlyStats!A20="","",MonthlyStats!E20)</x:f>
      </x:c>
      <x:c r="D20" t="str">
        <x:f>IF(MonthlyStats!A20="","",MonthlyStats!F20)</x:f>
      </x:c>
      <x:c r="E20" t="str">
        <x:f>IF(MonthlyStats!A20="","",MonthlyStats!G20)</x:f>
      </x:c>
      <x:c r="F20" t="str">
        <x:f>IF(MonthlyStats!A20="","",MonthlyStats!H20)</x:f>
      </x:c>
      <x:c r="G20" t="str">
        <x:f>IF(MonthlyStats!A20="","",MonthlyStats!I20)</x:f>
      </x:c>
      <x:c r="H20" t="str">
        <x:f>IF(MonthlyStats!A20="","",MonthlyStats!J20+MonthlyStats!K20)</x:f>
      </x:c>
      <x:c r="I20" t="str">
        <x:f>IF(MonthlyStats!A20="","",TEXT(MonthlyStats!O20,"₹#,##0")&amp;" public summary; "&amp;MonthlyStats!D20&amp;" cases")</x:f>
      </x:c>
      <x:c r="J20" t="str">
        <x:f>IF(MonthlyStats!A20="","","#")</x:f>
      </x:c>
      <x:c r="K20" t="str">
        <x:f>IF(MonthlyStats!A20="","",MonthlyStats!S20)</x:f>
      </x:c>
      <x:c r="L20" t="str">
        <x:f>IF(MonthlyStats!A20="","","Formula-linked")</x:f>
      </x:c>
    </x:row>
    <x:row r="21">
      <x:c r="A21" t="str">
        <x:f>IF(MonthlyStats!A21="","",MonthlyStats!A21)</x:f>
      </x:c>
      <x:c r="B21" t="str">
        <x:f>IF(MonthlyStats!A21="","",MonthlyStats!B21)</x:f>
      </x:c>
      <x:c r="C21" t="str">
        <x:f>IF(MonthlyStats!A21="","",MonthlyStats!E21)</x:f>
      </x:c>
      <x:c r="D21" t="str">
        <x:f>IF(MonthlyStats!A21="","",MonthlyStats!F21)</x:f>
      </x:c>
      <x:c r="E21" t="str">
        <x:f>IF(MonthlyStats!A21="","",MonthlyStats!G21)</x:f>
      </x:c>
      <x:c r="F21" t="str">
        <x:f>IF(MonthlyStats!A21="","",MonthlyStats!H21)</x:f>
      </x:c>
      <x:c r="G21" t="str">
        <x:f>IF(MonthlyStats!A21="","",MonthlyStats!I21)</x:f>
      </x:c>
      <x:c r="H21" t="str">
        <x:f>IF(MonthlyStats!A21="","",MonthlyStats!J21+MonthlyStats!K21)</x:f>
      </x:c>
      <x:c r="I21" t="str">
        <x:f>IF(MonthlyStats!A21="","",TEXT(MonthlyStats!O21,"₹#,##0")&amp;" public summary; "&amp;MonthlyStats!D21&amp;" cases")</x:f>
      </x:c>
      <x:c r="J21" t="str">
        <x:f>IF(MonthlyStats!A21="","","#")</x:f>
      </x:c>
      <x:c r="K21" t="str">
        <x:f>IF(MonthlyStats!A21="","",MonthlyStats!S21)</x:f>
      </x:c>
      <x:c r="L21" t="str">
        <x:f>IF(MonthlyStats!A21="","","Formula-linked")</x:f>
      </x:c>
    </x:row>
    <x:row r="22">
      <x:c r="A22" t="str">
        <x:f>IF(MonthlyStats!A22="","",MonthlyStats!A22)</x:f>
      </x:c>
      <x:c r="B22" t="str">
        <x:f>IF(MonthlyStats!A22="","",MonthlyStats!B22)</x:f>
      </x:c>
      <x:c r="C22" t="str">
        <x:f>IF(MonthlyStats!A22="","",MonthlyStats!E22)</x:f>
      </x:c>
      <x:c r="D22" t="str">
        <x:f>IF(MonthlyStats!A22="","",MonthlyStats!F22)</x:f>
      </x:c>
      <x:c r="E22" t="str">
        <x:f>IF(MonthlyStats!A22="","",MonthlyStats!G22)</x:f>
      </x:c>
      <x:c r="F22" t="str">
        <x:f>IF(MonthlyStats!A22="","",MonthlyStats!H22)</x:f>
      </x:c>
      <x:c r="G22" t="str">
        <x:f>IF(MonthlyStats!A22="","",MonthlyStats!I22)</x:f>
      </x:c>
      <x:c r="H22" t="str">
        <x:f>IF(MonthlyStats!A22="","",MonthlyStats!J22+MonthlyStats!K22)</x:f>
      </x:c>
      <x:c r="I22" t="str">
        <x:f>IF(MonthlyStats!A22="","",TEXT(MonthlyStats!O22,"₹#,##0")&amp;" public summary; "&amp;MonthlyStats!D22&amp;" cases")</x:f>
      </x:c>
      <x:c r="J22" t="str">
        <x:f>IF(MonthlyStats!A22="","","#")</x:f>
      </x:c>
      <x:c r="K22" t="str">
        <x:f>IF(MonthlyStats!A22="","",MonthlyStats!S22)</x:f>
      </x:c>
      <x:c r="L22" t="str">
        <x:f>IF(MonthlyStats!A22="","","Formula-linked")</x:f>
      </x:c>
    </x:row>
    <x:row r="23">
      <x:c r="A23" t="str">
        <x:f>IF(MonthlyStats!A23="","",MonthlyStats!A23)</x:f>
      </x:c>
      <x:c r="B23" t="str">
        <x:f>IF(MonthlyStats!A23="","",MonthlyStats!B23)</x:f>
      </x:c>
      <x:c r="C23" t="str">
        <x:f>IF(MonthlyStats!A23="","",MonthlyStats!E23)</x:f>
      </x:c>
      <x:c r="D23" t="str">
        <x:f>IF(MonthlyStats!A23="","",MonthlyStats!F23)</x:f>
      </x:c>
      <x:c r="E23" t="str">
        <x:f>IF(MonthlyStats!A23="","",MonthlyStats!G23)</x:f>
      </x:c>
      <x:c r="F23" t="str">
        <x:f>IF(MonthlyStats!A23="","",MonthlyStats!H23)</x:f>
      </x:c>
      <x:c r="G23" t="str">
        <x:f>IF(MonthlyStats!A23="","",MonthlyStats!I23)</x:f>
      </x:c>
      <x:c r="H23" t="str">
        <x:f>IF(MonthlyStats!A23="","",MonthlyStats!J23+MonthlyStats!K23)</x:f>
      </x:c>
      <x:c r="I23" t="str">
        <x:f>IF(MonthlyStats!A23="","",TEXT(MonthlyStats!O23,"₹#,##0")&amp;" public summary; "&amp;MonthlyStats!D23&amp;" cases")</x:f>
      </x:c>
      <x:c r="J23" t="str">
        <x:f>IF(MonthlyStats!A23="","","#")</x:f>
      </x:c>
      <x:c r="K23" t="str">
        <x:f>IF(MonthlyStats!A23="","",MonthlyStats!S23)</x:f>
      </x:c>
      <x:c r="L23" t="str">
        <x:f>IF(MonthlyStats!A23="","","Formula-linked")</x:f>
      </x:c>
    </x:row>
    <x:row r="24">
      <x:c r="A24" t="str">
        <x:f>IF(MonthlyStats!A24="","",MonthlyStats!A24)</x:f>
      </x:c>
      <x:c r="B24" t="str">
        <x:f>IF(MonthlyStats!A24="","",MonthlyStats!B24)</x:f>
      </x:c>
      <x:c r="C24" t="str">
        <x:f>IF(MonthlyStats!A24="","",MonthlyStats!E24)</x:f>
      </x:c>
      <x:c r="D24" t="str">
        <x:f>IF(MonthlyStats!A24="","",MonthlyStats!F24)</x:f>
      </x:c>
      <x:c r="E24" t="str">
        <x:f>IF(MonthlyStats!A24="","",MonthlyStats!G24)</x:f>
      </x:c>
      <x:c r="F24" t="str">
        <x:f>IF(MonthlyStats!A24="","",MonthlyStats!H24)</x:f>
      </x:c>
      <x:c r="G24" t="str">
        <x:f>IF(MonthlyStats!A24="","",MonthlyStats!I24)</x:f>
      </x:c>
      <x:c r="H24" t="str">
        <x:f>IF(MonthlyStats!A24="","",MonthlyStats!J24+MonthlyStats!K24)</x:f>
      </x:c>
      <x:c r="I24" t="str">
        <x:f>IF(MonthlyStats!A24="","",TEXT(MonthlyStats!O24,"₹#,##0")&amp;" public summary; "&amp;MonthlyStats!D24&amp;" cases")</x:f>
      </x:c>
      <x:c r="J24" t="str">
        <x:f>IF(MonthlyStats!A24="","","#")</x:f>
      </x:c>
      <x:c r="K24" t="str">
        <x:f>IF(MonthlyStats!A24="","",MonthlyStats!S24)</x:f>
      </x:c>
      <x:c r="L24" t="str">
        <x:f>IF(MonthlyStats!A24="","","Formula-linked")</x:f>
      </x:c>
    </x:row>
    <x:row r="25">
      <x:c r="A25" t="str">
        <x:f>IF(MonthlyStats!A25="","",MonthlyStats!A25)</x:f>
      </x:c>
      <x:c r="B25" t="str">
        <x:f>IF(MonthlyStats!A25="","",MonthlyStats!B25)</x:f>
      </x:c>
      <x:c r="C25" t="str">
        <x:f>IF(MonthlyStats!A25="","",MonthlyStats!E25)</x:f>
      </x:c>
      <x:c r="D25" t="str">
        <x:f>IF(MonthlyStats!A25="","",MonthlyStats!F25)</x:f>
      </x:c>
      <x:c r="E25" t="str">
        <x:f>IF(MonthlyStats!A25="","",MonthlyStats!G25)</x:f>
      </x:c>
      <x:c r="F25" t="str">
        <x:f>IF(MonthlyStats!A25="","",MonthlyStats!H25)</x:f>
      </x:c>
      <x:c r="G25" t="str">
        <x:f>IF(MonthlyStats!A25="","",MonthlyStats!I25)</x:f>
      </x:c>
      <x:c r="H25" t="str">
        <x:f>IF(MonthlyStats!A25="","",MonthlyStats!J25+MonthlyStats!K25)</x:f>
      </x:c>
      <x:c r="I25" t="str">
        <x:f>IF(MonthlyStats!A25="","",TEXT(MonthlyStats!O25,"₹#,##0")&amp;" public summary; "&amp;MonthlyStats!D25&amp;" cases")</x:f>
      </x:c>
      <x:c r="J25" t="str">
        <x:f>IF(MonthlyStats!A25="","","#")</x:f>
      </x:c>
      <x:c r="K25" t="str">
        <x:f>IF(MonthlyStats!A25="","",MonthlyStats!S25)</x:f>
      </x:c>
      <x:c r="L25" t="str">
        <x:f>IF(MonthlyStats!A25="","","Formula-linked")</x:f>
      </x:c>
    </x:row>
    <x:row r="26">
      <x:c r="A26" t="str">
        <x:f>IF(MonthlyStats!A26="","",MonthlyStats!A26)</x:f>
      </x:c>
      <x:c r="B26" t="str">
        <x:f>IF(MonthlyStats!A26="","",MonthlyStats!B26)</x:f>
      </x:c>
      <x:c r="C26" t="str">
        <x:f>IF(MonthlyStats!A26="","",MonthlyStats!E26)</x:f>
      </x:c>
      <x:c r="D26" t="str">
        <x:f>IF(MonthlyStats!A26="","",MonthlyStats!F26)</x:f>
      </x:c>
      <x:c r="E26" t="str">
        <x:f>IF(MonthlyStats!A26="","",MonthlyStats!G26)</x:f>
      </x:c>
      <x:c r="F26" t="str">
        <x:f>IF(MonthlyStats!A26="","",MonthlyStats!H26)</x:f>
      </x:c>
      <x:c r="G26" t="str">
        <x:f>IF(MonthlyStats!A26="","",MonthlyStats!I26)</x:f>
      </x:c>
      <x:c r="H26" t="str">
        <x:f>IF(MonthlyStats!A26="","",MonthlyStats!J26+MonthlyStats!K26)</x:f>
      </x:c>
      <x:c r="I26" t="str">
        <x:f>IF(MonthlyStats!A26="","",TEXT(MonthlyStats!O26,"₹#,##0")&amp;" public summary; "&amp;MonthlyStats!D26&amp;" cases")</x:f>
      </x:c>
      <x:c r="J26" t="str">
        <x:f>IF(MonthlyStats!A26="","","#")</x:f>
      </x:c>
      <x:c r="K26" t="str">
        <x:f>IF(MonthlyStats!A26="","",MonthlyStats!S26)</x:f>
      </x:c>
      <x:c r="L26" t="str">
        <x:f>IF(MonthlyStats!A26="","","Formula-linked")</x:f>
      </x:c>
    </x:row>
    <x:row r="27">
      <x:c r="A27" t="str">
        <x:f>IF(MonthlyStats!A27="","",MonthlyStats!A27)</x:f>
      </x:c>
      <x:c r="B27" t="str">
        <x:f>IF(MonthlyStats!A27="","",MonthlyStats!B27)</x:f>
      </x:c>
      <x:c r="C27" t="str">
        <x:f>IF(MonthlyStats!A27="","",MonthlyStats!E27)</x:f>
      </x:c>
      <x:c r="D27" t="str">
        <x:f>IF(MonthlyStats!A27="","",MonthlyStats!F27)</x:f>
      </x:c>
      <x:c r="E27" t="str">
        <x:f>IF(MonthlyStats!A27="","",MonthlyStats!G27)</x:f>
      </x:c>
      <x:c r="F27" t="str">
        <x:f>IF(MonthlyStats!A27="","",MonthlyStats!H27)</x:f>
      </x:c>
      <x:c r="G27" t="str">
        <x:f>IF(MonthlyStats!A27="","",MonthlyStats!I27)</x:f>
      </x:c>
      <x:c r="H27" t="str">
        <x:f>IF(MonthlyStats!A27="","",MonthlyStats!J27+MonthlyStats!K27)</x:f>
      </x:c>
      <x:c r="I27" t="str">
        <x:f>IF(MonthlyStats!A27="","",TEXT(MonthlyStats!O27,"₹#,##0")&amp;" public summary; "&amp;MonthlyStats!D27&amp;" cases")</x:f>
      </x:c>
      <x:c r="J27" t="str">
        <x:f>IF(MonthlyStats!A27="","","#")</x:f>
      </x:c>
      <x:c r="K27" t="str">
        <x:f>IF(MonthlyStats!A27="","",MonthlyStats!S27)</x:f>
      </x:c>
      <x:c r="L27" t="str">
        <x:f>IF(MonthlyStats!A27="","","Formula-linked")</x:f>
      </x:c>
    </x:row>
    <x:row r="28">
      <x:c r="A28" t="str">
        <x:f>IF(MonthlyStats!A28="","",MonthlyStats!A28)</x:f>
      </x:c>
      <x:c r="B28" t="str">
        <x:f>IF(MonthlyStats!A28="","",MonthlyStats!B28)</x:f>
      </x:c>
      <x:c r="C28" t="str">
        <x:f>IF(MonthlyStats!A28="","",MonthlyStats!E28)</x:f>
      </x:c>
      <x:c r="D28" t="str">
        <x:f>IF(MonthlyStats!A28="","",MonthlyStats!F28)</x:f>
      </x:c>
      <x:c r="E28" t="str">
        <x:f>IF(MonthlyStats!A28="","",MonthlyStats!G28)</x:f>
      </x:c>
      <x:c r="F28" t="str">
        <x:f>IF(MonthlyStats!A28="","",MonthlyStats!H28)</x:f>
      </x:c>
      <x:c r="G28" t="str">
        <x:f>IF(MonthlyStats!A28="","",MonthlyStats!I28)</x:f>
      </x:c>
      <x:c r="H28" t="str">
        <x:f>IF(MonthlyStats!A28="","",MonthlyStats!J28+MonthlyStats!K28)</x:f>
      </x:c>
      <x:c r="I28" t="str">
        <x:f>IF(MonthlyStats!A28="","",TEXT(MonthlyStats!O28,"₹#,##0")&amp;" public summary; "&amp;MonthlyStats!D28&amp;" cases")</x:f>
      </x:c>
      <x:c r="J28" t="str">
        <x:f>IF(MonthlyStats!A28="","","#")</x:f>
      </x:c>
      <x:c r="K28" t="str">
        <x:f>IF(MonthlyStats!A28="","",MonthlyStats!S28)</x:f>
      </x:c>
      <x:c r="L28" t="str">
        <x:f>IF(MonthlyStats!A28="","","Formula-linked")</x:f>
      </x:c>
    </x:row>
    <x:row r="29">
      <x:c r="A29" t="str">
        <x:f>IF(MonthlyStats!A29="","",MonthlyStats!A29)</x:f>
      </x:c>
      <x:c r="B29" t="str">
        <x:f>IF(MonthlyStats!A29="","",MonthlyStats!B29)</x:f>
      </x:c>
      <x:c r="C29" t="str">
        <x:f>IF(MonthlyStats!A29="","",MonthlyStats!E29)</x:f>
      </x:c>
      <x:c r="D29" t="str">
        <x:f>IF(MonthlyStats!A29="","",MonthlyStats!F29)</x:f>
      </x:c>
      <x:c r="E29" t="str">
        <x:f>IF(MonthlyStats!A29="","",MonthlyStats!G29)</x:f>
      </x:c>
      <x:c r="F29" t="str">
        <x:f>IF(MonthlyStats!A29="","",MonthlyStats!H29)</x:f>
      </x:c>
      <x:c r="G29" t="str">
        <x:f>IF(MonthlyStats!A29="","",MonthlyStats!I29)</x:f>
      </x:c>
      <x:c r="H29" t="str">
        <x:f>IF(MonthlyStats!A29="","",MonthlyStats!J29+MonthlyStats!K29)</x:f>
      </x:c>
      <x:c r="I29" t="str">
        <x:f>IF(MonthlyStats!A29="","",TEXT(MonthlyStats!O29,"₹#,##0")&amp;" public summary; "&amp;MonthlyStats!D29&amp;" cases")</x:f>
      </x:c>
      <x:c r="J29" t="str">
        <x:f>IF(MonthlyStats!A29="","","#")</x:f>
      </x:c>
      <x:c r="K29" t="str">
        <x:f>IF(MonthlyStats!A29="","",MonthlyStats!S29)</x:f>
      </x:c>
      <x:c r="L29" t="str">
        <x:f>IF(MonthlyStats!A29="","","Formula-linked")</x:f>
      </x:c>
    </x:row>
    <x:row r="30">
      <x:c r="A30" t="str">
        <x:f>IF(MonthlyStats!A30="","",MonthlyStats!A30)</x:f>
      </x:c>
      <x:c r="B30" t="str">
        <x:f>IF(MonthlyStats!A30="","",MonthlyStats!B30)</x:f>
      </x:c>
      <x:c r="C30" t="str">
        <x:f>IF(MonthlyStats!A30="","",MonthlyStats!E30)</x:f>
      </x:c>
      <x:c r="D30" t="str">
        <x:f>IF(MonthlyStats!A30="","",MonthlyStats!F30)</x:f>
      </x:c>
      <x:c r="E30" t="str">
        <x:f>IF(MonthlyStats!A30="","",MonthlyStats!G30)</x:f>
      </x:c>
      <x:c r="F30" t="str">
        <x:f>IF(MonthlyStats!A30="","",MonthlyStats!H30)</x:f>
      </x:c>
      <x:c r="G30" t="str">
        <x:f>IF(MonthlyStats!A30="","",MonthlyStats!I30)</x:f>
      </x:c>
      <x:c r="H30" t="str">
        <x:f>IF(MonthlyStats!A30="","",MonthlyStats!J30+MonthlyStats!K30)</x:f>
      </x:c>
      <x:c r="I30" t="str">
        <x:f>IF(MonthlyStats!A30="","",TEXT(MonthlyStats!O30,"₹#,##0")&amp;" public summary; "&amp;MonthlyStats!D30&amp;" cases")</x:f>
      </x:c>
      <x:c r="J30" t="str">
        <x:f>IF(MonthlyStats!A30="","","#")</x:f>
      </x:c>
      <x:c r="K30" t="str">
        <x:f>IF(MonthlyStats!A30="","",MonthlyStats!S30)</x:f>
      </x:c>
      <x:c r="L30" t="str">
        <x:f>IF(MonthlyStats!A30="","","Formula-linked")</x:f>
      </x:c>
    </x:row>
    <x:row r="31">
      <x:c r="A31" t="str">
        <x:f>IF(MonthlyStats!A31="","",MonthlyStats!A31)</x:f>
      </x:c>
      <x:c r="B31" t="str">
        <x:f>IF(MonthlyStats!A31="","",MonthlyStats!B31)</x:f>
      </x:c>
      <x:c r="C31" t="str">
        <x:f>IF(MonthlyStats!A31="","",MonthlyStats!E31)</x:f>
      </x:c>
      <x:c r="D31" t="str">
        <x:f>IF(MonthlyStats!A31="","",MonthlyStats!F31)</x:f>
      </x:c>
      <x:c r="E31" t="str">
        <x:f>IF(MonthlyStats!A31="","",MonthlyStats!G31)</x:f>
      </x:c>
      <x:c r="F31" t="str">
        <x:f>IF(MonthlyStats!A31="","",MonthlyStats!H31)</x:f>
      </x:c>
      <x:c r="G31" t="str">
        <x:f>IF(MonthlyStats!A31="","",MonthlyStats!I31)</x:f>
      </x:c>
      <x:c r="H31" t="str">
        <x:f>IF(MonthlyStats!A31="","",MonthlyStats!J31+MonthlyStats!K31)</x:f>
      </x:c>
      <x:c r="I31" t="str">
        <x:f>IF(MonthlyStats!A31="","",TEXT(MonthlyStats!O31,"₹#,##0")&amp;" public summary; "&amp;MonthlyStats!D31&amp;" cases")</x:f>
      </x:c>
      <x:c r="J31" t="str">
        <x:f>IF(MonthlyStats!A31="","","#")</x:f>
      </x:c>
      <x:c r="K31" t="str">
        <x:f>IF(MonthlyStats!A31="","",MonthlyStats!S31)</x:f>
      </x:c>
      <x:c r="L31" t="str">
        <x:f>IF(MonthlyStats!A31="","","Formula-linked")</x:f>
      </x:c>
    </x:row>
    <x:row r="32">
      <x:c r="A32" t="str">
        <x:f>IF(MonthlyStats!A32="","",MonthlyStats!A32)</x:f>
      </x:c>
      <x:c r="B32" t="str">
        <x:f>IF(MonthlyStats!A32="","",MonthlyStats!B32)</x:f>
      </x:c>
      <x:c r="C32" t="str">
        <x:f>IF(MonthlyStats!A32="","",MonthlyStats!E32)</x:f>
      </x:c>
      <x:c r="D32" t="str">
        <x:f>IF(MonthlyStats!A32="","",MonthlyStats!F32)</x:f>
      </x:c>
      <x:c r="E32" t="str">
        <x:f>IF(MonthlyStats!A32="","",MonthlyStats!G32)</x:f>
      </x:c>
      <x:c r="F32" t="str">
        <x:f>IF(MonthlyStats!A32="","",MonthlyStats!H32)</x:f>
      </x:c>
      <x:c r="G32" t="str">
        <x:f>IF(MonthlyStats!A32="","",MonthlyStats!I32)</x:f>
      </x:c>
      <x:c r="H32" t="str">
        <x:f>IF(MonthlyStats!A32="","",MonthlyStats!J32+MonthlyStats!K32)</x:f>
      </x:c>
      <x:c r="I32" t="str">
        <x:f>IF(MonthlyStats!A32="","",TEXT(MonthlyStats!O32,"₹#,##0")&amp;" public summary; "&amp;MonthlyStats!D32&amp;" cases")</x:f>
      </x:c>
      <x:c r="J32" t="str">
        <x:f>IF(MonthlyStats!A32="","","#")</x:f>
      </x:c>
      <x:c r="K32" t="str">
        <x:f>IF(MonthlyStats!A32="","",MonthlyStats!S32)</x:f>
      </x:c>
      <x:c r="L32" t="str">
        <x:f>IF(MonthlyStats!A32="","","Formula-linked")</x:f>
      </x:c>
    </x:row>
    <x:row r="33">
      <x:c r="A33" t="str">
        <x:f>IF(MonthlyStats!A33="","",MonthlyStats!A33)</x:f>
      </x:c>
      <x:c r="B33" t="str">
        <x:f>IF(MonthlyStats!A33="","",MonthlyStats!B33)</x:f>
      </x:c>
      <x:c r="C33" t="str">
        <x:f>IF(MonthlyStats!A33="","",MonthlyStats!E33)</x:f>
      </x:c>
      <x:c r="D33" t="str">
        <x:f>IF(MonthlyStats!A33="","",MonthlyStats!F33)</x:f>
      </x:c>
      <x:c r="E33" t="str">
        <x:f>IF(MonthlyStats!A33="","",MonthlyStats!G33)</x:f>
      </x:c>
      <x:c r="F33" t="str">
        <x:f>IF(MonthlyStats!A33="","",MonthlyStats!H33)</x:f>
      </x:c>
      <x:c r="G33" t="str">
        <x:f>IF(MonthlyStats!A33="","",MonthlyStats!I33)</x:f>
      </x:c>
      <x:c r="H33" t="str">
        <x:f>IF(MonthlyStats!A33="","",MonthlyStats!J33+MonthlyStats!K33)</x:f>
      </x:c>
      <x:c r="I33" t="str">
        <x:f>IF(MonthlyStats!A33="","",TEXT(MonthlyStats!O33,"₹#,##0")&amp;" public summary; "&amp;MonthlyStats!D33&amp;" cases")</x:f>
      </x:c>
      <x:c r="J33" t="str">
        <x:f>IF(MonthlyStats!A33="","","#")</x:f>
      </x:c>
      <x:c r="K33" t="str">
        <x:f>IF(MonthlyStats!A33="","",MonthlyStats!S33)</x:f>
      </x:c>
      <x:c r="L33" t="str">
        <x:f>IF(MonthlyStats!A33="","","Formula-linked")</x:f>
      </x:c>
    </x:row>
    <x:row r="34">
      <x:c r="A34" t="str">
        <x:f>IF(MonthlyStats!A34="","",MonthlyStats!A34)</x:f>
      </x:c>
      <x:c r="B34" t="str">
        <x:f>IF(MonthlyStats!A34="","",MonthlyStats!B34)</x:f>
      </x:c>
      <x:c r="C34" t="str">
        <x:f>IF(MonthlyStats!A34="","",MonthlyStats!E34)</x:f>
      </x:c>
      <x:c r="D34" t="str">
        <x:f>IF(MonthlyStats!A34="","",MonthlyStats!F34)</x:f>
      </x:c>
      <x:c r="E34" t="str">
        <x:f>IF(MonthlyStats!A34="","",MonthlyStats!G34)</x:f>
      </x:c>
      <x:c r="F34" t="str">
        <x:f>IF(MonthlyStats!A34="","",MonthlyStats!H34)</x:f>
      </x:c>
      <x:c r="G34" t="str">
        <x:f>IF(MonthlyStats!A34="","",MonthlyStats!I34)</x:f>
      </x:c>
      <x:c r="H34" t="str">
        <x:f>IF(MonthlyStats!A34="","",MonthlyStats!J34+MonthlyStats!K34)</x:f>
      </x:c>
      <x:c r="I34" t="str">
        <x:f>IF(MonthlyStats!A34="","",TEXT(MonthlyStats!O34,"₹#,##0")&amp;" public summary; "&amp;MonthlyStats!D34&amp;" cases")</x:f>
      </x:c>
      <x:c r="J34" t="str">
        <x:f>IF(MonthlyStats!A34="","","#")</x:f>
      </x:c>
      <x:c r="K34" t="str">
        <x:f>IF(MonthlyStats!A34="","",MonthlyStats!S34)</x:f>
      </x:c>
      <x:c r="L34" t="str">
        <x:f>IF(MonthlyStats!A34="","","Formula-linked")</x:f>
      </x:c>
    </x:row>
    <x:row r="35">
      <x:c r="A35" t="str">
        <x:f>IF(MonthlyStats!A35="","",MonthlyStats!A35)</x:f>
      </x:c>
      <x:c r="B35" t="str">
        <x:f>IF(MonthlyStats!A35="","",MonthlyStats!B35)</x:f>
      </x:c>
      <x:c r="C35" t="str">
        <x:f>IF(MonthlyStats!A35="","",MonthlyStats!E35)</x:f>
      </x:c>
      <x:c r="D35" t="str">
        <x:f>IF(MonthlyStats!A35="","",MonthlyStats!F35)</x:f>
      </x:c>
      <x:c r="E35" t="str">
        <x:f>IF(MonthlyStats!A35="","",MonthlyStats!G35)</x:f>
      </x:c>
      <x:c r="F35" t="str">
        <x:f>IF(MonthlyStats!A35="","",MonthlyStats!H35)</x:f>
      </x:c>
      <x:c r="G35" t="str">
        <x:f>IF(MonthlyStats!A35="","",MonthlyStats!I35)</x:f>
      </x:c>
      <x:c r="H35" t="str">
        <x:f>IF(MonthlyStats!A35="","",MonthlyStats!J35+MonthlyStats!K35)</x:f>
      </x:c>
      <x:c r="I35" t="str">
        <x:f>IF(MonthlyStats!A35="","",TEXT(MonthlyStats!O35,"₹#,##0")&amp;" public summary; "&amp;MonthlyStats!D35&amp;" cases")</x:f>
      </x:c>
      <x:c r="J35" t="str">
        <x:f>IF(MonthlyStats!A35="","","#")</x:f>
      </x:c>
      <x:c r="K35" t="str">
        <x:f>IF(MonthlyStats!A35="","",MonthlyStats!S35)</x:f>
      </x:c>
      <x:c r="L35" t="str">
        <x:f>IF(MonthlyStats!A35="","","Formula-linked")</x:f>
      </x:c>
    </x:row>
    <x:row r="36">
      <x:c r="A36" t="str">
        <x:f>IF(MonthlyStats!A36="","",MonthlyStats!A36)</x:f>
      </x:c>
      <x:c r="B36" t="str">
        <x:f>IF(MonthlyStats!A36="","",MonthlyStats!B36)</x:f>
      </x:c>
      <x:c r="C36" t="str">
        <x:f>IF(MonthlyStats!A36="","",MonthlyStats!E36)</x:f>
      </x:c>
      <x:c r="D36" t="str">
        <x:f>IF(MonthlyStats!A36="","",MonthlyStats!F36)</x:f>
      </x:c>
      <x:c r="E36" t="str">
        <x:f>IF(MonthlyStats!A36="","",MonthlyStats!G36)</x:f>
      </x:c>
      <x:c r="F36" t="str">
        <x:f>IF(MonthlyStats!A36="","",MonthlyStats!H36)</x:f>
      </x:c>
      <x:c r="G36" t="str">
        <x:f>IF(MonthlyStats!A36="","",MonthlyStats!I36)</x:f>
      </x:c>
      <x:c r="H36" t="str">
        <x:f>IF(MonthlyStats!A36="","",MonthlyStats!J36+MonthlyStats!K36)</x:f>
      </x:c>
      <x:c r="I36" t="str">
        <x:f>IF(MonthlyStats!A36="","",TEXT(MonthlyStats!O36,"₹#,##0")&amp;" public summary; "&amp;MonthlyStats!D36&amp;" cases")</x:f>
      </x:c>
      <x:c r="J36" t="str">
        <x:f>IF(MonthlyStats!A36="","","#")</x:f>
      </x:c>
      <x:c r="K36" t="str">
        <x:f>IF(MonthlyStats!A36="","",MonthlyStats!S36)</x:f>
      </x:c>
      <x:c r="L36" t="str">
        <x:f>IF(MonthlyStats!A36="","","Formula-linked")</x:f>
      </x:c>
    </x:row>
    <x:row r="37">
      <x:c r="A37" t="str">
        <x:f>IF(MonthlyStats!A37="","",MonthlyStats!A37)</x:f>
      </x:c>
      <x:c r="B37" t="str">
        <x:f>IF(MonthlyStats!A37="","",MonthlyStats!B37)</x:f>
      </x:c>
      <x:c r="C37" t="str">
        <x:f>IF(MonthlyStats!A37="","",MonthlyStats!E37)</x:f>
      </x:c>
      <x:c r="D37" t="str">
        <x:f>IF(MonthlyStats!A37="","",MonthlyStats!F37)</x:f>
      </x:c>
      <x:c r="E37" t="str">
        <x:f>IF(MonthlyStats!A37="","",MonthlyStats!G37)</x:f>
      </x:c>
      <x:c r="F37" t="str">
        <x:f>IF(MonthlyStats!A37="","",MonthlyStats!H37)</x:f>
      </x:c>
      <x:c r="G37" t="str">
        <x:f>IF(MonthlyStats!A37="","",MonthlyStats!I37)</x:f>
      </x:c>
      <x:c r="H37" t="str">
        <x:f>IF(MonthlyStats!A37="","",MonthlyStats!J37+MonthlyStats!K37)</x:f>
      </x:c>
      <x:c r="I37" t="str">
        <x:f>IF(MonthlyStats!A37="","",TEXT(MonthlyStats!O37,"₹#,##0")&amp;" public summary; "&amp;MonthlyStats!D37&amp;" cases")</x:f>
      </x:c>
      <x:c r="J37" t="str">
        <x:f>IF(MonthlyStats!A37="","","#")</x:f>
      </x:c>
      <x:c r="K37" t="str">
        <x:f>IF(MonthlyStats!A37="","",MonthlyStats!S37)</x:f>
      </x:c>
      <x:c r="L37" t="str">
        <x:f>IF(MonthlyStats!A37="","","Formula-linked")</x:f>
      </x:c>
    </x:row>
    <x:row r="38">
      <x:c r="A38" t="str">
        <x:f>IF(MonthlyStats!A38="","",MonthlyStats!A38)</x:f>
      </x:c>
      <x:c r="B38" t="str">
        <x:f>IF(MonthlyStats!A38="","",MonthlyStats!B38)</x:f>
      </x:c>
      <x:c r="C38" t="str">
        <x:f>IF(MonthlyStats!A38="","",MonthlyStats!E38)</x:f>
      </x:c>
      <x:c r="D38" t="str">
        <x:f>IF(MonthlyStats!A38="","",MonthlyStats!F38)</x:f>
      </x:c>
      <x:c r="E38" t="str">
        <x:f>IF(MonthlyStats!A38="","",MonthlyStats!G38)</x:f>
      </x:c>
      <x:c r="F38" t="str">
        <x:f>IF(MonthlyStats!A38="","",MonthlyStats!H38)</x:f>
      </x:c>
      <x:c r="G38" t="str">
        <x:f>IF(MonthlyStats!A38="","",MonthlyStats!I38)</x:f>
      </x:c>
      <x:c r="H38" t="str">
        <x:f>IF(MonthlyStats!A38="","",MonthlyStats!J38+MonthlyStats!K38)</x:f>
      </x:c>
      <x:c r="I38" t="str">
        <x:f>IF(MonthlyStats!A38="","",TEXT(MonthlyStats!O38,"₹#,##0")&amp;" public summary; "&amp;MonthlyStats!D38&amp;" cases")</x:f>
      </x:c>
      <x:c r="J38" t="str">
        <x:f>IF(MonthlyStats!A38="","","#")</x:f>
      </x:c>
      <x:c r="K38" t="str">
        <x:f>IF(MonthlyStats!A38="","",MonthlyStats!S38)</x:f>
      </x:c>
      <x:c r="L38" t="str">
        <x:f>IF(MonthlyStats!A38="","","Formula-linked")</x:f>
      </x:c>
    </x:row>
    <x:row r="39">
      <x:c r="A39" t="str">
        <x:f>IF(MonthlyStats!A39="","",MonthlyStats!A39)</x:f>
      </x:c>
      <x:c r="B39" t="str">
        <x:f>IF(MonthlyStats!A39="","",MonthlyStats!B39)</x:f>
      </x:c>
      <x:c r="C39" t="str">
        <x:f>IF(MonthlyStats!A39="","",MonthlyStats!E39)</x:f>
      </x:c>
      <x:c r="D39" t="str">
        <x:f>IF(MonthlyStats!A39="","",MonthlyStats!F39)</x:f>
      </x:c>
      <x:c r="E39" t="str">
        <x:f>IF(MonthlyStats!A39="","",MonthlyStats!G39)</x:f>
      </x:c>
      <x:c r="F39" t="str">
        <x:f>IF(MonthlyStats!A39="","",MonthlyStats!H39)</x:f>
      </x:c>
      <x:c r="G39" t="str">
        <x:f>IF(MonthlyStats!A39="","",MonthlyStats!I39)</x:f>
      </x:c>
      <x:c r="H39" t="str">
        <x:f>IF(MonthlyStats!A39="","",MonthlyStats!J39+MonthlyStats!K39)</x:f>
      </x:c>
      <x:c r="I39" t="str">
        <x:f>IF(MonthlyStats!A39="","",TEXT(MonthlyStats!O39,"₹#,##0")&amp;" public summary; "&amp;MonthlyStats!D39&amp;" cases")</x:f>
      </x:c>
      <x:c r="J39" t="str">
        <x:f>IF(MonthlyStats!A39="","","#")</x:f>
      </x:c>
      <x:c r="K39" t="str">
        <x:f>IF(MonthlyStats!A39="","",MonthlyStats!S39)</x:f>
      </x:c>
      <x:c r="L39" t="str">
        <x:f>IF(MonthlyStats!A39="","","Formula-linked")</x:f>
      </x:c>
    </x:row>
    <x:row r="40">
      <x:c r="A40" t="str">
        <x:f>IF(MonthlyStats!A40="","",MonthlyStats!A40)</x:f>
      </x:c>
      <x:c r="B40" t="str">
        <x:f>IF(MonthlyStats!A40="","",MonthlyStats!B40)</x:f>
      </x:c>
      <x:c r="C40" t="str">
        <x:f>IF(MonthlyStats!A40="","",MonthlyStats!E40)</x:f>
      </x:c>
      <x:c r="D40" t="str">
        <x:f>IF(MonthlyStats!A40="","",MonthlyStats!F40)</x:f>
      </x:c>
      <x:c r="E40" t="str">
        <x:f>IF(MonthlyStats!A40="","",MonthlyStats!G40)</x:f>
      </x:c>
      <x:c r="F40" t="str">
        <x:f>IF(MonthlyStats!A40="","",MonthlyStats!H40)</x:f>
      </x:c>
      <x:c r="G40" t="str">
        <x:f>IF(MonthlyStats!A40="","",MonthlyStats!I40)</x:f>
      </x:c>
      <x:c r="H40" t="str">
        <x:f>IF(MonthlyStats!A40="","",MonthlyStats!J40+MonthlyStats!K40)</x:f>
      </x:c>
      <x:c r="I40" t="str">
        <x:f>IF(MonthlyStats!A40="","",TEXT(MonthlyStats!O40,"₹#,##0")&amp;" public summary; "&amp;MonthlyStats!D40&amp;" cases")</x:f>
      </x:c>
      <x:c r="J40" t="str">
        <x:f>IF(MonthlyStats!A40="","","#")</x:f>
      </x:c>
      <x:c r="K40" t="str">
        <x:f>IF(MonthlyStats!A40="","",MonthlyStats!S40)</x:f>
      </x:c>
      <x:c r="L40" t="str">
        <x:f>IF(MonthlyStats!A40="","","Formula-linked")</x:f>
      </x:c>
    </x:row>
    <x:row r="41">
      <x:c r="A41" t="str">
        <x:f>IF(MonthlyStats!A41="","",MonthlyStats!A41)</x:f>
      </x:c>
      <x:c r="B41" t="str">
        <x:f>IF(MonthlyStats!A41="","",MonthlyStats!B41)</x:f>
      </x:c>
      <x:c r="C41" t="str">
        <x:f>IF(MonthlyStats!A41="","",MonthlyStats!E41)</x:f>
      </x:c>
      <x:c r="D41" t="str">
        <x:f>IF(MonthlyStats!A41="","",MonthlyStats!F41)</x:f>
      </x:c>
      <x:c r="E41" t="str">
        <x:f>IF(MonthlyStats!A41="","",MonthlyStats!G41)</x:f>
      </x:c>
      <x:c r="F41" t="str">
        <x:f>IF(MonthlyStats!A41="","",MonthlyStats!H41)</x:f>
      </x:c>
      <x:c r="G41" t="str">
        <x:f>IF(MonthlyStats!A41="","",MonthlyStats!I41)</x:f>
      </x:c>
      <x:c r="H41" t="str">
        <x:f>IF(MonthlyStats!A41="","",MonthlyStats!J41+MonthlyStats!K41)</x:f>
      </x:c>
      <x:c r="I41" t="str">
        <x:f>IF(MonthlyStats!A41="","",TEXT(MonthlyStats!O41,"₹#,##0")&amp;" public summary; "&amp;MonthlyStats!D41&amp;" cases")</x:f>
      </x:c>
      <x:c r="J41" t="str">
        <x:f>IF(MonthlyStats!A41="","","#")</x:f>
      </x:c>
      <x:c r="K41" t="str">
        <x:f>IF(MonthlyStats!A41="","",MonthlyStats!S41)</x:f>
      </x:c>
      <x:c r="L41" t="str">
        <x:f>IF(MonthlyStats!A41="","","Formula-linked")</x:f>
      </x:c>
    </x:row>
    <x:row r="42">
      <x:c r="A42" t="str">
        <x:f>IF(MonthlyStats!A42="","",MonthlyStats!A42)</x:f>
      </x:c>
      <x:c r="B42" t="str">
        <x:f>IF(MonthlyStats!A42="","",MonthlyStats!B42)</x:f>
      </x:c>
      <x:c r="C42" t="str">
        <x:f>IF(MonthlyStats!A42="","",MonthlyStats!E42)</x:f>
      </x:c>
      <x:c r="D42" t="str">
        <x:f>IF(MonthlyStats!A42="","",MonthlyStats!F42)</x:f>
      </x:c>
      <x:c r="E42" t="str">
        <x:f>IF(MonthlyStats!A42="","",MonthlyStats!G42)</x:f>
      </x:c>
      <x:c r="F42" t="str">
        <x:f>IF(MonthlyStats!A42="","",MonthlyStats!H42)</x:f>
      </x:c>
      <x:c r="G42" t="str">
        <x:f>IF(MonthlyStats!A42="","",MonthlyStats!I42)</x:f>
      </x:c>
      <x:c r="H42" t="str">
        <x:f>IF(MonthlyStats!A42="","",MonthlyStats!J42+MonthlyStats!K42)</x:f>
      </x:c>
      <x:c r="I42" t="str">
        <x:f>IF(MonthlyStats!A42="","",TEXT(MonthlyStats!O42,"₹#,##0")&amp;" public summary; "&amp;MonthlyStats!D42&amp;" cases")</x:f>
      </x:c>
      <x:c r="J42" t="str">
        <x:f>IF(MonthlyStats!A42="","","#")</x:f>
      </x:c>
      <x:c r="K42" t="str">
        <x:f>IF(MonthlyStats!A42="","",MonthlyStats!S42)</x:f>
      </x:c>
      <x:c r="L42" t="str">
        <x:f>IF(MonthlyStats!A42="","","Formula-linked")</x:f>
      </x:c>
    </x:row>
    <x:row r="43">
      <x:c r="A43" t="str">
        <x:f>IF(MonthlyStats!A43="","",MonthlyStats!A43)</x:f>
      </x:c>
      <x:c r="B43" t="str">
        <x:f>IF(MonthlyStats!A43="","",MonthlyStats!B43)</x:f>
      </x:c>
      <x:c r="C43" t="str">
        <x:f>IF(MonthlyStats!A43="","",MonthlyStats!E43)</x:f>
      </x:c>
      <x:c r="D43" t="str">
        <x:f>IF(MonthlyStats!A43="","",MonthlyStats!F43)</x:f>
      </x:c>
      <x:c r="E43" t="str">
        <x:f>IF(MonthlyStats!A43="","",MonthlyStats!G43)</x:f>
      </x:c>
      <x:c r="F43" t="str">
        <x:f>IF(MonthlyStats!A43="","",MonthlyStats!H43)</x:f>
      </x:c>
      <x:c r="G43" t="str">
        <x:f>IF(MonthlyStats!A43="","",MonthlyStats!I43)</x:f>
      </x:c>
      <x:c r="H43" t="str">
        <x:f>IF(MonthlyStats!A43="","",MonthlyStats!J43+MonthlyStats!K43)</x:f>
      </x:c>
      <x:c r="I43" t="str">
        <x:f>IF(MonthlyStats!A43="","",TEXT(MonthlyStats!O43,"₹#,##0")&amp;" public summary; "&amp;MonthlyStats!D43&amp;" cases")</x:f>
      </x:c>
      <x:c r="J43" t="str">
        <x:f>IF(MonthlyStats!A43="","","#")</x:f>
      </x:c>
      <x:c r="K43" t="str">
        <x:f>IF(MonthlyStats!A43="","",MonthlyStats!S43)</x:f>
      </x:c>
      <x:c r="L43" t="str">
        <x:f>IF(MonthlyStats!A43="","","Formula-linked")</x:f>
      </x:c>
    </x:row>
    <x:row r="44">
      <x:c r="A44" t="str">
        <x:f>IF(MonthlyStats!A44="","",MonthlyStats!A44)</x:f>
      </x:c>
      <x:c r="B44" t="str">
        <x:f>IF(MonthlyStats!A44="","",MonthlyStats!B44)</x:f>
      </x:c>
      <x:c r="C44" t="str">
        <x:f>IF(MonthlyStats!A44="","",MonthlyStats!E44)</x:f>
      </x:c>
      <x:c r="D44" t="str">
        <x:f>IF(MonthlyStats!A44="","",MonthlyStats!F44)</x:f>
      </x:c>
      <x:c r="E44" t="str">
        <x:f>IF(MonthlyStats!A44="","",MonthlyStats!G44)</x:f>
      </x:c>
      <x:c r="F44" t="str">
        <x:f>IF(MonthlyStats!A44="","",MonthlyStats!H44)</x:f>
      </x:c>
      <x:c r="G44" t="str">
        <x:f>IF(MonthlyStats!A44="","",MonthlyStats!I44)</x:f>
      </x:c>
      <x:c r="H44" t="str">
        <x:f>IF(MonthlyStats!A44="","",MonthlyStats!J44+MonthlyStats!K44)</x:f>
      </x:c>
      <x:c r="I44" t="str">
        <x:f>IF(MonthlyStats!A44="","",TEXT(MonthlyStats!O44,"₹#,##0")&amp;" public summary; "&amp;MonthlyStats!D44&amp;" cases")</x:f>
      </x:c>
      <x:c r="J44" t="str">
        <x:f>IF(MonthlyStats!A44="","","#")</x:f>
      </x:c>
      <x:c r="K44" t="str">
        <x:f>IF(MonthlyStats!A44="","",MonthlyStats!S44)</x:f>
      </x:c>
      <x:c r="L44" t="str">
        <x:f>IF(MonthlyStats!A44="","","Formula-linked")</x:f>
      </x:c>
    </x:row>
    <x:row r="45">
      <x:c r="A45" t="str">
        <x:f>IF(MonthlyStats!A45="","",MonthlyStats!A45)</x:f>
      </x:c>
      <x:c r="B45" t="str">
        <x:f>IF(MonthlyStats!A45="","",MonthlyStats!B45)</x:f>
      </x:c>
      <x:c r="C45" t="str">
        <x:f>IF(MonthlyStats!A45="","",MonthlyStats!E45)</x:f>
      </x:c>
      <x:c r="D45" t="str">
        <x:f>IF(MonthlyStats!A45="","",MonthlyStats!F45)</x:f>
      </x:c>
      <x:c r="E45" t="str">
        <x:f>IF(MonthlyStats!A45="","",MonthlyStats!G45)</x:f>
      </x:c>
      <x:c r="F45" t="str">
        <x:f>IF(MonthlyStats!A45="","",MonthlyStats!H45)</x:f>
      </x:c>
      <x:c r="G45" t="str">
        <x:f>IF(MonthlyStats!A45="","",MonthlyStats!I45)</x:f>
      </x:c>
      <x:c r="H45" t="str">
        <x:f>IF(MonthlyStats!A45="","",MonthlyStats!J45+MonthlyStats!K45)</x:f>
      </x:c>
      <x:c r="I45" t="str">
        <x:f>IF(MonthlyStats!A45="","",TEXT(MonthlyStats!O45,"₹#,##0")&amp;" public summary; "&amp;MonthlyStats!D45&amp;" cases")</x:f>
      </x:c>
      <x:c r="J45" t="str">
        <x:f>IF(MonthlyStats!A45="","","#")</x:f>
      </x:c>
      <x:c r="K45" t="str">
        <x:f>IF(MonthlyStats!A45="","",MonthlyStats!S45)</x:f>
      </x:c>
      <x:c r="L45" t="str">
        <x:f>IF(MonthlyStats!A45="","","Formula-linked")</x:f>
      </x:c>
    </x:row>
    <x:row r="46">
      <x:c r="A46" t="str">
        <x:f>IF(MonthlyStats!A46="","",MonthlyStats!A46)</x:f>
      </x:c>
      <x:c r="B46" t="str">
        <x:f>IF(MonthlyStats!A46="","",MonthlyStats!B46)</x:f>
      </x:c>
      <x:c r="C46" t="str">
        <x:f>IF(MonthlyStats!A46="","",MonthlyStats!E46)</x:f>
      </x:c>
      <x:c r="D46" t="str">
        <x:f>IF(MonthlyStats!A46="","",MonthlyStats!F46)</x:f>
      </x:c>
      <x:c r="E46" t="str">
        <x:f>IF(MonthlyStats!A46="","",MonthlyStats!G46)</x:f>
      </x:c>
      <x:c r="F46" t="str">
        <x:f>IF(MonthlyStats!A46="","",MonthlyStats!H46)</x:f>
      </x:c>
      <x:c r="G46" t="str">
        <x:f>IF(MonthlyStats!A46="","",MonthlyStats!I46)</x:f>
      </x:c>
      <x:c r="H46" t="str">
        <x:f>IF(MonthlyStats!A46="","",MonthlyStats!J46+MonthlyStats!K46)</x:f>
      </x:c>
      <x:c r="I46" t="str">
        <x:f>IF(MonthlyStats!A46="","",TEXT(MonthlyStats!O46,"₹#,##0")&amp;" public summary; "&amp;MonthlyStats!D46&amp;" cases")</x:f>
      </x:c>
      <x:c r="J46" t="str">
        <x:f>IF(MonthlyStats!A46="","","#")</x:f>
      </x:c>
      <x:c r="K46" t="str">
        <x:f>IF(MonthlyStats!A46="","",MonthlyStats!S46)</x:f>
      </x:c>
      <x:c r="L46" t="str">
        <x:f>IF(MonthlyStats!A46="","","Formula-linked")</x:f>
      </x:c>
    </x:row>
    <x:row r="47">
      <x:c r="A47" t="str">
        <x:f>IF(MonthlyStats!A47="","",MonthlyStats!A47)</x:f>
      </x:c>
      <x:c r="B47" t="str">
        <x:f>IF(MonthlyStats!A47="","",MonthlyStats!B47)</x:f>
      </x:c>
      <x:c r="C47" t="str">
        <x:f>IF(MonthlyStats!A47="","",MonthlyStats!E47)</x:f>
      </x:c>
      <x:c r="D47" t="str">
        <x:f>IF(MonthlyStats!A47="","",MonthlyStats!F47)</x:f>
      </x:c>
      <x:c r="E47" t="str">
        <x:f>IF(MonthlyStats!A47="","",MonthlyStats!G47)</x:f>
      </x:c>
      <x:c r="F47" t="str">
        <x:f>IF(MonthlyStats!A47="","",MonthlyStats!H47)</x:f>
      </x:c>
      <x:c r="G47" t="str">
        <x:f>IF(MonthlyStats!A47="","",MonthlyStats!I47)</x:f>
      </x:c>
      <x:c r="H47" t="str">
        <x:f>IF(MonthlyStats!A47="","",MonthlyStats!J47+MonthlyStats!K47)</x:f>
      </x:c>
      <x:c r="I47" t="str">
        <x:f>IF(MonthlyStats!A47="","",TEXT(MonthlyStats!O47,"₹#,##0")&amp;" public summary; "&amp;MonthlyStats!D47&amp;" cases")</x:f>
      </x:c>
      <x:c r="J47" t="str">
        <x:f>IF(MonthlyStats!A47="","","#")</x:f>
      </x:c>
      <x:c r="K47" t="str">
        <x:f>IF(MonthlyStats!A47="","",MonthlyStats!S47)</x:f>
      </x:c>
      <x:c r="L47" t="str">
        <x:f>IF(MonthlyStats!A47="","","Formula-linked")</x:f>
      </x:c>
    </x:row>
    <x:row r="48">
      <x:c r="A48" t="str">
        <x:f>IF(MonthlyStats!A48="","",MonthlyStats!A48)</x:f>
      </x:c>
      <x:c r="B48" t="str">
        <x:f>IF(MonthlyStats!A48="","",MonthlyStats!B48)</x:f>
      </x:c>
      <x:c r="C48" t="str">
        <x:f>IF(MonthlyStats!A48="","",MonthlyStats!E48)</x:f>
      </x:c>
      <x:c r="D48" t="str">
        <x:f>IF(MonthlyStats!A48="","",MonthlyStats!F48)</x:f>
      </x:c>
      <x:c r="E48" t="str">
        <x:f>IF(MonthlyStats!A48="","",MonthlyStats!G48)</x:f>
      </x:c>
      <x:c r="F48" t="str">
        <x:f>IF(MonthlyStats!A48="","",MonthlyStats!H48)</x:f>
      </x:c>
      <x:c r="G48" t="str">
        <x:f>IF(MonthlyStats!A48="","",MonthlyStats!I48)</x:f>
      </x:c>
      <x:c r="H48" t="str">
        <x:f>IF(MonthlyStats!A48="","",MonthlyStats!J48+MonthlyStats!K48)</x:f>
      </x:c>
      <x:c r="I48" t="str">
        <x:f>IF(MonthlyStats!A48="","",TEXT(MonthlyStats!O48,"₹#,##0")&amp;" public summary; "&amp;MonthlyStats!D48&amp;" cases")</x:f>
      </x:c>
      <x:c r="J48" t="str">
        <x:f>IF(MonthlyStats!A48="","","#")</x:f>
      </x:c>
      <x:c r="K48" t="str">
        <x:f>IF(MonthlyStats!A48="","",MonthlyStats!S48)</x:f>
      </x:c>
      <x:c r="L48" t="str">
        <x:f>IF(MonthlyStats!A48="","","Formula-linked")</x:f>
      </x:c>
    </x:row>
    <x:row r="49">
      <x:c r="A49" t="str">
        <x:f>IF(MonthlyStats!A49="","",MonthlyStats!A49)</x:f>
      </x:c>
      <x:c r="B49" t="str">
        <x:f>IF(MonthlyStats!A49="","",MonthlyStats!B49)</x:f>
      </x:c>
      <x:c r="C49" t="str">
        <x:f>IF(MonthlyStats!A49="","",MonthlyStats!E49)</x:f>
      </x:c>
      <x:c r="D49" t="str">
        <x:f>IF(MonthlyStats!A49="","",MonthlyStats!F49)</x:f>
      </x:c>
      <x:c r="E49" t="str">
        <x:f>IF(MonthlyStats!A49="","",MonthlyStats!G49)</x:f>
      </x:c>
      <x:c r="F49" t="str">
        <x:f>IF(MonthlyStats!A49="","",MonthlyStats!H49)</x:f>
      </x:c>
      <x:c r="G49" t="str">
        <x:f>IF(MonthlyStats!A49="","",MonthlyStats!I49)</x:f>
      </x:c>
      <x:c r="H49" t="str">
        <x:f>IF(MonthlyStats!A49="","",MonthlyStats!J49+MonthlyStats!K49)</x:f>
      </x:c>
      <x:c r="I49" t="str">
        <x:f>IF(MonthlyStats!A49="","",TEXT(MonthlyStats!O49,"₹#,##0")&amp;" public summary; "&amp;MonthlyStats!D49&amp;" cases")</x:f>
      </x:c>
      <x:c r="J49" t="str">
        <x:f>IF(MonthlyStats!A49="","","#")</x:f>
      </x:c>
      <x:c r="K49" t="str">
        <x:f>IF(MonthlyStats!A49="","",MonthlyStats!S49)</x:f>
      </x:c>
      <x:c r="L49" t="str">
        <x:f>IF(MonthlyStats!A49="","","Formula-linked")</x:f>
      </x:c>
    </x:row>
    <x:row r="50">
      <x:c r="A50" t="str">
        <x:f>IF(MonthlyStats!A50="","",MonthlyStats!A50)</x:f>
      </x:c>
      <x:c r="B50" t="str">
        <x:f>IF(MonthlyStats!A50="","",MonthlyStats!B50)</x:f>
      </x:c>
      <x:c r="C50" t="str">
        <x:f>IF(MonthlyStats!A50="","",MonthlyStats!E50)</x:f>
      </x:c>
      <x:c r="D50" t="str">
        <x:f>IF(MonthlyStats!A50="","",MonthlyStats!F50)</x:f>
      </x:c>
      <x:c r="E50" t="str">
        <x:f>IF(MonthlyStats!A50="","",MonthlyStats!G50)</x:f>
      </x:c>
      <x:c r="F50" t="str">
        <x:f>IF(MonthlyStats!A50="","",MonthlyStats!H50)</x:f>
      </x:c>
      <x:c r="G50" t="str">
        <x:f>IF(MonthlyStats!A50="","",MonthlyStats!I50)</x:f>
      </x:c>
      <x:c r="H50" t="str">
        <x:f>IF(MonthlyStats!A50="","",MonthlyStats!J50+MonthlyStats!K50)</x:f>
      </x:c>
      <x:c r="I50" t="str">
        <x:f>IF(MonthlyStats!A50="","",TEXT(MonthlyStats!O50,"₹#,##0")&amp;" public summary; "&amp;MonthlyStats!D50&amp;" cases")</x:f>
      </x:c>
      <x:c r="J50" t="str">
        <x:f>IF(MonthlyStats!A50="","","#")</x:f>
      </x:c>
      <x:c r="K50" t="str">
        <x:f>IF(MonthlyStats!A50="","",MonthlyStats!S50)</x:f>
      </x:c>
      <x:c r="L50" t="str">
        <x:f>IF(MonthlyStats!A50="","","Formula-linked")</x:f>
      </x:c>
    </x:row>
    <x:row r="51">
      <x:c r="A51" t="str">
        <x:f>IF(MonthlyStats!A51="","",MonthlyStats!A51)</x:f>
      </x:c>
      <x:c r="B51" t="str">
        <x:f>IF(MonthlyStats!A51="","",MonthlyStats!B51)</x:f>
      </x:c>
      <x:c r="C51" t="str">
        <x:f>IF(MonthlyStats!A51="","",MonthlyStats!E51)</x:f>
      </x:c>
      <x:c r="D51" t="str">
        <x:f>IF(MonthlyStats!A51="","",MonthlyStats!F51)</x:f>
      </x:c>
      <x:c r="E51" t="str">
        <x:f>IF(MonthlyStats!A51="","",MonthlyStats!G51)</x:f>
      </x:c>
      <x:c r="F51" t="str">
        <x:f>IF(MonthlyStats!A51="","",MonthlyStats!H51)</x:f>
      </x:c>
      <x:c r="G51" t="str">
        <x:f>IF(MonthlyStats!A51="","",MonthlyStats!I51)</x:f>
      </x:c>
      <x:c r="H51" t="str">
        <x:f>IF(MonthlyStats!A51="","",MonthlyStats!J51+MonthlyStats!K51)</x:f>
      </x:c>
      <x:c r="I51" t="str">
        <x:f>IF(MonthlyStats!A51="","",TEXT(MonthlyStats!O51,"₹#,##0")&amp;" public summary; "&amp;MonthlyStats!D51&amp;" cases")</x:f>
      </x:c>
      <x:c r="J51" t="str">
        <x:f>IF(MonthlyStats!A51="","","#")</x:f>
      </x:c>
      <x:c r="K51" t="str">
        <x:f>IF(MonthlyStats!A51="","",MonthlyStats!S51)</x:f>
      </x:c>
      <x:c r="L51" t="str">
        <x:f>IF(MonthlyStats!A51="","","Formula-linked")</x:f>
      </x:c>
    </x:row>
    <x:row r="52">
      <x:c r="A52" t="str">
        <x:f>IF(MonthlyStats!A52="","",MonthlyStats!A52)</x:f>
      </x:c>
      <x:c r="B52" t="str">
        <x:f>IF(MonthlyStats!A52="","",MonthlyStats!B52)</x:f>
      </x:c>
      <x:c r="C52" t="str">
        <x:f>IF(MonthlyStats!A52="","",MonthlyStats!E52)</x:f>
      </x:c>
      <x:c r="D52" t="str">
        <x:f>IF(MonthlyStats!A52="","",MonthlyStats!F52)</x:f>
      </x:c>
      <x:c r="E52" t="str">
        <x:f>IF(MonthlyStats!A52="","",MonthlyStats!G52)</x:f>
      </x:c>
      <x:c r="F52" t="str">
        <x:f>IF(MonthlyStats!A52="","",MonthlyStats!H52)</x:f>
      </x:c>
      <x:c r="G52" t="str">
        <x:f>IF(MonthlyStats!A52="","",MonthlyStats!I52)</x:f>
      </x:c>
      <x:c r="H52" t="str">
        <x:f>IF(MonthlyStats!A52="","",MonthlyStats!J52+MonthlyStats!K52)</x:f>
      </x:c>
      <x:c r="I52" t="str">
        <x:f>IF(MonthlyStats!A52="","",TEXT(MonthlyStats!O52,"₹#,##0")&amp;" public summary; "&amp;MonthlyStats!D52&amp;" cases")</x:f>
      </x:c>
      <x:c r="J52" t="str">
        <x:f>IF(MonthlyStats!A52="","","#")</x:f>
      </x:c>
      <x:c r="K52" t="str">
        <x:f>IF(MonthlyStats!A52="","",MonthlyStats!S52)</x:f>
      </x:c>
      <x:c r="L52" t="str">
        <x:f>IF(MonthlyStats!A52="","","Formula-linked")</x:f>
      </x:c>
    </x:row>
    <x:row r="53">
      <x:c r="A53" t="str">
        <x:f>IF(MonthlyStats!A53="","",MonthlyStats!A53)</x:f>
      </x:c>
      <x:c r="B53" t="str">
        <x:f>IF(MonthlyStats!A53="","",MonthlyStats!B53)</x:f>
      </x:c>
      <x:c r="C53" t="str">
        <x:f>IF(MonthlyStats!A53="","",MonthlyStats!E53)</x:f>
      </x:c>
      <x:c r="D53" t="str">
        <x:f>IF(MonthlyStats!A53="","",MonthlyStats!F53)</x:f>
      </x:c>
      <x:c r="E53" t="str">
        <x:f>IF(MonthlyStats!A53="","",MonthlyStats!G53)</x:f>
      </x:c>
      <x:c r="F53" t="str">
        <x:f>IF(MonthlyStats!A53="","",MonthlyStats!H53)</x:f>
      </x:c>
      <x:c r="G53" t="str">
        <x:f>IF(MonthlyStats!A53="","",MonthlyStats!I53)</x:f>
      </x:c>
      <x:c r="H53" t="str">
        <x:f>IF(MonthlyStats!A53="","",MonthlyStats!J53+MonthlyStats!K53)</x:f>
      </x:c>
      <x:c r="I53" t="str">
        <x:f>IF(MonthlyStats!A53="","",TEXT(MonthlyStats!O53,"₹#,##0")&amp;" public summary; "&amp;MonthlyStats!D53&amp;" cases")</x:f>
      </x:c>
      <x:c r="J53" t="str">
        <x:f>IF(MonthlyStats!A53="","","#")</x:f>
      </x:c>
      <x:c r="K53" t="str">
        <x:f>IF(MonthlyStats!A53="","",MonthlyStats!S53)</x:f>
      </x:c>
      <x:c r="L53" t="str">
        <x:f>IF(MonthlyStats!A53="","","Formula-linked")</x:f>
      </x:c>
    </x:row>
    <x:row r="54">
      <x:c r="A54" t="str">
        <x:f>IF(MonthlyStats!A54="","",MonthlyStats!A54)</x:f>
      </x:c>
      <x:c r="B54" t="str">
        <x:f>IF(MonthlyStats!A54="","",MonthlyStats!B54)</x:f>
      </x:c>
      <x:c r="C54" t="str">
        <x:f>IF(MonthlyStats!A54="","",MonthlyStats!E54)</x:f>
      </x:c>
      <x:c r="D54" t="str">
        <x:f>IF(MonthlyStats!A54="","",MonthlyStats!F54)</x:f>
      </x:c>
      <x:c r="E54" t="str">
        <x:f>IF(MonthlyStats!A54="","",MonthlyStats!G54)</x:f>
      </x:c>
      <x:c r="F54" t="str">
        <x:f>IF(MonthlyStats!A54="","",MonthlyStats!H54)</x:f>
      </x:c>
      <x:c r="G54" t="str">
        <x:f>IF(MonthlyStats!A54="","",MonthlyStats!I54)</x:f>
      </x:c>
      <x:c r="H54" t="str">
        <x:f>IF(MonthlyStats!A54="","",MonthlyStats!J54+MonthlyStats!K54)</x:f>
      </x:c>
      <x:c r="I54" t="str">
        <x:f>IF(MonthlyStats!A54="","",TEXT(MonthlyStats!O54,"₹#,##0")&amp;" public summary; "&amp;MonthlyStats!D54&amp;" cases")</x:f>
      </x:c>
      <x:c r="J54" t="str">
        <x:f>IF(MonthlyStats!A54="","","#")</x:f>
      </x:c>
      <x:c r="K54" t="str">
        <x:f>IF(MonthlyStats!A54="","",MonthlyStats!S54)</x:f>
      </x:c>
      <x:c r="L54" t="str">
        <x:f>IF(MonthlyStats!A54="","","Formula-linked")</x:f>
      </x:c>
    </x:row>
    <x:row r="55">
      <x:c r="A55" t="str">
        <x:f>IF(MonthlyStats!A55="","",MonthlyStats!A55)</x:f>
      </x:c>
      <x:c r="B55" t="str">
        <x:f>IF(MonthlyStats!A55="","",MonthlyStats!B55)</x:f>
      </x:c>
      <x:c r="C55" t="str">
        <x:f>IF(MonthlyStats!A55="","",MonthlyStats!E55)</x:f>
      </x:c>
      <x:c r="D55" t="str">
        <x:f>IF(MonthlyStats!A55="","",MonthlyStats!F55)</x:f>
      </x:c>
      <x:c r="E55" t="str">
        <x:f>IF(MonthlyStats!A55="","",MonthlyStats!G55)</x:f>
      </x:c>
      <x:c r="F55" t="str">
        <x:f>IF(MonthlyStats!A55="","",MonthlyStats!H55)</x:f>
      </x:c>
      <x:c r="G55" t="str">
        <x:f>IF(MonthlyStats!A55="","",MonthlyStats!I55)</x:f>
      </x:c>
      <x:c r="H55" t="str">
        <x:f>IF(MonthlyStats!A55="","",MonthlyStats!J55+MonthlyStats!K55)</x:f>
      </x:c>
      <x:c r="I55" t="str">
        <x:f>IF(MonthlyStats!A55="","",TEXT(MonthlyStats!O55,"₹#,##0")&amp;" public summary; "&amp;MonthlyStats!D55&amp;" cases")</x:f>
      </x:c>
      <x:c r="J55" t="str">
        <x:f>IF(MonthlyStats!A55="","","#")</x:f>
      </x:c>
      <x:c r="K55" t="str">
        <x:f>IF(MonthlyStats!A55="","",MonthlyStats!S55)</x:f>
      </x:c>
      <x:c r="L55" t="str">
        <x:f>IF(MonthlyStats!A55="","","Formula-linked")</x:f>
      </x:c>
    </x:row>
    <x:row r="56">
      <x:c r="A56" t="str">
        <x:f>IF(MonthlyStats!A56="","",MonthlyStats!A56)</x:f>
      </x:c>
      <x:c r="B56" t="str">
        <x:f>IF(MonthlyStats!A56="","",MonthlyStats!B56)</x:f>
      </x:c>
      <x:c r="C56" t="str">
        <x:f>IF(MonthlyStats!A56="","",MonthlyStats!E56)</x:f>
      </x:c>
      <x:c r="D56" t="str">
        <x:f>IF(MonthlyStats!A56="","",MonthlyStats!F56)</x:f>
      </x:c>
      <x:c r="E56" t="str">
        <x:f>IF(MonthlyStats!A56="","",MonthlyStats!G56)</x:f>
      </x:c>
      <x:c r="F56" t="str">
        <x:f>IF(MonthlyStats!A56="","",MonthlyStats!H56)</x:f>
      </x:c>
      <x:c r="G56" t="str">
        <x:f>IF(MonthlyStats!A56="","",MonthlyStats!I56)</x:f>
      </x:c>
      <x:c r="H56" t="str">
        <x:f>IF(MonthlyStats!A56="","",MonthlyStats!J56+MonthlyStats!K56)</x:f>
      </x:c>
      <x:c r="I56" t="str">
        <x:f>IF(MonthlyStats!A56="","",TEXT(MonthlyStats!O56,"₹#,##0")&amp;" public summary; "&amp;MonthlyStats!D56&amp;" cases")</x:f>
      </x:c>
      <x:c r="J56" t="str">
        <x:f>IF(MonthlyStats!A56="","","#")</x:f>
      </x:c>
      <x:c r="K56" t="str">
        <x:f>IF(MonthlyStats!A56="","",MonthlyStats!S56)</x:f>
      </x:c>
      <x:c r="L56" t="str">
        <x:f>IF(MonthlyStats!A56="","","Formula-linked")</x:f>
      </x:c>
    </x:row>
    <x:row r="57">
      <x:c r="A57" t="str">
        <x:f>IF(MonthlyStats!A57="","",MonthlyStats!A57)</x:f>
      </x:c>
      <x:c r="B57" t="str">
        <x:f>IF(MonthlyStats!A57="","",MonthlyStats!B57)</x:f>
      </x:c>
      <x:c r="C57" t="str">
        <x:f>IF(MonthlyStats!A57="","",MonthlyStats!E57)</x:f>
      </x:c>
      <x:c r="D57" t="str">
        <x:f>IF(MonthlyStats!A57="","",MonthlyStats!F57)</x:f>
      </x:c>
      <x:c r="E57" t="str">
        <x:f>IF(MonthlyStats!A57="","",MonthlyStats!G57)</x:f>
      </x:c>
      <x:c r="F57" t="str">
        <x:f>IF(MonthlyStats!A57="","",MonthlyStats!H57)</x:f>
      </x:c>
      <x:c r="G57" t="str">
        <x:f>IF(MonthlyStats!A57="","",MonthlyStats!I57)</x:f>
      </x:c>
      <x:c r="H57" t="str">
        <x:f>IF(MonthlyStats!A57="","",MonthlyStats!J57+MonthlyStats!K57)</x:f>
      </x:c>
      <x:c r="I57" t="str">
        <x:f>IF(MonthlyStats!A57="","",TEXT(MonthlyStats!O57,"₹#,##0")&amp;" public summary; "&amp;MonthlyStats!D57&amp;" cases")</x:f>
      </x:c>
      <x:c r="J57" t="str">
        <x:f>IF(MonthlyStats!A57="","","#")</x:f>
      </x:c>
      <x:c r="K57" t="str">
        <x:f>IF(MonthlyStats!A57="","",MonthlyStats!S57)</x:f>
      </x:c>
      <x:c r="L57" t="str">
        <x:f>IF(MonthlyStats!A57="","","Formula-linked")</x:f>
      </x:c>
    </x:row>
    <x:row r="58">
      <x:c r="A58" t="str">
        <x:f>IF(MonthlyStats!A58="","",MonthlyStats!A58)</x:f>
      </x:c>
      <x:c r="B58" t="str">
        <x:f>IF(MonthlyStats!A58="","",MonthlyStats!B58)</x:f>
      </x:c>
      <x:c r="C58" t="str">
        <x:f>IF(MonthlyStats!A58="","",MonthlyStats!E58)</x:f>
      </x:c>
      <x:c r="D58" t="str">
        <x:f>IF(MonthlyStats!A58="","",MonthlyStats!F58)</x:f>
      </x:c>
      <x:c r="E58" t="str">
        <x:f>IF(MonthlyStats!A58="","",MonthlyStats!G58)</x:f>
      </x:c>
      <x:c r="F58" t="str">
        <x:f>IF(MonthlyStats!A58="","",MonthlyStats!H58)</x:f>
      </x:c>
      <x:c r="G58" t="str">
        <x:f>IF(MonthlyStats!A58="","",MonthlyStats!I58)</x:f>
      </x:c>
      <x:c r="H58" t="str">
        <x:f>IF(MonthlyStats!A58="","",MonthlyStats!J58+MonthlyStats!K58)</x:f>
      </x:c>
      <x:c r="I58" t="str">
        <x:f>IF(MonthlyStats!A58="","",TEXT(MonthlyStats!O58,"₹#,##0")&amp;" public summary; "&amp;MonthlyStats!D58&amp;" cases")</x:f>
      </x:c>
      <x:c r="J58" t="str">
        <x:f>IF(MonthlyStats!A58="","","#")</x:f>
      </x:c>
      <x:c r="K58" t="str">
        <x:f>IF(MonthlyStats!A58="","",MonthlyStats!S58)</x:f>
      </x:c>
      <x:c r="L58" t="str">
        <x:f>IF(MonthlyStats!A58="","","Formula-linked")</x:f>
      </x:c>
    </x:row>
    <x:row r="59">
      <x:c r="A59" t="str">
        <x:f>IF(MonthlyStats!A59="","",MonthlyStats!A59)</x:f>
      </x:c>
      <x:c r="B59" t="str">
        <x:f>IF(MonthlyStats!A59="","",MonthlyStats!B59)</x:f>
      </x:c>
      <x:c r="C59" t="str">
        <x:f>IF(MonthlyStats!A59="","",MonthlyStats!E59)</x:f>
      </x:c>
      <x:c r="D59" t="str">
        <x:f>IF(MonthlyStats!A59="","",MonthlyStats!F59)</x:f>
      </x:c>
      <x:c r="E59" t="str">
        <x:f>IF(MonthlyStats!A59="","",MonthlyStats!G59)</x:f>
      </x:c>
      <x:c r="F59" t="str">
        <x:f>IF(MonthlyStats!A59="","",MonthlyStats!H59)</x:f>
      </x:c>
      <x:c r="G59" t="str">
        <x:f>IF(MonthlyStats!A59="","",MonthlyStats!I59)</x:f>
      </x:c>
      <x:c r="H59" t="str">
        <x:f>IF(MonthlyStats!A59="","",MonthlyStats!J59+MonthlyStats!K59)</x:f>
      </x:c>
      <x:c r="I59" t="str">
        <x:f>IF(MonthlyStats!A59="","",TEXT(MonthlyStats!O59,"₹#,##0")&amp;" public summary; "&amp;MonthlyStats!D59&amp;" cases")</x:f>
      </x:c>
      <x:c r="J59" t="str">
        <x:f>IF(MonthlyStats!A59="","","#")</x:f>
      </x:c>
      <x:c r="K59" t="str">
        <x:f>IF(MonthlyStats!A59="","",MonthlyStats!S59)</x:f>
      </x:c>
      <x:c r="L59" t="str">
        <x:f>IF(MonthlyStats!A59="","","Formula-linked")</x:f>
      </x:c>
    </x:row>
    <x:row r="60">
      <x:c r="A60" t="str">
        <x:f>IF(MonthlyStats!A60="","",MonthlyStats!A60)</x:f>
      </x:c>
      <x:c r="B60" t="str">
        <x:f>IF(MonthlyStats!A60="","",MonthlyStats!B60)</x:f>
      </x:c>
      <x:c r="C60" t="str">
        <x:f>IF(MonthlyStats!A60="","",MonthlyStats!E60)</x:f>
      </x:c>
      <x:c r="D60" t="str">
        <x:f>IF(MonthlyStats!A60="","",MonthlyStats!F60)</x:f>
      </x:c>
      <x:c r="E60" t="str">
        <x:f>IF(MonthlyStats!A60="","",MonthlyStats!G60)</x:f>
      </x:c>
      <x:c r="F60" t="str">
        <x:f>IF(MonthlyStats!A60="","",MonthlyStats!H60)</x:f>
      </x:c>
      <x:c r="G60" t="str">
        <x:f>IF(MonthlyStats!A60="","",MonthlyStats!I60)</x:f>
      </x:c>
      <x:c r="H60" t="str">
        <x:f>IF(MonthlyStats!A60="","",MonthlyStats!J60+MonthlyStats!K60)</x:f>
      </x:c>
      <x:c r="I60" t="str">
        <x:f>IF(MonthlyStats!A60="","",TEXT(MonthlyStats!O60,"₹#,##0")&amp;" public summary; "&amp;MonthlyStats!D60&amp;" cases")</x:f>
      </x:c>
      <x:c r="J60" t="str">
        <x:f>IF(MonthlyStats!A60="","","#")</x:f>
      </x:c>
      <x:c r="K60" t="str">
        <x:f>IF(MonthlyStats!A60="","",MonthlyStats!S60)</x:f>
      </x:c>
      <x:c r="L60" t="str">
        <x:f>IF(MonthlyStats!A60="","","Formula-linked")</x:f>
      </x:c>
    </x:row>
    <x:row r="61">
      <x:c r="A61" t="str">
        <x:f>IF(MonthlyStats!A61="","",MonthlyStats!A61)</x:f>
      </x:c>
      <x:c r="B61" t="str">
        <x:f>IF(MonthlyStats!A61="","",MonthlyStats!B61)</x:f>
      </x:c>
      <x:c r="C61" t="str">
        <x:f>IF(MonthlyStats!A61="","",MonthlyStats!E61)</x:f>
      </x:c>
      <x:c r="D61" t="str">
        <x:f>IF(MonthlyStats!A61="","",MonthlyStats!F61)</x:f>
      </x:c>
      <x:c r="E61" t="str">
        <x:f>IF(MonthlyStats!A61="","",MonthlyStats!G61)</x:f>
      </x:c>
      <x:c r="F61" t="str">
        <x:f>IF(MonthlyStats!A61="","",MonthlyStats!H61)</x:f>
      </x:c>
      <x:c r="G61" t="str">
        <x:f>IF(MonthlyStats!A61="","",MonthlyStats!I61)</x:f>
      </x:c>
      <x:c r="H61" t="str">
        <x:f>IF(MonthlyStats!A61="","",MonthlyStats!J61+MonthlyStats!K61)</x:f>
      </x:c>
      <x:c r="I61" t="str">
        <x:f>IF(MonthlyStats!A61="","",TEXT(MonthlyStats!O61,"₹#,##0")&amp;" public summary; "&amp;MonthlyStats!D61&amp;" cases")</x:f>
      </x:c>
      <x:c r="J61" t="str">
        <x:f>IF(MonthlyStats!A61="","","#")</x:f>
      </x:c>
      <x:c r="K61" t="str">
        <x:f>IF(MonthlyStats!A61="","",MonthlyStats!S61)</x:f>
      </x:c>
      <x:c r="L61" t="str">
        <x:f>IF(MonthlyStats!A61="","","Formula-linked")</x:f>
      </x:c>
    </x:row>
    <x:row r="62">
      <x:c r="A62" t="str">
        <x:f>IF(MonthlyStats!A62="","",MonthlyStats!A62)</x:f>
      </x:c>
      <x:c r="B62" t="str">
        <x:f>IF(MonthlyStats!A62="","",MonthlyStats!B62)</x:f>
      </x:c>
      <x:c r="C62" t="str">
        <x:f>IF(MonthlyStats!A62="","",MonthlyStats!E62)</x:f>
      </x:c>
      <x:c r="D62" t="str">
        <x:f>IF(MonthlyStats!A62="","",MonthlyStats!F62)</x:f>
      </x:c>
      <x:c r="E62" t="str">
        <x:f>IF(MonthlyStats!A62="","",MonthlyStats!G62)</x:f>
      </x:c>
      <x:c r="F62" t="str">
        <x:f>IF(MonthlyStats!A62="","",MonthlyStats!H62)</x:f>
      </x:c>
      <x:c r="G62" t="str">
        <x:f>IF(MonthlyStats!A62="","",MonthlyStats!I62)</x:f>
      </x:c>
      <x:c r="H62" t="str">
        <x:f>IF(MonthlyStats!A62="","",MonthlyStats!J62+MonthlyStats!K62)</x:f>
      </x:c>
      <x:c r="I62" t="str">
        <x:f>IF(MonthlyStats!A62="","",TEXT(MonthlyStats!O62,"₹#,##0")&amp;" public summary; "&amp;MonthlyStats!D62&amp;" cases")</x:f>
      </x:c>
      <x:c r="J62" t="str">
        <x:f>IF(MonthlyStats!A62="","","#")</x:f>
      </x:c>
      <x:c r="K62" t="str">
        <x:f>IF(MonthlyStats!A62="","",MonthlyStats!S62)</x:f>
      </x:c>
      <x:c r="L62" t="str">
        <x:f>IF(MonthlyStats!A62="","","Formula-linked")</x:f>
      </x:c>
    </x:row>
    <x:row r="63">
      <x:c r="A63" t="str">
        <x:f>IF(MonthlyStats!A63="","",MonthlyStats!A63)</x:f>
      </x:c>
      <x:c r="B63" t="str">
        <x:f>IF(MonthlyStats!A63="","",MonthlyStats!B63)</x:f>
      </x:c>
      <x:c r="C63" t="str">
        <x:f>IF(MonthlyStats!A63="","",MonthlyStats!E63)</x:f>
      </x:c>
      <x:c r="D63" t="str">
        <x:f>IF(MonthlyStats!A63="","",MonthlyStats!F63)</x:f>
      </x:c>
      <x:c r="E63" t="str">
        <x:f>IF(MonthlyStats!A63="","",MonthlyStats!G63)</x:f>
      </x:c>
      <x:c r="F63" t="str">
        <x:f>IF(MonthlyStats!A63="","",MonthlyStats!H63)</x:f>
      </x:c>
      <x:c r="G63" t="str">
        <x:f>IF(MonthlyStats!A63="","",MonthlyStats!I63)</x:f>
      </x:c>
      <x:c r="H63" t="str">
        <x:f>IF(MonthlyStats!A63="","",MonthlyStats!J63+MonthlyStats!K63)</x:f>
      </x:c>
      <x:c r="I63" t="str">
        <x:f>IF(MonthlyStats!A63="","",TEXT(MonthlyStats!O63,"₹#,##0")&amp;" public summary; "&amp;MonthlyStats!D63&amp;" cases")</x:f>
      </x:c>
      <x:c r="J63" t="str">
        <x:f>IF(MonthlyStats!A63="","","#")</x:f>
      </x:c>
      <x:c r="K63" t="str">
        <x:f>IF(MonthlyStats!A63="","",MonthlyStats!S63)</x:f>
      </x:c>
      <x:c r="L63" t="str">
        <x:f>IF(MonthlyStats!A63="","","Formula-linked")</x:f>
      </x:c>
    </x:row>
    <x:row r="64">
      <x:c r="A64" t="str">
        <x:f>IF(MonthlyStats!A64="","",MonthlyStats!A64)</x:f>
      </x:c>
      <x:c r="B64" t="str">
        <x:f>IF(MonthlyStats!A64="","",MonthlyStats!B64)</x:f>
      </x:c>
      <x:c r="C64" t="str">
        <x:f>IF(MonthlyStats!A64="","",MonthlyStats!E64)</x:f>
      </x:c>
      <x:c r="D64" t="str">
        <x:f>IF(MonthlyStats!A64="","",MonthlyStats!F64)</x:f>
      </x:c>
      <x:c r="E64" t="str">
        <x:f>IF(MonthlyStats!A64="","",MonthlyStats!G64)</x:f>
      </x:c>
      <x:c r="F64" t="str">
        <x:f>IF(MonthlyStats!A64="","",MonthlyStats!H64)</x:f>
      </x:c>
      <x:c r="G64" t="str">
        <x:f>IF(MonthlyStats!A64="","",MonthlyStats!I64)</x:f>
      </x:c>
      <x:c r="H64" t="str">
        <x:f>IF(MonthlyStats!A64="","",MonthlyStats!J64+MonthlyStats!K64)</x:f>
      </x:c>
      <x:c r="I64" t="str">
        <x:f>IF(MonthlyStats!A64="","",TEXT(MonthlyStats!O64,"₹#,##0")&amp;" public summary; "&amp;MonthlyStats!D64&amp;" cases")</x:f>
      </x:c>
      <x:c r="J64" t="str">
        <x:f>IF(MonthlyStats!A64="","","#")</x:f>
      </x:c>
      <x:c r="K64" t="str">
        <x:f>IF(MonthlyStats!A64="","",MonthlyStats!S64)</x:f>
      </x:c>
      <x:c r="L64" t="str">
        <x:f>IF(MonthlyStats!A64="","","Formula-linked")</x:f>
      </x:c>
    </x:row>
    <x:row r="65">
      <x:c r="A65" t="str">
        <x:f>IF(MonthlyStats!A65="","",MonthlyStats!A65)</x:f>
      </x:c>
      <x:c r="B65" t="str">
        <x:f>IF(MonthlyStats!A65="","",MonthlyStats!B65)</x:f>
      </x:c>
      <x:c r="C65" t="str">
        <x:f>IF(MonthlyStats!A65="","",MonthlyStats!E65)</x:f>
      </x:c>
      <x:c r="D65" t="str">
        <x:f>IF(MonthlyStats!A65="","",MonthlyStats!F65)</x:f>
      </x:c>
      <x:c r="E65" t="str">
        <x:f>IF(MonthlyStats!A65="","",MonthlyStats!G65)</x:f>
      </x:c>
      <x:c r="F65" t="str">
        <x:f>IF(MonthlyStats!A65="","",MonthlyStats!H65)</x:f>
      </x:c>
      <x:c r="G65" t="str">
        <x:f>IF(MonthlyStats!A65="","",MonthlyStats!I65)</x:f>
      </x:c>
      <x:c r="H65" t="str">
        <x:f>IF(MonthlyStats!A65="","",MonthlyStats!J65+MonthlyStats!K65)</x:f>
      </x:c>
      <x:c r="I65" t="str">
        <x:f>IF(MonthlyStats!A65="","",TEXT(MonthlyStats!O65,"₹#,##0")&amp;" public summary; "&amp;MonthlyStats!D65&amp;" cases")</x:f>
      </x:c>
      <x:c r="J65" t="str">
        <x:f>IF(MonthlyStats!A65="","","#")</x:f>
      </x:c>
      <x:c r="K65" t="str">
        <x:f>IF(MonthlyStats!A65="","",MonthlyStats!S65)</x:f>
      </x:c>
      <x:c r="L65" t="str">
        <x:f>IF(MonthlyStats!A65="","","Formula-linked")</x:f>
      </x:c>
    </x:row>
    <x:row r="66">
      <x:c r="A66" t="str">
        <x:f>IF(MonthlyStats!A66="","",MonthlyStats!A66)</x:f>
      </x:c>
      <x:c r="B66" t="str">
        <x:f>IF(MonthlyStats!A66="","",MonthlyStats!B66)</x:f>
      </x:c>
      <x:c r="C66" t="str">
        <x:f>IF(MonthlyStats!A66="","",MonthlyStats!E66)</x:f>
      </x:c>
      <x:c r="D66" t="str">
        <x:f>IF(MonthlyStats!A66="","",MonthlyStats!F66)</x:f>
      </x:c>
      <x:c r="E66" t="str">
        <x:f>IF(MonthlyStats!A66="","",MonthlyStats!G66)</x:f>
      </x:c>
      <x:c r="F66" t="str">
        <x:f>IF(MonthlyStats!A66="","",MonthlyStats!H66)</x:f>
      </x:c>
      <x:c r="G66" t="str">
        <x:f>IF(MonthlyStats!A66="","",MonthlyStats!I66)</x:f>
      </x:c>
      <x:c r="H66" t="str">
        <x:f>IF(MonthlyStats!A66="","",MonthlyStats!J66+MonthlyStats!K66)</x:f>
      </x:c>
      <x:c r="I66" t="str">
        <x:f>IF(MonthlyStats!A66="","",TEXT(MonthlyStats!O66,"₹#,##0")&amp;" public summary; "&amp;MonthlyStats!D66&amp;" cases")</x:f>
      </x:c>
      <x:c r="J66" t="str">
        <x:f>IF(MonthlyStats!A66="","","#")</x:f>
      </x:c>
      <x:c r="K66" t="str">
        <x:f>IF(MonthlyStats!A66="","",MonthlyStats!S66)</x:f>
      </x:c>
      <x:c r="L66" t="str">
        <x:f>IF(MonthlyStats!A66="","","Formula-linked")</x:f>
      </x:c>
    </x:row>
    <x:row r="67">
      <x:c r="A67" t="str">
        <x:f>IF(MonthlyStats!A67="","",MonthlyStats!A67)</x:f>
      </x:c>
      <x:c r="B67" t="str">
        <x:f>IF(MonthlyStats!A67="","",MonthlyStats!B67)</x:f>
      </x:c>
      <x:c r="C67" t="str">
        <x:f>IF(MonthlyStats!A67="","",MonthlyStats!E67)</x:f>
      </x:c>
      <x:c r="D67" t="str">
        <x:f>IF(MonthlyStats!A67="","",MonthlyStats!F67)</x:f>
      </x:c>
      <x:c r="E67" t="str">
        <x:f>IF(MonthlyStats!A67="","",MonthlyStats!G67)</x:f>
      </x:c>
      <x:c r="F67" t="str">
        <x:f>IF(MonthlyStats!A67="","",MonthlyStats!H67)</x:f>
      </x:c>
      <x:c r="G67" t="str">
        <x:f>IF(MonthlyStats!A67="","",MonthlyStats!I67)</x:f>
      </x:c>
      <x:c r="H67" t="str">
        <x:f>IF(MonthlyStats!A67="","",MonthlyStats!J67+MonthlyStats!K67)</x:f>
      </x:c>
      <x:c r="I67" t="str">
        <x:f>IF(MonthlyStats!A67="","",TEXT(MonthlyStats!O67,"₹#,##0")&amp;" public summary; "&amp;MonthlyStats!D67&amp;" cases")</x:f>
      </x:c>
      <x:c r="J67" t="str">
        <x:f>IF(MonthlyStats!A67="","","#")</x:f>
      </x:c>
      <x:c r="K67" t="str">
        <x:f>IF(MonthlyStats!A67="","",MonthlyStats!S67)</x:f>
      </x:c>
      <x:c r="L67" t="str">
        <x:f>IF(MonthlyStats!A67="","","Formula-linked")</x:f>
      </x:c>
    </x:row>
    <x:row r="68">
      <x:c r="A68" t="str">
        <x:f>IF(MonthlyStats!A68="","",MonthlyStats!A68)</x:f>
      </x:c>
      <x:c r="B68" t="str">
        <x:f>IF(MonthlyStats!A68="","",MonthlyStats!B68)</x:f>
      </x:c>
      <x:c r="C68" t="str">
        <x:f>IF(MonthlyStats!A68="","",MonthlyStats!E68)</x:f>
      </x:c>
      <x:c r="D68" t="str">
        <x:f>IF(MonthlyStats!A68="","",MonthlyStats!F68)</x:f>
      </x:c>
      <x:c r="E68" t="str">
        <x:f>IF(MonthlyStats!A68="","",MonthlyStats!G68)</x:f>
      </x:c>
      <x:c r="F68" t="str">
        <x:f>IF(MonthlyStats!A68="","",MonthlyStats!H68)</x:f>
      </x:c>
      <x:c r="G68" t="str">
        <x:f>IF(MonthlyStats!A68="","",MonthlyStats!I68)</x:f>
      </x:c>
      <x:c r="H68" t="str">
        <x:f>IF(MonthlyStats!A68="","",MonthlyStats!J68+MonthlyStats!K68)</x:f>
      </x:c>
      <x:c r="I68" t="str">
        <x:f>IF(MonthlyStats!A68="","",TEXT(MonthlyStats!O68,"₹#,##0")&amp;" public summary; "&amp;MonthlyStats!D68&amp;" cases")</x:f>
      </x:c>
      <x:c r="J68" t="str">
        <x:f>IF(MonthlyStats!A68="","","#")</x:f>
      </x:c>
      <x:c r="K68" t="str">
        <x:f>IF(MonthlyStats!A68="","",MonthlyStats!S68)</x:f>
      </x:c>
      <x:c r="L68" t="str">
        <x:f>IF(MonthlyStats!A68="","","Formula-linked")</x:f>
      </x:c>
    </x:row>
    <x:row r="69">
      <x:c r="A69" t="str">
        <x:f>IF(MonthlyStats!A69="","",MonthlyStats!A69)</x:f>
      </x:c>
      <x:c r="B69" t="str">
        <x:f>IF(MonthlyStats!A69="","",MonthlyStats!B69)</x:f>
      </x:c>
      <x:c r="C69" t="str">
        <x:f>IF(MonthlyStats!A69="","",MonthlyStats!E69)</x:f>
      </x:c>
      <x:c r="D69" t="str">
        <x:f>IF(MonthlyStats!A69="","",MonthlyStats!F69)</x:f>
      </x:c>
      <x:c r="E69" t="str">
        <x:f>IF(MonthlyStats!A69="","",MonthlyStats!G69)</x:f>
      </x:c>
      <x:c r="F69" t="str">
        <x:f>IF(MonthlyStats!A69="","",MonthlyStats!H69)</x:f>
      </x:c>
      <x:c r="G69" t="str">
        <x:f>IF(MonthlyStats!A69="","",MonthlyStats!I69)</x:f>
      </x:c>
      <x:c r="H69" t="str">
        <x:f>IF(MonthlyStats!A69="","",MonthlyStats!J69+MonthlyStats!K69)</x:f>
      </x:c>
      <x:c r="I69" t="str">
        <x:f>IF(MonthlyStats!A69="","",TEXT(MonthlyStats!O69,"₹#,##0")&amp;" public summary; "&amp;MonthlyStats!D69&amp;" cases")</x:f>
      </x:c>
      <x:c r="J69" t="str">
        <x:f>IF(MonthlyStats!A69="","","#")</x:f>
      </x:c>
      <x:c r="K69" t="str">
        <x:f>IF(MonthlyStats!A69="","",MonthlyStats!S69)</x:f>
      </x:c>
      <x:c r="L69" t="str">
        <x:f>IF(MonthlyStats!A69="","","Formula-linked")</x:f>
      </x:c>
    </x:row>
    <x:row r="70">
      <x:c r="A70" t="str">
        <x:f>IF(MonthlyStats!A70="","",MonthlyStats!A70)</x:f>
      </x:c>
      <x:c r="B70" t="str">
        <x:f>IF(MonthlyStats!A70="","",MonthlyStats!B70)</x:f>
      </x:c>
      <x:c r="C70" t="str">
        <x:f>IF(MonthlyStats!A70="","",MonthlyStats!E70)</x:f>
      </x:c>
      <x:c r="D70" t="str">
        <x:f>IF(MonthlyStats!A70="","",MonthlyStats!F70)</x:f>
      </x:c>
      <x:c r="E70" t="str">
        <x:f>IF(MonthlyStats!A70="","",MonthlyStats!G70)</x:f>
      </x:c>
      <x:c r="F70" t="str">
        <x:f>IF(MonthlyStats!A70="","",MonthlyStats!H70)</x:f>
      </x:c>
      <x:c r="G70" t="str">
        <x:f>IF(MonthlyStats!A70="","",MonthlyStats!I70)</x:f>
      </x:c>
      <x:c r="H70" t="str">
        <x:f>IF(MonthlyStats!A70="","",MonthlyStats!J70+MonthlyStats!K70)</x:f>
      </x:c>
      <x:c r="I70" t="str">
        <x:f>IF(MonthlyStats!A70="","",TEXT(MonthlyStats!O70,"₹#,##0")&amp;" public summary; "&amp;MonthlyStats!D70&amp;" cases")</x:f>
      </x:c>
      <x:c r="J70" t="str">
        <x:f>IF(MonthlyStats!A70="","","#")</x:f>
      </x:c>
      <x:c r="K70" t="str">
        <x:f>IF(MonthlyStats!A70="","",MonthlyStats!S70)</x:f>
      </x:c>
      <x:c r="L70" t="str">
        <x:f>IF(MonthlyStats!A70="","","Formula-linked")</x:f>
      </x:c>
    </x:row>
    <x:row r="71">
      <x:c r="A71" t="str">
        <x:f>IF(MonthlyStats!A71="","",MonthlyStats!A71)</x:f>
      </x:c>
      <x:c r="B71" t="str">
        <x:f>IF(MonthlyStats!A71="","",MonthlyStats!B71)</x:f>
      </x:c>
      <x:c r="C71" t="str">
        <x:f>IF(MonthlyStats!A71="","",MonthlyStats!E71)</x:f>
      </x:c>
      <x:c r="D71" t="str">
        <x:f>IF(MonthlyStats!A71="","",MonthlyStats!F71)</x:f>
      </x:c>
      <x:c r="E71" t="str">
        <x:f>IF(MonthlyStats!A71="","",MonthlyStats!G71)</x:f>
      </x:c>
      <x:c r="F71" t="str">
        <x:f>IF(MonthlyStats!A71="","",MonthlyStats!H71)</x:f>
      </x:c>
      <x:c r="G71" t="str">
        <x:f>IF(MonthlyStats!A71="","",MonthlyStats!I71)</x:f>
      </x:c>
      <x:c r="H71" t="str">
        <x:f>IF(MonthlyStats!A71="","",MonthlyStats!J71+MonthlyStats!K71)</x:f>
      </x:c>
      <x:c r="I71" t="str">
        <x:f>IF(MonthlyStats!A71="","",TEXT(MonthlyStats!O71,"₹#,##0")&amp;" public summary; "&amp;MonthlyStats!D71&amp;" cases")</x:f>
      </x:c>
      <x:c r="J71" t="str">
        <x:f>IF(MonthlyStats!A71="","","#")</x:f>
      </x:c>
      <x:c r="K71" t="str">
        <x:f>IF(MonthlyStats!A71="","",MonthlyStats!S71)</x:f>
      </x:c>
      <x:c r="L71" t="str">
        <x:f>IF(MonthlyStats!A71="","","Formula-linked")</x:f>
      </x:c>
    </x:row>
    <x:row r="72">
      <x:c r="A72" t="str">
        <x:f>IF(MonthlyStats!A72="","",MonthlyStats!A72)</x:f>
      </x:c>
      <x:c r="B72" t="str">
        <x:f>IF(MonthlyStats!A72="","",MonthlyStats!B72)</x:f>
      </x:c>
      <x:c r="C72" t="str">
        <x:f>IF(MonthlyStats!A72="","",MonthlyStats!E72)</x:f>
      </x:c>
      <x:c r="D72" t="str">
        <x:f>IF(MonthlyStats!A72="","",MonthlyStats!F72)</x:f>
      </x:c>
      <x:c r="E72" t="str">
        <x:f>IF(MonthlyStats!A72="","",MonthlyStats!G72)</x:f>
      </x:c>
      <x:c r="F72" t="str">
        <x:f>IF(MonthlyStats!A72="","",MonthlyStats!H72)</x:f>
      </x:c>
      <x:c r="G72" t="str">
        <x:f>IF(MonthlyStats!A72="","",MonthlyStats!I72)</x:f>
      </x:c>
      <x:c r="H72" t="str">
        <x:f>IF(MonthlyStats!A72="","",MonthlyStats!J72+MonthlyStats!K72)</x:f>
      </x:c>
      <x:c r="I72" t="str">
        <x:f>IF(MonthlyStats!A72="","",TEXT(MonthlyStats!O72,"₹#,##0")&amp;" public summary; "&amp;MonthlyStats!D72&amp;" cases")</x:f>
      </x:c>
      <x:c r="J72" t="str">
        <x:f>IF(MonthlyStats!A72="","","#")</x:f>
      </x:c>
      <x:c r="K72" t="str">
        <x:f>IF(MonthlyStats!A72="","",MonthlyStats!S72)</x:f>
      </x:c>
      <x:c r="L72" t="str">
        <x:f>IF(MonthlyStats!A72="","","Formula-linked")</x:f>
      </x:c>
    </x:row>
    <x:row r="73">
      <x:c r="A73" t="str">
        <x:f>IF(MonthlyStats!A73="","",MonthlyStats!A73)</x:f>
      </x:c>
      <x:c r="B73" t="str">
        <x:f>IF(MonthlyStats!A73="","",MonthlyStats!B73)</x:f>
      </x:c>
      <x:c r="C73" t="str">
        <x:f>IF(MonthlyStats!A73="","",MonthlyStats!E73)</x:f>
      </x:c>
      <x:c r="D73" t="str">
        <x:f>IF(MonthlyStats!A73="","",MonthlyStats!F73)</x:f>
      </x:c>
      <x:c r="E73" t="str">
        <x:f>IF(MonthlyStats!A73="","",MonthlyStats!G73)</x:f>
      </x:c>
      <x:c r="F73" t="str">
        <x:f>IF(MonthlyStats!A73="","",MonthlyStats!H73)</x:f>
      </x:c>
      <x:c r="G73" t="str">
        <x:f>IF(MonthlyStats!A73="","",MonthlyStats!I73)</x:f>
      </x:c>
      <x:c r="H73" t="str">
        <x:f>IF(MonthlyStats!A73="","",MonthlyStats!J73+MonthlyStats!K73)</x:f>
      </x:c>
      <x:c r="I73" t="str">
        <x:f>IF(MonthlyStats!A73="","",TEXT(MonthlyStats!O73,"₹#,##0")&amp;" public summary; "&amp;MonthlyStats!D73&amp;" cases")</x:f>
      </x:c>
      <x:c r="J73" t="str">
        <x:f>IF(MonthlyStats!A73="","","#")</x:f>
      </x:c>
      <x:c r="K73" t="str">
        <x:f>IF(MonthlyStats!A73="","",MonthlyStats!S73)</x:f>
      </x:c>
      <x:c r="L73" t="str">
        <x:f>IF(MonthlyStats!A73="","","Formula-linked")</x:f>
      </x:c>
    </x:row>
    <x:row r="74">
      <x:c r="A74" t="str">
        <x:f>IF(MonthlyStats!A74="","",MonthlyStats!A74)</x:f>
      </x:c>
      <x:c r="B74" t="str">
        <x:f>IF(MonthlyStats!A74="","",MonthlyStats!B74)</x:f>
      </x:c>
      <x:c r="C74" t="str">
        <x:f>IF(MonthlyStats!A74="","",MonthlyStats!E74)</x:f>
      </x:c>
      <x:c r="D74" t="str">
        <x:f>IF(MonthlyStats!A74="","",MonthlyStats!F74)</x:f>
      </x:c>
      <x:c r="E74" t="str">
        <x:f>IF(MonthlyStats!A74="","",MonthlyStats!G74)</x:f>
      </x:c>
      <x:c r="F74" t="str">
        <x:f>IF(MonthlyStats!A74="","",MonthlyStats!H74)</x:f>
      </x:c>
      <x:c r="G74" t="str">
        <x:f>IF(MonthlyStats!A74="","",MonthlyStats!I74)</x:f>
      </x:c>
      <x:c r="H74" t="str">
        <x:f>IF(MonthlyStats!A74="","",MonthlyStats!J74+MonthlyStats!K74)</x:f>
      </x:c>
      <x:c r="I74" t="str">
        <x:f>IF(MonthlyStats!A74="","",TEXT(MonthlyStats!O74,"₹#,##0")&amp;" public summary; "&amp;MonthlyStats!D74&amp;" cases")</x:f>
      </x:c>
      <x:c r="J74" t="str">
        <x:f>IF(MonthlyStats!A74="","","#")</x:f>
      </x:c>
      <x:c r="K74" t="str">
        <x:f>IF(MonthlyStats!A74="","",MonthlyStats!S74)</x:f>
      </x:c>
      <x:c r="L74" t="str">
        <x:f>IF(MonthlyStats!A74="","","Formula-linked")</x:f>
      </x:c>
    </x:row>
    <x:row r="75">
      <x:c r="A75" t="str">
        <x:f>IF(MonthlyStats!A75="","",MonthlyStats!A75)</x:f>
      </x:c>
      <x:c r="B75" t="str">
        <x:f>IF(MonthlyStats!A75="","",MonthlyStats!B75)</x:f>
      </x:c>
      <x:c r="C75" t="str">
        <x:f>IF(MonthlyStats!A75="","",MonthlyStats!E75)</x:f>
      </x:c>
      <x:c r="D75" t="str">
        <x:f>IF(MonthlyStats!A75="","",MonthlyStats!F75)</x:f>
      </x:c>
      <x:c r="E75" t="str">
        <x:f>IF(MonthlyStats!A75="","",MonthlyStats!G75)</x:f>
      </x:c>
      <x:c r="F75" t="str">
        <x:f>IF(MonthlyStats!A75="","",MonthlyStats!H75)</x:f>
      </x:c>
      <x:c r="G75" t="str">
        <x:f>IF(MonthlyStats!A75="","",MonthlyStats!I75)</x:f>
      </x:c>
      <x:c r="H75" t="str">
        <x:f>IF(MonthlyStats!A75="","",MonthlyStats!J75+MonthlyStats!K75)</x:f>
      </x:c>
      <x:c r="I75" t="str">
        <x:f>IF(MonthlyStats!A75="","",TEXT(MonthlyStats!O75,"₹#,##0")&amp;" public summary; "&amp;MonthlyStats!D75&amp;" cases")</x:f>
      </x:c>
      <x:c r="J75" t="str">
        <x:f>IF(MonthlyStats!A75="","","#")</x:f>
      </x:c>
      <x:c r="K75" t="str">
        <x:f>IF(MonthlyStats!A75="","",MonthlyStats!S75)</x:f>
      </x:c>
      <x:c r="L75" t="str">
        <x:f>IF(MonthlyStats!A75="","","Formula-linked")</x:f>
      </x:c>
    </x:row>
    <x:row r="76">
      <x:c r="A76" t="str">
        <x:f>IF(MonthlyStats!A76="","",MonthlyStats!A76)</x:f>
      </x:c>
      <x:c r="B76" t="str">
        <x:f>IF(MonthlyStats!A76="","",MonthlyStats!B76)</x:f>
      </x:c>
      <x:c r="C76" t="str">
        <x:f>IF(MonthlyStats!A76="","",MonthlyStats!E76)</x:f>
      </x:c>
      <x:c r="D76" t="str">
        <x:f>IF(MonthlyStats!A76="","",MonthlyStats!F76)</x:f>
      </x:c>
      <x:c r="E76" t="str">
        <x:f>IF(MonthlyStats!A76="","",MonthlyStats!G76)</x:f>
      </x:c>
      <x:c r="F76" t="str">
        <x:f>IF(MonthlyStats!A76="","",MonthlyStats!H76)</x:f>
      </x:c>
      <x:c r="G76" t="str">
        <x:f>IF(MonthlyStats!A76="","",MonthlyStats!I76)</x:f>
      </x:c>
      <x:c r="H76" t="str">
        <x:f>IF(MonthlyStats!A76="","",MonthlyStats!J76+MonthlyStats!K76)</x:f>
      </x:c>
      <x:c r="I76" t="str">
        <x:f>IF(MonthlyStats!A76="","",TEXT(MonthlyStats!O76,"₹#,##0")&amp;" public summary; "&amp;MonthlyStats!D76&amp;" cases")</x:f>
      </x:c>
      <x:c r="J76" t="str">
        <x:f>IF(MonthlyStats!A76="","","#")</x:f>
      </x:c>
      <x:c r="K76" t="str">
        <x:f>IF(MonthlyStats!A76="","",MonthlyStats!S76)</x:f>
      </x:c>
      <x:c r="L76" t="str">
        <x:f>IF(MonthlyStats!A76="","","Formula-linked")</x:f>
      </x:c>
    </x:row>
    <x:row r="77">
      <x:c r="A77" t="str">
        <x:f>IF(MonthlyStats!A77="","",MonthlyStats!A77)</x:f>
      </x:c>
      <x:c r="B77" t="str">
        <x:f>IF(MonthlyStats!A77="","",MonthlyStats!B77)</x:f>
      </x:c>
      <x:c r="C77" t="str">
        <x:f>IF(MonthlyStats!A77="","",MonthlyStats!E77)</x:f>
      </x:c>
      <x:c r="D77" t="str">
        <x:f>IF(MonthlyStats!A77="","",MonthlyStats!F77)</x:f>
      </x:c>
      <x:c r="E77" t="str">
        <x:f>IF(MonthlyStats!A77="","",MonthlyStats!G77)</x:f>
      </x:c>
      <x:c r="F77" t="str">
        <x:f>IF(MonthlyStats!A77="","",MonthlyStats!H77)</x:f>
      </x:c>
      <x:c r="G77" t="str">
        <x:f>IF(MonthlyStats!A77="","",MonthlyStats!I77)</x:f>
      </x:c>
      <x:c r="H77" t="str">
        <x:f>IF(MonthlyStats!A77="","",MonthlyStats!J77+MonthlyStats!K77)</x:f>
      </x:c>
      <x:c r="I77" t="str">
        <x:f>IF(MonthlyStats!A77="","",TEXT(MonthlyStats!O77,"₹#,##0")&amp;" public summary; "&amp;MonthlyStats!D77&amp;" cases")</x:f>
      </x:c>
      <x:c r="J77" t="str">
        <x:f>IF(MonthlyStats!A77="","","#")</x:f>
      </x:c>
      <x:c r="K77" t="str">
        <x:f>IF(MonthlyStats!A77="","",MonthlyStats!S77)</x:f>
      </x:c>
      <x:c r="L77" t="str">
        <x:f>IF(MonthlyStats!A77="","","Formula-linked")</x:f>
      </x:c>
    </x:row>
    <x:row r="78">
      <x:c r="A78" t="str">
        <x:f>IF(MonthlyStats!A78="","",MonthlyStats!A78)</x:f>
      </x:c>
      <x:c r="B78" t="str">
        <x:f>IF(MonthlyStats!A78="","",MonthlyStats!B78)</x:f>
      </x:c>
      <x:c r="C78" t="str">
        <x:f>IF(MonthlyStats!A78="","",MonthlyStats!E78)</x:f>
      </x:c>
      <x:c r="D78" t="str">
        <x:f>IF(MonthlyStats!A78="","",MonthlyStats!F78)</x:f>
      </x:c>
      <x:c r="E78" t="str">
        <x:f>IF(MonthlyStats!A78="","",MonthlyStats!G78)</x:f>
      </x:c>
      <x:c r="F78" t="str">
        <x:f>IF(MonthlyStats!A78="","",MonthlyStats!H78)</x:f>
      </x:c>
      <x:c r="G78" t="str">
        <x:f>IF(MonthlyStats!A78="","",MonthlyStats!I78)</x:f>
      </x:c>
      <x:c r="H78" t="str">
        <x:f>IF(MonthlyStats!A78="","",MonthlyStats!J78+MonthlyStats!K78)</x:f>
      </x:c>
      <x:c r="I78" t="str">
        <x:f>IF(MonthlyStats!A78="","",TEXT(MonthlyStats!O78,"₹#,##0")&amp;" public summary; "&amp;MonthlyStats!D78&amp;" cases")</x:f>
      </x:c>
      <x:c r="J78" t="str">
        <x:f>IF(MonthlyStats!A78="","","#")</x:f>
      </x:c>
      <x:c r="K78" t="str">
        <x:f>IF(MonthlyStats!A78="","",MonthlyStats!S78)</x:f>
      </x:c>
      <x:c r="L78" t="str">
        <x:f>IF(MonthlyStats!A78="","","Formula-linked")</x:f>
      </x:c>
    </x:row>
    <x:row r="79">
      <x:c r="A79" t="str">
        <x:f>IF(MonthlyStats!A79="","",MonthlyStats!A79)</x:f>
      </x:c>
      <x:c r="B79" t="str">
        <x:f>IF(MonthlyStats!A79="","",MonthlyStats!B79)</x:f>
      </x:c>
      <x:c r="C79" t="str">
        <x:f>IF(MonthlyStats!A79="","",MonthlyStats!E79)</x:f>
      </x:c>
      <x:c r="D79" t="str">
        <x:f>IF(MonthlyStats!A79="","",MonthlyStats!F79)</x:f>
      </x:c>
      <x:c r="E79" t="str">
        <x:f>IF(MonthlyStats!A79="","",MonthlyStats!G79)</x:f>
      </x:c>
      <x:c r="F79" t="str">
        <x:f>IF(MonthlyStats!A79="","",MonthlyStats!H79)</x:f>
      </x:c>
      <x:c r="G79" t="str">
        <x:f>IF(MonthlyStats!A79="","",MonthlyStats!I79)</x:f>
      </x:c>
      <x:c r="H79" t="str">
        <x:f>IF(MonthlyStats!A79="","",MonthlyStats!J79+MonthlyStats!K79)</x:f>
      </x:c>
      <x:c r="I79" t="str">
        <x:f>IF(MonthlyStats!A79="","",TEXT(MonthlyStats!O79,"₹#,##0")&amp;" public summary; "&amp;MonthlyStats!D79&amp;" cases")</x:f>
      </x:c>
      <x:c r="J79" t="str">
        <x:f>IF(MonthlyStats!A79="","","#")</x:f>
      </x:c>
      <x:c r="K79" t="str">
        <x:f>IF(MonthlyStats!A79="","",MonthlyStats!S79)</x:f>
      </x:c>
      <x:c r="L79" t="str">
        <x:f>IF(MonthlyStats!A79="","","Formula-linked")</x:f>
      </x:c>
    </x:row>
    <x:row r="80">
      <x:c r="A80" t="str">
        <x:f>IF(MonthlyStats!A80="","",MonthlyStats!A80)</x:f>
      </x:c>
      <x:c r="B80" t="str">
        <x:f>IF(MonthlyStats!A80="","",MonthlyStats!B80)</x:f>
      </x:c>
      <x:c r="C80" t="str">
        <x:f>IF(MonthlyStats!A80="","",MonthlyStats!E80)</x:f>
      </x:c>
      <x:c r="D80" t="str">
        <x:f>IF(MonthlyStats!A80="","",MonthlyStats!F80)</x:f>
      </x:c>
      <x:c r="E80" t="str">
        <x:f>IF(MonthlyStats!A80="","",MonthlyStats!G80)</x:f>
      </x:c>
      <x:c r="F80" t="str">
        <x:f>IF(MonthlyStats!A80="","",MonthlyStats!H80)</x:f>
      </x:c>
      <x:c r="G80" t="str">
        <x:f>IF(MonthlyStats!A80="","",MonthlyStats!I80)</x:f>
      </x:c>
      <x:c r="H80" t="str">
        <x:f>IF(MonthlyStats!A80="","",MonthlyStats!J80+MonthlyStats!K80)</x:f>
      </x:c>
      <x:c r="I80" t="str">
        <x:f>IF(MonthlyStats!A80="","",TEXT(MonthlyStats!O80,"₹#,##0")&amp;" public summary; "&amp;MonthlyStats!D80&amp;" cases")</x:f>
      </x:c>
      <x:c r="J80" t="str">
        <x:f>IF(MonthlyStats!A80="","","#")</x:f>
      </x:c>
      <x:c r="K80" t="str">
        <x:f>IF(MonthlyStats!A80="","",MonthlyStats!S80)</x:f>
      </x:c>
      <x:c r="L80" t="str">
        <x:f>IF(MonthlyStats!A80="","","Formula-linked")</x:f>
      </x:c>
    </x:row>
    <x:row r="81">
      <x:c r="A81" t="str">
        <x:f>IF(MonthlyStats!A81="","",MonthlyStats!A81)</x:f>
      </x:c>
      <x:c r="B81" t="str">
        <x:f>IF(MonthlyStats!A81="","",MonthlyStats!B81)</x:f>
      </x:c>
      <x:c r="C81" t="str">
        <x:f>IF(MonthlyStats!A81="","",MonthlyStats!E81)</x:f>
      </x:c>
      <x:c r="D81" t="str">
        <x:f>IF(MonthlyStats!A81="","",MonthlyStats!F81)</x:f>
      </x:c>
      <x:c r="E81" t="str">
        <x:f>IF(MonthlyStats!A81="","",MonthlyStats!G81)</x:f>
      </x:c>
      <x:c r="F81" t="str">
        <x:f>IF(MonthlyStats!A81="","",MonthlyStats!H81)</x:f>
      </x:c>
      <x:c r="G81" t="str">
        <x:f>IF(MonthlyStats!A81="","",MonthlyStats!I81)</x:f>
      </x:c>
      <x:c r="H81" t="str">
        <x:f>IF(MonthlyStats!A81="","",MonthlyStats!J81+MonthlyStats!K81)</x:f>
      </x:c>
      <x:c r="I81" t="str">
        <x:f>IF(MonthlyStats!A81="","",TEXT(MonthlyStats!O81,"₹#,##0")&amp;" public summary; "&amp;MonthlyStats!D81&amp;" cases")</x:f>
      </x:c>
      <x:c r="J81" t="str">
        <x:f>IF(MonthlyStats!A81="","","#")</x:f>
      </x:c>
      <x:c r="K81" t="str">
        <x:f>IF(MonthlyStats!A81="","",MonthlyStats!S81)</x:f>
      </x:c>
      <x:c r="L81" t="str">
        <x:f>IF(MonthlyStats!A81="","","Formula-linked")</x:f>
      </x:c>
    </x:row>
    <x:row r="82">
      <x:c r="A82" t="str">
        <x:f>IF(MonthlyStats!A82="","",MonthlyStats!A82)</x:f>
      </x:c>
      <x:c r="B82" t="str">
        <x:f>IF(MonthlyStats!A82="","",MonthlyStats!B82)</x:f>
      </x:c>
      <x:c r="C82" t="str">
        <x:f>IF(MonthlyStats!A82="","",MonthlyStats!E82)</x:f>
      </x:c>
      <x:c r="D82" t="str">
        <x:f>IF(MonthlyStats!A82="","",MonthlyStats!F82)</x:f>
      </x:c>
      <x:c r="E82" t="str">
        <x:f>IF(MonthlyStats!A82="","",MonthlyStats!G82)</x:f>
      </x:c>
      <x:c r="F82" t="str">
        <x:f>IF(MonthlyStats!A82="","",MonthlyStats!H82)</x:f>
      </x:c>
      <x:c r="G82" t="str">
        <x:f>IF(MonthlyStats!A82="","",MonthlyStats!I82)</x:f>
      </x:c>
      <x:c r="H82" t="str">
        <x:f>IF(MonthlyStats!A82="","",MonthlyStats!J82+MonthlyStats!K82)</x:f>
      </x:c>
      <x:c r="I82" t="str">
        <x:f>IF(MonthlyStats!A82="","",TEXT(MonthlyStats!O82,"₹#,##0")&amp;" public summary; "&amp;MonthlyStats!D82&amp;" cases")</x:f>
      </x:c>
      <x:c r="J82" t="str">
        <x:f>IF(MonthlyStats!A82="","","#")</x:f>
      </x:c>
      <x:c r="K82" t="str">
        <x:f>IF(MonthlyStats!A82="","",MonthlyStats!S82)</x:f>
      </x:c>
      <x:c r="L82" t="str">
        <x:f>IF(MonthlyStats!A82="","","Formula-linked")</x:f>
      </x:c>
    </x:row>
    <x:row r="83">
      <x:c r="A83" t="str">
        <x:f>IF(MonthlyStats!A83="","",MonthlyStats!A83)</x:f>
      </x:c>
      <x:c r="B83" t="str">
        <x:f>IF(MonthlyStats!A83="","",MonthlyStats!B83)</x:f>
      </x:c>
      <x:c r="C83" t="str">
        <x:f>IF(MonthlyStats!A83="","",MonthlyStats!E83)</x:f>
      </x:c>
      <x:c r="D83" t="str">
        <x:f>IF(MonthlyStats!A83="","",MonthlyStats!F83)</x:f>
      </x:c>
      <x:c r="E83" t="str">
        <x:f>IF(MonthlyStats!A83="","",MonthlyStats!G83)</x:f>
      </x:c>
      <x:c r="F83" t="str">
        <x:f>IF(MonthlyStats!A83="","",MonthlyStats!H83)</x:f>
      </x:c>
      <x:c r="G83" t="str">
        <x:f>IF(MonthlyStats!A83="","",MonthlyStats!I83)</x:f>
      </x:c>
      <x:c r="H83" t="str">
        <x:f>IF(MonthlyStats!A83="","",MonthlyStats!J83+MonthlyStats!K83)</x:f>
      </x:c>
      <x:c r="I83" t="str">
        <x:f>IF(MonthlyStats!A83="","",TEXT(MonthlyStats!O83,"₹#,##0")&amp;" public summary; "&amp;MonthlyStats!D83&amp;" cases")</x:f>
      </x:c>
      <x:c r="J83" t="str">
        <x:f>IF(MonthlyStats!A83="","","#")</x:f>
      </x:c>
      <x:c r="K83" t="str">
        <x:f>IF(MonthlyStats!A83="","",MonthlyStats!S83)</x:f>
      </x:c>
      <x:c r="L83" t="str">
        <x:f>IF(MonthlyStats!A83="","","Formula-linked")</x:f>
      </x:c>
    </x:row>
    <x:row r="84">
      <x:c r="A84" t="str">
        <x:f>IF(MonthlyStats!A84="","",MonthlyStats!A84)</x:f>
      </x:c>
      <x:c r="B84" t="str">
        <x:f>IF(MonthlyStats!A84="","",MonthlyStats!B84)</x:f>
      </x:c>
      <x:c r="C84" t="str">
        <x:f>IF(MonthlyStats!A84="","",MonthlyStats!E84)</x:f>
      </x:c>
      <x:c r="D84" t="str">
        <x:f>IF(MonthlyStats!A84="","",MonthlyStats!F84)</x:f>
      </x:c>
      <x:c r="E84" t="str">
        <x:f>IF(MonthlyStats!A84="","",MonthlyStats!G84)</x:f>
      </x:c>
      <x:c r="F84" t="str">
        <x:f>IF(MonthlyStats!A84="","",MonthlyStats!H84)</x:f>
      </x:c>
      <x:c r="G84" t="str">
        <x:f>IF(MonthlyStats!A84="","",MonthlyStats!I84)</x:f>
      </x:c>
      <x:c r="H84" t="str">
        <x:f>IF(MonthlyStats!A84="","",MonthlyStats!J84+MonthlyStats!K84)</x:f>
      </x:c>
      <x:c r="I84" t="str">
        <x:f>IF(MonthlyStats!A84="","",TEXT(MonthlyStats!O84,"₹#,##0")&amp;" public summary; "&amp;MonthlyStats!D84&amp;" cases")</x:f>
      </x:c>
      <x:c r="J84" t="str">
        <x:f>IF(MonthlyStats!A84="","","#")</x:f>
      </x:c>
      <x:c r="K84" t="str">
        <x:f>IF(MonthlyStats!A84="","",MonthlyStats!S84)</x:f>
      </x:c>
      <x:c r="L84" t="str">
        <x:f>IF(MonthlyStats!A84="","","Formula-linked")</x:f>
      </x:c>
    </x:row>
    <x:row r="85">
      <x:c r="A85" t="str">
        <x:f>IF(MonthlyStats!A85="","",MonthlyStats!A85)</x:f>
      </x:c>
      <x:c r="B85" t="str">
        <x:f>IF(MonthlyStats!A85="","",MonthlyStats!B85)</x:f>
      </x:c>
      <x:c r="C85" t="str">
        <x:f>IF(MonthlyStats!A85="","",MonthlyStats!E85)</x:f>
      </x:c>
      <x:c r="D85" t="str">
        <x:f>IF(MonthlyStats!A85="","",MonthlyStats!F85)</x:f>
      </x:c>
      <x:c r="E85" t="str">
        <x:f>IF(MonthlyStats!A85="","",MonthlyStats!G85)</x:f>
      </x:c>
      <x:c r="F85" t="str">
        <x:f>IF(MonthlyStats!A85="","",MonthlyStats!H85)</x:f>
      </x:c>
      <x:c r="G85" t="str">
        <x:f>IF(MonthlyStats!A85="","",MonthlyStats!I85)</x:f>
      </x:c>
      <x:c r="H85" t="str">
        <x:f>IF(MonthlyStats!A85="","",MonthlyStats!J85+MonthlyStats!K85)</x:f>
      </x:c>
      <x:c r="I85" t="str">
        <x:f>IF(MonthlyStats!A85="","",TEXT(MonthlyStats!O85,"₹#,##0")&amp;" public summary; "&amp;MonthlyStats!D85&amp;" cases")</x:f>
      </x:c>
      <x:c r="J85" t="str">
        <x:f>IF(MonthlyStats!A85="","","#")</x:f>
      </x:c>
      <x:c r="K85" t="str">
        <x:f>IF(MonthlyStats!A85="","",MonthlyStats!S85)</x:f>
      </x:c>
      <x:c r="L85" t="str">
        <x:f>IF(MonthlyStats!A85="","","Formula-linked")</x:f>
      </x:c>
    </x:row>
    <x:row r="86">
      <x:c r="A86" t="str">
        <x:f>IF(MonthlyStats!A86="","",MonthlyStats!A86)</x:f>
      </x:c>
      <x:c r="B86" t="str">
        <x:f>IF(MonthlyStats!A86="","",MonthlyStats!B86)</x:f>
      </x:c>
      <x:c r="C86" t="str">
        <x:f>IF(MonthlyStats!A86="","",MonthlyStats!E86)</x:f>
      </x:c>
      <x:c r="D86" t="str">
        <x:f>IF(MonthlyStats!A86="","",MonthlyStats!F86)</x:f>
      </x:c>
      <x:c r="E86" t="str">
        <x:f>IF(MonthlyStats!A86="","",MonthlyStats!G86)</x:f>
      </x:c>
      <x:c r="F86" t="str">
        <x:f>IF(MonthlyStats!A86="","",MonthlyStats!H86)</x:f>
      </x:c>
      <x:c r="G86" t="str">
        <x:f>IF(MonthlyStats!A86="","",MonthlyStats!I86)</x:f>
      </x:c>
      <x:c r="H86" t="str">
        <x:f>IF(MonthlyStats!A86="","",MonthlyStats!J86+MonthlyStats!K86)</x:f>
      </x:c>
      <x:c r="I86" t="str">
        <x:f>IF(MonthlyStats!A86="","",TEXT(MonthlyStats!O86,"₹#,##0")&amp;" public summary; "&amp;MonthlyStats!D86&amp;" cases")</x:f>
      </x:c>
      <x:c r="J86" t="str">
        <x:f>IF(MonthlyStats!A86="","","#")</x:f>
      </x:c>
      <x:c r="K86" t="str">
        <x:f>IF(MonthlyStats!A86="","",MonthlyStats!S86)</x:f>
      </x:c>
      <x:c r="L86" t="str">
        <x:f>IF(MonthlyStats!A86="","","Formula-linked")</x:f>
      </x:c>
    </x:row>
    <x:row r="87">
      <x:c r="A87" t="str">
        <x:f>IF(MonthlyStats!A87="","",MonthlyStats!A87)</x:f>
      </x:c>
      <x:c r="B87" t="str">
        <x:f>IF(MonthlyStats!A87="","",MonthlyStats!B87)</x:f>
      </x:c>
      <x:c r="C87" t="str">
        <x:f>IF(MonthlyStats!A87="","",MonthlyStats!E87)</x:f>
      </x:c>
      <x:c r="D87" t="str">
        <x:f>IF(MonthlyStats!A87="","",MonthlyStats!F87)</x:f>
      </x:c>
      <x:c r="E87" t="str">
        <x:f>IF(MonthlyStats!A87="","",MonthlyStats!G87)</x:f>
      </x:c>
      <x:c r="F87" t="str">
        <x:f>IF(MonthlyStats!A87="","",MonthlyStats!H87)</x:f>
      </x:c>
      <x:c r="G87" t="str">
        <x:f>IF(MonthlyStats!A87="","",MonthlyStats!I87)</x:f>
      </x:c>
      <x:c r="H87" t="str">
        <x:f>IF(MonthlyStats!A87="","",MonthlyStats!J87+MonthlyStats!K87)</x:f>
      </x:c>
      <x:c r="I87" t="str">
        <x:f>IF(MonthlyStats!A87="","",TEXT(MonthlyStats!O87,"₹#,##0")&amp;" public summary; "&amp;MonthlyStats!D87&amp;" cases")</x:f>
      </x:c>
      <x:c r="J87" t="str">
        <x:f>IF(MonthlyStats!A87="","","#")</x:f>
      </x:c>
      <x:c r="K87" t="str">
        <x:f>IF(MonthlyStats!A87="","",MonthlyStats!S87)</x:f>
      </x:c>
      <x:c r="L87" t="str">
        <x:f>IF(MonthlyStats!A87="","","Formula-linked")</x:f>
      </x:c>
    </x:row>
    <x:row r="88">
      <x:c r="A88" t="str">
        <x:f>IF(MonthlyStats!A88="","",MonthlyStats!A88)</x:f>
      </x:c>
      <x:c r="B88" t="str">
        <x:f>IF(MonthlyStats!A88="","",MonthlyStats!B88)</x:f>
      </x:c>
      <x:c r="C88" t="str">
        <x:f>IF(MonthlyStats!A88="","",MonthlyStats!E88)</x:f>
      </x:c>
      <x:c r="D88" t="str">
        <x:f>IF(MonthlyStats!A88="","",MonthlyStats!F88)</x:f>
      </x:c>
      <x:c r="E88" t="str">
        <x:f>IF(MonthlyStats!A88="","",MonthlyStats!G88)</x:f>
      </x:c>
      <x:c r="F88" t="str">
        <x:f>IF(MonthlyStats!A88="","",MonthlyStats!H88)</x:f>
      </x:c>
      <x:c r="G88" t="str">
        <x:f>IF(MonthlyStats!A88="","",MonthlyStats!I88)</x:f>
      </x:c>
      <x:c r="H88" t="str">
        <x:f>IF(MonthlyStats!A88="","",MonthlyStats!J88+MonthlyStats!K88)</x:f>
      </x:c>
      <x:c r="I88" t="str">
        <x:f>IF(MonthlyStats!A88="","",TEXT(MonthlyStats!O88,"₹#,##0")&amp;" public summary; "&amp;MonthlyStats!D88&amp;" cases")</x:f>
      </x:c>
      <x:c r="J88" t="str">
        <x:f>IF(MonthlyStats!A88="","","#")</x:f>
      </x:c>
      <x:c r="K88" t="str">
        <x:f>IF(MonthlyStats!A88="","",MonthlyStats!S88)</x:f>
      </x:c>
      <x:c r="L88" t="str">
        <x:f>IF(MonthlyStats!A88="","","Formula-linked")</x:f>
      </x:c>
    </x:row>
    <x:row r="89">
      <x:c r="A89" t="str">
        <x:f>IF(MonthlyStats!A89="","",MonthlyStats!A89)</x:f>
      </x:c>
      <x:c r="B89" t="str">
        <x:f>IF(MonthlyStats!A89="","",MonthlyStats!B89)</x:f>
      </x:c>
      <x:c r="C89" t="str">
        <x:f>IF(MonthlyStats!A89="","",MonthlyStats!E89)</x:f>
      </x:c>
      <x:c r="D89" t="str">
        <x:f>IF(MonthlyStats!A89="","",MonthlyStats!F89)</x:f>
      </x:c>
      <x:c r="E89" t="str">
        <x:f>IF(MonthlyStats!A89="","",MonthlyStats!G89)</x:f>
      </x:c>
      <x:c r="F89" t="str">
        <x:f>IF(MonthlyStats!A89="","",MonthlyStats!H89)</x:f>
      </x:c>
      <x:c r="G89" t="str">
        <x:f>IF(MonthlyStats!A89="","",MonthlyStats!I89)</x:f>
      </x:c>
      <x:c r="H89" t="str">
        <x:f>IF(MonthlyStats!A89="","",MonthlyStats!J89+MonthlyStats!K89)</x:f>
      </x:c>
      <x:c r="I89" t="str">
        <x:f>IF(MonthlyStats!A89="","",TEXT(MonthlyStats!O89,"₹#,##0")&amp;" public summary; "&amp;MonthlyStats!D89&amp;" cases")</x:f>
      </x:c>
      <x:c r="J89" t="str">
        <x:f>IF(MonthlyStats!A89="","","#")</x:f>
      </x:c>
      <x:c r="K89" t="str">
        <x:f>IF(MonthlyStats!A89="","",MonthlyStats!S89)</x:f>
      </x:c>
      <x:c r="L89" t="str">
        <x:f>IF(MonthlyStats!A89="","","Formula-linked")</x:f>
      </x:c>
    </x:row>
    <x:row r="90">
      <x:c r="A90" t="str">
        <x:f>IF(MonthlyStats!A90="","",MonthlyStats!A90)</x:f>
      </x:c>
      <x:c r="B90" t="str">
        <x:f>IF(MonthlyStats!A90="","",MonthlyStats!B90)</x:f>
      </x:c>
      <x:c r="C90" t="str">
        <x:f>IF(MonthlyStats!A90="","",MonthlyStats!E90)</x:f>
      </x:c>
      <x:c r="D90" t="str">
        <x:f>IF(MonthlyStats!A90="","",MonthlyStats!F90)</x:f>
      </x:c>
      <x:c r="E90" t="str">
        <x:f>IF(MonthlyStats!A90="","",MonthlyStats!G90)</x:f>
      </x:c>
      <x:c r="F90" t="str">
        <x:f>IF(MonthlyStats!A90="","",MonthlyStats!H90)</x:f>
      </x:c>
      <x:c r="G90" t="str">
        <x:f>IF(MonthlyStats!A90="","",MonthlyStats!I90)</x:f>
      </x:c>
      <x:c r="H90" t="str">
        <x:f>IF(MonthlyStats!A90="","",MonthlyStats!J90+MonthlyStats!K90)</x:f>
      </x:c>
      <x:c r="I90" t="str">
        <x:f>IF(MonthlyStats!A90="","",TEXT(MonthlyStats!O90,"₹#,##0")&amp;" public summary; "&amp;MonthlyStats!D90&amp;" cases")</x:f>
      </x:c>
      <x:c r="J90" t="str">
        <x:f>IF(MonthlyStats!A90="","","#")</x:f>
      </x:c>
      <x:c r="K90" t="str">
        <x:f>IF(MonthlyStats!A90="","",MonthlyStats!S90)</x:f>
      </x:c>
      <x:c r="L90" t="str">
        <x:f>IF(MonthlyStats!A90="","","Formula-linked")</x:f>
      </x:c>
    </x:row>
    <x:row r="91">
      <x:c r="A91" t="str">
        <x:f>IF(MonthlyStats!A91="","",MonthlyStats!A91)</x:f>
      </x:c>
      <x:c r="B91" t="str">
        <x:f>IF(MonthlyStats!A91="","",MonthlyStats!B91)</x:f>
      </x:c>
      <x:c r="C91" t="str">
        <x:f>IF(MonthlyStats!A91="","",MonthlyStats!E91)</x:f>
      </x:c>
      <x:c r="D91" t="str">
        <x:f>IF(MonthlyStats!A91="","",MonthlyStats!F91)</x:f>
      </x:c>
      <x:c r="E91" t="str">
        <x:f>IF(MonthlyStats!A91="","",MonthlyStats!G91)</x:f>
      </x:c>
      <x:c r="F91" t="str">
        <x:f>IF(MonthlyStats!A91="","",MonthlyStats!H91)</x:f>
      </x:c>
      <x:c r="G91" t="str">
        <x:f>IF(MonthlyStats!A91="","",MonthlyStats!I91)</x:f>
      </x:c>
      <x:c r="H91" t="str">
        <x:f>IF(MonthlyStats!A91="","",MonthlyStats!J91+MonthlyStats!K91)</x:f>
      </x:c>
      <x:c r="I91" t="str">
        <x:f>IF(MonthlyStats!A91="","",TEXT(MonthlyStats!O91,"₹#,##0")&amp;" public summary; "&amp;MonthlyStats!D91&amp;" cases")</x:f>
      </x:c>
      <x:c r="J91" t="str">
        <x:f>IF(MonthlyStats!A91="","","#")</x:f>
      </x:c>
      <x:c r="K91" t="str">
        <x:f>IF(MonthlyStats!A91="","",MonthlyStats!S91)</x:f>
      </x:c>
      <x:c r="L91" t="str">
        <x:f>IF(MonthlyStats!A91="","","Formula-linked")</x:f>
      </x:c>
    </x:row>
    <x:row r="92">
      <x:c r="A92" t="str">
        <x:f>IF(MonthlyStats!A92="","",MonthlyStats!A92)</x:f>
      </x:c>
      <x:c r="B92" t="str">
        <x:f>IF(MonthlyStats!A92="","",MonthlyStats!B92)</x:f>
      </x:c>
      <x:c r="C92" t="str">
        <x:f>IF(MonthlyStats!A92="","",MonthlyStats!E92)</x:f>
      </x:c>
      <x:c r="D92" t="str">
        <x:f>IF(MonthlyStats!A92="","",MonthlyStats!F92)</x:f>
      </x:c>
      <x:c r="E92" t="str">
        <x:f>IF(MonthlyStats!A92="","",MonthlyStats!G92)</x:f>
      </x:c>
      <x:c r="F92" t="str">
        <x:f>IF(MonthlyStats!A92="","",MonthlyStats!H92)</x:f>
      </x:c>
      <x:c r="G92" t="str">
        <x:f>IF(MonthlyStats!A92="","",MonthlyStats!I92)</x:f>
      </x:c>
      <x:c r="H92" t="str">
        <x:f>IF(MonthlyStats!A92="","",MonthlyStats!J92+MonthlyStats!K92)</x:f>
      </x:c>
      <x:c r="I92" t="str">
        <x:f>IF(MonthlyStats!A92="","",TEXT(MonthlyStats!O92,"₹#,##0")&amp;" public summary; "&amp;MonthlyStats!D92&amp;" cases")</x:f>
      </x:c>
      <x:c r="J92" t="str">
        <x:f>IF(MonthlyStats!A92="","","#")</x:f>
      </x:c>
      <x:c r="K92" t="str">
        <x:f>IF(MonthlyStats!A92="","",MonthlyStats!S92)</x:f>
      </x:c>
      <x:c r="L92" t="str">
        <x:f>IF(MonthlyStats!A92="","","Formula-linked")</x:f>
      </x:c>
    </x:row>
    <x:row r="93">
      <x:c r="A93" t="str">
        <x:f>IF(MonthlyStats!A93="","",MonthlyStats!A93)</x:f>
      </x:c>
      <x:c r="B93" t="str">
        <x:f>IF(MonthlyStats!A93="","",MonthlyStats!B93)</x:f>
      </x:c>
      <x:c r="C93" t="str">
        <x:f>IF(MonthlyStats!A93="","",MonthlyStats!E93)</x:f>
      </x:c>
      <x:c r="D93" t="str">
        <x:f>IF(MonthlyStats!A93="","",MonthlyStats!F93)</x:f>
      </x:c>
      <x:c r="E93" t="str">
        <x:f>IF(MonthlyStats!A93="","",MonthlyStats!G93)</x:f>
      </x:c>
      <x:c r="F93" t="str">
        <x:f>IF(MonthlyStats!A93="","",MonthlyStats!H93)</x:f>
      </x:c>
      <x:c r="G93" t="str">
        <x:f>IF(MonthlyStats!A93="","",MonthlyStats!I93)</x:f>
      </x:c>
      <x:c r="H93" t="str">
        <x:f>IF(MonthlyStats!A93="","",MonthlyStats!J93+MonthlyStats!K93)</x:f>
      </x:c>
      <x:c r="I93" t="str">
        <x:f>IF(MonthlyStats!A93="","",TEXT(MonthlyStats!O93,"₹#,##0")&amp;" public summary; "&amp;MonthlyStats!D93&amp;" cases")</x:f>
      </x:c>
      <x:c r="J93" t="str">
        <x:f>IF(MonthlyStats!A93="","","#")</x:f>
      </x:c>
      <x:c r="K93" t="str">
        <x:f>IF(MonthlyStats!A93="","",MonthlyStats!S93)</x:f>
      </x:c>
      <x:c r="L93" t="str">
        <x:f>IF(MonthlyStats!A93="","","Formula-linked")</x:f>
      </x:c>
    </x:row>
    <x:row r="94">
      <x:c r="A94" t="str">
        <x:f>IF(MonthlyStats!A94="","",MonthlyStats!A94)</x:f>
      </x:c>
      <x:c r="B94" t="str">
        <x:f>IF(MonthlyStats!A94="","",MonthlyStats!B94)</x:f>
      </x:c>
      <x:c r="C94" t="str">
        <x:f>IF(MonthlyStats!A94="","",MonthlyStats!E94)</x:f>
      </x:c>
      <x:c r="D94" t="str">
        <x:f>IF(MonthlyStats!A94="","",MonthlyStats!F94)</x:f>
      </x:c>
      <x:c r="E94" t="str">
        <x:f>IF(MonthlyStats!A94="","",MonthlyStats!G94)</x:f>
      </x:c>
      <x:c r="F94" t="str">
        <x:f>IF(MonthlyStats!A94="","",MonthlyStats!H94)</x:f>
      </x:c>
      <x:c r="G94" t="str">
        <x:f>IF(MonthlyStats!A94="","",MonthlyStats!I94)</x:f>
      </x:c>
      <x:c r="H94" t="str">
        <x:f>IF(MonthlyStats!A94="","",MonthlyStats!J94+MonthlyStats!K94)</x:f>
      </x:c>
      <x:c r="I94" t="str">
        <x:f>IF(MonthlyStats!A94="","",TEXT(MonthlyStats!O94,"₹#,##0")&amp;" public summary; "&amp;MonthlyStats!D94&amp;" cases")</x:f>
      </x:c>
      <x:c r="J94" t="str">
        <x:f>IF(MonthlyStats!A94="","","#")</x:f>
      </x:c>
      <x:c r="K94" t="str">
        <x:f>IF(MonthlyStats!A94="","",MonthlyStats!S94)</x:f>
      </x:c>
      <x:c r="L94" t="str">
        <x:f>IF(MonthlyStats!A94="","","Formula-linked")</x:f>
      </x:c>
    </x:row>
    <x:row r="95">
      <x:c r="A95" t="str">
        <x:f>IF(MonthlyStats!A95="","",MonthlyStats!A95)</x:f>
      </x:c>
      <x:c r="B95" t="str">
        <x:f>IF(MonthlyStats!A95="","",MonthlyStats!B95)</x:f>
      </x:c>
      <x:c r="C95" t="str">
        <x:f>IF(MonthlyStats!A95="","",MonthlyStats!E95)</x:f>
      </x:c>
      <x:c r="D95" t="str">
        <x:f>IF(MonthlyStats!A95="","",MonthlyStats!F95)</x:f>
      </x:c>
      <x:c r="E95" t="str">
        <x:f>IF(MonthlyStats!A95="","",MonthlyStats!G95)</x:f>
      </x:c>
      <x:c r="F95" t="str">
        <x:f>IF(MonthlyStats!A95="","",MonthlyStats!H95)</x:f>
      </x:c>
      <x:c r="G95" t="str">
        <x:f>IF(MonthlyStats!A95="","",MonthlyStats!I95)</x:f>
      </x:c>
      <x:c r="H95" t="str">
        <x:f>IF(MonthlyStats!A95="","",MonthlyStats!J95+MonthlyStats!K95)</x:f>
      </x:c>
      <x:c r="I95" t="str">
        <x:f>IF(MonthlyStats!A95="","",TEXT(MonthlyStats!O95,"₹#,##0")&amp;" public summary; "&amp;MonthlyStats!D95&amp;" cases")</x:f>
      </x:c>
      <x:c r="J95" t="str">
        <x:f>IF(MonthlyStats!A95="","","#")</x:f>
      </x:c>
      <x:c r="K95" t="str">
        <x:f>IF(MonthlyStats!A95="","",MonthlyStats!S95)</x:f>
      </x:c>
      <x:c r="L95" t="str">
        <x:f>IF(MonthlyStats!A95="","","Formula-linked")</x:f>
      </x:c>
    </x:row>
    <x:row r="96">
      <x:c r="A96" t="str">
        <x:f>IF(MonthlyStats!A96="","",MonthlyStats!A96)</x:f>
      </x:c>
      <x:c r="B96" t="str">
        <x:f>IF(MonthlyStats!A96="","",MonthlyStats!B96)</x:f>
      </x:c>
      <x:c r="C96" t="str">
        <x:f>IF(MonthlyStats!A96="","",MonthlyStats!E96)</x:f>
      </x:c>
      <x:c r="D96" t="str">
        <x:f>IF(MonthlyStats!A96="","",MonthlyStats!F96)</x:f>
      </x:c>
      <x:c r="E96" t="str">
        <x:f>IF(MonthlyStats!A96="","",MonthlyStats!G96)</x:f>
      </x:c>
      <x:c r="F96" t="str">
        <x:f>IF(MonthlyStats!A96="","",MonthlyStats!H96)</x:f>
      </x:c>
      <x:c r="G96" t="str">
        <x:f>IF(MonthlyStats!A96="","",MonthlyStats!I96)</x:f>
      </x:c>
      <x:c r="H96" t="str">
        <x:f>IF(MonthlyStats!A96="","",MonthlyStats!J96+MonthlyStats!K96)</x:f>
      </x:c>
      <x:c r="I96" t="str">
        <x:f>IF(MonthlyStats!A96="","",TEXT(MonthlyStats!O96,"₹#,##0")&amp;" public summary; "&amp;MonthlyStats!D96&amp;" cases")</x:f>
      </x:c>
      <x:c r="J96" t="str">
        <x:f>IF(MonthlyStats!A96="","","#")</x:f>
      </x:c>
      <x:c r="K96" t="str">
        <x:f>IF(MonthlyStats!A96="","",MonthlyStats!S96)</x:f>
      </x:c>
      <x:c r="L96" t="str">
        <x:f>IF(MonthlyStats!A96="","","Formula-linked")</x:f>
      </x:c>
    </x:row>
    <x:row r="97">
      <x:c r="A97" t="str">
        <x:f>IF(MonthlyStats!A97="","",MonthlyStats!A97)</x:f>
      </x:c>
      <x:c r="B97" t="str">
        <x:f>IF(MonthlyStats!A97="","",MonthlyStats!B97)</x:f>
      </x:c>
      <x:c r="C97" t="str">
        <x:f>IF(MonthlyStats!A97="","",MonthlyStats!E97)</x:f>
      </x:c>
      <x:c r="D97" t="str">
        <x:f>IF(MonthlyStats!A97="","",MonthlyStats!F97)</x:f>
      </x:c>
      <x:c r="E97" t="str">
        <x:f>IF(MonthlyStats!A97="","",MonthlyStats!G97)</x:f>
      </x:c>
      <x:c r="F97" t="str">
        <x:f>IF(MonthlyStats!A97="","",MonthlyStats!H97)</x:f>
      </x:c>
      <x:c r="G97" t="str">
        <x:f>IF(MonthlyStats!A97="","",MonthlyStats!I97)</x:f>
      </x:c>
      <x:c r="H97" t="str">
        <x:f>IF(MonthlyStats!A97="","",MonthlyStats!J97+MonthlyStats!K97)</x:f>
      </x:c>
      <x:c r="I97" t="str">
        <x:f>IF(MonthlyStats!A97="","",TEXT(MonthlyStats!O97,"₹#,##0")&amp;" public summary; "&amp;MonthlyStats!D97&amp;" cases")</x:f>
      </x:c>
      <x:c r="J97" t="str">
        <x:f>IF(MonthlyStats!A97="","","#")</x:f>
      </x:c>
      <x:c r="K97" t="str">
        <x:f>IF(MonthlyStats!A97="","",MonthlyStats!S97)</x:f>
      </x:c>
      <x:c r="L97" t="str">
        <x:f>IF(MonthlyStats!A97="","","Formula-linked")</x:f>
      </x:c>
    </x:row>
    <x:row r="98">
      <x:c r="A98" t="str">
        <x:f>IF(MonthlyStats!A98="","",MonthlyStats!A98)</x:f>
      </x:c>
      <x:c r="B98" t="str">
        <x:f>IF(MonthlyStats!A98="","",MonthlyStats!B98)</x:f>
      </x:c>
      <x:c r="C98" t="str">
        <x:f>IF(MonthlyStats!A98="","",MonthlyStats!E98)</x:f>
      </x:c>
      <x:c r="D98" t="str">
        <x:f>IF(MonthlyStats!A98="","",MonthlyStats!F98)</x:f>
      </x:c>
      <x:c r="E98" t="str">
        <x:f>IF(MonthlyStats!A98="","",MonthlyStats!G98)</x:f>
      </x:c>
      <x:c r="F98" t="str">
        <x:f>IF(MonthlyStats!A98="","",MonthlyStats!H98)</x:f>
      </x:c>
      <x:c r="G98" t="str">
        <x:f>IF(MonthlyStats!A98="","",MonthlyStats!I98)</x:f>
      </x:c>
      <x:c r="H98" t="str">
        <x:f>IF(MonthlyStats!A98="","",MonthlyStats!J98+MonthlyStats!K98)</x:f>
      </x:c>
      <x:c r="I98" t="str">
        <x:f>IF(MonthlyStats!A98="","",TEXT(MonthlyStats!O98,"₹#,##0")&amp;" public summary; "&amp;MonthlyStats!D98&amp;" cases")</x:f>
      </x:c>
      <x:c r="J98" t="str">
        <x:f>IF(MonthlyStats!A98="","","#")</x:f>
      </x:c>
      <x:c r="K98" t="str">
        <x:f>IF(MonthlyStats!A98="","",MonthlyStats!S98)</x:f>
      </x:c>
      <x:c r="L98" t="str">
        <x:f>IF(MonthlyStats!A98="","","Formula-linked")</x:f>
      </x:c>
    </x:row>
    <x:row r="99">
      <x:c r="A99" t="str">
        <x:f>IF(MonthlyStats!A99="","",MonthlyStats!A99)</x:f>
      </x:c>
      <x:c r="B99" t="str">
        <x:f>IF(MonthlyStats!A99="","",MonthlyStats!B99)</x:f>
      </x:c>
      <x:c r="C99" t="str">
        <x:f>IF(MonthlyStats!A99="","",MonthlyStats!E99)</x:f>
      </x:c>
      <x:c r="D99" t="str">
        <x:f>IF(MonthlyStats!A99="","",MonthlyStats!F99)</x:f>
      </x:c>
      <x:c r="E99" t="str">
        <x:f>IF(MonthlyStats!A99="","",MonthlyStats!G99)</x:f>
      </x:c>
      <x:c r="F99" t="str">
        <x:f>IF(MonthlyStats!A99="","",MonthlyStats!H99)</x:f>
      </x:c>
      <x:c r="G99" t="str">
        <x:f>IF(MonthlyStats!A99="","",MonthlyStats!I99)</x:f>
      </x:c>
      <x:c r="H99" t="str">
        <x:f>IF(MonthlyStats!A99="","",MonthlyStats!J99+MonthlyStats!K99)</x:f>
      </x:c>
      <x:c r="I99" t="str">
        <x:f>IF(MonthlyStats!A99="","",TEXT(MonthlyStats!O99,"₹#,##0")&amp;" public summary; "&amp;MonthlyStats!D99&amp;" cases")</x:f>
      </x:c>
      <x:c r="J99" t="str">
        <x:f>IF(MonthlyStats!A99="","","#")</x:f>
      </x:c>
      <x:c r="K99" t="str">
        <x:f>IF(MonthlyStats!A99="","",MonthlyStats!S99)</x:f>
      </x:c>
      <x:c r="L99" t="str">
        <x:f>IF(MonthlyStats!A99="","","Formula-linked")</x:f>
      </x:c>
    </x:row>
    <x:row r="100">
      <x:c r="A100" t="str">
        <x:f>IF(MonthlyStats!A100="","",MonthlyStats!A100)</x:f>
      </x:c>
      <x:c r="B100" t="str">
        <x:f>IF(MonthlyStats!A100="","",MonthlyStats!B100)</x:f>
      </x:c>
      <x:c r="C100" t="str">
        <x:f>IF(MonthlyStats!A100="","",MonthlyStats!E100)</x:f>
      </x:c>
      <x:c r="D100" t="str">
        <x:f>IF(MonthlyStats!A100="","",MonthlyStats!F100)</x:f>
      </x:c>
      <x:c r="E100" t="str">
        <x:f>IF(MonthlyStats!A100="","",MonthlyStats!G100)</x:f>
      </x:c>
      <x:c r="F100" t="str">
        <x:f>IF(MonthlyStats!A100="","",MonthlyStats!H100)</x:f>
      </x:c>
      <x:c r="G100" t="str">
        <x:f>IF(MonthlyStats!A100="","",MonthlyStats!I100)</x:f>
      </x:c>
      <x:c r="H100" t="str">
        <x:f>IF(MonthlyStats!A100="","",MonthlyStats!J100+MonthlyStats!K100)</x:f>
      </x:c>
      <x:c r="I100" t="str">
        <x:f>IF(MonthlyStats!A100="","",TEXT(MonthlyStats!O100,"₹#,##0")&amp;" public summary; "&amp;MonthlyStats!D100&amp;" cases")</x:f>
      </x:c>
      <x:c r="J100" t="str">
        <x:f>IF(MonthlyStats!A100="","","#")</x:f>
      </x:c>
      <x:c r="K100" t="str">
        <x:f>IF(MonthlyStats!A100="","",MonthlyStats!S100)</x:f>
      </x:c>
      <x:c r="L100" t="str">
        <x:f>IF(MonthlyStats!A100="","","Formula-linked")</x:f>
      </x:c>
    </x:row>
    <x:row r="101">
      <x:c r="A101" t="str">
        <x:f>IF(MonthlyStats!A101="","",MonthlyStats!A101)</x:f>
      </x:c>
      <x:c r="B101" t="str">
        <x:f>IF(MonthlyStats!A101="","",MonthlyStats!B101)</x:f>
      </x:c>
      <x:c r="C101" t="str">
        <x:f>IF(MonthlyStats!A101="","",MonthlyStats!E101)</x:f>
      </x:c>
      <x:c r="D101" t="str">
        <x:f>IF(MonthlyStats!A101="","",MonthlyStats!F101)</x:f>
      </x:c>
      <x:c r="E101" t="str">
        <x:f>IF(MonthlyStats!A101="","",MonthlyStats!G101)</x:f>
      </x:c>
      <x:c r="F101" t="str">
        <x:f>IF(MonthlyStats!A101="","",MonthlyStats!H101)</x:f>
      </x:c>
      <x:c r="G101" t="str">
        <x:f>IF(MonthlyStats!A101="","",MonthlyStats!I101)</x:f>
      </x:c>
      <x:c r="H101" t="str">
        <x:f>IF(MonthlyStats!A101="","",MonthlyStats!J101+MonthlyStats!K101)</x:f>
      </x:c>
      <x:c r="I101" t="str">
        <x:f>IF(MonthlyStats!A101="","",TEXT(MonthlyStats!O101,"₹#,##0")&amp;" public summary; "&amp;MonthlyStats!D101&amp;" cases")</x:f>
      </x:c>
      <x:c r="J101" t="str">
        <x:f>IF(MonthlyStats!A101="","","#")</x:f>
      </x:c>
      <x:c r="K101" t="str">
        <x:f>IF(MonthlyStats!A101="","",MonthlyStats!S101)</x:f>
      </x:c>
      <x:c r="L101" t="str">
        <x:f>IF(MonthlyStats!A101="","","Formula-linked")</x:f>
      </x:c>
    </x:row>
    <x:row r="102">
      <x:c r="A102" t="str">
        <x:f>IF(MonthlyStats!A102="","",MonthlyStats!A102)</x:f>
      </x:c>
      <x:c r="B102" t="str">
        <x:f>IF(MonthlyStats!A102="","",MonthlyStats!B102)</x:f>
      </x:c>
      <x:c r="C102" t="str">
        <x:f>IF(MonthlyStats!A102="","",MonthlyStats!E102)</x:f>
      </x:c>
      <x:c r="D102" t="str">
        <x:f>IF(MonthlyStats!A102="","",MonthlyStats!F102)</x:f>
      </x:c>
      <x:c r="E102" t="str">
        <x:f>IF(MonthlyStats!A102="","",MonthlyStats!G102)</x:f>
      </x:c>
      <x:c r="F102" t="str">
        <x:f>IF(MonthlyStats!A102="","",MonthlyStats!H102)</x:f>
      </x:c>
      <x:c r="G102" t="str">
        <x:f>IF(MonthlyStats!A102="","",MonthlyStats!I102)</x:f>
      </x:c>
      <x:c r="H102" t="str">
        <x:f>IF(MonthlyStats!A102="","",MonthlyStats!J102+MonthlyStats!K102)</x:f>
      </x:c>
      <x:c r="I102" t="str">
        <x:f>IF(MonthlyStats!A102="","",TEXT(MonthlyStats!O102,"₹#,##0")&amp;" public summary; "&amp;MonthlyStats!D102&amp;" cases")</x:f>
      </x:c>
      <x:c r="J102" t="str">
        <x:f>IF(MonthlyStats!A102="","","#")</x:f>
      </x:c>
      <x:c r="K102" t="str">
        <x:f>IF(MonthlyStats!A102="","",MonthlyStats!S102)</x:f>
      </x:c>
      <x:c r="L102" t="str">
        <x:f>IF(MonthlyStats!A102="","","Formula-linked")</x:f>
      </x:c>
    </x:row>
    <x:row r="103">
      <x:c r="A103" t="str">
        <x:f>IF(MonthlyStats!A103="","",MonthlyStats!A103)</x:f>
      </x:c>
      <x:c r="B103" t="str">
        <x:f>IF(MonthlyStats!A103="","",MonthlyStats!B103)</x:f>
      </x:c>
      <x:c r="C103" t="str">
        <x:f>IF(MonthlyStats!A103="","",MonthlyStats!E103)</x:f>
      </x:c>
      <x:c r="D103" t="str">
        <x:f>IF(MonthlyStats!A103="","",MonthlyStats!F103)</x:f>
      </x:c>
      <x:c r="E103" t="str">
        <x:f>IF(MonthlyStats!A103="","",MonthlyStats!G103)</x:f>
      </x:c>
      <x:c r="F103" t="str">
        <x:f>IF(MonthlyStats!A103="","",MonthlyStats!H103)</x:f>
      </x:c>
      <x:c r="G103" t="str">
        <x:f>IF(MonthlyStats!A103="","",MonthlyStats!I103)</x:f>
      </x:c>
      <x:c r="H103" t="str">
        <x:f>IF(MonthlyStats!A103="","",MonthlyStats!J103+MonthlyStats!K103)</x:f>
      </x:c>
      <x:c r="I103" t="str">
        <x:f>IF(MonthlyStats!A103="","",TEXT(MonthlyStats!O103,"₹#,##0")&amp;" public summary; "&amp;MonthlyStats!D103&amp;" cases")</x:f>
      </x:c>
      <x:c r="J103" t="str">
        <x:f>IF(MonthlyStats!A103="","","#")</x:f>
      </x:c>
      <x:c r="K103" t="str">
        <x:f>IF(MonthlyStats!A103="","",MonthlyStats!S103)</x:f>
      </x:c>
      <x:c r="L103" t="str">
        <x:f>IF(MonthlyStats!A103="","","Formula-linked")</x:f>
      </x:c>
    </x:row>
    <x:row r="104">
      <x:c r="A104" t="str">
        <x:f>IF(MonthlyStats!A104="","",MonthlyStats!A104)</x:f>
      </x:c>
      <x:c r="B104" t="str">
        <x:f>IF(MonthlyStats!A104="","",MonthlyStats!B104)</x:f>
      </x:c>
      <x:c r="C104" t="str">
        <x:f>IF(MonthlyStats!A104="","",MonthlyStats!E104)</x:f>
      </x:c>
      <x:c r="D104" t="str">
        <x:f>IF(MonthlyStats!A104="","",MonthlyStats!F104)</x:f>
      </x:c>
      <x:c r="E104" t="str">
        <x:f>IF(MonthlyStats!A104="","",MonthlyStats!G104)</x:f>
      </x:c>
      <x:c r="F104" t="str">
        <x:f>IF(MonthlyStats!A104="","",MonthlyStats!H104)</x:f>
      </x:c>
      <x:c r="G104" t="str">
        <x:f>IF(MonthlyStats!A104="","",MonthlyStats!I104)</x:f>
      </x:c>
      <x:c r="H104" t="str">
        <x:f>IF(MonthlyStats!A104="","",MonthlyStats!J104+MonthlyStats!K104)</x:f>
      </x:c>
      <x:c r="I104" t="str">
        <x:f>IF(MonthlyStats!A104="","",TEXT(MonthlyStats!O104,"₹#,##0")&amp;" public summary; "&amp;MonthlyStats!D104&amp;" cases")</x:f>
      </x:c>
      <x:c r="J104" t="str">
        <x:f>IF(MonthlyStats!A104="","","#")</x:f>
      </x:c>
      <x:c r="K104" t="str">
        <x:f>IF(MonthlyStats!A104="","",MonthlyStats!S104)</x:f>
      </x:c>
      <x:c r="L104" t="str">
        <x:f>IF(MonthlyStats!A104="","","Formula-linked")</x:f>
      </x:c>
    </x:row>
    <x:row r="105">
      <x:c r="A105" t="str">
        <x:f>IF(MonthlyStats!A105="","",MonthlyStats!A105)</x:f>
      </x:c>
      <x:c r="B105" t="str">
        <x:f>IF(MonthlyStats!A105="","",MonthlyStats!B105)</x:f>
      </x:c>
      <x:c r="C105" t="str">
        <x:f>IF(MonthlyStats!A105="","",MonthlyStats!E105)</x:f>
      </x:c>
      <x:c r="D105" t="str">
        <x:f>IF(MonthlyStats!A105="","",MonthlyStats!F105)</x:f>
      </x:c>
      <x:c r="E105" t="str">
        <x:f>IF(MonthlyStats!A105="","",MonthlyStats!G105)</x:f>
      </x:c>
      <x:c r="F105" t="str">
        <x:f>IF(MonthlyStats!A105="","",MonthlyStats!H105)</x:f>
      </x:c>
      <x:c r="G105" t="str">
        <x:f>IF(MonthlyStats!A105="","",MonthlyStats!I105)</x:f>
      </x:c>
      <x:c r="H105" t="str">
        <x:f>IF(MonthlyStats!A105="","",MonthlyStats!J105+MonthlyStats!K105)</x:f>
      </x:c>
      <x:c r="I105" t="str">
        <x:f>IF(MonthlyStats!A105="","",TEXT(MonthlyStats!O105,"₹#,##0")&amp;" public summary; "&amp;MonthlyStats!D105&amp;" cases")</x:f>
      </x:c>
      <x:c r="J105" t="str">
        <x:f>IF(MonthlyStats!A105="","","#")</x:f>
      </x:c>
      <x:c r="K105" t="str">
        <x:f>IF(MonthlyStats!A105="","",MonthlyStats!S105)</x:f>
      </x:c>
      <x:c r="L105" t="str">
        <x:f>IF(MonthlyStats!A105="","","Formula-linked")</x:f>
      </x:c>
    </x:row>
    <x:row r="106">
      <x:c r="A106" t="str">
        <x:f>IF(MonthlyStats!A106="","",MonthlyStats!A106)</x:f>
      </x:c>
      <x:c r="B106" t="str">
        <x:f>IF(MonthlyStats!A106="","",MonthlyStats!B106)</x:f>
      </x:c>
      <x:c r="C106" t="str">
        <x:f>IF(MonthlyStats!A106="","",MonthlyStats!E106)</x:f>
      </x:c>
      <x:c r="D106" t="str">
        <x:f>IF(MonthlyStats!A106="","",MonthlyStats!F106)</x:f>
      </x:c>
      <x:c r="E106" t="str">
        <x:f>IF(MonthlyStats!A106="","",MonthlyStats!G106)</x:f>
      </x:c>
      <x:c r="F106" t="str">
        <x:f>IF(MonthlyStats!A106="","",MonthlyStats!H106)</x:f>
      </x:c>
      <x:c r="G106" t="str">
        <x:f>IF(MonthlyStats!A106="","",MonthlyStats!I106)</x:f>
      </x:c>
      <x:c r="H106" t="str">
        <x:f>IF(MonthlyStats!A106="","",MonthlyStats!J106+MonthlyStats!K106)</x:f>
      </x:c>
      <x:c r="I106" t="str">
        <x:f>IF(MonthlyStats!A106="","",TEXT(MonthlyStats!O106,"₹#,##0")&amp;" public summary; "&amp;MonthlyStats!D106&amp;" cases")</x:f>
      </x:c>
      <x:c r="J106" t="str">
        <x:f>IF(MonthlyStats!A106="","","#")</x:f>
      </x:c>
      <x:c r="K106" t="str">
        <x:f>IF(MonthlyStats!A106="","",MonthlyStats!S106)</x:f>
      </x:c>
      <x:c r="L106" t="str">
        <x:f>IF(MonthlyStats!A106="","","Formula-linked")</x:f>
      </x:c>
    </x:row>
    <x:row r="107">
      <x:c r="A107" t="str">
        <x:f>IF(MonthlyStats!A107="","",MonthlyStats!A107)</x:f>
      </x:c>
      <x:c r="B107" t="str">
        <x:f>IF(MonthlyStats!A107="","",MonthlyStats!B107)</x:f>
      </x:c>
      <x:c r="C107" t="str">
        <x:f>IF(MonthlyStats!A107="","",MonthlyStats!E107)</x:f>
      </x:c>
      <x:c r="D107" t="str">
        <x:f>IF(MonthlyStats!A107="","",MonthlyStats!F107)</x:f>
      </x:c>
      <x:c r="E107" t="str">
        <x:f>IF(MonthlyStats!A107="","",MonthlyStats!G107)</x:f>
      </x:c>
      <x:c r="F107" t="str">
        <x:f>IF(MonthlyStats!A107="","",MonthlyStats!H107)</x:f>
      </x:c>
      <x:c r="G107" t="str">
        <x:f>IF(MonthlyStats!A107="","",MonthlyStats!I107)</x:f>
      </x:c>
      <x:c r="H107" t="str">
        <x:f>IF(MonthlyStats!A107="","",MonthlyStats!J107+MonthlyStats!K107)</x:f>
      </x:c>
      <x:c r="I107" t="str">
        <x:f>IF(MonthlyStats!A107="","",TEXT(MonthlyStats!O107,"₹#,##0")&amp;" public summary; "&amp;MonthlyStats!D107&amp;" cases")</x:f>
      </x:c>
      <x:c r="J107" t="str">
        <x:f>IF(MonthlyStats!A107="","","#")</x:f>
      </x:c>
      <x:c r="K107" t="str">
        <x:f>IF(MonthlyStats!A107="","",MonthlyStats!S107)</x:f>
      </x:c>
      <x:c r="L107" t="str">
        <x:f>IF(MonthlyStats!A107="","","Formula-linked")</x:f>
      </x:c>
    </x:row>
    <x:row r="108">
      <x:c r="A108" t="str">
        <x:f>IF(MonthlyStats!A108="","",MonthlyStats!A108)</x:f>
      </x:c>
      <x:c r="B108" t="str">
        <x:f>IF(MonthlyStats!A108="","",MonthlyStats!B108)</x:f>
      </x:c>
      <x:c r="C108" t="str">
        <x:f>IF(MonthlyStats!A108="","",MonthlyStats!E108)</x:f>
      </x:c>
      <x:c r="D108" t="str">
        <x:f>IF(MonthlyStats!A108="","",MonthlyStats!F108)</x:f>
      </x:c>
      <x:c r="E108" t="str">
        <x:f>IF(MonthlyStats!A108="","",MonthlyStats!G108)</x:f>
      </x:c>
      <x:c r="F108" t="str">
        <x:f>IF(MonthlyStats!A108="","",MonthlyStats!H108)</x:f>
      </x:c>
      <x:c r="G108" t="str">
        <x:f>IF(MonthlyStats!A108="","",MonthlyStats!I108)</x:f>
      </x:c>
      <x:c r="H108" t="str">
        <x:f>IF(MonthlyStats!A108="","",MonthlyStats!J108+MonthlyStats!K108)</x:f>
      </x:c>
      <x:c r="I108" t="str">
        <x:f>IF(MonthlyStats!A108="","",TEXT(MonthlyStats!O108,"₹#,##0")&amp;" public summary; "&amp;MonthlyStats!D108&amp;" cases")</x:f>
      </x:c>
      <x:c r="J108" t="str">
        <x:f>IF(MonthlyStats!A108="","","#")</x:f>
      </x:c>
      <x:c r="K108" t="str">
        <x:f>IF(MonthlyStats!A108="","",MonthlyStats!S108)</x:f>
      </x:c>
      <x:c r="L108" t="str">
        <x:f>IF(MonthlyStats!A108="","","Formula-linked")</x:f>
      </x:c>
    </x:row>
    <x:row r="109">
      <x:c r="A109" t="str">
        <x:f>IF(MonthlyStats!A109="","",MonthlyStats!A109)</x:f>
      </x:c>
      <x:c r="B109" t="str">
        <x:f>IF(MonthlyStats!A109="","",MonthlyStats!B109)</x:f>
      </x:c>
      <x:c r="C109" t="str">
        <x:f>IF(MonthlyStats!A109="","",MonthlyStats!E109)</x:f>
      </x:c>
      <x:c r="D109" t="str">
        <x:f>IF(MonthlyStats!A109="","",MonthlyStats!F109)</x:f>
      </x:c>
      <x:c r="E109" t="str">
        <x:f>IF(MonthlyStats!A109="","",MonthlyStats!G109)</x:f>
      </x:c>
      <x:c r="F109" t="str">
        <x:f>IF(MonthlyStats!A109="","",MonthlyStats!H109)</x:f>
      </x:c>
      <x:c r="G109" t="str">
        <x:f>IF(MonthlyStats!A109="","",MonthlyStats!I109)</x:f>
      </x:c>
      <x:c r="H109" t="str">
        <x:f>IF(MonthlyStats!A109="","",MonthlyStats!J109+MonthlyStats!K109)</x:f>
      </x:c>
      <x:c r="I109" t="str">
        <x:f>IF(MonthlyStats!A109="","",TEXT(MonthlyStats!O109,"₹#,##0")&amp;" public summary; "&amp;MonthlyStats!D109&amp;" cases")</x:f>
      </x:c>
      <x:c r="J109" t="str">
        <x:f>IF(MonthlyStats!A109="","","#")</x:f>
      </x:c>
      <x:c r="K109" t="str">
        <x:f>IF(MonthlyStats!A109="","",MonthlyStats!S109)</x:f>
      </x:c>
      <x:c r="L109" t="str">
        <x:f>IF(MonthlyStats!A109="","","Formula-linked")</x:f>
      </x:c>
    </x:row>
    <x:row r="110">
      <x:c r="A110" t="str">
        <x:f>IF(MonthlyStats!A110="","",MonthlyStats!A110)</x:f>
      </x:c>
      <x:c r="B110" t="str">
        <x:f>IF(MonthlyStats!A110="","",MonthlyStats!B110)</x:f>
      </x:c>
      <x:c r="C110" t="str">
        <x:f>IF(MonthlyStats!A110="","",MonthlyStats!E110)</x:f>
      </x:c>
      <x:c r="D110" t="str">
        <x:f>IF(MonthlyStats!A110="","",MonthlyStats!F110)</x:f>
      </x:c>
      <x:c r="E110" t="str">
        <x:f>IF(MonthlyStats!A110="","",MonthlyStats!G110)</x:f>
      </x:c>
      <x:c r="F110" t="str">
        <x:f>IF(MonthlyStats!A110="","",MonthlyStats!H110)</x:f>
      </x:c>
      <x:c r="G110" t="str">
        <x:f>IF(MonthlyStats!A110="","",MonthlyStats!I110)</x:f>
      </x:c>
      <x:c r="H110" t="str">
        <x:f>IF(MonthlyStats!A110="","",MonthlyStats!J110+MonthlyStats!K110)</x:f>
      </x:c>
      <x:c r="I110" t="str">
        <x:f>IF(MonthlyStats!A110="","",TEXT(MonthlyStats!O110,"₹#,##0")&amp;" public summary; "&amp;MonthlyStats!D110&amp;" cases")</x:f>
      </x:c>
      <x:c r="J110" t="str">
        <x:f>IF(MonthlyStats!A110="","","#")</x:f>
      </x:c>
      <x:c r="K110" t="str">
        <x:f>IF(MonthlyStats!A110="","",MonthlyStats!S110)</x:f>
      </x:c>
      <x:c r="L110" t="str">
        <x:f>IF(MonthlyStats!A110="","","Formula-linked")</x:f>
      </x:c>
    </x:row>
    <x:row r="111">
      <x:c r="A111" t="str">
        <x:f>IF(MonthlyStats!A111="","",MonthlyStats!A111)</x:f>
      </x:c>
      <x:c r="B111" t="str">
        <x:f>IF(MonthlyStats!A111="","",MonthlyStats!B111)</x:f>
      </x:c>
      <x:c r="C111" t="str">
        <x:f>IF(MonthlyStats!A111="","",MonthlyStats!E111)</x:f>
      </x:c>
      <x:c r="D111" t="str">
        <x:f>IF(MonthlyStats!A111="","",MonthlyStats!F111)</x:f>
      </x:c>
      <x:c r="E111" t="str">
        <x:f>IF(MonthlyStats!A111="","",MonthlyStats!G111)</x:f>
      </x:c>
      <x:c r="F111" t="str">
        <x:f>IF(MonthlyStats!A111="","",MonthlyStats!H111)</x:f>
      </x:c>
      <x:c r="G111" t="str">
        <x:f>IF(MonthlyStats!A111="","",MonthlyStats!I111)</x:f>
      </x:c>
      <x:c r="H111" t="str">
        <x:f>IF(MonthlyStats!A111="","",MonthlyStats!J111+MonthlyStats!K111)</x:f>
      </x:c>
      <x:c r="I111" t="str">
        <x:f>IF(MonthlyStats!A111="","",TEXT(MonthlyStats!O111,"₹#,##0")&amp;" public summary; "&amp;MonthlyStats!D111&amp;" cases")</x:f>
      </x:c>
      <x:c r="J111" t="str">
        <x:f>IF(MonthlyStats!A111="","","#")</x:f>
      </x:c>
      <x:c r="K111" t="str">
        <x:f>IF(MonthlyStats!A111="","",MonthlyStats!S111)</x:f>
      </x:c>
      <x:c r="L111" t="str">
        <x:f>IF(MonthlyStats!A111="","","Formula-linked")</x:f>
      </x:c>
    </x:row>
    <x:row r="112">
      <x:c r="A112" t="str">
        <x:f>IF(MonthlyStats!A112="","",MonthlyStats!A112)</x:f>
      </x:c>
      <x:c r="B112" t="str">
        <x:f>IF(MonthlyStats!A112="","",MonthlyStats!B112)</x:f>
      </x:c>
      <x:c r="C112" t="str">
        <x:f>IF(MonthlyStats!A112="","",MonthlyStats!E112)</x:f>
      </x:c>
      <x:c r="D112" t="str">
        <x:f>IF(MonthlyStats!A112="","",MonthlyStats!F112)</x:f>
      </x:c>
      <x:c r="E112" t="str">
        <x:f>IF(MonthlyStats!A112="","",MonthlyStats!G112)</x:f>
      </x:c>
      <x:c r="F112" t="str">
        <x:f>IF(MonthlyStats!A112="","",MonthlyStats!H112)</x:f>
      </x:c>
      <x:c r="G112" t="str">
        <x:f>IF(MonthlyStats!A112="","",MonthlyStats!I112)</x:f>
      </x:c>
      <x:c r="H112" t="str">
        <x:f>IF(MonthlyStats!A112="","",MonthlyStats!J112+MonthlyStats!K112)</x:f>
      </x:c>
      <x:c r="I112" t="str">
        <x:f>IF(MonthlyStats!A112="","",TEXT(MonthlyStats!O112,"₹#,##0")&amp;" public summary; "&amp;MonthlyStats!D112&amp;" cases")</x:f>
      </x:c>
      <x:c r="J112" t="str">
        <x:f>IF(MonthlyStats!A112="","","#")</x:f>
      </x:c>
      <x:c r="K112" t="str">
        <x:f>IF(MonthlyStats!A112="","",MonthlyStats!S112)</x:f>
      </x:c>
      <x:c r="L112" t="str">
        <x:f>IF(MonthlyStats!A112="","","Formula-linked")</x:f>
      </x:c>
    </x:row>
    <x:row r="113">
      <x:c r="A113" t="str">
        <x:f>IF(MonthlyStats!A113="","",MonthlyStats!A113)</x:f>
      </x:c>
      <x:c r="B113" t="str">
        <x:f>IF(MonthlyStats!A113="","",MonthlyStats!B113)</x:f>
      </x:c>
      <x:c r="C113" t="str">
        <x:f>IF(MonthlyStats!A113="","",MonthlyStats!E113)</x:f>
      </x:c>
      <x:c r="D113" t="str">
        <x:f>IF(MonthlyStats!A113="","",MonthlyStats!F113)</x:f>
      </x:c>
      <x:c r="E113" t="str">
        <x:f>IF(MonthlyStats!A113="","",MonthlyStats!G113)</x:f>
      </x:c>
      <x:c r="F113" t="str">
        <x:f>IF(MonthlyStats!A113="","",MonthlyStats!H113)</x:f>
      </x:c>
      <x:c r="G113" t="str">
        <x:f>IF(MonthlyStats!A113="","",MonthlyStats!I113)</x:f>
      </x:c>
      <x:c r="H113" t="str">
        <x:f>IF(MonthlyStats!A113="","",MonthlyStats!J113+MonthlyStats!K113)</x:f>
      </x:c>
      <x:c r="I113" t="str">
        <x:f>IF(MonthlyStats!A113="","",TEXT(MonthlyStats!O113,"₹#,##0")&amp;" public summary; "&amp;MonthlyStats!D113&amp;" cases")</x:f>
      </x:c>
      <x:c r="J113" t="str">
        <x:f>IF(MonthlyStats!A113="","","#")</x:f>
      </x:c>
      <x:c r="K113" t="str">
        <x:f>IF(MonthlyStats!A113="","",MonthlyStats!S113)</x:f>
      </x:c>
      <x:c r="L113" t="str">
        <x:f>IF(MonthlyStats!A113="","","Formula-linked")</x:f>
      </x:c>
    </x:row>
    <x:row r="114">
      <x:c r="A114" t="str">
        <x:f>IF(MonthlyStats!A114="","",MonthlyStats!A114)</x:f>
      </x:c>
      <x:c r="B114" t="str">
        <x:f>IF(MonthlyStats!A114="","",MonthlyStats!B114)</x:f>
      </x:c>
      <x:c r="C114" t="str">
        <x:f>IF(MonthlyStats!A114="","",MonthlyStats!E114)</x:f>
      </x:c>
      <x:c r="D114" t="str">
        <x:f>IF(MonthlyStats!A114="","",MonthlyStats!F114)</x:f>
      </x:c>
      <x:c r="E114" t="str">
        <x:f>IF(MonthlyStats!A114="","",MonthlyStats!G114)</x:f>
      </x:c>
      <x:c r="F114" t="str">
        <x:f>IF(MonthlyStats!A114="","",MonthlyStats!H114)</x:f>
      </x:c>
      <x:c r="G114" t="str">
        <x:f>IF(MonthlyStats!A114="","",MonthlyStats!I114)</x:f>
      </x:c>
      <x:c r="H114" t="str">
        <x:f>IF(MonthlyStats!A114="","",MonthlyStats!J114+MonthlyStats!K114)</x:f>
      </x:c>
      <x:c r="I114" t="str">
        <x:f>IF(MonthlyStats!A114="","",TEXT(MonthlyStats!O114,"₹#,##0")&amp;" public summary; "&amp;MonthlyStats!D114&amp;" cases")</x:f>
      </x:c>
      <x:c r="J114" t="str">
        <x:f>IF(MonthlyStats!A114="","","#")</x:f>
      </x:c>
      <x:c r="K114" t="str">
        <x:f>IF(MonthlyStats!A114="","",MonthlyStats!S114)</x:f>
      </x:c>
      <x:c r="L114" t="str">
        <x:f>IF(MonthlyStats!A114="","","Formula-linked")</x:f>
      </x:c>
    </x:row>
    <x:row r="115">
      <x:c r="A115" t="str">
        <x:f>IF(MonthlyStats!A115="","",MonthlyStats!A115)</x:f>
      </x:c>
      <x:c r="B115" t="str">
        <x:f>IF(MonthlyStats!A115="","",MonthlyStats!B115)</x:f>
      </x:c>
      <x:c r="C115" t="str">
        <x:f>IF(MonthlyStats!A115="","",MonthlyStats!E115)</x:f>
      </x:c>
      <x:c r="D115" t="str">
        <x:f>IF(MonthlyStats!A115="","",MonthlyStats!F115)</x:f>
      </x:c>
      <x:c r="E115" t="str">
        <x:f>IF(MonthlyStats!A115="","",MonthlyStats!G115)</x:f>
      </x:c>
      <x:c r="F115" t="str">
        <x:f>IF(MonthlyStats!A115="","",MonthlyStats!H115)</x:f>
      </x:c>
      <x:c r="G115" t="str">
        <x:f>IF(MonthlyStats!A115="","",MonthlyStats!I115)</x:f>
      </x:c>
      <x:c r="H115" t="str">
        <x:f>IF(MonthlyStats!A115="","",MonthlyStats!J115+MonthlyStats!K115)</x:f>
      </x:c>
      <x:c r="I115" t="str">
        <x:f>IF(MonthlyStats!A115="","",TEXT(MonthlyStats!O115,"₹#,##0")&amp;" public summary; "&amp;MonthlyStats!D115&amp;" cases")</x:f>
      </x:c>
      <x:c r="J115" t="str">
        <x:f>IF(MonthlyStats!A115="","","#")</x:f>
      </x:c>
      <x:c r="K115" t="str">
        <x:f>IF(MonthlyStats!A115="","",MonthlyStats!S115)</x:f>
      </x:c>
      <x:c r="L115" t="str">
        <x:f>IF(MonthlyStats!A115="","","Formula-linked")</x:f>
      </x:c>
    </x:row>
    <x:row r="116">
      <x:c r="A116" t="str">
        <x:f>IF(MonthlyStats!A116="","",MonthlyStats!A116)</x:f>
      </x:c>
      <x:c r="B116" t="str">
        <x:f>IF(MonthlyStats!A116="","",MonthlyStats!B116)</x:f>
      </x:c>
      <x:c r="C116" t="str">
        <x:f>IF(MonthlyStats!A116="","",MonthlyStats!E116)</x:f>
      </x:c>
      <x:c r="D116" t="str">
        <x:f>IF(MonthlyStats!A116="","",MonthlyStats!F116)</x:f>
      </x:c>
      <x:c r="E116" t="str">
        <x:f>IF(MonthlyStats!A116="","",MonthlyStats!G116)</x:f>
      </x:c>
      <x:c r="F116" t="str">
        <x:f>IF(MonthlyStats!A116="","",MonthlyStats!H116)</x:f>
      </x:c>
      <x:c r="G116" t="str">
        <x:f>IF(MonthlyStats!A116="","",MonthlyStats!I116)</x:f>
      </x:c>
      <x:c r="H116" t="str">
        <x:f>IF(MonthlyStats!A116="","",MonthlyStats!J116+MonthlyStats!K116)</x:f>
      </x:c>
      <x:c r="I116" t="str">
        <x:f>IF(MonthlyStats!A116="","",TEXT(MonthlyStats!O116,"₹#,##0")&amp;" public summary; "&amp;MonthlyStats!D116&amp;" cases")</x:f>
      </x:c>
      <x:c r="J116" t="str">
        <x:f>IF(MonthlyStats!A116="","","#")</x:f>
      </x:c>
      <x:c r="K116" t="str">
        <x:f>IF(MonthlyStats!A116="","",MonthlyStats!S116)</x:f>
      </x:c>
      <x:c r="L116" t="str">
        <x:f>IF(MonthlyStats!A116="","","Formula-linked")</x:f>
      </x:c>
    </x:row>
    <x:row r="117">
      <x:c r="A117" t="str">
        <x:f>IF(MonthlyStats!A117="","",MonthlyStats!A117)</x:f>
      </x:c>
      <x:c r="B117" t="str">
        <x:f>IF(MonthlyStats!A117="","",MonthlyStats!B117)</x:f>
      </x:c>
      <x:c r="C117" t="str">
        <x:f>IF(MonthlyStats!A117="","",MonthlyStats!E117)</x:f>
      </x:c>
      <x:c r="D117" t="str">
        <x:f>IF(MonthlyStats!A117="","",MonthlyStats!F117)</x:f>
      </x:c>
      <x:c r="E117" t="str">
        <x:f>IF(MonthlyStats!A117="","",MonthlyStats!G117)</x:f>
      </x:c>
      <x:c r="F117" t="str">
        <x:f>IF(MonthlyStats!A117="","",MonthlyStats!H117)</x:f>
      </x:c>
      <x:c r="G117" t="str">
        <x:f>IF(MonthlyStats!A117="","",MonthlyStats!I117)</x:f>
      </x:c>
      <x:c r="H117" t="str">
        <x:f>IF(MonthlyStats!A117="","",MonthlyStats!J117+MonthlyStats!K117)</x:f>
      </x:c>
      <x:c r="I117" t="str">
        <x:f>IF(MonthlyStats!A117="","",TEXT(MonthlyStats!O117,"₹#,##0")&amp;" public summary; "&amp;MonthlyStats!D117&amp;" cases")</x:f>
      </x:c>
      <x:c r="J117" t="str">
        <x:f>IF(MonthlyStats!A117="","","#")</x:f>
      </x:c>
      <x:c r="K117" t="str">
        <x:f>IF(MonthlyStats!A117="","",MonthlyStats!S117)</x:f>
      </x:c>
      <x:c r="L117" t="str">
        <x:f>IF(MonthlyStats!A117="","","Formula-linked")</x:f>
      </x:c>
    </x:row>
    <x:row r="118">
      <x:c r="A118" t="str">
        <x:f>IF(MonthlyStats!A118="","",MonthlyStats!A118)</x:f>
      </x:c>
      <x:c r="B118" t="str">
        <x:f>IF(MonthlyStats!A118="","",MonthlyStats!B118)</x:f>
      </x:c>
      <x:c r="C118" t="str">
        <x:f>IF(MonthlyStats!A118="","",MonthlyStats!E118)</x:f>
      </x:c>
      <x:c r="D118" t="str">
        <x:f>IF(MonthlyStats!A118="","",MonthlyStats!F118)</x:f>
      </x:c>
      <x:c r="E118" t="str">
        <x:f>IF(MonthlyStats!A118="","",MonthlyStats!G118)</x:f>
      </x:c>
      <x:c r="F118" t="str">
        <x:f>IF(MonthlyStats!A118="","",MonthlyStats!H118)</x:f>
      </x:c>
      <x:c r="G118" t="str">
        <x:f>IF(MonthlyStats!A118="","",MonthlyStats!I118)</x:f>
      </x:c>
      <x:c r="H118" t="str">
        <x:f>IF(MonthlyStats!A118="","",MonthlyStats!J118+MonthlyStats!K118)</x:f>
      </x:c>
      <x:c r="I118" t="str">
        <x:f>IF(MonthlyStats!A118="","",TEXT(MonthlyStats!O118,"₹#,##0")&amp;" public summary; "&amp;MonthlyStats!D118&amp;" cases")</x:f>
      </x:c>
      <x:c r="J118" t="str">
        <x:f>IF(MonthlyStats!A118="","","#")</x:f>
      </x:c>
      <x:c r="K118" t="str">
        <x:f>IF(MonthlyStats!A118="","",MonthlyStats!S118)</x:f>
      </x:c>
      <x:c r="L118" t="str">
        <x:f>IF(MonthlyStats!A118="","","Formula-linked")</x:f>
      </x:c>
    </x:row>
    <x:row r="119">
      <x:c r="A119" t="str">
        <x:f>IF(MonthlyStats!A119="","",MonthlyStats!A119)</x:f>
      </x:c>
      <x:c r="B119" t="str">
        <x:f>IF(MonthlyStats!A119="","",MonthlyStats!B119)</x:f>
      </x:c>
      <x:c r="C119" t="str">
        <x:f>IF(MonthlyStats!A119="","",MonthlyStats!E119)</x:f>
      </x:c>
      <x:c r="D119" t="str">
        <x:f>IF(MonthlyStats!A119="","",MonthlyStats!F119)</x:f>
      </x:c>
      <x:c r="E119" t="str">
        <x:f>IF(MonthlyStats!A119="","",MonthlyStats!G119)</x:f>
      </x:c>
      <x:c r="F119" t="str">
        <x:f>IF(MonthlyStats!A119="","",MonthlyStats!H119)</x:f>
      </x:c>
      <x:c r="G119" t="str">
        <x:f>IF(MonthlyStats!A119="","",MonthlyStats!I119)</x:f>
      </x:c>
      <x:c r="H119" t="str">
        <x:f>IF(MonthlyStats!A119="","",MonthlyStats!J119+MonthlyStats!K119)</x:f>
      </x:c>
      <x:c r="I119" t="str">
        <x:f>IF(MonthlyStats!A119="","",TEXT(MonthlyStats!O119,"₹#,##0")&amp;" public summary; "&amp;MonthlyStats!D119&amp;" cases")</x:f>
      </x:c>
      <x:c r="J119" t="str">
        <x:f>IF(MonthlyStats!A119="","","#")</x:f>
      </x:c>
      <x:c r="K119" t="str">
        <x:f>IF(MonthlyStats!A119="","",MonthlyStats!S119)</x:f>
      </x:c>
      <x:c r="L119" t="str">
        <x:f>IF(MonthlyStats!A119="","","Formula-linked")</x:f>
      </x:c>
    </x:row>
    <x:row r="120">
      <x:c r="A120" t="str">
        <x:f>IF(MonthlyStats!A120="","",MonthlyStats!A120)</x:f>
      </x:c>
      <x:c r="B120" t="str">
        <x:f>IF(MonthlyStats!A120="","",MonthlyStats!B120)</x:f>
      </x:c>
      <x:c r="C120" t="str">
        <x:f>IF(MonthlyStats!A120="","",MonthlyStats!E120)</x:f>
      </x:c>
      <x:c r="D120" t="str">
        <x:f>IF(MonthlyStats!A120="","",MonthlyStats!F120)</x:f>
      </x:c>
      <x:c r="E120" t="str">
        <x:f>IF(MonthlyStats!A120="","",MonthlyStats!G120)</x:f>
      </x:c>
      <x:c r="F120" t="str">
        <x:f>IF(MonthlyStats!A120="","",MonthlyStats!H120)</x:f>
      </x:c>
      <x:c r="G120" t="str">
        <x:f>IF(MonthlyStats!A120="","",MonthlyStats!I120)</x:f>
      </x:c>
      <x:c r="H120" t="str">
        <x:f>IF(MonthlyStats!A120="","",MonthlyStats!J120+MonthlyStats!K120)</x:f>
      </x:c>
      <x:c r="I120" t="str">
        <x:f>IF(MonthlyStats!A120="","",TEXT(MonthlyStats!O120,"₹#,##0")&amp;" public summary; "&amp;MonthlyStats!D120&amp;" cases")</x:f>
      </x:c>
      <x:c r="J120" t="str">
        <x:f>IF(MonthlyStats!A120="","","#")</x:f>
      </x:c>
      <x:c r="K120" t="str">
        <x:f>IF(MonthlyStats!A120="","",MonthlyStats!S120)</x:f>
      </x:c>
      <x:c r="L120" t="str">
        <x:f>IF(MonthlyStats!A120="","","Formula-linked")</x:f>
      </x:c>
    </x:row>
    <x:row r="121">
      <x:c r="A121" t="str">
        <x:f>IF(MonthlyStats!A121="","",MonthlyStats!A121)</x:f>
      </x:c>
      <x:c r="B121" t="str">
        <x:f>IF(MonthlyStats!A121="","",MonthlyStats!B121)</x:f>
      </x:c>
      <x:c r="C121" t="str">
        <x:f>IF(MonthlyStats!A121="","",MonthlyStats!E121)</x:f>
      </x:c>
      <x:c r="D121" t="str">
        <x:f>IF(MonthlyStats!A121="","",MonthlyStats!F121)</x:f>
      </x:c>
      <x:c r="E121" t="str">
        <x:f>IF(MonthlyStats!A121="","",MonthlyStats!G121)</x:f>
      </x:c>
      <x:c r="F121" t="str">
        <x:f>IF(MonthlyStats!A121="","",MonthlyStats!H121)</x:f>
      </x:c>
      <x:c r="G121" t="str">
        <x:f>IF(MonthlyStats!A121="","",MonthlyStats!I121)</x:f>
      </x:c>
      <x:c r="H121" t="str">
        <x:f>IF(MonthlyStats!A121="","",MonthlyStats!J121+MonthlyStats!K121)</x:f>
      </x:c>
      <x:c r="I121" t="str">
        <x:f>IF(MonthlyStats!A121="","",TEXT(MonthlyStats!O121,"₹#,##0")&amp;" public summary; "&amp;MonthlyStats!D121&amp;" cases")</x:f>
      </x:c>
      <x:c r="J121" t="str">
        <x:f>IF(MonthlyStats!A121="","","#")</x:f>
      </x:c>
      <x:c r="K121" t="str">
        <x:f>IF(MonthlyStats!A121="","",MonthlyStats!S121)</x:f>
      </x:c>
      <x:c r="L121" t="str">
        <x:f>IF(MonthlyStats!A121="","","Formula-linked")</x:f>
      </x:c>
    </x:row>
    <x:row r="122">
      <x:c r="A122" t="str">
        <x:f>IF(MonthlyStats!A122="","",MonthlyStats!A122)</x:f>
      </x:c>
      <x:c r="B122" t="str">
        <x:f>IF(MonthlyStats!A122="","",MonthlyStats!B122)</x:f>
      </x:c>
      <x:c r="C122" t="str">
        <x:f>IF(MonthlyStats!A122="","",MonthlyStats!E122)</x:f>
      </x:c>
      <x:c r="D122" t="str">
        <x:f>IF(MonthlyStats!A122="","",MonthlyStats!F122)</x:f>
      </x:c>
      <x:c r="E122" t="str">
        <x:f>IF(MonthlyStats!A122="","",MonthlyStats!G122)</x:f>
      </x:c>
      <x:c r="F122" t="str">
        <x:f>IF(MonthlyStats!A122="","",MonthlyStats!H122)</x:f>
      </x:c>
      <x:c r="G122" t="str">
        <x:f>IF(MonthlyStats!A122="","",MonthlyStats!I122)</x:f>
      </x:c>
      <x:c r="H122" t="str">
        <x:f>IF(MonthlyStats!A122="","",MonthlyStats!J122+MonthlyStats!K122)</x:f>
      </x:c>
      <x:c r="I122" t="str">
        <x:f>IF(MonthlyStats!A122="","",TEXT(MonthlyStats!O122,"₹#,##0")&amp;" public summary; "&amp;MonthlyStats!D122&amp;" cases")</x:f>
      </x:c>
      <x:c r="J122" t="str">
        <x:f>IF(MonthlyStats!A122="","","#")</x:f>
      </x:c>
      <x:c r="K122" t="str">
        <x:f>IF(MonthlyStats!A122="","",MonthlyStats!S122)</x:f>
      </x:c>
      <x:c r="L122" t="str">
        <x:f>IF(MonthlyStats!A122="","","Formula-linked")</x:f>
      </x:c>
    </x:row>
    <x:row r="123">
      <x:c r="A123" t="str">
        <x:f>IF(MonthlyStats!A123="","",MonthlyStats!A123)</x:f>
      </x:c>
      <x:c r="B123" t="str">
        <x:f>IF(MonthlyStats!A123="","",MonthlyStats!B123)</x:f>
      </x:c>
      <x:c r="C123" t="str">
        <x:f>IF(MonthlyStats!A123="","",MonthlyStats!E123)</x:f>
      </x:c>
      <x:c r="D123" t="str">
        <x:f>IF(MonthlyStats!A123="","",MonthlyStats!F123)</x:f>
      </x:c>
      <x:c r="E123" t="str">
        <x:f>IF(MonthlyStats!A123="","",MonthlyStats!G123)</x:f>
      </x:c>
      <x:c r="F123" t="str">
        <x:f>IF(MonthlyStats!A123="","",MonthlyStats!H123)</x:f>
      </x:c>
      <x:c r="G123" t="str">
        <x:f>IF(MonthlyStats!A123="","",MonthlyStats!I123)</x:f>
      </x:c>
      <x:c r="H123" t="str">
        <x:f>IF(MonthlyStats!A123="","",MonthlyStats!J123+MonthlyStats!K123)</x:f>
      </x:c>
      <x:c r="I123" t="str">
        <x:f>IF(MonthlyStats!A123="","",TEXT(MonthlyStats!O123,"₹#,##0")&amp;" public summary; "&amp;MonthlyStats!D123&amp;" cases")</x:f>
      </x:c>
      <x:c r="J123" t="str">
        <x:f>IF(MonthlyStats!A123="","","#")</x:f>
      </x:c>
      <x:c r="K123" t="str">
        <x:f>IF(MonthlyStats!A123="","",MonthlyStats!S123)</x:f>
      </x:c>
      <x:c r="L123" t="str">
        <x:f>IF(MonthlyStats!A123="","","Formula-linked")</x:f>
      </x:c>
    </x:row>
    <x:row r="124">
      <x:c r="A124" t="str">
        <x:f>IF(MonthlyStats!A124="","",MonthlyStats!A124)</x:f>
      </x:c>
      <x:c r="B124" t="str">
        <x:f>IF(MonthlyStats!A124="","",MonthlyStats!B124)</x:f>
      </x:c>
      <x:c r="C124" t="str">
        <x:f>IF(MonthlyStats!A124="","",MonthlyStats!E124)</x:f>
      </x:c>
      <x:c r="D124" t="str">
        <x:f>IF(MonthlyStats!A124="","",MonthlyStats!F124)</x:f>
      </x:c>
      <x:c r="E124" t="str">
        <x:f>IF(MonthlyStats!A124="","",MonthlyStats!G124)</x:f>
      </x:c>
      <x:c r="F124" t="str">
        <x:f>IF(MonthlyStats!A124="","",MonthlyStats!H124)</x:f>
      </x:c>
      <x:c r="G124" t="str">
        <x:f>IF(MonthlyStats!A124="","",MonthlyStats!I124)</x:f>
      </x:c>
      <x:c r="H124" t="str">
        <x:f>IF(MonthlyStats!A124="","",MonthlyStats!J124+MonthlyStats!K124)</x:f>
      </x:c>
      <x:c r="I124" t="str">
        <x:f>IF(MonthlyStats!A124="","",TEXT(MonthlyStats!O124,"₹#,##0")&amp;" public summary; "&amp;MonthlyStats!D124&amp;" cases")</x:f>
      </x:c>
      <x:c r="J124" t="str">
        <x:f>IF(MonthlyStats!A124="","","#")</x:f>
      </x:c>
      <x:c r="K124" t="str">
        <x:f>IF(MonthlyStats!A124="","",MonthlyStats!S124)</x:f>
      </x:c>
      <x:c r="L124" t="str">
        <x:f>IF(MonthlyStats!A124="","","Formula-linked")</x:f>
      </x:c>
    </x:row>
    <x:row r="125">
      <x:c r="A125" t="str">
        <x:f>IF(MonthlyStats!A125="","",MonthlyStats!A125)</x:f>
      </x:c>
      <x:c r="B125" t="str">
        <x:f>IF(MonthlyStats!A125="","",MonthlyStats!B125)</x:f>
      </x:c>
      <x:c r="C125" t="str">
        <x:f>IF(MonthlyStats!A125="","",MonthlyStats!E125)</x:f>
      </x:c>
      <x:c r="D125" t="str">
        <x:f>IF(MonthlyStats!A125="","",MonthlyStats!F125)</x:f>
      </x:c>
      <x:c r="E125" t="str">
        <x:f>IF(MonthlyStats!A125="","",MonthlyStats!G125)</x:f>
      </x:c>
      <x:c r="F125" t="str">
        <x:f>IF(MonthlyStats!A125="","",MonthlyStats!H125)</x:f>
      </x:c>
      <x:c r="G125" t="str">
        <x:f>IF(MonthlyStats!A125="","",MonthlyStats!I125)</x:f>
      </x:c>
      <x:c r="H125" t="str">
        <x:f>IF(MonthlyStats!A125="","",MonthlyStats!J125+MonthlyStats!K125)</x:f>
      </x:c>
      <x:c r="I125" t="str">
        <x:f>IF(MonthlyStats!A125="","",TEXT(MonthlyStats!O125,"₹#,##0")&amp;" public summary; "&amp;MonthlyStats!D125&amp;" cases")</x:f>
      </x:c>
      <x:c r="J125" t="str">
        <x:f>IF(MonthlyStats!A125="","","#")</x:f>
      </x:c>
      <x:c r="K125" t="str">
        <x:f>IF(MonthlyStats!A125="","",MonthlyStats!S125)</x:f>
      </x:c>
      <x:c r="L125" t="str">
        <x:f>IF(MonthlyStats!A125="","","Formula-linked")</x:f>
      </x:c>
    </x:row>
    <x:row r="126">
      <x:c r="A126" t="str">
        <x:f>IF(MonthlyStats!A126="","",MonthlyStats!A126)</x:f>
      </x:c>
      <x:c r="B126" t="str">
        <x:f>IF(MonthlyStats!A126="","",MonthlyStats!B126)</x:f>
      </x:c>
      <x:c r="C126" t="str">
        <x:f>IF(MonthlyStats!A126="","",MonthlyStats!E126)</x:f>
      </x:c>
      <x:c r="D126" t="str">
        <x:f>IF(MonthlyStats!A126="","",MonthlyStats!F126)</x:f>
      </x:c>
      <x:c r="E126" t="str">
        <x:f>IF(MonthlyStats!A126="","",MonthlyStats!G126)</x:f>
      </x:c>
      <x:c r="F126" t="str">
        <x:f>IF(MonthlyStats!A126="","",MonthlyStats!H126)</x:f>
      </x:c>
      <x:c r="G126" t="str">
        <x:f>IF(MonthlyStats!A126="","",MonthlyStats!I126)</x:f>
      </x:c>
      <x:c r="H126" t="str">
        <x:f>IF(MonthlyStats!A126="","",MonthlyStats!J126+MonthlyStats!K126)</x:f>
      </x:c>
      <x:c r="I126" t="str">
        <x:f>IF(MonthlyStats!A126="","",TEXT(MonthlyStats!O126,"₹#,##0")&amp;" public summary; "&amp;MonthlyStats!D126&amp;" cases")</x:f>
      </x:c>
      <x:c r="J126" t="str">
        <x:f>IF(MonthlyStats!A126="","","#")</x:f>
      </x:c>
      <x:c r="K126" t="str">
        <x:f>IF(MonthlyStats!A126="","",MonthlyStats!S126)</x:f>
      </x:c>
      <x:c r="L126" t="str">
        <x:f>IF(MonthlyStats!A126="","","Formula-linked")</x:f>
      </x:c>
    </x:row>
    <x:row r="127">
      <x:c r="A127" t="str">
        <x:f>IF(MonthlyStats!A127="","",MonthlyStats!A127)</x:f>
      </x:c>
      <x:c r="B127" t="str">
        <x:f>IF(MonthlyStats!A127="","",MonthlyStats!B127)</x:f>
      </x:c>
      <x:c r="C127" t="str">
        <x:f>IF(MonthlyStats!A127="","",MonthlyStats!E127)</x:f>
      </x:c>
      <x:c r="D127" t="str">
        <x:f>IF(MonthlyStats!A127="","",MonthlyStats!F127)</x:f>
      </x:c>
      <x:c r="E127" t="str">
        <x:f>IF(MonthlyStats!A127="","",MonthlyStats!G127)</x:f>
      </x:c>
      <x:c r="F127" t="str">
        <x:f>IF(MonthlyStats!A127="","",MonthlyStats!H127)</x:f>
      </x:c>
      <x:c r="G127" t="str">
        <x:f>IF(MonthlyStats!A127="","",MonthlyStats!I127)</x:f>
      </x:c>
      <x:c r="H127" t="str">
        <x:f>IF(MonthlyStats!A127="","",MonthlyStats!J127+MonthlyStats!K127)</x:f>
      </x:c>
      <x:c r="I127" t="str">
        <x:f>IF(MonthlyStats!A127="","",TEXT(MonthlyStats!O127,"₹#,##0")&amp;" public summary; "&amp;MonthlyStats!D127&amp;" cases")</x:f>
      </x:c>
      <x:c r="J127" t="str">
        <x:f>IF(MonthlyStats!A127="","","#")</x:f>
      </x:c>
      <x:c r="K127" t="str">
        <x:f>IF(MonthlyStats!A127="","",MonthlyStats!S127)</x:f>
      </x:c>
      <x:c r="L127" t="str">
        <x:f>IF(MonthlyStats!A127="","","Formula-linked")</x:f>
      </x:c>
    </x:row>
    <x:row r="128">
      <x:c r="A128" t="str">
        <x:f>IF(MonthlyStats!A128="","",MonthlyStats!A128)</x:f>
      </x:c>
      <x:c r="B128" t="str">
        <x:f>IF(MonthlyStats!A128="","",MonthlyStats!B128)</x:f>
      </x:c>
      <x:c r="C128" t="str">
        <x:f>IF(MonthlyStats!A128="","",MonthlyStats!E128)</x:f>
      </x:c>
      <x:c r="D128" t="str">
        <x:f>IF(MonthlyStats!A128="","",MonthlyStats!F128)</x:f>
      </x:c>
      <x:c r="E128" t="str">
        <x:f>IF(MonthlyStats!A128="","",MonthlyStats!G128)</x:f>
      </x:c>
      <x:c r="F128" t="str">
        <x:f>IF(MonthlyStats!A128="","",MonthlyStats!H128)</x:f>
      </x:c>
      <x:c r="G128" t="str">
        <x:f>IF(MonthlyStats!A128="","",MonthlyStats!I128)</x:f>
      </x:c>
      <x:c r="H128" t="str">
        <x:f>IF(MonthlyStats!A128="","",MonthlyStats!J128+MonthlyStats!K128)</x:f>
      </x:c>
      <x:c r="I128" t="str">
        <x:f>IF(MonthlyStats!A128="","",TEXT(MonthlyStats!O128,"₹#,##0")&amp;" public summary; "&amp;MonthlyStats!D128&amp;" cases")</x:f>
      </x:c>
      <x:c r="J128" t="str">
        <x:f>IF(MonthlyStats!A128="","","#")</x:f>
      </x:c>
      <x:c r="K128" t="str">
        <x:f>IF(MonthlyStats!A128="","",MonthlyStats!S128)</x:f>
      </x:c>
      <x:c r="L128" t="str">
        <x:f>IF(MonthlyStats!A128="","","Formula-linked")</x:f>
      </x:c>
    </x:row>
    <x:row r="129">
      <x:c r="A129" t="str">
        <x:f>IF(MonthlyStats!A129="","",MonthlyStats!A129)</x:f>
      </x:c>
      <x:c r="B129" t="str">
        <x:f>IF(MonthlyStats!A129="","",MonthlyStats!B129)</x:f>
      </x:c>
      <x:c r="C129" t="str">
        <x:f>IF(MonthlyStats!A129="","",MonthlyStats!E129)</x:f>
      </x:c>
      <x:c r="D129" t="str">
        <x:f>IF(MonthlyStats!A129="","",MonthlyStats!F129)</x:f>
      </x:c>
      <x:c r="E129" t="str">
        <x:f>IF(MonthlyStats!A129="","",MonthlyStats!G129)</x:f>
      </x:c>
      <x:c r="F129" t="str">
        <x:f>IF(MonthlyStats!A129="","",MonthlyStats!H129)</x:f>
      </x:c>
      <x:c r="G129" t="str">
        <x:f>IF(MonthlyStats!A129="","",MonthlyStats!I129)</x:f>
      </x:c>
      <x:c r="H129" t="str">
        <x:f>IF(MonthlyStats!A129="","",MonthlyStats!J129+MonthlyStats!K129)</x:f>
      </x:c>
      <x:c r="I129" t="str">
        <x:f>IF(MonthlyStats!A129="","",TEXT(MonthlyStats!O129,"₹#,##0")&amp;" public summary; "&amp;MonthlyStats!D129&amp;" cases")</x:f>
      </x:c>
      <x:c r="J129" t="str">
        <x:f>IF(MonthlyStats!A129="","","#")</x:f>
      </x:c>
      <x:c r="K129" t="str">
        <x:f>IF(MonthlyStats!A129="","",MonthlyStats!S129)</x:f>
      </x:c>
      <x:c r="L129" t="str">
        <x:f>IF(MonthlyStats!A129="","","Formula-linked")</x:f>
      </x:c>
    </x:row>
    <x:row r="130">
      <x:c r="A130" t="str">
        <x:f>IF(MonthlyStats!A130="","",MonthlyStats!A130)</x:f>
      </x:c>
      <x:c r="B130" t="str">
        <x:f>IF(MonthlyStats!A130="","",MonthlyStats!B130)</x:f>
      </x:c>
      <x:c r="C130" t="str">
        <x:f>IF(MonthlyStats!A130="","",MonthlyStats!E130)</x:f>
      </x:c>
      <x:c r="D130" t="str">
        <x:f>IF(MonthlyStats!A130="","",MonthlyStats!F130)</x:f>
      </x:c>
      <x:c r="E130" t="str">
        <x:f>IF(MonthlyStats!A130="","",MonthlyStats!G130)</x:f>
      </x:c>
      <x:c r="F130" t="str">
        <x:f>IF(MonthlyStats!A130="","",MonthlyStats!H130)</x:f>
      </x:c>
      <x:c r="G130" t="str">
        <x:f>IF(MonthlyStats!A130="","",MonthlyStats!I130)</x:f>
      </x:c>
      <x:c r="H130" t="str">
        <x:f>IF(MonthlyStats!A130="","",MonthlyStats!J130+MonthlyStats!K130)</x:f>
      </x:c>
      <x:c r="I130" t="str">
        <x:f>IF(MonthlyStats!A130="","",TEXT(MonthlyStats!O130,"₹#,##0")&amp;" public summary; "&amp;MonthlyStats!D130&amp;" cases")</x:f>
      </x:c>
      <x:c r="J130" t="str">
        <x:f>IF(MonthlyStats!A130="","","#")</x:f>
      </x:c>
      <x:c r="K130" t="str">
        <x:f>IF(MonthlyStats!A130="","",MonthlyStats!S130)</x:f>
      </x:c>
      <x:c r="L130" t="str">
        <x:f>IF(MonthlyStats!A130="","","Formula-linked")</x:f>
      </x:c>
    </x:row>
    <x:row r="131">
      <x:c r="A131" t="str">
        <x:f>IF(MonthlyStats!A131="","",MonthlyStats!A131)</x:f>
      </x:c>
      <x:c r="B131" t="str">
        <x:f>IF(MonthlyStats!A131="","",MonthlyStats!B131)</x:f>
      </x:c>
      <x:c r="C131" t="str">
        <x:f>IF(MonthlyStats!A131="","",MonthlyStats!E131)</x:f>
      </x:c>
      <x:c r="D131" t="str">
        <x:f>IF(MonthlyStats!A131="","",MonthlyStats!F131)</x:f>
      </x:c>
      <x:c r="E131" t="str">
        <x:f>IF(MonthlyStats!A131="","",MonthlyStats!G131)</x:f>
      </x:c>
      <x:c r="F131" t="str">
        <x:f>IF(MonthlyStats!A131="","",MonthlyStats!H131)</x:f>
      </x:c>
      <x:c r="G131" t="str">
        <x:f>IF(MonthlyStats!A131="","",MonthlyStats!I131)</x:f>
      </x:c>
      <x:c r="H131" t="str">
        <x:f>IF(MonthlyStats!A131="","",MonthlyStats!J131+MonthlyStats!K131)</x:f>
      </x:c>
      <x:c r="I131" t="str">
        <x:f>IF(MonthlyStats!A131="","",TEXT(MonthlyStats!O131,"₹#,##0")&amp;" public summary; "&amp;MonthlyStats!D131&amp;" cases")</x:f>
      </x:c>
      <x:c r="J131" t="str">
        <x:f>IF(MonthlyStats!A131="","","#")</x:f>
      </x:c>
      <x:c r="K131" t="str">
        <x:f>IF(MonthlyStats!A131="","",MonthlyStats!S131)</x:f>
      </x:c>
      <x:c r="L131" t="str">
        <x:f>IF(MonthlyStats!A131="","","Formula-linked")</x:f>
      </x:c>
    </x:row>
    <x:row r="132">
      <x:c r="A132" t="str">
        <x:f>IF(MonthlyStats!A132="","",MonthlyStats!A132)</x:f>
      </x:c>
      <x:c r="B132" t="str">
        <x:f>IF(MonthlyStats!A132="","",MonthlyStats!B132)</x:f>
      </x:c>
      <x:c r="C132" t="str">
        <x:f>IF(MonthlyStats!A132="","",MonthlyStats!E132)</x:f>
      </x:c>
      <x:c r="D132" t="str">
        <x:f>IF(MonthlyStats!A132="","",MonthlyStats!F132)</x:f>
      </x:c>
      <x:c r="E132" t="str">
        <x:f>IF(MonthlyStats!A132="","",MonthlyStats!G132)</x:f>
      </x:c>
      <x:c r="F132" t="str">
        <x:f>IF(MonthlyStats!A132="","",MonthlyStats!H132)</x:f>
      </x:c>
      <x:c r="G132" t="str">
        <x:f>IF(MonthlyStats!A132="","",MonthlyStats!I132)</x:f>
      </x:c>
      <x:c r="H132" t="str">
        <x:f>IF(MonthlyStats!A132="","",MonthlyStats!J132+MonthlyStats!K132)</x:f>
      </x:c>
      <x:c r="I132" t="str">
        <x:f>IF(MonthlyStats!A132="","",TEXT(MonthlyStats!O132,"₹#,##0")&amp;" public summary; "&amp;MonthlyStats!D132&amp;" cases")</x:f>
      </x:c>
      <x:c r="J132" t="str">
        <x:f>IF(MonthlyStats!A132="","","#")</x:f>
      </x:c>
      <x:c r="K132" t="str">
        <x:f>IF(MonthlyStats!A132="","",MonthlyStats!S132)</x:f>
      </x:c>
      <x:c r="L132" t="str">
        <x:f>IF(MonthlyStats!A132="","","Formula-linked")</x:f>
      </x:c>
    </x:row>
    <x:row r="133">
      <x:c r="A133" t="str">
        <x:f>IF(MonthlyStats!A133="","",MonthlyStats!A133)</x:f>
      </x:c>
      <x:c r="B133" t="str">
        <x:f>IF(MonthlyStats!A133="","",MonthlyStats!B133)</x:f>
      </x:c>
      <x:c r="C133" t="str">
        <x:f>IF(MonthlyStats!A133="","",MonthlyStats!E133)</x:f>
      </x:c>
      <x:c r="D133" t="str">
        <x:f>IF(MonthlyStats!A133="","",MonthlyStats!F133)</x:f>
      </x:c>
      <x:c r="E133" t="str">
        <x:f>IF(MonthlyStats!A133="","",MonthlyStats!G133)</x:f>
      </x:c>
      <x:c r="F133" t="str">
        <x:f>IF(MonthlyStats!A133="","",MonthlyStats!H133)</x:f>
      </x:c>
      <x:c r="G133" t="str">
        <x:f>IF(MonthlyStats!A133="","",MonthlyStats!I133)</x:f>
      </x:c>
      <x:c r="H133" t="str">
        <x:f>IF(MonthlyStats!A133="","",MonthlyStats!J133+MonthlyStats!K133)</x:f>
      </x:c>
      <x:c r="I133" t="str">
        <x:f>IF(MonthlyStats!A133="","",TEXT(MonthlyStats!O133,"₹#,##0")&amp;" public summary; "&amp;MonthlyStats!D133&amp;" cases")</x:f>
      </x:c>
      <x:c r="J133" t="str">
        <x:f>IF(MonthlyStats!A133="","","#")</x:f>
      </x:c>
      <x:c r="K133" t="str">
        <x:f>IF(MonthlyStats!A133="","",MonthlyStats!S133)</x:f>
      </x:c>
      <x:c r="L133" t="str">
        <x:f>IF(MonthlyStats!A133="","","Formula-linked")</x:f>
      </x:c>
    </x:row>
    <x:row r="134">
      <x:c r="A134" t="str">
        <x:f>IF(MonthlyStats!A134="","",MonthlyStats!A134)</x:f>
      </x:c>
      <x:c r="B134" t="str">
        <x:f>IF(MonthlyStats!A134="","",MonthlyStats!B134)</x:f>
      </x:c>
      <x:c r="C134" t="str">
        <x:f>IF(MonthlyStats!A134="","",MonthlyStats!E134)</x:f>
      </x:c>
      <x:c r="D134" t="str">
        <x:f>IF(MonthlyStats!A134="","",MonthlyStats!F134)</x:f>
      </x:c>
      <x:c r="E134" t="str">
        <x:f>IF(MonthlyStats!A134="","",MonthlyStats!G134)</x:f>
      </x:c>
      <x:c r="F134" t="str">
        <x:f>IF(MonthlyStats!A134="","",MonthlyStats!H134)</x:f>
      </x:c>
      <x:c r="G134" t="str">
        <x:f>IF(MonthlyStats!A134="","",MonthlyStats!I134)</x:f>
      </x:c>
      <x:c r="H134" t="str">
        <x:f>IF(MonthlyStats!A134="","",MonthlyStats!J134+MonthlyStats!K134)</x:f>
      </x:c>
      <x:c r="I134" t="str">
        <x:f>IF(MonthlyStats!A134="","",TEXT(MonthlyStats!O134,"₹#,##0")&amp;" public summary; "&amp;MonthlyStats!D134&amp;" cases")</x:f>
      </x:c>
      <x:c r="J134" t="str">
        <x:f>IF(MonthlyStats!A134="","","#")</x:f>
      </x:c>
      <x:c r="K134" t="str">
        <x:f>IF(MonthlyStats!A134="","",MonthlyStats!S134)</x:f>
      </x:c>
      <x:c r="L134" t="str">
        <x:f>IF(MonthlyStats!A134="","","Formula-linked")</x:f>
      </x:c>
    </x:row>
    <x:row r="135">
      <x:c r="A135" t="str">
        <x:f>IF(MonthlyStats!A135="","",MonthlyStats!A135)</x:f>
      </x:c>
      <x:c r="B135" t="str">
        <x:f>IF(MonthlyStats!A135="","",MonthlyStats!B135)</x:f>
      </x:c>
      <x:c r="C135" t="str">
        <x:f>IF(MonthlyStats!A135="","",MonthlyStats!E135)</x:f>
      </x:c>
      <x:c r="D135" t="str">
        <x:f>IF(MonthlyStats!A135="","",MonthlyStats!F135)</x:f>
      </x:c>
      <x:c r="E135" t="str">
        <x:f>IF(MonthlyStats!A135="","",MonthlyStats!G135)</x:f>
      </x:c>
      <x:c r="F135" t="str">
        <x:f>IF(MonthlyStats!A135="","",MonthlyStats!H135)</x:f>
      </x:c>
      <x:c r="G135" t="str">
        <x:f>IF(MonthlyStats!A135="","",MonthlyStats!I135)</x:f>
      </x:c>
      <x:c r="H135" t="str">
        <x:f>IF(MonthlyStats!A135="","",MonthlyStats!J135+MonthlyStats!K135)</x:f>
      </x:c>
      <x:c r="I135" t="str">
        <x:f>IF(MonthlyStats!A135="","",TEXT(MonthlyStats!O135,"₹#,##0")&amp;" public summary; "&amp;MonthlyStats!D135&amp;" cases")</x:f>
      </x:c>
      <x:c r="J135" t="str">
        <x:f>IF(MonthlyStats!A135="","","#")</x:f>
      </x:c>
      <x:c r="K135" t="str">
        <x:f>IF(MonthlyStats!A135="","",MonthlyStats!S135)</x:f>
      </x:c>
      <x:c r="L135" t="str">
        <x:f>IF(MonthlyStats!A135="","","Formula-linked")</x:f>
      </x:c>
    </x:row>
    <x:row r="136">
      <x:c r="A136" t="str">
        <x:f>IF(MonthlyStats!A136="","",MonthlyStats!A136)</x:f>
      </x:c>
      <x:c r="B136" t="str">
        <x:f>IF(MonthlyStats!A136="","",MonthlyStats!B136)</x:f>
      </x:c>
      <x:c r="C136" t="str">
        <x:f>IF(MonthlyStats!A136="","",MonthlyStats!E136)</x:f>
      </x:c>
      <x:c r="D136" t="str">
        <x:f>IF(MonthlyStats!A136="","",MonthlyStats!F136)</x:f>
      </x:c>
      <x:c r="E136" t="str">
        <x:f>IF(MonthlyStats!A136="","",MonthlyStats!G136)</x:f>
      </x:c>
      <x:c r="F136" t="str">
        <x:f>IF(MonthlyStats!A136="","",MonthlyStats!H136)</x:f>
      </x:c>
      <x:c r="G136" t="str">
        <x:f>IF(MonthlyStats!A136="","",MonthlyStats!I136)</x:f>
      </x:c>
      <x:c r="H136" t="str">
        <x:f>IF(MonthlyStats!A136="","",MonthlyStats!J136+MonthlyStats!K136)</x:f>
      </x:c>
      <x:c r="I136" t="str">
        <x:f>IF(MonthlyStats!A136="","",TEXT(MonthlyStats!O136,"₹#,##0")&amp;" public summary; "&amp;MonthlyStats!D136&amp;" cases")</x:f>
      </x:c>
      <x:c r="J136" t="str">
        <x:f>IF(MonthlyStats!A136="","","#")</x:f>
      </x:c>
      <x:c r="K136" t="str">
        <x:f>IF(MonthlyStats!A136="","",MonthlyStats!S136)</x:f>
      </x:c>
      <x:c r="L136" t="str">
        <x:f>IF(MonthlyStats!A136="","","Formula-linked")</x:f>
      </x:c>
    </x:row>
    <x:row r="137">
      <x:c r="A137" t="str">
        <x:f>IF(MonthlyStats!A137="","",MonthlyStats!A137)</x:f>
      </x:c>
      <x:c r="B137" t="str">
        <x:f>IF(MonthlyStats!A137="","",MonthlyStats!B137)</x:f>
      </x:c>
      <x:c r="C137" t="str">
        <x:f>IF(MonthlyStats!A137="","",MonthlyStats!E137)</x:f>
      </x:c>
      <x:c r="D137" t="str">
        <x:f>IF(MonthlyStats!A137="","",MonthlyStats!F137)</x:f>
      </x:c>
      <x:c r="E137" t="str">
        <x:f>IF(MonthlyStats!A137="","",MonthlyStats!G137)</x:f>
      </x:c>
      <x:c r="F137" t="str">
        <x:f>IF(MonthlyStats!A137="","",MonthlyStats!H137)</x:f>
      </x:c>
      <x:c r="G137" t="str">
        <x:f>IF(MonthlyStats!A137="","",MonthlyStats!I137)</x:f>
      </x:c>
      <x:c r="H137" t="str">
        <x:f>IF(MonthlyStats!A137="","",MonthlyStats!J137+MonthlyStats!K137)</x:f>
      </x:c>
      <x:c r="I137" t="str">
        <x:f>IF(MonthlyStats!A137="","",TEXT(MonthlyStats!O137,"₹#,##0")&amp;" public summary; "&amp;MonthlyStats!D137&amp;" cases")</x:f>
      </x:c>
      <x:c r="J137" t="str">
        <x:f>IF(MonthlyStats!A137="","","#")</x:f>
      </x:c>
      <x:c r="K137" t="str">
        <x:f>IF(MonthlyStats!A137="","",MonthlyStats!S137)</x:f>
      </x:c>
      <x:c r="L137" t="str">
        <x:f>IF(MonthlyStats!A137="","","Formula-linked")</x:f>
      </x:c>
    </x:row>
    <x:row r="138">
      <x:c r="A138" t="str">
        <x:f>IF(MonthlyStats!A138="","",MonthlyStats!A138)</x:f>
      </x:c>
      <x:c r="B138" t="str">
        <x:f>IF(MonthlyStats!A138="","",MonthlyStats!B138)</x:f>
      </x:c>
      <x:c r="C138" t="str">
        <x:f>IF(MonthlyStats!A138="","",MonthlyStats!E138)</x:f>
      </x:c>
      <x:c r="D138" t="str">
        <x:f>IF(MonthlyStats!A138="","",MonthlyStats!F138)</x:f>
      </x:c>
      <x:c r="E138" t="str">
        <x:f>IF(MonthlyStats!A138="","",MonthlyStats!G138)</x:f>
      </x:c>
      <x:c r="F138" t="str">
        <x:f>IF(MonthlyStats!A138="","",MonthlyStats!H138)</x:f>
      </x:c>
      <x:c r="G138" t="str">
        <x:f>IF(MonthlyStats!A138="","",MonthlyStats!I138)</x:f>
      </x:c>
      <x:c r="H138" t="str">
        <x:f>IF(MonthlyStats!A138="","",MonthlyStats!J138+MonthlyStats!K138)</x:f>
      </x:c>
      <x:c r="I138" t="str">
        <x:f>IF(MonthlyStats!A138="","",TEXT(MonthlyStats!O138,"₹#,##0")&amp;" public summary; "&amp;MonthlyStats!D138&amp;" cases")</x:f>
      </x:c>
      <x:c r="J138" t="str">
        <x:f>IF(MonthlyStats!A138="","","#")</x:f>
      </x:c>
      <x:c r="K138" t="str">
        <x:f>IF(MonthlyStats!A138="","",MonthlyStats!S138)</x:f>
      </x:c>
      <x:c r="L138" t="str">
        <x:f>IF(MonthlyStats!A138="","","Formula-linked")</x:f>
      </x:c>
    </x:row>
    <x:row r="139">
      <x:c r="A139" t="str">
        <x:f>IF(MonthlyStats!A139="","",MonthlyStats!A139)</x:f>
      </x:c>
      <x:c r="B139" t="str">
        <x:f>IF(MonthlyStats!A139="","",MonthlyStats!B139)</x:f>
      </x:c>
      <x:c r="C139" t="str">
        <x:f>IF(MonthlyStats!A139="","",MonthlyStats!E139)</x:f>
      </x:c>
      <x:c r="D139" t="str">
        <x:f>IF(MonthlyStats!A139="","",MonthlyStats!F139)</x:f>
      </x:c>
      <x:c r="E139" t="str">
        <x:f>IF(MonthlyStats!A139="","",MonthlyStats!G139)</x:f>
      </x:c>
      <x:c r="F139" t="str">
        <x:f>IF(MonthlyStats!A139="","",MonthlyStats!H139)</x:f>
      </x:c>
      <x:c r="G139" t="str">
        <x:f>IF(MonthlyStats!A139="","",MonthlyStats!I139)</x:f>
      </x:c>
      <x:c r="H139" t="str">
        <x:f>IF(MonthlyStats!A139="","",MonthlyStats!J139+MonthlyStats!K139)</x:f>
      </x:c>
      <x:c r="I139" t="str">
        <x:f>IF(MonthlyStats!A139="","",TEXT(MonthlyStats!O139,"₹#,##0")&amp;" public summary; "&amp;MonthlyStats!D139&amp;" cases")</x:f>
      </x:c>
      <x:c r="J139" t="str">
        <x:f>IF(MonthlyStats!A139="","","#")</x:f>
      </x:c>
      <x:c r="K139" t="str">
        <x:f>IF(MonthlyStats!A139="","",MonthlyStats!S139)</x:f>
      </x:c>
      <x:c r="L139" t="str">
        <x:f>IF(MonthlyStats!A139="","","Formula-linked")</x:f>
      </x:c>
    </x:row>
    <x:row r="140">
      <x:c r="A140" t="str">
        <x:f>IF(MonthlyStats!A140="","",MonthlyStats!A140)</x:f>
      </x:c>
      <x:c r="B140" t="str">
        <x:f>IF(MonthlyStats!A140="","",MonthlyStats!B140)</x:f>
      </x:c>
      <x:c r="C140" t="str">
        <x:f>IF(MonthlyStats!A140="","",MonthlyStats!E140)</x:f>
      </x:c>
      <x:c r="D140" t="str">
        <x:f>IF(MonthlyStats!A140="","",MonthlyStats!F140)</x:f>
      </x:c>
      <x:c r="E140" t="str">
        <x:f>IF(MonthlyStats!A140="","",MonthlyStats!G140)</x:f>
      </x:c>
      <x:c r="F140" t="str">
        <x:f>IF(MonthlyStats!A140="","",MonthlyStats!H140)</x:f>
      </x:c>
      <x:c r="G140" t="str">
        <x:f>IF(MonthlyStats!A140="","",MonthlyStats!I140)</x:f>
      </x:c>
      <x:c r="H140" t="str">
        <x:f>IF(MonthlyStats!A140="","",MonthlyStats!J140+MonthlyStats!K140)</x:f>
      </x:c>
      <x:c r="I140" t="str">
        <x:f>IF(MonthlyStats!A140="","",TEXT(MonthlyStats!O140,"₹#,##0")&amp;" public summary; "&amp;MonthlyStats!D140&amp;" cases")</x:f>
      </x:c>
      <x:c r="J140" t="str">
        <x:f>IF(MonthlyStats!A140="","","#")</x:f>
      </x:c>
      <x:c r="K140" t="str">
        <x:f>IF(MonthlyStats!A140="","",MonthlyStats!S140)</x:f>
      </x:c>
      <x:c r="L140" t="str">
        <x:f>IF(MonthlyStats!A140="","","Formula-linked")</x:f>
      </x:c>
    </x:row>
    <x:row r="141">
      <x:c r="A141" t="str">
        <x:f>IF(MonthlyStats!A141="","",MonthlyStats!A141)</x:f>
      </x:c>
      <x:c r="B141" t="str">
        <x:f>IF(MonthlyStats!A141="","",MonthlyStats!B141)</x:f>
      </x:c>
      <x:c r="C141" t="str">
        <x:f>IF(MonthlyStats!A141="","",MonthlyStats!E141)</x:f>
      </x:c>
      <x:c r="D141" t="str">
        <x:f>IF(MonthlyStats!A141="","",MonthlyStats!F141)</x:f>
      </x:c>
      <x:c r="E141" t="str">
        <x:f>IF(MonthlyStats!A141="","",MonthlyStats!G141)</x:f>
      </x:c>
      <x:c r="F141" t="str">
        <x:f>IF(MonthlyStats!A141="","",MonthlyStats!H141)</x:f>
      </x:c>
      <x:c r="G141" t="str">
        <x:f>IF(MonthlyStats!A141="","",MonthlyStats!I141)</x:f>
      </x:c>
      <x:c r="H141" t="str">
        <x:f>IF(MonthlyStats!A141="","",MonthlyStats!J141+MonthlyStats!K141)</x:f>
      </x:c>
      <x:c r="I141" t="str">
        <x:f>IF(MonthlyStats!A141="","",TEXT(MonthlyStats!O141,"₹#,##0")&amp;" public summary; "&amp;MonthlyStats!D141&amp;" cases")</x:f>
      </x:c>
      <x:c r="J141" t="str">
        <x:f>IF(MonthlyStats!A141="","","#")</x:f>
      </x:c>
      <x:c r="K141" t="str">
        <x:f>IF(MonthlyStats!A141="","",MonthlyStats!S141)</x:f>
      </x:c>
      <x:c r="L141" t="str">
        <x:f>IF(MonthlyStats!A141="","","Formula-linked")</x:f>
      </x:c>
    </x:row>
    <x:row r="142">
      <x:c r="A142" t="str">
        <x:f>IF(MonthlyStats!A142="","",MonthlyStats!A142)</x:f>
      </x:c>
      <x:c r="B142" t="str">
        <x:f>IF(MonthlyStats!A142="","",MonthlyStats!B142)</x:f>
      </x:c>
      <x:c r="C142" t="str">
        <x:f>IF(MonthlyStats!A142="","",MonthlyStats!E142)</x:f>
      </x:c>
      <x:c r="D142" t="str">
        <x:f>IF(MonthlyStats!A142="","",MonthlyStats!F142)</x:f>
      </x:c>
      <x:c r="E142" t="str">
        <x:f>IF(MonthlyStats!A142="","",MonthlyStats!G142)</x:f>
      </x:c>
      <x:c r="F142" t="str">
        <x:f>IF(MonthlyStats!A142="","",MonthlyStats!H142)</x:f>
      </x:c>
      <x:c r="G142" t="str">
        <x:f>IF(MonthlyStats!A142="","",MonthlyStats!I142)</x:f>
      </x:c>
      <x:c r="H142" t="str">
        <x:f>IF(MonthlyStats!A142="","",MonthlyStats!J142+MonthlyStats!K142)</x:f>
      </x:c>
      <x:c r="I142" t="str">
        <x:f>IF(MonthlyStats!A142="","",TEXT(MonthlyStats!O142,"₹#,##0")&amp;" public summary; "&amp;MonthlyStats!D142&amp;" cases")</x:f>
      </x:c>
      <x:c r="J142" t="str">
        <x:f>IF(MonthlyStats!A142="","","#")</x:f>
      </x:c>
      <x:c r="K142" t="str">
        <x:f>IF(MonthlyStats!A142="","",MonthlyStats!S142)</x:f>
      </x:c>
      <x:c r="L142" t="str">
        <x:f>IF(MonthlyStats!A142="","","Formula-linked")</x:f>
      </x:c>
    </x:row>
    <x:row r="143">
      <x:c r="A143" t="str">
        <x:f>IF(MonthlyStats!A143="","",MonthlyStats!A143)</x:f>
      </x:c>
      <x:c r="B143" t="str">
        <x:f>IF(MonthlyStats!A143="","",MonthlyStats!B143)</x:f>
      </x:c>
      <x:c r="C143" t="str">
        <x:f>IF(MonthlyStats!A143="","",MonthlyStats!E143)</x:f>
      </x:c>
      <x:c r="D143" t="str">
        <x:f>IF(MonthlyStats!A143="","",MonthlyStats!F143)</x:f>
      </x:c>
      <x:c r="E143" t="str">
        <x:f>IF(MonthlyStats!A143="","",MonthlyStats!G143)</x:f>
      </x:c>
      <x:c r="F143" t="str">
        <x:f>IF(MonthlyStats!A143="","",MonthlyStats!H143)</x:f>
      </x:c>
      <x:c r="G143" t="str">
        <x:f>IF(MonthlyStats!A143="","",MonthlyStats!I143)</x:f>
      </x:c>
      <x:c r="H143" t="str">
        <x:f>IF(MonthlyStats!A143="","",MonthlyStats!J143+MonthlyStats!K143)</x:f>
      </x:c>
      <x:c r="I143" t="str">
        <x:f>IF(MonthlyStats!A143="","",TEXT(MonthlyStats!O143,"₹#,##0")&amp;" public summary; "&amp;MonthlyStats!D143&amp;" cases")</x:f>
      </x:c>
      <x:c r="J143" t="str">
        <x:f>IF(MonthlyStats!A143="","","#")</x:f>
      </x:c>
      <x:c r="K143" t="str">
        <x:f>IF(MonthlyStats!A143="","",MonthlyStats!S143)</x:f>
      </x:c>
      <x:c r="L143" t="str">
        <x:f>IF(MonthlyStats!A143="","","Formula-linked")</x:f>
      </x:c>
    </x:row>
    <x:row r="144">
      <x:c r="A144" t="str">
        <x:f>IF(MonthlyStats!A144="","",MonthlyStats!A144)</x:f>
      </x:c>
      <x:c r="B144" t="str">
        <x:f>IF(MonthlyStats!A144="","",MonthlyStats!B144)</x:f>
      </x:c>
      <x:c r="C144" t="str">
        <x:f>IF(MonthlyStats!A144="","",MonthlyStats!E144)</x:f>
      </x:c>
      <x:c r="D144" t="str">
        <x:f>IF(MonthlyStats!A144="","",MonthlyStats!F144)</x:f>
      </x:c>
      <x:c r="E144" t="str">
        <x:f>IF(MonthlyStats!A144="","",MonthlyStats!G144)</x:f>
      </x:c>
      <x:c r="F144" t="str">
        <x:f>IF(MonthlyStats!A144="","",MonthlyStats!H144)</x:f>
      </x:c>
      <x:c r="G144" t="str">
        <x:f>IF(MonthlyStats!A144="","",MonthlyStats!I144)</x:f>
      </x:c>
      <x:c r="H144" t="str">
        <x:f>IF(MonthlyStats!A144="","",MonthlyStats!J144+MonthlyStats!K144)</x:f>
      </x:c>
      <x:c r="I144" t="str">
        <x:f>IF(MonthlyStats!A144="","",TEXT(MonthlyStats!O144,"₹#,##0")&amp;" public summary; "&amp;MonthlyStats!D144&amp;" cases")</x:f>
      </x:c>
      <x:c r="J144" t="str">
        <x:f>IF(MonthlyStats!A144="","","#")</x:f>
      </x:c>
      <x:c r="K144" t="str">
        <x:f>IF(MonthlyStats!A144="","",MonthlyStats!S144)</x:f>
      </x:c>
      <x:c r="L144" t="str">
        <x:f>IF(MonthlyStats!A144="","","Formula-linked")</x:f>
      </x:c>
    </x:row>
    <x:row r="145">
      <x:c r="A145" t="str">
        <x:f>IF(MonthlyStats!A145="","",MonthlyStats!A145)</x:f>
      </x:c>
      <x:c r="B145" t="str">
        <x:f>IF(MonthlyStats!A145="","",MonthlyStats!B145)</x:f>
      </x:c>
      <x:c r="C145" t="str">
        <x:f>IF(MonthlyStats!A145="","",MonthlyStats!E145)</x:f>
      </x:c>
      <x:c r="D145" t="str">
        <x:f>IF(MonthlyStats!A145="","",MonthlyStats!F145)</x:f>
      </x:c>
      <x:c r="E145" t="str">
        <x:f>IF(MonthlyStats!A145="","",MonthlyStats!G145)</x:f>
      </x:c>
      <x:c r="F145" t="str">
        <x:f>IF(MonthlyStats!A145="","",MonthlyStats!H145)</x:f>
      </x:c>
      <x:c r="G145" t="str">
        <x:f>IF(MonthlyStats!A145="","",MonthlyStats!I145)</x:f>
      </x:c>
      <x:c r="H145" t="str">
        <x:f>IF(MonthlyStats!A145="","",MonthlyStats!J145+MonthlyStats!K145)</x:f>
      </x:c>
      <x:c r="I145" t="str">
        <x:f>IF(MonthlyStats!A145="","",TEXT(MonthlyStats!O145,"₹#,##0")&amp;" public summary; "&amp;MonthlyStats!D145&amp;" cases")</x:f>
      </x:c>
      <x:c r="J145" t="str">
        <x:f>IF(MonthlyStats!A145="","","#")</x:f>
      </x:c>
      <x:c r="K145" t="str">
        <x:f>IF(MonthlyStats!A145="","",MonthlyStats!S145)</x:f>
      </x:c>
      <x:c r="L145" t="str">
        <x:f>IF(MonthlyStats!A145="","","Formula-linked")</x:f>
      </x:c>
    </x:row>
    <x:row r="146">
      <x:c r="A146" t="str">
        <x:f>IF(MonthlyStats!A146="","",MonthlyStats!A146)</x:f>
      </x:c>
      <x:c r="B146" t="str">
        <x:f>IF(MonthlyStats!A146="","",MonthlyStats!B146)</x:f>
      </x:c>
      <x:c r="C146" t="str">
        <x:f>IF(MonthlyStats!A146="","",MonthlyStats!E146)</x:f>
      </x:c>
      <x:c r="D146" t="str">
        <x:f>IF(MonthlyStats!A146="","",MonthlyStats!F146)</x:f>
      </x:c>
      <x:c r="E146" t="str">
        <x:f>IF(MonthlyStats!A146="","",MonthlyStats!G146)</x:f>
      </x:c>
      <x:c r="F146" t="str">
        <x:f>IF(MonthlyStats!A146="","",MonthlyStats!H146)</x:f>
      </x:c>
      <x:c r="G146" t="str">
        <x:f>IF(MonthlyStats!A146="","",MonthlyStats!I146)</x:f>
      </x:c>
      <x:c r="H146" t="str">
        <x:f>IF(MonthlyStats!A146="","",MonthlyStats!J146+MonthlyStats!K146)</x:f>
      </x:c>
      <x:c r="I146" t="str">
        <x:f>IF(MonthlyStats!A146="","",TEXT(MonthlyStats!O146,"₹#,##0")&amp;" public summary; "&amp;MonthlyStats!D146&amp;" cases")</x:f>
      </x:c>
      <x:c r="J146" t="str">
        <x:f>IF(MonthlyStats!A146="","","#")</x:f>
      </x:c>
      <x:c r="K146" t="str">
        <x:f>IF(MonthlyStats!A146="","",MonthlyStats!S146)</x:f>
      </x:c>
      <x:c r="L146" t="str">
        <x:f>IF(MonthlyStats!A146="","","Formula-linked")</x:f>
      </x:c>
    </x:row>
    <x:row r="147">
      <x:c r="A147" t="str">
        <x:f>IF(MonthlyStats!A147="","",MonthlyStats!A147)</x:f>
      </x:c>
      <x:c r="B147" t="str">
        <x:f>IF(MonthlyStats!A147="","",MonthlyStats!B147)</x:f>
      </x:c>
      <x:c r="C147" t="str">
        <x:f>IF(MonthlyStats!A147="","",MonthlyStats!E147)</x:f>
      </x:c>
      <x:c r="D147" t="str">
        <x:f>IF(MonthlyStats!A147="","",MonthlyStats!F147)</x:f>
      </x:c>
      <x:c r="E147" t="str">
        <x:f>IF(MonthlyStats!A147="","",MonthlyStats!G147)</x:f>
      </x:c>
      <x:c r="F147" t="str">
        <x:f>IF(MonthlyStats!A147="","",MonthlyStats!H147)</x:f>
      </x:c>
      <x:c r="G147" t="str">
        <x:f>IF(MonthlyStats!A147="","",MonthlyStats!I147)</x:f>
      </x:c>
      <x:c r="H147" t="str">
        <x:f>IF(MonthlyStats!A147="","",MonthlyStats!J147+MonthlyStats!K147)</x:f>
      </x:c>
      <x:c r="I147" t="str">
        <x:f>IF(MonthlyStats!A147="","",TEXT(MonthlyStats!O147,"₹#,##0")&amp;" public summary; "&amp;MonthlyStats!D147&amp;" cases")</x:f>
      </x:c>
      <x:c r="J147" t="str">
        <x:f>IF(MonthlyStats!A147="","","#")</x:f>
      </x:c>
      <x:c r="K147" t="str">
        <x:f>IF(MonthlyStats!A147="","",MonthlyStats!S147)</x:f>
      </x:c>
      <x:c r="L147" t="str">
        <x:f>IF(MonthlyStats!A147="","","Formula-linked")</x:f>
      </x:c>
    </x:row>
    <x:row r="148">
      <x:c r="A148" t="str">
        <x:f>IF(MonthlyStats!A148="","",MonthlyStats!A148)</x:f>
      </x:c>
      <x:c r="B148" t="str">
        <x:f>IF(MonthlyStats!A148="","",MonthlyStats!B148)</x:f>
      </x:c>
      <x:c r="C148" t="str">
        <x:f>IF(MonthlyStats!A148="","",MonthlyStats!E148)</x:f>
      </x:c>
      <x:c r="D148" t="str">
        <x:f>IF(MonthlyStats!A148="","",MonthlyStats!F148)</x:f>
      </x:c>
      <x:c r="E148" t="str">
        <x:f>IF(MonthlyStats!A148="","",MonthlyStats!G148)</x:f>
      </x:c>
      <x:c r="F148" t="str">
        <x:f>IF(MonthlyStats!A148="","",MonthlyStats!H148)</x:f>
      </x:c>
      <x:c r="G148" t="str">
        <x:f>IF(MonthlyStats!A148="","",MonthlyStats!I148)</x:f>
      </x:c>
      <x:c r="H148" t="str">
        <x:f>IF(MonthlyStats!A148="","",MonthlyStats!J148+MonthlyStats!K148)</x:f>
      </x:c>
      <x:c r="I148" t="str">
        <x:f>IF(MonthlyStats!A148="","",TEXT(MonthlyStats!O148,"₹#,##0")&amp;" public summary; "&amp;MonthlyStats!D148&amp;" cases")</x:f>
      </x:c>
      <x:c r="J148" t="str">
        <x:f>IF(MonthlyStats!A148="","","#")</x:f>
      </x:c>
      <x:c r="K148" t="str">
        <x:f>IF(MonthlyStats!A148="","",MonthlyStats!S148)</x:f>
      </x:c>
      <x:c r="L148" t="str">
        <x:f>IF(MonthlyStats!A148="","","Formula-linked")</x:f>
      </x:c>
    </x:row>
    <x:row r="149">
      <x:c r="A149" t="str">
        <x:f>IF(MonthlyStats!A149="","",MonthlyStats!A149)</x:f>
      </x:c>
      <x:c r="B149" t="str">
        <x:f>IF(MonthlyStats!A149="","",MonthlyStats!B149)</x:f>
      </x:c>
      <x:c r="C149" t="str">
        <x:f>IF(MonthlyStats!A149="","",MonthlyStats!E149)</x:f>
      </x:c>
      <x:c r="D149" t="str">
        <x:f>IF(MonthlyStats!A149="","",MonthlyStats!F149)</x:f>
      </x:c>
      <x:c r="E149" t="str">
        <x:f>IF(MonthlyStats!A149="","",MonthlyStats!G149)</x:f>
      </x:c>
      <x:c r="F149" t="str">
        <x:f>IF(MonthlyStats!A149="","",MonthlyStats!H149)</x:f>
      </x:c>
      <x:c r="G149" t="str">
        <x:f>IF(MonthlyStats!A149="","",MonthlyStats!I149)</x:f>
      </x:c>
      <x:c r="H149" t="str">
        <x:f>IF(MonthlyStats!A149="","",MonthlyStats!J149+MonthlyStats!K149)</x:f>
      </x:c>
      <x:c r="I149" t="str">
        <x:f>IF(MonthlyStats!A149="","",TEXT(MonthlyStats!O149,"₹#,##0")&amp;" public summary; "&amp;MonthlyStats!D149&amp;" cases")</x:f>
      </x:c>
      <x:c r="J149" t="str">
        <x:f>IF(MonthlyStats!A149="","","#")</x:f>
      </x:c>
      <x:c r="K149" t="str">
        <x:f>IF(MonthlyStats!A149="","",MonthlyStats!S149)</x:f>
      </x:c>
      <x:c r="L149" t="str">
        <x:f>IF(MonthlyStats!A149="","","Formula-linked")</x:f>
      </x:c>
    </x:row>
    <x:row r="150">
      <x:c r="A150" t="str">
        <x:f>IF(MonthlyStats!A150="","",MonthlyStats!A150)</x:f>
      </x:c>
      <x:c r="B150" t="str">
        <x:f>IF(MonthlyStats!A150="","",MonthlyStats!B150)</x:f>
      </x:c>
      <x:c r="C150" t="str">
        <x:f>IF(MonthlyStats!A150="","",MonthlyStats!E150)</x:f>
      </x:c>
      <x:c r="D150" t="str">
        <x:f>IF(MonthlyStats!A150="","",MonthlyStats!F150)</x:f>
      </x:c>
      <x:c r="E150" t="str">
        <x:f>IF(MonthlyStats!A150="","",MonthlyStats!G150)</x:f>
      </x:c>
      <x:c r="F150" t="str">
        <x:f>IF(MonthlyStats!A150="","",MonthlyStats!H150)</x:f>
      </x:c>
      <x:c r="G150" t="str">
        <x:f>IF(MonthlyStats!A150="","",MonthlyStats!I150)</x:f>
      </x:c>
      <x:c r="H150" t="str">
        <x:f>IF(MonthlyStats!A150="","",MonthlyStats!J150+MonthlyStats!K150)</x:f>
      </x:c>
      <x:c r="I150" t="str">
        <x:f>IF(MonthlyStats!A150="","",TEXT(MonthlyStats!O150,"₹#,##0")&amp;" public summary; "&amp;MonthlyStats!D150&amp;" cases")</x:f>
      </x:c>
      <x:c r="J150" t="str">
        <x:f>IF(MonthlyStats!A150="","","#")</x:f>
      </x:c>
      <x:c r="K150" t="str">
        <x:f>IF(MonthlyStats!A150="","",MonthlyStats!S150)</x:f>
      </x:c>
      <x:c r="L150" t="str">
        <x:f>IF(MonthlyStats!A150="","","Formula-linked")</x:f>
      </x:c>
    </x:row>
    <x:row r="151">
      <x:c r="A151" t="str">
        <x:f>IF(MonthlyStats!A151="","",MonthlyStats!A151)</x:f>
      </x:c>
      <x:c r="B151" t="str">
        <x:f>IF(MonthlyStats!A151="","",MonthlyStats!B151)</x:f>
      </x:c>
      <x:c r="C151" t="str">
        <x:f>IF(MonthlyStats!A151="","",MonthlyStats!E151)</x:f>
      </x:c>
      <x:c r="D151" t="str">
        <x:f>IF(MonthlyStats!A151="","",MonthlyStats!F151)</x:f>
      </x:c>
      <x:c r="E151" t="str">
        <x:f>IF(MonthlyStats!A151="","",MonthlyStats!G151)</x:f>
      </x:c>
      <x:c r="F151" t="str">
        <x:f>IF(MonthlyStats!A151="","",MonthlyStats!H151)</x:f>
      </x:c>
      <x:c r="G151" t="str">
        <x:f>IF(MonthlyStats!A151="","",MonthlyStats!I151)</x:f>
      </x:c>
      <x:c r="H151" t="str">
        <x:f>IF(MonthlyStats!A151="","",MonthlyStats!J151+MonthlyStats!K151)</x:f>
      </x:c>
      <x:c r="I151" t="str">
        <x:f>IF(MonthlyStats!A151="","",TEXT(MonthlyStats!O151,"₹#,##0")&amp;" public summary; "&amp;MonthlyStats!D151&amp;" cases")</x:f>
      </x:c>
      <x:c r="J151" t="str">
        <x:f>IF(MonthlyStats!A151="","","#")</x:f>
      </x:c>
      <x:c r="K151" t="str">
        <x:f>IF(MonthlyStats!A151="","",MonthlyStats!S151)</x:f>
      </x:c>
      <x:c r="L151" t="str">
        <x:f>IF(MonthlyStats!A151="","","Formula-linked")</x:f>
      </x:c>
    </x:row>
    <x:row r="152">
      <x:c r="A152" t="str">
        <x:f>IF(MonthlyStats!A152="","",MonthlyStats!A152)</x:f>
      </x:c>
      <x:c r="B152" t="str">
        <x:f>IF(MonthlyStats!A152="","",MonthlyStats!B152)</x:f>
      </x:c>
      <x:c r="C152" t="str">
        <x:f>IF(MonthlyStats!A152="","",MonthlyStats!E152)</x:f>
      </x:c>
      <x:c r="D152" t="str">
        <x:f>IF(MonthlyStats!A152="","",MonthlyStats!F152)</x:f>
      </x:c>
      <x:c r="E152" t="str">
        <x:f>IF(MonthlyStats!A152="","",MonthlyStats!G152)</x:f>
      </x:c>
      <x:c r="F152" t="str">
        <x:f>IF(MonthlyStats!A152="","",MonthlyStats!H152)</x:f>
      </x:c>
      <x:c r="G152" t="str">
        <x:f>IF(MonthlyStats!A152="","",MonthlyStats!I152)</x:f>
      </x:c>
      <x:c r="H152" t="str">
        <x:f>IF(MonthlyStats!A152="","",MonthlyStats!J152+MonthlyStats!K152)</x:f>
      </x:c>
      <x:c r="I152" t="str">
        <x:f>IF(MonthlyStats!A152="","",TEXT(MonthlyStats!O152,"₹#,##0")&amp;" public summary; "&amp;MonthlyStats!D152&amp;" cases")</x:f>
      </x:c>
      <x:c r="J152" t="str">
        <x:f>IF(MonthlyStats!A152="","","#")</x:f>
      </x:c>
      <x:c r="K152" t="str">
        <x:f>IF(MonthlyStats!A152="","",MonthlyStats!S152)</x:f>
      </x:c>
      <x:c r="L152" t="str">
        <x:f>IF(MonthlyStats!A152="","","Formula-linked")</x:f>
      </x:c>
    </x:row>
    <x:row r="153">
      <x:c r="A153" t="str">
        <x:f>IF(MonthlyStats!A153="","",MonthlyStats!A153)</x:f>
      </x:c>
      <x:c r="B153" t="str">
        <x:f>IF(MonthlyStats!A153="","",MonthlyStats!B153)</x:f>
      </x:c>
      <x:c r="C153" t="str">
        <x:f>IF(MonthlyStats!A153="","",MonthlyStats!E153)</x:f>
      </x:c>
      <x:c r="D153" t="str">
        <x:f>IF(MonthlyStats!A153="","",MonthlyStats!F153)</x:f>
      </x:c>
      <x:c r="E153" t="str">
        <x:f>IF(MonthlyStats!A153="","",MonthlyStats!G153)</x:f>
      </x:c>
      <x:c r="F153" t="str">
        <x:f>IF(MonthlyStats!A153="","",MonthlyStats!H153)</x:f>
      </x:c>
      <x:c r="G153" t="str">
        <x:f>IF(MonthlyStats!A153="","",MonthlyStats!I153)</x:f>
      </x:c>
      <x:c r="H153" t="str">
        <x:f>IF(MonthlyStats!A153="","",MonthlyStats!J153+MonthlyStats!K153)</x:f>
      </x:c>
      <x:c r="I153" t="str">
        <x:f>IF(MonthlyStats!A153="","",TEXT(MonthlyStats!O153,"₹#,##0")&amp;" public summary; "&amp;MonthlyStats!D153&amp;" cases")</x:f>
      </x:c>
      <x:c r="J153" t="str">
        <x:f>IF(MonthlyStats!A153="","","#")</x:f>
      </x:c>
      <x:c r="K153" t="str">
        <x:f>IF(MonthlyStats!A153="","",MonthlyStats!S153)</x:f>
      </x:c>
      <x:c r="L153" t="str">
        <x:f>IF(MonthlyStats!A153="","","Formula-linked")</x:f>
      </x:c>
    </x:row>
    <x:row r="154">
      <x:c r="A154" t="str">
        <x:f>IF(MonthlyStats!A154="","",MonthlyStats!A154)</x:f>
      </x:c>
      <x:c r="B154" t="str">
        <x:f>IF(MonthlyStats!A154="","",MonthlyStats!B154)</x:f>
      </x:c>
      <x:c r="C154" t="str">
        <x:f>IF(MonthlyStats!A154="","",MonthlyStats!E154)</x:f>
      </x:c>
      <x:c r="D154" t="str">
        <x:f>IF(MonthlyStats!A154="","",MonthlyStats!F154)</x:f>
      </x:c>
      <x:c r="E154" t="str">
        <x:f>IF(MonthlyStats!A154="","",MonthlyStats!G154)</x:f>
      </x:c>
      <x:c r="F154" t="str">
        <x:f>IF(MonthlyStats!A154="","",MonthlyStats!H154)</x:f>
      </x:c>
      <x:c r="G154" t="str">
        <x:f>IF(MonthlyStats!A154="","",MonthlyStats!I154)</x:f>
      </x:c>
      <x:c r="H154" t="str">
        <x:f>IF(MonthlyStats!A154="","",MonthlyStats!J154+MonthlyStats!K154)</x:f>
      </x:c>
      <x:c r="I154" t="str">
        <x:f>IF(MonthlyStats!A154="","",TEXT(MonthlyStats!O154,"₹#,##0")&amp;" public summary; "&amp;MonthlyStats!D154&amp;" cases")</x:f>
      </x:c>
      <x:c r="J154" t="str">
        <x:f>IF(MonthlyStats!A154="","","#")</x:f>
      </x:c>
      <x:c r="K154" t="str">
        <x:f>IF(MonthlyStats!A154="","",MonthlyStats!S154)</x:f>
      </x:c>
      <x:c r="L154" t="str">
        <x:f>IF(MonthlyStats!A154="","","Formula-linked")</x:f>
      </x:c>
    </x:row>
    <x:row r="155">
      <x:c r="A155" t="str">
        <x:f>IF(MonthlyStats!A155="","",MonthlyStats!A155)</x:f>
      </x:c>
      <x:c r="B155" t="str">
        <x:f>IF(MonthlyStats!A155="","",MonthlyStats!B155)</x:f>
      </x:c>
      <x:c r="C155" t="str">
        <x:f>IF(MonthlyStats!A155="","",MonthlyStats!E155)</x:f>
      </x:c>
      <x:c r="D155" t="str">
        <x:f>IF(MonthlyStats!A155="","",MonthlyStats!F155)</x:f>
      </x:c>
      <x:c r="E155" t="str">
        <x:f>IF(MonthlyStats!A155="","",MonthlyStats!G155)</x:f>
      </x:c>
      <x:c r="F155" t="str">
        <x:f>IF(MonthlyStats!A155="","",MonthlyStats!H155)</x:f>
      </x:c>
      <x:c r="G155" t="str">
        <x:f>IF(MonthlyStats!A155="","",MonthlyStats!I155)</x:f>
      </x:c>
      <x:c r="H155" t="str">
        <x:f>IF(MonthlyStats!A155="","",MonthlyStats!J155+MonthlyStats!K155)</x:f>
      </x:c>
      <x:c r="I155" t="str">
        <x:f>IF(MonthlyStats!A155="","",TEXT(MonthlyStats!O155,"₹#,##0")&amp;" public summary; "&amp;MonthlyStats!D155&amp;" cases")</x:f>
      </x:c>
      <x:c r="J155" t="str">
        <x:f>IF(MonthlyStats!A155="","","#")</x:f>
      </x:c>
      <x:c r="K155" t="str">
        <x:f>IF(MonthlyStats!A155="","",MonthlyStats!S155)</x:f>
      </x:c>
      <x:c r="L155" t="str">
        <x:f>IF(MonthlyStats!A155="","","Formula-linked")</x:f>
      </x:c>
    </x:row>
    <x:row r="156">
      <x:c r="A156" t="str">
        <x:f>IF(MonthlyStats!A156="","",MonthlyStats!A156)</x:f>
      </x:c>
      <x:c r="B156" t="str">
        <x:f>IF(MonthlyStats!A156="","",MonthlyStats!B156)</x:f>
      </x:c>
      <x:c r="C156" t="str">
        <x:f>IF(MonthlyStats!A156="","",MonthlyStats!E156)</x:f>
      </x:c>
      <x:c r="D156" t="str">
        <x:f>IF(MonthlyStats!A156="","",MonthlyStats!F156)</x:f>
      </x:c>
      <x:c r="E156" t="str">
        <x:f>IF(MonthlyStats!A156="","",MonthlyStats!G156)</x:f>
      </x:c>
      <x:c r="F156" t="str">
        <x:f>IF(MonthlyStats!A156="","",MonthlyStats!H156)</x:f>
      </x:c>
      <x:c r="G156" t="str">
        <x:f>IF(MonthlyStats!A156="","",MonthlyStats!I156)</x:f>
      </x:c>
      <x:c r="H156" t="str">
        <x:f>IF(MonthlyStats!A156="","",MonthlyStats!J156+MonthlyStats!K156)</x:f>
      </x:c>
      <x:c r="I156" t="str">
        <x:f>IF(MonthlyStats!A156="","",TEXT(MonthlyStats!O156,"₹#,##0")&amp;" public summary; "&amp;MonthlyStats!D156&amp;" cases")</x:f>
      </x:c>
      <x:c r="J156" t="str">
        <x:f>IF(MonthlyStats!A156="","","#")</x:f>
      </x:c>
      <x:c r="K156" t="str">
        <x:f>IF(MonthlyStats!A156="","",MonthlyStats!S156)</x:f>
      </x:c>
      <x:c r="L156" t="str">
        <x:f>IF(MonthlyStats!A156="","","Formula-linked")</x:f>
      </x:c>
    </x:row>
    <x:row r="157">
      <x:c r="A157" t="str">
        <x:f>IF(MonthlyStats!A157="","",MonthlyStats!A157)</x:f>
      </x:c>
      <x:c r="B157" t="str">
        <x:f>IF(MonthlyStats!A157="","",MonthlyStats!B157)</x:f>
      </x:c>
      <x:c r="C157" t="str">
        <x:f>IF(MonthlyStats!A157="","",MonthlyStats!E157)</x:f>
      </x:c>
      <x:c r="D157" t="str">
        <x:f>IF(MonthlyStats!A157="","",MonthlyStats!F157)</x:f>
      </x:c>
      <x:c r="E157" t="str">
        <x:f>IF(MonthlyStats!A157="","",MonthlyStats!G157)</x:f>
      </x:c>
      <x:c r="F157" t="str">
        <x:f>IF(MonthlyStats!A157="","",MonthlyStats!H157)</x:f>
      </x:c>
      <x:c r="G157" t="str">
        <x:f>IF(MonthlyStats!A157="","",MonthlyStats!I157)</x:f>
      </x:c>
      <x:c r="H157" t="str">
        <x:f>IF(MonthlyStats!A157="","",MonthlyStats!J157+MonthlyStats!K157)</x:f>
      </x:c>
      <x:c r="I157" t="str">
        <x:f>IF(MonthlyStats!A157="","",TEXT(MonthlyStats!O157,"₹#,##0")&amp;" public summary; "&amp;MonthlyStats!D157&amp;" cases")</x:f>
      </x:c>
      <x:c r="J157" t="str">
        <x:f>IF(MonthlyStats!A157="","","#")</x:f>
      </x:c>
      <x:c r="K157" t="str">
        <x:f>IF(MonthlyStats!A157="","",MonthlyStats!S157)</x:f>
      </x:c>
      <x:c r="L157" t="str">
        <x:f>IF(MonthlyStats!A157="","","Formula-linked")</x:f>
      </x:c>
    </x:row>
    <x:row r="158">
      <x:c r="A158" t="str">
        <x:f>IF(MonthlyStats!A158="","",MonthlyStats!A158)</x:f>
      </x:c>
      <x:c r="B158" t="str">
        <x:f>IF(MonthlyStats!A158="","",MonthlyStats!B158)</x:f>
      </x:c>
      <x:c r="C158" t="str">
        <x:f>IF(MonthlyStats!A158="","",MonthlyStats!E158)</x:f>
      </x:c>
      <x:c r="D158" t="str">
        <x:f>IF(MonthlyStats!A158="","",MonthlyStats!F158)</x:f>
      </x:c>
      <x:c r="E158" t="str">
        <x:f>IF(MonthlyStats!A158="","",MonthlyStats!G158)</x:f>
      </x:c>
      <x:c r="F158" t="str">
        <x:f>IF(MonthlyStats!A158="","",MonthlyStats!H158)</x:f>
      </x:c>
      <x:c r="G158" t="str">
        <x:f>IF(MonthlyStats!A158="","",MonthlyStats!I158)</x:f>
      </x:c>
      <x:c r="H158" t="str">
        <x:f>IF(MonthlyStats!A158="","",MonthlyStats!J158+MonthlyStats!K158)</x:f>
      </x:c>
      <x:c r="I158" t="str">
        <x:f>IF(MonthlyStats!A158="","",TEXT(MonthlyStats!O158,"₹#,##0")&amp;" public summary; "&amp;MonthlyStats!D158&amp;" cases")</x:f>
      </x:c>
      <x:c r="J158" t="str">
        <x:f>IF(MonthlyStats!A158="","","#")</x:f>
      </x:c>
      <x:c r="K158" t="str">
        <x:f>IF(MonthlyStats!A158="","",MonthlyStats!S158)</x:f>
      </x:c>
      <x:c r="L158" t="str">
        <x:f>IF(MonthlyStats!A158="","","Formula-linked")</x:f>
      </x:c>
    </x:row>
    <x:row r="159">
      <x:c r="A159" t="str">
        <x:f>IF(MonthlyStats!A159="","",MonthlyStats!A159)</x:f>
      </x:c>
      <x:c r="B159" t="str">
        <x:f>IF(MonthlyStats!A159="","",MonthlyStats!B159)</x:f>
      </x:c>
      <x:c r="C159" t="str">
        <x:f>IF(MonthlyStats!A159="","",MonthlyStats!E159)</x:f>
      </x:c>
      <x:c r="D159" t="str">
        <x:f>IF(MonthlyStats!A159="","",MonthlyStats!F159)</x:f>
      </x:c>
      <x:c r="E159" t="str">
        <x:f>IF(MonthlyStats!A159="","",MonthlyStats!G159)</x:f>
      </x:c>
      <x:c r="F159" t="str">
        <x:f>IF(MonthlyStats!A159="","",MonthlyStats!H159)</x:f>
      </x:c>
      <x:c r="G159" t="str">
        <x:f>IF(MonthlyStats!A159="","",MonthlyStats!I159)</x:f>
      </x:c>
      <x:c r="H159" t="str">
        <x:f>IF(MonthlyStats!A159="","",MonthlyStats!J159+MonthlyStats!K159)</x:f>
      </x:c>
      <x:c r="I159" t="str">
        <x:f>IF(MonthlyStats!A159="","",TEXT(MonthlyStats!O159,"₹#,##0")&amp;" public summary; "&amp;MonthlyStats!D159&amp;" cases")</x:f>
      </x:c>
      <x:c r="J159" t="str">
        <x:f>IF(MonthlyStats!A159="","","#")</x:f>
      </x:c>
      <x:c r="K159" t="str">
        <x:f>IF(MonthlyStats!A159="","",MonthlyStats!S159)</x:f>
      </x:c>
      <x:c r="L159" t="str">
        <x:f>IF(MonthlyStats!A159="","","Formula-linked")</x:f>
      </x:c>
    </x:row>
    <x:row r="160">
      <x:c r="A160" t="str">
        <x:f>IF(MonthlyStats!A160="","",MonthlyStats!A160)</x:f>
      </x:c>
      <x:c r="B160" t="str">
        <x:f>IF(MonthlyStats!A160="","",MonthlyStats!B160)</x:f>
      </x:c>
      <x:c r="C160" t="str">
        <x:f>IF(MonthlyStats!A160="","",MonthlyStats!E160)</x:f>
      </x:c>
      <x:c r="D160" t="str">
        <x:f>IF(MonthlyStats!A160="","",MonthlyStats!F160)</x:f>
      </x:c>
      <x:c r="E160" t="str">
        <x:f>IF(MonthlyStats!A160="","",MonthlyStats!G160)</x:f>
      </x:c>
      <x:c r="F160" t="str">
        <x:f>IF(MonthlyStats!A160="","",MonthlyStats!H160)</x:f>
      </x:c>
      <x:c r="G160" t="str">
        <x:f>IF(MonthlyStats!A160="","",MonthlyStats!I160)</x:f>
      </x:c>
      <x:c r="H160" t="str">
        <x:f>IF(MonthlyStats!A160="","",MonthlyStats!J160+MonthlyStats!K160)</x:f>
      </x:c>
      <x:c r="I160" t="str">
        <x:f>IF(MonthlyStats!A160="","",TEXT(MonthlyStats!O160,"₹#,##0")&amp;" public summary; "&amp;MonthlyStats!D160&amp;" cases")</x:f>
      </x:c>
      <x:c r="J160" t="str">
        <x:f>IF(MonthlyStats!A160="","","#")</x:f>
      </x:c>
      <x:c r="K160" t="str">
        <x:f>IF(MonthlyStats!A160="","",MonthlyStats!S160)</x:f>
      </x:c>
      <x:c r="L160" t="str">
        <x:f>IF(MonthlyStats!A160="","","Formula-linked")</x:f>
      </x:c>
    </x:row>
    <x:row r="161">
      <x:c r="A161" t="str">
        <x:f>IF(MonthlyStats!A161="","",MonthlyStats!A161)</x:f>
      </x:c>
      <x:c r="B161" t="str">
        <x:f>IF(MonthlyStats!A161="","",MonthlyStats!B161)</x:f>
      </x:c>
      <x:c r="C161" t="str">
        <x:f>IF(MonthlyStats!A161="","",MonthlyStats!E161)</x:f>
      </x:c>
      <x:c r="D161" t="str">
        <x:f>IF(MonthlyStats!A161="","",MonthlyStats!F161)</x:f>
      </x:c>
      <x:c r="E161" t="str">
        <x:f>IF(MonthlyStats!A161="","",MonthlyStats!G161)</x:f>
      </x:c>
      <x:c r="F161" t="str">
        <x:f>IF(MonthlyStats!A161="","",MonthlyStats!H161)</x:f>
      </x:c>
      <x:c r="G161" t="str">
        <x:f>IF(MonthlyStats!A161="","",MonthlyStats!I161)</x:f>
      </x:c>
      <x:c r="H161" t="str">
        <x:f>IF(MonthlyStats!A161="","",MonthlyStats!J161+MonthlyStats!K161)</x:f>
      </x:c>
      <x:c r="I161" t="str">
        <x:f>IF(MonthlyStats!A161="","",TEXT(MonthlyStats!O161,"₹#,##0")&amp;" public summary; "&amp;MonthlyStats!D161&amp;" cases")</x:f>
      </x:c>
      <x:c r="J161" t="str">
        <x:f>IF(MonthlyStats!A161="","","#")</x:f>
      </x:c>
      <x:c r="K161" t="str">
        <x:f>IF(MonthlyStats!A161="","",MonthlyStats!S161)</x:f>
      </x:c>
      <x:c r="L161" t="str">
        <x:f>IF(MonthlyStats!A161="","","Formula-linked")</x:f>
      </x:c>
    </x:row>
    <x:row r="162">
      <x:c r="A162" t="str">
        <x:f>IF(MonthlyStats!A162="","",MonthlyStats!A162)</x:f>
      </x:c>
      <x:c r="B162" t="str">
        <x:f>IF(MonthlyStats!A162="","",MonthlyStats!B162)</x:f>
      </x:c>
      <x:c r="C162" t="str">
        <x:f>IF(MonthlyStats!A162="","",MonthlyStats!E162)</x:f>
      </x:c>
      <x:c r="D162" t="str">
        <x:f>IF(MonthlyStats!A162="","",MonthlyStats!F162)</x:f>
      </x:c>
      <x:c r="E162" t="str">
        <x:f>IF(MonthlyStats!A162="","",MonthlyStats!G162)</x:f>
      </x:c>
      <x:c r="F162" t="str">
        <x:f>IF(MonthlyStats!A162="","",MonthlyStats!H162)</x:f>
      </x:c>
      <x:c r="G162" t="str">
        <x:f>IF(MonthlyStats!A162="","",MonthlyStats!I162)</x:f>
      </x:c>
      <x:c r="H162" t="str">
        <x:f>IF(MonthlyStats!A162="","",MonthlyStats!J162+MonthlyStats!K162)</x:f>
      </x:c>
      <x:c r="I162" t="str">
        <x:f>IF(MonthlyStats!A162="","",TEXT(MonthlyStats!O162,"₹#,##0")&amp;" public summary; "&amp;MonthlyStats!D162&amp;" cases")</x:f>
      </x:c>
      <x:c r="J162" t="str">
        <x:f>IF(MonthlyStats!A162="","","#")</x:f>
      </x:c>
      <x:c r="K162" t="str">
        <x:f>IF(MonthlyStats!A162="","",MonthlyStats!S162)</x:f>
      </x:c>
      <x:c r="L162" t="str">
        <x:f>IF(MonthlyStats!A162="","","Formula-linked")</x:f>
      </x:c>
    </x:row>
    <x:row r="163">
      <x:c r="A163" t="str">
        <x:f>IF(MonthlyStats!A163="","",MonthlyStats!A163)</x:f>
      </x:c>
      <x:c r="B163" t="str">
        <x:f>IF(MonthlyStats!A163="","",MonthlyStats!B163)</x:f>
      </x:c>
      <x:c r="C163" t="str">
        <x:f>IF(MonthlyStats!A163="","",MonthlyStats!E163)</x:f>
      </x:c>
      <x:c r="D163" t="str">
        <x:f>IF(MonthlyStats!A163="","",MonthlyStats!F163)</x:f>
      </x:c>
      <x:c r="E163" t="str">
        <x:f>IF(MonthlyStats!A163="","",MonthlyStats!G163)</x:f>
      </x:c>
      <x:c r="F163" t="str">
        <x:f>IF(MonthlyStats!A163="","",MonthlyStats!H163)</x:f>
      </x:c>
      <x:c r="G163" t="str">
        <x:f>IF(MonthlyStats!A163="","",MonthlyStats!I163)</x:f>
      </x:c>
      <x:c r="H163" t="str">
        <x:f>IF(MonthlyStats!A163="","",MonthlyStats!J163+MonthlyStats!K163)</x:f>
      </x:c>
      <x:c r="I163" t="str">
        <x:f>IF(MonthlyStats!A163="","",TEXT(MonthlyStats!O163,"₹#,##0")&amp;" public summary; "&amp;MonthlyStats!D163&amp;" cases")</x:f>
      </x:c>
      <x:c r="J163" t="str">
        <x:f>IF(MonthlyStats!A163="","","#")</x:f>
      </x:c>
      <x:c r="K163" t="str">
        <x:f>IF(MonthlyStats!A163="","",MonthlyStats!S163)</x:f>
      </x:c>
      <x:c r="L163" t="str">
        <x:f>IF(MonthlyStats!A163="","","Formula-linked")</x:f>
      </x:c>
    </x:row>
    <x:row r="164">
      <x:c r="A164" t="str">
        <x:f>IF(MonthlyStats!A164="","",MonthlyStats!A164)</x:f>
      </x:c>
      <x:c r="B164" t="str">
        <x:f>IF(MonthlyStats!A164="","",MonthlyStats!B164)</x:f>
      </x:c>
      <x:c r="C164" t="str">
        <x:f>IF(MonthlyStats!A164="","",MonthlyStats!E164)</x:f>
      </x:c>
      <x:c r="D164" t="str">
        <x:f>IF(MonthlyStats!A164="","",MonthlyStats!F164)</x:f>
      </x:c>
      <x:c r="E164" t="str">
        <x:f>IF(MonthlyStats!A164="","",MonthlyStats!G164)</x:f>
      </x:c>
      <x:c r="F164" t="str">
        <x:f>IF(MonthlyStats!A164="","",MonthlyStats!H164)</x:f>
      </x:c>
      <x:c r="G164" t="str">
        <x:f>IF(MonthlyStats!A164="","",MonthlyStats!I164)</x:f>
      </x:c>
      <x:c r="H164" t="str">
        <x:f>IF(MonthlyStats!A164="","",MonthlyStats!J164+MonthlyStats!K164)</x:f>
      </x:c>
      <x:c r="I164" t="str">
        <x:f>IF(MonthlyStats!A164="","",TEXT(MonthlyStats!O164,"₹#,##0")&amp;" public summary; "&amp;MonthlyStats!D164&amp;" cases")</x:f>
      </x:c>
      <x:c r="J164" t="str">
        <x:f>IF(MonthlyStats!A164="","","#")</x:f>
      </x:c>
      <x:c r="K164" t="str">
        <x:f>IF(MonthlyStats!A164="","",MonthlyStats!S164)</x:f>
      </x:c>
      <x:c r="L164" t="str">
        <x:f>IF(MonthlyStats!A164="","","Formula-linked")</x:f>
      </x:c>
    </x:row>
    <x:row r="165">
      <x:c r="A165" t="str">
        <x:f>IF(MonthlyStats!A165="","",MonthlyStats!A165)</x:f>
      </x:c>
      <x:c r="B165" t="str">
        <x:f>IF(MonthlyStats!A165="","",MonthlyStats!B165)</x:f>
      </x:c>
      <x:c r="C165" t="str">
        <x:f>IF(MonthlyStats!A165="","",MonthlyStats!E165)</x:f>
      </x:c>
      <x:c r="D165" t="str">
        <x:f>IF(MonthlyStats!A165="","",MonthlyStats!F165)</x:f>
      </x:c>
      <x:c r="E165" t="str">
        <x:f>IF(MonthlyStats!A165="","",MonthlyStats!G165)</x:f>
      </x:c>
      <x:c r="F165" t="str">
        <x:f>IF(MonthlyStats!A165="","",MonthlyStats!H165)</x:f>
      </x:c>
      <x:c r="G165" t="str">
        <x:f>IF(MonthlyStats!A165="","",MonthlyStats!I165)</x:f>
      </x:c>
      <x:c r="H165" t="str">
        <x:f>IF(MonthlyStats!A165="","",MonthlyStats!J165+MonthlyStats!K165)</x:f>
      </x:c>
      <x:c r="I165" t="str">
        <x:f>IF(MonthlyStats!A165="","",TEXT(MonthlyStats!O165,"₹#,##0")&amp;" public summary; "&amp;MonthlyStats!D165&amp;" cases")</x:f>
      </x:c>
      <x:c r="J165" t="str">
        <x:f>IF(MonthlyStats!A165="","","#")</x:f>
      </x:c>
      <x:c r="K165" t="str">
        <x:f>IF(MonthlyStats!A165="","",MonthlyStats!S165)</x:f>
      </x:c>
      <x:c r="L165" t="str">
        <x:f>IF(MonthlyStats!A165="","","Formula-linked")</x:f>
      </x:c>
    </x:row>
    <x:row r="166">
      <x:c r="A166" t="str">
        <x:f>IF(MonthlyStats!A166="","",MonthlyStats!A166)</x:f>
      </x:c>
      <x:c r="B166" t="str">
        <x:f>IF(MonthlyStats!A166="","",MonthlyStats!B166)</x:f>
      </x:c>
      <x:c r="C166" t="str">
        <x:f>IF(MonthlyStats!A166="","",MonthlyStats!E166)</x:f>
      </x:c>
      <x:c r="D166" t="str">
        <x:f>IF(MonthlyStats!A166="","",MonthlyStats!F166)</x:f>
      </x:c>
      <x:c r="E166" t="str">
        <x:f>IF(MonthlyStats!A166="","",MonthlyStats!G166)</x:f>
      </x:c>
      <x:c r="F166" t="str">
        <x:f>IF(MonthlyStats!A166="","",MonthlyStats!H166)</x:f>
      </x:c>
      <x:c r="G166" t="str">
        <x:f>IF(MonthlyStats!A166="","",MonthlyStats!I166)</x:f>
      </x:c>
      <x:c r="H166" t="str">
        <x:f>IF(MonthlyStats!A166="","",MonthlyStats!J166+MonthlyStats!K166)</x:f>
      </x:c>
      <x:c r="I166" t="str">
        <x:f>IF(MonthlyStats!A166="","",TEXT(MonthlyStats!O166,"₹#,##0")&amp;" public summary; "&amp;MonthlyStats!D166&amp;" cases")</x:f>
      </x:c>
      <x:c r="J166" t="str">
        <x:f>IF(MonthlyStats!A166="","","#")</x:f>
      </x:c>
      <x:c r="K166" t="str">
        <x:f>IF(MonthlyStats!A166="","",MonthlyStats!S166)</x:f>
      </x:c>
      <x:c r="L166" t="str">
        <x:f>IF(MonthlyStats!A166="","","Formula-linked")</x:f>
      </x:c>
    </x:row>
    <x:row r="167">
      <x:c r="A167" t="str">
        <x:f>IF(MonthlyStats!A167="","",MonthlyStats!A167)</x:f>
      </x:c>
      <x:c r="B167" t="str">
        <x:f>IF(MonthlyStats!A167="","",MonthlyStats!B167)</x:f>
      </x:c>
      <x:c r="C167" t="str">
        <x:f>IF(MonthlyStats!A167="","",MonthlyStats!E167)</x:f>
      </x:c>
      <x:c r="D167" t="str">
        <x:f>IF(MonthlyStats!A167="","",MonthlyStats!F167)</x:f>
      </x:c>
      <x:c r="E167" t="str">
        <x:f>IF(MonthlyStats!A167="","",MonthlyStats!G167)</x:f>
      </x:c>
      <x:c r="F167" t="str">
        <x:f>IF(MonthlyStats!A167="","",MonthlyStats!H167)</x:f>
      </x:c>
      <x:c r="G167" t="str">
        <x:f>IF(MonthlyStats!A167="","",MonthlyStats!I167)</x:f>
      </x:c>
      <x:c r="H167" t="str">
        <x:f>IF(MonthlyStats!A167="","",MonthlyStats!J167+MonthlyStats!K167)</x:f>
      </x:c>
      <x:c r="I167" t="str">
        <x:f>IF(MonthlyStats!A167="","",TEXT(MonthlyStats!O167,"₹#,##0")&amp;" public summary; "&amp;MonthlyStats!D167&amp;" cases")</x:f>
      </x:c>
      <x:c r="J167" t="str">
        <x:f>IF(MonthlyStats!A167="","","#")</x:f>
      </x:c>
      <x:c r="K167" t="str">
        <x:f>IF(MonthlyStats!A167="","",MonthlyStats!S167)</x:f>
      </x:c>
      <x:c r="L167" t="str">
        <x:f>IF(MonthlyStats!A167="","","Formula-linked")</x:f>
      </x:c>
    </x:row>
    <x:row r="168">
      <x:c r="A168" t="str">
        <x:f>IF(MonthlyStats!A168="","",MonthlyStats!A168)</x:f>
      </x:c>
      <x:c r="B168" t="str">
        <x:f>IF(MonthlyStats!A168="","",MonthlyStats!B168)</x:f>
      </x:c>
      <x:c r="C168" t="str">
        <x:f>IF(MonthlyStats!A168="","",MonthlyStats!E168)</x:f>
      </x:c>
      <x:c r="D168" t="str">
        <x:f>IF(MonthlyStats!A168="","",MonthlyStats!F168)</x:f>
      </x:c>
      <x:c r="E168" t="str">
        <x:f>IF(MonthlyStats!A168="","",MonthlyStats!G168)</x:f>
      </x:c>
      <x:c r="F168" t="str">
        <x:f>IF(MonthlyStats!A168="","",MonthlyStats!H168)</x:f>
      </x:c>
      <x:c r="G168" t="str">
        <x:f>IF(MonthlyStats!A168="","",MonthlyStats!I168)</x:f>
      </x:c>
      <x:c r="H168" t="str">
        <x:f>IF(MonthlyStats!A168="","",MonthlyStats!J168+MonthlyStats!K168)</x:f>
      </x:c>
      <x:c r="I168" t="str">
        <x:f>IF(MonthlyStats!A168="","",TEXT(MonthlyStats!O168,"₹#,##0")&amp;" public summary; "&amp;MonthlyStats!D168&amp;" cases")</x:f>
      </x:c>
      <x:c r="J168" t="str">
        <x:f>IF(MonthlyStats!A168="","","#")</x:f>
      </x:c>
      <x:c r="K168" t="str">
        <x:f>IF(MonthlyStats!A168="","",MonthlyStats!S168)</x:f>
      </x:c>
      <x:c r="L168" t="str">
        <x:f>IF(MonthlyStats!A168="","","Formula-linked")</x:f>
      </x:c>
    </x:row>
    <x:row r="169">
      <x:c r="A169" t="str">
        <x:f>IF(MonthlyStats!A169="","",MonthlyStats!A169)</x:f>
      </x:c>
      <x:c r="B169" t="str">
        <x:f>IF(MonthlyStats!A169="","",MonthlyStats!B169)</x:f>
      </x:c>
      <x:c r="C169" t="str">
        <x:f>IF(MonthlyStats!A169="","",MonthlyStats!E169)</x:f>
      </x:c>
      <x:c r="D169" t="str">
        <x:f>IF(MonthlyStats!A169="","",MonthlyStats!F169)</x:f>
      </x:c>
      <x:c r="E169" t="str">
        <x:f>IF(MonthlyStats!A169="","",MonthlyStats!G169)</x:f>
      </x:c>
      <x:c r="F169" t="str">
        <x:f>IF(MonthlyStats!A169="","",MonthlyStats!H169)</x:f>
      </x:c>
      <x:c r="G169" t="str">
        <x:f>IF(MonthlyStats!A169="","",MonthlyStats!I169)</x:f>
      </x:c>
      <x:c r="H169" t="str">
        <x:f>IF(MonthlyStats!A169="","",MonthlyStats!J169+MonthlyStats!K169)</x:f>
      </x:c>
      <x:c r="I169" t="str">
        <x:f>IF(MonthlyStats!A169="","",TEXT(MonthlyStats!O169,"₹#,##0")&amp;" public summary; "&amp;MonthlyStats!D169&amp;" cases")</x:f>
      </x:c>
      <x:c r="J169" t="str">
        <x:f>IF(MonthlyStats!A169="","","#")</x:f>
      </x:c>
      <x:c r="K169" t="str">
        <x:f>IF(MonthlyStats!A169="","",MonthlyStats!S169)</x:f>
      </x:c>
      <x:c r="L169" t="str">
        <x:f>IF(MonthlyStats!A169="","","Formula-linked")</x:f>
      </x:c>
    </x:row>
    <x:row r="170">
      <x:c r="A170" t="str">
        <x:f>IF(MonthlyStats!A170="","",MonthlyStats!A170)</x:f>
      </x:c>
      <x:c r="B170" t="str">
        <x:f>IF(MonthlyStats!A170="","",MonthlyStats!B170)</x:f>
      </x:c>
      <x:c r="C170" t="str">
        <x:f>IF(MonthlyStats!A170="","",MonthlyStats!E170)</x:f>
      </x:c>
      <x:c r="D170" t="str">
        <x:f>IF(MonthlyStats!A170="","",MonthlyStats!F170)</x:f>
      </x:c>
      <x:c r="E170" t="str">
        <x:f>IF(MonthlyStats!A170="","",MonthlyStats!G170)</x:f>
      </x:c>
      <x:c r="F170" t="str">
        <x:f>IF(MonthlyStats!A170="","",MonthlyStats!H170)</x:f>
      </x:c>
      <x:c r="G170" t="str">
        <x:f>IF(MonthlyStats!A170="","",MonthlyStats!I170)</x:f>
      </x:c>
      <x:c r="H170" t="str">
        <x:f>IF(MonthlyStats!A170="","",MonthlyStats!J170+MonthlyStats!K170)</x:f>
      </x:c>
      <x:c r="I170" t="str">
        <x:f>IF(MonthlyStats!A170="","",TEXT(MonthlyStats!O170,"₹#,##0")&amp;" public summary; "&amp;MonthlyStats!D170&amp;" cases")</x:f>
      </x:c>
      <x:c r="J170" t="str">
        <x:f>IF(MonthlyStats!A170="","","#")</x:f>
      </x:c>
      <x:c r="K170" t="str">
        <x:f>IF(MonthlyStats!A170="","",MonthlyStats!S170)</x:f>
      </x:c>
      <x:c r="L170" t="str">
        <x:f>IF(MonthlyStats!A170="","","Formula-linked")</x:f>
      </x:c>
    </x:row>
    <x:row r="171">
      <x:c r="A171" t="str">
        <x:f>IF(MonthlyStats!A171="","",MonthlyStats!A171)</x:f>
      </x:c>
      <x:c r="B171" t="str">
        <x:f>IF(MonthlyStats!A171="","",MonthlyStats!B171)</x:f>
      </x:c>
      <x:c r="C171" t="str">
        <x:f>IF(MonthlyStats!A171="","",MonthlyStats!E171)</x:f>
      </x:c>
      <x:c r="D171" t="str">
        <x:f>IF(MonthlyStats!A171="","",MonthlyStats!F171)</x:f>
      </x:c>
      <x:c r="E171" t="str">
        <x:f>IF(MonthlyStats!A171="","",MonthlyStats!G171)</x:f>
      </x:c>
      <x:c r="F171" t="str">
        <x:f>IF(MonthlyStats!A171="","",MonthlyStats!H171)</x:f>
      </x:c>
      <x:c r="G171" t="str">
        <x:f>IF(MonthlyStats!A171="","",MonthlyStats!I171)</x:f>
      </x:c>
      <x:c r="H171" t="str">
        <x:f>IF(MonthlyStats!A171="","",MonthlyStats!J171+MonthlyStats!K171)</x:f>
      </x:c>
      <x:c r="I171" t="str">
        <x:f>IF(MonthlyStats!A171="","",TEXT(MonthlyStats!O171,"₹#,##0")&amp;" public summary; "&amp;MonthlyStats!D171&amp;" cases")</x:f>
      </x:c>
      <x:c r="J171" t="str">
        <x:f>IF(MonthlyStats!A171="","","#")</x:f>
      </x:c>
      <x:c r="K171" t="str">
        <x:f>IF(MonthlyStats!A171="","",MonthlyStats!S171)</x:f>
      </x:c>
      <x:c r="L171" t="str">
        <x:f>IF(MonthlyStats!A171="","","Formula-linked")</x:f>
      </x:c>
    </x:row>
    <x:row r="172">
      <x:c r="A172" t="str">
        <x:f>IF(MonthlyStats!A172="","",MonthlyStats!A172)</x:f>
      </x:c>
      <x:c r="B172" t="str">
        <x:f>IF(MonthlyStats!A172="","",MonthlyStats!B172)</x:f>
      </x:c>
      <x:c r="C172" t="str">
        <x:f>IF(MonthlyStats!A172="","",MonthlyStats!E172)</x:f>
      </x:c>
      <x:c r="D172" t="str">
        <x:f>IF(MonthlyStats!A172="","",MonthlyStats!F172)</x:f>
      </x:c>
      <x:c r="E172" t="str">
        <x:f>IF(MonthlyStats!A172="","",MonthlyStats!G172)</x:f>
      </x:c>
      <x:c r="F172" t="str">
        <x:f>IF(MonthlyStats!A172="","",MonthlyStats!H172)</x:f>
      </x:c>
      <x:c r="G172" t="str">
        <x:f>IF(MonthlyStats!A172="","",MonthlyStats!I172)</x:f>
      </x:c>
      <x:c r="H172" t="str">
        <x:f>IF(MonthlyStats!A172="","",MonthlyStats!J172+MonthlyStats!K172)</x:f>
      </x:c>
      <x:c r="I172" t="str">
        <x:f>IF(MonthlyStats!A172="","",TEXT(MonthlyStats!O172,"₹#,##0")&amp;" public summary; "&amp;MonthlyStats!D172&amp;" cases")</x:f>
      </x:c>
      <x:c r="J172" t="str">
        <x:f>IF(MonthlyStats!A172="","","#")</x:f>
      </x:c>
      <x:c r="K172" t="str">
        <x:f>IF(MonthlyStats!A172="","",MonthlyStats!S172)</x:f>
      </x:c>
      <x:c r="L172" t="str">
        <x:f>IF(MonthlyStats!A172="","","Formula-linked")</x:f>
      </x:c>
    </x:row>
    <x:row r="173">
      <x:c r="A173" t="str">
        <x:f>IF(MonthlyStats!A173="","",MonthlyStats!A173)</x:f>
      </x:c>
      <x:c r="B173" t="str">
        <x:f>IF(MonthlyStats!A173="","",MonthlyStats!B173)</x:f>
      </x:c>
      <x:c r="C173" t="str">
        <x:f>IF(MonthlyStats!A173="","",MonthlyStats!E173)</x:f>
      </x:c>
      <x:c r="D173" t="str">
        <x:f>IF(MonthlyStats!A173="","",MonthlyStats!F173)</x:f>
      </x:c>
      <x:c r="E173" t="str">
        <x:f>IF(MonthlyStats!A173="","",MonthlyStats!G173)</x:f>
      </x:c>
      <x:c r="F173" t="str">
        <x:f>IF(MonthlyStats!A173="","",MonthlyStats!H173)</x:f>
      </x:c>
      <x:c r="G173" t="str">
        <x:f>IF(MonthlyStats!A173="","",MonthlyStats!I173)</x:f>
      </x:c>
      <x:c r="H173" t="str">
        <x:f>IF(MonthlyStats!A173="","",MonthlyStats!J173+MonthlyStats!K173)</x:f>
      </x:c>
      <x:c r="I173" t="str">
        <x:f>IF(MonthlyStats!A173="","",TEXT(MonthlyStats!O173,"₹#,##0")&amp;" public summary; "&amp;MonthlyStats!D173&amp;" cases")</x:f>
      </x:c>
      <x:c r="J173" t="str">
        <x:f>IF(MonthlyStats!A173="","","#")</x:f>
      </x:c>
      <x:c r="K173" t="str">
        <x:f>IF(MonthlyStats!A173="","",MonthlyStats!S173)</x:f>
      </x:c>
      <x:c r="L173" t="str">
        <x:f>IF(MonthlyStats!A173="","","Formula-linked")</x:f>
      </x:c>
    </x:row>
    <x:row r="174">
      <x:c r="A174" t="str">
        <x:f>IF(MonthlyStats!A174="","",MonthlyStats!A174)</x:f>
      </x:c>
      <x:c r="B174" t="str">
        <x:f>IF(MonthlyStats!A174="","",MonthlyStats!B174)</x:f>
      </x:c>
      <x:c r="C174" t="str">
        <x:f>IF(MonthlyStats!A174="","",MonthlyStats!E174)</x:f>
      </x:c>
      <x:c r="D174" t="str">
        <x:f>IF(MonthlyStats!A174="","",MonthlyStats!F174)</x:f>
      </x:c>
      <x:c r="E174" t="str">
        <x:f>IF(MonthlyStats!A174="","",MonthlyStats!G174)</x:f>
      </x:c>
      <x:c r="F174" t="str">
        <x:f>IF(MonthlyStats!A174="","",MonthlyStats!H174)</x:f>
      </x:c>
      <x:c r="G174" t="str">
        <x:f>IF(MonthlyStats!A174="","",MonthlyStats!I174)</x:f>
      </x:c>
      <x:c r="H174" t="str">
        <x:f>IF(MonthlyStats!A174="","",MonthlyStats!J174+MonthlyStats!K174)</x:f>
      </x:c>
      <x:c r="I174" t="str">
        <x:f>IF(MonthlyStats!A174="","",TEXT(MonthlyStats!O174,"₹#,##0")&amp;" public summary; "&amp;MonthlyStats!D174&amp;" cases")</x:f>
      </x:c>
      <x:c r="J174" t="str">
        <x:f>IF(MonthlyStats!A174="","","#")</x:f>
      </x:c>
      <x:c r="K174" t="str">
        <x:f>IF(MonthlyStats!A174="","",MonthlyStats!S174)</x:f>
      </x:c>
      <x:c r="L174" t="str">
        <x:f>IF(MonthlyStats!A174="","","Formula-linked")</x:f>
      </x:c>
    </x:row>
    <x:row r="175">
      <x:c r="A175" t="str">
        <x:f>IF(MonthlyStats!A175="","",MonthlyStats!A175)</x:f>
      </x:c>
      <x:c r="B175" t="str">
        <x:f>IF(MonthlyStats!A175="","",MonthlyStats!B175)</x:f>
      </x:c>
      <x:c r="C175" t="str">
        <x:f>IF(MonthlyStats!A175="","",MonthlyStats!E175)</x:f>
      </x:c>
      <x:c r="D175" t="str">
        <x:f>IF(MonthlyStats!A175="","",MonthlyStats!F175)</x:f>
      </x:c>
      <x:c r="E175" t="str">
        <x:f>IF(MonthlyStats!A175="","",MonthlyStats!G175)</x:f>
      </x:c>
      <x:c r="F175" t="str">
        <x:f>IF(MonthlyStats!A175="","",MonthlyStats!H175)</x:f>
      </x:c>
      <x:c r="G175" t="str">
        <x:f>IF(MonthlyStats!A175="","",MonthlyStats!I175)</x:f>
      </x:c>
      <x:c r="H175" t="str">
        <x:f>IF(MonthlyStats!A175="","",MonthlyStats!J175+MonthlyStats!K175)</x:f>
      </x:c>
      <x:c r="I175" t="str">
        <x:f>IF(MonthlyStats!A175="","",TEXT(MonthlyStats!O175,"₹#,##0")&amp;" public summary; "&amp;MonthlyStats!D175&amp;" cases")</x:f>
      </x:c>
      <x:c r="J175" t="str">
        <x:f>IF(MonthlyStats!A175="","","#")</x:f>
      </x:c>
      <x:c r="K175" t="str">
        <x:f>IF(MonthlyStats!A175="","",MonthlyStats!S175)</x:f>
      </x:c>
      <x:c r="L175" t="str">
        <x:f>IF(MonthlyStats!A175="","","Formula-linked")</x:f>
      </x:c>
    </x:row>
    <x:row r="176">
      <x:c r="A176" t="str">
        <x:f>IF(MonthlyStats!A176="","",MonthlyStats!A176)</x:f>
      </x:c>
      <x:c r="B176" t="str">
        <x:f>IF(MonthlyStats!A176="","",MonthlyStats!B176)</x:f>
      </x:c>
      <x:c r="C176" t="str">
        <x:f>IF(MonthlyStats!A176="","",MonthlyStats!E176)</x:f>
      </x:c>
      <x:c r="D176" t="str">
        <x:f>IF(MonthlyStats!A176="","",MonthlyStats!F176)</x:f>
      </x:c>
      <x:c r="E176" t="str">
        <x:f>IF(MonthlyStats!A176="","",MonthlyStats!G176)</x:f>
      </x:c>
      <x:c r="F176" t="str">
        <x:f>IF(MonthlyStats!A176="","",MonthlyStats!H176)</x:f>
      </x:c>
      <x:c r="G176" t="str">
        <x:f>IF(MonthlyStats!A176="","",MonthlyStats!I176)</x:f>
      </x:c>
      <x:c r="H176" t="str">
        <x:f>IF(MonthlyStats!A176="","",MonthlyStats!J176+MonthlyStats!K176)</x:f>
      </x:c>
      <x:c r="I176" t="str">
        <x:f>IF(MonthlyStats!A176="","",TEXT(MonthlyStats!O176,"₹#,##0")&amp;" public summary; "&amp;MonthlyStats!D176&amp;" cases")</x:f>
      </x:c>
      <x:c r="J176" t="str">
        <x:f>IF(MonthlyStats!A176="","","#")</x:f>
      </x:c>
      <x:c r="K176" t="str">
        <x:f>IF(MonthlyStats!A176="","",MonthlyStats!S176)</x:f>
      </x:c>
      <x:c r="L176" t="str">
        <x:f>IF(MonthlyStats!A176="","","Formula-linked")</x:f>
      </x:c>
    </x:row>
    <x:row r="177">
      <x:c r="A177" t="str">
        <x:f>IF(MonthlyStats!A177="","",MonthlyStats!A177)</x:f>
      </x:c>
      <x:c r="B177" t="str">
        <x:f>IF(MonthlyStats!A177="","",MonthlyStats!B177)</x:f>
      </x:c>
      <x:c r="C177" t="str">
        <x:f>IF(MonthlyStats!A177="","",MonthlyStats!E177)</x:f>
      </x:c>
      <x:c r="D177" t="str">
        <x:f>IF(MonthlyStats!A177="","",MonthlyStats!F177)</x:f>
      </x:c>
      <x:c r="E177" t="str">
        <x:f>IF(MonthlyStats!A177="","",MonthlyStats!G177)</x:f>
      </x:c>
      <x:c r="F177" t="str">
        <x:f>IF(MonthlyStats!A177="","",MonthlyStats!H177)</x:f>
      </x:c>
      <x:c r="G177" t="str">
        <x:f>IF(MonthlyStats!A177="","",MonthlyStats!I177)</x:f>
      </x:c>
      <x:c r="H177" t="str">
        <x:f>IF(MonthlyStats!A177="","",MonthlyStats!J177+MonthlyStats!K177)</x:f>
      </x:c>
      <x:c r="I177" t="str">
        <x:f>IF(MonthlyStats!A177="","",TEXT(MonthlyStats!O177,"₹#,##0")&amp;" public summary; "&amp;MonthlyStats!D177&amp;" cases")</x:f>
      </x:c>
      <x:c r="J177" t="str">
        <x:f>IF(MonthlyStats!A177="","","#")</x:f>
      </x:c>
      <x:c r="K177" t="str">
        <x:f>IF(MonthlyStats!A177="","",MonthlyStats!S177)</x:f>
      </x:c>
      <x:c r="L177" t="str">
        <x:f>IF(MonthlyStats!A177="","","Formula-linked")</x:f>
      </x:c>
    </x:row>
    <x:row r="178">
      <x:c r="A178" t="str">
        <x:f>IF(MonthlyStats!A178="","",MonthlyStats!A178)</x:f>
      </x:c>
      <x:c r="B178" t="str">
        <x:f>IF(MonthlyStats!A178="","",MonthlyStats!B178)</x:f>
      </x:c>
      <x:c r="C178" t="str">
        <x:f>IF(MonthlyStats!A178="","",MonthlyStats!E178)</x:f>
      </x:c>
      <x:c r="D178" t="str">
        <x:f>IF(MonthlyStats!A178="","",MonthlyStats!F178)</x:f>
      </x:c>
      <x:c r="E178" t="str">
        <x:f>IF(MonthlyStats!A178="","",MonthlyStats!G178)</x:f>
      </x:c>
      <x:c r="F178" t="str">
        <x:f>IF(MonthlyStats!A178="","",MonthlyStats!H178)</x:f>
      </x:c>
      <x:c r="G178" t="str">
        <x:f>IF(MonthlyStats!A178="","",MonthlyStats!I178)</x:f>
      </x:c>
      <x:c r="H178" t="str">
        <x:f>IF(MonthlyStats!A178="","",MonthlyStats!J178+MonthlyStats!K178)</x:f>
      </x:c>
      <x:c r="I178" t="str">
        <x:f>IF(MonthlyStats!A178="","",TEXT(MonthlyStats!O178,"₹#,##0")&amp;" public summary; "&amp;MonthlyStats!D178&amp;" cases")</x:f>
      </x:c>
      <x:c r="J178" t="str">
        <x:f>IF(MonthlyStats!A178="","","#")</x:f>
      </x:c>
      <x:c r="K178" t="str">
        <x:f>IF(MonthlyStats!A178="","",MonthlyStats!S178)</x:f>
      </x:c>
      <x:c r="L178" t="str">
        <x:f>IF(MonthlyStats!A178="","","Formula-linked")</x:f>
      </x:c>
    </x:row>
    <x:row r="179">
      <x:c r="A179" t="str">
        <x:f>IF(MonthlyStats!A179="","",MonthlyStats!A179)</x:f>
      </x:c>
      <x:c r="B179" t="str">
        <x:f>IF(MonthlyStats!A179="","",MonthlyStats!B179)</x:f>
      </x:c>
      <x:c r="C179" t="str">
        <x:f>IF(MonthlyStats!A179="","",MonthlyStats!E179)</x:f>
      </x:c>
      <x:c r="D179" t="str">
        <x:f>IF(MonthlyStats!A179="","",MonthlyStats!F179)</x:f>
      </x:c>
      <x:c r="E179" t="str">
        <x:f>IF(MonthlyStats!A179="","",MonthlyStats!G179)</x:f>
      </x:c>
      <x:c r="F179" t="str">
        <x:f>IF(MonthlyStats!A179="","",MonthlyStats!H179)</x:f>
      </x:c>
      <x:c r="G179" t="str">
        <x:f>IF(MonthlyStats!A179="","",MonthlyStats!I179)</x:f>
      </x:c>
      <x:c r="H179" t="str">
        <x:f>IF(MonthlyStats!A179="","",MonthlyStats!J179+MonthlyStats!K179)</x:f>
      </x:c>
      <x:c r="I179" t="str">
        <x:f>IF(MonthlyStats!A179="","",TEXT(MonthlyStats!O179,"₹#,##0")&amp;" public summary; "&amp;MonthlyStats!D179&amp;" cases")</x:f>
      </x:c>
      <x:c r="J179" t="str">
        <x:f>IF(MonthlyStats!A179="","","#")</x:f>
      </x:c>
      <x:c r="K179" t="str">
        <x:f>IF(MonthlyStats!A179="","",MonthlyStats!S179)</x:f>
      </x:c>
      <x:c r="L179" t="str">
        <x:f>IF(MonthlyStats!A179="","","Formula-linked")</x:f>
      </x:c>
    </x:row>
    <x:row r="180">
      <x:c r="A180" t="str">
        <x:f>IF(MonthlyStats!A180="","",MonthlyStats!A180)</x:f>
      </x:c>
      <x:c r="B180" t="str">
        <x:f>IF(MonthlyStats!A180="","",MonthlyStats!B180)</x:f>
      </x:c>
      <x:c r="C180" t="str">
        <x:f>IF(MonthlyStats!A180="","",MonthlyStats!E180)</x:f>
      </x:c>
      <x:c r="D180" t="str">
        <x:f>IF(MonthlyStats!A180="","",MonthlyStats!F180)</x:f>
      </x:c>
      <x:c r="E180" t="str">
        <x:f>IF(MonthlyStats!A180="","",MonthlyStats!G180)</x:f>
      </x:c>
      <x:c r="F180" t="str">
        <x:f>IF(MonthlyStats!A180="","",MonthlyStats!H180)</x:f>
      </x:c>
      <x:c r="G180" t="str">
        <x:f>IF(MonthlyStats!A180="","",MonthlyStats!I180)</x:f>
      </x:c>
      <x:c r="H180" t="str">
        <x:f>IF(MonthlyStats!A180="","",MonthlyStats!J180+MonthlyStats!K180)</x:f>
      </x:c>
      <x:c r="I180" t="str">
        <x:f>IF(MonthlyStats!A180="","",TEXT(MonthlyStats!O180,"₹#,##0")&amp;" public summary; "&amp;MonthlyStats!D180&amp;" cases")</x:f>
      </x:c>
      <x:c r="J180" t="str">
        <x:f>IF(MonthlyStats!A180="","","#")</x:f>
      </x:c>
      <x:c r="K180" t="str">
        <x:f>IF(MonthlyStats!A180="","",MonthlyStats!S180)</x:f>
      </x:c>
      <x:c r="L180" t="str">
        <x:f>IF(MonthlyStats!A180="","","Formula-linked")</x:f>
      </x:c>
    </x:row>
    <x:row r="181">
      <x:c r="A181" t="str">
        <x:f>IF(MonthlyStats!A181="","",MonthlyStats!A181)</x:f>
      </x:c>
      <x:c r="B181" t="str">
        <x:f>IF(MonthlyStats!A181="","",MonthlyStats!B181)</x:f>
      </x:c>
      <x:c r="C181" t="str">
        <x:f>IF(MonthlyStats!A181="","",MonthlyStats!E181)</x:f>
      </x:c>
      <x:c r="D181" t="str">
        <x:f>IF(MonthlyStats!A181="","",MonthlyStats!F181)</x:f>
      </x:c>
      <x:c r="E181" t="str">
        <x:f>IF(MonthlyStats!A181="","",MonthlyStats!G181)</x:f>
      </x:c>
      <x:c r="F181" t="str">
        <x:f>IF(MonthlyStats!A181="","",MonthlyStats!H181)</x:f>
      </x:c>
      <x:c r="G181" t="str">
        <x:f>IF(MonthlyStats!A181="","",MonthlyStats!I181)</x:f>
      </x:c>
      <x:c r="H181" t="str">
        <x:f>IF(MonthlyStats!A181="","",MonthlyStats!J181+MonthlyStats!K181)</x:f>
      </x:c>
      <x:c r="I181" t="str">
        <x:f>IF(MonthlyStats!A181="","",TEXT(MonthlyStats!O181,"₹#,##0")&amp;" public summary; "&amp;MonthlyStats!D181&amp;" cases")</x:f>
      </x:c>
      <x:c r="J181" t="str">
        <x:f>IF(MonthlyStats!A181="","","#")</x:f>
      </x:c>
      <x:c r="K181" t="str">
        <x:f>IF(MonthlyStats!A181="","",MonthlyStats!S181)</x:f>
      </x:c>
      <x:c r="L181" t="str">
        <x:f>IF(MonthlyStats!A181="","","Formula-linked")</x:f>
      </x:c>
    </x:row>
    <x:row r="182">
      <x:c r="A182" t="str">
        <x:f>IF(MonthlyStats!A182="","",MonthlyStats!A182)</x:f>
      </x:c>
      <x:c r="B182" t="str">
        <x:f>IF(MonthlyStats!A182="","",MonthlyStats!B182)</x:f>
      </x:c>
      <x:c r="C182" t="str">
        <x:f>IF(MonthlyStats!A182="","",MonthlyStats!E182)</x:f>
      </x:c>
      <x:c r="D182" t="str">
        <x:f>IF(MonthlyStats!A182="","",MonthlyStats!F182)</x:f>
      </x:c>
      <x:c r="E182" t="str">
        <x:f>IF(MonthlyStats!A182="","",MonthlyStats!G182)</x:f>
      </x:c>
      <x:c r="F182" t="str">
        <x:f>IF(MonthlyStats!A182="","",MonthlyStats!H182)</x:f>
      </x:c>
      <x:c r="G182" t="str">
        <x:f>IF(MonthlyStats!A182="","",MonthlyStats!I182)</x:f>
      </x:c>
      <x:c r="H182" t="str">
        <x:f>IF(MonthlyStats!A182="","",MonthlyStats!J182+MonthlyStats!K182)</x:f>
      </x:c>
      <x:c r="I182" t="str">
        <x:f>IF(MonthlyStats!A182="","",TEXT(MonthlyStats!O182,"₹#,##0")&amp;" public summary; "&amp;MonthlyStats!D182&amp;" cases")</x:f>
      </x:c>
      <x:c r="J182" t="str">
        <x:f>IF(MonthlyStats!A182="","","#")</x:f>
      </x:c>
      <x:c r="K182" t="str">
        <x:f>IF(MonthlyStats!A182="","",MonthlyStats!S182)</x:f>
      </x:c>
      <x:c r="L182" t="str">
        <x:f>IF(MonthlyStats!A182="","","Formula-linked")</x:f>
      </x:c>
    </x:row>
    <x:row r="183">
      <x:c r="A183" t="str">
        <x:f>IF(MonthlyStats!A183="","",MonthlyStats!A183)</x:f>
      </x:c>
      <x:c r="B183" t="str">
        <x:f>IF(MonthlyStats!A183="","",MonthlyStats!B183)</x:f>
      </x:c>
      <x:c r="C183" t="str">
        <x:f>IF(MonthlyStats!A183="","",MonthlyStats!E183)</x:f>
      </x:c>
      <x:c r="D183" t="str">
        <x:f>IF(MonthlyStats!A183="","",MonthlyStats!F183)</x:f>
      </x:c>
      <x:c r="E183" t="str">
        <x:f>IF(MonthlyStats!A183="","",MonthlyStats!G183)</x:f>
      </x:c>
      <x:c r="F183" t="str">
        <x:f>IF(MonthlyStats!A183="","",MonthlyStats!H183)</x:f>
      </x:c>
      <x:c r="G183" t="str">
        <x:f>IF(MonthlyStats!A183="","",MonthlyStats!I183)</x:f>
      </x:c>
      <x:c r="H183" t="str">
        <x:f>IF(MonthlyStats!A183="","",MonthlyStats!J183+MonthlyStats!K183)</x:f>
      </x:c>
      <x:c r="I183" t="str">
        <x:f>IF(MonthlyStats!A183="","",TEXT(MonthlyStats!O183,"₹#,##0")&amp;" public summary; "&amp;MonthlyStats!D183&amp;" cases")</x:f>
      </x:c>
      <x:c r="J183" t="str">
        <x:f>IF(MonthlyStats!A183="","","#")</x:f>
      </x:c>
      <x:c r="K183" t="str">
        <x:f>IF(MonthlyStats!A183="","",MonthlyStats!S183)</x:f>
      </x:c>
      <x:c r="L183" t="str">
        <x:f>IF(MonthlyStats!A183="","","Formula-linked")</x:f>
      </x:c>
    </x:row>
    <x:row r="184">
      <x:c r="A184" t="str">
        <x:f>IF(MonthlyStats!A184="","",MonthlyStats!A184)</x:f>
      </x:c>
      <x:c r="B184" t="str">
        <x:f>IF(MonthlyStats!A184="","",MonthlyStats!B184)</x:f>
      </x:c>
      <x:c r="C184" t="str">
        <x:f>IF(MonthlyStats!A184="","",MonthlyStats!E184)</x:f>
      </x:c>
      <x:c r="D184" t="str">
        <x:f>IF(MonthlyStats!A184="","",MonthlyStats!F184)</x:f>
      </x:c>
      <x:c r="E184" t="str">
        <x:f>IF(MonthlyStats!A184="","",MonthlyStats!G184)</x:f>
      </x:c>
      <x:c r="F184" t="str">
        <x:f>IF(MonthlyStats!A184="","",MonthlyStats!H184)</x:f>
      </x:c>
      <x:c r="G184" t="str">
        <x:f>IF(MonthlyStats!A184="","",MonthlyStats!I184)</x:f>
      </x:c>
      <x:c r="H184" t="str">
        <x:f>IF(MonthlyStats!A184="","",MonthlyStats!J184+MonthlyStats!K184)</x:f>
      </x:c>
      <x:c r="I184" t="str">
        <x:f>IF(MonthlyStats!A184="","",TEXT(MonthlyStats!O184,"₹#,##0")&amp;" public summary; "&amp;MonthlyStats!D184&amp;" cases")</x:f>
      </x:c>
      <x:c r="J184" t="str">
        <x:f>IF(MonthlyStats!A184="","","#")</x:f>
      </x:c>
      <x:c r="K184" t="str">
        <x:f>IF(MonthlyStats!A184="","",MonthlyStats!S184)</x:f>
      </x:c>
      <x:c r="L184" t="str">
        <x:f>IF(MonthlyStats!A184="","","Formula-linked")</x:f>
      </x:c>
    </x:row>
    <x:row r="185">
      <x:c r="A185" t="str">
        <x:f>IF(MonthlyStats!A185="","",MonthlyStats!A185)</x:f>
      </x:c>
      <x:c r="B185" t="str">
        <x:f>IF(MonthlyStats!A185="","",MonthlyStats!B185)</x:f>
      </x:c>
      <x:c r="C185" t="str">
        <x:f>IF(MonthlyStats!A185="","",MonthlyStats!E185)</x:f>
      </x:c>
      <x:c r="D185" t="str">
        <x:f>IF(MonthlyStats!A185="","",MonthlyStats!F185)</x:f>
      </x:c>
      <x:c r="E185" t="str">
        <x:f>IF(MonthlyStats!A185="","",MonthlyStats!G185)</x:f>
      </x:c>
      <x:c r="F185" t="str">
        <x:f>IF(MonthlyStats!A185="","",MonthlyStats!H185)</x:f>
      </x:c>
      <x:c r="G185" t="str">
        <x:f>IF(MonthlyStats!A185="","",MonthlyStats!I185)</x:f>
      </x:c>
      <x:c r="H185" t="str">
        <x:f>IF(MonthlyStats!A185="","",MonthlyStats!J185+MonthlyStats!K185)</x:f>
      </x:c>
      <x:c r="I185" t="str">
        <x:f>IF(MonthlyStats!A185="","",TEXT(MonthlyStats!O185,"₹#,##0")&amp;" public summary; "&amp;MonthlyStats!D185&amp;" cases")</x:f>
      </x:c>
      <x:c r="J185" t="str">
        <x:f>IF(MonthlyStats!A185="","","#")</x:f>
      </x:c>
      <x:c r="K185" t="str">
        <x:f>IF(MonthlyStats!A185="","",MonthlyStats!S185)</x:f>
      </x:c>
      <x:c r="L185" t="str">
        <x:f>IF(MonthlyStats!A185="","","Formula-linked")</x:f>
      </x:c>
    </x:row>
    <x:row r="186">
      <x:c r="A186" t="str">
        <x:f>IF(MonthlyStats!A186="","",MonthlyStats!A186)</x:f>
      </x:c>
      <x:c r="B186" t="str">
        <x:f>IF(MonthlyStats!A186="","",MonthlyStats!B186)</x:f>
      </x:c>
      <x:c r="C186" t="str">
        <x:f>IF(MonthlyStats!A186="","",MonthlyStats!E186)</x:f>
      </x:c>
      <x:c r="D186" t="str">
        <x:f>IF(MonthlyStats!A186="","",MonthlyStats!F186)</x:f>
      </x:c>
      <x:c r="E186" t="str">
        <x:f>IF(MonthlyStats!A186="","",MonthlyStats!G186)</x:f>
      </x:c>
      <x:c r="F186" t="str">
        <x:f>IF(MonthlyStats!A186="","",MonthlyStats!H186)</x:f>
      </x:c>
      <x:c r="G186" t="str">
        <x:f>IF(MonthlyStats!A186="","",MonthlyStats!I186)</x:f>
      </x:c>
      <x:c r="H186" t="str">
        <x:f>IF(MonthlyStats!A186="","",MonthlyStats!J186+MonthlyStats!K186)</x:f>
      </x:c>
      <x:c r="I186" t="str">
        <x:f>IF(MonthlyStats!A186="","",TEXT(MonthlyStats!O186,"₹#,##0")&amp;" public summary; "&amp;MonthlyStats!D186&amp;" cases")</x:f>
      </x:c>
      <x:c r="J186" t="str">
        <x:f>IF(MonthlyStats!A186="","","#")</x:f>
      </x:c>
      <x:c r="K186" t="str">
        <x:f>IF(MonthlyStats!A186="","",MonthlyStats!S186)</x:f>
      </x:c>
      <x:c r="L186" t="str">
        <x:f>IF(MonthlyStats!A186="","","Formula-linked")</x:f>
      </x:c>
    </x:row>
    <x:row r="187">
      <x:c r="A187" t="str">
        <x:f>IF(MonthlyStats!A187="","",MonthlyStats!A187)</x:f>
      </x:c>
      <x:c r="B187" t="str">
        <x:f>IF(MonthlyStats!A187="","",MonthlyStats!B187)</x:f>
      </x:c>
      <x:c r="C187" t="str">
        <x:f>IF(MonthlyStats!A187="","",MonthlyStats!E187)</x:f>
      </x:c>
      <x:c r="D187" t="str">
        <x:f>IF(MonthlyStats!A187="","",MonthlyStats!F187)</x:f>
      </x:c>
      <x:c r="E187" t="str">
        <x:f>IF(MonthlyStats!A187="","",MonthlyStats!G187)</x:f>
      </x:c>
      <x:c r="F187" t="str">
        <x:f>IF(MonthlyStats!A187="","",MonthlyStats!H187)</x:f>
      </x:c>
      <x:c r="G187" t="str">
        <x:f>IF(MonthlyStats!A187="","",MonthlyStats!I187)</x:f>
      </x:c>
      <x:c r="H187" t="str">
        <x:f>IF(MonthlyStats!A187="","",MonthlyStats!J187+MonthlyStats!K187)</x:f>
      </x:c>
      <x:c r="I187" t="str">
        <x:f>IF(MonthlyStats!A187="","",TEXT(MonthlyStats!O187,"₹#,##0")&amp;" public summary; "&amp;MonthlyStats!D187&amp;" cases")</x:f>
      </x:c>
      <x:c r="J187" t="str">
        <x:f>IF(MonthlyStats!A187="","","#")</x:f>
      </x:c>
      <x:c r="K187" t="str">
        <x:f>IF(MonthlyStats!A187="","",MonthlyStats!S187)</x:f>
      </x:c>
      <x:c r="L187" t="str">
        <x:f>IF(MonthlyStats!A187="","","Formula-linked")</x:f>
      </x:c>
    </x:row>
    <x:row r="188">
      <x:c r="A188" t="str">
        <x:f>IF(MonthlyStats!A188="","",MonthlyStats!A188)</x:f>
      </x:c>
      <x:c r="B188" t="str">
        <x:f>IF(MonthlyStats!A188="","",MonthlyStats!B188)</x:f>
      </x:c>
      <x:c r="C188" t="str">
        <x:f>IF(MonthlyStats!A188="","",MonthlyStats!E188)</x:f>
      </x:c>
      <x:c r="D188" t="str">
        <x:f>IF(MonthlyStats!A188="","",MonthlyStats!F188)</x:f>
      </x:c>
      <x:c r="E188" t="str">
        <x:f>IF(MonthlyStats!A188="","",MonthlyStats!G188)</x:f>
      </x:c>
      <x:c r="F188" t="str">
        <x:f>IF(MonthlyStats!A188="","",MonthlyStats!H188)</x:f>
      </x:c>
      <x:c r="G188" t="str">
        <x:f>IF(MonthlyStats!A188="","",MonthlyStats!I188)</x:f>
      </x:c>
      <x:c r="H188" t="str">
        <x:f>IF(MonthlyStats!A188="","",MonthlyStats!J188+MonthlyStats!K188)</x:f>
      </x:c>
      <x:c r="I188" t="str">
        <x:f>IF(MonthlyStats!A188="","",TEXT(MonthlyStats!O188,"₹#,##0")&amp;" public summary; "&amp;MonthlyStats!D188&amp;" cases")</x:f>
      </x:c>
      <x:c r="J188" t="str">
        <x:f>IF(MonthlyStats!A188="","","#")</x:f>
      </x:c>
      <x:c r="K188" t="str">
        <x:f>IF(MonthlyStats!A188="","",MonthlyStats!S188)</x:f>
      </x:c>
      <x:c r="L188" t="str">
        <x:f>IF(MonthlyStats!A188="","","Formula-linked")</x:f>
      </x:c>
    </x:row>
    <x:row r="189">
      <x:c r="A189" t="str">
        <x:f>IF(MonthlyStats!A189="","",MonthlyStats!A189)</x:f>
      </x:c>
      <x:c r="B189" t="str">
        <x:f>IF(MonthlyStats!A189="","",MonthlyStats!B189)</x:f>
      </x:c>
      <x:c r="C189" t="str">
        <x:f>IF(MonthlyStats!A189="","",MonthlyStats!E189)</x:f>
      </x:c>
      <x:c r="D189" t="str">
        <x:f>IF(MonthlyStats!A189="","",MonthlyStats!F189)</x:f>
      </x:c>
      <x:c r="E189" t="str">
        <x:f>IF(MonthlyStats!A189="","",MonthlyStats!G189)</x:f>
      </x:c>
      <x:c r="F189" t="str">
        <x:f>IF(MonthlyStats!A189="","",MonthlyStats!H189)</x:f>
      </x:c>
      <x:c r="G189" t="str">
        <x:f>IF(MonthlyStats!A189="","",MonthlyStats!I189)</x:f>
      </x:c>
      <x:c r="H189" t="str">
        <x:f>IF(MonthlyStats!A189="","",MonthlyStats!J189+MonthlyStats!K189)</x:f>
      </x:c>
      <x:c r="I189" t="str">
        <x:f>IF(MonthlyStats!A189="","",TEXT(MonthlyStats!O189,"₹#,##0")&amp;" public summary; "&amp;MonthlyStats!D189&amp;" cases")</x:f>
      </x:c>
      <x:c r="J189" t="str">
        <x:f>IF(MonthlyStats!A189="","","#")</x:f>
      </x:c>
      <x:c r="K189" t="str">
        <x:f>IF(MonthlyStats!A189="","",MonthlyStats!S189)</x:f>
      </x:c>
      <x:c r="L189" t="str">
        <x:f>IF(MonthlyStats!A189="","","Formula-linked")</x:f>
      </x:c>
    </x:row>
    <x:row r="190">
      <x:c r="A190" t="str">
        <x:f>IF(MonthlyStats!A190="","",MonthlyStats!A190)</x:f>
      </x:c>
      <x:c r="B190" t="str">
        <x:f>IF(MonthlyStats!A190="","",MonthlyStats!B190)</x:f>
      </x:c>
      <x:c r="C190" t="str">
        <x:f>IF(MonthlyStats!A190="","",MonthlyStats!E190)</x:f>
      </x:c>
      <x:c r="D190" t="str">
        <x:f>IF(MonthlyStats!A190="","",MonthlyStats!F190)</x:f>
      </x:c>
      <x:c r="E190" t="str">
        <x:f>IF(MonthlyStats!A190="","",MonthlyStats!G190)</x:f>
      </x:c>
      <x:c r="F190" t="str">
        <x:f>IF(MonthlyStats!A190="","",MonthlyStats!H190)</x:f>
      </x:c>
      <x:c r="G190" t="str">
        <x:f>IF(MonthlyStats!A190="","",MonthlyStats!I190)</x:f>
      </x:c>
      <x:c r="H190" t="str">
        <x:f>IF(MonthlyStats!A190="","",MonthlyStats!J190+MonthlyStats!K190)</x:f>
      </x:c>
      <x:c r="I190" t="str">
        <x:f>IF(MonthlyStats!A190="","",TEXT(MonthlyStats!O190,"₹#,##0")&amp;" public summary; "&amp;MonthlyStats!D190&amp;" cases")</x:f>
      </x:c>
      <x:c r="J190" t="str">
        <x:f>IF(MonthlyStats!A190="","","#")</x:f>
      </x:c>
      <x:c r="K190" t="str">
        <x:f>IF(MonthlyStats!A190="","",MonthlyStats!S190)</x:f>
      </x:c>
      <x:c r="L190" t="str">
        <x:f>IF(MonthlyStats!A190="","","Formula-linked")</x:f>
      </x:c>
    </x:row>
    <x:row r="191">
      <x:c r="A191" t="str">
        <x:f>IF(MonthlyStats!A191="","",MonthlyStats!A191)</x:f>
      </x:c>
      <x:c r="B191" t="str">
        <x:f>IF(MonthlyStats!A191="","",MonthlyStats!B191)</x:f>
      </x:c>
      <x:c r="C191" t="str">
        <x:f>IF(MonthlyStats!A191="","",MonthlyStats!E191)</x:f>
      </x:c>
      <x:c r="D191" t="str">
        <x:f>IF(MonthlyStats!A191="","",MonthlyStats!F191)</x:f>
      </x:c>
      <x:c r="E191" t="str">
        <x:f>IF(MonthlyStats!A191="","",MonthlyStats!G191)</x:f>
      </x:c>
      <x:c r="F191" t="str">
        <x:f>IF(MonthlyStats!A191="","",MonthlyStats!H191)</x:f>
      </x:c>
      <x:c r="G191" t="str">
        <x:f>IF(MonthlyStats!A191="","",MonthlyStats!I191)</x:f>
      </x:c>
      <x:c r="H191" t="str">
        <x:f>IF(MonthlyStats!A191="","",MonthlyStats!J191+MonthlyStats!K191)</x:f>
      </x:c>
      <x:c r="I191" t="str">
        <x:f>IF(MonthlyStats!A191="","",TEXT(MonthlyStats!O191,"₹#,##0")&amp;" public summary; "&amp;MonthlyStats!D191&amp;" cases")</x:f>
      </x:c>
      <x:c r="J191" t="str">
        <x:f>IF(MonthlyStats!A191="","","#")</x:f>
      </x:c>
      <x:c r="K191" t="str">
        <x:f>IF(MonthlyStats!A191="","",MonthlyStats!S191)</x:f>
      </x:c>
      <x:c r="L191" t="str">
        <x:f>IF(MonthlyStats!A191="","","Formula-linked")</x:f>
      </x:c>
    </x:row>
    <x:row r="192">
      <x:c r="A192" t="str">
        <x:f>IF(MonthlyStats!A192="","",MonthlyStats!A192)</x:f>
      </x:c>
      <x:c r="B192" t="str">
        <x:f>IF(MonthlyStats!A192="","",MonthlyStats!B192)</x:f>
      </x:c>
      <x:c r="C192" t="str">
        <x:f>IF(MonthlyStats!A192="","",MonthlyStats!E192)</x:f>
      </x:c>
      <x:c r="D192" t="str">
        <x:f>IF(MonthlyStats!A192="","",MonthlyStats!F192)</x:f>
      </x:c>
      <x:c r="E192" t="str">
        <x:f>IF(MonthlyStats!A192="","",MonthlyStats!G192)</x:f>
      </x:c>
      <x:c r="F192" t="str">
        <x:f>IF(MonthlyStats!A192="","",MonthlyStats!H192)</x:f>
      </x:c>
      <x:c r="G192" t="str">
        <x:f>IF(MonthlyStats!A192="","",MonthlyStats!I192)</x:f>
      </x:c>
      <x:c r="H192" t="str">
        <x:f>IF(MonthlyStats!A192="","",MonthlyStats!J192+MonthlyStats!K192)</x:f>
      </x:c>
      <x:c r="I192" t="str">
        <x:f>IF(MonthlyStats!A192="","",TEXT(MonthlyStats!O192,"₹#,##0")&amp;" public summary; "&amp;MonthlyStats!D192&amp;" cases")</x:f>
      </x:c>
      <x:c r="J192" t="str">
        <x:f>IF(MonthlyStats!A192="","","#")</x:f>
      </x:c>
      <x:c r="K192" t="str">
        <x:f>IF(MonthlyStats!A192="","",MonthlyStats!S192)</x:f>
      </x:c>
      <x:c r="L192" t="str">
        <x:f>IF(MonthlyStats!A192="","","Formula-linked")</x:f>
      </x:c>
    </x:row>
    <x:row r="193">
      <x:c r="A193" t="str">
        <x:f>IF(MonthlyStats!A193="","",MonthlyStats!A193)</x:f>
      </x:c>
      <x:c r="B193" t="str">
        <x:f>IF(MonthlyStats!A193="","",MonthlyStats!B193)</x:f>
      </x:c>
      <x:c r="C193" t="str">
        <x:f>IF(MonthlyStats!A193="","",MonthlyStats!E193)</x:f>
      </x:c>
      <x:c r="D193" t="str">
        <x:f>IF(MonthlyStats!A193="","",MonthlyStats!F193)</x:f>
      </x:c>
      <x:c r="E193" t="str">
        <x:f>IF(MonthlyStats!A193="","",MonthlyStats!G193)</x:f>
      </x:c>
      <x:c r="F193" t="str">
        <x:f>IF(MonthlyStats!A193="","",MonthlyStats!H193)</x:f>
      </x:c>
      <x:c r="G193" t="str">
        <x:f>IF(MonthlyStats!A193="","",MonthlyStats!I193)</x:f>
      </x:c>
      <x:c r="H193" t="str">
        <x:f>IF(MonthlyStats!A193="","",MonthlyStats!J193+MonthlyStats!K193)</x:f>
      </x:c>
      <x:c r="I193" t="str">
        <x:f>IF(MonthlyStats!A193="","",TEXT(MonthlyStats!O193,"₹#,##0")&amp;" public summary; "&amp;MonthlyStats!D193&amp;" cases")</x:f>
      </x:c>
      <x:c r="J193" t="str">
        <x:f>IF(MonthlyStats!A193="","","#")</x:f>
      </x:c>
      <x:c r="K193" t="str">
        <x:f>IF(MonthlyStats!A193="","",MonthlyStats!S193)</x:f>
      </x:c>
      <x:c r="L193" t="str">
        <x:f>IF(MonthlyStats!A193="","","Formula-linked")</x:f>
      </x:c>
    </x:row>
    <x:row r="194">
      <x:c r="A194" t="str">
        <x:f>IF(MonthlyStats!A194="","",MonthlyStats!A194)</x:f>
      </x:c>
      <x:c r="B194" t="str">
        <x:f>IF(MonthlyStats!A194="","",MonthlyStats!B194)</x:f>
      </x:c>
      <x:c r="C194" t="str">
        <x:f>IF(MonthlyStats!A194="","",MonthlyStats!E194)</x:f>
      </x:c>
      <x:c r="D194" t="str">
        <x:f>IF(MonthlyStats!A194="","",MonthlyStats!F194)</x:f>
      </x:c>
      <x:c r="E194" t="str">
        <x:f>IF(MonthlyStats!A194="","",MonthlyStats!G194)</x:f>
      </x:c>
      <x:c r="F194" t="str">
        <x:f>IF(MonthlyStats!A194="","",MonthlyStats!H194)</x:f>
      </x:c>
      <x:c r="G194" t="str">
        <x:f>IF(MonthlyStats!A194="","",MonthlyStats!I194)</x:f>
      </x:c>
      <x:c r="H194" t="str">
        <x:f>IF(MonthlyStats!A194="","",MonthlyStats!J194+MonthlyStats!K194)</x:f>
      </x:c>
      <x:c r="I194" t="str">
        <x:f>IF(MonthlyStats!A194="","",TEXT(MonthlyStats!O194,"₹#,##0")&amp;" public summary; "&amp;MonthlyStats!D194&amp;" cases")</x:f>
      </x:c>
      <x:c r="J194" t="str">
        <x:f>IF(MonthlyStats!A194="","","#")</x:f>
      </x:c>
      <x:c r="K194" t="str">
        <x:f>IF(MonthlyStats!A194="","",MonthlyStats!S194)</x:f>
      </x:c>
      <x:c r="L194" t="str">
        <x:f>IF(MonthlyStats!A194="","","Formula-linked")</x:f>
      </x:c>
    </x:row>
    <x:row r="195">
      <x:c r="A195" t="str">
        <x:f>IF(MonthlyStats!A195="","",MonthlyStats!A195)</x:f>
      </x:c>
      <x:c r="B195" t="str">
        <x:f>IF(MonthlyStats!A195="","",MonthlyStats!B195)</x:f>
      </x:c>
      <x:c r="C195" t="str">
        <x:f>IF(MonthlyStats!A195="","",MonthlyStats!E195)</x:f>
      </x:c>
      <x:c r="D195" t="str">
        <x:f>IF(MonthlyStats!A195="","",MonthlyStats!F195)</x:f>
      </x:c>
      <x:c r="E195" t="str">
        <x:f>IF(MonthlyStats!A195="","",MonthlyStats!G195)</x:f>
      </x:c>
      <x:c r="F195" t="str">
        <x:f>IF(MonthlyStats!A195="","",MonthlyStats!H195)</x:f>
      </x:c>
      <x:c r="G195" t="str">
        <x:f>IF(MonthlyStats!A195="","",MonthlyStats!I195)</x:f>
      </x:c>
      <x:c r="H195" t="str">
        <x:f>IF(MonthlyStats!A195="","",MonthlyStats!J195+MonthlyStats!K195)</x:f>
      </x:c>
      <x:c r="I195" t="str">
        <x:f>IF(MonthlyStats!A195="","",TEXT(MonthlyStats!O195,"₹#,##0")&amp;" public summary; "&amp;MonthlyStats!D195&amp;" cases")</x:f>
      </x:c>
      <x:c r="J195" t="str">
        <x:f>IF(MonthlyStats!A195="","","#")</x:f>
      </x:c>
      <x:c r="K195" t="str">
        <x:f>IF(MonthlyStats!A195="","",MonthlyStats!S195)</x:f>
      </x:c>
      <x:c r="L195" t="str">
        <x:f>IF(MonthlyStats!A195="","","Formula-linked")</x:f>
      </x:c>
    </x:row>
    <x:row r="196">
      <x:c r="A196" t="str">
        <x:f>IF(MonthlyStats!A196="","",MonthlyStats!A196)</x:f>
      </x:c>
      <x:c r="B196" t="str">
        <x:f>IF(MonthlyStats!A196="","",MonthlyStats!B196)</x:f>
      </x:c>
      <x:c r="C196" t="str">
        <x:f>IF(MonthlyStats!A196="","",MonthlyStats!E196)</x:f>
      </x:c>
      <x:c r="D196" t="str">
        <x:f>IF(MonthlyStats!A196="","",MonthlyStats!F196)</x:f>
      </x:c>
      <x:c r="E196" t="str">
        <x:f>IF(MonthlyStats!A196="","",MonthlyStats!G196)</x:f>
      </x:c>
      <x:c r="F196" t="str">
        <x:f>IF(MonthlyStats!A196="","",MonthlyStats!H196)</x:f>
      </x:c>
      <x:c r="G196" t="str">
        <x:f>IF(MonthlyStats!A196="","",MonthlyStats!I196)</x:f>
      </x:c>
      <x:c r="H196" t="str">
        <x:f>IF(MonthlyStats!A196="","",MonthlyStats!J196+MonthlyStats!K196)</x:f>
      </x:c>
      <x:c r="I196" t="str">
        <x:f>IF(MonthlyStats!A196="","",TEXT(MonthlyStats!O196,"₹#,##0")&amp;" public summary; "&amp;MonthlyStats!D196&amp;" cases")</x:f>
      </x:c>
      <x:c r="J196" t="str">
        <x:f>IF(MonthlyStats!A196="","","#")</x:f>
      </x:c>
      <x:c r="K196" t="str">
        <x:f>IF(MonthlyStats!A196="","",MonthlyStats!S196)</x:f>
      </x:c>
      <x:c r="L196" t="str">
        <x:f>IF(MonthlyStats!A196="","","Formula-linked")</x:f>
      </x:c>
    </x:row>
    <x:row r="197">
      <x:c r="A197" t="str">
        <x:f>IF(MonthlyStats!A197="","",MonthlyStats!A197)</x:f>
      </x:c>
      <x:c r="B197" t="str">
        <x:f>IF(MonthlyStats!A197="","",MonthlyStats!B197)</x:f>
      </x:c>
      <x:c r="C197" t="str">
        <x:f>IF(MonthlyStats!A197="","",MonthlyStats!E197)</x:f>
      </x:c>
      <x:c r="D197" t="str">
        <x:f>IF(MonthlyStats!A197="","",MonthlyStats!F197)</x:f>
      </x:c>
      <x:c r="E197" t="str">
        <x:f>IF(MonthlyStats!A197="","",MonthlyStats!G197)</x:f>
      </x:c>
      <x:c r="F197" t="str">
        <x:f>IF(MonthlyStats!A197="","",MonthlyStats!H197)</x:f>
      </x:c>
      <x:c r="G197" t="str">
        <x:f>IF(MonthlyStats!A197="","",MonthlyStats!I197)</x:f>
      </x:c>
      <x:c r="H197" t="str">
        <x:f>IF(MonthlyStats!A197="","",MonthlyStats!J197+MonthlyStats!K197)</x:f>
      </x:c>
      <x:c r="I197" t="str">
        <x:f>IF(MonthlyStats!A197="","",TEXT(MonthlyStats!O197,"₹#,##0")&amp;" public summary; "&amp;MonthlyStats!D197&amp;" cases")</x:f>
      </x:c>
      <x:c r="J197" t="str">
        <x:f>IF(MonthlyStats!A197="","","#")</x:f>
      </x:c>
      <x:c r="K197" t="str">
        <x:f>IF(MonthlyStats!A197="","",MonthlyStats!S197)</x:f>
      </x:c>
      <x:c r="L197" t="str">
        <x:f>IF(MonthlyStats!A197="","","Formula-linked")</x:f>
      </x:c>
    </x:row>
    <x:row r="198">
      <x:c r="A198" t="str">
        <x:f>IF(MonthlyStats!A198="","",MonthlyStats!A198)</x:f>
      </x:c>
      <x:c r="B198" t="str">
        <x:f>IF(MonthlyStats!A198="","",MonthlyStats!B198)</x:f>
      </x:c>
      <x:c r="C198" t="str">
        <x:f>IF(MonthlyStats!A198="","",MonthlyStats!E198)</x:f>
      </x:c>
      <x:c r="D198" t="str">
        <x:f>IF(MonthlyStats!A198="","",MonthlyStats!F198)</x:f>
      </x:c>
      <x:c r="E198" t="str">
        <x:f>IF(MonthlyStats!A198="","",MonthlyStats!G198)</x:f>
      </x:c>
      <x:c r="F198" t="str">
        <x:f>IF(MonthlyStats!A198="","",MonthlyStats!H198)</x:f>
      </x:c>
      <x:c r="G198" t="str">
        <x:f>IF(MonthlyStats!A198="","",MonthlyStats!I198)</x:f>
      </x:c>
      <x:c r="H198" t="str">
        <x:f>IF(MonthlyStats!A198="","",MonthlyStats!J198+MonthlyStats!K198)</x:f>
      </x:c>
      <x:c r="I198" t="str">
        <x:f>IF(MonthlyStats!A198="","",TEXT(MonthlyStats!O198,"₹#,##0")&amp;" public summary; "&amp;MonthlyStats!D198&amp;" cases")</x:f>
      </x:c>
      <x:c r="J198" t="str">
        <x:f>IF(MonthlyStats!A198="","","#")</x:f>
      </x:c>
      <x:c r="K198" t="str">
        <x:f>IF(MonthlyStats!A198="","",MonthlyStats!S198)</x:f>
      </x:c>
      <x:c r="L198" t="str">
        <x:f>IF(MonthlyStats!A198="","","Formula-linked")</x:f>
      </x:c>
    </x:row>
    <x:row r="199">
      <x:c r="A199" t="str">
        <x:f>IF(MonthlyStats!A199="","",MonthlyStats!A199)</x:f>
      </x:c>
      <x:c r="B199" t="str">
        <x:f>IF(MonthlyStats!A199="","",MonthlyStats!B199)</x:f>
      </x:c>
      <x:c r="C199" t="str">
        <x:f>IF(MonthlyStats!A199="","",MonthlyStats!E199)</x:f>
      </x:c>
      <x:c r="D199" t="str">
        <x:f>IF(MonthlyStats!A199="","",MonthlyStats!F199)</x:f>
      </x:c>
      <x:c r="E199" t="str">
        <x:f>IF(MonthlyStats!A199="","",MonthlyStats!G199)</x:f>
      </x:c>
      <x:c r="F199" t="str">
        <x:f>IF(MonthlyStats!A199="","",MonthlyStats!H199)</x:f>
      </x:c>
      <x:c r="G199" t="str">
        <x:f>IF(MonthlyStats!A199="","",MonthlyStats!I199)</x:f>
      </x:c>
      <x:c r="H199" t="str">
        <x:f>IF(MonthlyStats!A199="","",MonthlyStats!J199+MonthlyStats!K199)</x:f>
      </x:c>
      <x:c r="I199" t="str">
        <x:f>IF(MonthlyStats!A199="","",TEXT(MonthlyStats!O199,"₹#,##0")&amp;" public summary; "&amp;MonthlyStats!D199&amp;" cases")</x:f>
      </x:c>
      <x:c r="J199" t="str">
        <x:f>IF(MonthlyStats!A199="","","#")</x:f>
      </x:c>
      <x:c r="K199" t="str">
        <x:f>IF(MonthlyStats!A199="","",MonthlyStats!S199)</x:f>
      </x:c>
      <x:c r="L199" t="str">
        <x:f>IF(MonthlyStats!A199="","","Formula-linked")</x:f>
      </x:c>
    </x:row>
    <x:row r="200">
      <x:c r="A200" t="str">
        <x:f>IF(MonthlyStats!A200="","",MonthlyStats!A200)</x:f>
      </x:c>
      <x:c r="B200" t="str">
        <x:f>IF(MonthlyStats!A200="","",MonthlyStats!B200)</x:f>
      </x:c>
      <x:c r="C200" t="str">
        <x:f>IF(MonthlyStats!A200="","",MonthlyStats!E200)</x:f>
      </x:c>
      <x:c r="D200" t="str">
        <x:f>IF(MonthlyStats!A200="","",MonthlyStats!F200)</x:f>
      </x:c>
      <x:c r="E200" t="str">
        <x:f>IF(MonthlyStats!A200="","",MonthlyStats!G200)</x:f>
      </x:c>
      <x:c r="F200" t="str">
        <x:f>IF(MonthlyStats!A200="","",MonthlyStats!H200)</x:f>
      </x:c>
      <x:c r="G200" t="str">
        <x:f>IF(MonthlyStats!A200="","",MonthlyStats!I200)</x:f>
      </x:c>
      <x:c r="H200" t="str">
        <x:f>IF(MonthlyStats!A200="","",MonthlyStats!J200+MonthlyStats!K200)</x:f>
      </x:c>
      <x:c r="I200" t="str">
        <x:f>IF(MonthlyStats!A200="","",TEXT(MonthlyStats!O200,"₹#,##0")&amp;" public summary; "&amp;MonthlyStats!D200&amp;" cases")</x:f>
      </x:c>
      <x:c r="J200" t="str">
        <x:f>IF(MonthlyStats!A200="","","#")</x:f>
      </x:c>
      <x:c r="K200" t="str">
        <x:f>IF(MonthlyStats!A200="","",MonthlyStats!S200)</x:f>
      </x:c>
      <x:c r="L200" t="str">
        <x:f>IF(MonthlyStats!A200="","","Formula-linked")</x:f>
      </x:c>
    </x:row>
    <x:row r="201">
      <x:c r="A201" t="str">
        <x:f>IF(MonthlyStats!A201="","",MonthlyStats!A201)</x:f>
      </x:c>
      <x:c r="B201" t="str">
        <x:f>IF(MonthlyStats!A201="","",MonthlyStats!B201)</x:f>
      </x:c>
      <x:c r="C201" t="str">
        <x:f>IF(MonthlyStats!A201="","",MonthlyStats!E201)</x:f>
      </x:c>
      <x:c r="D201" t="str">
        <x:f>IF(MonthlyStats!A201="","",MonthlyStats!F201)</x:f>
      </x:c>
      <x:c r="E201" t="str">
        <x:f>IF(MonthlyStats!A201="","",MonthlyStats!G201)</x:f>
      </x:c>
      <x:c r="F201" t="str">
        <x:f>IF(MonthlyStats!A201="","",MonthlyStats!H201)</x:f>
      </x:c>
      <x:c r="G201" t="str">
        <x:f>IF(MonthlyStats!A201="","",MonthlyStats!I201)</x:f>
      </x:c>
      <x:c r="H201" t="str">
        <x:f>IF(MonthlyStats!A201="","",MonthlyStats!J201+MonthlyStats!K201)</x:f>
      </x:c>
      <x:c r="I201" t="str">
        <x:f>IF(MonthlyStats!A201="","",TEXT(MonthlyStats!O201,"₹#,##0")&amp;" public summary; "&amp;MonthlyStats!D201&amp;" cases")</x:f>
      </x:c>
      <x:c r="J201" t="str">
        <x:f>IF(MonthlyStats!A201="","","#")</x:f>
      </x:c>
      <x:c r="K201" t="str">
        <x:f>IF(MonthlyStats!A201="","",MonthlyStats!S201)</x:f>
      </x:c>
      <x:c r="L201" t="str">
        <x:f>IF(MonthlyStats!A201="","","Formula-linked")</x:f>
      </x:c>
    </x:row>
    <x:row r="202">
      <x:c r="A202" t="str">
        <x:f>IF(MonthlyStats!A202="","",MonthlyStats!A202)</x:f>
      </x:c>
      <x:c r="B202" t="str">
        <x:f>IF(MonthlyStats!A202="","",MonthlyStats!B202)</x:f>
      </x:c>
      <x:c r="C202" t="str">
        <x:f>IF(MonthlyStats!A202="","",MonthlyStats!E202)</x:f>
      </x:c>
      <x:c r="D202" t="str">
        <x:f>IF(MonthlyStats!A202="","",MonthlyStats!F202)</x:f>
      </x:c>
      <x:c r="E202" t="str">
        <x:f>IF(MonthlyStats!A202="","",MonthlyStats!G202)</x:f>
      </x:c>
      <x:c r="F202" t="str">
        <x:f>IF(MonthlyStats!A202="","",MonthlyStats!H202)</x:f>
      </x:c>
      <x:c r="G202" t="str">
        <x:f>IF(MonthlyStats!A202="","",MonthlyStats!I202)</x:f>
      </x:c>
      <x:c r="H202" t="str">
        <x:f>IF(MonthlyStats!A202="","",MonthlyStats!J202+MonthlyStats!K202)</x:f>
      </x:c>
      <x:c r="I202" t="str">
        <x:f>IF(MonthlyStats!A202="","",TEXT(MonthlyStats!O202,"₹#,##0")&amp;" public summary; "&amp;MonthlyStats!D202&amp;" cases")</x:f>
      </x:c>
      <x:c r="J202" t="str">
        <x:f>IF(MonthlyStats!A202="","","#")</x:f>
      </x:c>
      <x:c r="K202" t="str">
        <x:f>IF(MonthlyStats!A202="","",MonthlyStats!S202)</x:f>
      </x:c>
      <x:c r="L202" t="str">
        <x:f>IF(MonthlyStats!A202="","","Formula-linked")</x:f>
      </x:c>
    </x:row>
    <x:row r="203">
      <x:c r="A203" t="str">
        <x:f>IF(MonthlyStats!A203="","",MonthlyStats!A203)</x:f>
      </x:c>
      <x:c r="B203" t="str">
        <x:f>IF(MonthlyStats!A203="","",MonthlyStats!B203)</x:f>
      </x:c>
      <x:c r="C203" t="str">
        <x:f>IF(MonthlyStats!A203="","",MonthlyStats!E203)</x:f>
      </x:c>
      <x:c r="D203" t="str">
        <x:f>IF(MonthlyStats!A203="","",MonthlyStats!F203)</x:f>
      </x:c>
      <x:c r="E203" t="str">
        <x:f>IF(MonthlyStats!A203="","",MonthlyStats!G203)</x:f>
      </x:c>
      <x:c r="F203" t="str">
        <x:f>IF(MonthlyStats!A203="","",MonthlyStats!H203)</x:f>
      </x:c>
      <x:c r="G203" t="str">
        <x:f>IF(MonthlyStats!A203="","",MonthlyStats!I203)</x:f>
      </x:c>
      <x:c r="H203" t="str">
        <x:f>IF(MonthlyStats!A203="","",MonthlyStats!J203+MonthlyStats!K203)</x:f>
      </x:c>
      <x:c r="I203" t="str">
        <x:f>IF(MonthlyStats!A203="","",TEXT(MonthlyStats!O203,"₹#,##0")&amp;" public summary; "&amp;MonthlyStats!D203&amp;" cases")</x:f>
      </x:c>
      <x:c r="J203" t="str">
        <x:f>IF(MonthlyStats!A203="","","#")</x:f>
      </x:c>
      <x:c r="K203" t="str">
        <x:f>IF(MonthlyStats!A203="","",MonthlyStats!S203)</x:f>
      </x:c>
      <x:c r="L203" t="str">
        <x:f>IF(MonthlyStats!A203="","","Formula-linked")</x:f>
      </x:c>
    </x:row>
    <x:row r="204">
      <x:c r="A204" t="str">
        <x:f>IF(MonthlyStats!A204="","",MonthlyStats!A204)</x:f>
      </x:c>
      <x:c r="B204" t="str">
        <x:f>IF(MonthlyStats!A204="","",MonthlyStats!B204)</x:f>
      </x:c>
      <x:c r="C204" t="str">
        <x:f>IF(MonthlyStats!A204="","",MonthlyStats!E204)</x:f>
      </x:c>
      <x:c r="D204" t="str">
        <x:f>IF(MonthlyStats!A204="","",MonthlyStats!F204)</x:f>
      </x:c>
      <x:c r="E204" t="str">
        <x:f>IF(MonthlyStats!A204="","",MonthlyStats!G204)</x:f>
      </x:c>
      <x:c r="F204" t="str">
        <x:f>IF(MonthlyStats!A204="","",MonthlyStats!H204)</x:f>
      </x:c>
      <x:c r="G204" t="str">
        <x:f>IF(MonthlyStats!A204="","",MonthlyStats!I204)</x:f>
      </x:c>
      <x:c r="H204" t="str">
        <x:f>IF(MonthlyStats!A204="","",MonthlyStats!J204+MonthlyStats!K204)</x:f>
      </x:c>
      <x:c r="I204" t="str">
        <x:f>IF(MonthlyStats!A204="","",TEXT(MonthlyStats!O204,"₹#,##0")&amp;" public summary; "&amp;MonthlyStats!D204&amp;" cases")</x:f>
      </x:c>
      <x:c r="J204" t="str">
        <x:f>IF(MonthlyStats!A204="","","#")</x:f>
      </x:c>
      <x:c r="K204" t="str">
        <x:f>IF(MonthlyStats!A204="","",MonthlyStats!S204)</x:f>
      </x:c>
      <x:c r="L204" t="str">
        <x:f>IF(MonthlyStats!A204="","","Formula-linked")</x:f>
      </x:c>
    </x:row>
    <x:row r="205">
      <x:c r="A205" t="str">
        <x:f>IF(MonthlyStats!A205="","",MonthlyStats!A205)</x:f>
      </x:c>
      <x:c r="B205" t="str">
        <x:f>IF(MonthlyStats!A205="","",MonthlyStats!B205)</x:f>
      </x:c>
      <x:c r="C205" t="str">
        <x:f>IF(MonthlyStats!A205="","",MonthlyStats!E205)</x:f>
      </x:c>
      <x:c r="D205" t="str">
        <x:f>IF(MonthlyStats!A205="","",MonthlyStats!F205)</x:f>
      </x:c>
      <x:c r="E205" t="str">
        <x:f>IF(MonthlyStats!A205="","",MonthlyStats!G205)</x:f>
      </x:c>
      <x:c r="F205" t="str">
        <x:f>IF(MonthlyStats!A205="","",MonthlyStats!H205)</x:f>
      </x:c>
      <x:c r="G205" t="str">
        <x:f>IF(MonthlyStats!A205="","",MonthlyStats!I205)</x:f>
      </x:c>
      <x:c r="H205" t="str">
        <x:f>IF(MonthlyStats!A205="","",MonthlyStats!J205+MonthlyStats!K205)</x:f>
      </x:c>
      <x:c r="I205" t="str">
        <x:f>IF(MonthlyStats!A205="","",TEXT(MonthlyStats!O205,"₹#,##0")&amp;" public summary; "&amp;MonthlyStats!D205&amp;" cases")</x:f>
      </x:c>
      <x:c r="J205" t="str">
        <x:f>IF(MonthlyStats!A205="","","#")</x:f>
      </x:c>
      <x:c r="K205" t="str">
        <x:f>IF(MonthlyStats!A205="","",MonthlyStats!S205)</x:f>
      </x:c>
      <x:c r="L205" t="str">
        <x:f>IF(MonthlyStats!A205="","","Formula-linked")</x:f>
      </x:c>
    </x:row>
    <x:row r="206">
      <x:c r="A206" t="str">
        <x:f>IF(MonthlyStats!A206="","",MonthlyStats!A206)</x:f>
      </x:c>
      <x:c r="B206" t="str">
        <x:f>IF(MonthlyStats!A206="","",MonthlyStats!B206)</x:f>
      </x:c>
      <x:c r="C206" t="str">
        <x:f>IF(MonthlyStats!A206="","",MonthlyStats!E206)</x:f>
      </x:c>
      <x:c r="D206" t="str">
        <x:f>IF(MonthlyStats!A206="","",MonthlyStats!F206)</x:f>
      </x:c>
      <x:c r="E206" t="str">
        <x:f>IF(MonthlyStats!A206="","",MonthlyStats!G206)</x:f>
      </x:c>
      <x:c r="F206" t="str">
        <x:f>IF(MonthlyStats!A206="","",MonthlyStats!H206)</x:f>
      </x:c>
      <x:c r="G206" t="str">
        <x:f>IF(MonthlyStats!A206="","",MonthlyStats!I206)</x:f>
      </x:c>
      <x:c r="H206" t="str">
        <x:f>IF(MonthlyStats!A206="","",MonthlyStats!J206+MonthlyStats!K206)</x:f>
      </x:c>
      <x:c r="I206" t="str">
        <x:f>IF(MonthlyStats!A206="","",TEXT(MonthlyStats!O206,"₹#,##0")&amp;" public summary; "&amp;MonthlyStats!D206&amp;" cases")</x:f>
      </x:c>
      <x:c r="J206" t="str">
        <x:f>IF(MonthlyStats!A206="","","#")</x:f>
      </x:c>
      <x:c r="K206" t="str">
        <x:f>IF(MonthlyStats!A206="","",MonthlyStats!S206)</x:f>
      </x:c>
      <x:c r="L206" t="str">
        <x:f>IF(MonthlyStats!A206="","","Formula-linked")</x:f>
      </x:c>
    </x:row>
    <x:row r="207">
      <x:c r="A207" t="str">
        <x:f>IF(MonthlyStats!A207="","",MonthlyStats!A207)</x:f>
      </x:c>
      <x:c r="B207" t="str">
        <x:f>IF(MonthlyStats!A207="","",MonthlyStats!B207)</x:f>
      </x:c>
      <x:c r="C207" t="str">
        <x:f>IF(MonthlyStats!A207="","",MonthlyStats!E207)</x:f>
      </x:c>
      <x:c r="D207" t="str">
        <x:f>IF(MonthlyStats!A207="","",MonthlyStats!F207)</x:f>
      </x:c>
      <x:c r="E207" t="str">
        <x:f>IF(MonthlyStats!A207="","",MonthlyStats!G207)</x:f>
      </x:c>
      <x:c r="F207" t="str">
        <x:f>IF(MonthlyStats!A207="","",MonthlyStats!H207)</x:f>
      </x:c>
      <x:c r="G207" t="str">
        <x:f>IF(MonthlyStats!A207="","",MonthlyStats!I207)</x:f>
      </x:c>
      <x:c r="H207" t="str">
        <x:f>IF(MonthlyStats!A207="","",MonthlyStats!J207+MonthlyStats!K207)</x:f>
      </x:c>
      <x:c r="I207" t="str">
        <x:f>IF(MonthlyStats!A207="","",TEXT(MonthlyStats!O207,"₹#,##0")&amp;" public summary; "&amp;MonthlyStats!D207&amp;" cases")</x:f>
      </x:c>
      <x:c r="J207" t="str">
        <x:f>IF(MonthlyStats!A207="","","#")</x:f>
      </x:c>
      <x:c r="K207" t="str">
        <x:f>IF(MonthlyStats!A207="","",MonthlyStats!S207)</x:f>
      </x:c>
      <x:c r="L207" t="str">
        <x:f>IF(MonthlyStats!A207="","","Formula-linked")</x:f>
      </x:c>
    </x:row>
    <x:row r="208">
      <x:c r="A208" t="str">
        <x:f>IF(MonthlyStats!A208="","",MonthlyStats!A208)</x:f>
      </x:c>
      <x:c r="B208" t="str">
        <x:f>IF(MonthlyStats!A208="","",MonthlyStats!B208)</x:f>
      </x:c>
      <x:c r="C208" t="str">
        <x:f>IF(MonthlyStats!A208="","",MonthlyStats!E208)</x:f>
      </x:c>
      <x:c r="D208" t="str">
        <x:f>IF(MonthlyStats!A208="","",MonthlyStats!F208)</x:f>
      </x:c>
      <x:c r="E208" t="str">
        <x:f>IF(MonthlyStats!A208="","",MonthlyStats!G208)</x:f>
      </x:c>
      <x:c r="F208" t="str">
        <x:f>IF(MonthlyStats!A208="","",MonthlyStats!H208)</x:f>
      </x:c>
      <x:c r="G208" t="str">
        <x:f>IF(MonthlyStats!A208="","",MonthlyStats!I208)</x:f>
      </x:c>
      <x:c r="H208" t="str">
        <x:f>IF(MonthlyStats!A208="","",MonthlyStats!J208+MonthlyStats!K208)</x:f>
      </x:c>
      <x:c r="I208" t="str">
        <x:f>IF(MonthlyStats!A208="","",TEXT(MonthlyStats!O208,"₹#,##0")&amp;" public summary; "&amp;MonthlyStats!D208&amp;" cases")</x:f>
      </x:c>
      <x:c r="J208" t="str">
        <x:f>IF(MonthlyStats!A208="","","#")</x:f>
      </x:c>
      <x:c r="K208" t="str">
        <x:f>IF(MonthlyStats!A208="","",MonthlyStats!S208)</x:f>
      </x:c>
      <x:c r="L208" t="str">
        <x:f>IF(MonthlyStats!A208="","","Formula-linked")</x:f>
      </x:c>
    </x:row>
    <x:row r="209">
      <x:c r="A209" t="str">
        <x:f>IF(MonthlyStats!A209="","",MonthlyStats!A209)</x:f>
      </x:c>
      <x:c r="B209" t="str">
        <x:f>IF(MonthlyStats!A209="","",MonthlyStats!B209)</x:f>
      </x:c>
      <x:c r="C209" t="str">
        <x:f>IF(MonthlyStats!A209="","",MonthlyStats!E209)</x:f>
      </x:c>
      <x:c r="D209" t="str">
        <x:f>IF(MonthlyStats!A209="","",MonthlyStats!F209)</x:f>
      </x:c>
      <x:c r="E209" t="str">
        <x:f>IF(MonthlyStats!A209="","",MonthlyStats!G209)</x:f>
      </x:c>
      <x:c r="F209" t="str">
        <x:f>IF(MonthlyStats!A209="","",MonthlyStats!H209)</x:f>
      </x:c>
      <x:c r="G209" t="str">
        <x:f>IF(MonthlyStats!A209="","",MonthlyStats!I209)</x:f>
      </x:c>
      <x:c r="H209" t="str">
        <x:f>IF(MonthlyStats!A209="","",MonthlyStats!J209+MonthlyStats!K209)</x:f>
      </x:c>
      <x:c r="I209" t="str">
        <x:f>IF(MonthlyStats!A209="","",TEXT(MonthlyStats!O209,"₹#,##0")&amp;" public summary; "&amp;MonthlyStats!D209&amp;" cases")</x:f>
      </x:c>
      <x:c r="J209" t="str">
        <x:f>IF(MonthlyStats!A209="","","#")</x:f>
      </x:c>
      <x:c r="K209" t="str">
        <x:f>IF(MonthlyStats!A209="","",MonthlyStats!S209)</x:f>
      </x:c>
      <x:c r="L209" t="str">
        <x:f>IF(MonthlyStats!A209="","","Formula-linked")</x:f>
      </x:c>
    </x:row>
    <x:row r="210">
      <x:c r="A210" t="str">
        <x:f>IF(MonthlyStats!A210="","",MonthlyStats!A210)</x:f>
      </x:c>
      <x:c r="B210" t="str">
        <x:f>IF(MonthlyStats!A210="","",MonthlyStats!B210)</x:f>
      </x:c>
      <x:c r="C210" t="str">
        <x:f>IF(MonthlyStats!A210="","",MonthlyStats!E210)</x:f>
      </x:c>
      <x:c r="D210" t="str">
        <x:f>IF(MonthlyStats!A210="","",MonthlyStats!F210)</x:f>
      </x:c>
      <x:c r="E210" t="str">
        <x:f>IF(MonthlyStats!A210="","",MonthlyStats!G210)</x:f>
      </x:c>
      <x:c r="F210" t="str">
        <x:f>IF(MonthlyStats!A210="","",MonthlyStats!H210)</x:f>
      </x:c>
      <x:c r="G210" t="str">
        <x:f>IF(MonthlyStats!A210="","",MonthlyStats!I210)</x:f>
      </x:c>
      <x:c r="H210" t="str">
        <x:f>IF(MonthlyStats!A210="","",MonthlyStats!J210+MonthlyStats!K210)</x:f>
      </x:c>
      <x:c r="I210" t="str">
        <x:f>IF(MonthlyStats!A210="","",TEXT(MonthlyStats!O210,"₹#,##0")&amp;" public summary; "&amp;MonthlyStats!D210&amp;" cases")</x:f>
      </x:c>
      <x:c r="J210" t="str">
        <x:f>IF(MonthlyStats!A210="","","#")</x:f>
      </x:c>
      <x:c r="K210" t="str">
        <x:f>IF(MonthlyStats!A210="","",MonthlyStats!S210)</x:f>
      </x:c>
      <x:c r="L210" t="str">
        <x:f>IF(MonthlyStats!A210="","","Formula-linked")</x:f>
      </x:c>
    </x:row>
    <x:row r="211">
      <x:c r="A211" t="str">
        <x:f>IF(MonthlyStats!A211="","",MonthlyStats!A211)</x:f>
      </x:c>
      <x:c r="B211" t="str">
        <x:f>IF(MonthlyStats!A211="","",MonthlyStats!B211)</x:f>
      </x:c>
      <x:c r="C211" t="str">
        <x:f>IF(MonthlyStats!A211="","",MonthlyStats!E211)</x:f>
      </x:c>
      <x:c r="D211" t="str">
        <x:f>IF(MonthlyStats!A211="","",MonthlyStats!F211)</x:f>
      </x:c>
      <x:c r="E211" t="str">
        <x:f>IF(MonthlyStats!A211="","",MonthlyStats!G211)</x:f>
      </x:c>
      <x:c r="F211" t="str">
        <x:f>IF(MonthlyStats!A211="","",MonthlyStats!H211)</x:f>
      </x:c>
      <x:c r="G211" t="str">
        <x:f>IF(MonthlyStats!A211="","",MonthlyStats!I211)</x:f>
      </x:c>
      <x:c r="H211" t="str">
        <x:f>IF(MonthlyStats!A211="","",MonthlyStats!J211+MonthlyStats!K211)</x:f>
      </x:c>
      <x:c r="I211" t="str">
        <x:f>IF(MonthlyStats!A211="","",TEXT(MonthlyStats!O211,"₹#,##0")&amp;" public summary; "&amp;MonthlyStats!D211&amp;" cases")</x:f>
      </x:c>
      <x:c r="J211" t="str">
        <x:f>IF(MonthlyStats!A211="","","#")</x:f>
      </x:c>
      <x:c r="K211" t="str">
        <x:f>IF(MonthlyStats!A211="","",MonthlyStats!S211)</x:f>
      </x:c>
      <x:c r="L211" t="str">
        <x:f>IF(MonthlyStats!A211="","","Formula-linked")</x:f>
      </x:c>
    </x:row>
    <x:row r="212">
      <x:c r="A212" t="str">
        <x:f>IF(MonthlyStats!A212="","",MonthlyStats!A212)</x:f>
      </x:c>
      <x:c r="B212" t="str">
        <x:f>IF(MonthlyStats!A212="","",MonthlyStats!B212)</x:f>
      </x:c>
      <x:c r="C212" t="str">
        <x:f>IF(MonthlyStats!A212="","",MonthlyStats!E212)</x:f>
      </x:c>
      <x:c r="D212" t="str">
        <x:f>IF(MonthlyStats!A212="","",MonthlyStats!F212)</x:f>
      </x:c>
      <x:c r="E212" t="str">
        <x:f>IF(MonthlyStats!A212="","",MonthlyStats!G212)</x:f>
      </x:c>
      <x:c r="F212" t="str">
        <x:f>IF(MonthlyStats!A212="","",MonthlyStats!H212)</x:f>
      </x:c>
      <x:c r="G212" t="str">
        <x:f>IF(MonthlyStats!A212="","",MonthlyStats!I212)</x:f>
      </x:c>
      <x:c r="H212" t="str">
        <x:f>IF(MonthlyStats!A212="","",MonthlyStats!J212+MonthlyStats!K212)</x:f>
      </x:c>
      <x:c r="I212" t="str">
        <x:f>IF(MonthlyStats!A212="","",TEXT(MonthlyStats!O212,"₹#,##0")&amp;" public summary; "&amp;MonthlyStats!D212&amp;" cases")</x:f>
      </x:c>
      <x:c r="J212" t="str">
        <x:f>IF(MonthlyStats!A212="","","#")</x:f>
      </x:c>
      <x:c r="K212" t="str">
        <x:f>IF(MonthlyStats!A212="","",MonthlyStats!S212)</x:f>
      </x:c>
      <x:c r="L212" t="str">
        <x:f>IF(MonthlyStats!A212="","","Formula-linked")</x:f>
      </x:c>
    </x:row>
    <x:row r="213">
      <x:c r="A213" t="str">
        <x:f>IF(MonthlyStats!A213="","",MonthlyStats!A213)</x:f>
      </x:c>
      <x:c r="B213" t="str">
        <x:f>IF(MonthlyStats!A213="","",MonthlyStats!B213)</x:f>
      </x:c>
      <x:c r="C213" t="str">
        <x:f>IF(MonthlyStats!A213="","",MonthlyStats!E213)</x:f>
      </x:c>
      <x:c r="D213" t="str">
        <x:f>IF(MonthlyStats!A213="","",MonthlyStats!F213)</x:f>
      </x:c>
      <x:c r="E213" t="str">
        <x:f>IF(MonthlyStats!A213="","",MonthlyStats!G213)</x:f>
      </x:c>
      <x:c r="F213" t="str">
        <x:f>IF(MonthlyStats!A213="","",MonthlyStats!H213)</x:f>
      </x:c>
      <x:c r="G213" t="str">
        <x:f>IF(MonthlyStats!A213="","",MonthlyStats!I213)</x:f>
      </x:c>
      <x:c r="H213" t="str">
        <x:f>IF(MonthlyStats!A213="","",MonthlyStats!J213+MonthlyStats!K213)</x:f>
      </x:c>
      <x:c r="I213" t="str">
        <x:f>IF(MonthlyStats!A213="","",TEXT(MonthlyStats!O213,"₹#,##0")&amp;" public summary; "&amp;MonthlyStats!D213&amp;" cases")</x:f>
      </x:c>
      <x:c r="J213" t="str">
        <x:f>IF(MonthlyStats!A213="","","#")</x:f>
      </x:c>
      <x:c r="K213" t="str">
        <x:f>IF(MonthlyStats!A213="","",MonthlyStats!S213)</x:f>
      </x:c>
      <x:c r="L213" t="str">
        <x:f>IF(MonthlyStats!A213="","","Formula-linked")</x:f>
      </x:c>
    </x:row>
    <x:row r="214">
      <x:c r="A214" t="str">
        <x:f>IF(MonthlyStats!A214="","",MonthlyStats!A214)</x:f>
      </x:c>
      <x:c r="B214" t="str">
        <x:f>IF(MonthlyStats!A214="","",MonthlyStats!B214)</x:f>
      </x:c>
      <x:c r="C214" t="str">
        <x:f>IF(MonthlyStats!A214="","",MonthlyStats!E214)</x:f>
      </x:c>
      <x:c r="D214" t="str">
        <x:f>IF(MonthlyStats!A214="","",MonthlyStats!F214)</x:f>
      </x:c>
      <x:c r="E214" t="str">
        <x:f>IF(MonthlyStats!A214="","",MonthlyStats!G214)</x:f>
      </x:c>
      <x:c r="F214" t="str">
        <x:f>IF(MonthlyStats!A214="","",MonthlyStats!H214)</x:f>
      </x:c>
      <x:c r="G214" t="str">
        <x:f>IF(MonthlyStats!A214="","",MonthlyStats!I214)</x:f>
      </x:c>
      <x:c r="H214" t="str">
        <x:f>IF(MonthlyStats!A214="","",MonthlyStats!J214+MonthlyStats!K214)</x:f>
      </x:c>
      <x:c r="I214" t="str">
        <x:f>IF(MonthlyStats!A214="","",TEXT(MonthlyStats!O214,"₹#,##0")&amp;" public summary; "&amp;MonthlyStats!D214&amp;" cases")</x:f>
      </x:c>
      <x:c r="J214" t="str">
        <x:f>IF(MonthlyStats!A214="","","#")</x:f>
      </x:c>
      <x:c r="K214" t="str">
        <x:f>IF(MonthlyStats!A214="","",MonthlyStats!S214)</x:f>
      </x:c>
      <x:c r="L214" t="str">
        <x:f>IF(MonthlyStats!A214="","","Formula-linked")</x:f>
      </x:c>
    </x:row>
    <x:row r="215">
      <x:c r="A215" t="str">
        <x:f>IF(MonthlyStats!A215="","",MonthlyStats!A215)</x:f>
      </x:c>
      <x:c r="B215" t="str">
        <x:f>IF(MonthlyStats!A215="","",MonthlyStats!B215)</x:f>
      </x:c>
      <x:c r="C215" t="str">
        <x:f>IF(MonthlyStats!A215="","",MonthlyStats!E215)</x:f>
      </x:c>
      <x:c r="D215" t="str">
        <x:f>IF(MonthlyStats!A215="","",MonthlyStats!F215)</x:f>
      </x:c>
      <x:c r="E215" t="str">
        <x:f>IF(MonthlyStats!A215="","",MonthlyStats!G215)</x:f>
      </x:c>
      <x:c r="F215" t="str">
        <x:f>IF(MonthlyStats!A215="","",MonthlyStats!H215)</x:f>
      </x:c>
      <x:c r="G215" t="str">
        <x:f>IF(MonthlyStats!A215="","",MonthlyStats!I215)</x:f>
      </x:c>
      <x:c r="H215" t="str">
        <x:f>IF(MonthlyStats!A215="","",MonthlyStats!J215+MonthlyStats!K215)</x:f>
      </x:c>
      <x:c r="I215" t="str">
        <x:f>IF(MonthlyStats!A215="","",TEXT(MonthlyStats!O215,"₹#,##0")&amp;" public summary; "&amp;MonthlyStats!D215&amp;" cases")</x:f>
      </x:c>
      <x:c r="J215" t="str">
        <x:f>IF(MonthlyStats!A215="","","#")</x:f>
      </x:c>
      <x:c r="K215" t="str">
        <x:f>IF(MonthlyStats!A215="","",MonthlyStats!S215)</x:f>
      </x:c>
      <x:c r="L215" t="str">
        <x:f>IF(MonthlyStats!A215="","","Formula-linked")</x:f>
      </x:c>
    </x:row>
    <x:row r="216">
      <x:c r="A216" t="str">
        <x:f>IF(MonthlyStats!A216="","",MonthlyStats!A216)</x:f>
      </x:c>
      <x:c r="B216" t="str">
        <x:f>IF(MonthlyStats!A216="","",MonthlyStats!B216)</x:f>
      </x:c>
      <x:c r="C216" t="str">
        <x:f>IF(MonthlyStats!A216="","",MonthlyStats!E216)</x:f>
      </x:c>
      <x:c r="D216" t="str">
        <x:f>IF(MonthlyStats!A216="","",MonthlyStats!F216)</x:f>
      </x:c>
      <x:c r="E216" t="str">
        <x:f>IF(MonthlyStats!A216="","",MonthlyStats!G216)</x:f>
      </x:c>
      <x:c r="F216" t="str">
        <x:f>IF(MonthlyStats!A216="","",MonthlyStats!H216)</x:f>
      </x:c>
      <x:c r="G216" t="str">
        <x:f>IF(MonthlyStats!A216="","",MonthlyStats!I216)</x:f>
      </x:c>
      <x:c r="H216" t="str">
        <x:f>IF(MonthlyStats!A216="","",MonthlyStats!J216+MonthlyStats!K216)</x:f>
      </x:c>
      <x:c r="I216" t="str">
        <x:f>IF(MonthlyStats!A216="","",TEXT(MonthlyStats!O216,"₹#,##0")&amp;" public summary; "&amp;MonthlyStats!D216&amp;" cases")</x:f>
      </x:c>
      <x:c r="J216" t="str">
        <x:f>IF(MonthlyStats!A216="","","#")</x:f>
      </x:c>
      <x:c r="K216" t="str">
        <x:f>IF(MonthlyStats!A216="","",MonthlyStats!S216)</x:f>
      </x:c>
      <x:c r="L216" t="str">
        <x:f>IF(MonthlyStats!A216="","","Formula-linked")</x:f>
      </x:c>
    </x:row>
    <x:row r="217">
      <x:c r="A217" t="str">
        <x:f>IF(MonthlyStats!A217="","",MonthlyStats!A217)</x:f>
      </x:c>
      <x:c r="B217" t="str">
        <x:f>IF(MonthlyStats!A217="","",MonthlyStats!B217)</x:f>
      </x:c>
      <x:c r="C217" t="str">
        <x:f>IF(MonthlyStats!A217="","",MonthlyStats!E217)</x:f>
      </x:c>
      <x:c r="D217" t="str">
        <x:f>IF(MonthlyStats!A217="","",MonthlyStats!F217)</x:f>
      </x:c>
      <x:c r="E217" t="str">
        <x:f>IF(MonthlyStats!A217="","",MonthlyStats!G217)</x:f>
      </x:c>
      <x:c r="F217" t="str">
        <x:f>IF(MonthlyStats!A217="","",MonthlyStats!H217)</x:f>
      </x:c>
      <x:c r="G217" t="str">
        <x:f>IF(MonthlyStats!A217="","",MonthlyStats!I217)</x:f>
      </x:c>
      <x:c r="H217" t="str">
        <x:f>IF(MonthlyStats!A217="","",MonthlyStats!J217+MonthlyStats!K217)</x:f>
      </x:c>
      <x:c r="I217" t="str">
        <x:f>IF(MonthlyStats!A217="","",TEXT(MonthlyStats!O217,"₹#,##0")&amp;" public summary; "&amp;MonthlyStats!D217&amp;" cases")</x:f>
      </x:c>
      <x:c r="J217" t="str">
        <x:f>IF(MonthlyStats!A217="","","#")</x:f>
      </x:c>
      <x:c r="K217" t="str">
        <x:f>IF(MonthlyStats!A217="","",MonthlyStats!S217)</x:f>
      </x:c>
      <x:c r="L217" t="str">
        <x:f>IF(MonthlyStats!A217="","","Formula-linked")</x:f>
      </x:c>
    </x:row>
    <x:row r="218">
      <x:c r="A218" t="str">
        <x:f>IF(MonthlyStats!A218="","",MonthlyStats!A218)</x:f>
      </x:c>
      <x:c r="B218" t="str">
        <x:f>IF(MonthlyStats!A218="","",MonthlyStats!B218)</x:f>
      </x:c>
      <x:c r="C218" t="str">
        <x:f>IF(MonthlyStats!A218="","",MonthlyStats!E218)</x:f>
      </x:c>
      <x:c r="D218" t="str">
        <x:f>IF(MonthlyStats!A218="","",MonthlyStats!F218)</x:f>
      </x:c>
      <x:c r="E218" t="str">
        <x:f>IF(MonthlyStats!A218="","",MonthlyStats!G218)</x:f>
      </x:c>
      <x:c r="F218" t="str">
        <x:f>IF(MonthlyStats!A218="","",MonthlyStats!H218)</x:f>
      </x:c>
      <x:c r="G218" t="str">
        <x:f>IF(MonthlyStats!A218="","",MonthlyStats!I218)</x:f>
      </x:c>
      <x:c r="H218" t="str">
        <x:f>IF(MonthlyStats!A218="","",MonthlyStats!J218+MonthlyStats!K218)</x:f>
      </x:c>
      <x:c r="I218" t="str">
        <x:f>IF(MonthlyStats!A218="","",TEXT(MonthlyStats!O218,"₹#,##0")&amp;" public summary; "&amp;MonthlyStats!D218&amp;" cases")</x:f>
      </x:c>
      <x:c r="J218" t="str">
        <x:f>IF(MonthlyStats!A218="","","#")</x:f>
      </x:c>
      <x:c r="K218" t="str">
        <x:f>IF(MonthlyStats!A218="","",MonthlyStats!S218)</x:f>
      </x:c>
      <x:c r="L218" t="str">
        <x:f>IF(MonthlyStats!A218="","","Formula-linked")</x:f>
      </x:c>
    </x:row>
    <x:row r="219">
      <x:c r="A219" t="str">
        <x:f>IF(MonthlyStats!A219="","",MonthlyStats!A219)</x:f>
      </x:c>
      <x:c r="B219" t="str">
        <x:f>IF(MonthlyStats!A219="","",MonthlyStats!B219)</x:f>
      </x:c>
      <x:c r="C219" t="str">
        <x:f>IF(MonthlyStats!A219="","",MonthlyStats!E219)</x:f>
      </x:c>
      <x:c r="D219" t="str">
        <x:f>IF(MonthlyStats!A219="","",MonthlyStats!F219)</x:f>
      </x:c>
      <x:c r="E219" t="str">
        <x:f>IF(MonthlyStats!A219="","",MonthlyStats!G219)</x:f>
      </x:c>
      <x:c r="F219" t="str">
        <x:f>IF(MonthlyStats!A219="","",MonthlyStats!H219)</x:f>
      </x:c>
      <x:c r="G219" t="str">
        <x:f>IF(MonthlyStats!A219="","",MonthlyStats!I219)</x:f>
      </x:c>
      <x:c r="H219" t="str">
        <x:f>IF(MonthlyStats!A219="","",MonthlyStats!J219+MonthlyStats!K219)</x:f>
      </x:c>
      <x:c r="I219" t="str">
        <x:f>IF(MonthlyStats!A219="","",TEXT(MonthlyStats!O219,"₹#,##0")&amp;" public summary; "&amp;MonthlyStats!D219&amp;" cases")</x:f>
      </x:c>
      <x:c r="J219" t="str">
        <x:f>IF(MonthlyStats!A219="","","#")</x:f>
      </x:c>
      <x:c r="K219" t="str">
        <x:f>IF(MonthlyStats!A219="","",MonthlyStats!S219)</x:f>
      </x:c>
      <x:c r="L219" t="str">
        <x:f>IF(MonthlyStats!A219="","","Formula-linked")</x:f>
      </x:c>
    </x:row>
    <x:row r="220">
      <x:c r="A220" t="str">
        <x:f>IF(MonthlyStats!A220="","",MonthlyStats!A220)</x:f>
      </x:c>
      <x:c r="B220" t="str">
        <x:f>IF(MonthlyStats!A220="","",MonthlyStats!B220)</x:f>
      </x:c>
      <x:c r="C220" t="str">
        <x:f>IF(MonthlyStats!A220="","",MonthlyStats!E220)</x:f>
      </x:c>
      <x:c r="D220" t="str">
        <x:f>IF(MonthlyStats!A220="","",MonthlyStats!F220)</x:f>
      </x:c>
      <x:c r="E220" t="str">
        <x:f>IF(MonthlyStats!A220="","",MonthlyStats!G220)</x:f>
      </x:c>
      <x:c r="F220" t="str">
        <x:f>IF(MonthlyStats!A220="","",MonthlyStats!H220)</x:f>
      </x:c>
      <x:c r="G220" t="str">
        <x:f>IF(MonthlyStats!A220="","",MonthlyStats!I220)</x:f>
      </x:c>
      <x:c r="H220" t="str">
        <x:f>IF(MonthlyStats!A220="","",MonthlyStats!J220+MonthlyStats!K220)</x:f>
      </x:c>
      <x:c r="I220" t="str">
        <x:f>IF(MonthlyStats!A220="","",TEXT(MonthlyStats!O220,"₹#,##0")&amp;" public summary; "&amp;MonthlyStats!D220&amp;" cases")</x:f>
      </x:c>
      <x:c r="J220" t="str">
        <x:f>IF(MonthlyStats!A220="","","#")</x:f>
      </x:c>
      <x:c r="K220" t="str">
        <x:f>IF(MonthlyStats!A220="","",MonthlyStats!S220)</x:f>
      </x:c>
      <x:c r="L220" t="str">
        <x:f>IF(MonthlyStats!A220="","","Formula-linked")</x:f>
      </x:c>
    </x:row>
    <x:row r="221">
      <x:c r="A221" t="str">
        <x:f>IF(MonthlyStats!A221="","",MonthlyStats!A221)</x:f>
      </x:c>
      <x:c r="B221" t="str">
        <x:f>IF(MonthlyStats!A221="","",MonthlyStats!B221)</x:f>
      </x:c>
      <x:c r="C221" t="str">
        <x:f>IF(MonthlyStats!A221="","",MonthlyStats!E221)</x:f>
      </x:c>
      <x:c r="D221" t="str">
        <x:f>IF(MonthlyStats!A221="","",MonthlyStats!F221)</x:f>
      </x:c>
      <x:c r="E221" t="str">
        <x:f>IF(MonthlyStats!A221="","",MonthlyStats!G221)</x:f>
      </x:c>
      <x:c r="F221" t="str">
        <x:f>IF(MonthlyStats!A221="","",MonthlyStats!H221)</x:f>
      </x:c>
      <x:c r="G221" t="str">
        <x:f>IF(MonthlyStats!A221="","",MonthlyStats!I221)</x:f>
      </x:c>
      <x:c r="H221" t="str">
        <x:f>IF(MonthlyStats!A221="","",MonthlyStats!J221+MonthlyStats!K221)</x:f>
      </x:c>
      <x:c r="I221" t="str">
        <x:f>IF(MonthlyStats!A221="","",TEXT(MonthlyStats!O221,"₹#,##0")&amp;" public summary; "&amp;MonthlyStats!D221&amp;" cases")</x:f>
      </x:c>
      <x:c r="J221" t="str">
        <x:f>IF(MonthlyStats!A221="","","#")</x:f>
      </x:c>
      <x:c r="K221" t="str">
        <x:f>IF(MonthlyStats!A221="","",MonthlyStats!S221)</x:f>
      </x:c>
      <x:c r="L221" t="str">
        <x:f>IF(MonthlyStats!A221="","","Formula-linked")</x:f>
      </x:c>
    </x:row>
    <x:row r="222">
      <x:c r="A222" t="str">
        <x:f>IF(MonthlyStats!A222="","",MonthlyStats!A222)</x:f>
      </x:c>
      <x:c r="B222" t="str">
        <x:f>IF(MonthlyStats!A222="","",MonthlyStats!B222)</x:f>
      </x:c>
      <x:c r="C222" t="str">
        <x:f>IF(MonthlyStats!A222="","",MonthlyStats!E222)</x:f>
      </x:c>
      <x:c r="D222" t="str">
        <x:f>IF(MonthlyStats!A222="","",MonthlyStats!F222)</x:f>
      </x:c>
      <x:c r="E222" t="str">
        <x:f>IF(MonthlyStats!A222="","",MonthlyStats!G222)</x:f>
      </x:c>
      <x:c r="F222" t="str">
        <x:f>IF(MonthlyStats!A222="","",MonthlyStats!H222)</x:f>
      </x:c>
      <x:c r="G222" t="str">
        <x:f>IF(MonthlyStats!A222="","",MonthlyStats!I222)</x:f>
      </x:c>
      <x:c r="H222" t="str">
        <x:f>IF(MonthlyStats!A222="","",MonthlyStats!J222+MonthlyStats!K222)</x:f>
      </x:c>
      <x:c r="I222" t="str">
        <x:f>IF(MonthlyStats!A222="","",TEXT(MonthlyStats!O222,"₹#,##0")&amp;" public summary; "&amp;MonthlyStats!D222&amp;" cases")</x:f>
      </x:c>
      <x:c r="J222" t="str">
        <x:f>IF(MonthlyStats!A222="","","#")</x:f>
      </x:c>
      <x:c r="K222" t="str">
        <x:f>IF(MonthlyStats!A222="","",MonthlyStats!S222)</x:f>
      </x:c>
      <x:c r="L222" t="str">
        <x:f>IF(MonthlyStats!A222="","","Formula-linked")</x:f>
      </x:c>
    </x:row>
    <x:row r="223">
      <x:c r="A223" t="str">
        <x:f>IF(MonthlyStats!A223="","",MonthlyStats!A223)</x:f>
      </x:c>
      <x:c r="B223" t="str">
        <x:f>IF(MonthlyStats!A223="","",MonthlyStats!B223)</x:f>
      </x:c>
      <x:c r="C223" t="str">
        <x:f>IF(MonthlyStats!A223="","",MonthlyStats!E223)</x:f>
      </x:c>
      <x:c r="D223" t="str">
        <x:f>IF(MonthlyStats!A223="","",MonthlyStats!F223)</x:f>
      </x:c>
      <x:c r="E223" t="str">
        <x:f>IF(MonthlyStats!A223="","",MonthlyStats!G223)</x:f>
      </x:c>
      <x:c r="F223" t="str">
        <x:f>IF(MonthlyStats!A223="","",MonthlyStats!H223)</x:f>
      </x:c>
      <x:c r="G223" t="str">
        <x:f>IF(MonthlyStats!A223="","",MonthlyStats!I223)</x:f>
      </x:c>
      <x:c r="H223" t="str">
        <x:f>IF(MonthlyStats!A223="","",MonthlyStats!J223+MonthlyStats!K223)</x:f>
      </x:c>
      <x:c r="I223" t="str">
        <x:f>IF(MonthlyStats!A223="","",TEXT(MonthlyStats!O223,"₹#,##0")&amp;" public summary; "&amp;MonthlyStats!D223&amp;" cases")</x:f>
      </x:c>
      <x:c r="J223" t="str">
        <x:f>IF(MonthlyStats!A223="","","#")</x:f>
      </x:c>
      <x:c r="K223" t="str">
        <x:f>IF(MonthlyStats!A223="","",MonthlyStats!S223)</x:f>
      </x:c>
      <x:c r="L223" t="str">
        <x:f>IF(MonthlyStats!A223="","","Formula-linked")</x:f>
      </x:c>
    </x:row>
    <x:row r="224">
      <x:c r="A224" t="str">
        <x:f>IF(MonthlyStats!A224="","",MonthlyStats!A224)</x:f>
      </x:c>
      <x:c r="B224" t="str">
        <x:f>IF(MonthlyStats!A224="","",MonthlyStats!B224)</x:f>
      </x:c>
      <x:c r="C224" t="str">
        <x:f>IF(MonthlyStats!A224="","",MonthlyStats!E224)</x:f>
      </x:c>
      <x:c r="D224" t="str">
        <x:f>IF(MonthlyStats!A224="","",MonthlyStats!F224)</x:f>
      </x:c>
      <x:c r="E224" t="str">
        <x:f>IF(MonthlyStats!A224="","",MonthlyStats!G224)</x:f>
      </x:c>
      <x:c r="F224" t="str">
        <x:f>IF(MonthlyStats!A224="","",MonthlyStats!H224)</x:f>
      </x:c>
      <x:c r="G224" t="str">
        <x:f>IF(MonthlyStats!A224="","",MonthlyStats!I224)</x:f>
      </x:c>
      <x:c r="H224" t="str">
        <x:f>IF(MonthlyStats!A224="","",MonthlyStats!J224+MonthlyStats!K224)</x:f>
      </x:c>
      <x:c r="I224" t="str">
        <x:f>IF(MonthlyStats!A224="","",TEXT(MonthlyStats!O224,"₹#,##0")&amp;" public summary; "&amp;MonthlyStats!D224&amp;" cases")</x:f>
      </x:c>
      <x:c r="J224" t="str">
        <x:f>IF(MonthlyStats!A224="","","#")</x:f>
      </x:c>
      <x:c r="K224" t="str">
        <x:f>IF(MonthlyStats!A224="","",MonthlyStats!S224)</x:f>
      </x:c>
      <x:c r="L224" t="str">
        <x:f>IF(MonthlyStats!A224="","","Formula-linked")</x:f>
      </x:c>
    </x:row>
    <x:row r="225">
      <x:c r="A225" t="str">
        <x:f>IF(MonthlyStats!A225="","",MonthlyStats!A225)</x:f>
      </x:c>
      <x:c r="B225" t="str">
        <x:f>IF(MonthlyStats!A225="","",MonthlyStats!B225)</x:f>
      </x:c>
      <x:c r="C225" t="str">
        <x:f>IF(MonthlyStats!A225="","",MonthlyStats!E225)</x:f>
      </x:c>
      <x:c r="D225" t="str">
        <x:f>IF(MonthlyStats!A225="","",MonthlyStats!F225)</x:f>
      </x:c>
      <x:c r="E225" t="str">
        <x:f>IF(MonthlyStats!A225="","",MonthlyStats!G225)</x:f>
      </x:c>
      <x:c r="F225" t="str">
        <x:f>IF(MonthlyStats!A225="","",MonthlyStats!H225)</x:f>
      </x:c>
      <x:c r="G225" t="str">
        <x:f>IF(MonthlyStats!A225="","",MonthlyStats!I225)</x:f>
      </x:c>
      <x:c r="H225" t="str">
        <x:f>IF(MonthlyStats!A225="","",MonthlyStats!J225+MonthlyStats!K225)</x:f>
      </x:c>
      <x:c r="I225" t="str">
        <x:f>IF(MonthlyStats!A225="","",TEXT(MonthlyStats!O225,"₹#,##0")&amp;" public summary; "&amp;MonthlyStats!D225&amp;" cases")</x:f>
      </x:c>
      <x:c r="J225" t="str">
        <x:f>IF(MonthlyStats!A225="","","#")</x:f>
      </x:c>
      <x:c r="K225" t="str">
        <x:f>IF(MonthlyStats!A225="","",MonthlyStats!S225)</x:f>
      </x:c>
      <x:c r="L225" t="str">
        <x:f>IF(MonthlyStats!A225="","","Formula-linked")</x:f>
      </x:c>
    </x:row>
    <x:row r="226">
      <x:c r="A226" t="str">
        <x:f>IF(MonthlyStats!A226="","",MonthlyStats!A226)</x:f>
      </x:c>
      <x:c r="B226" t="str">
        <x:f>IF(MonthlyStats!A226="","",MonthlyStats!B226)</x:f>
      </x:c>
      <x:c r="C226" t="str">
        <x:f>IF(MonthlyStats!A226="","",MonthlyStats!E226)</x:f>
      </x:c>
      <x:c r="D226" t="str">
        <x:f>IF(MonthlyStats!A226="","",MonthlyStats!F226)</x:f>
      </x:c>
      <x:c r="E226" t="str">
        <x:f>IF(MonthlyStats!A226="","",MonthlyStats!G226)</x:f>
      </x:c>
      <x:c r="F226" t="str">
        <x:f>IF(MonthlyStats!A226="","",MonthlyStats!H226)</x:f>
      </x:c>
      <x:c r="G226" t="str">
        <x:f>IF(MonthlyStats!A226="","",MonthlyStats!I226)</x:f>
      </x:c>
      <x:c r="H226" t="str">
        <x:f>IF(MonthlyStats!A226="","",MonthlyStats!J226+MonthlyStats!K226)</x:f>
      </x:c>
      <x:c r="I226" t="str">
        <x:f>IF(MonthlyStats!A226="","",TEXT(MonthlyStats!O226,"₹#,##0")&amp;" public summary; "&amp;MonthlyStats!D226&amp;" cases")</x:f>
      </x:c>
      <x:c r="J226" t="str">
        <x:f>IF(MonthlyStats!A226="","","#")</x:f>
      </x:c>
      <x:c r="K226" t="str">
        <x:f>IF(MonthlyStats!A226="","",MonthlyStats!S226)</x:f>
      </x:c>
      <x:c r="L226" t="str">
        <x:f>IF(MonthlyStats!A226="","","Formula-linked")</x:f>
      </x:c>
    </x:row>
    <x:row r="227">
      <x:c r="A227" t="str">
        <x:f>IF(MonthlyStats!A227="","",MonthlyStats!A227)</x:f>
      </x:c>
      <x:c r="B227" t="str">
        <x:f>IF(MonthlyStats!A227="","",MonthlyStats!B227)</x:f>
      </x:c>
      <x:c r="C227" t="str">
        <x:f>IF(MonthlyStats!A227="","",MonthlyStats!E227)</x:f>
      </x:c>
      <x:c r="D227" t="str">
        <x:f>IF(MonthlyStats!A227="","",MonthlyStats!F227)</x:f>
      </x:c>
      <x:c r="E227" t="str">
        <x:f>IF(MonthlyStats!A227="","",MonthlyStats!G227)</x:f>
      </x:c>
      <x:c r="F227" t="str">
        <x:f>IF(MonthlyStats!A227="","",MonthlyStats!H227)</x:f>
      </x:c>
      <x:c r="G227" t="str">
        <x:f>IF(MonthlyStats!A227="","",MonthlyStats!I227)</x:f>
      </x:c>
      <x:c r="H227" t="str">
        <x:f>IF(MonthlyStats!A227="","",MonthlyStats!J227+MonthlyStats!K227)</x:f>
      </x:c>
      <x:c r="I227" t="str">
        <x:f>IF(MonthlyStats!A227="","",TEXT(MonthlyStats!O227,"₹#,##0")&amp;" public summary; "&amp;MonthlyStats!D227&amp;" cases")</x:f>
      </x:c>
      <x:c r="J227" t="str">
        <x:f>IF(MonthlyStats!A227="","","#")</x:f>
      </x:c>
      <x:c r="K227" t="str">
        <x:f>IF(MonthlyStats!A227="","",MonthlyStats!S227)</x:f>
      </x:c>
      <x:c r="L227" t="str">
        <x:f>IF(MonthlyStats!A227="","","Formula-linked")</x:f>
      </x:c>
    </x:row>
    <x:row r="228">
      <x:c r="A228" t="str">
        <x:f>IF(MonthlyStats!A228="","",MonthlyStats!A228)</x:f>
      </x:c>
      <x:c r="B228" t="str">
        <x:f>IF(MonthlyStats!A228="","",MonthlyStats!B228)</x:f>
      </x:c>
      <x:c r="C228" t="str">
        <x:f>IF(MonthlyStats!A228="","",MonthlyStats!E228)</x:f>
      </x:c>
      <x:c r="D228" t="str">
        <x:f>IF(MonthlyStats!A228="","",MonthlyStats!F228)</x:f>
      </x:c>
      <x:c r="E228" t="str">
        <x:f>IF(MonthlyStats!A228="","",MonthlyStats!G228)</x:f>
      </x:c>
      <x:c r="F228" t="str">
        <x:f>IF(MonthlyStats!A228="","",MonthlyStats!H228)</x:f>
      </x:c>
      <x:c r="G228" t="str">
        <x:f>IF(MonthlyStats!A228="","",MonthlyStats!I228)</x:f>
      </x:c>
      <x:c r="H228" t="str">
        <x:f>IF(MonthlyStats!A228="","",MonthlyStats!J228+MonthlyStats!K228)</x:f>
      </x:c>
      <x:c r="I228" t="str">
        <x:f>IF(MonthlyStats!A228="","",TEXT(MonthlyStats!O228,"₹#,##0")&amp;" public summary; "&amp;MonthlyStats!D228&amp;" cases")</x:f>
      </x:c>
      <x:c r="J228" t="str">
        <x:f>IF(MonthlyStats!A228="","","#")</x:f>
      </x:c>
      <x:c r="K228" t="str">
        <x:f>IF(MonthlyStats!A228="","",MonthlyStats!S228)</x:f>
      </x:c>
      <x:c r="L228" t="str">
        <x:f>IF(MonthlyStats!A228="","","Formula-linked")</x:f>
      </x:c>
    </x:row>
    <x:row r="229">
      <x:c r="A229" t="str">
        <x:f>IF(MonthlyStats!A229="","",MonthlyStats!A229)</x:f>
      </x:c>
      <x:c r="B229" t="str">
        <x:f>IF(MonthlyStats!A229="","",MonthlyStats!B229)</x:f>
      </x:c>
      <x:c r="C229" t="str">
        <x:f>IF(MonthlyStats!A229="","",MonthlyStats!E229)</x:f>
      </x:c>
      <x:c r="D229" t="str">
        <x:f>IF(MonthlyStats!A229="","",MonthlyStats!F229)</x:f>
      </x:c>
      <x:c r="E229" t="str">
        <x:f>IF(MonthlyStats!A229="","",MonthlyStats!G229)</x:f>
      </x:c>
      <x:c r="F229" t="str">
        <x:f>IF(MonthlyStats!A229="","",MonthlyStats!H229)</x:f>
      </x:c>
      <x:c r="G229" t="str">
        <x:f>IF(MonthlyStats!A229="","",MonthlyStats!I229)</x:f>
      </x:c>
      <x:c r="H229" t="str">
        <x:f>IF(MonthlyStats!A229="","",MonthlyStats!J229+MonthlyStats!K229)</x:f>
      </x:c>
      <x:c r="I229" t="str">
        <x:f>IF(MonthlyStats!A229="","",TEXT(MonthlyStats!O229,"₹#,##0")&amp;" public summary; "&amp;MonthlyStats!D229&amp;" cases")</x:f>
      </x:c>
      <x:c r="J229" t="str">
        <x:f>IF(MonthlyStats!A229="","","#")</x:f>
      </x:c>
      <x:c r="K229" t="str">
        <x:f>IF(MonthlyStats!A229="","",MonthlyStats!S229)</x:f>
      </x:c>
      <x:c r="L229" t="str">
        <x:f>IF(MonthlyStats!A229="","","Formula-linked")</x:f>
      </x:c>
    </x:row>
    <x:row r="230">
      <x:c r="A230" t="str">
        <x:f>IF(MonthlyStats!A230="","",MonthlyStats!A230)</x:f>
      </x:c>
      <x:c r="B230" t="str">
        <x:f>IF(MonthlyStats!A230="","",MonthlyStats!B230)</x:f>
      </x:c>
      <x:c r="C230" t="str">
        <x:f>IF(MonthlyStats!A230="","",MonthlyStats!E230)</x:f>
      </x:c>
      <x:c r="D230" t="str">
        <x:f>IF(MonthlyStats!A230="","",MonthlyStats!F230)</x:f>
      </x:c>
      <x:c r="E230" t="str">
        <x:f>IF(MonthlyStats!A230="","",MonthlyStats!G230)</x:f>
      </x:c>
      <x:c r="F230" t="str">
        <x:f>IF(MonthlyStats!A230="","",MonthlyStats!H230)</x:f>
      </x:c>
      <x:c r="G230" t="str">
        <x:f>IF(MonthlyStats!A230="","",MonthlyStats!I230)</x:f>
      </x:c>
      <x:c r="H230" t="str">
        <x:f>IF(MonthlyStats!A230="","",MonthlyStats!J230+MonthlyStats!K230)</x:f>
      </x:c>
      <x:c r="I230" t="str">
        <x:f>IF(MonthlyStats!A230="","",TEXT(MonthlyStats!O230,"₹#,##0")&amp;" public summary; "&amp;MonthlyStats!D230&amp;" cases")</x:f>
      </x:c>
      <x:c r="J230" t="str">
        <x:f>IF(MonthlyStats!A230="","","#")</x:f>
      </x:c>
      <x:c r="K230" t="str">
        <x:f>IF(MonthlyStats!A230="","",MonthlyStats!S230)</x:f>
      </x:c>
      <x:c r="L230" t="str">
        <x:f>IF(MonthlyStats!A230="","","Formula-linked")</x:f>
      </x:c>
    </x:row>
    <x:row r="231">
      <x:c r="A231" t="str">
        <x:f>IF(MonthlyStats!A231="","",MonthlyStats!A231)</x:f>
      </x:c>
      <x:c r="B231" t="str">
        <x:f>IF(MonthlyStats!A231="","",MonthlyStats!B231)</x:f>
      </x:c>
      <x:c r="C231" t="str">
        <x:f>IF(MonthlyStats!A231="","",MonthlyStats!E231)</x:f>
      </x:c>
      <x:c r="D231" t="str">
        <x:f>IF(MonthlyStats!A231="","",MonthlyStats!F231)</x:f>
      </x:c>
      <x:c r="E231" t="str">
        <x:f>IF(MonthlyStats!A231="","",MonthlyStats!G231)</x:f>
      </x:c>
      <x:c r="F231" t="str">
        <x:f>IF(MonthlyStats!A231="","",MonthlyStats!H231)</x:f>
      </x:c>
      <x:c r="G231" t="str">
        <x:f>IF(MonthlyStats!A231="","",MonthlyStats!I231)</x:f>
      </x:c>
      <x:c r="H231" t="str">
        <x:f>IF(MonthlyStats!A231="","",MonthlyStats!J231+MonthlyStats!K231)</x:f>
      </x:c>
      <x:c r="I231" t="str">
        <x:f>IF(MonthlyStats!A231="","",TEXT(MonthlyStats!O231,"₹#,##0")&amp;" public summary; "&amp;MonthlyStats!D231&amp;" cases")</x:f>
      </x:c>
      <x:c r="J231" t="str">
        <x:f>IF(MonthlyStats!A231="","","#")</x:f>
      </x:c>
      <x:c r="K231" t="str">
        <x:f>IF(MonthlyStats!A231="","",MonthlyStats!S231)</x:f>
      </x:c>
      <x:c r="L231" t="str">
        <x:f>IF(MonthlyStats!A231="","","Formula-linked")</x:f>
      </x:c>
    </x:row>
    <x:row r="232">
      <x:c r="A232" t="str">
        <x:f>IF(MonthlyStats!A232="","",MonthlyStats!A232)</x:f>
      </x:c>
      <x:c r="B232" t="str">
        <x:f>IF(MonthlyStats!A232="","",MonthlyStats!B232)</x:f>
      </x:c>
      <x:c r="C232" t="str">
        <x:f>IF(MonthlyStats!A232="","",MonthlyStats!E232)</x:f>
      </x:c>
      <x:c r="D232" t="str">
        <x:f>IF(MonthlyStats!A232="","",MonthlyStats!F232)</x:f>
      </x:c>
      <x:c r="E232" t="str">
        <x:f>IF(MonthlyStats!A232="","",MonthlyStats!G232)</x:f>
      </x:c>
      <x:c r="F232" t="str">
        <x:f>IF(MonthlyStats!A232="","",MonthlyStats!H232)</x:f>
      </x:c>
      <x:c r="G232" t="str">
        <x:f>IF(MonthlyStats!A232="","",MonthlyStats!I232)</x:f>
      </x:c>
      <x:c r="H232" t="str">
        <x:f>IF(MonthlyStats!A232="","",MonthlyStats!J232+MonthlyStats!K232)</x:f>
      </x:c>
      <x:c r="I232" t="str">
        <x:f>IF(MonthlyStats!A232="","",TEXT(MonthlyStats!O232,"₹#,##0")&amp;" public summary; "&amp;MonthlyStats!D232&amp;" cases")</x:f>
      </x:c>
      <x:c r="J232" t="str">
        <x:f>IF(MonthlyStats!A232="","","#")</x:f>
      </x:c>
      <x:c r="K232" t="str">
        <x:f>IF(MonthlyStats!A232="","",MonthlyStats!S232)</x:f>
      </x:c>
      <x:c r="L232" t="str">
        <x:f>IF(MonthlyStats!A232="","","Formula-linked")</x:f>
      </x:c>
    </x:row>
    <x:row r="233">
      <x:c r="A233" t="str">
        <x:f>IF(MonthlyStats!A233="","",MonthlyStats!A233)</x:f>
      </x:c>
      <x:c r="B233" t="str">
        <x:f>IF(MonthlyStats!A233="","",MonthlyStats!B233)</x:f>
      </x:c>
      <x:c r="C233" t="str">
        <x:f>IF(MonthlyStats!A233="","",MonthlyStats!E233)</x:f>
      </x:c>
      <x:c r="D233" t="str">
        <x:f>IF(MonthlyStats!A233="","",MonthlyStats!F233)</x:f>
      </x:c>
      <x:c r="E233" t="str">
        <x:f>IF(MonthlyStats!A233="","",MonthlyStats!G233)</x:f>
      </x:c>
      <x:c r="F233" t="str">
        <x:f>IF(MonthlyStats!A233="","",MonthlyStats!H233)</x:f>
      </x:c>
      <x:c r="G233" t="str">
        <x:f>IF(MonthlyStats!A233="","",MonthlyStats!I233)</x:f>
      </x:c>
      <x:c r="H233" t="str">
        <x:f>IF(MonthlyStats!A233="","",MonthlyStats!J233+MonthlyStats!K233)</x:f>
      </x:c>
      <x:c r="I233" t="str">
        <x:f>IF(MonthlyStats!A233="","",TEXT(MonthlyStats!O233,"₹#,##0")&amp;" public summary; "&amp;MonthlyStats!D233&amp;" cases")</x:f>
      </x:c>
      <x:c r="J233" t="str">
        <x:f>IF(MonthlyStats!A233="","","#")</x:f>
      </x:c>
      <x:c r="K233" t="str">
        <x:f>IF(MonthlyStats!A233="","",MonthlyStats!S233)</x:f>
      </x:c>
      <x:c r="L233" t="str">
        <x:f>IF(MonthlyStats!A233="","","Formula-linked")</x:f>
      </x:c>
    </x:row>
    <x:row r="234">
      <x:c r="A234" t="str">
        <x:f>IF(MonthlyStats!A234="","",MonthlyStats!A234)</x:f>
      </x:c>
      <x:c r="B234" t="str">
        <x:f>IF(MonthlyStats!A234="","",MonthlyStats!B234)</x:f>
      </x:c>
      <x:c r="C234" t="str">
        <x:f>IF(MonthlyStats!A234="","",MonthlyStats!E234)</x:f>
      </x:c>
      <x:c r="D234" t="str">
        <x:f>IF(MonthlyStats!A234="","",MonthlyStats!F234)</x:f>
      </x:c>
      <x:c r="E234" t="str">
        <x:f>IF(MonthlyStats!A234="","",MonthlyStats!G234)</x:f>
      </x:c>
      <x:c r="F234" t="str">
        <x:f>IF(MonthlyStats!A234="","",MonthlyStats!H234)</x:f>
      </x:c>
      <x:c r="G234" t="str">
        <x:f>IF(MonthlyStats!A234="","",MonthlyStats!I234)</x:f>
      </x:c>
      <x:c r="H234" t="str">
        <x:f>IF(MonthlyStats!A234="","",MonthlyStats!J234+MonthlyStats!K234)</x:f>
      </x:c>
      <x:c r="I234" t="str">
        <x:f>IF(MonthlyStats!A234="","",TEXT(MonthlyStats!O234,"₹#,##0")&amp;" public summary; "&amp;MonthlyStats!D234&amp;" cases")</x:f>
      </x:c>
      <x:c r="J234" t="str">
        <x:f>IF(MonthlyStats!A234="","","#")</x:f>
      </x:c>
      <x:c r="K234" t="str">
        <x:f>IF(MonthlyStats!A234="","",MonthlyStats!S234)</x:f>
      </x:c>
      <x:c r="L234" t="str">
        <x:f>IF(MonthlyStats!A234="","","Formula-linked")</x:f>
      </x:c>
    </x:row>
    <x:row r="235">
      <x:c r="A235" t="str">
        <x:f>IF(MonthlyStats!A235="","",MonthlyStats!A235)</x:f>
      </x:c>
      <x:c r="B235" t="str">
        <x:f>IF(MonthlyStats!A235="","",MonthlyStats!B235)</x:f>
      </x:c>
      <x:c r="C235" t="str">
        <x:f>IF(MonthlyStats!A235="","",MonthlyStats!E235)</x:f>
      </x:c>
      <x:c r="D235" t="str">
        <x:f>IF(MonthlyStats!A235="","",MonthlyStats!F235)</x:f>
      </x:c>
      <x:c r="E235" t="str">
        <x:f>IF(MonthlyStats!A235="","",MonthlyStats!G235)</x:f>
      </x:c>
      <x:c r="F235" t="str">
        <x:f>IF(MonthlyStats!A235="","",MonthlyStats!H235)</x:f>
      </x:c>
      <x:c r="G235" t="str">
        <x:f>IF(MonthlyStats!A235="","",MonthlyStats!I235)</x:f>
      </x:c>
      <x:c r="H235" t="str">
        <x:f>IF(MonthlyStats!A235="","",MonthlyStats!J235+MonthlyStats!K235)</x:f>
      </x:c>
      <x:c r="I235" t="str">
        <x:f>IF(MonthlyStats!A235="","",TEXT(MonthlyStats!O235,"₹#,##0")&amp;" public summary; "&amp;MonthlyStats!D235&amp;" cases")</x:f>
      </x:c>
      <x:c r="J235" t="str">
        <x:f>IF(MonthlyStats!A235="","","#")</x:f>
      </x:c>
      <x:c r="K235" t="str">
        <x:f>IF(MonthlyStats!A235="","",MonthlyStats!S235)</x:f>
      </x:c>
      <x:c r="L235" t="str">
        <x:f>IF(MonthlyStats!A235="","","Formula-linked")</x:f>
      </x:c>
    </x:row>
    <x:row r="236">
      <x:c r="A236" t="str">
        <x:f>IF(MonthlyStats!A236="","",MonthlyStats!A236)</x:f>
      </x:c>
      <x:c r="B236" t="str">
        <x:f>IF(MonthlyStats!A236="","",MonthlyStats!B236)</x:f>
      </x:c>
      <x:c r="C236" t="str">
        <x:f>IF(MonthlyStats!A236="","",MonthlyStats!E236)</x:f>
      </x:c>
      <x:c r="D236" t="str">
        <x:f>IF(MonthlyStats!A236="","",MonthlyStats!F236)</x:f>
      </x:c>
      <x:c r="E236" t="str">
        <x:f>IF(MonthlyStats!A236="","",MonthlyStats!G236)</x:f>
      </x:c>
      <x:c r="F236" t="str">
        <x:f>IF(MonthlyStats!A236="","",MonthlyStats!H236)</x:f>
      </x:c>
      <x:c r="G236" t="str">
        <x:f>IF(MonthlyStats!A236="","",MonthlyStats!I236)</x:f>
      </x:c>
      <x:c r="H236" t="str">
        <x:f>IF(MonthlyStats!A236="","",MonthlyStats!J236+MonthlyStats!K236)</x:f>
      </x:c>
      <x:c r="I236" t="str">
        <x:f>IF(MonthlyStats!A236="","",TEXT(MonthlyStats!O236,"₹#,##0")&amp;" public summary; "&amp;MonthlyStats!D236&amp;" cases")</x:f>
      </x:c>
      <x:c r="J236" t="str">
        <x:f>IF(MonthlyStats!A236="","","#")</x:f>
      </x:c>
      <x:c r="K236" t="str">
        <x:f>IF(MonthlyStats!A236="","",MonthlyStats!S236)</x:f>
      </x:c>
      <x:c r="L236" t="str">
        <x:f>IF(MonthlyStats!A236="","","Formula-linked")</x:f>
      </x:c>
    </x:row>
    <x:row r="237">
      <x:c r="A237" t="str">
        <x:f>IF(MonthlyStats!A237="","",MonthlyStats!A237)</x:f>
      </x:c>
      <x:c r="B237" t="str">
        <x:f>IF(MonthlyStats!A237="","",MonthlyStats!B237)</x:f>
      </x:c>
      <x:c r="C237" t="str">
        <x:f>IF(MonthlyStats!A237="","",MonthlyStats!E237)</x:f>
      </x:c>
      <x:c r="D237" t="str">
        <x:f>IF(MonthlyStats!A237="","",MonthlyStats!F237)</x:f>
      </x:c>
      <x:c r="E237" t="str">
        <x:f>IF(MonthlyStats!A237="","",MonthlyStats!G237)</x:f>
      </x:c>
      <x:c r="F237" t="str">
        <x:f>IF(MonthlyStats!A237="","",MonthlyStats!H237)</x:f>
      </x:c>
      <x:c r="G237" t="str">
        <x:f>IF(MonthlyStats!A237="","",MonthlyStats!I237)</x:f>
      </x:c>
      <x:c r="H237" t="str">
        <x:f>IF(MonthlyStats!A237="","",MonthlyStats!J237+MonthlyStats!K237)</x:f>
      </x:c>
      <x:c r="I237" t="str">
        <x:f>IF(MonthlyStats!A237="","",TEXT(MonthlyStats!O237,"₹#,##0")&amp;" public summary; "&amp;MonthlyStats!D237&amp;" cases")</x:f>
      </x:c>
      <x:c r="J237" t="str">
        <x:f>IF(MonthlyStats!A237="","","#")</x:f>
      </x:c>
      <x:c r="K237" t="str">
        <x:f>IF(MonthlyStats!A237="","",MonthlyStats!S237)</x:f>
      </x:c>
      <x:c r="L237" t="str">
        <x:f>IF(MonthlyStats!A237="","","Formula-linked")</x:f>
      </x:c>
    </x:row>
    <x:row r="238">
      <x:c r="A238" t="str">
        <x:f>IF(MonthlyStats!A238="","",MonthlyStats!A238)</x:f>
      </x:c>
      <x:c r="B238" t="str">
        <x:f>IF(MonthlyStats!A238="","",MonthlyStats!B238)</x:f>
      </x:c>
      <x:c r="C238" t="str">
        <x:f>IF(MonthlyStats!A238="","",MonthlyStats!E238)</x:f>
      </x:c>
      <x:c r="D238" t="str">
        <x:f>IF(MonthlyStats!A238="","",MonthlyStats!F238)</x:f>
      </x:c>
      <x:c r="E238" t="str">
        <x:f>IF(MonthlyStats!A238="","",MonthlyStats!G238)</x:f>
      </x:c>
      <x:c r="F238" t="str">
        <x:f>IF(MonthlyStats!A238="","",MonthlyStats!H238)</x:f>
      </x:c>
      <x:c r="G238" t="str">
        <x:f>IF(MonthlyStats!A238="","",MonthlyStats!I238)</x:f>
      </x:c>
      <x:c r="H238" t="str">
        <x:f>IF(MonthlyStats!A238="","",MonthlyStats!J238+MonthlyStats!K238)</x:f>
      </x:c>
      <x:c r="I238" t="str">
        <x:f>IF(MonthlyStats!A238="","",TEXT(MonthlyStats!O238,"₹#,##0")&amp;" public summary; "&amp;MonthlyStats!D238&amp;" cases")</x:f>
      </x:c>
      <x:c r="J238" t="str">
        <x:f>IF(MonthlyStats!A238="","","#")</x:f>
      </x:c>
      <x:c r="K238" t="str">
        <x:f>IF(MonthlyStats!A238="","",MonthlyStats!S238)</x:f>
      </x:c>
      <x:c r="L238" t="str">
        <x:f>IF(MonthlyStats!A238="","","Formula-linked")</x:f>
      </x:c>
    </x:row>
    <x:row r="239">
      <x:c r="A239" t="str">
        <x:f>IF(MonthlyStats!A239="","",MonthlyStats!A239)</x:f>
      </x:c>
      <x:c r="B239" t="str">
        <x:f>IF(MonthlyStats!A239="","",MonthlyStats!B239)</x:f>
      </x:c>
      <x:c r="C239" t="str">
        <x:f>IF(MonthlyStats!A239="","",MonthlyStats!E239)</x:f>
      </x:c>
      <x:c r="D239" t="str">
        <x:f>IF(MonthlyStats!A239="","",MonthlyStats!F239)</x:f>
      </x:c>
      <x:c r="E239" t="str">
        <x:f>IF(MonthlyStats!A239="","",MonthlyStats!G239)</x:f>
      </x:c>
      <x:c r="F239" t="str">
        <x:f>IF(MonthlyStats!A239="","",MonthlyStats!H239)</x:f>
      </x:c>
      <x:c r="G239" t="str">
        <x:f>IF(MonthlyStats!A239="","",MonthlyStats!I239)</x:f>
      </x:c>
      <x:c r="H239" t="str">
        <x:f>IF(MonthlyStats!A239="","",MonthlyStats!J239+MonthlyStats!K239)</x:f>
      </x:c>
      <x:c r="I239" t="str">
        <x:f>IF(MonthlyStats!A239="","",TEXT(MonthlyStats!O239,"₹#,##0")&amp;" public summary; "&amp;MonthlyStats!D239&amp;" cases")</x:f>
      </x:c>
      <x:c r="J239" t="str">
        <x:f>IF(MonthlyStats!A239="","","#")</x:f>
      </x:c>
      <x:c r="K239" t="str">
        <x:f>IF(MonthlyStats!A239="","",MonthlyStats!S239)</x:f>
      </x:c>
      <x:c r="L239" t="str">
        <x:f>IF(MonthlyStats!A239="","","Formula-linked")</x:f>
      </x:c>
    </x:row>
    <x:row r="240">
      <x:c r="A240" t="str">
        <x:f>IF(MonthlyStats!A240="","",MonthlyStats!A240)</x:f>
      </x:c>
      <x:c r="B240" t="str">
        <x:f>IF(MonthlyStats!A240="","",MonthlyStats!B240)</x:f>
      </x:c>
      <x:c r="C240" t="str">
        <x:f>IF(MonthlyStats!A240="","",MonthlyStats!E240)</x:f>
      </x:c>
      <x:c r="D240" t="str">
        <x:f>IF(MonthlyStats!A240="","",MonthlyStats!F240)</x:f>
      </x:c>
      <x:c r="E240" t="str">
        <x:f>IF(MonthlyStats!A240="","",MonthlyStats!G240)</x:f>
      </x:c>
      <x:c r="F240" t="str">
        <x:f>IF(MonthlyStats!A240="","",MonthlyStats!H240)</x:f>
      </x:c>
      <x:c r="G240" t="str">
        <x:f>IF(MonthlyStats!A240="","",MonthlyStats!I240)</x:f>
      </x:c>
      <x:c r="H240" t="str">
        <x:f>IF(MonthlyStats!A240="","",MonthlyStats!J240+MonthlyStats!K240)</x:f>
      </x:c>
      <x:c r="I240" t="str">
        <x:f>IF(MonthlyStats!A240="","",TEXT(MonthlyStats!O240,"₹#,##0")&amp;" public summary; "&amp;MonthlyStats!D240&amp;" cases")</x:f>
      </x:c>
      <x:c r="J240" t="str">
        <x:f>IF(MonthlyStats!A240="","","#")</x:f>
      </x:c>
      <x:c r="K240" t="str">
        <x:f>IF(MonthlyStats!A240="","",MonthlyStats!S240)</x:f>
      </x:c>
      <x:c r="L240" t="str">
        <x:f>IF(MonthlyStats!A240="","","Formula-linked")</x:f>
      </x:c>
    </x:row>
    <x:row r="241">
      <x:c r="A241" t="str">
        <x:f>IF(MonthlyStats!A241="","",MonthlyStats!A241)</x:f>
      </x:c>
      <x:c r="B241" t="str">
        <x:f>IF(MonthlyStats!A241="","",MonthlyStats!B241)</x:f>
      </x:c>
      <x:c r="C241" t="str">
        <x:f>IF(MonthlyStats!A241="","",MonthlyStats!E241)</x:f>
      </x:c>
      <x:c r="D241" t="str">
        <x:f>IF(MonthlyStats!A241="","",MonthlyStats!F241)</x:f>
      </x:c>
      <x:c r="E241" t="str">
        <x:f>IF(MonthlyStats!A241="","",MonthlyStats!G241)</x:f>
      </x:c>
      <x:c r="F241" t="str">
        <x:f>IF(MonthlyStats!A241="","",MonthlyStats!H241)</x:f>
      </x:c>
      <x:c r="G241" t="str">
        <x:f>IF(MonthlyStats!A241="","",MonthlyStats!I241)</x:f>
      </x:c>
      <x:c r="H241" t="str">
        <x:f>IF(MonthlyStats!A241="","",MonthlyStats!J241+MonthlyStats!K241)</x:f>
      </x:c>
      <x:c r="I241" t="str">
        <x:f>IF(MonthlyStats!A241="","",TEXT(MonthlyStats!O241,"₹#,##0")&amp;" public summary; "&amp;MonthlyStats!D241&amp;" cases")</x:f>
      </x:c>
      <x:c r="J241" t="str">
        <x:f>IF(MonthlyStats!A241="","","#")</x:f>
      </x:c>
      <x:c r="K241" t="str">
        <x:f>IF(MonthlyStats!A241="","",MonthlyStats!S241)</x:f>
      </x:c>
      <x:c r="L241" t="str">
        <x:f>IF(MonthlyStats!A241="","","Formula-linked")</x:f>
      </x:c>
    </x:row>
    <x:row r="242">
      <x:c r="A242" t="str">
        <x:f>IF(MonthlyStats!A242="","",MonthlyStats!A242)</x:f>
      </x:c>
      <x:c r="B242" t="str">
        <x:f>IF(MonthlyStats!A242="","",MonthlyStats!B242)</x:f>
      </x:c>
      <x:c r="C242" t="str">
        <x:f>IF(MonthlyStats!A242="","",MonthlyStats!E242)</x:f>
      </x:c>
      <x:c r="D242" t="str">
        <x:f>IF(MonthlyStats!A242="","",MonthlyStats!F242)</x:f>
      </x:c>
      <x:c r="E242" t="str">
        <x:f>IF(MonthlyStats!A242="","",MonthlyStats!G242)</x:f>
      </x:c>
      <x:c r="F242" t="str">
        <x:f>IF(MonthlyStats!A242="","",MonthlyStats!H242)</x:f>
      </x:c>
      <x:c r="G242" t="str">
        <x:f>IF(MonthlyStats!A242="","",MonthlyStats!I242)</x:f>
      </x:c>
      <x:c r="H242" t="str">
        <x:f>IF(MonthlyStats!A242="","",MonthlyStats!J242+MonthlyStats!K242)</x:f>
      </x:c>
      <x:c r="I242" t="str">
        <x:f>IF(MonthlyStats!A242="","",TEXT(MonthlyStats!O242,"₹#,##0")&amp;" public summary; "&amp;MonthlyStats!D242&amp;" cases")</x:f>
      </x:c>
      <x:c r="J242" t="str">
        <x:f>IF(MonthlyStats!A242="","","#")</x:f>
      </x:c>
      <x:c r="K242" t="str">
        <x:f>IF(MonthlyStats!A242="","",MonthlyStats!S242)</x:f>
      </x:c>
      <x:c r="L242" t="str">
        <x:f>IF(MonthlyStats!A242="","","Formula-linked")</x:f>
      </x:c>
    </x:row>
    <x:row r="243">
      <x:c r="A243" t="str">
        <x:f>IF(MonthlyStats!A243="","",MonthlyStats!A243)</x:f>
      </x:c>
      <x:c r="B243" t="str">
        <x:f>IF(MonthlyStats!A243="","",MonthlyStats!B243)</x:f>
      </x:c>
      <x:c r="C243" t="str">
        <x:f>IF(MonthlyStats!A243="","",MonthlyStats!E243)</x:f>
      </x:c>
      <x:c r="D243" t="str">
        <x:f>IF(MonthlyStats!A243="","",MonthlyStats!F243)</x:f>
      </x:c>
      <x:c r="E243" t="str">
        <x:f>IF(MonthlyStats!A243="","",MonthlyStats!G243)</x:f>
      </x:c>
      <x:c r="F243" t="str">
        <x:f>IF(MonthlyStats!A243="","",MonthlyStats!H243)</x:f>
      </x:c>
      <x:c r="G243" t="str">
        <x:f>IF(MonthlyStats!A243="","",MonthlyStats!I243)</x:f>
      </x:c>
      <x:c r="H243" t="str">
        <x:f>IF(MonthlyStats!A243="","",MonthlyStats!J243+MonthlyStats!K243)</x:f>
      </x:c>
      <x:c r="I243" t="str">
        <x:f>IF(MonthlyStats!A243="","",TEXT(MonthlyStats!O243,"₹#,##0")&amp;" public summary; "&amp;MonthlyStats!D243&amp;" cases")</x:f>
      </x:c>
      <x:c r="J243" t="str">
        <x:f>IF(MonthlyStats!A243="","","#")</x:f>
      </x:c>
      <x:c r="K243" t="str">
        <x:f>IF(MonthlyStats!A243="","",MonthlyStats!S243)</x:f>
      </x:c>
      <x:c r="L243" t="str">
        <x:f>IF(MonthlyStats!A243="","","Formula-linked")</x:f>
      </x:c>
    </x:row>
    <x:row r="244">
      <x:c r="A244" t="str">
        <x:f>IF(MonthlyStats!A244="","",MonthlyStats!A244)</x:f>
      </x:c>
      <x:c r="B244" t="str">
        <x:f>IF(MonthlyStats!A244="","",MonthlyStats!B244)</x:f>
      </x:c>
      <x:c r="C244" t="str">
        <x:f>IF(MonthlyStats!A244="","",MonthlyStats!E244)</x:f>
      </x:c>
      <x:c r="D244" t="str">
        <x:f>IF(MonthlyStats!A244="","",MonthlyStats!F244)</x:f>
      </x:c>
      <x:c r="E244" t="str">
        <x:f>IF(MonthlyStats!A244="","",MonthlyStats!G244)</x:f>
      </x:c>
      <x:c r="F244" t="str">
        <x:f>IF(MonthlyStats!A244="","",MonthlyStats!H244)</x:f>
      </x:c>
      <x:c r="G244" t="str">
        <x:f>IF(MonthlyStats!A244="","",MonthlyStats!I244)</x:f>
      </x:c>
      <x:c r="H244" t="str">
        <x:f>IF(MonthlyStats!A244="","",MonthlyStats!J244+MonthlyStats!K244)</x:f>
      </x:c>
      <x:c r="I244" t="str">
        <x:f>IF(MonthlyStats!A244="","",TEXT(MonthlyStats!O244,"₹#,##0")&amp;" public summary; "&amp;MonthlyStats!D244&amp;" cases")</x:f>
      </x:c>
      <x:c r="J244" t="str">
        <x:f>IF(MonthlyStats!A244="","","#")</x:f>
      </x:c>
      <x:c r="K244" t="str">
        <x:f>IF(MonthlyStats!A244="","",MonthlyStats!S244)</x:f>
      </x:c>
      <x:c r="L244" t="str">
        <x:f>IF(MonthlyStats!A244="","","Formula-linked")</x:f>
      </x:c>
    </x:row>
    <x:row r="245">
      <x:c r="A245" t="str">
        <x:f>IF(MonthlyStats!A245="","",MonthlyStats!A245)</x:f>
      </x:c>
      <x:c r="B245" t="str">
        <x:f>IF(MonthlyStats!A245="","",MonthlyStats!B245)</x:f>
      </x:c>
      <x:c r="C245" t="str">
        <x:f>IF(MonthlyStats!A245="","",MonthlyStats!E245)</x:f>
      </x:c>
      <x:c r="D245" t="str">
        <x:f>IF(MonthlyStats!A245="","",MonthlyStats!F245)</x:f>
      </x:c>
      <x:c r="E245" t="str">
        <x:f>IF(MonthlyStats!A245="","",MonthlyStats!G245)</x:f>
      </x:c>
      <x:c r="F245" t="str">
        <x:f>IF(MonthlyStats!A245="","",MonthlyStats!H245)</x:f>
      </x:c>
      <x:c r="G245" t="str">
        <x:f>IF(MonthlyStats!A245="","",MonthlyStats!I245)</x:f>
      </x:c>
      <x:c r="H245" t="str">
        <x:f>IF(MonthlyStats!A245="","",MonthlyStats!J245+MonthlyStats!K245)</x:f>
      </x:c>
      <x:c r="I245" t="str">
        <x:f>IF(MonthlyStats!A245="","",TEXT(MonthlyStats!O245,"₹#,##0")&amp;" public summary; "&amp;MonthlyStats!D245&amp;" cases")</x:f>
      </x:c>
      <x:c r="J245" t="str">
        <x:f>IF(MonthlyStats!A245="","","#")</x:f>
      </x:c>
      <x:c r="K245" t="str">
        <x:f>IF(MonthlyStats!A245="","",MonthlyStats!S245)</x:f>
      </x:c>
      <x:c r="L245" t="str">
        <x:f>IF(MonthlyStats!A245="","","Formula-linked")</x:f>
      </x:c>
    </x:row>
    <x:row r="246">
      <x:c r="A246" t="str">
        <x:f>IF(MonthlyStats!A246="","",MonthlyStats!A246)</x:f>
      </x:c>
      <x:c r="B246" t="str">
        <x:f>IF(MonthlyStats!A246="","",MonthlyStats!B246)</x:f>
      </x:c>
      <x:c r="C246" t="str">
        <x:f>IF(MonthlyStats!A246="","",MonthlyStats!E246)</x:f>
      </x:c>
      <x:c r="D246" t="str">
        <x:f>IF(MonthlyStats!A246="","",MonthlyStats!F246)</x:f>
      </x:c>
      <x:c r="E246" t="str">
        <x:f>IF(MonthlyStats!A246="","",MonthlyStats!G246)</x:f>
      </x:c>
      <x:c r="F246" t="str">
        <x:f>IF(MonthlyStats!A246="","",MonthlyStats!H246)</x:f>
      </x:c>
      <x:c r="G246" t="str">
        <x:f>IF(MonthlyStats!A246="","",MonthlyStats!I246)</x:f>
      </x:c>
      <x:c r="H246" t="str">
        <x:f>IF(MonthlyStats!A246="","",MonthlyStats!J246+MonthlyStats!K246)</x:f>
      </x:c>
      <x:c r="I246" t="str">
        <x:f>IF(MonthlyStats!A246="","",TEXT(MonthlyStats!O246,"₹#,##0")&amp;" public summary; "&amp;MonthlyStats!D246&amp;" cases")</x:f>
      </x:c>
      <x:c r="J246" t="str">
        <x:f>IF(MonthlyStats!A246="","","#")</x:f>
      </x:c>
      <x:c r="K246" t="str">
        <x:f>IF(MonthlyStats!A246="","",MonthlyStats!S246)</x:f>
      </x:c>
      <x:c r="L246" t="str">
        <x:f>IF(MonthlyStats!A246="","","Formula-linked")</x:f>
      </x:c>
    </x:row>
    <x:row r="247">
      <x:c r="A247" t="str">
        <x:f>IF(MonthlyStats!A247="","",MonthlyStats!A247)</x:f>
      </x:c>
      <x:c r="B247" t="str">
        <x:f>IF(MonthlyStats!A247="","",MonthlyStats!B247)</x:f>
      </x:c>
      <x:c r="C247" t="str">
        <x:f>IF(MonthlyStats!A247="","",MonthlyStats!E247)</x:f>
      </x:c>
      <x:c r="D247" t="str">
        <x:f>IF(MonthlyStats!A247="","",MonthlyStats!F247)</x:f>
      </x:c>
      <x:c r="E247" t="str">
        <x:f>IF(MonthlyStats!A247="","",MonthlyStats!G247)</x:f>
      </x:c>
      <x:c r="F247" t="str">
        <x:f>IF(MonthlyStats!A247="","",MonthlyStats!H247)</x:f>
      </x:c>
      <x:c r="G247" t="str">
        <x:f>IF(MonthlyStats!A247="","",MonthlyStats!I247)</x:f>
      </x:c>
      <x:c r="H247" t="str">
        <x:f>IF(MonthlyStats!A247="","",MonthlyStats!J247+MonthlyStats!K247)</x:f>
      </x:c>
      <x:c r="I247" t="str">
        <x:f>IF(MonthlyStats!A247="","",TEXT(MonthlyStats!O247,"₹#,##0")&amp;" public summary; "&amp;MonthlyStats!D247&amp;" cases")</x:f>
      </x:c>
      <x:c r="J247" t="str">
        <x:f>IF(MonthlyStats!A247="","","#")</x:f>
      </x:c>
      <x:c r="K247" t="str">
        <x:f>IF(MonthlyStats!A247="","",MonthlyStats!S247)</x:f>
      </x:c>
      <x:c r="L247" t="str">
        <x:f>IF(MonthlyStats!A247="","","Formula-linked")</x:f>
      </x:c>
    </x:row>
    <x:row r="248">
      <x:c r="A248" t="str">
        <x:f>IF(MonthlyStats!A248="","",MonthlyStats!A248)</x:f>
      </x:c>
      <x:c r="B248" t="str">
        <x:f>IF(MonthlyStats!A248="","",MonthlyStats!B248)</x:f>
      </x:c>
      <x:c r="C248" t="str">
        <x:f>IF(MonthlyStats!A248="","",MonthlyStats!E248)</x:f>
      </x:c>
      <x:c r="D248" t="str">
        <x:f>IF(MonthlyStats!A248="","",MonthlyStats!F248)</x:f>
      </x:c>
      <x:c r="E248" t="str">
        <x:f>IF(MonthlyStats!A248="","",MonthlyStats!G248)</x:f>
      </x:c>
      <x:c r="F248" t="str">
        <x:f>IF(MonthlyStats!A248="","",MonthlyStats!H248)</x:f>
      </x:c>
      <x:c r="G248" t="str">
        <x:f>IF(MonthlyStats!A248="","",MonthlyStats!I248)</x:f>
      </x:c>
      <x:c r="H248" t="str">
        <x:f>IF(MonthlyStats!A248="","",MonthlyStats!J248+MonthlyStats!K248)</x:f>
      </x:c>
      <x:c r="I248" t="str">
        <x:f>IF(MonthlyStats!A248="","",TEXT(MonthlyStats!O248,"₹#,##0")&amp;" public summary; "&amp;MonthlyStats!D248&amp;" cases")</x:f>
      </x:c>
      <x:c r="J248" t="str">
        <x:f>IF(MonthlyStats!A248="","","#")</x:f>
      </x:c>
      <x:c r="K248" t="str">
        <x:f>IF(MonthlyStats!A248="","",MonthlyStats!S248)</x:f>
      </x:c>
      <x:c r="L248" t="str">
        <x:f>IF(MonthlyStats!A248="","","Formula-linked")</x:f>
      </x:c>
    </x:row>
    <x:row r="249">
      <x:c r="A249" t="str">
        <x:f>IF(MonthlyStats!A249="","",MonthlyStats!A249)</x:f>
      </x:c>
      <x:c r="B249" t="str">
        <x:f>IF(MonthlyStats!A249="","",MonthlyStats!B249)</x:f>
      </x:c>
      <x:c r="C249" t="str">
        <x:f>IF(MonthlyStats!A249="","",MonthlyStats!E249)</x:f>
      </x:c>
      <x:c r="D249" t="str">
        <x:f>IF(MonthlyStats!A249="","",MonthlyStats!F249)</x:f>
      </x:c>
      <x:c r="E249" t="str">
        <x:f>IF(MonthlyStats!A249="","",MonthlyStats!G249)</x:f>
      </x:c>
      <x:c r="F249" t="str">
        <x:f>IF(MonthlyStats!A249="","",MonthlyStats!H249)</x:f>
      </x:c>
      <x:c r="G249" t="str">
        <x:f>IF(MonthlyStats!A249="","",MonthlyStats!I249)</x:f>
      </x:c>
      <x:c r="H249" t="str">
        <x:f>IF(MonthlyStats!A249="","",MonthlyStats!J249+MonthlyStats!K249)</x:f>
      </x:c>
      <x:c r="I249" t="str">
        <x:f>IF(MonthlyStats!A249="","",TEXT(MonthlyStats!O249,"₹#,##0")&amp;" public summary; "&amp;MonthlyStats!D249&amp;" cases")</x:f>
      </x:c>
      <x:c r="J249" t="str">
        <x:f>IF(MonthlyStats!A249="","","#")</x:f>
      </x:c>
      <x:c r="K249" t="str">
        <x:f>IF(MonthlyStats!A249="","",MonthlyStats!S249)</x:f>
      </x:c>
      <x:c r="L249" t="str">
        <x:f>IF(MonthlyStats!A249="","","Formula-linked")</x:f>
      </x:c>
    </x:row>
    <x:row r="250">
      <x:c r="A250" t="str">
        <x:f>IF(MonthlyStats!A250="","",MonthlyStats!A250)</x:f>
      </x:c>
      <x:c r="B250" t="str">
        <x:f>IF(MonthlyStats!A250="","",MonthlyStats!B250)</x:f>
      </x:c>
      <x:c r="C250" t="str">
        <x:f>IF(MonthlyStats!A250="","",MonthlyStats!E250)</x:f>
      </x:c>
      <x:c r="D250" t="str">
        <x:f>IF(MonthlyStats!A250="","",MonthlyStats!F250)</x:f>
      </x:c>
      <x:c r="E250" t="str">
        <x:f>IF(MonthlyStats!A250="","",MonthlyStats!G250)</x:f>
      </x:c>
      <x:c r="F250" t="str">
        <x:f>IF(MonthlyStats!A250="","",MonthlyStats!H250)</x:f>
      </x:c>
      <x:c r="G250" t="str">
        <x:f>IF(MonthlyStats!A250="","",MonthlyStats!I250)</x:f>
      </x:c>
      <x:c r="H250" t="str">
        <x:f>IF(MonthlyStats!A250="","",MonthlyStats!J250+MonthlyStats!K250)</x:f>
      </x:c>
      <x:c r="I250" t="str">
        <x:f>IF(MonthlyStats!A250="","",TEXT(MonthlyStats!O250,"₹#,##0")&amp;" public summary; "&amp;MonthlyStats!D250&amp;" cases")</x:f>
      </x:c>
      <x:c r="J250" t="str">
        <x:f>IF(MonthlyStats!A250="","","#")</x:f>
      </x:c>
      <x:c r="K250" t="str">
        <x:f>IF(MonthlyStats!A250="","",MonthlyStats!S250)</x:f>
      </x:c>
      <x:c r="L250" t="str">
        <x:f>IF(MonthlyStats!A250="","","Formula-linked")</x:f>
      </x:c>
    </x:row>
    <x:row r="251">
      <x:c r="A251" t="str">
        <x:f>IF(MonthlyStats!A251="","",MonthlyStats!A251)</x:f>
      </x:c>
      <x:c r="B251" t="str">
        <x:f>IF(MonthlyStats!A251="","",MonthlyStats!B251)</x:f>
      </x:c>
      <x:c r="C251" t="str">
        <x:f>IF(MonthlyStats!A251="","",MonthlyStats!E251)</x:f>
      </x:c>
      <x:c r="D251" t="str">
        <x:f>IF(MonthlyStats!A251="","",MonthlyStats!F251)</x:f>
      </x:c>
      <x:c r="E251" t="str">
        <x:f>IF(MonthlyStats!A251="","",MonthlyStats!G251)</x:f>
      </x:c>
      <x:c r="F251" t="str">
        <x:f>IF(MonthlyStats!A251="","",MonthlyStats!H251)</x:f>
      </x:c>
      <x:c r="G251" t="str">
        <x:f>IF(MonthlyStats!A251="","",MonthlyStats!I251)</x:f>
      </x:c>
      <x:c r="H251" t="str">
        <x:f>IF(MonthlyStats!A251="","",MonthlyStats!J251+MonthlyStats!K251)</x:f>
      </x:c>
      <x:c r="I251" t="str">
        <x:f>IF(MonthlyStats!A251="","",TEXT(MonthlyStats!O251,"₹#,##0")&amp;" public summary; "&amp;MonthlyStats!D251&amp;" cases")</x:f>
      </x:c>
      <x:c r="J251" t="str">
        <x:f>IF(MonthlyStats!A251="","","#")</x:f>
      </x:c>
      <x:c r="K251" t="str">
        <x:f>IF(MonthlyStats!A251="","",MonthlyStats!S251)</x:f>
      </x:c>
      <x:c r="L251" t="str">
        <x:f>IF(MonthlyStats!A251="","","Formula-linked")</x:f>
      </x:c>
    </x:row>
    <x:row r="252">
      <x:c r="A252" t="str">
        <x:f>IF(MonthlyStats!A252="","",MonthlyStats!A252)</x:f>
      </x:c>
      <x:c r="B252" t="str">
        <x:f>IF(MonthlyStats!A252="","",MonthlyStats!B252)</x:f>
      </x:c>
      <x:c r="C252" t="str">
        <x:f>IF(MonthlyStats!A252="","",MonthlyStats!E252)</x:f>
      </x:c>
      <x:c r="D252" t="str">
        <x:f>IF(MonthlyStats!A252="","",MonthlyStats!F252)</x:f>
      </x:c>
      <x:c r="E252" t="str">
        <x:f>IF(MonthlyStats!A252="","",MonthlyStats!G252)</x:f>
      </x:c>
      <x:c r="F252" t="str">
        <x:f>IF(MonthlyStats!A252="","",MonthlyStats!H252)</x:f>
      </x:c>
      <x:c r="G252" t="str">
        <x:f>IF(MonthlyStats!A252="","",MonthlyStats!I252)</x:f>
      </x:c>
      <x:c r="H252" t="str">
        <x:f>IF(MonthlyStats!A252="","",MonthlyStats!J252+MonthlyStats!K252)</x:f>
      </x:c>
      <x:c r="I252" t="str">
        <x:f>IF(MonthlyStats!A252="","",TEXT(MonthlyStats!O252,"₹#,##0")&amp;" public summary; "&amp;MonthlyStats!D252&amp;" cases")</x:f>
      </x:c>
      <x:c r="J252" t="str">
        <x:f>IF(MonthlyStats!A252="","","#")</x:f>
      </x:c>
      <x:c r="K252" t="str">
        <x:f>IF(MonthlyStats!A252="","",MonthlyStats!S252)</x:f>
      </x:c>
      <x:c r="L252" t="str">
        <x:f>IF(MonthlyStats!A252="","","Formula-linked")</x:f>
      </x:c>
    </x:row>
    <x:row r="253">
      <x:c r="A253" t="str">
        <x:f>IF(MonthlyStats!A253="","",MonthlyStats!A253)</x:f>
      </x:c>
      <x:c r="B253" t="str">
        <x:f>IF(MonthlyStats!A253="","",MonthlyStats!B253)</x:f>
      </x:c>
      <x:c r="C253" t="str">
        <x:f>IF(MonthlyStats!A253="","",MonthlyStats!E253)</x:f>
      </x:c>
      <x:c r="D253" t="str">
        <x:f>IF(MonthlyStats!A253="","",MonthlyStats!F253)</x:f>
      </x:c>
      <x:c r="E253" t="str">
        <x:f>IF(MonthlyStats!A253="","",MonthlyStats!G253)</x:f>
      </x:c>
      <x:c r="F253" t="str">
        <x:f>IF(MonthlyStats!A253="","",MonthlyStats!H253)</x:f>
      </x:c>
      <x:c r="G253" t="str">
        <x:f>IF(MonthlyStats!A253="","",MonthlyStats!I253)</x:f>
      </x:c>
      <x:c r="H253" t="str">
        <x:f>IF(MonthlyStats!A253="","",MonthlyStats!J253+MonthlyStats!K253)</x:f>
      </x:c>
      <x:c r="I253" t="str">
        <x:f>IF(MonthlyStats!A253="","",TEXT(MonthlyStats!O253,"₹#,##0")&amp;" public summary; "&amp;MonthlyStats!D253&amp;" cases")</x:f>
      </x:c>
      <x:c r="J253" t="str">
        <x:f>IF(MonthlyStats!A253="","","#")</x:f>
      </x:c>
      <x:c r="K253" t="str">
        <x:f>IF(MonthlyStats!A253="","",MonthlyStats!S253)</x:f>
      </x:c>
      <x:c r="L253" t="str">
        <x:f>IF(MonthlyStats!A253="","","Formula-linked")</x:f>
      </x:c>
    </x:row>
    <x:row r="254">
      <x:c r="A254" t="str">
        <x:f>IF(MonthlyStats!A254="","",MonthlyStats!A254)</x:f>
      </x:c>
      <x:c r="B254" t="str">
        <x:f>IF(MonthlyStats!A254="","",MonthlyStats!B254)</x:f>
      </x:c>
      <x:c r="C254" t="str">
        <x:f>IF(MonthlyStats!A254="","",MonthlyStats!E254)</x:f>
      </x:c>
      <x:c r="D254" t="str">
        <x:f>IF(MonthlyStats!A254="","",MonthlyStats!F254)</x:f>
      </x:c>
      <x:c r="E254" t="str">
        <x:f>IF(MonthlyStats!A254="","",MonthlyStats!G254)</x:f>
      </x:c>
      <x:c r="F254" t="str">
        <x:f>IF(MonthlyStats!A254="","",MonthlyStats!H254)</x:f>
      </x:c>
      <x:c r="G254" t="str">
        <x:f>IF(MonthlyStats!A254="","",MonthlyStats!I254)</x:f>
      </x:c>
      <x:c r="H254" t="str">
        <x:f>IF(MonthlyStats!A254="","",MonthlyStats!J254+MonthlyStats!K254)</x:f>
      </x:c>
      <x:c r="I254" t="str">
        <x:f>IF(MonthlyStats!A254="","",TEXT(MonthlyStats!O254,"₹#,##0")&amp;" public summary; "&amp;MonthlyStats!D254&amp;" cases")</x:f>
      </x:c>
      <x:c r="J254" t="str">
        <x:f>IF(MonthlyStats!A254="","","#")</x:f>
      </x:c>
      <x:c r="K254" t="str">
        <x:f>IF(MonthlyStats!A254="","",MonthlyStats!S254)</x:f>
      </x:c>
      <x:c r="L254" t="str">
        <x:f>IF(MonthlyStats!A254="","","Formula-linked")</x:f>
      </x:c>
    </x:row>
    <x:row r="255">
      <x:c r="A255" t="str">
        <x:f>IF(MonthlyStats!A255="","",MonthlyStats!A255)</x:f>
      </x:c>
      <x:c r="B255" t="str">
        <x:f>IF(MonthlyStats!A255="","",MonthlyStats!B255)</x:f>
      </x:c>
      <x:c r="C255" t="str">
        <x:f>IF(MonthlyStats!A255="","",MonthlyStats!E255)</x:f>
      </x:c>
      <x:c r="D255" t="str">
        <x:f>IF(MonthlyStats!A255="","",MonthlyStats!F255)</x:f>
      </x:c>
      <x:c r="E255" t="str">
        <x:f>IF(MonthlyStats!A255="","",MonthlyStats!G255)</x:f>
      </x:c>
      <x:c r="F255" t="str">
        <x:f>IF(MonthlyStats!A255="","",MonthlyStats!H255)</x:f>
      </x:c>
      <x:c r="G255" t="str">
        <x:f>IF(MonthlyStats!A255="","",MonthlyStats!I255)</x:f>
      </x:c>
      <x:c r="H255" t="str">
        <x:f>IF(MonthlyStats!A255="","",MonthlyStats!J255+MonthlyStats!K255)</x:f>
      </x:c>
      <x:c r="I255" t="str">
        <x:f>IF(MonthlyStats!A255="","",TEXT(MonthlyStats!O255,"₹#,##0")&amp;" public summary; "&amp;MonthlyStats!D255&amp;" cases")</x:f>
      </x:c>
      <x:c r="J255" t="str">
        <x:f>IF(MonthlyStats!A255="","","#")</x:f>
      </x:c>
      <x:c r="K255" t="str">
        <x:f>IF(MonthlyStats!A255="","",MonthlyStats!S255)</x:f>
      </x:c>
      <x:c r="L255" t="str">
        <x:f>IF(MonthlyStats!A255="","","Formula-linked")</x:f>
      </x:c>
    </x:row>
    <x:row r="256">
      <x:c r="A256" t="str">
        <x:f>IF(MonthlyStats!A256="","",MonthlyStats!A256)</x:f>
      </x:c>
      <x:c r="B256" t="str">
        <x:f>IF(MonthlyStats!A256="","",MonthlyStats!B256)</x:f>
      </x:c>
      <x:c r="C256" t="str">
        <x:f>IF(MonthlyStats!A256="","",MonthlyStats!E256)</x:f>
      </x:c>
      <x:c r="D256" t="str">
        <x:f>IF(MonthlyStats!A256="","",MonthlyStats!F256)</x:f>
      </x:c>
      <x:c r="E256" t="str">
        <x:f>IF(MonthlyStats!A256="","",MonthlyStats!G256)</x:f>
      </x:c>
      <x:c r="F256" t="str">
        <x:f>IF(MonthlyStats!A256="","",MonthlyStats!H256)</x:f>
      </x:c>
      <x:c r="G256" t="str">
        <x:f>IF(MonthlyStats!A256="","",MonthlyStats!I256)</x:f>
      </x:c>
      <x:c r="H256" t="str">
        <x:f>IF(MonthlyStats!A256="","",MonthlyStats!J256+MonthlyStats!K256)</x:f>
      </x:c>
      <x:c r="I256" t="str">
        <x:f>IF(MonthlyStats!A256="","",TEXT(MonthlyStats!O256,"₹#,##0")&amp;" public summary; "&amp;MonthlyStats!D256&amp;" cases")</x:f>
      </x:c>
      <x:c r="J256" t="str">
        <x:f>IF(MonthlyStats!A256="","","#")</x:f>
      </x:c>
      <x:c r="K256" t="str">
        <x:f>IF(MonthlyStats!A256="","",MonthlyStats!S256)</x:f>
      </x:c>
      <x:c r="L256" t="str">
        <x:f>IF(MonthlyStats!A256="","","Formula-linked")</x:f>
      </x:c>
    </x:row>
    <x:row r="257">
      <x:c r="A257" t="str">
        <x:f>IF(MonthlyStats!A257="","",MonthlyStats!A257)</x:f>
      </x:c>
      <x:c r="B257" t="str">
        <x:f>IF(MonthlyStats!A257="","",MonthlyStats!B257)</x:f>
      </x:c>
      <x:c r="C257" t="str">
        <x:f>IF(MonthlyStats!A257="","",MonthlyStats!E257)</x:f>
      </x:c>
      <x:c r="D257" t="str">
        <x:f>IF(MonthlyStats!A257="","",MonthlyStats!F257)</x:f>
      </x:c>
      <x:c r="E257" t="str">
        <x:f>IF(MonthlyStats!A257="","",MonthlyStats!G257)</x:f>
      </x:c>
      <x:c r="F257" t="str">
        <x:f>IF(MonthlyStats!A257="","",MonthlyStats!H257)</x:f>
      </x:c>
      <x:c r="G257" t="str">
        <x:f>IF(MonthlyStats!A257="","",MonthlyStats!I257)</x:f>
      </x:c>
      <x:c r="H257" t="str">
        <x:f>IF(MonthlyStats!A257="","",MonthlyStats!J257+MonthlyStats!K257)</x:f>
      </x:c>
      <x:c r="I257" t="str">
        <x:f>IF(MonthlyStats!A257="","",TEXT(MonthlyStats!O257,"₹#,##0")&amp;" public summary; "&amp;MonthlyStats!D257&amp;" cases")</x:f>
      </x:c>
      <x:c r="J257" t="str">
        <x:f>IF(MonthlyStats!A257="","","#")</x:f>
      </x:c>
      <x:c r="K257" t="str">
        <x:f>IF(MonthlyStats!A257="","",MonthlyStats!S257)</x:f>
      </x:c>
      <x:c r="L257" t="str">
        <x:f>IF(MonthlyStats!A257="","","Formula-linked")</x:f>
      </x:c>
    </x:row>
    <x:row r="258">
      <x:c r="A258" t="str">
        <x:f>IF(MonthlyStats!A258="","",MonthlyStats!A258)</x:f>
      </x:c>
      <x:c r="B258" t="str">
        <x:f>IF(MonthlyStats!A258="","",MonthlyStats!B258)</x:f>
      </x:c>
      <x:c r="C258" t="str">
        <x:f>IF(MonthlyStats!A258="","",MonthlyStats!E258)</x:f>
      </x:c>
      <x:c r="D258" t="str">
        <x:f>IF(MonthlyStats!A258="","",MonthlyStats!F258)</x:f>
      </x:c>
      <x:c r="E258" t="str">
        <x:f>IF(MonthlyStats!A258="","",MonthlyStats!G258)</x:f>
      </x:c>
      <x:c r="F258" t="str">
        <x:f>IF(MonthlyStats!A258="","",MonthlyStats!H258)</x:f>
      </x:c>
      <x:c r="G258" t="str">
        <x:f>IF(MonthlyStats!A258="","",MonthlyStats!I258)</x:f>
      </x:c>
      <x:c r="H258" t="str">
        <x:f>IF(MonthlyStats!A258="","",MonthlyStats!J258+MonthlyStats!K258)</x:f>
      </x:c>
      <x:c r="I258" t="str">
        <x:f>IF(MonthlyStats!A258="","",TEXT(MonthlyStats!O258,"₹#,##0")&amp;" public summary; "&amp;MonthlyStats!D258&amp;" cases")</x:f>
      </x:c>
      <x:c r="J258" t="str">
        <x:f>IF(MonthlyStats!A258="","","#")</x:f>
      </x:c>
      <x:c r="K258" t="str">
        <x:f>IF(MonthlyStats!A258="","",MonthlyStats!S258)</x:f>
      </x:c>
      <x:c r="L258" t="str">
        <x:f>IF(MonthlyStats!A258="","","Formula-linked")</x:f>
      </x:c>
    </x:row>
    <x:row r="259">
      <x:c r="A259" t="str">
        <x:f>IF(MonthlyStats!A259="","",MonthlyStats!A259)</x:f>
      </x:c>
      <x:c r="B259" t="str">
        <x:f>IF(MonthlyStats!A259="","",MonthlyStats!B259)</x:f>
      </x:c>
      <x:c r="C259" t="str">
        <x:f>IF(MonthlyStats!A259="","",MonthlyStats!E259)</x:f>
      </x:c>
      <x:c r="D259" t="str">
        <x:f>IF(MonthlyStats!A259="","",MonthlyStats!F259)</x:f>
      </x:c>
      <x:c r="E259" t="str">
        <x:f>IF(MonthlyStats!A259="","",MonthlyStats!G259)</x:f>
      </x:c>
      <x:c r="F259" t="str">
        <x:f>IF(MonthlyStats!A259="","",MonthlyStats!H259)</x:f>
      </x:c>
      <x:c r="G259" t="str">
        <x:f>IF(MonthlyStats!A259="","",MonthlyStats!I259)</x:f>
      </x:c>
      <x:c r="H259" t="str">
        <x:f>IF(MonthlyStats!A259="","",MonthlyStats!J259+MonthlyStats!K259)</x:f>
      </x:c>
      <x:c r="I259" t="str">
        <x:f>IF(MonthlyStats!A259="","",TEXT(MonthlyStats!O259,"₹#,##0")&amp;" public summary; "&amp;MonthlyStats!D259&amp;" cases")</x:f>
      </x:c>
      <x:c r="J259" t="str">
        <x:f>IF(MonthlyStats!A259="","","#")</x:f>
      </x:c>
      <x:c r="K259" t="str">
        <x:f>IF(MonthlyStats!A259="","",MonthlyStats!S259)</x:f>
      </x:c>
      <x:c r="L259" t="str">
        <x:f>IF(MonthlyStats!A259="","","Formula-linked")</x:f>
      </x:c>
    </x:row>
    <x:row r="260">
      <x:c r="A260" t="str">
        <x:f>IF(MonthlyStats!A260="","",MonthlyStats!A260)</x:f>
      </x:c>
      <x:c r="B260" t="str">
        <x:f>IF(MonthlyStats!A260="","",MonthlyStats!B260)</x:f>
      </x:c>
      <x:c r="C260" t="str">
        <x:f>IF(MonthlyStats!A260="","",MonthlyStats!E260)</x:f>
      </x:c>
      <x:c r="D260" t="str">
        <x:f>IF(MonthlyStats!A260="","",MonthlyStats!F260)</x:f>
      </x:c>
      <x:c r="E260" t="str">
        <x:f>IF(MonthlyStats!A260="","",MonthlyStats!G260)</x:f>
      </x:c>
      <x:c r="F260" t="str">
        <x:f>IF(MonthlyStats!A260="","",MonthlyStats!H260)</x:f>
      </x:c>
      <x:c r="G260" t="str">
        <x:f>IF(MonthlyStats!A260="","",MonthlyStats!I260)</x:f>
      </x:c>
      <x:c r="H260" t="str">
        <x:f>IF(MonthlyStats!A260="","",MonthlyStats!J260+MonthlyStats!K260)</x:f>
      </x:c>
      <x:c r="I260" t="str">
        <x:f>IF(MonthlyStats!A260="","",TEXT(MonthlyStats!O260,"₹#,##0")&amp;" public summary; "&amp;MonthlyStats!D260&amp;" cases")</x:f>
      </x:c>
      <x:c r="J260" t="str">
        <x:f>IF(MonthlyStats!A260="","","#")</x:f>
      </x:c>
      <x:c r="K260" t="str">
        <x:f>IF(MonthlyStats!A260="","",MonthlyStats!S260)</x:f>
      </x:c>
      <x:c r="L260" t="str">
        <x:f>IF(MonthlyStats!A260="","","Formula-linked")</x:f>
      </x:c>
    </x:row>
    <x:row r="261">
      <x:c r="A261" t="str">
        <x:f>IF(MonthlyStats!A261="","",MonthlyStats!A261)</x:f>
      </x:c>
      <x:c r="B261" t="str">
        <x:f>IF(MonthlyStats!A261="","",MonthlyStats!B261)</x:f>
      </x:c>
      <x:c r="C261" t="str">
        <x:f>IF(MonthlyStats!A261="","",MonthlyStats!E261)</x:f>
      </x:c>
      <x:c r="D261" t="str">
        <x:f>IF(MonthlyStats!A261="","",MonthlyStats!F261)</x:f>
      </x:c>
      <x:c r="E261" t="str">
        <x:f>IF(MonthlyStats!A261="","",MonthlyStats!G261)</x:f>
      </x:c>
      <x:c r="F261" t="str">
        <x:f>IF(MonthlyStats!A261="","",MonthlyStats!H261)</x:f>
      </x:c>
      <x:c r="G261" t="str">
        <x:f>IF(MonthlyStats!A261="","",MonthlyStats!I261)</x:f>
      </x:c>
      <x:c r="H261" t="str">
        <x:f>IF(MonthlyStats!A261="","",MonthlyStats!J261+MonthlyStats!K261)</x:f>
      </x:c>
      <x:c r="I261" t="str">
        <x:f>IF(MonthlyStats!A261="","",TEXT(MonthlyStats!O261,"₹#,##0")&amp;" public summary; "&amp;MonthlyStats!D261&amp;" cases")</x:f>
      </x:c>
      <x:c r="J261" t="str">
        <x:f>IF(MonthlyStats!A261="","","#")</x:f>
      </x:c>
      <x:c r="K261" t="str">
        <x:f>IF(MonthlyStats!A261="","",MonthlyStats!S261)</x:f>
      </x:c>
      <x:c r="L261" t="str">
        <x:f>IF(MonthlyStats!A261="","","Formula-linked")</x:f>
      </x:c>
    </x:row>
    <x:row r="262">
      <x:c r="A262" t="str">
        <x:f>IF(MonthlyStats!A262="","",MonthlyStats!A262)</x:f>
      </x:c>
      <x:c r="B262" t="str">
        <x:f>IF(MonthlyStats!A262="","",MonthlyStats!B262)</x:f>
      </x:c>
      <x:c r="C262" t="str">
        <x:f>IF(MonthlyStats!A262="","",MonthlyStats!E262)</x:f>
      </x:c>
      <x:c r="D262" t="str">
        <x:f>IF(MonthlyStats!A262="","",MonthlyStats!F262)</x:f>
      </x:c>
      <x:c r="E262" t="str">
        <x:f>IF(MonthlyStats!A262="","",MonthlyStats!G262)</x:f>
      </x:c>
      <x:c r="F262" t="str">
        <x:f>IF(MonthlyStats!A262="","",MonthlyStats!H262)</x:f>
      </x:c>
      <x:c r="G262" t="str">
        <x:f>IF(MonthlyStats!A262="","",MonthlyStats!I262)</x:f>
      </x:c>
      <x:c r="H262" t="str">
        <x:f>IF(MonthlyStats!A262="","",MonthlyStats!J262+MonthlyStats!K262)</x:f>
      </x:c>
      <x:c r="I262" t="str">
        <x:f>IF(MonthlyStats!A262="","",TEXT(MonthlyStats!O262,"₹#,##0")&amp;" public summary; "&amp;MonthlyStats!D262&amp;" cases")</x:f>
      </x:c>
      <x:c r="J262" t="str">
        <x:f>IF(MonthlyStats!A262="","","#")</x:f>
      </x:c>
      <x:c r="K262" t="str">
        <x:f>IF(MonthlyStats!A262="","",MonthlyStats!S262)</x:f>
      </x:c>
      <x:c r="L262" t="str">
        <x:f>IF(MonthlyStats!A262="","","Formula-linked")</x:f>
      </x:c>
    </x:row>
    <x:row r="263">
      <x:c r="A263" t="str">
        <x:f>IF(MonthlyStats!A263="","",MonthlyStats!A263)</x:f>
      </x:c>
      <x:c r="B263" t="str">
        <x:f>IF(MonthlyStats!A263="","",MonthlyStats!B263)</x:f>
      </x:c>
      <x:c r="C263" t="str">
        <x:f>IF(MonthlyStats!A263="","",MonthlyStats!E263)</x:f>
      </x:c>
      <x:c r="D263" t="str">
        <x:f>IF(MonthlyStats!A263="","",MonthlyStats!F263)</x:f>
      </x:c>
      <x:c r="E263" t="str">
        <x:f>IF(MonthlyStats!A263="","",MonthlyStats!G263)</x:f>
      </x:c>
      <x:c r="F263" t="str">
        <x:f>IF(MonthlyStats!A263="","",MonthlyStats!H263)</x:f>
      </x:c>
      <x:c r="G263" t="str">
        <x:f>IF(MonthlyStats!A263="","",MonthlyStats!I263)</x:f>
      </x:c>
      <x:c r="H263" t="str">
        <x:f>IF(MonthlyStats!A263="","",MonthlyStats!J263+MonthlyStats!K263)</x:f>
      </x:c>
      <x:c r="I263" t="str">
        <x:f>IF(MonthlyStats!A263="","",TEXT(MonthlyStats!O263,"₹#,##0")&amp;" public summary; "&amp;MonthlyStats!D263&amp;" cases")</x:f>
      </x:c>
      <x:c r="J263" t="str">
        <x:f>IF(MonthlyStats!A263="","","#")</x:f>
      </x:c>
      <x:c r="K263" t="str">
        <x:f>IF(MonthlyStats!A263="","",MonthlyStats!S263)</x:f>
      </x:c>
      <x:c r="L263" t="str">
        <x:f>IF(MonthlyStats!A263="","","Formula-linked")</x:f>
      </x:c>
    </x:row>
    <x:row r="264">
      <x:c r="A264" t="str">
        <x:f>IF(MonthlyStats!A264="","",MonthlyStats!A264)</x:f>
      </x:c>
      <x:c r="B264" t="str">
        <x:f>IF(MonthlyStats!A264="","",MonthlyStats!B264)</x:f>
      </x:c>
      <x:c r="C264" t="str">
        <x:f>IF(MonthlyStats!A264="","",MonthlyStats!E264)</x:f>
      </x:c>
      <x:c r="D264" t="str">
        <x:f>IF(MonthlyStats!A264="","",MonthlyStats!F264)</x:f>
      </x:c>
      <x:c r="E264" t="str">
        <x:f>IF(MonthlyStats!A264="","",MonthlyStats!G264)</x:f>
      </x:c>
      <x:c r="F264" t="str">
        <x:f>IF(MonthlyStats!A264="","",MonthlyStats!H264)</x:f>
      </x:c>
      <x:c r="G264" t="str">
        <x:f>IF(MonthlyStats!A264="","",MonthlyStats!I264)</x:f>
      </x:c>
      <x:c r="H264" t="str">
        <x:f>IF(MonthlyStats!A264="","",MonthlyStats!J264+MonthlyStats!K264)</x:f>
      </x:c>
      <x:c r="I264" t="str">
        <x:f>IF(MonthlyStats!A264="","",TEXT(MonthlyStats!O264,"₹#,##0")&amp;" public summary; "&amp;MonthlyStats!D264&amp;" cases")</x:f>
      </x:c>
      <x:c r="J264" t="str">
        <x:f>IF(MonthlyStats!A264="","","#")</x:f>
      </x:c>
      <x:c r="K264" t="str">
        <x:f>IF(MonthlyStats!A264="","",MonthlyStats!S264)</x:f>
      </x:c>
      <x:c r="L264" t="str">
        <x:f>IF(MonthlyStats!A264="","","Formula-linked")</x:f>
      </x:c>
    </x:row>
    <x:row r="265">
      <x:c r="A265" t="str">
        <x:f>IF(MonthlyStats!A265="","",MonthlyStats!A265)</x:f>
      </x:c>
      <x:c r="B265" t="str">
        <x:f>IF(MonthlyStats!A265="","",MonthlyStats!B265)</x:f>
      </x:c>
      <x:c r="C265" t="str">
        <x:f>IF(MonthlyStats!A265="","",MonthlyStats!E265)</x:f>
      </x:c>
      <x:c r="D265" t="str">
        <x:f>IF(MonthlyStats!A265="","",MonthlyStats!F265)</x:f>
      </x:c>
      <x:c r="E265" t="str">
        <x:f>IF(MonthlyStats!A265="","",MonthlyStats!G265)</x:f>
      </x:c>
      <x:c r="F265" t="str">
        <x:f>IF(MonthlyStats!A265="","",MonthlyStats!H265)</x:f>
      </x:c>
      <x:c r="G265" t="str">
        <x:f>IF(MonthlyStats!A265="","",MonthlyStats!I265)</x:f>
      </x:c>
      <x:c r="H265" t="str">
        <x:f>IF(MonthlyStats!A265="","",MonthlyStats!J265+MonthlyStats!K265)</x:f>
      </x:c>
      <x:c r="I265" t="str">
        <x:f>IF(MonthlyStats!A265="","",TEXT(MonthlyStats!O265,"₹#,##0")&amp;" public summary; "&amp;MonthlyStats!D265&amp;" cases")</x:f>
      </x:c>
      <x:c r="J265" t="str">
        <x:f>IF(MonthlyStats!A265="","","#")</x:f>
      </x:c>
      <x:c r="K265" t="str">
        <x:f>IF(MonthlyStats!A265="","",MonthlyStats!S265)</x:f>
      </x:c>
      <x:c r="L265" t="str">
        <x:f>IF(MonthlyStats!A265="","","Formula-linked")</x:f>
      </x:c>
    </x:row>
    <x:row r="266">
      <x:c r="A266" t="str">
        <x:f>IF(MonthlyStats!A266="","",MonthlyStats!A266)</x:f>
      </x:c>
      <x:c r="B266" t="str">
        <x:f>IF(MonthlyStats!A266="","",MonthlyStats!B266)</x:f>
      </x:c>
      <x:c r="C266" t="str">
        <x:f>IF(MonthlyStats!A266="","",MonthlyStats!E266)</x:f>
      </x:c>
      <x:c r="D266" t="str">
        <x:f>IF(MonthlyStats!A266="","",MonthlyStats!F266)</x:f>
      </x:c>
      <x:c r="E266" t="str">
        <x:f>IF(MonthlyStats!A266="","",MonthlyStats!G266)</x:f>
      </x:c>
      <x:c r="F266" t="str">
        <x:f>IF(MonthlyStats!A266="","",MonthlyStats!H266)</x:f>
      </x:c>
      <x:c r="G266" t="str">
        <x:f>IF(MonthlyStats!A266="","",MonthlyStats!I266)</x:f>
      </x:c>
      <x:c r="H266" t="str">
        <x:f>IF(MonthlyStats!A266="","",MonthlyStats!J266+MonthlyStats!K266)</x:f>
      </x:c>
      <x:c r="I266" t="str">
        <x:f>IF(MonthlyStats!A266="","",TEXT(MonthlyStats!O266,"₹#,##0")&amp;" public summary; "&amp;MonthlyStats!D266&amp;" cases")</x:f>
      </x:c>
      <x:c r="J266" t="str">
        <x:f>IF(MonthlyStats!A266="","","#")</x:f>
      </x:c>
      <x:c r="K266" t="str">
        <x:f>IF(MonthlyStats!A266="","",MonthlyStats!S266)</x:f>
      </x:c>
      <x:c r="L266" t="str">
        <x:f>IF(MonthlyStats!A266="","","Formula-linked")</x:f>
      </x:c>
    </x:row>
    <x:row r="267">
      <x:c r="A267" t="str">
        <x:f>IF(MonthlyStats!A267="","",MonthlyStats!A267)</x:f>
      </x:c>
      <x:c r="B267" t="str">
        <x:f>IF(MonthlyStats!A267="","",MonthlyStats!B267)</x:f>
      </x:c>
      <x:c r="C267" t="str">
        <x:f>IF(MonthlyStats!A267="","",MonthlyStats!E267)</x:f>
      </x:c>
      <x:c r="D267" t="str">
        <x:f>IF(MonthlyStats!A267="","",MonthlyStats!F267)</x:f>
      </x:c>
      <x:c r="E267" t="str">
        <x:f>IF(MonthlyStats!A267="","",MonthlyStats!G267)</x:f>
      </x:c>
      <x:c r="F267" t="str">
        <x:f>IF(MonthlyStats!A267="","",MonthlyStats!H267)</x:f>
      </x:c>
      <x:c r="G267" t="str">
        <x:f>IF(MonthlyStats!A267="","",MonthlyStats!I267)</x:f>
      </x:c>
      <x:c r="H267" t="str">
        <x:f>IF(MonthlyStats!A267="","",MonthlyStats!J267+MonthlyStats!K267)</x:f>
      </x:c>
      <x:c r="I267" t="str">
        <x:f>IF(MonthlyStats!A267="","",TEXT(MonthlyStats!O267,"₹#,##0")&amp;" public summary; "&amp;MonthlyStats!D267&amp;" cases")</x:f>
      </x:c>
      <x:c r="J267" t="str">
        <x:f>IF(MonthlyStats!A267="","","#")</x:f>
      </x:c>
      <x:c r="K267" t="str">
        <x:f>IF(MonthlyStats!A267="","",MonthlyStats!S267)</x:f>
      </x:c>
      <x:c r="L267" t="str">
        <x:f>IF(MonthlyStats!A267="","","Formula-linked")</x:f>
      </x:c>
    </x:row>
    <x:row r="268">
      <x:c r="A268" t="str">
        <x:f>IF(MonthlyStats!A268="","",MonthlyStats!A268)</x:f>
      </x:c>
      <x:c r="B268" t="str">
        <x:f>IF(MonthlyStats!A268="","",MonthlyStats!B268)</x:f>
      </x:c>
      <x:c r="C268" t="str">
        <x:f>IF(MonthlyStats!A268="","",MonthlyStats!E268)</x:f>
      </x:c>
      <x:c r="D268" t="str">
        <x:f>IF(MonthlyStats!A268="","",MonthlyStats!F268)</x:f>
      </x:c>
      <x:c r="E268" t="str">
        <x:f>IF(MonthlyStats!A268="","",MonthlyStats!G268)</x:f>
      </x:c>
      <x:c r="F268" t="str">
        <x:f>IF(MonthlyStats!A268="","",MonthlyStats!H268)</x:f>
      </x:c>
      <x:c r="G268" t="str">
        <x:f>IF(MonthlyStats!A268="","",MonthlyStats!I268)</x:f>
      </x:c>
      <x:c r="H268" t="str">
        <x:f>IF(MonthlyStats!A268="","",MonthlyStats!J268+MonthlyStats!K268)</x:f>
      </x:c>
      <x:c r="I268" t="str">
        <x:f>IF(MonthlyStats!A268="","",TEXT(MonthlyStats!O268,"₹#,##0")&amp;" public summary; "&amp;MonthlyStats!D268&amp;" cases")</x:f>
      </x:c>
      <x:c r="J268" t="str">
        <x:f>IF(MonthlyStats!A268="","","#")</x:f>
      </x:c>
      <x:c r="K268" t="str">
        <x:f>IF(MonthlyStats!A268="","",MonthlyStats!S268)</x:f>
      </x:c>
      <x:c r="L268" t="str">
        <x:f>IF(MonthlyStats!A268="","","Formula-linked")</x:f>
      </x:c>
    </x:row>
    <x:row r="269">
      <x:c r="A269" t="str">
        <x:f>IF(MonthlyStats!A269="","",MonthlyStats!A269)</x:f>
      </x:c>
      <x:c r="B269" t="str">
        <x:f>IF(MonthlyStats!A269="","",MonthlyStats!B269)</x:f>
      </x:c>
      <x:c r="C269" t="str">
        <x:f>IF(MonthlyStats!A269="","",MonthlyStats!E269)</x:f>
      </x:c>
      <x:c r="D269" t="str">
        <x:f>IF(MonthlyStats!A269="","",MonthlyStats!F269)</x:f>
      </x:c>
      <x:c r="E269" t="str">
        <x:f>IF(MonthlyStats!A269="","",MonthlyStats!G269)</x:f>
      </x:c>
      <x:c r="F269" t="str">
        <x:f>IF(MonthlyStats!A269="","",MonthlyStats!H269)</x:f>
      </x:c>
      <x:c r="G269" t="str">
        <x:f>IF(MonthlyStats!A269="","",MonthlyStats!I269)</x:f>
      </x:c>
      <x:c r="H269" t="str">
        <x:f>IF(MonthlyStats!A269="","",MonthlyStats!J269+MonthlyStats!K269)</x:f>
      </x:c>
      <x:c r="I269" t="str">
        <x:f>IF(MonthlyStats!A269="","",TEXT(MonthlyStats!O269,"₹#,##0")&amp;" public summary; "&amp;MonthlyStats!D269&amp;" cases")</x:f>
      </x:c>
      <x:c r="J269" t="str">
        <x:f>IF(MonthlyStats!A269="","","#")</x:f>
      </x:c>
      <x:c r="K269" t="str">
        <x:f>IF(MonthlyStats!A269="","",MonthlyStats!S269)</x:f>
      </x:c>
      <x:c r="L269" t="str">
        <x:f>IF(MonthlyStats!A269="","","Formula-linked")</x:f>
      </x:c>
    </x:row>
    <x:row r="270">
      <x:c r="A270" t="str">
        <x:f>IF(MonthlyStats!A270="","",MonthlyStats!A270)</x:f>
      </x:c>
      <x:c r="B270" t="str">
        <x:f>IF(MonthlyStats!A270="","",MonthlyStats!B270)</x:f>
      </x:c>
      <x:c r="C270" t="str">
        <x:f>IF(MonthlyStats!A270="","",MonthlyStats!E270)</x:f>
      </x:c>
      <x:c r="D270" t="str">
        <x:f>IF(MonthlyStats!A270="","",MonthlyStats!F270)</x:f>
      </x:c>
      <x:c r="E270" t="str">
        <x:f>IF(MonthlyStats!A270="","",MonthlyStats!G270)</x:f>
      </x:c>
      <x:c r="F270" t="str">
        <x:f>IF(MonthlyStats!A270="","",MonthlyStats!H270)</x:f>
      </x:c>
      <x:c r="G270" t="str">
        <x:f>IF(MonthlyStats!A270="","",MonthlyStats!I270)</x:f>
      </x:c>
      <x:c r="H270" t="str">
        <x:f>IF(MonthlyStats!A270="","",MonthlyStats!J270+MonthlyStats!K270)</x:f>
      </x:c>
      <x:c r="I270" t="str">
        <x:f>IF(MonthlyStats!A270="","",TEXT(MonthlyStats!O270,"₹#,##0")&amp;" public summary; "&amp;MonthlyStats!D270&amp;" cases")</x:f>
      </x:c>
      <x:c r="J270" t="str">
        <x:f>IF(MonthlyStats!A270="","","#")</x:f>
      </x:c>
      <x:c r="K270" t="str">
        <x:f>IF(MonthlyStats!A270="","",MonthlyStats!S270)</x:f>
      </x:c>
      <x:c r="L270" t="str">
        <x:f>IF(MonthlyStats!A270="","","Formula-linked")</x:f>
      </x:c>
    </x:row>
    <x:row r="271">
      <x:c r="A271" t="str">
        <x:f>IF(MonthlyStats!A271="","",MonthlyStats!A271)</x:f>
      </x:c>
      <x:c r="B271" t="str">
        <x:f>IF(MonthlyStats!A271="","",MonthlyStats!B271)</x:f>
      </x:c>
      <x:c r="C271" t="str">
        <x:f>IF(MonthlyStats!A271="","",MonthlyStats!E271)</x:f>
      </x:c>
      <x:c r="D271" t="str">
        <x:f>IF(MonthlyStats!A271="","",MonthlyStats!F271)</x:f>
      </x:c>
      <x:c r="E271" t="str">
        <x:f>IF(MonthlyStats!A271="","",MonthlyStats!G271)</x:f>
      </x:c>
      <x:c r="F271" t="str">
        <x:f>IF(MonthlyStats!A271="","",MonthlyStats!H271)</x:f>
      </x:c>
      <x:c r="G271" t="str">
        <x:f>IF(MonthlyStats!A271="","",MonthlyStats!I271)</x:f>
      </x:c>
      <x:c r="H271" t="str">
        <x:f>IF(MonthlyStats!A271="","",MonthlyStats!J271+MonthlyStats!K271)</x:f>
      </x:c>
      <x:c r="I271" t="str">
        <x:f>IF(MonthlyStats!A271="","",TEXT(MonthlyStats!O271,"₹#,##0")&amp;" public summary; "&amp;MonthlyStats!D271&amp;" cases")</x:f>
      </x:c>
      <x:c r="J271" t="str">
        <x:f>IF(MonthlyStats!A271="","","#")</x:f>
      </x:c>
      <x:c r="K271" t="str">
        <x:f>IF(MonthlyStats!A271="","",MonthlyStats!S271)</x:f>
      </x:c>
      <x:c r="L271" t="str">
        <x:f>IF(MonthlyStats!A271="","","Formula-linked")</x:f>
      </x:c>
    </x:row>
    <x:row r="272">
      <x:c r="A272" t="str">
        <x:f>IF(MonthlyStats!A272="","",MonthlyStats!A272)</x:f>
      </x:c>
      <x:c r="B272" t="str">
        <x:f>IF(MonthlyStats!A272="","",MonthlyStats!B272)</x:f>
      </x:c>
      <x:c r="C272" t="str">
        <x:f>IF(MonthlyStats!A272="","",MonthlyStats!E272)</x:f>
      </x:c>
      <x:c r="D272" t="str">
        <x:f>IF(MonthlyStats!A272="","",MonthlyStats!F272)</x:f>
      </x:c>
      <x:c r="E272" t="str">
        <x:f>IF(MonthlyStats!A272="","",MonthlyStats!G272)</x:f>
      </x:c>
      <x:c r="F272" t="str">
        <x:f>IF(MonthlyStats!A272="","",MonthlyStats!H272)</x:f>
      </x:c>
      <x:c r="G272" t="str">
        <x:f>IF(MonthlyStats!A272="","",MonthlyStats!I272)</x:f>
      </x:c>
      <x:c r="H272" t="str">
        <x:f>IF(MonthlyStats!A272="","",MonthlyStats!J272+MonthlyStats!K272)</x:f>
      </x:c>
      <x:c r="I272" t="str">
        <x:f>IF(MonthlyStats!A272="","",TEXT(MonthlyStats!O272,"₹#,##0")&amp;" public summary; "&amp;MonthlyStats!D272&amp;" cases")</x:f>
      </x:c>
      <x:c r="J272" t="str">
        <x:f>IF(MonthlyStats!A272="","","#")</x:f>
      </x:c>
      <x:c r="K272" t="str">
        <x:f>IF(MonthlyStats!A272="","",MonthlyStats!S272)</x:f>
      </x:c>
      <x:c r="L272" t="str">
        <x:f>IF(MonthlyStats!A272="","","Formula-linked")</x:f>
      </x:c>
    </x:row>
    <x:row r="273">
      <x:c r="A273" t="str">
        <x:f>IF(MonthlyStats!A273="","",MonthlyStats!A273)</x:f>
      </x:c>
      <x:c r="B273" t="str">
        <x:f>IF(MonthlyStats!A273="","",MonthlyStats!B273)</x:f>
      </x:c>
      <x:c r="C273" t="str">
        <x:f>IF(MonthlyStats!A273="","",MonthlyStats!E273)</x:f>
      </x:c>
      <x:c r="D273" t="str">
        <x:f>IF(MonthlyStats!A273="","",MonthlyStats!F273)</x:f>
      </x:c>
      <x:c r="E273" t="str">
        <x:f>IF(MonthlyStats!A273="","",MonthlyStats!G273)</x:f>
      </x:c>
      <x:c r="F273" t="str">
        <x:f>IF(MonthlyStats!A273="","",MonthlyStats!H273)</x:f>
      </x:c>
      <x:c r="G273" t="str">
        <x:f>IF(MonthlyStats!A273="","",MonthlyStats!I273)</x:f>
      </x:c>
      <x:c r="H273" t="str">
        <x:f>IF(MonthlyStats!A273="","",MonthlyStats!J273+MonthlyStats!K273)</x:f>
      </x:c>
      <x:c r="I273" t="str">
        <x:f>IF(MonthlyStats!A273="","",TEXT(MonthlyStats!O273,"₹#,##0")&amp;" public summary; "&amp;MonthlyStats!D273&amp;" cases")</x:f>
      </x:c>
      <x:c r="J273" t="str">
        <x:f>IF(MonthlyStats!A273="","","#")</x:f>
      </x:c>
      <x:c r="K273" t="str">
        <x:f>IF(MonthlyStats!A273="","",MonthlyStats!S273)</x:f>
      </x:c>
      <x:c r="L273" t="str">
        <x:f>IF(MonthlyStats!A273="","","Formula-linked")</x:f>
      </x:c>
    </x:row>
    <x:row r="274">
      <x:c r="A274" t="str">
        <x:f>IF(MonthlyStats!A274="","",MonthlyStats!A274)</x:f>
      </x:c>
      <x:c r="B274" t="str">
        <x:f>IF(MonthlyStats!A274="","",MonthlyStats!B274)</x:f>
      </x:c>
      <x:c r="C274" t="str">
        <x:f>IF(MonthlyStats!A274="","",MonthlyStats!E274)</x:f>
      </x:c>
      <x:c r="D274" t="str">
        <x:f>IF(MonthlyStats!A274="","",MonthlyStats!F274)</x:f>
      </x:c>
      <x:c r="E274" t="str">
        <x:f>IF(MonthlyStats!A274="","",MonthlyStats!G274)</x:f>
      </x:c>
      <x:c r="F274" t="str">
        <x:f>IF(MonthlyStats!A274="","",MonthlyStats!H274)</x:f>
      </x:c>
      <x:c r="G274" t="str">
        <x:f>IF(MonthlyStats!A274="","",MonthlyStats!I274)</x:f>
      </x:c>
      <x:c r="H274" t="str">
        <x:f>IF(MonthlyStats!A274="","",MonthlyStats!J274+MonthlyStats!K274)</x:f>
      </x:c>
      <x:c r="I274" t="str">
        <x:f>IF(MonthlyStats!A274="","",TEXT(MonthlyStats!O274,"₹#,##0")&amp;" public summary; "&amp;MonthlyStats!D274&amp;" cases")</x:f>
      </x:c>
      <x:c r="J274" t="str">
        <x:f>IF(MonthlyStats!A274="","","#")</x:f>
      </x:c>
      <x:c r="K274" t="str">
        <x:f>IF(MonthlyStats!A274="","",MonthlyStats!S274)</x:f>
      </x:c>
      <x:c r="L274" t="str">
        <x:f>IF(MonthlyStats!A274="","","Formula-linked")</x:f>
      </x:c>
    </x:row>
    <x:row r="275">
      <x:c r="A275" t="str">
        <x:f>IF(MonthlyStats!A275="","",MonthlyStats!A275)</x:f>
      </x:c>
      <x:c r="B275" t="str">
        <x:f>IF(MonthlyStats!A275="","",MonthlyStats!B275)</x:f>
      </x:c>
      <x:c r="C275" t="str">
        <x:f>IF(MonthlyStats!A275="","",MonthlyStats!E275)</x:f>
      </x:c>
      <x:c r="D275" t="str">
        <x:f>IF(MonthlyStats!A275="","",MonthlyStats!F275)</x:f>
      </x:c>
      <x:c r="E275" t="str">
        <x:f>IF(MonthlyStats!A275="","",MonthlyStats!G275)</x:f>
      </x:c>
      <x:c r="F275" t="str">
        <x:f>IF(MonthlyStats!A275="","",MonthlyStats!H275)</x:f>
      </x:c>
      <x:c r="G275" t="str">
        <x:f>IF(MonthlyStats!A275="","",MonthlyStats!I275)</x:f>
      </x:c>
      <x:c r="H275" t="str">
        <x:f>IF(MonthlyStats!A275="","",MonthlyStats!J275+MonthlyStats!K275)</x:f>
      </x:c>
      <x:c r="I275" t="str">
        <x:f>IF(MonthlyStats!A275="","",TEXT(MonthlyStats!O275,"₹#,##0")&amp;" public summary; "&amp;MonthlyStats!D275&amp;" cases")</x:f>
      </x:c>
      <x:c r="J275" t="str">
        <x:f>IF(MonthlyStats!A275="","","#")</x:f>
      </x:c>
      <x:c r="K275" t="str">
        <x:f>IF(MonthlyStats!A275="","",MonthlyStats!S275)</x:f>
      </x:c>
      <x:c r="L275" t="str">
        <x:f>IF(MonthlyStats!A275="","","Formula-linked")</x:f>
      </x:c>
    </x:row>
    <x:row r="276">
      <x:c r="A276" t="str">
        <x:f>IF(MonthlyStats!A276="","",MonthlyStats!A276)</x:f>
      </x:c>
      <x:c r="B276" t="str">
        <x:f>IF(MonthlyStats!A276="","",MonthlyStats!B276)</x:f>
      </x:c>
      <x:c r="C276" t="str">
        <x:f>IF(MonthlyStats!A276="","",MonthlyStats!E276)</x:f>
      </x:c>
      <x:c r="D276" t="str">
        <x:f>IF(MonthlyStats!A276="","",MonthlyStats!F276)</x:f>
      </x:c>
      <x:c r="E276" t="str">
        <x:f>IF(MonthlyStats!A276="","",MonthlyStats!G276)</x:f>
      </x:c>
      <x:c r="F276" t="str">
        <x:f>IF(MonthlyStats!A276="","",MonthlyStats!H276)</x:f>
      </x:c>
      <x:c r="G276" t="str">
        <x:f>IF(MonthlyStats!A276="","",MonthlyStats!I276)</x:f>
      </x:c>
      <x:c r="H276" t="str">
        <x:f>IF(MonthlyStats!A276="","",MonthlyStats!J276+MonthlyStats!K276)</x:f>
      </x:c>
      <x:c r="I276" t="str">
        <x:f>IF(MonthlyStats!A276="","",TEXT(MonthlyStats!O276,"₹#,##0")&amp;" public summary; "&amp;MonthlyStats!D276&amp;" cases")</x:f>
      </x:c>
      <x:c r="J276" t="str">
        <x:f>IF(MonthlyStats!A276="","","#")</x:f>
      </x:c>
      <x:c r="K276" t="str">
        <x:f>IF(MonthlyStats!A276="","",MonthlyStats!S276)</x:f>
      </x:c>
      <x:c r="L276" t="str">
        <x:f>IF(MonthlyStats!A276="","","Formula-linked")</x:f>
      </x:c>
    </x:row>
    <x:row r="277">
      <x:c r="A277" t="str">
        <x:f>IF(MonthlyStats!A277="","",MonthlyStats!A277)</x:f>
      </x:c>
      <x:c r="B277" t="str">
        <x:f>IF(MonthlyStats!A277="","",MonthlyStats!B277)</x:f>
      </x:c>
      <x:c r="C277" t="str">
        <x:f>IF(MonthlyStats!A277="","",MonthlyStats!E277)</x:f>
      </x:c>
      <x:c r="D277" t="str">
        <x:f>IF(MonthlyStats!A277="","",MonthlyStats!F277)</x:f>
      </x:c>
      <x:c r="E277" t="str">
        <x:f>IF(MonthlyStats!A277="","",MonthlyStats!G277)</x:f>
      </x:c>
      <x:c r="F277" t="str">
        <x:f>IF(MonthlyStats!A277="","",MonthlyStats!H277)</x:f>
      </x:c>
      <x:c r="G277" t="str">
        <x:f>IF(MonthlyStats!A277="","",MonthlyStats!I277)</x:f>
      </x:c>
      <x:c r="H277" t="str">
        <x:f>IF(MonthlyStats!A277="","",MonthlyStats!J277+MonthlyStats!K277)</x:f>
      </x:c>
      <x:c r="I277" t="str">
        <x:f>IF(MonthlyStats!A277="","",TEXT(MonthlyStats!O277,"₹#,##0")&amp;" public summary; "&amp;MonthlyStats!D277&amp;" cases")</x:f>
      </x:c>
      <x:c r="J277" t="str">
        <x:f>IF(MonthlyStats!A277="","","#")</x:f>
      </x:c>
      <x:c r="K277" t="str">
        <x:f>IF(MonthlyStats!A277="","",MonthlyStats!S277)</x:f>
      </x:c>
      <x:c r="L277" t="str">
        <x:f>IF(MonthlyStats!A277="","","Formula-linked")</x:f>
      </x:c>
    </x:row>
    <x:row r="278">
      <x:c r="A278" t="str">
        <x:f>IF(MonthlyStats!A278="","",MonthlyStats!A278)</x:f>
      </x:c>
      <x:c r="B278" t="str">
        <x:f>IF(MonthlyStats!A278="","",MonthlyStats!B278)</x:f>
      </x:c>
      <x:c r="C278" t="str">
        <x:f>IF(MonthlyStats!A278="","",MonthlyStats!E278)</x:f>
      </x:c>
      <x:c r="D278" t="str">
        <x:f>IF(MonthlyStats!A278="","",MonthlyStats!F278)</x:f>
      </x:c>
      <x:c r="E278" t="str">
        <x:f>IF(MonthlyStats!A278="","",MonthlyStats!G278)</x:f>
      </x:c>
      <x:c r="F278" t="str">
        <x:f>IF(MonthlyStats!A278="","",MonthlyStats!H278)</x:f>
      </x:c>
      <x:c r="G278" t="str">
        <x:f>IF(MonthlyStats!A278="","",MonthlyStats!I278)</x:f>
      </x:c>
      <x:c r="H278" t="str">
        <x:f>IF(MonthlyStats!A278="","",MonthlyStats!J278+MonthlyStats!K278)</x:f>
      </x:c>
      <x:c r="I278" t="str">
        <x:f>IF(MonthlyStats!A278="","",TEXT(MonthlyStats!O278,"₹#,##0")&amp;" public summary; "&amp;MonthlyStats!D278&amp;" cases")</x:f>
      </x:c>
      <x:c r="J278" t="str">
        <x:f>IF(MonthlyStats!A278="","","#")</x:f>
      </x:c>
      <x:c r="K278" t="str">
        <x:f>IF(MonthlyStats!A278="","",MonthlyStats!S278)</x:f>
      </x:c>
      <x:c r="L278" t="str">
        <x:f>IF(MonthlyStats!A278="","","Formula-linked")</x:f>
      </x:c>
    </x:row>
    <x:row r="279">
      <x:c r="A279" t="str">
        <x:f>IF(MonthlyStats!A279="","",MonthlyStats!A279)</x:f>
      </x:c>
      <x:c r="B279" t="str">
        <x:f>IF(MonthlyStats!A279="","",MonthlyStats!B279)</x:f>
      </x:c>
      <x:c r="C279" t="str">
        <x:f>IF(MonthlyStats!A279="","",MonthlyStats!E279)</x:f>
      </x:c>
      <x:c r="D279" t="str">
        <x:f>IF(MonthlyStats!A279="","",MonthlyStats!F279)</x:f>
      </x:c>
      <x:c r="E279" t="str">
        <x:f>IF(MonthlyStats!A279="","",MonthlyStats!G279)</x:f>
      </x:c>
      <x:c r="F279" t="str">
        <x:f>IF(MonthlyStats!A279="","",MonthlyStats!H279)</x:f>
      </x:c>
      <x:c r="G279" t="str">
        <x:f>IF(MonthlyStats!A279="","",MonthlyStats!I279)</x:f>
      </x:c>
      <x:c r="H279" t="str">
        <x:f>IF(MonthlyStats!A279="","",MonthlyStats!J279+MonthlyStats!K279)</x:f>
      </x:c>
      <x:c r="I279" t="str">
        <x:f>IF(MonthlyStats!A279="","",TEXT(MonthlyStats!O279,"₹#,##0")&amp;" public summary; "&amp;MonthlyStats!D279&amp;" cases")</x:f>
      </x:c>
      <x:c r="J279" t="str">
        <x:f>IF(MonthlyStats!A279="","","#")</x:f>
      </x:c>
      <x:c r="K279" t="str">
        <x:f>IF(MonthlyStats!A279="","",MonthlyStats!S279)</x:f>
      </x:c>
      <x:c r="L279" t="str">
        <x:f>IF(MonthlyStats!A279="","","Formula-linked")</x:f>
      </x:c>
    </x:row>
    <x:row r="280">
      <x:c r="A280" t="str">
        <x:f>IF(MonthlyStats!A280="","",MonthlyStats!A280)</x:f>
      </x:c>
      <x:c r="B280" t="str">
        <x:f>IF(MonthlyStats!A280="","",MonthlyStats!B280)</x:f>
      </x:c>
      <x:c r="C280" t="str">
        <x:f>IF(MonthlyStats!A280="","",MonthlyStats!E280)</x:f>
      </x:c>
      <x:c r="D280" t="str">
        <x:f>IF(MonthlyStats!A280="","",MonthlyStats!F280)</x:f>
      </x:c>
      <x:c r="E280" t="str">
        <x:f>IF(MonthlyStats!A280="","",MonthlyStats!G280)</x:f>
      </x:c>
      <x:c r="F280" t="str">
        <x:f>IF(MonthlyStats!A280="","",MonthlyStats!H280)</x:f>
      </x:c>
      <x:c r="G280" t="str">
        <x:f>IF(MonthlyStats!A280="","",MonthlyStats!I280)</x:f>
      </x:c>
      <x:c r="H280" t="str">
        <x:f>IF(MonthlyStats!A280="","",MonthlyStats!J280+MonthlyStats!K280)</x:f>
      </x:c>
      <x:c r="I280" t="str">
        <x:f>IF(MonthlyStats!A280="","",TEXT(MonthlyStats!O280,"₹#,##0")&amp;" public summary; "&amp;MonthlyStats!D280&amp;" cases")</x:f>
      </x:c>
      <x:c r="J280" t="str">
        <x:f>IF(MonthlyStats!A280="","","#")</x:f>
      </x:c>
      <x:c r="K280" t="str">
        <x:f>IF(MonthlyStats!A280="","",MonthlyStats!S280)</x:f>
      </x:c>
      <x:c r="L280" t="str">
        <x:f>IF(MonthlyStats!A280="","","Formula-linked")</x:f>
      </x:c>
    </x:row>
    <x:row r="281">
      <x:c r="A281" t="str">
        <x:f>IF(MonthlyStats!A281="","",MonthlyStats!A281)</x:f>
      </x:c>
      <x:c r="B281" t="str">
        <x:f>IF(MonthlyStats!A281="","",MonthlyStats!B281)</x:f>
      </x:c>
      <x:c r="C281" t="str">
        <x:f>IF(MonthlyStats!A281="","",MonthlyStats!E281)</x:f>
      </x:c>
      <x:c r="D281" t="str">
        <x:f>IF(MonthlyStats!A281="","",MonthlyStats!F281)</x:f>
      </x:c>
      <x:c r="E281" t="str">
        <x:f>IF(MonthlyStats!A281="","",MonthlyStats!G281)</x:f>
      </x:c>
      <x:c r="F281" t="str">
        <x:f>IF(MonthlyStats!A281="","",MonthlyStats!H281)</x:f>
      </x:c>
      <x:c r="G281" t="str">
        <x:f>IF(MonthlyStats!A281="","",MonthlyStats!I281)</x:f>
      </x:c>
      <x:c r="H281" t="str">
        <x:f>IF(MonthlyStats!A281="","",MonthlyStats!J281+MonthlyStats!K281)</x:f>
      </x:c>
      <x:c r="I281" t="str">
        <x:f>IF(MonthlyStats!A281="","",TEXT(MonthlyStats!O281,"₹#,##0")&amp;" public summary; "&amp;MonthlyStats!D281&amp;" cases")</x:f>
      </x:c>
      <x:c r="J281" t="str">
        <x:f>IF(MonthlyStats!A281="","","#")</x:f>
      </x:c>
      <x:c r="K281" t="str">
        <x:f>IF(MonthlyStats!A281="","",MonthlyStats!S281)</x:f>
      </x:c>
      <x:c r="L281" t="str">
        <x:f>IF(MonthlyStats!A281="","","Formula-linked")</x:f>
      </x:c>
    </x:row>
    <x:row r="282">
      <x:c r="A282" t="str">
        <x:f>IF(MonthlyStats!A282="","",MonthlyStats!A282)</x:f>
      </x:c>
      <x:c r="B282" t="str">
        <x:f>IF(MonthlyStats!A282="","",MonthlyStats!B282)</x:f>
      </x:c>
      <x:c r="C282" t="str">
        <x:f>IF(MonthlyStats!A282="","",MonthlyStats!E282)</x:f>
      </x:c>
      <x:c r="D282" t="str">
        <x:f>IF(MonthlyStats!A282="","",MonthlyStats!F282)</x:f>
      </x:c>
      <x:c r="E282" t="str">
        <x:f>IF(MonthlyStats!A282="","",MonthlyStats!G282)</x:f>
      </x:c>
      <x:c r="F282" t="str">
        <x:f>IF(MonthlyStats!A282="","",MonthlyStats!H282)</x:f>
      </x:c>
      <x:c r="G282" t="str">
        <x:f>IF(MonthlyStats!A282="","",MonthlyStats!I282)</x:f>
      </x:c>
      <x:c r="H282" t="str">
        <x:f>IF(MonthlyStats!A282="","",MonthlyStats!J282+MonthlyStats!K282)</x:f>
      </x:c>
      <x:c r="I282" t="str">
        <x:f>IF(MonthlyStats!A282="","",TEXT(MonthlyStats!O282,"₹#,##0")&amp;" public summary; "&amp;MonthlyStats!D282&amp;" cases")</x:f>
      </x:c>
      <x:c r="J282" t="str">
        <x:f>IF(MonthlyStats!A282="","","#")</x:f>
      </x:c>
      <x:c r="K282" t="str">
        <x:f>IF(MonthlyStats!A282="","",MonthlyStats!S282)</x:f>
      </x:c>
      <x:c r="L282" t="str">
        <x:f>IF(MonthlyStats!A282="","","Formula-linked")</x:f>
      </x:c>
    </x:row>
    <x:row r="283">
      <x:c r="A283" t="str">
        <x:f>IF(MonthlyStats!A283="","",MonthlyStats!A283)</x:f>
      </x:c>
      <x:c r="B283" t="str">
        <x:f>IF(MonthlyStats!A283="","",MonthlyStats!B283)</x:f>
      </x:c>
      <x:c r="C283" t="str">
        <x:f>IF(MonthlyStats!A283="","",MonthlyStats!E283)</x:f>
      </x:c>
      <x:c r="D283" t="str">
        <x:f>IF(MonthlyStats!A283="","",MonthlyStats!F283)</x:f>
      </x:c>
      <x:c r="E283" t="str">
        <x:f>IF(MonthlyStats!A283="","",MonthlyStats!G283)</x:f>
      </x:c>
      <x:c r="F283" t="str">
        <x:f>IF(MonthlyStats!A283="","",MonthlyStats!H283)</x:f>
      </x:c>
      <x:c r="G283" t="str">
        <x:f>IF(MonthlyStats!A283="","",MonthlyStats!I283)</x:f>
      </x:c>
      <x:c r="H283" t="str">
        <x:f>IF(MonthlyStats!A283="","",MonthlyStats!J283+MonthlyStats!K283)</x:f>
      </x:c>
      <x:c r="I283" t="str">
        <x:f>IF(MonthlyStats!A283="","",TEXT(MonthlyStats!O283,"₹#,##0")&amp;" public summary; "&amp;MonthlyStats!D283&amp;" cases")</x:f>
      </x:c>
      <x:c r="J283" t="str">
        <x:f>IF(MonthlyStats!A283="","","#")</x:f>
      </x:c>
      <x:c r="K283" t="str">
        <x:f>IF(MonthlyStats!A283="","",MonthlyStats!S283)</x:f>
      </x:c>
      <x:c r="L283" t="str">
        <x:f>IF(MonthlyStats!A283="","","Formula-linked")</x:f>
      </x:c>
    </x:row>
    <x:row r="284">
      <x:c r="A284" t="str">
        <x:f>IF(MonthlyStats!A284="","",MonthlyStats!A284)</x:f>
      </x:c>
      <x:c r="B284" t="str">
        <x:f>IF(MonthlyStats!A284="","",MonthlyStats!B284)</x:f>
      </x:c>
      <x:c r="C284" t="str">
        <x:f>IF(MonthlyStats!A284="","",MonthlyStats!E284)</x:f>
      </x:c>
      <x:c r="D284" t="str">
        <x:f>IF(MonthlyStats!A284="","",MonthlyStats!F284)</x:f>
      </x:c>
      <x:c r="E284" t="str">
        <x:f>IF(MonthlyStats!A284="","",MonthlyStats!G284)</x:f>
      </x:c>
      <x:c r="F284" t="str">
        <x:f>IF(MonthlyStats!A284="","",MonthlyStats!H284)</x:f>
      </x:c>
      <x:c r="G284" t="str">
        <x:f>IF(MonthlyStats!A284="","",MonthlyStats!I284)</x:f>
      </x:c>
      <x:c r="H284" t="str">
        <x:f>IF(MonthlyStats!A284="","",MonthlyStats!J284+MonthlyStats!K284)</x:f>
      </x:c>
      <x:c r="I284" t="str">
        <x:f>IF(MonthlyStats!A284="","",TEXT(MonthlyStats!O284,"₹#,##0")&amp;" public summary; "&amp;MonthlyStats!D284&amp;" cases")</x:f>
      </x:c>
      <x:c r="J284" t="str">
        <x:f>IF(MonthlyStats!A284="","","#")</x:f>
      </x:c>
      <x:c r="K284" t="str">
        <x:f>IF(MonthlyStats!A284="","",MonthlyStats!S284)</x:f>
      </x:c>
      <x:c r="L284" t="str">
        <x:f>IF(MonthlyStats!A284="","","Formula-linked")</x:f>
      </x:c>
    </x:row>
    <x:row r="285">
      <x:c r="A285" t="str">
        <x:f>IF(MonthlyStats!A285="","",MonthlyStats!A285)</x:f>
      </x:c>
      <x:c r="B285" t="str">
        <x:f>IF(MonthlyStats!A285="","",MonthlyStats!B285)</x:f>
      </x:c>
      <x:c r="C285" t="str">
        <x:f>IF(MonthlyStats!A285="","",MonthlyStats!E285)</x:f>
      </x:c>
      <x:c r="D285" t="str">
        <x:f>IF(MonthlyStats!A285="","",MonthlyStats!F285)</x:f>
      </x:c>
      <x:c r="E285" t="str">
        <x:f>IF(MonthlyStats!A285="","",MonthlyStats!G285)</x:f>
      </x:c>
      <x:c r="F285" t="str">
        <x:f>IF(MonthlyStats!A285="","",MonthlyStats!H285)</x:f>
      </x:c>
      <x:c r="G285" t="str">
        <x:f>IF(MonthlyStats!A285="","",MonthlyStats!I285)</x:f>
      </x:c>
      <x:c r="H285" t="str">
        <x:f>IF(MonthlyStats!A285="","",MonthlyStats!J285+MonthlyStats!K285)</x:f>
      </x:c>
      <x:c r="I285" t="str">
        <x:f>IF(MonthlyStats!A285="","",TEXT(MonthlyStats!O285,"₹#,##0")&amp;" public summary; "&amp;MonthlyStats!D285&amp;" cases")</x:f>
      </x:c>
      <x:c r="J285" t="str">
        <x:f>IF(MonthlyStats!A285="","","#")</x:f>
      </x:c>
      <x:c r="K285" t="str">
        <x:f>IF(MonthlyStats!A285="","",MonthlyStats!S285)</x:f>
      </x:c>
      <x:c r="L285" t="str">
        <x:f>IF(MonthlyStats!A285="","","Formula-linked")</x:f>
      </x:c>
    </x:row>
    <x:row r="286">
      <x:c r="A286" t="str">
        <x:f>IF(MonthlyStats!A286="","",MonthlyStats!A286)</x:f>
      </x:c>
      <x:c r="B286" t="str">
        <x:f>IF(MonthlyStats!A286="","",MonthlyStats!B286)</x:f>
      </x:c>
      <x:c r="C286" t="str">
        <x:f>IF(MonthlyStats!A286="","",MonthlyStats!E286)</x:f>
      </x:c>
      <x:c r="D286" t="str">
        <x:f>IF(MonthlyStats!A286="","",MonthlyStats!F286)</x:f>
      </x:c>
      <x:c r="E286" t="str">
        <x:f>IF(MonthlyStats!A286="","",MonthlyStats!G286)</x:f>
      </x:c>
      <x:c r="F286" t="str">
        <x:f>IF(MonthlyStats!A286="","",MonthlyStats!H286)</x:f>
      </x:c>
      <x:c r="G286" t="str">
        <x:f>IF(MonthlyStats!A286="","",MonthlyStats!I286)</x:f>
      </x:c>
      <x:c r="H286" t="str">
        <x:f>IF(MonthlyStats!A286="","",MonthlyStats!J286+MonthlyStats!K286)</x:f>
      </x:c>
      <x:c r="I286" t="str">
        <x:f>IF(MonthlyStats!A286="","",TEXT(MonthlyStats!O286,"₹#,##0")&amp;" public summary; "&amp;MonthlyStats!D286&amp;" cases")</x:f>
      </x:c>
      <x:c r="J286" t="str">
        <x:f>IF(MonthlyStats!A286="","","#")</x:f>
      </x:c>
      <x:c r="K286" t="str">
        <x:f>IF(MonthlyStats!A286="","",MonthlyStats!S286)</x:f>
      </x:c>
      <x:c r="L286" t="str">
        <x:f>IF(MonthlyStats!A286="","","Formula-linked")</x:f>
      </x:c>
    </x:row>
    <x:row r="287">
      <x:c r="A287" t="str">
        <x:f>IF(MonthlyStats!A287="","",MonthlyStats!A287)</x:f>
      </x:c>
      <x:c r="B287" t="str">
        <x:f>IF(MonthlyStats!A287="","",MonthlyStats!B287)</x:f>
      </x:c>
      <x:c r="C287" t="str">
        <x:f>IF(MonthlyStats!A287="","",MonthlyStats!E287)</x:f>
      </x:c>
      <x:c r="D287" t="str">
        <x:f>IF(MonthlyStats!A287="","",MonthlyStats!F287)</x:f>
      </x:c>
      <x:c r="E287" t="str">
        <x:f>IF(MonthlyStats!A287="","",MonthlyStats!G287)</x:f>
      </x:c>
      <x:c r="F287" t="str">
        <x:f>IF(MonthlyStats!A287="","",MonthlyStats!H287)</x:f>
      </x:c>
      <x:c r="G287" t="str">
        <x:f>IF(MonthlyStats!A287="","",MonthlyStats!I287)</x:f>
      </x:c>
      <x:c r="H287" t="str">
        <x:f>IF(MonthlyStats!A287="","",MonthlyStats!J287+MonthlyStats!K287)</x:f>
      </x:c>
      <x:c r="I287" t="str">
        <x:f>IF(MonthlyStats!A287="","",TEXT(MonthlyStats!O287,"₹#,##0")&amp;" public summary; "&amp;MonthlyStats!D287&amp;" cases")</x:f>
      </x:c>
      <x:c r="J287" t="str">
        <x:f>IF(MonthlyStats!A287="","","#")</x:f>
      </x:c>
      <x:c r="K287" t="str">
        <x:f>IF(MonthlyStats!A287="","",MonthlyStats!S287)</x:f>
      </x:c>
      <x:c r="L287" t="str">
        <x:f>IF(MonthlyStats!A287="","","Formula-linked")</x:f>
      </x:c>
    </x:row>
    <x:row r="288">
      <x:c r="A288" t="str">
        <x:f>IF(MonthlyStats!A288="","",MonthlyStats!A288)</x:f>
      </x:c>
      <x:c r="B288" t="str">
        <x:f>IF(MonthlyStats!A288="","",MonthlyStats!B288)</x:f>
      </x:c>
      <x:c r="C288" t="str">
        <x:f>IF(MonthlyStats!A288="","",MonthlyStats!E288)</x:f>
      </x:c>
      <x:c r="D288" t="str">
        <x:f>IF(MonthlyStats!A288="","",MonthlyStats!F288)</x:f>
      </x:c>
      <x:c r="E288" t="str">
        <x:f>IF(MonthlyStats!A288="","",MonthlyStats!G288)</x:f>
      </x:c>
      <x:c r="F288" t="str">
        <x:f>IF(MonthlyStats!A288="","",MonthlyStats!H288)</x:f>
      </x:c>
      <x:c r="G288" t="str">
        <x:f>IF(MonthlyStats!A288="","",MonthlyStats!I288)</x:f>
      </x:c>
      <x:c r="H288" t="str">
        <x:f>IF(MonthlyStats!A288="","",MonthlyStats!J288+MonthlyStats!K288)</x:f>
      </x:c>
      <x:c r="I288" t="str">
        <x:f>IF(MonthlyStats!A288="","",TEXT(MonthlyStats!O288,"₹#,##0")&amp;" public summary; "&amp;MonthlyStats!D288&amp;" cases")</x:f>
      </x:c>
      <x:c r="J288" t="str">
        <x:f>IF(MonthlyStats!A288="","","#")</x:f>
      </x:c>
      <x:c r="K288" t="str">
        <x:f>IF(MonthlyStats!A288="","",MonthlyStats!S288)</x:f>
      </x:c>
      <x:c r="L288" t="str">
        <x:f>IF(MonthlyStats!A288="","","Formula-linked")</x:f>
      </x:c>
    </x:row>
    <x:row r="289">
      <x:c r="A289" t="str">
        <x:f>IF(MonthlyStats!A289="","",MonthlyStats!A289)</x:f>
      </x:c>
      <x:c r="B289" t="str">
        <x:f>IF(MonthlyStats!A289="","",MonthlyStats!B289)</x:f>
      </x:c>
      <x:c r="C289" t="str">
        <x:f>IF(MonthlyStats!A289="","",MonthlyStats!E289)</x:f>
      </x:c>
      <x:c r="D289" t="str">
        <x:f>IF(MonthlyStats!A289="","",MonthlyStats!F289)</x:f>
      </x:c>
      <x:c r="E289" t="str">
        <x:f>IF(MonthlyStats!A289="","",MonthlyStats!G289)</x:f>
      </x:c>
      <x:c r="F289" t="str">
        <x:f>IF(MonthlyStats!A289="","",MonthlyStats!H289)</x:f>
      </x:c>
      <x:c r="G289" t="str">
        <x:f>IF(MonthlyStats!A289="","",MonthlyStats!I289)</x:f>
      </x:c>
      <x:c r="H289" t="str">
        <x:f>IF(MonthlyStats!A289="","",MonthlyStats!J289+MonthlyStats!K289)</x:f>
      </x:c>
      <x:c r="I289" t="str">
        <x:f>IF(MonthlyStats!A289="","",TEXT(MonthlyStats!O289,"₹#,##0")&amp;" public summary; "&amp;MonthlyStats!D289&amp;" cases")</x:f>
      </x:c>
      <x:c r="J289" t="str">
        <x:f>IF(MonthlyStats!A289="","","#")</x:f>
      </x:c>
      <x:c r="K289" t="str">
        <x:f>IF(MonthlyStats!A289="","",MonthlyStats!S289)</x:f>
      </x:c>
      <x:c r="L289" t="str">
        <x:f>IF(MonthlyStats!A289="","","Formula-linked")</x:f>
      </x:c>
    </x:row>
    <x:row r="290">
      <x:c r="A290" t="str">
        <x:f>IF(MonthlyStats!A290="","",MonthlyStats!A290)</x:f>
      </x:c>
      <x:c r="B290" t="str">
        <x:f>IF(MonthlyStats!A290="","",MonthlyStats!B290)</x:f>
      </x:c>
      <x:c r="C290" t="str">
        <x:f>IF(MonthlyStats!A290="","",MonthlyStats!E290)</x:f>
      </x:c>
      <x:c r="D290" t="str">
        <x:f>IF(MonthlyStats!A290="","",MonthlyStats!F290)</x:f>
      </x:c>
      <x:c r="E290" t="str">
        <x:f>IF(MonthlyStats!A290="","",MonthlyStats!G290)</x:f>
      </x:c>
      <x:c r="F290" t="str">
        <x:f>IF(MonthlyStats!A290="","",MonthlyStats!H290)</x:f>
      </x:c>
      <x:c r="G290" t="str">
        <x:f>IF(MonthlyStats!A290="","",MonthlyStats!I290)</x:f>
      </x:c>
      <x:c r="H290" t="str">
        <x:f>IF(MonthlyStats!A290="","",MonthlyStats!J290+MonthlyStats!K290)</x:f>
      </x:c>
      <x:c r="I290" t="str">
        <x:f>IF(MonthlyStats!A290="","",TEXT(MonthlyStats!O290,"₹#,##0")&amp;" public summary; "&amp;MonthlyStats!D290&amp;" cases")</x:f>
      </x:c>
      <x:c r="J290" t="str">
        <x:f>IF(MonthlyStats!A290="","","#")</x:f>
      </x:c>
      <x:c r="K290" t="str">
        <x:f>IF(MonthlyStats!A290="","",MonthlyStats!S290)</x:f>
      </x:c>
      <x:c r="L290" t="str">
        <x:f>IF(MonthlyStats!A290="","","Formula-linked")</x:f>
      </x:c>
    </x:row>
    <x:row r="291">
      <x:c r="A291" t="str">
        <x:f>IF(MonthlyStats!A291="","",MonthlyStats!A291)</x:f>
      </x:c>
      <x:c r="B291" t="str">
        <x:f>IF(MonthlyStats!A291="","",MonthlyStats!B291)</x:f>
      </x:c>
      <x:c r="C291" t="str">
        <x:f>IF(MonthlyStats!A291="","",MonthlyStats!E291)</x:f>
      </x:c>
      <x:c r="D291" t="str">
        <x:f>IF(MonthlyStats!A291="","",MonthlyStats!F291)</x:f>
      </x:c>
      <x:c r="E291" t="str">
        <x:f>IF(MonthlyStats!A291="","",MonthlyStats!G291)</x:f>
      </x:c>
      <x:c r="F291" t="str">
        <x:f>IF(MonthlyStats!A291="","",MonthlyStats!H291)</x:f>
      </x:c>
      <x:c r="G291" t="str">
        <x:f>IF(MonthlyStats!A291="","",MonthlyStats!I291)</x:f>
      </x:c>
      <x:c r="H291" t="str">
        <x:f>IF(MonthlyStats!A291="","",MonthlyStats!J291+MonthlyStats!K291)</x:f>
      </x:c>
      <x:c r="I291" t="str">
        <x:f>IF(MonthlyStats!A291="","",TEXT(MonthlyStats!O291,"₹#,##0")&amp;" public summary; "&amp;MonthlyStats!D291&amp;" cases")</x:f>
      </x:c>
      <x:c r="J291" t="str">
        <x:f>IF(MonthlyStats!A291="","","#")</x:f>
      </x:c>
      <x:c r="K291" t="str">
        <x:f>IF(MonthlyStats!A291="","",MonthlyStats!S291)</x:f>
      </x:c>
      <x:c r="L291" t="str">
        <x:f>IF(MonthlyStats!A291="","","Formula-linked")</x:f>
      </x:c>
    </x:row>
    <x:row r="292">
      <x:c r="A292" t="str">
        <x:f>IF(MonthlyStats!A292="","",MonthlyStats!A292)</x:f>
      </x:c>
      <x:c r="B292" t="str">
        <x:f>IF(MonthlyStats!A292="","",MonthlyStats!B292)</x:f>
      </x:c>
      <x:c r="C292" t="str">
        <x:f>IF(MonthlyStats!A292="","",MonthlyStats!E292)</x:f>
      </x:c>
      <x:c r="D292" t="str">
        <x:f>IF(MonthlyStats!A292="","",MonthlyStats!F292)</x:f>
      </x:c>
      <x:c r="E292" t="str">
        <x:f>IF(MonthlyStats!A292="","",MonthlyStats!G292)</x:f>
      </x:c>
      <x:c r="F292" t="str">
        <x:f>IF(MonthlyStats!A292="","",MonthlyStats!H292)</x:f>
      </x:c>
      <x:c r="G292" t="str">
        <x:f>IF(MonthlyStats!A292="","",MonthlyStats!I292)</x:f>
      </x:c>
      <x:c r="H292" t="str">
        <x:f>IF(MonthlyStats!A292="","",MonthlyStats!J292+MonthlyStats!K292)</x:f>
      </x:c>
      <x:c r="I292" t="str">
        <x:f>IF(MonthlyStats!A292="","",TEXT(MonthlyStats!O292,"₹#,##0")&amp;" public summary; "&amp;MonthlyStats!D292&amp;" cases")</x:f>
      </x:c>
      <x:c r="J292" t="str">
        <x:f>IF(MonthlyStats!A292="","","#")</x:f>
      </x:c>
      <x:c r="K292" t="str">
        <x:f>IF(MonthlyStats!A292="","",MonthlyStats!S292)</x:f>
      </x:c>
      <x:c r="L292" t="str">
        <x:f>IF(MonthlyStats!A292="","","Formula-linked")</x:f>
      </x:c>
    </x:row>
    <x:row r="293">
      <x:c r="A293" t="str">
        <x:f>IF(MonthlyStats!A293="","",MonthlyStats!A293)</x:f>
      </x:c>
      <x:c r="B293" t="str">
        <x:f>IF(MonthlyStats!A293="","",MonthlyStats!B293)</x:f>
      </x:c>
      <x:c r="C293" t="str">
        <x:f>IF(MonthlyStats!A293="","",MonthlyStats!E293)</x:f>
      </x:c>
      <x:c r="D293" t="str">
        <x:f>IF(MonthlyStats!A293="","",MonthlyStats!F293)</x:f>
      </x:c>
      <x:c r="E293" t="str">
        <x:f>IF(MonthlyStats!A293="","",MonthlyStats!G293)</x:f>
      </x:c>
      <x:c r="F293" t="str">
        <x:f>IF(MonthlyStats!A293="","",MonthlyStats!H293)</x:f>
      </x:c>
      <x:c r="G293" t="str">
        <x:f>IF(MonthlyStats!A293="","",MonthlyStats!I293)</x:f>
      </x:c>
      <x:c r="H293" t="str">
        <x:f>IF(MonthlyStats!A293="","",MonthlyStats!J293+MonthlyStats!K293)</x:f>
      </x:c>
      <x:c r="I293" t="str">
        <x:f>IF(MonthlyStats!A293="","",TEXT(MonthlyStats!O293,"₹#,##0")&amp;" public summary; "&amp;MonthlyStats!D293&amp;" cases")</x:f>
      </x:c>
      <x:c r="J293" t="str">
        <x:f>IF(MonthlyStats!A293="","","#")</x:f>
      </x:c>
      <x:c r="K293" t="str">
        <x:f>IF(MonthlyStats!A293="","",MonthlyStats!S293)</x:f>
      </x:c>
      <x:c r="L293" t="str">
        <x:f>IF(MonthlyStats!A293="","","Formula-linked")</x:f>
      </x:c>
    </x:row>
    <x:row r="294">
      <x:c r="A294" t="str">
        <x:f>IF(MonthlyStats!A294="","",MonthlyStats!A294)</x:f>
      </x:c>
      <x:c r="B294" t="str">
        <x:f>IF(MonthlyStats!A294="","",MonthlyStats!B294)</x:f>
      </x:c>
      <x:c r="C294" t="str">
        <x:f>IF(MonthlyStats!A294="","",MonthlyStats!E294)</x:f>
      </x:c>
      <x:c r="D294" t="str">
        <x:f>IF(MonthlyStats!A294="","",MonthlyStats!F294)</x:f>
      </x:c>
      <x:c r="E294" t="str">
        <x:f>IF(MonthlyStats!A294="","",MonthlyStats!G294)</x:f>
      </x:c>
      <x:c r="F294" t="str">
        <x:f>IF(MonthlyStats!A294="","",MonthlyStats!H294)</x:f>
      </x:c>
      <x:c r="G294" t="str">
        <x:f>IF(MonthlyStats!A294="","",MonthlyStats!I294)</x:f>
      </x:c>
      <x:c r="H294" t="str">
        <x:f>IF(MonthlyStats!A294="","",MonthlyStats!J294+MonthlyStats!K294)</x:f>
      </x:c>
      <x:c r="I294" t="str">
        <x:f>IF(MonthlyStats!A294="","",TEXT(MonthlyStats!O294,"₹#,##0")&amp;" public summary; "&amp;MonthlyStats!D294&amp;" cases")</x:f>
      </x:c>
      <x:c r="J294" t="str">
        <x:f>IF(MonthlyStats!A294="","","#")</x:f>
      </x:c>
      <x:c r="K294" t="str">
        <x:f>IF(MonthlyStats!A294="","",MonthlyStats!S294)</x:f>
      </x:c>
      <x:c r="L294" t="str">
        <x:f>IF(MonthlyStats!A294="","","Formula-linked")</x:f>
      </x:c>
    </x:row>
    <x:row r="295">
      <x:c r="A295" t="str">
        <x:f>IF(MonthlyStats!A295="","",MonthlyStats!A295)</x:f>
      </x:c>
      <x:c r="B295" t="str">
        <x:f>IF(MonthlyStats!A295="","",MonthlyStats!B295)</x:f>
      </x:c>
      <x:c r="C295" t="str">
        <x:f>IF(MonthlyStats!A295="","",MonthlyStats!E295)</x:f>
      </x:c>
      <x:c r="D295" t="str">
        <x:f>IF(MonthlyStats!A295="","",MonthlyStats!F295)</x:f>
      </x:c>
      <x:c r="E295" t="str">
        <x:f>IF(MonthlyStats!A295="","",MonthlyStats!G295)</x:f>
      </x:c>
      <x:c r="F295" t="str">
        <x:f>IF(MonthlyStats!A295="","",MonthlyStats!H295)</x:f>
      </x:c>
      <x:c r="G295" t="str">
        <x:f>IF(MonthlyStats!A295="","",MonthlyStats!I295)</x:f>
      </x:c>
      <x:c r="H295" t="str">
        <x:f>IF(MonthlyStats!A295="","",MonthlyStats!J295+MonthlyStats!K295)</x:f>
      </x:c>
      <x:c r="I295" t="str">
        <x:f>IF(MonthlyStats!A295="","",TEXT(MonthlyStats!O295,"₹#,##0")&amp;" public summary; "&amp;MonthlyStats!D295&amp;" cases")</x:f>
      </x:c>
      <x:c r="J295" t="str">
        <x:f>IF(MonthlyStats!A295="","","#")</x:f>
      </x:c>
      <x:c r="K295" t="str">
        <x:f>IF(MonthlyStats!A295="","",MonthlyStats!S295)</x:f>
      </x:c>
      <x:c r="L295" t="str">
        <x:f>IF(MonthlyStats!A295="","","Formula-linked")</x:f>
      </x:c>
    </x:row>
    <x:row r="296">
      <x:c r="A296" t="str">
        <x:f>IF(MonthlyStats!A296="","",MonthlyStats!A296)</x:f>
      </x:c>
      <x:c r="B296" t="str">
        <x:f>IF(MonthlyStats!A296="","",MonthlyStats!B296)</x:f>
      </x:c>
      <x:c r="C296" t="str">
        <x:f>IF(MonthlyStats!A296="","",MonthlyStats!E296)</x:f>
      </x:c>
      <x:c r="D296" t="str">
        <x:f>IF(MonthlyStats!A296="","",MonthlyStats!F296)</x:f>
      </x:c>
      <x:c r="E296" t="str">
        <x:f>IF(MonthlyStats!A296="","",MonthlyStats!G296)</x:f>
      </x:c>
      <x:c r="F296" t="str">
        <x:f>IF(MonthlyStats!A296="","",MonthlyStats!H296)</x:f>
      </x:c>
      <x:c r="G296" t="str">
        <x:f>IF(MonthlyStats!A296="","",MonthlyStats!I296)</x:f>
      </x:c>
      <x:c r="H296" t="str">
        <x:f>IF(MonthlyStats!A296="","",MonthlyStats!J296+MonthlyStats!K296)</x:f>
      </x:c>
      <x:c r="I296" t="str">
        <x:f>IF(MonthlyStats!A296="","",TEXT(MonthlyStats!O296,"₹#,##0")&amp;" public summary; "&amp;MonthlyStats!D296&amp;" cases")</x:f>
      </x:c>
      <x:c r="J296" t="str">
        <x:f>IF(MonthlyStats!A296="","","#")</x:f>
      </x:c>
      <x:c r="K296" t="str">
        <x:f>IF(MonthlyStats!A296="","",MonthlyStats!S296)</x:f>
      </x:c>
      <x:c r="L296" t="str">
        <x:f>IF(MonthlyStats!A296="","","Formula-linked")</x:f>
      </x:c>
    </x:row>
    <x:row r="297">
      <x:c r="A297" t="str">
        <x:f>IF(MonthlyStats!A297="","",MonthlyStats!A297)</x:f>
      </x:c>
      <x:c r="B297" t="str">
        <x:f>IF(MonthlyStats!A297="","",MonthlyStats!B297)</x:f>
      </x:c>
      <x:c r="C297" t="str">
        <x:f>IF(MonthlyStats!A297="","",MonthlyStats!E297)</x:f>
      </x:c>
      <x:c r="D297" t="str">
        <x:f>IF(MonthlyStats!A297="","",MonthlyStats!F297)</x:f>
      </x:c>
      <x:c r="E297" t="str">
        <x:f>IF(MonthlyStats!A297="","",MonthlyStats!G297)</x:f>
      </x:c>
      <x:c r="F297" t="str">
        <x:f>IF(MonthlyStats!A297="","",MonthlyStats!H297)</x:f>
      </x:c>
      <x:c r="G297" t="str">
        <x:f>IF(MonthlyStats!A297="","",MonthlyStats!I297)</x:f>
      </x:c>
      <x:c r="H297" t="str">
        <x:f>IF(MonthlyStats!A297="","",MonthlyStats!J297+MonthlyStats!K297)</x:f>
      </x:c>
      <x:c r="I297" t="str">
        <x:f>IF(MonthlyStats!A297="","",TEXT(MonthlyStats!O297,"₹#,##0")&amp;" public summary; "&amp;MonthlyStats!D297&amp;" cases")</x:f>
      </x:c>
      <x:c r="J297" t="str">
        <x:f>IF(MonthlyStats!A297="","","#")</x:f>
      </x:c>
      <x:c r="K297" t="str">
        <x:f>IF(MonthlyStats!A297="","",MonthlyStats!S297)</x:f>
      </x:c>
      <x:c r="L297" t="str">
        <x:f>IF(MonthlyStats!A297="","","Formula-linked")</x:f>
      </x:c>
    </x:row>
    <x:row r="298">
      <x:c r="A298" t="str">
        <x:f>IF(MonthlyStats!A298="","",MonthlyStats!A298)</x:f>
      </x:c>
      <x:c r="B298" t="str">
        <x:f>IF(MonthlyStats!A298="","",MonthlyStats!B298)</x:f>
      </x:c>
      <x:c r="C298" t="str">
        <x:f>IF(MonthlyStats!A298="","",MonthlyStats!E298)</x:f>
      </x:c>
      <x:c r="D298" t="str">
        <x:f>IF(MonthlyStats!A298="","",MonthlyStats!F298)</x:f>
      </x:c>
      <x:c r="E298" t="str">
        <x:f>IF(MonthlyStats!A298="","",MonthlyStats!G298)</x:f>
      </x:c>
      <x:c r="F298" t="str">
        <x:f>IF(MonthlyStats!A298="","",MonthlyStats!H298)</x:f>
      </x:c>
      <x:c r="G298" t="str">
        <x:f>IF(MonthlyStats!A298="","",MonthlyStats!I298)</x:f>
      </x:c>
      <x:c r="H298" t="str">
        <x:f>IF(MonthlyStats!A298="","",MonthlyStats!J298+MonthlyStats!K298)</x:f>
      </x:c>
      <x:c r="I298" t="str">
        <x:f>IF(MonthlyStats!A298="","",TEXT(MonthlyStats!O298,"₹#,##0")&amp;" public summary; "&amp;MonthlyStats!D298&amp;" cases")</x:f>
      </x:c>
      <x:c r="J298" t="str">
        <x:f>IF(MonthlyStats!A298="","","#")</x:f>
      </x:c>
      <x:c r="K298" t="str">
        <x:f>IF(MonthlyStats!A298="","",MonthlyStats!S298)</x:f>
      </x:c>
      <x:c r="L298" t="str">
        <x:f>IF(MonthlyStats!A298="","","Formula-linked")</x:f>
      </x:c>
    </x:row>
    <x:row r="299">
      <x:c r="A299" t="str">
        <x:f>IF(MonthlyStats!A299="","",MonthlyStats!A299)</x:f>
      </x:c>
      <x:c r="B299" t="str">
        <x:f>IF(MonthlyStats!A299="","",MonthlyStats!B299)</x:f>
      </x:c>
      <x:c r="C299" t="str">
        <x:f>IF(MonthlyStats!A299="","",MonthlyStats!E299)</x:f>
      </x:c>
      <x:c r="D299" t="str">
        <x:f>IF(MonthlyStats!A299="","",MonthlyStats!F299)</x:f>
      </x:c>
      <x:c r="E299" t="str">
        <x:f>IF(MonthlyStats!A299="","",MonthlyStats!G299)</x:f>
      </x:c>
      <x:c r="F299" t="str">
        <x:f>IF(MonthlyStats!A299="","",MonthlyStats!H299)</x:f>
      </x:c>
      <x:c r="G299" t="str">
        <x:f>IF(MonthlyStats!A299="","",MonthlyStats!I299)</x:f>
      </x:c>
      <x:c r="H299" t="str">
        <x:f>IF(MonthlyStats!A299="","",MonthlyStats!J299+MonthlyStats!K299)</x:f>
      </x:c>
      <x:c r="I299" t="str">
        <x:f>IF(MonthlyStats!A299="","",TEXT(MonthlyStats!O299,"₹#,##0")&amp;" public summary; "&amp;MonthlyStats!D299&amp;" cases")</x:f>
      </x:c>
      <x:c r="J299" t="str">
        <x:f>IF(MonthlyStats!A299="","","#")</x:f>
      </x:c>
      <x:c r="K299" t="str">
        <x:f>IF(MonthlyStats!A299="","",MonthlyStats!S299)</x:f>
      </x:c>
      <x:c r="L299" t="str">
        <x:f>IF(MonthlyStats!A299="","","Formula-linked")</x:f>
      </x:c>
    </x:row>
    <x:row r="300">
      <x:c r="A300" t="str">
        <x:f>IF(MonthlyStats!A300="","",MonthlyStats!A300)</x:f>
      </x:c>
      <x:c r="B300" t="str">
        <x:f>IF(MonthlyStats!A300="","",MonthlyStats!B300)</x:f>
      </x:c>
      <x:c r="C300" t="str">
        <x:f>IF(MonthlyStats!A300="","",MonthlyStats!E300)</x:f>
      </x:c>
      <x:c r="D300" t="str">
        <x:f>IF(MonthlyStats!A300="","",MonthlyStats!F300)</x:f>
      </x:c>
      <x:c r="E300" t="str">
        <x:f>IF(MonthlyStats!A300="","",MonthlyStats!G300)</x:f>
      </x:c>
      <x:c r="F300" t="str">
        <x:f>IF(MonthlyStats!A300="","",MonthlyStats!H300)</x:f>
      </x:c>
      <x:c r="G300" t="str">
        <x:f>IF(MonthlyStats!A300="","",MonthlyStats!I300)</x:f>
      </x:c>
      <x:c r="H300" t="str">
        <x:f>IF(MonthlyStats!A300="","",MonthlyStats!J300+MonthlyStats!K300)</x:f>
      </x:c>
      <x:c r="I300" t="str">
        <x:f>IF(MonthlyStats!A300="","",TEXT(MonthlyStats!O300,"₹#,##0")&amp;" public summary; "&amp;MonthlyStats!D300&amp;" cases")</x:f>
      </x:c>
      <x:c r="J300" t="str">
        <x:f>IF(MonthlyStats!A300="","","#")</x:f>
      </x:c>
      <x:c r="K300" t="str">
        <x:f>IF(MonthlyStats!A300="","",MonthlyStats!S300)</x:f>
      </x:c>
      <x:c r="L300" t="str">
        <x:f>IF(MonthlyStats!A300="","","Formula-linked")</x:f>
      </x:c>
    </x:row>
    <x:row r="301">
      <x:c r="A301" t="str">
        <x:f>IF(MonthlyStats!A301="","",MonthlyStats!A301)</x:f>
      </x:c>
      <x:c r="B301" t="str">
        <x:f>IF(MonthlyStats!A301="","",MonthlyStats!B301)</x:f>
      </x:c>
      <x:c r="C301" t="str">
        <x:f>IF(MonthlyStats!A301="","",MonthlyStats!E301)</x:f>
      </x:c>
      <x:c r="D301" t="str">
        <x:f>IF(MonthlyStats!A301="","",MonthlyStats!F301)</x:f>
      </x:c>
      <x:c r="E301" t="str">
        <x:f>IF(MonthlyStats!A301="","",MonthlyStats!G301)</x:f>
      </x:c>
      <x:c r="F301" t="str">
        <x:f>IF(MonthlyStats!A301="","",MonthlyStats!H301)</x:f>
      </x:c>
      <x:c r="G301" t="str">
        <x:f>IF(MonthlyStats!A301="","",MonthlyStats!I301)</x:f>
      </x:c>
      <x:c r="H301" t="str">
        <x:f>IF(MonthlyStats!A301="","",MonthlyStats!J301+MonthlyStats!K301)</x:f>
      </x:c>
      <x:c r="I301" t="str">
        <x:f>IF(MonthlyStats!A301="","",TEXT(MonthlyStats!O301,"₹#,##0")&amp;" public summary; "&amp;MonthlyStats!D301&amp;" cases")</x:f>
      </x:c>
      <x:c r="J301" t="str">
        <x:f>IF(MonthlyStats!A301="","","#")</x:f>
      </x:c>
      <x:c r="K301" t="str">
        <x:f>IF(MonthlyStats!A301="","",MonthlyStats!S301)</x:f>
      </x:c>
      <x:c r="L301" t="str">
        <x:f>IF(MonthlyStats!A301="","","Formula-linked")</x:f>
      </x:c>
    </x:row>
    <x:row r="302">
      <x:c r="A302" t="str">
        <x:f>IF(MonthlyStats!A302="","",MonthlyStats!A302)</x:f>
      </x:c>
      <x:c r="B302" t="str">
        <x:f>IF(MonthlyStats!A302="","",MonthlyStats!B302)</x:f>
      </x:c>
      <x:c r="C302" t="str">
        <x:f>IF(MonthlyStats!A302="","",MonthlyStats!E302)</x:f>
      </x:c>
      <x:c r="D302" t="str">
        <x:f>IF(MonthlyStats!A302="","",MonthlyStats!F302)</x:f>
      </x:c>
      <x:c r="E302" t="str">
        <x:f>IF(MonthlyStats!A302="","",MonthlyStats!G302)</x:f>
      </x:c>
      <x:c r="F302" t="str">
        <x:f>IF(MonthlyStats!A302="","",MonthlyStats!H302)</x:f>
      </x:c>
      <x:c r="G302" t="str">
        <x:f>IF(MonthlyStats!A302="","",MonthlyStats!I302)</x:f>
      </x:c>
      <x:c r="H302" t="str">
        <x:f>IF(MonthlyStats!A302="","",MonthlyStats!J302+MonthlyStats!K302)</x:f>
      </x:c>
      <x:c r="I302" t="str">
        <x:f>IF(MonthlyStats!A302="","",TEXT(MonthlyStats!O302,"₹#,##0")&amp;" public summary; "&amp;MonthlyStats!D302&amp;" cases")</x:f>
      </x:c>
      <x:c r="J302" t="str">
        <x:f>IF(MonthlyStats!A302="","","#")</x:f>
      </x:c>
      <x:c r="K302" t="str">
        <x:f>IF(MonthlyStats!A302="","",MonthlyStats!S302)</x:f>
      </x:c>
      <x:c r="L302" t="str">
        <x:f>IF(MonthlyStats!A302="","","Formula-linked")</x:f>
      </x:c>
    </x:row>
    <x:row r="303">
      <x:c r="A303" t="str">
        <x:f>IF(MonthlyStats!A303="","",MonthlyStats!A303)</x:f>
      </x:c>
      <x:c r="B303" t="str">
        <x:f>IF(MonthlyStats!A303="","",MonthlyStats!B303)</x:f>
      </x:c>
      <x:c r="C303" t="str">
        <x:f>IF(MonthlyStats!A303="","",MonthlyStats!E303)</x:f>
      </x:c>
      <x:c r="D303" t="str">
        <x:f>IF(MonthlyStats!A303="","",MonthlyStats!F303)</x:f>
      </x:c>
      <x:c r="E303" t="str">
        <x:f>IF(MonthlyStats!A303="","",MonthlyStats!G303)</x:f>
      </x:c>
      <x:c r="F303" t="str">
        <x:f>IF(MonthlyStats!A303="","",MonthlyStats!H303)</x:f>
      </x:c>
      <x:c r="G303" t="str">
        <x:f>IF(MonthlyStats!A303="","",MonthlyStats!I303)</x:f>
      </x:c>
      <x:c r="H303" t="str">
        <x:f>IF(MonthlyStats!A303="","",MonthlyStats!J303+MonthlyStats!K303)</x:f>
      </x:c>
      <x:c r="I303" t="str">
        <x:f>IF(MonthlyStats!A303="","",TEXT(MonthlyStats!O303,"₹#,##0")&amp;" public summary; "&amp;MonthlyStats!D303&amp;" cases")</x:f>
      </x:c>
      <x:c r="J303" t="str">
        <x:f>IF(MonthlyStats!A303="","","#")</x:f>
      </x:c>
      <x:c r="K303" t="str">
        <x:f>IF(MonthlyStats!A303="","",MonthlyStats!S303)</x:f>
      </x:c>
      <x:c r="L303" t="str">
        <x:f>IF(MonthlyStats!A303="","","Formula-linked")</x:f>
      </x:c>
    </x:row>
    <x:row r="304">
      <x:c r="A304" t="str">
        <x:f>IF(MonthlyStats!A304="","",MonthlyStats!A304)</x:f>
      </x:c>
      <x:c r="B304" t="str">
        <x:f>IF(MonthlyStats!A304="","",MonthlyStats!B304)</x:f>
      </x:c>
      <x:c r="C304" t="str">
        <x:f>IF(MonthlyStats!A304="","",MonthlyStats!E304)</x:f>
      </x:c>
      <x:c r="D304" t="str">
        <x:f>IF(MonthlyStats!A304="","",MonthlyStats!F304)</x:f>
      </x:c>
      <x:c r="E304" t="str">
        <x:f>IF(MonthlyStats!A304="","",MonthlyStats!G304)</x:f>
      </x:c>
      <x:c r="F304" t="str">
        <x:f>IF(MonthlyStats!A304="","",MonthlyStats!H304)</x:f>
      </x:c>
      <x:c r="G304" t="str">
        <x:f>IF(MonthlyStats!A304="","",MonthlyStats!I304)</x:f>
      </x:c>
      <x:c r="H304" t="str">
        <x:f>IF(MonthlyStats!A304="","",MonthlyStats!J304+MonthlyStats!K304)</x:f>
      </x:c>
      <x:c r="I304" t="str">
        <x:f>IF(MonthlyStats!A304="","",TEXT(MonthlyStats!O304,"₹#,##0")&amp;" public summary; "&amp;MonthlyStats!D304&amp;" cases")</x:f>
      </x:c>
      <x:c r="J304" t="str">
        <x:f>IF(MonthlyStats!A304="","","#")</x:f>
      </x:c>
      <x:c r="K304" t="str">
        <x:f>IF(MonthlyStats!A304="","",MonthlyStats!S304)</x:f>
      </x:c>
      <x:c r="L304" t="str">
        <x:f>IF(MonthlyStats!A304="","","Formula-linked")</x:f>
      </x:c>
    </x:row>
    <x:row r="305">
      <x:c r="A305" t="str">
        <x:f>IF(MonthlyStats!A305="","",MonthlyStats!A305)</x:f>
      </x:c>
      <x:c r="B305" t="str">
        <x:f>IF(MonthlyStats!A305="","",MonthlyStats!B305)</x:f>
      </x:c>
      <x:c r="C305" t="str">
        <x:f>IF(MonthlyStats!A305="","",MonthlyStats!E305)</x:f>
      </x:c>
      <x:c r="D305" t="str">
        <x:f>IF(MonthlyStats!A305="","",MonthlyStats!F305)</x:f>
      </x:c>
      <x:c r="E305" t="str">
        <x:f>IF(MonthlyStats!A305="","",MonthlyStats!G305)</x:f>
      </x:c>
      <x:c r="F305" t="str">
        <x:f>IF(MonthlyStats!A305="","",MonthlyStats!H305)</x:f>
      </x:c>
      <x:c r="G305" t="str">
        <x:f>IF(MonthlyStats!A305="","",MonthlyStats!I305)</x:f>
      </x:c>
      <x:c r="H305" t="str">
        <x:f>IF(MonthlyStats!A305="","",MonthlyStats!J305+MonthlyStats!K305)</x:f>
      </x:c>
      <x:c r="I305" t="str">
        <x:f>IF(MonthlyStats!A305="","",TEXT(MonthlyStats!O305,"₹#,##0")&amp;" public summary; "&amp;MonthlyStats!D305&amp;" cases")</x:f>
      </x:c>
      <x:c r="J305" t="str">
        <x:f>IF(MonthlyStats!A305="","","#")</x:f>
      </x:c>
      <x:c r="K305" t="str">
        <x:f>IF(MonthlyStats!A305="","",MonthlyStats!S305)</x:f>
      </x:c>
      <x:c r="L305" t="str">
        <x:f>IF(MonthlyStats!A305="","","Formula-linked")</x:f>
      </x:c>
    </x:row>
    <x:row r="306">
      <x:c r="A306" t="str">
        <x:f>IF(MonthlyStats!A306="","",MonthlyStats!A306)</x:f>
      </x:c>
      <x:c r="B306" t="str">
        <x:f>IF(MonthlyStats!A306="","",MonthlyStats!B306)</x:f>
      </x:c>
      <x:c r="C306" t="str">
        <x:f>IF(MonthlyStats!A306="","",MonthlyStats!E306)</x:f>
      </x:c>
      <x:c r="D306" t="str">
        <x:f>IF(MonthlyStats!A306="","",MonthlyStats!F306)</x:f>
      </x:c>
      <x:c r="E306" t="str">
        <x:f>IF(MonthlyStats!A306="","",MonthlyStats!G306)</x:f>
      </x:c>
      <x:c r="F306" t="str">
        <x:f>IF(MonthlyStats!A306="","",MonthlyStats!H306)</x:f>
      </x:c>
      <x:c r="G306" t="str">
        <x:f>IF(MonthlyStats!A306="","",MonthlyStats!I306)</x:f>
      </x:c>
      <x:c r="H306" t="str">
        <x:f>IF(MonthlyStats!A306="","",MonthlyStats!J306+MonthlyStats!K306)</x:f>
      </x:c>
      <x:c r="I306" t="str">
        <x:f>IF(MonthlyStats!A306="","",TEXT(MonthlyStats!O306,"₹#,##0")&amp;" public summary; "&amp;MonthlyStats!D306&amp;" cases")</x:f>
      </x:c>
      <x:c r="J306" t="str">
        <x:f>IF(MonthlyStats!A306="","","#")</x:f>
      </x:c>
      <x:c r="K306" t="str">
        <x:f>IF(MonthlyStats!A306="","",MonthlyStats!S306)</x:f>
      </x:c>
      <x:c r="L306" t="str">
        <x:f>IF(MonthlyStats!A306="","","Formula-linked")</x:f>
      </x:c>
    </x:row>
    <x:row r="307">
      <x:c r="A307" t="str">
        <x:f>IF(MonthlyStats!A307="","",MonthlyStats!A307)</x:f>
      </x:c>
      <x:c r="B307" t="str">
        <x:f>IF(MonthlyStats!A307="","",MonthlyStats!B307)</x:f>
      </x:c>
      <x:c r="C307" t="str">
        <x:f>IF(MonthlyStats!A307="","",MonthlyStats!E307)</x:f>
      </x:c>
      <x:c r="D307" t="str">
        <x:f>IF(MonthlyStats!A307="","",MonthlyStats!F307)</x:f>
      </x:c>
      <x:c r="E307" t="str">
        <x:f>IF(MonthlyStats!A307="","",MonthlyStats!G307)</x:f>
      </x:c>
      <x:c r="F307" t="str">
        <x:f>IF(MonthlyStats!A307="","",MonthlyStats!H307)</x:f>
      </x:c>
      <x:c r="G307" t="str">
        <x:f>IF(MonthlyStats!A307="","",MonthlyStats!I307)</x:f>
      </x:c>
      <x:c r="H307" t="str">
        <x:f>IF(MonthlyStats!A307="","",MonthlyStats!J307+MonthlyStats!K307)</x:f>
      </x:c>
      <x:c r="I307" t="str">
        <x:f>IF(MonthlyStats!A307="","",TEXT(MonthlyStats!O307,"₹#,##0")&amp;" public summary; "&amp;MonthlyStats!D307&amp;" cases")</x:f>
      </x:c>
      <x:c r="J307" t="str">
        <x:f>IF(MonthlyStats!A307="","","#")</x:f>
      </x:c>
      <x:c r="K307" t="str">
        <x:f>IF(MonthlyStats!A307="","",MonthlyStats!S307)</x:f>
      </x:c>
      <x:c r="L307" t="str">
        <x:f>IF(MonthlyStats!A307="","","Formula-linked")</x:f>
      </x:c>
    </x:row>
    <x:row r="308">
      <x:c r="A308" t="str">
        <x:f>IF(MonthlyStats!A308="","",MonthlyStats!A308)</x:f>
      </x:c>
      <x:c r="B308" t="str">
        <x:f>IF(MonthlyStats!A308="","",MonthlyStats!B308)</x:f>
      </x:c>
      <x:c r="C308" t="str">
        <x:f>IF(MonthlyStats!A308="","",MonthlyStats!E308)</x:f>
      </x:c>
      <x:c r="D308" t="str">
        <x:f>IF(MonthlyStats!A308="","",MonthlyStats!F308)</x:f>
      </x:c>
      <x:c r="E308" t="str">
        <x:f>IF(MonthlyStats!A308="","",MonthlyStats!G308)</x:f>
      </x:c>
      <x:c r="F308" t="str">
        <x:f>IF(MonthlyStats!A308="","",MonthlyStats!H308)</x:f>
      </x:c>
      <x:c r="G308" t="str">
        <x:f>IF(MonthlyStats!A308="","",MonthlyStats!I308)</x:f>
      </x:c>
      <x:c r="H308" t="str">
        <x:f>IF(MonthlyStats!A308="","",MonthlyStats!J308+MonthlyStats!K308)</x:f>
      </x:c>
      <x:c r="I308" t="str">
        <x:f>IF(MonthlyStats!A308="","",TEXT(MonthlyStats!O308,"₹#,##0")&amp;" public summary; "&amp;MonthlyStats!D308&amp;" cases")</x:f>
      </x:c>
      <x:c r="J308" t="str">
        <x:f>IF(MonthlyStats!A308="","","#")</x:f>
      </x:c>
      <x:c r="K308" t="str">
        <x:f>IF(MonthlyStats!A308="","",MonthlyStats!S308)</x:f>
      </x:c>
      <x:c r="L308" t="str">
        <x:f>IF(MonthlyStats!A308="","","Formula-linked")</x:f>
      </x:c>
    </x:row>
    <x:row r="309">
      <x:c r="A309" t="str">
        <x:f>IF(MonthlyStats!A309="","",MonthlyStats!A309)</x:f>
      </x:c>
      <x:c r="B309" t="str">
        <x:f>IF(MonthlyStats!A309="","",MonthlyStats!B309)</x:f>
      </x:c>
      <x:c r="C309" t="str">
        <x:f>IF(MonthlyStats!A309="","",MonthlyStats!E309)</x:f>
      </x:c>
      <x:c r="D309" t="str">
        <x:f>IF(MonthlyStats!A309="","",MonthlyStats!F309)</x:f>
      </x:c>
      <x:c r="E309" t="str">
        <x:f>IF(MonthlyStats!A309="","",MonthlyStats!G309)</x:f>
      </x:c>
      <x:c r="F309" t="str">
        <x:f>IF(MonthlyStats!A309="","",MonthlyStats!H309)</x:f>
      </x:c>
      <x:c r="G309" t="str">
        <x:f>IF(MonthlyStats!A309="","",MonthlyStats!I309)</x:f>
      </x:c>
      <x:c r="H309" t="str">
        <x:f>IF(MonthlyStats!A309="","",MonthlyStats!J309+MonthlyStats!K309)</x:f>
      </x:c>
      <x:c r="I309" t="str">
        <x:f>IF(MonthlyStats!A309="","",TEXT(MonthlyStats!O309,"₹#,##0")&amp;" public summary; "&amp;MonthlyStats!D309&amp;" cases")</x:f>
      </x:c>
      <x:c r="J309" t="str">
        <x:f>IF(MonthlyStats!A309="","","#")</x:f>
      </x:c>
      <x:c r="K309" t="str">
        <x:f>IF(MonthlyStats!A309="","",MonthlyStats!S309)</x:f>
      </x:c>
      <x:c r="L309" t="str">
        <x:f>IF(MonthlyStats!A309="","","Formula-linked")</x:f>
      </x:c>
    </x:row>
    <x:row r="310">
      <x:c r="A310" t="str">
        <x:f>IF(MonthlyStats!A310="","",MonthlyStats!A310)</x:f>
      </x:c>
      <x:c r="B310" t="str">
        <x:f>IF(MonthlyStats!A310="","",MonthlyStats!B310)</x:f>
      </x:c>
      <x:c r="C310" t="str">
        <x:f>IF(MonthlyStats!A310="","",MonthlyStats!E310)</x:f>
      </x:c>
      <x:c r="D310" t="str">
        <x:f>IF(MonthlyStats!A310="","",MonthlyStats!F310)</x:f>
      </x:c>
      <x:c r="E310" t="str">
        <x:f>IF(MonthlyStats!A310="","",MonthlyStats!G310)</x:f>
      </x:c>
      <x:c r="F310" t="str">
        <x:f>IF(MonthlyStats!A310="","",MonthlyStats!H310)</x:f>
      </x:c>
      <x:c r="G310" t="str">
        <x:f>IF(MonthlyStats!A310="","",MonthlyStats!I310)</x:f>
      </x:c>
      <x:c r="H310" t="str">
        <x:f>IF(MonthlyStats!A310="","",MonthlyStats!J310+MonthlyStats!K310)</x:f>
      </x:c>
      <x:c r="I310" t="str">
        <x:f>IF(MonthlyStats!A310="","",TEXT(MonthlyStats!O310,"₹#,##0")&amp;" public summary; "&amp;MonthlyStats!D310&amp;" cases")</x:f>
      </x:c>
      <x:c r="J310" t="str">
        <x:f>IF(MonthlyStats!A310="","","#")</x:f>
      </x:c>
      <x:c r="K310" t="str">
        <x:f>IF(MonthlyStats!A310="","",MonthlyStats!S310)</x:f>
      </x:c>
      <x:c r="L310" t="str">
        <x:f>IF(MonthlyStats!A310="","","Formula-linked")</x:f>
      </x:c>
    </x:row>
    <x:row r="311">
      <x:c r="A311" t="str">
        <x:f>IF(MonthlyStats!A311="","",MonthlyStats!A311)</x:f>
      </x:c>
      <x:c r="B311" t="str">
        <x:f>IF(MonthlyStats!A311="","",MonthlyStats!B311)</x:f>
      </x:c>
      <x:c r="C311" t="str">
        <x:f>IF(MonthlyStats!A311="","",MonthlyStats!E311)</x:f>
      </x:c>
      <x:c r="D311" t="str">
        <x:f>IF(MonthlyStats!A311="","",MonthlyStats!F311)</x:f>
      </x:c>
      <x:c r="E311" t="str">
        <x:f>IF(MonthlyStats!A311="","",MonthlyStats!G311)</x:f>
      </x:c>
      <x:c r="F311" t="str">
        <x:f>IF(MonthlyStats!A311="","",MonthlyStats!H311)</x:f>
      </x:c>
      <x:c r="G311" t="str">
        <x:f>IF(MonthlyStats!A311="","",MonthlyStats!I311)</x:f>
      </x:c>
      <x:c r="H311" t="str">
        <x:f>IF(MonthlyStats!A311="","",MonthlyStats!J311+MonthlyStats!K311)</x:f>
      </x:c>
      <x:c r="I311" t="str">
        <x:f>IF(MonthlyStats!A311="","",TEXT(MonthlyStats!O311,"₹#,##0")&amp;" public summary; "&amp;MonthlyStats!D311&amp;" cases")</x:f>
      </x:c>
      <x:c r="J311" t="str">
        <x:f>IF(MonthlyStats!A311="","","#")</x:f>
      </x:c>
      <x:c r="K311" t="str">
        <x:f>IF(MonthlyStats!A311="","",MonthlyStats!S311)</x:f>
      </x:c>
      <x:c r="L311" t="str">
        <x:f>IF(MonthlyStats!A311="","","Formula-linked")</x:f>
      </x:c>
    </x:row>
    <x:row r="312">
      <x:c r="A312" t="str">
        <x:f>IF(MonthlyStats!A312="","",MonthlyStats!A312)</x:f>
      </x:c>
      <x:c r="B312" t="str">
        <x:f>IF(MonthlyStats!A312="","",MonthlyStats!B312)</x:f>
      </x:c>
      <x:c r="C312" t="str">
        <x:f>IF(MonthlyStats!A312="","",MonthlyStats!E312)</x:f>
      </x:c>
      <x:c r="D312" t="str">
        <x:f>IF(MonthlyStats!A312="","",MonthlyStats!F312)</x:f>
      </x:c>
      <x:c r="E312" t="str">
        <x:f>IF(MonthlyStats!A312="","",MonthlyStats!G312)</x:f>
      </x:c>
      <x:c r="F312" t="str">
        <x:f>IF(MonthlyStats!A312="","",MonthlyStats!H312)</x:f>
      </x:c>
      <x:c r="G312" t="str">
        <x:f>IF(MonthlyStats!A312="","",MonthlyStats!I312)</x:f>
      </x:c>
      <x:c r="H312" t="str">
        <x:f>IF(MonthlyStats!A312="","",MonthlyStats!J312+MonthlyStats!K312)</x:f>
      </x:c>
      <x:c r="I312" t="str">
        <x:f>IF(MonthlyStats!A312="","",TEXT(MonthlyStats!O312,"₹#,##0")&amp;" public summary; "&amp;MonthlyStats!D312&amp;" cases")</x:f>
      </x:c>
      <x:c r="J312" t="str">
        <x:f>IF(MonthlyStats!A312="","","#")</x:f>
      </x:c>
      <x:c r="K312" t="str">
        <x:f>IF(MonthlyStats!A312="","",MonthlyStats!S312)</x:f>
      </x:c>
      <x:c r="L312" t="str">
        <x:f>IF(MonthlyStats!A312="","","Formula-linked")</x:f>
      </x:c>
    </x:row>
    <x:row r="313">
      <x:c r="A313" t="str">
        <x:f>IF(MonthlyStats!A313="","",MonthlyStats!A313)</x:f>
      </x:c>
      <x:c r="B313" t="str">
        <x:f>IF(MonthlyStats!A313="","",MonthlyStats!B313)</x:f>
      </x:c>
      <x:c r="C313" t="str">
        <x:f>IF(MonthlyStats!A313="","",MonthlyStats!E313)</x:f>
      </x:c>
      <x:c r="D313" t="str">
        <x:f>IF(MonthlyStats!A313="","",MonthlyStats!F313)</x:f>
      </x:c>
      <x:c r="E313" t="str">
        <x:f>IF(MonthlyStats!A313="","",MonthlyStats!G313)</x:f>
      </x:c>
      <x:c r="F313" t="str">
        <x:f>IF(MonthlyStats!A313="","",MonthlyStats!H313)</x:f>
      </x:c>
      <x:c r="G313" t="str">
        <x:f>IF(MonthlyStats!A313="","",MonthlyStats!I313)</x:f>
      </x:c>
      <x:c r="H313" t="str">
        <x:f>IF(MonthlyStats!A313="","",MonthlyStats!J313+MonthlyStats!K313)</x:f>
      </x:c>
      <x:c r="I313" t="str">
        <x:f>IF(MonthlyStats!A313="","",TEXT(MonthlyStats!O313,"₹#,##0")&amp;" public summary; "&amp;MonthlyStats!D313&amp;" cases")</x:f>
      </x:c>
      <x:c r="J313" t="str">
        <x:f>IF(MonthlyStats!A313="","","#")</x:f>
      </x:c>
      <x:c r="K313" t="str">
        <x:f>IF(MonthlyStats!A313="","",MonthlyStats!S313)</x:f>
      </x:c>
      <x:c r="L313" t="str">
        <x:f>IF(MonthlyStats!A313="","","Formula-linked")</x:f>
      </x:c>
    </x:row>
    <x:row r="314">
      <x:c r="A314" t="str">
        <x:f>IF(MonthlyStats!A314="","",MonthlyStats!A314)</x:f>
      </x:c>
      <x:c r="B314" t="str">
        <x:f>IF(MonthlyStats!A314="","",MonthlyStats!B314)</x:f>
      </x:c>
      <x:c r="C314" t="str">
        <x:f>IF(MonthlyStats!A314="","",MonthlyStats!E314)</x:f>
      </x:c>
      <x:c r="D314" t="str">
        <x:f>IF(MonthlyStats!A314="","",MonthlyStats!F314)</x:f>
      </x:c>
      <x:c r="E314" t="str">
        <x:f>IF(MonthlyStats!A314="","",MonthlyStats!G314)</x:f>
      </x:c>
      <x:c r="F314" t="str">
        <x:f>IF(MonthlyStats!A314="","",MonthlyStats!H314)</x:f>
      </x:c>
      <x:c r="G314" t="str">
        <x:f>IF(MonthlyStats!A314="","",MonthlyStats!I314)</x:f>
      </x:c>
      <x:c r="H314" t="str">
        <x:f>IF(MonthlyStats!A314="","",MonthlyStats!J314+MonthlyStats!K314)</x:f>
      </x:c>
      <x:c r="I314" t="str">
        <x:f>IF(MonthlyStats!A314="","",TEXT(MonthlyStats!O314,"₹#,##0")&amp;" public summary; "&amp;MonthlyStats!D314&amp;" cases")</x:f>
      </x:c>
      <x:c r="J314" t="str">
        <x:f>IF(MonthlyStats!A314="","","#")</x:f>
      </x:c>
      <x:c r="K314" t="str">
        <x:f>IF(MonthlyStats!A314="","",MonthlyStats!S314)</x:f>
      </x:c>
      <x:c r="L314" t="str">
        <x:f>IF(MonthlyStats!A314="","","Formula-linked")</x:f>
      </x:c>
    </x:row>
    <x:row r="315">
      <x:c r="A315" t="str">
        <x:f>IF(MonthlyStats!A315="","",MonthlyStats!A315)</x:f>
      </x:c>
      <x:c r="B315" t="str">
        <x:f>IF(MonthlyStats!A315="","",MonthlyStats!B315)</x:f>
      </x:c>
      <x:c r="C315" t="str">
        <x:f>IF(MonthlyStats!A315="","",MonthlyStats!E315)</x:f>
      </x:c>
      <x:c r="D315" t="str">
        <x:f>IF(MonthlyStats!A315="","",MonthlyStats!F315)</x:f>
      </x:c>
      <x:c r="E315" t="str">
        <x:f>IF(MonthlyStats!A315="","",MonthlyStats!G315)</x:f>
      </x:c>
      <x:c r="F315" t="str">
        <x:f>IF(MonthlyStats!A315="","",MonthlyStats!H315)</x:f>
      </x:c>
      <x:c r="G315" t="str">
        <x:f>IF(MonthlyStats!A315="","",MonthlyStats!I315)</x:f>
      </x:c>
      <x:c r="H315" t="str">
        <x:f>IF(MonthlyStats!A315="","",MonthlyStats!J315+MonthlyStats!K315)</x:f>
      </x:c>
      <x:c r="I315" t="str">
        <x:f>IF(MonthlyStats!A315="","",TEXT(MonthlyStats!O315,"₹#,##0")&amp;" public summary; "&amp;MonthlyStats!D315&amp;" cases")</x:f>
      </x:c>
      <x:c r="J315" t="str">
        <x:f>IF(MonthlyStats!A315="","","#")</x:f>
      </x:c>
      <x:c r="K315" t="str">
        <x:f>IF(MonthlyStats!A315="","",MonthlyStats!S315)</x:f>
      </x:c>
      <x:c r="L315" t="str">
        <x:f>IF(MonthlyStats!A315="","","Formula-linked")</x:f>
      </x:c>
    </x:row>
    <x:row r="316">
      <x:c r="A316" t="str">
        <x:f>IF(MonthlyStats!A316="","",MonthlyStats!A316)</x:f>
      </x:c>
      <x:c r="B316" t="str">
        <x:f>IF(MonthlyStats!A316="","",MonthlyStats!B316)</x:f>
      </x:c>
      <x:c r="C316" t="str">
        <x:f>IF(MonthlyStats!A316="","",MonthlyStats!E316)</x:f>
      </x:c>
      <x:c r="D316" t="str">
        <x:f>IF(MonthlyStats!A316="","",MonthlyStats!F316)</x:f>
      </x:c>
      <x:c r="E316" t="str">
        <x:f>IF(MonthlyStats!A316="","",MonthlyStats!G316)</x:f>
      </x:c>
      <x:c r="F316" t="str">
        <x:f>IF(MonthlyStats!A316="","",MonthlyStats!H316)</x:f>
      </x:c>
      <x:c r="G316" t="str">
        <x:f>IF(MonthlyStats!A316="","",MonthlyStats!I316)</x:f>
      </x:c>
      <x:c r="H316" t="str">
        <x:f>IF(MonthlyStats!A316="","",MonthlyStats!J316+MonthlyStats!K316)</x:f>
      </x:c>
      <x:c r="I316" t="str">
        <x:f>IF(MonthlyStats!A316="","",TEXT(MonthlyStats!O316,"₹#,##0")&amp;" public summary; "&amp;MonthlyStats!D316&amp;" cases")</x:f>
      </x:c>
      <x:c r="J316" t="str">
        <x:f>IF(MonthlyStats!A316="","","#")</x:f>
      </x:c>
      <x:c r="K316" t="str">
        <x:f>IF(MonthlyStats!A316="","",MonthlyStats!S316)</x:f>
      </x:c>
      <x:c r="L316" t="str">
        <x:f>IF(MonthlyStats!A316="","","Formula-linked")</x:f>
      </x:c>
    </x:row>
    <x:row r="317">
      <x:c r="A317" t="str">
        <x:f>IF(MonthlyStats!A317="","",MonthlyStats!A317)</x:f>
      </x:c>
      <x:c r="B317" t="str">
        <x:f>IF(MonthlyStats!A317="","",MonthlyStats!B317)</x:f>
      </x:c>
      <x:c r="C317" t="str">
        <x:f>IF(MonthlyStats!A317="","",MonthlyStats!E317)</x:f>
      </x:c>
      <x:c r="D317" t="str">
        <x:f>IF(MonthlyStats!A317="","",MonthlyStats!F317)</x:f>
      </x:c>
      <x:c r="E317" t="str">
        <x:f>IF(MonthlyStats!A317="","",MonthlyStats!G317)</x:f>
      </x:c>
      <x:c r="F317" t="str">
        <x:f>IF(MonthlyStats!A317="","",MonthlyStats!H317)</x:f>
      </x:c>
      <x:c r="G317" t="str">
        <x:f>IF(MonthlyStats!A317="","",MonthlyStats!I317)</x:f>
      </x:c>
      <x:c r="H317" t="str">
        <x:f>IF(MonthlyStats!A317="","",MonthlyStats!J317+MonthlyStats!K317)</x:f>
      </x:c>
      <x:c r="I317" t="str">
        <x:f>IF(MonthlyStats!A317="","",TEXT(MonthlyStats!O317,"₹#,##0")&amp;" public summary; "&amp;MonthlyStats!D317&amp;" cases")</x:f>
      </x:c>
      <x:c r="J317" t="str">
        <x:f>IF(MonthlyStats!A317="","","#")</x:f>
      </x:c>
      <x:c r="K317" t="str">
        <x:f>IF(MonthlyStats!A317="","",MonthlyStats!S317)</x:f>
      </x:c>
      <x:c r="L317" t="str">
        <x:f>IF(MonthlyStats!A317="","","Formula-linked")</x:f>
      </x:c>
    </x:row>
    <x:row r="318">
      <x:c r="A318" t="str">
        <x:f>IF(MonthlyStats!A318="","",MonthlyStats!A318)</x:f>
      </x:c>
      <x:c r="B318" t="str">
        <x:f>IF(MonthlyStats!A318="","",MonthlyStats!B318)</x:f>
      </x:c>
      <x:c r="C318" t="str">
        <x:f>IF(MonthlyStats!A318="","",MonthlyStats!E318)</x:f>
      </x:c>
      <x:c r="D318" t="str">
        <x:f>IF(MonthlyStats!A318="","",MonthlyStats!F318)</x:f>
      </x:c>
      <x:c r="E318" t="str">
        <x:f>IF(MonthlyStats!A318="","",MonthlyStats!G318)</x:f>
      </x:c>
      <x:c r="F318" t="str">
        <x:f>IF(MonthlyStats!A318="","",MonthlyStats!H318)</x:f>
      </x:c>
      <x:c r="G318" t="str">
        <x:f>IF(MonthlyStats!A318="","",MonthlyStats!I318)</x:f>
      </x:c>
      <x:c r="H318" t="str">
        <x:f>IF(MonthlyStats!A318="","",MonthlyStats!J318+MonthlyStats!K318)</x:f>
      </x:c>
      <x:c r="I318" t="str">
        <x:f>IF(MonthlyStats!A318="","",TEXT(MonthlyStats!O318,"₹#,##0")&amp;" public summary; "&amp;MonthlyStats!D318&amp;" cases")</x:f>
      </x:c>
      <x:c r="J318" t="str">
        <x:f>IF(MonthlyStats!A318="","","#")</x:f>
      </x:c>
      <x:c r="K318" t="str">
        <x:f>IF(MonthlyStats!A318="","",MonthlyStats!S318)</x:f>
      </x:c>
      <x:c r="L318" t="str">
        <x:f>IF(MonthlyStats!A318="","","Formula-linked")</x:f>
      </x:c>
    </x:row>
    <x:row r="319">
      <x:c r="A319" t="str">
        <x:f>IF(MonthlyStats!A319="","",MonthlyStats!A319)</x:f>
      </x:c>
      <x:c r="B319" t="str">
        <x:f>IF(MonthlyStats!A319="","",MonthlyStats!B319)</x:f>
      </x:c>
      <x:c r="C319" t="str">
        <x:f>IF(MonthlyStats!A319="","",MonthlyStats!E319)</x:f>
      </x:c>
      <x:c r="D319" t="str">
        <x:f>IF(MonthlyStats!A319="","",MonthlyStats!F319)</x:f>
      </x:c>
      <x:c r="E319" t="str">
        <x:f>IF(MonthlyStats!A319="","",MonthlyStats!G319)</x:f>
      </x:c>
      <x:c r="F319" t="str">
        <x:f>IF(MonthlyStats!A319="","",MonthlyStats!H319)</x:f>
      </x:c>
      <x:c r="G319" t="str">
        <x:f>IF(MonthlyStats!A319="","",MonthlyStats!I319)</x:f>
      </x:c>
      <x:c r="H319" t="str">
        <x:f>IF(MonthlyStats!A319="","",MonthlyStats!J319+MonthlyStats!K319)</x:f>
      </x:c>
      <x:c r="I319" t="str">
        <x:f>IF(MonthlyStats!A319="","",TEXT(MonthlyStats!O319,"₹#,##0")&amp;" public summary; "&amp;MonthlyStats!D319&amp;" cases")</x:f>
      </x:c>
      <x:c r="J319" t="str">
        <x:f>IF(MonthlyStats!A319="","","#")</x:f>
      </x:c>
      <x:c r="K319" t="str">
        <x:f>IF(MonthlyStats!A319="","",MonthlyStats!S319)</x:f>
      </x:c>
      <x:c r="L319" t="str">
        <x:f>IF(MonthlyStats!A319="","","Formula-linked")</x:f>
      </x:c>
    </x:row>
    <x:row r="320">
      <x:c r="A320" t="str">
        <x:f>IF(MonthlyStats!A320="","",MonthlyStats!A320)</x:f>
      </x:c>
      <x:c r="B320" t="str">
        <x:f>IF(MonthlyStats!A320="","",MonthlyStats!B320)</x:f>
      </x:c>
      <x:c r="C320" t="str">
        <x:f>IF(MonthlyStats!A320="","",MonthlyStats!E320)</x:f>
      </x:c>
      <x:c r="D320" t="str">
        <x:f>IF(MonthlyStats!A320="","",MonthlyStats!F320)</x:f>
      </x:c>
      <x:c r="E320" t="str">
        <x:f>IF(MonthlyStats!A320="","",MonthlyStats!G320)</x:f>
      </x:c>
      <x:c r="F320" t="str">
        <x:f>IF(MonthlyStats!A320="","",MonthlyStats!H320)</x:f>
      </x:c>
      <x:c r="G320" t="str">
        <x:f>IF(MonthlyStats!A320="","",MonthlyStats!I320)</x:f>
      </x:c>
      <x:c r="H320" t="str">
        <x:f>IF(MonthlyStats!A320="","",MonthlyStats!J320+MonthlyStats!K320)</x:f>
      </x:c>
      <x:c r="I320" t="str">
        <x:f>IF(MonthlyStats!A320="","",TEXT(MonthlyStats!O320,"₹#,##0")&amp;" public summary; "&amp;MonthlyStats!D320&amp;" cases")</x:f>
      </x:c>
      <x:c r="J320" t="str">
        <x:f>IF(MonthlyStats!A320="","","#")</x:f>
      </x:c>
      <x:c r="K320" t="str">
        <x:f>IF(MonthlyStats!A320="","",MonthlyStats!S320)</x:f>
      </x:c>
      <x:c r="L320" t="str">
        <x:f>IF(MonthlyStats!A320="","","Formula-linked")</x:f>
      </x:c>
    </x:row>
    <x:row r="321">
      <x:c r="A321" t="str">
        <x:f>IF(MonthlyStats!A321="","",MonthlyStats!A321)</x:f>
      </x:c>
      <x:c r="B321" t="str">
        <x:f>IF(MonthlyStats!A321="","",MonthlyStats!B321)</x:f>
      </x:c>
      <x:c r="C321" t="str">
        <x:f>IF(MonthlyStats!A321="","",MonthlyStats!E321)</x:f>
      </x:c>
      <x:c r="D321" t="str">
        <x:f>IF(MonthlyStats!A321="","",MonthlyStats!F321)</x:f>
      </x:c>
      <x:c r="E321" t="str">
        <x:f>IF(MonthlyStats!A321="","",MonthlyStats!G321)</x:f>
      </x:c>
      <x:c r="F321" t="str">
        <x:f>IF(MonthlyStats!A321="","",MonthlyStats!H321)</x:f>
      </x:c>
      <x:c r="G321" t="str">
        <x:f>IF(MonthlyStats!A321="","",MonthlyStats!I321)</x:f>
      </x:c>
      <x:c r="H321" t="str">
        <x:f>IF(MonthlyStats!A321="","",MonthlyStats!J321+MonthlyStats!K321)</x:f>
      </x:c>
      <x:c r="I321" t="str">
        <x:f>IF(MonthlyStats!A321="","",TEXT(MonthlyStats!O321,"₹#,##0")&amp;" public summary; "&amp;MonthlyStats!D321&amp;" cases")</x:f>
      </x:c>
      <x:c r="J321" t="str">
        <x:f>IF(MonthlyStats!A321="","","#")</x:f>
      </x:c>
      <x:c r="K321" t="str">
        <x:f>IF(MonthlyStats!A321="","",MonthlyStats!S321)</x:f>
      </x:c>
      <x:c r="L321" t="str">
        <x:f>IF(MonthlyStats!A321="","","Formula-linked")</x:f>
      </x:c>
    </x:row>
    <x:row r="322">
      <x:c r="A322" t="str">
        <x:f>IF(MonthlyStats!A322="","",MonthlyStats!A322)</x:f>
      </x:c>
      <x:c r="B322" t="str">
        <x:f>IF(MonthlyStats!A322="","",MonthlyStats!B322)</x:f>
      </x:c>
      <x:c r="C322" t="str">
        <x:f>IF(MonthlyStats!A322="","",MonthlyStats!E322)</x:f>
      </x:c>
      <x:c r="D322" t="str">
        <x:f>IF(MonthlyStats!A322="","",MonthlyStats!F322)</x:f>
      </x:c>
      <x:c r="E322" t="str">
        <x:f>IF(MonthlyStats!A322="","",MonthlyStats!G322)</x:f>
      </x:c>
      <x:c r="F322" t="str">
        <x:f>IF(MonthlyStats!A322="","",MonthlyStats!H322)</x:f>
      </x:c>
      <x:c r="G322" t="str">
        <x:f>IF(MonthlyStats!A322="","",MonthlyStats!I322)</x:f>
      </x:c>
      <x:c r="H322" t="str">
        <x:f>IF(MonthlyStats!A322="","",MonthlyStats!J322+MonthlyStats!K322)</x:f>
      </x:c>
      <x:c r="I322" t="str">
        <x:f>IF(MonthlyStats!A322="","",TEXT(MonthlyStats!O322,"₹#,##0")&amp;" public summary; "&amp;MonthlyStats!D322&amp;" cases")</x:f>
      </x:c>
      <x:c r="J322" t="str">
        <x:f>IF(MonthlyStats!A322="","","#")</x:f>
      </x:c>
      <x:c r="K322" t="str">
        <x:f>IF(MonthlyStats!A322="","",MonthlyStats!S322)</x:f>
      </x:c>
      <x:c r="L322" t="str">
        <x:f>IF(MonthlyStats!A322="","","Formula-linked")</x:f>
      </x:c>
    </x:row>
    <x:row r="323">
      <x:c r="A323" t="str">
        <x:f>IF(MonthlyStats!A323="","",MonthlyStats!A323)</x:f>
      </x:c>
      <x:c r="B323" t="str">
        <x:f>IF(MonthlyStats!A323="","",MonthlyStats!B323)</x:f>
      </x:c>
      <x:c r="C323" t="str">
        <x:f>IF(MonthlyStats!A323="","",MonthlyStats!E323)</x:f>
      </x:c>
      <x:c r="D323" t="str">
        <x:f>IF(MonthlyStats!A323="","",MonthlyStats!F323)</x:f>
      </x:c>
      <x:c r="E323" t="str">
        <x:f>IF(MonthlyStats!A323="","",MonthlyStats!G323)</x:f>
      </x:c>
      <x:c r="F323" t="str">
        <x:f>IF(MonthlyStats!A323="","",MonthlyStats!H323)</x:f>
      </x:c>
      <x:c r="G323" t="str">
        <x:f>IF(MonthlyStats!A323="","",MonthlyStats!I323)</x:f>
      </x:c>
      <x:c r="H323" t="str">
        <x:f>IF(MonthlyStats!A323="","",MonthlyStats!J323+MonthlyStats!K323)</x:f>
      </x:c>
      <x:c r="I323" t="str">
        <x:f>IF(MonthlyStats!A323="","",TEXT(MonthlyStats!O323,"₹#,##0")&amp;" public summary; "&amp;MonthlyStats!D323&amp;" cases")</x:f>
      </x:c>
      <x:c r="J323" t="str">
        <x:f>IF(MonthlyStats!A323="","","#")</x:f>
      </x:c>
      <x:c r="K323" t="str">
        <x:f>IF(MonthlyStats!A323="","",MonthlyStats!S323)</x:f>
      </x:c>
      <x:c r="L323" t="str">
        <x:f>IF(MonthlyStats!A323="","","Formula-linked")</x:f>
      </x:c>
    </x:row>
    <x:row r="324">
      <x:c r="A324" t="str">
        <x:f>IF(MonthlyStats!A324="","",MonthlyStats!A324)</x:f>
      </x:c>
      <x:c r="B324" t="str">
        <x:f>IF(MonthlyStats!A324="","",MonthlyStats!B324)</x:f>
      </x:c>
      <x:c r="C324" t="str">
        <x:f>IF(MonthlyStats!A324="","",MonthlyStats!E324)</x:f>
      </x:c>
      <x:c r="D324" t="str">
        <x:f>IF(MonthlyStats!A324="","",MonthlyStats!F324)</x:f>
      </x:c>
      <x:c r="E324" t="str">
        <x:f>IF(MonthlyStats!A324="","",MonthlyStats!G324)</x:f>
      </x:c>
      <x:c r="F324" t="str">
        <x:f>IF(MonthlyStats!A324="","",MonthlyStats!H324)</x:f>
      </x:c>
      <x:c r="G324" t="str">
        <x:f>IF(MonthlyStats!A324="","",MonthlyStats!I324)</x:f>
      </x:c>
      <x:c r="H324" t="str">
        <x:f>IF(MonthlyStats!A324="","",MonthlyStats!J324+MonthlyStats!K324)</x:f>
      </x:c>
      <x:c r="I324" t="str">
        <x:f>IF(MonthlyStats!A324="","",TEXT(MonthlyStats!O324,"₹#,##0")&amp;" public summary; "&amp;MonthlyStats!D324&amp;" cases")</x:f>
      </x:c>
      <x:c r="J324" t="str">
        <x:f>IF(MonthlyStats!A324="","","#")</x:f>
      </x:c>
      <x:c r="K324" t="str">
        <x:f>IF(MonthlyStats!A324="","",MonthlyStats!S324)</x:f>
      </x:c>
      <x:c r="L324" t="str">
        <x:f>IF(MonthlyStats!A324="","","Formula-linked")</x:f>
      </x:c>
    </x:row>
    <x:row r="325">
      <x:c r="A325" t="str">
        <x:f>IF(MonthlyStats!A325="","",MonthlyStats!A325)</x:f>
      </x:c>
      <x:c r="B325" t="str">
        <x:f>IF(MonthlyStats!A325="","",MonthlyStats!B325)</x:f>
      </x:c>
      <x:c r="C325" t="str">
        <x:f>IF(MonthlyStats!A325="","",MonthlyStats!E325)</x:f>
      </x:c>
      <x:c r="D325" t="str">
        <x:f>IF(MonthlyStats!A325="","",MonthlyStats!F325)</x:f>
      </x:c>
      <x:c r="E325" t="str">
        <x:f>IF(MonthlyStats!A325="","",MonthlyStats!G325)</x:f>
      </x:c>
      <x:c r="F325" t="str">
        <x:f>IF(MonthlyStats!A325="","",MonthlyStats!H325)</x:f>
      </x:c>
      <x:c r="G325" t="str">
        <x:f>IF(MonthlyStats!A325="","",MonthlyStats!I325)</x:f>
      </x:c>
      <x:c r="H325" t="str">
        <x:f>IF(MonthlyStats!A325="","",MonthlyStats!J325+MonthlyStats!K325)</x:f>
      </x:c>
      <x:c r="I325" t="str">
        <x:f>IF(MonthlyStats!A325="","",TEXT(MonthlyStats!O325,"₹#,##0")&amp;" public summary; "&amp;MonthlyStats!D325&amp;" cases")</x:f>
      </x:c>
      <x:c r="J325" t="str">
        <x:f>IF(MonthlyStats!A325="","","#")</x:f>
      </x:c>
      <x:c r="K325" t="str">
        <x:f>IF(MonthlyStats!A325="","",MonthlyStats!S325)</x:f>
      </x:c>
      <x:c r="L325" t="str">
        <x:f>IF(MonthlyStats!A325="","","Formula-linked")</x:f>
      </x:c>
    </x:row>
    <x:row r="326">
      <x:c r="A326" t="str">
        <x:f>IF(MonthlyStats!A326="","",MonthlyStats!A326)</x:f>
      </x:c>
      <x:c r="B326" t="str">
        <x:f>IF(MonthlyStats!A326="","",MonthlyStats!B326)</x:f>
      </x:c>
      <x:c r="C326" t="str">
        <x:f>IF(MonthlyStats!A326="","",MonthlyStats!E326)</x:f>
      </x:c>
      <x:c r="D326" t="str">
        <x:f>IF(MonthlyStats!A326="","",MonthlyStats!F326)</x:f>
      </x:c>
      <x:c r="E326" t="str">
        <x:f>IF(MonthlyStats!A326="","",MonthlyStats!G326)</x:f>
      </x:c>
      <x:c r="F326" t="str">
        <x:f>IF(MonthlyStats!A326="","",MonthlyStats!H326)</x:f>
      </x:c>
      <x:c r="G326" t="str">
        <x:f>IF(MonthlyStats!A326="","",MonthlyStats!I326)</x:f>
      </x:c>
      <x:c r="H326" t="str">
        <x:f>IF(MonthlyStats!A326="","",MonthlyStats!J326+MonthlyStats!K326)</x:f>
      </x:c>
      <x:c r="I326" t="str">
        <x:f>IF(MonthlyStats!A326="","",TEXT(MonthlyStats!O326,"₹#,##0")&amp;" public summary; "&amp;MonthlyStats!D326&amp;" cases")</x:f>
      </x:c>
      <x:c r="J326" t="str">
        <x:f>IF(MonthlyStats!A326="","","#")</x:f>
      </x:c>
      <x:c r="K326" t="str">
        <x:f>IF(MonthlyStats!A326="","",MonthlyStats!S326)</x:f>
      </x:c>
      <x:c r="L326" t="str">
        <x:f>IF(MonthlyStats!A326="","","Formula-linked")</x:f>
      </x:c>
    </x:row>
    <x:row r="327">
      <x:c r="A327" t="str">
        <x:f>IF(MonthlyStats!A327="","",MonthlyStats!A327)</x:f>
      </x:c>
      <x:c r="B327" t="str">
        <x:f>IF(MonthlyStats!A327="","",MonthlyStats!B327)</x:f>
      </x:c>
      <x:c r="C327" t="str">
        <x:f>IF(MonthlyStats!A327="","",MonthlyStats!E327)</x:f>
      </x:c>
      <x:c r="D327" t="str">
        <x:f>IF(MonthlyStats!A327="","",MonthlyStats!F327)</x:f>
      </x:c>
      <x:c r="E327" t="str">
        <x:f>IF(MonthlyStats!A327="","",MonthlyStats!G327)</x:f>
      </x:c>
      <x:c r="F327" t="str">
        <x:f>IF(MonthlyStats!A327="","",MonthlyStats!H327)</x:f>
      </x:c>
      <x:c r="G327" t="str">
        <x:f>IF(MonthlyStats!A327="","",MonthlyStats!I327)</x:f>
      </x:c>
      <x:c r="H327" t="str">
        <x:f>IF(MonthlyStats!A327="","",MonthlyStats!J327+MonthlyStats!K327)</x:f>
      </x:c>
      <x:c r="I327" t="str">
        <x:f>IF(MonthlyStats!A327="","",TEXT(MonthlyStats!O327,"₹#,##0")&amp;" public summary; "&amp;MonthlyStats!D327&amp;" cases")</x:f>
      </x:c>
      <x:c r="J327" t="str">
        <x:f>IF(MonthlyStats!A327="","","#")</x:f>
      </x:c>
      <x:c r="K327" t="str">
        <x:f>IF(MonthlyStats!A327="","",MonthlyStats!S327)</x:f>
      </x:c>
      <x:c r="L327" t="str">
        <x:f>IF(MonthlyStats!A327="","","Formula-linked")</x:f>
      </x:c>
    </x:row>
    <x:row r="328">
      <x:c r="A328" t="str">
        <x:f>IF(MonthlyStats!A328="","",MonthlyStats!A328)</x:f>
      </x:c>
      <x:c r="B328" t="str">
        <x:f>IF(MonthlyStats!A328="","",MonthlyStats!B328)</x:f>
      </x:c>
      <x:c r="C328" t="str">
        <x:f>IF(MonthlyStats!A328="","",MonthlyStats!E328)</x:f>
      </x:c>
      <x:c r="D328" t="str">
        <x:f>IF(MonthlyStats!A328="","",MonthlyStats!F328)</x:f>
      </x:c>
      <x:c r="E328" t="str">
        <x:f>IF(MonthlyStats!A328="","",MonthlyStats!G328)</x:f>
      </x:c>
      <x:c r="F328" t="str">
        <x:f>IF(MonthlyStats!A328="","",MonthlyStats!H328)</x:f>
      </x:c>
      <x:c r="G328" t="str">
        <x:f>IF(MonthlyStats!A328="","",MonthlyStats!I328)</x:f>
      </x:c>
      <x:c r="H328" t="str">
        <x:f>IF(MonthlyStats!A328="","",MonthlyStats!J328+MonthlyStats!K328)</x:f>
      </x:c>
      <x:c r="I328" t="str">
        <x:f>IF(MonthlyStats!A328="","",TEXT(MonthlyStats!O328,"₹#,##0")&amp;" public summary; "&amp;MonthlyStats!D328&amp;" cases")</x:f>
      </x:c>
      <x:c r="J328" t="str">
        <x:f>IF(MonthlyStats!A328="","","#")</x:f>
      </x:c>
      <x:c r="K328" t="str">
        <x:f>IF(MonthlyStats!A328="","",MonthlyStats!S328)</x:f>
      </x:c>
      <x:c r="L328" t="str">
        <x:f>IF(MonthlyStats!A328="","","Formula-linked")</x:f>
      </x:c>
    </x:row>
    <x:row r="329">
      <x:c r="A329" t="str">
        <x:f>IF(MonthlyStats!A329="","",MonthlyStats!A329)</x:f>
      </x:c>
      <x:c r="B329" t="str">
        <x:f>IF(MonthlyStats!A329="","",MonthlyStats!B329)</x:f>
      </x:c>
      <x:c r="C329" t="str">
        <x:f>IF(MonthlyStats!A329="","",MonthlyStats!E329)</x:f>
      </x:c>
      <x:c r="D329" t="str">
        <x:f>IF(MonthlyStats!A329="","",MonthlyStats!F329)</x:f>
      </x:c>
      <x:c r="E329" t="str">
        <x:f>IF(MonthlyStats!A329="","",MonthlyStats!G329)</x:f>
      </x:c>
      <x:c r="F329" t="str">
        <x:f>IF(MonthlyStats!A329="","",MonthlyStats!H329)</x:f>
      </x:c>
      <x:c r="G329" t="str">
        <x:f>IF(MonthlyStats!A329="","",MonthlyStats!I329)</x:f>
      </x:c>
      <x:c r="H329" t="str">
        <x:f>IF(MonthlyStats!A329="","",MonthlyStats!J329+MonthlyStats!K329)</x:f>
      </x:c>
      <x:c r="I329" t="str">
        <x:f>IF(MonthlyStats!A329="","",TEXT(MonthlyStats!O329,"₹#,##0")&amp;" public summary; "&amp;MonthlyStats!D329&amp;" cases")</x:f>
      </x:c>
      <x:c r="J329" t="str">
        <x:f>IF(MonthlyStats!A329="","","#")</x:f>
      </x:c>
      <x:c r="K329" t="str">
        <x:f>IF(MonthlyStats!A329="","",MonthlyStats!S329)</x:f>
      </x:c>
      <x:c r="L329" t="str">
        <x:f>IF(MonthlyStats!A329="","","Formula-linked")</x:f>
      </x:c>
    </x:row>
    <x:row r="330">
      <x:c r="A330" t="str">
        <x:f>IF(MonthlyStats!A330="","",MonthlyStats!A330)</x:f>
      </x:c>
      <x:c r="B330" t="str">
        <x:f>IF(MonthlyStats!A330="","",MonthlyStats!B330)</x:f>
      </x:c>
      <x:c r="C330" t="str">
        <x:f>IF(MonthlyStats!A330="","",MonthlyStats!E330)</x:f>
      </x:c>
      <x:c r="D330" t="str">
        <x:f>IF(MonthlyStats!A330="","",MonthlyStats!F330)</x:f>
      </x:c>
      <x:c r="E330" t="str">
        <x:f>IF(MonthlyStats!A330="","",MonthlyStats!G330)</x:f>
      </x:c>
      <x:c r="F330" t="str">
        <x:f>IF(MonthlyStats!A330="","",MonthlyStats!H330)</x:f>
      </x:c>
      <x:c r="G330" t="str">
        <x:f>IF(MonthlyStats!A330="","",MonthlyStats!I330)</x:f>
      </x:c>
      <x:c r="H330" t="str">
        <x:f>IF(MonthlyStats!A330="","",MonthlyStats!J330+MonthlyStats!K330)</x:f>
      </x:c>
      <x:c r="I330" t="str">
        <x:f>IF(MonthlyStats!A330="","",TEXT(MonthlyStats!O330,"₹#,##0")&amp;" public summary; "&amp;MonthlyStats!D330&amp;" cases")</x:f>
      </x:c>
      <x:c r="J330" t="str">
        <x:f>IF(MonthlyStats!A330="","","#")</x:f>
      </x:c>
      <x:c r="K330" t="str">
        <x:f>IF(MonthlyStats!A330="","",MonthlyStats!S330)</x:f>
      </x:c>
      <x:c r="L330" t="str">
        <x:f>IF(MonthlyStats!A330="","","Formula-linked")</x:f>
      </x:c>
    </x:row>
    <x:row r="331">
      <x:c r="A331" t="str">
        <x:f>IF(MonthlyStats!A331="","",MonthlyStats!A331)</x:f>
      </x:c>
      <x:c r="B331" t="str">
        <x:f>IF(MonthlyStats!A331="","",MonthlyStats!B331)</x:f>
      </x:c>
      <x:c r="C331" t="str">
        <x:f>IF(MonthlyStats!A331="","",MonthlyStats!E331)</x:f>
      </x:c>
      <x:c r="D331" t="str">
        <x:f>IF(MonthlyStats!A331="","",MonthlyStats!F331)</x:f>
      </x:c>
      <x:c r="E331" t="str">
        <x:f>IF(MonthlyStats!A331="","",MonthlyStats!G331)</x:f>
      </x:c>
      <x:c r="F331" t="str">
        <x:f>IF(MonthlyStats!A331="","",MonthlyStats!H331)</x:f>
      </x:c>
      <x:c r="G331" t="str">
        <x:f>IF(MonthlyStats!A331="","",MonthlyStats!I331)</x:f>
      </x:c>
      <x:c r="H331" t="str">
        <x:f>IF(MonthlyStats!A331="","",MonthlyStats!J331+MonthlyStats!K331)</x:f>
      </x:c>
      <x:c r="I331" t="str">
        <x:f>IF(MonthlyStats!A331="","",TEXT(MonthlyStats!O331,"₹#,##0")&amp;" public summary; "&amp;MonthlyStats!D331&amp;" cases")</x:f>
      </x:c>
      <x:c r="J331" t="str">
        <x:f>IF(MonthlyStats!A331="","","#")</x:f>
      </x:c>
      <x:c r="K331" t="str">
        <x:f>IF(MonthlyStats!A331="","",MonthlyStats!S331)</x:f>
      </x:c>
      <x:c r="L331" t="str">
        <x:f>IF(MonthlyStats!A331="","","Formula-linked")</x:f>
      </x:c>
    </x:row>
    <x:row r="332">
      <x:c r="A332" t="str">
        <x:f>IF(MonthlyStats!A332="","",MonthlyStats!A332)</x:f>
      </x:c>
      <x:c r="B332" t="str">
        <x:f>IF(MonthlyStats!A332="","",MonthlyStats!B332)</x:f>
      </x:c>
      <x:c r="C332" t="str">
        <x:f>IF(MonthlyStats!A332="","",MonthlyStats!E332)</x:f>
      </x:c>
      <x:c r="D332" t="str">
        <x:f>IF(MonthlyStats!A332="","",MonthlyStats!F332)</x:f>
      </x:c>
      <x:c r="E332" t="str">
        <x:f>IF(MonthlyStats!A332="","",MonthlyStats!G332)</x:f>
      </x:c>
      <x:c r="F332" t="str">
        <x:f>IF(MonthlyStats!A332="","",MonthlyStats!H332)</x:f>
      </x:c>
      <x:c r="G332" t="str">
        <x:f>IF(MonthlyStats!A332="","",MonthlyStats!I332)</x:f>
      </x:c>
      <x:c r="H332" t="str">
        <x:f>IF(MonthlyStats!A332="","",MonthlyStats!J332+MonthlyStats!K332)</x:f>
      </x:c>
      <x:c r="I332" t="str">
        <x:f>IF(MonthlyStats!A332="","",TEXT(MonthlyStats!O332,"₹#,##0")&amp;" public summary; "&amp;MonthlyStats!D332&amp;" cases")</x:f>
      </x:c>
      <x:c r="J332" t="str">
        <x:f>IF(MonthlyStats!A332="","","#")</x:f>
      </x:c>
      <x:c r="K332" t="str">
        <x:f>IF(MonthlyStats!A332="","",MonthlyStats!S332)</x:f>
      </x:c>
      <x:c r="L332" t="str">
        <x:f>IF(MonthlyStats!A332="","","Formula-linked")</x:f>
      </x:c>
    </x:row>
    <x:row r="333">
      <x:c r="A333" t="str">
        <x:f>IF(MonthlyStats!A333="","",MonthlyStats!A333)</x:f>
      </x:c>
      <x:c r="B333" t="str">
        <x:f>IF(MonthlyStats!A333="","",MonthlyStats!B333)</x:f>
      </x:c>
      <x:c r="C333" t="str">
        <x:f>IF(MonthlyStats!A333="","",MonthlyStats!E333)</x:f>
      </x:c>
      <x:c r="D333" t="str">
        <x:f>IF(MonthlyStats!A333="","",MonthlyStats!F333)</x:f>
      </x:c>
      <x:c r="E333" t="str">
        <x:f>IF(MonthlyStats!A333="","",MonthlyStats!G333)</x:f>
      </x:c>
      <x:c r="F333" t="str">
        <x:f>IF(MonthlyStats!A333="","",MonthlyStats!H333)</x:f>
      </x:c>
      <x:c r="G333" t="str">
        <x:f>IF(MonthlyStats!A333="","",MonthlyStats!I333)</x:f>
      </x:c>
      <x:c r="H333" t="str">
        <x:f>IF(MonthlyStats!A333="","",MonthlyStats!J333+MonthlyStats!K333)</x:f>
      </x:c>
      <x:c r="I333" t="str">
        <x:f>IF(MonthlyStats!A333="","",TEXT(MonthlyStats!O333,"₹#,##0")&amp;" public summary; "&amp;MonthlyStats!D333&amp;" cases")</x:f>
      </x:c>
      <x:c r="J333" t="str">
        <x:f>IF(MonthlyStats!A333="","","#")</x:f>
      </x:c>
      <x:c r="K333" t="str">
        <x:f>IF(MonthlyStats!A333="","",MonthlyStats!S333)</x:f>
      </x:c>
      <x:c r="L333" t="str">
        <x:f>IF(MonthlyStats!A333="","","Formula-linked")</x:f>
      </x:c>
    </x:row>
    <x:row r="334">
      <x:c r="A334" t="str">
        <x:f>IF(MonthlyStats!A334="","",MonthlyStats!A334)</x:f>
      </x:c>
      <x:c r="B334" t="str">
        <x:f>IF(MonthlyStats!A334="","",MonthlyStats!B334)</x:f>
      </x:c>
      <x:c r="C334" t="str">
        <x:f>IF(MonthlyStats!A334="","",MonthlyStats!E334)</x:f>
      </x:c>
      <x:c r="D334" t="str">
        <x:f>IF(MonthlyStats!A334="","",MonthlyStats!F334)</x:f>
      </x:c>
      <x:c r="E334" t="str">
        <x:f>IF(MonthlyStats!A334="","",MonthlyStats!G334)</x:f>
      </x:c>
      <x:c r="F334" t="str">
        <x:f>IF(MonthlyStats!A334="","",MonthlyStats!H334)</x:f>
      </x:c>
      <x:c r="G334" t="str">
        <x:f>IF(MonthlyStats!A334="","",MonthlyStats!I334)</x:f>
      </x:c>
      <x:c r="H334" t="str">
        <x:f>IF(MonthlyStats!A334="","",MonthlyStats!J334+MonthlyStats!K334)</x:f>
      </x:c>
      <x:c r="I334" t="str">
        <x:f>IF(MonthlyStats!A334="","",TEXT(MonthlyStats!O334,"₹#,##0")&amp;" public summary; "&amp;MonthlyStats!D334&amp;" cases")</x:f>
      </x:c>
      <x:c r="J334" t="str">
        <x:f>IF(MonthlyStats!A334="","","#")</x:f>
      </x:c>
      <x:c r="K334" t="str">
        <x:f>IF(MonthlyStats!A334="","",MonthlyStats!S334)</x:f>
      </x:c>
      <x:c r="L334" t="str">
        <x:f>IF(MonthlyStats!A334="","","Formula-linked")</x:f>
      </x:c>
    </x:row>
    <x:row r="335">
      <x:c r="A335" t="str">
        <x:f>IF(MonthlyStats!A335="","",MonthlyStats!A335)</x:f>
      </x:c>
      <x:c r="B335" t="str">
        <x:f>IF(MonthlyStats!A335="","",MonthlyStats!B335)</x:f>
      </x:c>
      <x:c r="C335" t="str">
        <x:f>IF(MonthlyStats!A335="","",MonthlyStats!E335)</x:f>
      </x:c>
      <x:c r="D335" t="str">
        <x:f>IF(MonthlyStats!A335="","",MonthlyStats!F335)</x:f>
      </x:c>
      <x:c r="E335" t="str">
        <x:f>IF(MonthlyStats!A335="","",MonthlyStats!G335)</x:f>
      </x:c>
      <x:c r="F335" t="str">
        <x:f>IF(MonthlyStats!A335="","",MonthlyStats!H335)</x:f>
      </x:c>
      <x:c r="G335" t="str">
        <x:f>IF(MonthlyStats!A335="","",MonthlyStats!I335)</x:f>
      </x:c>
      <x:c r="H335" t="str">
        <x:f>IF(MonthlyStats!A335="","",MonthlyStats!J335+MonthlyStats!K335)</x:f>
      </x:c>
      <x:c r="I335" t="str">
        <x:f>IF(MonthlyStats!A335="","",TEXT(MonthlyStats!O335,"₹#,##0")&amp;" public summary; "&amp;MonthlyStats!D335&amp;" cases")</x:f>
      </x:c>
      <x:c r="J335" t="str">
        <x:f>IF(MonthlyStats!A335="","","#")</x:f>
      </x:c>
      <x:c r="K335" t="str">
        <x:f>IF(MonthlyStats!A335="","",MonthlyStats!S335)</x:f>
      </x:c>
      <x:c r="L335" t="str">
        <x:f>IF(MonthlyStats!A335="","","Formula-linked")</x:f>
      </x:c>
    </x:row>
    <x:row r="336">
      <x:c r="A336" t="str">
        <x:f>IF(MonthlyStats!A336="","",MonthlyStats!A336)</x:f>
      </x:c>
      <x:c r="B336" t="str">
        <x:f>IF(MonthlyStats!A336="","",MonthlyStats!B336)</x:f>
      </x:c>
      <x:c r="C336" t="str">
        <x:f>IF(MonthlyStats!A336="","",MonthlyStats!E336)</x:f>
      </x:c>
      <x:c r="D336" t="str">
        <x:f>IF(MonthlyStats!A336="","",MonthlyStats!F336)</x:f>
      </x:c>
      <x:c r="E336" t="str">
        <x:f>IF(MonthlyStats!A336="","",MonthlyStats!G336)</x:f>
      </x:c>
      <x:c r="F336" t="str">
        <x:f>IF(MonthlyStats!A336="","",MonthlyStats!H336)</x:f>
      </x:c>
      <x:c r="G336" t="str">
        <x:f>IF(MonthlyStats!A336="","",MonthlyStats!I336)</x:f>
      </x:c>
      <x:c r="H336" t="str">
        <x:f>IF(MonthlyStats!A336="","",MonthlyStats!J336+MonthlyStats!K336)</x:f>
      </x:c>
      <x:c r="I336" t="str">
        <x:f>IF(MonthlyStats!A336="","",TEXT(MonthlyStats!O336,"₹#,##0")&amp;" public summary; "&amp;MonthlyStats!D336&amp;" cases")</x:f>
      </x:c>
      <x:c r="J336" t="str">
        <x:f>IF(MonthlyStats!A336="","","#")</x:f>
      </x:c>
      <x:c r="K336" t="str">
        <x:f>IF(MonthlyStats!A336="","",MonthlyStats!S336)</x:f>
      </x:c>
      <x:c r="L336" t="str">
        <x:f>IF(MonthlyStats!A336="","","Formula-linked")</x:f>
      </x:c>
    </x:row>
    <x:row r="337">
      <x:c r="A337" t="str">
        <x:f>IF(MonthlyStats!A337="","",MonthlyStats!A337)</x:f>
      </x:c>
      <x:c r="B337" t="str">
        <x:f>IF(MonthlyStats!A337="","",MonthlyStats!B337)</x:f>
      </x:c>
      <x:c r="C337" t="str">
        <x:f>IF(MonthlyStats!A337="","",MonthlyStats!E337)</x:f>
      </x:c>
      <x:c r="D337" t="str">
        <x:f>IF(MonthlyStats!A337="","",MonthlyStats!F337)</x:f>
      </x:c>
      <x:c r="E337" t="str">
        <x:f>IF(MonthlyStats!A337="","",MonthlyStats!G337)</x:f>
      </x:c>
      <x:c r="F337" t="str">
        <x:f>IF(MonthlyStats!A337="","",MonthlyStats!H337)</x:f>
      </x:c>
      <x:c r="G337" t="str">
        <x:f>IF(MonthlyStats!A337="","",MonthlyStats!I337)</x:f>
      </x:c>
      <x:c r="H337" t="str">
        <x:f>IF(MonthlyStats!A337="","",MonthlyStats!J337+MonthlyStats!K337)</x:f>
      </x:c>
      <x:c r="I337" t="str">
        <x:f>IF(MonthlyStats!A337="","",TEXT(MonthlyStats!O337,"₹#,##0")&amp;" public summary; "&amp;MonthlyStats!D337&amp;" cases")</x:f>
      </x:c>
      <x:c r="J337" t="str">
        <x:f>IF(MonthlyStats!A337="","","#")</x:f>
      </x:c>
      <x:c r="K337" t="str">
        <x:f>IF(MonthlyStats!A337="","",MonthlyStats!S337)</x:f>
      </x:c>
      <x:c r="L337" t="str">
        <x:f>IF(MonthlyStats!A337="","","Formula-linked")</x:f>
      </x:c>
    </x:row>
    <x:row r="338">
      <x:c r="A338" t="str">
        <x:f>IF(MonthlyStats!A338="","",MonthlyStats!A338)</x:f>
      </x:c>
      <x:c r="B338" t="str">
        <x:f>IF(MonthlyStats!A338="","",MonthlyStats!B338)</x:f>
      </x:c>
      <x:c r="C338" t="str">
        <x:f>IF(MonthlyStats!A338="","",MonthlyStats!E338)</x:f>
      </x:c>
      <x:c r="D338" t="str">
        <x:f>IF(MonthlyStats!A338="","",MonthlyStats!F338)</x:f>
      </x:c>
      <x:c r="E338" t="str">
        <x:f>IF(MonthlyStats!A338="","",MonthlyStats!G338)</x:f>
      </x:c>
      <x:c r="F338" t="str">
        <x:f>IF(MonthlyStats!A338="","",MonthlyStats!H338)</x:f>
      </x:c>
      <x:c r="G338" t="str">
        <x:f>IF(MonthlyStats!A338="","",MonthlyStats!I338)</x:f>
      </x:c>
      <x:c r="H338" t="str">
        <x:f>IF(MonthlyStats!A338="","",MonthlyStats!J338+MonthlyStats!K338)</x:f>
      </x:c>
      <x:c r="I338" t="str">
        <x:f>IF(MonthlyStats!A338="","",TEXT(MonthlyStats!O338,"₹#,##0")&amp;" public summary; "&amp;MonthlyStats!D338&amp;" cases")</x:f>
      </x:c>
      <x:c r="J338" t="str">
        <x:f>IF(MonthlyStats!A338="","","#")</x:f>
      </x:c>
      <x:c r="K338" t="str">
        <x:f>IF(MonthlyStats!A338="","",MonthlyStats!S338)</x:f>
      </x:c>
      <x:c r="L338" t="str">
        <x:f>IF(MonthlyStats!A338="","","Formula-linked")</x:f>
      </x:c>
    </x:row>
    <x:row r="339">
      <x:c r="A339" t="str">
        <x:f>IF(MonthlyStats!A339="","",MonthlyStats!A339)</x:f>
      </x:c>
      <x:c r="B339" t="str">
        <x:f>IF(MonthlyStats!A339="","",MonthlyStats!B339)</x:f>
      </x:c>
      <x:c r="C339" t="str">
        <x:f>IF(MonthlyStats!A339="","",MonthlyStats!E339)</x:f>
      </x:c>
      <x:c r="D339" t="str">
        <x:f>IF(MonthlyStats!A339="","",MonthlyStats!F339)</x:f>
      </x:c>
      <x:c r="E339" t="str">
        <x:f>IF(MonthlyStats!A339="","",MonthlyStats!G339)</x:f>
      </x:c>
      <x:c r="F339" t="str">
        <x:f>IF(MonthlyStats!A339="","",MonthlyStats!H339)</x:f>
      </x:c>
      <x:c r="G339" t="str">
        <x:f>IF(MonthlyStats!A339="","",MonthlyStats!I339)</x:f>
      </x:c>
      <x:c r="H339" t="str">
        <x:f>IF(MonthlyStats!A339="","",MonthlyStats!J339+MonthlyStats!K339)</x:f>
      </x:c>
      <x:c r="I339" t="str">
        <x:f>IF(MonthlyStats!A339="","",TEXT(MonthlyStats!O339,"₹#,##0")&amp;" public summary; "&amp;MonthlyStats!D339&amp;" cases")</x:f>
      </x:c>
      <x:c r="J339" t="str">
        <x:f>IF(MonthlyStats!A339="","","#")</x:f>
      </x:c>
      <x:c r="K339" t="str">
        <x:f>IF(MonthlyStats!A339="","",MonthlyStats!S339)</x:f>
      </x:c>
      <x:c r="L339" t="str">
        <x:f>IF(MonthlyStats!A339="","","Formula-linked")</x:f>
      </x:c>
    </x:row>
    <x:row r="340">
      <x:c r="A340" t="str">
        <x:f>IF(MonthlyStats!A340="","",MonthlyStats!A340)</x:f>
      </x:c>
      <x:c r="B340" t="str">
        <x:f>IF(MonthlyStats!A340="","",MonthlyStats!B340)</x:f>
      </x:c>
      <x:c r="C340" t="str">
        <x:f>IF(MonthlyStats!A340="","",MonthlyStats!E340)</x:f>
      </x:c>
      <x:c r="D340" t="str">
        <x:f>IF(MonthlyStats!A340="","",MonthlyStats!F340)</x:f>
      </x:c>
      <x:c r="E340" t="str">
        <x:f>IF(MonthlyStats!A340="","",MonthlyStats!G340)</x:f>
      </x:c>
      <x:c r="F340" t="str">
        <x:f>IF(MonthlyStats!A340="","",MonthlyStats!H340)</x:f>
      </x:c>
      <x:c r="G340" t="str">
        <x:f>IF(MonthlyStats!A340="","",MonthlyStats!I340)</x:f>
      </x:c>
      <x:c r="H340" t="str">
        <x:f>IF(MonthlyStats!A340="","",MonthlyStats!J340+MonthlyStats!K340)</x:f>
      </x:c>
      <x:c r="I340" t="str">
        <x:f>IF(MonthlyStats!A340="","",TEXT(MonthlyStats!O340,"₹#,##0")&amp;" public summary; "&amp;MonthlyStats!D340&amp;" cases")</x:f>
      </x:c>
      <x:c r="J340" t="str">
        <x:f>IF(MonthlyStats!A340="","","#")</x:f>
      </x:c>
      <x:c r="K340" t="str">
        <x:f>IF(MonthlyStats!A340="","",MonthlyStats!S340)</x:f>
      </x:c>
      <x:c r="L340" t="str">
        <x:f>IF(MonthlyStats!A340="","","Formula-linked")</x:f>
      </x:c>
    </x:row>
    <x:row r="341">
      <x:c r="A341" t="str">
        <x:f>IF(MonthlyStats!A341="","",MonthlyStats!A341)</x:f>
      </x:c>
      <x:c r="B341" t="str">
        <x:f>IF(MonthlyStats!A341="","",MonthlyStats!B341)</x:f>
      </x:c>
      <x:c r="C341" t="str">
        <x:f>IF(MonthlyStats!A341="","",MonthlyStats!E341)</x:f>
      </x:c>
      <x:c r="D341" t="str">
        <x:f>IF(MonthlyStats!A341="","",MonthlyStats!F341)</x:f>
      </x:c>
      <x:c r="E341" t="str">
        <x:f>IF(MonthlyStats!A341="","",MonthlyStats!G341)</x:f>
      </x:c>
      <x:c r="F341" t="str">
        <x:f>IF(MonthlyStats!A341="","",MonthlyStats!H341)</x:f>
      </x:c>
      <x:c r="G341" t="str">
        <x:f>IF(MonthlyStats!A341="","",MonthlyStats!I341)</x:f>
      </x:c>
      <x:c r="H341" t="str">
        <x:f>IF(MonthlyStats!A341="","",MonthlyStats!J341+MonthlyStats!K341)</x:f>
      </x:c>
      <x:c r="I341" t="str">
        <x:f>IF(MonthlyStats!A341="","",TEXT(MonthlyStats!O341,"₹#,##0")&amp;" public summary; "&amp;MonthlyStats!D341&amp;" cases")</x:f>
      </x:c>
      <x:c r="J341" t="str">
        <x:f>IF(MonthlyStats!A341="","","#")</x:f>
      </x:c>
      <x:c r="K341" t="str">
        <x:f>IF(MonthlyStats!A341="","",MonthlyStats!S341)</x:f>
      </x:c>
      <x:c r="L341" t="str">
        <x:f>IF(MonthlyStats!A341="","","Formula-linked")</x:f>
      </x:c>
    </x:row>
    <x:row r="342">
      <x:c r="A342" t="str">
        <x:f>IF(MonthlyStats!A342="","",MonthlyStats!A342)</x:f>
      </x:c>
      <x:c r="B342" t="str">
        <x:f>IF(MonthlyStats!A342="","",MonthlyStats!B342)</x:f>
      </x:c>
      <x:c r="C342" t="str">
        <x:f>IF(MonthlyStats!A342="","",MonthlyStats!E342)</x:f>
      </x:c>
      <x:c r="D342" t="str">
        <x:f>IF(MonthlyStats!A342="","",MonthlyStats!F342)</x:f>
      </x:c>
      <x:c r="E342" t="str">
        <x:f>IF(MonthlyStats!A342="","",MonthlyStats!G342)</x:f>
      </x:c>
      <x:c r="F342" t="str">
        <x:f>IF(MonthlyStats!A342="","",MonthlyStats!H342)</x:f>
      </x:c>
      <x:c r="G342" t="str">
        <x:f>IF(MonthlyStats!A342="","",MonthlyStats!I342)</x:f>
      </x:c>
      <x:c r="H342" t="str">
        <x:f>IF(MonthlyStats!A342="","",MonthlyStats!J342+MonthlyStats!K342)</x:f>
      </x:c>
      <x:c r="I342" t="str">
        <x:f>IF(MonthlyStats!A342="","",TEXT(MonthlyStats!O342,"₹#,##0")&amp;" public summary; "&amp;MonthlyStats!D342&amp;" cases")</x:f>
      </x:c>
      <x:c r="J342" t="str">
        <x:f>IF(MonthlyStats!A342="","","#")</x:f>
      </x:c>
      <x:c r="K342" t="str">
        <x:f>IF(MonthlyStats!A342="","",MonthlyStats!S342)</x:f>
      </x:c>
      <x:c r="L342" t="str">
        <x:f>IF(MonthlyStats!A342="","","Formula-linked")</x:f>
      </x:c>
    </x:row>
    <x:row r="343">
      <x:c r="A343" t="str">
        <x:f>IF(MonthlyStats!A343="","",MonthlyStats!A343)</x:f>
      </x:c>
      <x:c r="B343" t="str">
        <x:f>IF(MonthlyStats!A343="","",MonthlyStats!B343)</x:f>
      </x:c>
      <x:c r="C343" t="str">
        <x:f>IF(MonthlyStats!A343="","",MonthlyStats!E343)</x:f>
      </x:c>
      <x:c r="D343" t="str">
        <x:f>IF(MonthlyStats!A343="","",MonthlyStats!F343)</x:f>
      </x:c>
      <x:c r="E343" t="str">
        <x:f>IF(MonthlyStats!A343="","",MonthlyStats!G343)</x:f>
      </x:c>
      <x:c r="F343" t="str">
        <x:f>IF(MonthlyStats!A343="","",MonthlyStats!H343)</x:f>
      </x:c>
      <x:c r="G343" t="str">
        <x:f>IF(MonthlyStats!A343="","",MonthlyStats!I343)</x:f>
      </x:c>
      <x:c r="H343" t="str">
        <x:f>IF(MonthlyStats!A343="","",MonthlyStats!J343+MonthlyStats!K343)</x:f>
      </x:c>
      <x:c r="I343" t="str">
        <x:f>IF(MonthlyStats!A343="","",TEXT(MonthlyStats!O343,"₹#,##0")&amp;" public summary; "&amp;MonthlyStats!D343&amp;" cases")</x:f>
      </x:c>
      <x:c r="J343" t="str">
        <x:f>IF(MonthlyStats!A343="","","#")</x:f>
      </x:c>
      <x:c r="K343" t="str">
        <x:f>IF(MonthlyStats!A343="","",MonthlyStats!S343)</x:f>
      </x:c>
      <x:c r="L343" t="str">
        <x:f>IF(MonthlyStats!A343="","","Formula-linked")</x:f>
      </x:c>
    </x:row>
    <x:row r="344">
      <x:c r="A344" t="str">
        <x:f>IF(MonthlyStats!A344="","",MonthlyStats!A344)</x:f>
      </x:c>
      <x:c r="B344" t="str">
        <x:f>IF(MonthlyStats!A344="","",MonthlyStats!B344)</x:f>
      </x:c>
      <x:c r="C344" t="str">
        <x:f>IF(MonthlyStats!A344="","",MonthlyStats!E344)</x:f>
      </x:c>
      <x:c r="D344" t="str">
        <x:f>IF(MonthlyStats!A344="","",MonthlyStats!F344)</x:f>
      </x:c>
      <x:c r="E344" t="str">
        <x:f>IF(MonthlyStats!A344="","",MonthlyStats!G344)</x:f>
      </x:c>
      <x:c r="F344" t="str">
        <x:f>IF(MonthlyStats!A344="","",MonthlyStats!H344)</x:f>
      </x:c>
      <x:c r="G344" t="str">
        <x:f>IF(MonthlyStats!A344="","",MonthlyStats!I344)</x:f>
      </x:c>
      <x:c r="H344" t="str">
        <x:f>IF(MonthlyStats!A344="","",MonthlyStats!J344+MonthlyStats!K344)</x:f>
      </x:c>
      <x:c r="I344" t="str">
        <x:f>IF(MonthlyStats!A344="","",TEXT(MonthlyStats!O344,"₹#,##0")&amp;" public summary; "&amp;MonthlyStats!D344&amp;" cases")</x:f>
      </x:c>
      <x:c r="J344" t="str">
        <x:f>IF(MonthlyStats!A344="","","#")</x:f>
      </x:c>
      <x:c r="K344" t="str">
        <x:f>IF(MonthlyStats!A344="","",MonthlyStats!S344)</x:f>
      </x:c>
      <x:c r="L344" t="str">
        <x:f>IF(MonthlyStats!A344="","","Formula-linked")</x:f>
      </x:c>
    </x:row>
    <x:row r="345">
      <x:c r="A345" t="str">
        <x:f>IF(MonthlyStats!A345="","",MonthlyStats!A345)</x:f>
      </x:c>
      <x:c r="B345" t="str">
        <x:f>IF(MonthlyStats!A345="","",MonthlyStats!B345)</x:f>
      </x:c>
      <x:c r="C345" t="str">
        <x:f>IF(MonthlyStats!A345="","",MonthlyStats!E345)</x:f>
      </x:c>
      <x:c r="D345" t="str">
        <x:f>IF(MonthlyStats!A345="","",MonthlyStats!F345)</x:f>
      </x:c>
      <x:c r="E345" t="str">
        <x:f>IF(MonthlyStats!A345="","",MonthlyStats!G345)</x:f>
      </x:c>
      <x:c r="F345" t="str">
        <x:f>IF(MonthlyStats!A345="","",MonthlyStats!H345)</x:f>
      </x:c>
      <x:c r="G345" t="str">
        <x:f>IF(MonthlyStats!A345="","",MonthlyStats!I345)</x:f>
      </x:c>
      <x:c r="H345" t="str">
        <x:f>IF(MonthlyStats!A345="","",MonthlyStats!J345+MonthlyStats!K345)</x:f>
      </x:c>
      <x:c r="I345" t="str">
        <x:f>IF(MonthlyStats!A345="","",TEXT(MonthlyStats!O345,"₹#,##0")&amp;" public summary; "&amp;MonthlyStats!D345&amp;" cases")</x:f>
      </x:c>
      <x:c r="J345" t="str">
        <x:f>IF(MonthlyStats!A345="","","#")</x:f>
      </x:c>
      <x:c r="K345" t="str">
        <x:f>IF(MonthlyStats!A345="","",MonthlyStats!S345)</x:f>
      </x:c>
      <x:c r="L345" t="str">
        <x:f>IF(MonthlyStats!A345="","","Formula-linked")</x:f>
      </x:c>
    </x:row>
    <x:row r="346">
      <x:c r="A346" t="str">
        <x:f>IF(MonthlyStats!A346="","",MonthlyStats!A346)</x:f>
      </x:c>
      <x:c r="B346" t="str">
        <x:f>IF(MonthlyStats!A346="","",MonthlyStats!B346)</x:f>
      </x:c>
      <x:c r="C346" t="str">
        <x:f>IF(MonthlyStats!A346="","",MonthlyStats!E346)</x:f>
      </x:c>
      <x:c r="D346" t="str">
        <x:f>IF(MonthlyStats!A346="","",MonthlyStats!F346)</x:f>
      </x:c>
      <x:c r="E346" t="str">
        <x:f>IF(MonthlyStats!A346="","",MonthlyStats!G346)</x:f>
      </x:c>
      <x:c r="F346" t="str">
        <x:f>IF(MonthlyStats!A346="","",MonthlyStats!H346)</x:f>
      </x:c>
      <x:c r="G346" t="str">
        <x:f>IF(MonthlyStats!A346="","",MonthlyStats!I346)</x:f>
      </x:c>
      <x:c r="H346" t="str">
        <x:f>IF(MonthlyStats!A346="","",MonthlyStats!J346+MonthlyStats!K346)</x:f>
      </x:c>
      <x:c r="I346" t="str">
        <x:f>IF(MonthlyStats!A346="","",TEXT(MonthlyStats!O346,"₹#,##0")&amp;" public summary; "&amp;MonthlyStats!D346&amp;" cases")</x:f>
      </x:c>
      <x:c r="J346" t="str">
        <x:f>IF(MonthlyStats!A346="","","#")</x:f>
      </x:c>
      <x:c r="K346" t="str">
        <x:f>IF(MonthlyStats!A346="","",MonthlyStats!S346)</x:f>
      </x:c>
      <x:c r="L346" t="str">
        <x:f>IF(MonthlyStats!A346="","","Formula-linked")</x:f>
      </x:c>
    </x:row>
    <x:row r="347">
      <x:c r="A347" t="str">
        <x:f>IF(MonthlyStats!A347="","",MonthlyStats!A347)</x:f>
      </x:c>
      <x:c r="B347" t="str">
        <x:f>IF(MonthlyStats!A347="","",MonthlyStats!B347)</x:f>
      </x:c>
      <x:c r="C347" t="str">
        <x:f>IF(MonthlyStats!A347="","",MonthlyStats!E347)</x:f>
      </x:c>
      <x:c r="D347" t="str">
        <x:f>IF(MonthlyStats!A347="","",MonthlyStats!F347)</x:f>
      </x:c>
      <x:c r="E347" t="str">
        <x:f>IF(MonthlyStats!A347="","",MonthlyStats!G347)</x:f>
      </x:c>
      <x:c r="F347" t="str">
        <x:f>IF(MonthlyStats!A347="","",MonthlyStats!H347)</x:f>
      </x:c>
      <x:c r="G347" t="str">
        <x:f>IF(MonthlyStats!A347="","",MonthlyStats!I347)</x:f>
      </x:c>
      <x:c r="H347" t="str">
        <x:f>IF(MonthlyStats!A347="","",MonthlyStats!J347+MonthlyStats!K347)</x:f>
      </x:c>
      <x:c r="I347" t="str">
        <x:f>IF(MonthlyStats!A347="","",TEXT(MonthlyStats!O347,"₹#,##0")&amp;" public summary; "&amp;MonthlyStats!D347&amp;" cases")</x:f>
      </x:c>
      <x:c r="J347" t="str">
        <x:f>IF(MonthlyStats!A347="","","#")</x:f>
      </x:c>
      <x:c r="K347" t="str">
        <x:f>IF(MonthlyStats!A347="","",MonthlyStats!S347)</x:f>
      </x:c>
      <x:c r="L347" t="str">
        <x:f>IF(MonthlyStats!A347="","","Formula-linked")</x:f>
      </x:c>
    </x:row>
    <x:row r="348">
      <x:c r="A348" t="str">
        <x:f>IF(MonthlyStats!A348="","",MonthlyStats!A348)</x:f>
      </x:c>
      <x:c r="B348" t="str">
        <x:f>IF(MonthlyStats!A348="","",MonthlyStats!B348)</x:f>
      </x:c>
      <x:c r="C348" t="str">
        <x:f>IF(MonthlyStats!A348="","",MonthlyStats!E348)</x:f>
      </x:c>
      <x:c r="D348" t="str">
        <x:f>IF(MonthlyStats!A348="","",MonthlyStats!F348)</x:f>
      </x:c>
      <x:c r="E348" t="str">
        <x:f>IF(MonthlyStats!A348="","",MonthlyStats!G348)</x:f>
      </x:c>
      <x:c r="F348" t="str">
        <x:f>IF(MonthlyStats!A348="","",MonthlyStats!H348)</x:f>
      </x:c>
      <x:c r="G348" t="str">
        <x:f>IF(MonthlyStats!A348="","",MonthlyStats!I348)</x:f>
      </x:c>
      <x:c r="H348" t="str">
        <x:f>IF(MonthlyStats!A348="","",MonthlyStats!J348+MonthlyStats!K348)</x:f>
      </x:c>
      <x:c r="I348" t="str">
        <x:f>IF(MonthlyStats!A348="","",TEXT(MonthlyStats!O348,"₹#,##0")&amp;" public summary; "&amp;MonthlyStats!D348&amp;" cases")</x:f>
      </x:c>
      <x:c r="J348" t="str">
        <x:f>IF(MonthlyStats!A348="","","#")</x:f>
      </x:c>
      <x:c r="K348" t="str">
        <x:f>IF(MonthlyStats!A348="","",MonthlyStats!S348)</x:f>
      </x:c>
      <x:c r="L348" t="str">
        <x:f>IF(MonthlyStats!A348="","","Formula-linked")</x:f>
      </x:c>
    </x:row>
    <x:row r="349">
      <x:c r="A349" t="str">
        <x:f>IF(MonthlyStats!A349="","",MonthlyStats!A349)</x:f>
      </x:c>
      <x:c r="B349" t="str">
        <x:f>IF(MonthlyStats!A349="","",MonthlyStats!B349)</x:f>
      </x:c>
      <x:c r="C349" t="str">
        <x:f>IF(MonthlyStats!A349="","",MonthlyStats!E349)</x:f>
      </x:c>
      <x:c r="D349" t="str">
        <x:f>IF(MonthlyStats!A349="","",MonthlyStats!F349)</x:f>
      </x:c>
      <x:c r="E349" t="str">
        <x:f>IF(MonthlyStats!A349="","",MonthlyStats!G349)</x:f>
      </x:c>
      <x:c r="F349" t="str">
        <x:f>IF(MonthlyStats!A349="","",MonthlyStats!H349)</x:f>
      </x:c>
      <x:c r="G349" t="str">
        <x:f>IF(MonthlyStats!A349="","",MonthlyStats!I349)</x:f>
      </x:c>
      <x:c r="H349" t="str">
        <x:f>IF(MonthlyStats!A349="","",MonthlyStats!J349+MonthlyStats!K349)</x:f>
      </x:c>
      <x:c r="I349" t="str">
        <x:f>IF(MonthlyStats!A349="","",TEXT(MonthlyStats!O349,"₹#,##0")&amp;" public summary; "&amp;MonthlyStats!D349&amp;" cases")</x:f>
      </x:c>
      <x:c r="J349" t="str">
        <x:f>IF(MonthlyStats!A349="","","#")</x:f>
      </x:c>
      <x:c r="K349" t="str">
        <x:f>IF(MonthlyStats!A349="","",MonthlyStats!S349)</x:f>
      </x:c>
      <x:c r="L349" t="str">
        <x:f>IF(MonthlyStats!A349="","","Formula-linked")</x:f>
      </x:c>
    </x:row>
    <x:row r="350">
      <x:c r="A350" t="str">
        <x:f>IF(MonthlyStats!A350="","",MonthlyStats!A350)</x:f>
      </x:c>
      <x:c r="B350" t="str">
        <x:f>IF(MonthlyStats!A350="","",MonthlyStats!B350)</x:f>
      </x:c>
      <x:c r="C350" t="str">
        <x:f>IF(MonthlyStats!A350="","",MonthlyStats!E350)</x:f>
      </x:c>
      <x:c r="D350" t="str">
        <x:f>IF(MonthlyStats!A350="","",MonthlyStats!F350)</x:f>
      </x:c>
      <x:c r="E350" t="str">
        <x:f>IF(MonthlyStats!A350="","",MonthlyStats!G350)</x:f>
      </x:c>
      <x:c r="F350" t="str">
        <x:f>IF(MonthlyStats!A350="","",MonthlyStats!H350)</x:f>
      </x:c>
      <x:c r="G350" t="str">
        <x:f>IF(MonthlyStats!A350="","",MonthlyStats!I350)</x:f>
      </x:c>
      <x:c r="H350" t="str">
        <x:f>IF(MonthlyStats!A350="","",MonthlyStats!J350+MonthlyStats!K350)</x:f>
      </x:c>
      <x:c r="I350" t="str">
        <x:f>IF(MonthlyStats!A350="","",TEXT(MonthlyStats!O350,"₹#,##0")&amp;" public summary; "&amp;MonthlyStats!D350&amp;" cases")</x:f>
      </x:c>
      <x:c r="J350" t="str">
        <x:f>IF(MonthlyStats!A350="","","#")</x:f>
      </x:c>
      <x:c r="K350" t="str">
        <x:f>IF(MonthlyStats!A350="","",MonthlyStats!S350)</x:f>
      </x:c>
      <x:c r="L350" t="str">
        <x:f>IF(MonthlyStats!A350="","","Formula-linked")</x:f>
      </x:c>
    </x:row>
    <x:row r="351">
      <x:c r="A351" t="str">
        <x:f>IF(MonthlyStats!A351="","",MonthlyStats!A351)</x:f>
      </x:c>
      <x:c r="B351" t="str">
        <x:f>IF(MonthlyStats!A351="","",MonthlyStats!B351)</x:f>
      </x:c>
      <x:c r="C351" t="str">
        <x:f>IF(MonthlyStats!A351="","",MonthlyStats!E351)</x:f>
      </x:c>
      <x:c r="D351" t="str">
        <x:f>IF(MonthlyStats!A351="","",MonthlyStats!F351)</x:f>
      </x:c>
      <x:c r="E351" t="str">
        <x:f>IF(MonthlyStats!A351="","",MonthlyStats!G351)</x:f>
      </x:c>
      <x:c r="F351" t="str">
        <x:f>IF(MonthlyStats!A351="","",MonthlyStats!H351)</x:f>
      </x:c>
      <x:c r="G351" t="str">
        <x:f>IF(MonthlyStats!A351="","",MonthlyStats!I351)</x:f>
      </x:c>
      <x:c r="H351" t="str">
        <x:f>IF(MonthlyStats!A351="","",MonthlyStats!J351+MonthlyStats!K351)</x:f>
      </x:c>
      <x:c r="I351" t="str">
        <x:f>IF(MonthlyStats!A351="","",TEXT(MonthlyStats!O351,"₹#,##0")&amp;" public summary; "&amp;MonthlyStats!D351&amp;" cases")</x:f>
      </x:c>
      <x:c r="J351" t="str">
        <x:f>IF(MonthlyStats!A351="","","#")</x:f>
      </x:c>
      <x:c r="K351" t="str">
        <x:f>IF(MonthlyStats!A351="","",MonthlyStats!S351)</x:f>
      </x:c>
      <x:c r="L351" t="str">
        <x:f>IF(MonthlyStats!A351="","","Formula-linked")</x:f>
      </x:c>
    </x:row>
    <x:row r="352">
      <x:c r="A352" t="str">
        <x:f>IF(MonthlyStats!A352="","",MonthlyStats!A352)</x:f>
      </x:c>
      <x:c r="B352" t="str">
        <x:f>IF(MonthlyStats!A352="","",MonthlyStats!B352)</x:f>
      </x:c>
      <x:c r="C352" t="str">
        <x:f>IF(MonthlyStats!A352="","",MonthlyStats!E352)</x:f>
      </x:c>
      <x:c r="D352" t="str">
        <x:f>IF(MonthlyStats!A352="","",MonthlyStats!F352)</x:f>
      </x:c>
      <x:c r="E352" t="str">
        <x:f>IF(MonthlyStats!A352="","",MonthlyStats!G352)</x:f>
      </x:c>
      <x:c r="F352" t="str">
        <x:f>IF(MonthlyStats!A352="","",MonthlyStats!H352)</x:f>
      </x:c>
      <x:c r="G352" t="str">
        <x:f>IF(MonthlyStats!A352="","",MonthlyStats!I352)</x:f>
      </x:c>
      <x:c r="H352" t="str">
        <x:f>IF(MonthlyStats!A352="","",MonthlyStats!J352+MonthlyStats!K352)</x:f>
      </x:c>
      <x:c r="I352" t="str">
        <x:f>IF(MonthlyStats!A352="","",TEXT(MonthlyStats!O352,"₹#,##0")&amp;" public summary; "&amp;MonthlyStats!D352&amp;" cases")</x:f>
      </x:c>
      <x:c r="J352" t="str">
        <x:f>IF(MonthlyStats!A352="","","#")</x:f>
      </x:c>
      <x:c r="K352" t="str">
        <x:f>IF(MonthlyStats!A352="","",MonthlyStats!S352)</x:f>
      </x:c>
      <x:c r="L352" t="str">
        <x:f>IF(MonthlyStats!A352="","","Formula-linked")</x:f>
      </x:c>
    </x:row>
    <x:row r="353">
      <x:c r="A353" t="str">
        <x:f>IF(MonthlyStats!A353="","",MonthlyStats!A353)</x:f>
      </x:c>
      <x:c r="B353" t="str">
        <x:f>IF(MonthlyStats!A353="","",MonthlyStats!B353)</x:f>
      </x:c>
      <x:c r="C353" t="str">
        <x:f>IF(MonthlyStats!A353="","",MonthlyStats!E353)</x:f>
      </x:c>
      <x:c r="D353" t="str">
        <x:f>IF(MonthlyStats!A353="","",MonthlyStats!F353)</x:f>
      </x:c>
      <x:c r="E353" t="str">
        <x:f>IF(MonthlyStats!A353="","",MonthlyStats!G353)</x:f>
      </x:c>
      <x:c r="F353" t="str">
        <x:f>IF(MonthlyStats!A353="","",MonthlyStats!H353)</x:f>
      </x:c>
      <x:c r="G353" t="str">
        <x:f>IF(MonthlyStats!A353="","",MonthlyStats!I353)</x:f>
      </x:c>
      <x:c r="H353" t="str">
        <x:f>IF(MonthlyStats!A353="","",MonthlyStats!J353+MonthlyStats!K353)</x:f>
      </x:c>
      <x:c r="I353" t="str">
        <x:f>IF(MonthlyStats!A353="","",TEXT(MonthlyStats!O353,"₹#,##0")&amp;" public summary; "&amp;MonthlyStats!D353&amp;" cases")</x:f>
      </x:c>
      <x:c r="J353" t="str">
        <x:f>IF(MonthlyStats!A353="","","#")</x:f>
      </x:c>
      <x:c r="K353" t="str">
        <x:f>IF(MonthlyStats!A353="","",MonthlyStats!S353)</x:f>
      </x:c>
      <x:c r="L353" t="str">
        <x:f>IF(MonthlyStats!A353="","","Formula-linked")</x:f>
      </x:c>
    </x:row>
    <x:row r="354">
      <x:c r="A354" t="str">
        <x:f>IF(MonthlyStats!A354="","",MonthlyStats!A354)</x:f>
      </x:c>
      <x:c r="B354" t="str">
        <x:f>IF(MonthlyStats!A354="","",MonthlyStats!B354)</x:f>
      </x:c>
      <x:c r="C354" t="str">
        <x:f>IF(MonthlyStats!A354="","",MonthlyStats!E354)</x:f>
      </x:c>
      <x:c r="D354" t="str">
        <x:f>IF(MonthlyStats!A354="","",MonthlyStats!F354)</x:f>
      </x:c>
      <x:c r="E354" t="str">
        <x:f>IF(MonthlyStats!A354="","",MonthlyStats!G354)</x:f>
      </x:c>
      <x:c r="F354" t="str">
        <x:f>IF(MonthlyStats!A354="","",MonthlyStats!H354)</x:f>
      </x:c>
      <x:c r="G354" t="str">
        <x:f>IF(MonthlyStats!A354="","",MonthlyStats!I354)</x:f>
      </x:c>
      <x:c r="H354" t="str">
        <x:f>IF(MonthlyStats!A354="","",MonthlyStats!J354+MonthlyStats!K354)</x:f>
      </x:c>
      <x:c r="I354" t="str">
        <x:f>IF(MonthlyStats!A354="","",TEXT(MonthlyStats!O354,"₹#,##0")&amp;" public summary; "&amp;MonthlyStats!D354&amp;" cases")</x:f>
      </x:c>
      <x:c r="J354" t="str">
        <x:f>IF(MonthlyStats!A354="","","#")</x:f>
      </x:c>
      <x:c r="K354" t="str">
        <x:f>IF(MonthlyStats!A354="","",MonthlyStats!S354)</x:f>
      </x:c>
      <x:c r="L354" t="str">
        <x:f>IF(MonthlyStats!A354="","","Formula-linked")</x:f>
      </x:c>
    </x:row>
    <x:row r="355">
      <x:c r="A355" t="str">
        <x:f>IF(MonthlyStats!A355="","",MonthlyStats!A355)</x:f>
      </x:c>
      <x:c r="B355" t="str">
        <x:f>IF(MonthlyStats!A355="","",MonthlyStats!B355)</x:f>
      </x:c>
      <x:c r="C355" t="str">
        <x:f>IF(MonthlyStats!A355="","",MonthlyStats!E355)</x:f>
      </x:c>
      <x:c r="D355" t="str">
        <x:f>IF(MonthlyStats!A355="","",MonthlyStats!F355)</x:f>
      </x:c>
      <x:c r="E355" t="str">
        <x:f>IF(MonthlyStats!A355="","",MonthlyStats!G355)</x:f>
      </x:c>
      <x:c r="F355" t="str">
        <x:f>IF(MonthlyStats!A355="","",MonthlyStats!H355)</x:f>
      </x:c>
      <x:c r="G355" t="str">
        <x:f>IF(MonthlyStats!A355="","",MonthlyStats!I355)</x:f>
      </x:c>
      <x:c r="H355" t="str">
        <x:f>IF(MonthlyStats!A355="","",MonthlyStats!J355+MonthlyStats!K355)</x:f>
      </x:c>
      <x:c r="I355" t="str">
        <x:f>IF(MonthlyStats!A355="","",TEXT(MonthlyStats!O355,"₹#,##0")&amp;" public summary; "&amp;MonthlyStats!D355&amp;" cases")</x:f>
      </x:c>
      <x:c r="J355" t="str">
        <x:f>IF(MonthlyStats!A355="","","#")</x:f>
      </x:c>
      <x:c r="K355" t="str">
        <x:f>IF(MonthlyStats!A355="","",MonthlyStats!S355)</x:f>
      </x:c>
      <x:c r="L355" t="str">
        <x:f>IF(MonthlyStats!A355="","","Formula-linked")</x:f>
      </x:c>
    </x:row>
    <x:row r="356">
      <x:c r="A356" t="str">
        <x:f>IF(MonthlyStats!A356="","",MonthlyStats!A356)</x:f>
      </x:c>
      <x:c r="B356" t="str">
        <x:f>IF(MonthlyStats!A356="","",MonthlyStats!B356)</x:f>
      </x:c>
      <x:c r="C356" t="str">
        <x:f>IF(MonthlyStats!A356="","",MonthlyStats!E356)</x:f>
      </x:c>
      <x:c r="D356" t="str">
        <x:f>IF(MonthlyStats!A356="","",MonthlyStats!F356)</x:f>
      </x:c>
      <x:c r="E356" t="str">
        <x:f>IF(MonthlyStats!A356="","",MonthlyStats!G356)</x:f>
      </x:c>
      <x:c r="F356" t="str">
        <x:f>IF(MonthlyStats!A356="","",MonthlyStats!H356)</x:f>
      </x:c>
      <x:c r="G356" t="str">
        <x:f>IF(MonthlyStats!A356="","",MonthlyStats!I356)</x:f>
      </x:c>
      <x:c r="H356" t="str">
        <x:f>IF(MonthlyStats!A356="","",MonthlyStats!J356+MonthlyStats!K356)</x:f>
      </x:c>
      <x:c r="I356" t="str">
        <x:f>IF(MonthlyStats!A356="","",TEXT(MonthlyStats!O356,"₹#,##0")&amp;" public summary; "&amp;MonthlyStats!D356&amp;" cases")</x:f>
      </x:c>
      <x:c r="J356" t="str">
        <x:f>IF(MonthlyStats!A356="","","#")</x:f>
      </x:c>
      <x:c r="K356" t="str">
        <x:f>IF(MonthlyStats!A356="","",MonthlyStats!S356)</x:f>
      </x:c>
      <x:c r="L356" t="str">
        <x:f>IF(MonthlyStats!A356="","","Formula-linked")</x:f>
      </x:c>
    </x:row>
    <x:row r="357">
      <x:c r="A357" t="str">
        <x:f>IF(MonthlyStats!A357="","",MonthlyStats!A357)</x:f>
      </x:c>
      <x:c r="B357" t="str">
        <x:f>IF(MonthlyStats!A357="","",MonthlyStats!B357)</x:f>
      </x:c>
      <x:c r="C357" t="str">
        <x:f>IF(MonthlyStats!A357="","",MonthlyStats!E357)</x:f>
      </x:c>
      <x:c r="D357" t="str">
        <x:f>IF(MonthlyStats!A357="","",MonthlyStats!F357)</x:f>
      </x:c>
      <x:c r="E357" t="str">
        <x:f>IF(MonthlyStats!A357="","",MonthlyStats!G357)</x:f>
      </x:c>
      <x:c r="F357" t="str">
        <x:f>IF(MonthlyStats!A357="","",MonthlyStats!H357)</x:f>
      </x:c>
      <x:c r="G357" t="str">
        <x:f>IF(MonthlyStats!A357="","",MonthlyStats!I357)</x:f>
      </x:c>
      <x:c r="H357" t="str">
        <x:f>IF(MonthlyStats!A357="","",MonthlyStats!J357+MonthlyStats!K357)</x:f>
      </x:c>
      <x:c r="I357" t="str">
        <x:f>IF(MonthlyStats!A357="","",TEXT(MonthlyStats!O357,"₹#,##0")&amp;" public summary; "&amp;MonthlyStats!D357&amp;" cases")</x:f>
      </x:c>
      <x:c r="J357" t="str">
        <x:f>IF(MonthlyStats!A357="","","#")</x:f>
      </x:c>
      <x:c r="K357" t="str">
        <x:f>IF(MonthlyStats!A357="","",MonthlyStats!S357)</x:f>
      </x:c>
      <x:c r="L357" t="str">
        <x:f>IF(MonthlyStats!A357="","","Formula-linked")</x:f>
      </x:c>
    </x:row>
    <x:row r="358">
      <x:c r="A358" t="str">
        <x:f>IF(MonthlyStats!A358="","",MonthlyStats!A358)</x:f>
      </x:c>
      <x:c r="B358" t="str">
        <x:f>IF(MonthlyStats!A358="","",MonthlyStats!B358)</x:f>
      </x:c>
      <x:c r="C358" t="str">
        <x:f>IF(MonthlyStats!A358="","",MonthlyStats!E358)</x:f>
      </x:c>
      <x:c r="D358" t="str">
        <x:f>IF(MonthlyStats!A358="","",MonthlyStats!F358)</x:f>
      </x:c>
      <x:c r="E358" t="str">
        <x:f>IF(MonthlyStats!A358="","",MonthlyStats!G358)</x:f>
      </x:c>
      <x:c r="F358" t="str">
        <x:f>IF(MonthlyStats!A358="","",MonthlyStats!H358)</x:f>
      </x:c>
      <x:c r="G358" t="str">
        <x:f>IF(MonthlyStats!A358="","",MonthlyStats!I358)</x:f>
      </x:c>
      <x:c r="H358" t="str">
        <x:f>IF(MonthlyStats!A358="","",MonthlyStats!J358+MonthlyStats!K358)</x:f>
      </x:c>
      <x:c r="I358" t="str">
        <x:f>IF(MonthlyStats!A358="","",TEXT(MonthlyStats!O358,"₹#,##0")&amp;" public summary; "&amp;MonthlyStats!D358&amp;" cases")</x:f>
      </x:c>
      <x:c r="J358" t="str">
        <x:f>IF(MonthlyStats!A358="","","#")</x:f>
      </x:c>
      <x:c r="K358" t="str">
        <x:f>IF(MonthlyStats!A358="","",MonthlyStats!S358)</x:f>
      </x:c>
      <x:c r="L358" t="str">
        <x:f>IF(MonthlyStats!A358="","","Formula-linked")</x:f>
      </x:c>
    </x:row>
    <x:row r="359">
      <x:c r="A359" t="str">
        <x:f>IF(MonthlyStats!A359="","",MonthlyStats!A359)</x:f>
      </x:c>
      <x:c r="B359" t="str">
        <x:f>IF(MonthlyStats!A359="","",MonthlyStats!B359)</x:f>
      </x:c>
      <x:c r="C359" t="str">
        <x:f>IF(MonthlyStats!A359="","",MonthlyStats!E359)</x:f>
      </x:c>
      <x:c r="D359" t="str">
        <x:f>IF(MonthlyStats!A359="","",MonthlyStats!F359)</x:f>
      </x:c>
      <x:c r="E359" t="str">
        <x:f>IF(MonthlyStats!A359="","",MonthlyStats!G359)</x:f>
      </x:c>
      <x:c r="F359" t="str">
        <x:f>IF(MonthlyStats!A359="","",MonthlyStats!H359)</x:f>
      </x:c>
      <x:c r="G359" t="str">
        <x:f>IF(MonthlyStats!A359="","",MonthlyStats!I359)</x:f>
      </x:c>
      <x:c r="H359" t="str">
        <x:f>IF(MonthlyStats!A359="","",MonthlyStats!J359+MonthlyStats!K359)</x:f>
      </x:c>
      <x:c r="I359" t="str">
        <x:f>IF(MonthlyStats!A359="","",TEXT(MonthlyStats!O359,"₹#,##0")&amp;" public summary; "&amp;MonthlyStats!D359&amp;" cases")</x:f>
      </x:c>
      <x:c r="J359" t="str">
        <x:f>IF(MonthlyStats!A359="","","#")</x:f>
      </x:c>
      <x:c r="K359" t="str">
        <x:f>IF(MonthlyStats!A359="","",MonthlyStats!S359)</x:f>
      </x:c>
      <x:c r="L359" t="str">
        <x:f>IF(MonthlyStats!A359="","","Formula-linked")</x:f>
      </x:c>
    </x:row>
    <x:row r="360">
      <x:c r="A360" t="str">
        <x:f>IF(MonthlyStats!A360="","",MonthlyStats!A360)</x:f>
      </x:c>
      <x:c r="B360" t="str">
        <x:f>IF(MonthlyStats!A360="","",MonthlyStats!B360)</x:f>
      </x:c>
      <x:c r="C360" t="str">
        <x:f>IF(MonthlyStats!A360="","",MonthlyStats!E360)</x:f>
      </x:c>
      <x:c r="D360" t="str">
        <x:f>IF(MonthlyStats!A360="","",MonthlyStats!F360)</x:f>
      </x:c>
      <x:c r="E360" t="str">
        <x:f>IF(MonthlyStats!A360="","",MonthlyStats!G360)</x:f>
      </x:c>
      <x:c r="F360" t="str">
        <x:f>IF(MonthlyStats!A360="","",MonthlyStats!H360)</x:f>
      </x:c>
      <x:c r="G360" t="str">
        <x:f>IF(MonthlyStats!A360="","",MonthlyStats!I360)</x:f>
      </x:c>
      <x:c r="H360" t="str">
        <x:f>IF(MonthlyStats!A360="","",MonthlyStats!J360+MonthlyStats!K360)</x:f>
      </x:c>
      <x:c r="I360" t="str">
        <x:f>IF(MonthlyStats!A360="","",TEXT(MonthlyStats!O360,"₹#,##0")&amp;" public summary; "&amp;MonthlyStats!D360&amp;" cases")</x:f>
      </x:c>
      <x:c r="J360" t="str">
        <x:f>IF(MonthlyStats!A360="","","#")</x:f>
      </x:c>
      <x:c r="K360" t="str">
        <x:f>IF(MonthlyStats!A360="","",MonthlyStats!S360)</x:f>
      </x:c>
      <x:c r="L360" t="str">
        <x:f>IF(MonthlyStats!A360="","","Formula-linked")</x:f>
      </x:c>
    </x:row>
    <x:row r="361">
      <x:c r="A361" t="str">
        <x:f>IF(MonthlyStats!A361="","",MonthlyStats!A361)</x:f>
      </x:c>
      <x:c r="B361" t="str">
        <x:f>IF(MonthlyStats!A361="","",MonthlyStats!B361)</x:f>
      </x:c>
      <x:c r="C361" t="str">
        <x:f>IF(MonthlyStats!A361="","",MonthlyStats!E361)</x:f>
      </x:c>
      <x:c r="D361" t="str">
        <x:f>IF(MonthlyStats!A361="","",MonthlyStats!F361)</x:f>
      </x:c>
      <x:c r="E361" t="str">
        <x:f>IF(MonthlyStats!A361="","",MonthlyStats!G361)</x:f>
      </x:c>
      <x:c r="F361" t="str">
        <x:f>IF(MonthlyStats!A361="","",MonthlyStats!H361)</x:f>
      </x:c>
      <x:c r="G361" t="str">
        <x:f>IF(MonthlyStats!A361="","",MonthlyStats!I361)</x:f>
      </x:c>
      <x:c r="H361" t="str">
        <x:f>IF(MonthlyStats!A361="","",MonthlyStats!J361+MonthlyStats!K361)</x:f>
      </x:c>
      <x:c r="I361" t="str">
        <x:f>IF(MonthlyStats!A361="","",TEXT(MonthlyStats!O361,"₹#,##0")&amp;" public summary; "&amp;MonthlyStats!D361&amp;" cases")</x:f>
      </x:c>
      <x:c r="J361" t="str">
        <x:f>IF(MonthlyStats!A361="","","#")</x:f>
      </x:c>
      <x:c r="K361" t="str">
        <x:f>IF(MonthlyStats!A361="","",MonthlyStats!S361)</x:f>
      </x:c>
      <x:c r="L361" t="str">
        <x:f>IF(MonthlyStats!A361="","","Formula-linked")</x:f>
      </x:c>
    </x:row>
    <x:row r="362">
      <x:c r="A362" t="str">
        <x:f>IF(MonthlyStats!A362="","",MonthlyStats!A362)</x:f>
      </x:c>
      <x:c r="B362" t="str">
        <x:f>IF(MonthlyStats!A362="","",MonthlyStats!B362)</x:f>
      </x:c>
      <x:c r="C362" t="str">
        <x:f>IF(MonthlyStats!A362="","",MonthlyStats!E362)</x:f>
      </x:c>
      <x:c r="D362" t="str">
        <x:f>IF(MonthlyStats!A362="","",MonthlyStats!F362)</x:f>
      </x:c>
      <x:c r="E362" t="str">
        <x:f>IF(MonthlyStats!A362="","",MonthlyStats!G362)</x:f>
      </x:c>
      <x:c r="F362" t="str">
        <x:f>IF(MonthlyStats!A362="","",MonthlyStats!H362)</x:f>
      </x:c>
      <x:c r="G362" t="str">
        <x:f>IF(MonthlyStats!A362="","",MonthlyStats!I362)</x:f>
      </x:c>
      <x:c r="H362" t="str">
        <x:f>IF(MonthlyStats!A362="","",MonthlyStats!J362+MonthlyStats!K362)</x:f>
      </x:c>
      <x:c r="I362" t="str">
        <x:f>IF(MonthlyStats!A362="","",TEXT(MonthlyStats!O362,"₹#,##0")&amp;" public summary; "&amp;MonthlyStats!D362&amp;" cases")</x:f>
      </x:c>
      <x:c r="J362" t="str">
        <x:f>IF(MonthlyStats!A362="","","#")</x:f>
      </x:c>
      <x:c r="K362" t="str">
        <x:f>IF(MonthlyStats!A362="","",MonthlyStats!S362)</x:f>
      </x:c>
      <x:c r="L362" t="str">
        <x:f>IF(MonthlyStats!A362="","","Formula-linked")</x:f>
      </x:c>
    </x:row>
    <x:row r="363">
      <x:c r="A363" t="str">
        <x:f>IF(MonthlyStats!A363="","",MonthlyStats!A363)</x:f>
      </x:c>
      <x:c r="B363" t="str">
        <x:f>IF(MonthlyStats!A363="","",MonthlyStats!B363)</x:f>
      </x:c>
      <x:c r="C363" t="str">
        <x:f>IF(MonthlyStats!A363="","",MonthlyStats!E363)</x:f>
      </x:c>
      <x:c r="D363" t="str">
        <x:f>IF(MonthlyStats!A363="","",MonthlyStats!F363)</x:f>
      </x:c>
      <x:c r="E363" t="str">
        <x:f>IF(MonthlyStats!A363="","",MonthlyStats!G363)</x:f>
      </x:c>
      <x:c r="F363" t="str">
        <x:f>IF(MonthlyStats!A363="","",MonthlyStats!H363)</x:f>
      </x:c>
      <x:c r="G363" t="str">
        <x:f>IF(MonthlyStats!A363="","",MonthlyStats!I363)</x:f>
      </x:c>
      <x:c r="H363" t="str">
        <x:f>IF(MonthlyStats!A363="","",MonthlyStats!J363+MonthlyStats!K363)</x:f>
      </x:c>
      <x:c r="I363" t="str">
        <x:f>IF(MonthlyStats!A363="","",TEXT(MonthlyStats!O363,"₹#,##0")&amp;" public summary; "&amp;MonthlyStats!D363&amp;" cases")</x:f>
      </x:c>
      <x:c r="J363" t="str">
        <x:f>IF(MonthlyStats!A363="","","#")</x:f>
      </x:c>
      <x:c r="K363" t="str">
        <x:f>IF(MonthlyStats!A363="","",MonthlyStats!S363)</x:f>
      </x:c>
      <x:c r="L363" t="str">
        <x:f>IF(MonthlyStats!A363="","","Formula-linked")</x:f>
      </x:c>
    </x:row>
    <x:row r="364">
      <x:c r="A364" t="str">
        <x:f>IF(MonthlyStats!A364="","",MonthlyStats!A364)</x:f>
      </x:c>
      <x:c r="B364" t="str">
        <x:f>IF(MonthlyStats!A364="","",MonthlyStats!B364)</x:f>
      </x:c>
      <x:c r="C364" t="str">
        <x:f>IF(MonthlyStats!A364="","",MonthlyStats!E364)</x:f>
      </x:c>
      <x:c r="D364" t="str">
        <x:f>IF(MonthlyStats!A364="","",MonthlyStats!F364)</x:f>
      </x:c>
      <x:c r="E364" t="str">
        <x:f>IF(MonthlyStats!A364="","",MonthlyStats!G364)</x:f>
      </x:c>
      <x:c r="F364" t="str">
        <x:f>IF(MonthlyStats!A364="","",MonthlyStats!H364)</x:f>
      </x:c>
      <x:c r="G364" t="str">
        <x:f>IF(MonthlyStats!A364="","",MonthlyStats!I364)</x:f>
      </x:c>
      <x:c r="H364" t="str">
        <x:f>IF(MonthlyStats!A364="","",MonthlyStats!J364+MonthlyStats!K364)</x:f>
      </x:c>
      <x:c r="I364" t="str">
        <x:f>IF(MonthlyStats!A364="","",TEXT(MonthlyStats!O364,"₹#,##0")&amp;" public summary; "&amp;MonthlyStats!D364&amp;" cases")</x:f>
      </x:c>
      <x:c r="J364" t="str">
        <x:f>IF(MonthlyStats!A364="","","#")</x:f>
      </x:c>
      <x:c r="K364" t="str">
        <x:f>IF(MonthlyStats!A364="","",MonthlyStats!S364)</x:f>
      </x:c>
      <x:c r="L364" t="str">
        <x:f>IF(MonthlyStats!A364="","","Formula-linked")</x:f>
      </x:c>
    </x:row>
    <x:row r="365">
      <x:c r="A365" t="str">
        <x:f>IF(MonthlyStats!A365="","",MonthlyStats!A365)</x:f>
      </x:c>
      <x:c r="B365" t="str">
        <x:f>IF(MonthlyStats!A365="","",MonthlyStats!B365)</x:f>
      </x:c>
      <x:c r="C365" t="str">
        <x:f>IF(MonthlyStats!A365="","",MonthlyStats!E365)</x:f>
      </x:c>
      <x:c r="D365" t="str">
        <x:f>IF(MonthlyStats!A365="","",MonthlyStats!F365)</x:f>
      </x:c>
      <x:c r="E365" t="str">
        <x:f>IF(MonthlyStats!A365="","",MonthlyStats!G365)</x:f>
      </x:c>
      <x:c r="F365" t="str">
        <x:f>IF(MonthlyStats!A365="","",MonthlyStats!H365)</x:f>
      </x:c>
      <x:c r="G365" t="str">
        <x:f>IF(MonthlyStats!A365="","",MonthlyStats!I365)</x:f>
      </x:c>
      <x:c r="H365" t="str">
        <x:f>IF(MonthlyStats!A365="","",MonthlyStats!J365+MonthlyStats!K365)</x:f>
      </x:c>
      <x:c r="I365" t="str">
        <x:f>IF(MonthlyStats!A365="","",TEXT(MonthlyStats!O365,"₹#,##0")&amp;" public summary; "&amp;MonthlyStats!D365&amp;" cases")</x:f>
      </x:c>
      <x:c r="J365" t="str">
        <x:f>IF(MonthlyStats!A365="","","#")</x:f>
      </x:c>
      <x:c r="K365" t="str">
        <x:f>IF(MonthlyStats!A365="","",MonthlyStats!S365)</x:f>
      </x:c>
      <x:c r="L365" t="str">
        <x:f>IF(MonthlyStats!A365="","","Formula-linked")</x:f>
      </x:c>
    </x:row>
    <x:row r="366">
      <x:c r="A366" t="str">
        <x:f>IF(MonthlyStats!A366="","",MonthlyStats!A366)</x:f>
      </x:c>
      <x:c r="B366" t="str">
        <x:f>IF(MonthlyStats!A366="","",MonthlyStats!B366)</x:f>
      </x:c>
      <x:c r="C366" t="str">
        <x:f>IF(MonthlyStats!A366="","",MonthlyStats!E366)</x:f>
      </x:c>
      <x:c r="D366" t="str">
        <x:f>IF(MonthlyStats!A366="","",MonthlyStats!F366)</x:f>
      </x:c>
      <x:c r="E366" t="str">
        <x:f>IF(MonthlyStats!A366="","",MonthlyStats!G366)</x:f>
      </x:c>
      <x:c r="F366" t="str">
        <x:f>IF(MonthlyStats!A366="","",MonthlyStats!H366)</x:f>
      </x:c>
      <x:c r="G366" t="str">
        <x:f>IF(MonthlyStats!A366="","",MonthlyStats!I366)</x:f>
      </x:c>
      <x:c r="H366" t="str">
        <x:f>IF(MonthlyStats!A366="","",MonthlyStats!J366+MonthlyStats!K366)</x:f>
      </x:c>
      <x:c r="I366" t="str">
        <x:f>IF(MonthlyStats!A366="","",TEXT(MonthlyStats!O366,"₹#,##0")&amp;" public summary; "&amp;MonthlyStats!D366&amp;" cases")</x:f>
      </x:c>
      <x:c r="J366" t="str">
        <x:f>IF(MonthlyStats!A366="","","#")</x:f>
      </x:c>
      <x:c r="K366" t="str">
        <x:f>IF(MonthlyStats!A366="","",MonthlyStats!S366)</x:f>
      </x:c>
      <x:c r="L366" t="str">
        <x:f>IF(MonthlyStats!A366="","","Formula-linked")</x:f>
      </x:c>
    </x:row>
    <x:row r="367">
      <x:c r="A367" t="str">
        <x:f>IF(MonthlyStats!A367="","",MonthlyStats!A367)</x:f>
      </x:c>
      <x:c r="B367" t="str">
        <x:f>IF(MonthlyStats!A367="","",MonthlyStats!B367)</x:f>
      </x:c>
      <x:c r="C367" t="str">
        <x:f>IF(MonthlyStats!A367="","",MonthlyStats!E367)</x:f>
      </x:c>
      <x:c r="D367" t="str">
        <x:f>IF(MonthlyStats!A367="","",MonthlyStats!F367)</x:f>
      </x:c>
      <x:c r="E367" t="str">
        <x:f>IF(MonthlyStats!A367="","",MonthlyStats!G367)</x:f>
      </x:c>
      <x:c r="F367" t="str">
        <x:f>IF(MonthlyStats!A367="","",MonthlyStats!H367)</x:f>
      </x:c>
      <x:c r="G367" t="str">
        <x:f>IF(MonthlyStats!A367="","",MonthlyStats!I367)</x:f>
      </x:c>
      <x:c r="H367" t="str">
        <x:f>IF(MonthlyStats!A367="","",MonthlyStats!J367+MonthlyStats!K367)</x:f>
      </x:c>
      <x:c r="I367" t="str">
        <x:f>IF(MonthlyStats!A367="","",TEXT(MonthlyStats!O367,"₹#,##0")&amp;" public summary; "&amp;MonthlyStats!D367&amp;" cases")</x:f>
      </x:c>
      <x:c r="J367" t="str">
        <x:f>IF(MonthlyStats!A367="","","#")</x:f>
      </x:c>
      <x:c r="K367" t="str">
        <x:f>IF(MonthlyStats!A367="","",MonthlyStats!S367)</x:f>
      </x:c>
      <x:c r="L367" t="str">
        <x:f>IF(MonthlyStats!A367="","","Formula-linked")</x:f>
      </x:c>
    </x:row>
    <x:row r="368">
      <x:c r="A368" t="str">
        <x:f>IF(MonthlyStats!A368="","",MonthlyStats!A368)</x:f>
      </x:c>
      <x:c r="B368" t="str">
        <x:f>IF(MonthlyStats!A368="","",MonthlyStats!B368)</x:f>
      </x:c>
      <x:c r="C368" t="str">
        <x:f>IF(MonthlyStats!A368="","",MonthlyStats!E368)</x:f>
      </x:c>
      <x:c r="D368" t="str">
        <x:f>IF(MonthlyStats!A368="","",MonthlyStats!F368)</x:f>
      </x:c>
      <x:c r="E368" t="str">
        <x:f>IF(MonthlyStats!A368="","",MonthlyStats!G368)</x:f>
      </x:c>
      <x:c r="F368" t="str">
        <x:f>IF(MonthlyStats!A368="","",MonthlyStats!H368)</x:f>
      </x:c>
      <x:c r="G368" t="str">
        <x:f>IF(MonthlyStats!A368="","",MonthlyStats!I368)</x:f>
      </x:c>
      <x:c r="H368" t="str">
        <x:f>IF(MonthlyStats!A368="","",MonthlyStats!J368+MonthlyStats!K368)</x:f>
      </x:c>
      <x:c r="I368" t="str">
        <x:f>IF(MonthlyStats!A368="","",TEXT(MonthlyStats!O368,"₹#,##0")&amp;" public summary; "&amp;MonthlyStats!D368&amp;" cases")</x:f>
      </x:c>
      <x:c r="J368" t="str">
        <x:f>IF(MonthlyStats!A368="","","#")</x:f>
      </x:c>
      <x:c r="K368" t="str">
        <x:f>IF(MonthlyStats!A368="","",MonthlyStats!S368)</x:f>
      </x:c>
      <x:c r="L368" t="str">
        <x:f>IF(MonthlyStats!A368="","","Formula-linked")</x:f>
      </x:c>
    </x:row>
    <x:row r="369">
      <x:c r="A369" t="str">
        <x:f>IF(MonthlyStats!A369="","",MonthlyStats!A369)</x:f>
      </x:c>
      <x:c r="B369" t="str">
        <x:f>IF(MonthlyStats!A369="","",MonthlyStats!B369)</x:f>
      </x:c>
      <x:c r="C369" t="str">
        <x:f>IF(MonthlyStats!A369="","",MonthlyStats!E369)</x:f>
      </x:c>
      <x:c r="D369" t="str">
        <x:f>IF(MonthlyStats!A369="","",MonthlyStats!F369)</x:f>
      </x:c>
      <x:c r="E369" t="str">
        <x:f>IF(MonthlyStats!A369="","",MonthlyStats!G369)</x:f>
      </x:c>
      <x:c r="F369" t="str">
        <x:f>IF(MonthlyStats!A369="","",MonthlyStats!H369)</x:f>
      </x:c>
      <x:c r="G369" t="str">
        <x:f>IF(MonthlyStats!A369="","",MonthlyStats!I369)</x:f>
      </x:c>
      <x:c r="H369" t="str">
        <x:f>IF(MonthlyStats!A369="","",MonthlyStats!J369+MonthlyStats!K369)</x:f>
      </x:c>
      <x:c r="I369" t="str">
        <x:f>IF(MonthlyStats!A369="","",TEXT(MonthlyStats!O369,"₹#,##0")&amp;" public summary; "&amp;MonthlyStats!D369&amp;" cases")</x:f>
      </x:c>
      <x:c r="J369" t="str">
        <x:f>IF(MonthlyStats!A369="","","#")</x:f>
      </x:c>
      <x:c r="K369" t="str">
        <x:f>IF(MonthlyStats!A369="","",MonthlyStats!S369)</x:f>
      </x:c>
      <x:c r="L369" t="str">
        <x:f>IF(MonthlyStats!A369="","","Formula-linked")</x:f>
      </x:c>
    </x:row>
    <x:row r="370">
      <x:c r="A370" t="str">
        <x:f>IF(MonthlyStats!A370="","",MonthlyStats!A370)</x:f>
      </x:c>
      <x:c r="B370" t="str">
        <x:f>IF(MonthlyStats!A370="","",MonthlyStats!B370)</x:f>
      </x:c>
      <x:c r="C370" t="str">
        <x:f>IF(MonthlyStats!A370="","",MonthlyStats!E370)</x:f>
      </x:c>
      <x:c r="D370" t="str">
        <x:f>IF(MonthlyStats!A370="","",MonthlyStats!F370)</x:f>
      </x:c>
      <x:c r="E370" t="str">
        <x:f>IF(MonthlyStats!A370="","",MonthlyStats!G370)</x:f>
      </x:c>
      <x:c r="F370" t="str">
        <x:f>IF(MonthlyStats!A370="","",MonthlyStats!H370)</x:f>
      </x:c>
      <x:c r="G370" t="str">
        <x:f>IF(MonthlyStats!A370="","",MonthlyStats!I370)</x:f>
      </x:c>
      <x:c r="H370" t="str">
        <x:f>IF(MonthlyStats!A370="","",MonthlyStats!J370+MonthlyStats!K370)</x:f>
      </x:c>
      <x:c r="I370" t="str">
        <x:f>IF(MonthlyStats!A370="","",TEXT(MonthlyStats!O370,"₹#,##0")&amp;" public summary; "&amp;MonthlyStats!D370&amp;" cases")</x:f>
      </x:c>
      <x:c r="J370" t="str">
        <x:f>IF(MonthlyStats!A370="","","#")</x:f>
      </x:c>
      <x:c r="K370" t="str">
        <x:f>IF(MonthlyStats!A370="","",MonthlyStats!S370)</x:f>
      </x:c>
      <x:c r="L370" t="str">
        <x:f>IF(MonthlyStats!A370="","","Formula-linked")</x:f>
      </x:c>
    </x:row>
    <x:row r="371">
      <x:c r="A371" t="str">
        <x:f>IF(MonthlyStats!A371="","",MonthlyStats!A371)</x:f>
      </x:c>
      <x:c r="B371" t="str">
        <x:f>IF(MonthlyStats!A371="","",MonthlyStats!B371)</x:f>
      </x:c>
      <x:c r="C371" t="str">
        <x:f>IF(MonthlyStats!A371="","",MonthlyStats!E371)</x:f>
      </x:c>
      <x:c r="D371" t="str">
        <x:f>IF(MonthlyStats!A371="","",MonthlyStats!F371)</x:f>
      </x:c>
      <x:c r="E371" t="str">
        <x:f>IF(MonthlyStats!A371="","",MonthlyStats!G371)</x:f>
      </x:c>
      <x:c r="F371" t="str">
        <x:f>IF(MonthlyStats!A371="","",MonthlyStats!H371)</x:f>
      </x:c>
      <x:c r="G371" t="str">
        <x:f>IF(MonthlyStats!A371="","",MonthlyStats!I371)</x:f>
      </x:c>
      <x:c r="H371" t="str">
        <x:f>IF(MonthlyStats!A371="","",MonthlyStats!J371+MonthlyStats!K371)</x:f>
      </x:c>
      <x:c r="I371" t="str">
        <x:f>IF(MonthlyStats!A371="","",TEXT(MonthlyStats!O371,"₹#,##0")&amp;" public summary; "&amp;MonthlyStats!D371&amp;" cases")</x:f>
      </x:c>
      <x:c r="J371" t="str">
        <x:f>IF(MonthlyStats!A371="","","#")</x:f>
      </x:c>
      <x:c r="K371" t="str">
        <x:f>IF(MonthlyStats!A371="","",MonthlyStats!S371)</x:f>
      </x:c>
      <x:c r="L371" t="str">
        <x:f>IF(MonthlyStats!A371="","","Formula-linked")</x:f>
      </x:c>
    </x:row>
    <x:row r="372">
      <x:c r="A372" t="str">
        <x:f>IF(MonthlyStats!A372="","",MonthlyStats!A372)</x:f>
      </x:c>
      <x:c r="B372" t="str">
        <x:f>IF(MonthlyStats!A372="","",MonthlyStats!B372)</x:f>
      </x:c>
      <x:c r="C372" t="str">
        <x:f>IF(MonthlyStats!A372="","",MonthlyStats!E372)</x:f>
      </x:c>
      <x:c r="D372" t="str">
        <x:f>IF(MonthlyStats!A372="","",MonthlyStats!F372)</x:f>
      </x:c>
      <x:c r="E372" t="str">
        <x:f>IF(MonthlyStats!A372="","",MonthlyStats!G372)</x:f>
      </x:c>
      <x:c r="F372" t="str">
        <x:f>IF(MonthlyStats!A372="","",MonthlyStats!H372)</x:f>
      </x:c>
      <x:c r="G372" t="str">
        <x:f>IF(MonthlyStats!A372="","",MonthlyStats!I372)</x:f>
      </x:c>
      <x:c r="H372" t="str">
        <x:f>IF(MonthlyStats!A372="","",MonthlyStats!J372+MonthlyStats!K372)</x:f>
      </x:c>
      <x:c r="I372" t="str">
        <x:f>IF(MonthlyStats!A372="","",TEXT(MonthlyStats!O372,"₹#,##0")&amp;" public summary; "&amp;MonthlyStats!D372&amp;" cases")</x:f>
      </x:c>
      <x:c r="J372" t="str">
        <x:f>IF(MonthlyStats!A372="","","#")</x:f>
      </x:c>
      <x:c r="K372" t="str">
        <x:f>IF(MonthlyStats!A372="","",MonthlyStats!S372)</x:f>
      </x:c>
      <x:c r="L372" t="str">
        <x:f>IF(MonthlyStats!A372="","","Formula-linked")</x:f>
      </x:c>
    </x:row>
    <x:row r="373">
      <x:c r="A373" t="str">
        <x:f>IF(MonthlyStats!A373="","",MonthlyStats!A373)</x:f>
      </x:c>
      <x:c r="B373" t="str">
        <x:f>IF(MonthlyStats!A373="","",MonthlyStats!B373)</x:f>
      </x:c>
      <x:c r="C373" t="str">
        <x:f>IF(MonthlyStats!A373="","",MonthlyStats!E373)</x:f>
      </x:c>
      <x:c r="D373" t="str">
        <x:f>IF(MonthlyStats!A373="","",MonthlyStats!F373)</x:f>
      </x:c>
      <x:c r="E373" t="str">
        <x:f>IF(MonthlyStats!A373="","",MonthlyStats!G373)</x:f>
      </x:c>
      <x:c r="F373" t="str">
        <x:f>IF(MonthlyStats!A373="","",MonthlyStats!H373)</x:f>
      </x:c>
      <x:c r="G373" t="str">
        <x:f>IF(MonthlyStats!A373="","",MonthlyStats!I373)</x:f>
      </x:c>
      <x:c r="H373" t="str">
        <x:f>IF(MonthlyStats!A373="","",MonthlyStats!J373+MonthlyStats!K373)</x:f>
      </x:c>
      <x:c r="I373" t="str">
        <x:f>IF(MonthlyStats!A373="","",TEXT(MonthlyStats!O373,"₹#,##0")&amp;" public summary; "&amp;MonthlyStats!D373&amp;" cases")</x:f>
      </x:c>
      <x:c r="J373" t="str">
        <x:f>IF(MonthlyStats!A373="","","#")</x:f>
      </x:c>
      <x:c r="K373" t="str">
        <x:f>IF(MonthlyStats!A373="","",MonthlyStats!S373)</x:f>
      </x:c>
      <x:c r="L373" t="str">
        <x:f>IF(MonthlyStats!A373="","","Formula-linked")</x:f>
      </x:c>
    </x:row>
    <x:row r="374">
      <x:c r="A374" t="str">
        <x:f>IF(MonthlyStats!A374="","",MonthlyStats!A374)</x:f>
      </x:c>
      <x:c r="B374" t="str">
        <x:f>IF(MonthlyStats!A374="","",MonthlyStats!B374)</x:f>
      </x:c>
      <x:c r="C374" t="str">
        <x:f>IF(MonthlyStats!A374="","",MonthlyStats!E374)</x:f>
      </x:c>
      <x:c r="D374" t="str">
        <x:f>IF(MonthlyStats!A374="","",MonthlyStats!F374)</x:f>
      </x:c>
      <x:c r="E374" t="str">
        <x:f>IF(MonthlyStats!A374="","",MonthlyStats!G374)</x:f>
      </x:c>
      <x:c r="F374" t="str">
        <x:f>IF(MonthlyStats!A374="","",MonthlyStats!H374)</x:f>
      </x:c>
      <x:c r="G374" t="str">
        <x:f>IF(MonthlyStats!A374="","",MonthlyStats!I374)</x:f>
      </x:c>
      <x:c r="H374" t="str">
        <x:f>IF(MonthlyStats!A374="","",MonthlyStats!J374+MonthlyStats!K374)</x:f>
      </x:c>
      <x:c r="I374" t="str">
        <x:f>IF(MonthlyStats!A374="","",TEXT(MonthlyStats!O374,"₹#,##0")&amp;" public summary; "&amp;MonthlyStats!D374&amp;" cases")</x:f>
      </x:c>
      <x:c r="J374" t="str">
        <x:f>IF(MonthlyStats!A374="","","#")</x:f>
      </x:c>
      <x:c r="K374" t="str">
        <x:f>IF(MonthlyStats!A374="","",MonthlyStats!S374)</x:f>
      </x:c>
      <x:c r="L374" t="str">
        <x:f>IF(MonthlyStats!A374="","","Formula-linked")</x:f>
      </x:c>
    </x:row>
    <x:row r="375">
      <x:c r="A375" t="str">
        <x:f>IF(MonthlyStats!A375="","",MonthlyStats!A375)</x:f>
      </x:c>
      <x:c r="B375" t="str">
        <x:f>IF(MonthlyStats!A375="","",MonthlyStats!B375)</x:f>
      </x:c>
      <x:c r="C375" t="str">
        <x:f>IF(MonthlyStats!A375="","",MonthlyStats!E375)</x:f>
      </x:c>
      <x:c r="D375" t="str">
        <x:f>IF(MonthlyStats!A375="","",MonthlyStats!F375)</x:f>
      </x:c>
      <x:c r="E375" t="str">
        <x:f>IF(MonthlyStats!A375="","",MonthlyStats!G375)</x:f>
      </x:c>
      <x:c r="F375" t="str">
        <x:f>IF(MonthlyStats!A375="","",MonthlyStats!H375)</x:f>
      </x:c>
      <x:c r="G375" t="str">
        <x:f>IF(MonthlyStats!A375="","",MonthlyStats!I375)</x:f>
      </x:c>
      <x:c r="H375" t="str">
        <x:f>IF(MonthlyStats!A375="","",MonthlyStats!J375+MonthlyStats!K375)</x:f>
      </x:c>
      <x:c r="I375" t="str">
        <x:f>IF(MonthlyStats!A375="","",TEXT(MonthlyStats!O375,"₹#,##0")&amp;" public summary; "&amp;MonthlyStats!D375&amp;" cases")</x:f>
      </x:c>
      <x:c r="J375" t="str">
        <x:f>IF(MonthlyStats!A375="","","#")</x:f>
      </x:c>
      <x:c r="K375" t="str">
        <x:f>IF(MonthlyStats!A375="","",MonthlyStats!S375)</x:f>
      </x:c>
      <x:c r="L375" t="str">
        <x:f>IF(MonthlyStats!A375="","","Formula-linked")</x:f>
      </x:c>
    </x:row>
    <x:row r="376">
      <x:c r="A376" t="str">
        <x:f>IF(MonthlyStats!A376="","",MonthlyStats!A376)</x:f>
      </x:c>
      <x:c r="B376" t="str">
        <x:f>IF(MonthlyStats!A376="","",MonthlyStats!B376)</x:f>
      </x:c>
      <x:c r="C376" t="str">
        <x:f>IF(MonthlyStats!A376="","",MonthlyStats!E376)</x:f>
      </x:c>
      <x:c r="D376" t="str">
        <x:f>IF(MonthlyStats!A376="","",MonthlyStats!F376)</x:f>
      </x:c>
      <x:c r="E376" t="str">
        <x:f>IF(MonthlyStats!A376="","",MonthlyStats!G376)</x:f>
      </x:c>
      <x:c r="F376" t="str">
        <x:f>IF(MonthlyStats!A376="","",MonthlyStats!H376)</x:f>
      </x:c>
      <x:c r="G376" t="str">
        <x:f>IF(MonthlyStats!A376="","",MonthlyStats!I376)</x:f>
      </x:c>
      <x:c r="H376" t="str">
        <x:f>IF(MonthlyStats!A376="","",MonthlyStats!J376+MonthlyStats!K376)</x:f>
      </x:c>
      <x:c r="I376" t="str">
        <x:f>IF(MonthlyStats!A376="","",TEXT(MonthlyStats!O376,"₹#,##0")&amp;" public summary; "&amp;MonthlyStats!D376&amp;" cases")</x:f>
      </x:c>
      <x:c r="J376" t="str">
        <x:f>IF(MonthlyStats!A376="","","#")</x:f>
      </x:c>
      <x:c r="K376" t="str">
        <x:f>IF(MonthlyStats!A376="","",MonthlyStats!S376)</x:f>
      </x:c>
      <x:c r="L376" t="str">
        <x:f>IF(MonthlyStats!A376="","","Formula-linked")</x:f>
      </x:c>
    </x:row>
    <x:row r="377">
      <x:c r="A377" t="str">
        <x:f>IF(MonthlyStats!A377="","",MonthlyStats!A377)</x:f>
      </x:c>
      <x:c r="B377" t="str">
        <x:f>IF(MonthlyStats!A377="","",MonthlyStats!B377)</x:f>
      </x:c>
      <x:c r="C377" t="str">
        <x:f>IF(MonthlyStats!A377="","",MonthlyStats!E377)</x:f>
      </x:c>
      <x:c r="D377" t="str">
        <x:f>IF(MonthlyStats!A377="","",MonthlyStats!F377)</x:f>
      </x:c>
      <x:c r="E377" t="str">
        <x:f>IF(MonthlyStats!A377="","",MonthlyStats!G377)</x:f>
      </x:c>
      <x:c r="F377" t="str">
        <x:f>IF(MonthlyStats!A377="","",MonthlyStats!H377)</x:f>
      </x:c>
      <x:c r="G377" t="str">
        <x:f>IF(MonthlyStats!A377="","",MonthlyStats!I377)</x:f>
      </x:c>
      <x:c r="H377" t="str">
        <x:f>IF(MonthlyStats!A377="","",MonthlyStats!J377+MonthlyStats!K377)</x:f>
      </x:c>
      <x:c r="I377" t="str">
        <x:f>IF(MonthlyStats!A377="","",TEXT(MonthlyStats!O377,"₹#,##0")&amp;" public summary; "&amp;MonthlyStats!D377&amp;" cases")</x:f>
      </x:c>
      <x:c r="J377" t="str">
        <x:f>IF(MonthlyStats!A377="","","#")</x:f>
      </x:c>
      <x:c r="K377" t="str">
        <x:f>IF(MonthlyStats!A377="","",MonthlyStats!S377)</x:f>
      </x:c>
      <x:c r="L377" t="str">
        <x:f>IF(MonthlyStats!A377="","","Formula-linked")</x:f>
      </x:c>
    </x:row>
    <x:row r="378">
      <x:c r="A378" t="str">
        <x:f>IF(MonthlyStats!A378="","",MonthlyStats!A378)</x:f>
      </x:c>
      <x:c r="B378" t="str">
        <x:f>IF(MonthlyStats!A378="","",MonthlyStats!B378)</x:f>
      </x:c>
      <x:c r="C378" t="str">
        <x:f>IF(MonthlyStats!A378="","",MonthlyStats!E378)</x:f>
      </x:c>
      <x:c r="D378" t="str">
        <x:f>IF(MonthlyStats!A378="","",MonthlyStats!F378)</x:f>
      </x:c>
      <x:c r="E378" t="str">
        <x:f>IF(MonthlyStats!A378="","",MonthlyStats!G378)</x:f>
      </x:c>
      <x:c r="F378" t="str">
        <x:f>IF(MonthlyStats!A378="","",MonthlyStats!H378)</x:f>
      </x:c>
      <x:c r="G378" t="str">
        <x:f>IF(MonthlyStats!A378="","",MonthlyStats!I378)</x:f>
      </x:c>
      <x:c r="H378" t="str">
        <x:f>IF(MonthlyStats!A378="","",MonthlyStats!J378+MonthlyStats!K378)</x:f>
      </x:c>
      <x:c r="I378" t="str">
        <x:f>IF(MonthlyStats!A378="","",TEXT(MonthlyStats!O378,"₹#,##0")&amp;" public summary; "&amp;MonthlyStats!D378&amp;" cases")</x:f>
      </x:c>
      <x:c r="J378" t="str">
        <x:f>IF(MonthlyStats!A378="","","#")</x:f>
      </x:c>
      <x:c r="K378" t="str">
        <x:f>IF(MonthlyStats!A378="","",MonthlyStats!S378)</x:f>
      </x:c>
      <x:c r="L378" t="str">
        <x:f>IF(MonthlyStats!A378="","","Formula-linked")</x:f>
      </x:c>
    </x:row>
    <x:row r="379">
      <x:c r="A379" t="str">
        <x:f>IF(MonthlyStats!A379="","",MonthlyStats!A379)</x:f>
      </x:c>
      <x:c r="B379" t="str">
        <x:f>IF(MonthlyStats!A379="","",MonthlyStats!B379)</x:f>
      </x:c>
      <x:c r="C379" t="str">
        <x:f>IF(MonthlyStats!A379="","",MonthlyStats!E379)</x:f>
      </x:c>
      <x:c r="D379" t="str">
        <x:f>IF(MonthlyStats!A379="","",MonthlyStats!F379)</x:f>
      </x:c>
      <x:c r="E379" t="str">
        <x:f>IF(MonthlyStats!A379="","",MonthlyStats!G379)</x:f>
      </x:c>
      <x:c r="F379" t="str">
        <x:f>IF(MonthlyStats!A379="","",MonthlyStats!H379)</x:f>
      </x:c>
      <x:c r="G379" t="str">
        <x:f>IF(MonthlyStats!A379="","",MonthlyStats!I379)</x:f>
      </x:c>
      <x:c r="H379" t="str">
        <x:f>IF(MonthlyStats!A379="","",MonthlyStats!J379+MonthlyStats!K379)</x:f>
      </x:c>
      <x:c r="I379" t="str">
        <x:f>IF(MonthlyStats!A379="","",TEXT(MonthlyStats!O379,"₹#,##0")&amp;" public summary; "&amp;MonthlyStats!D379&amp;" cases")</x:f>
      </x:c>
      <x:c r="J379" t="str">
        <x:f>IF(MonthlyStats!A379="","","#")</x:f>
      </x:c>
      <x:c r="K379" t="str">
        <x:f>IF(MonthlyStats!A379="","",MonthlyStats!S379)</x:f>
      </x:c>
      <x:c r="L379" t="str">
        <x:f>IF(MonthlyStats!A379="","","Formula-linked")</x:f>
      </x:c>
    </x:row>
    <x:row r="380">
      <x:c r="A380" t="str">
        <x:f>IF(MonthlyStats!A380="","",MonthlyStats!A380)</x:f>
      </x:c>
      <x:c r="B380" t="str">
        <x:f>IF(MonthlyStats!A380="","",MonthlyStats!B380)</x:f>
      </x:c>
      <x:c r="C380" t="str">
        <x:f>IF(MonthlyStats!A380="","",MonthlyStats!E380)</x:f>
      </x:c>
      <x:c r="D380" t="str">
        <x:f>IF(MonthlyStats!A380="","",MonthlyStats!F380)</x:f>
      </x:c>
      <x:c r="E380" t="str">
        <x:f>IF(MonthlyStats!A380="","",MonthlyStats!G380)</x:f>
      </x:c>
      <x:c r="F380" t="str">
        <x:f>IF(MonthlyStats!A380="","",MonthlyStats!H380)</x:f>
      </x:c>
      <x:c r="G380" t="str">
        <x:f>IF(MonthlyStats!A380="","",MonthlyStats!I380)</x:f>
      </x:c>
      <x:c r="H380" t="str">
        <x:f>IF(MonthlyStats!A380="","",MonthlyStats!J380+MonthlyStats!K380)</x:f>
      </x:c>
      <x:c r="I380" t="str">
        <x:f>IF(MonthlyStats!A380="","",TEXT(MonthlyStats!O380,"₹#,##0")&amp;" public summary; "&amp;MonthlyStats!D380&amp;" cases")</x:f>
      </x:c>
      <x:c r="J380" t="str">
        <x:f>IF(MonthlyStats!A380="","","#")</x:f>
      </x:c>
      <x:c r="K380" t="str">
        <x:f>IF(MonthlyStats!A380="","",MonthlyStats!S380)</x:f>
      </x:c>
      <x:c r="L380" t="str">
        <x:f>IF(MonthlyStats!A380="","","Formula-linked")</x:f>
      </x:c>
    </x:row>
    <x:row r="381">
      <x:c r="A381" t="str">
        <x:f>IF(MonthlyStats!A381="","",MonthlyStats!A381)</x:f>
      </x:c>
      <x:c r="B381" t="str">
        <x:f>IF(MonthlyStats!A381="","",MonthlyStats!B381)</x:f>
      </x:c>
      <x:c r="C381" t="str">
        <x:f>IF(MonthlyStats!A381="","",MonthlyStats!E381)</x:f>
      </x:c>
      <x:c r="D381" t="str">
        <x:f>IF(MonthlyStats!A381="","",MonthlyStats!F381)</x:f>
      </x:c>
      <x:c r="E381" t="str">
        <x:f>IF(MonthlyStats!A381="","",MonthlyStats!G381)</x:f>
      </x:c>
      <x:c r="F381" t="str">
        <x:f>IF(MonthlyStats!A381="","",MonthlyStats!H381)</x:f>
      </x:c>
      <x:c r="G381" t="str">
        <x:f>IF(MonthlyStats!A381="","",MonthlyStats!I381)</x:f>
      </x:c>
      <x:c r="H381" t="str">
        <x:f>IF(MonthlyStats!A381="","",MonthlyStats!J381+MonthlyStats!K381)</x:f>
      </x:c>
      <x:c r="I381" t="str">
        <x:f>IF(MonthlyStats!A381="","",TEXT(MonthlyStats!O381,"₹#,##0")&amp;" public summary; "&amp;MonthlyStats!D381&amp;" cases")</x:f>
      </x:c>
      <x:c r="J381" t="str">
        <x:f>IF(MonthlyStats!A381="","","#")</x:f>
      </x:c>
      <x:c r="K381" t="str">
        <x:f>IF(MonthlyStats!A381="","",MonthlyStats!S381)</x:f>
      </x:c>
      <x:c r="L381" t="str">
        <x:f>IF(MonthlyStats!A381="","","Formula-linked")</x:f>
      </x:c>
    </x:row>
    <x:row r="382">
      <x:c r="A382" t="str">
        <x:f>IF(MonthlyStats!A382="","",MonthlyStats!A382)</x:f>
      </x:c>
      <x:c r="B382" t="str">
        <x:f>IF(MonthlyStats!A382="","",MonthlyStats!B382)</x:f>
      </x:c>
      <x:c r="C382" t="str">
        <x:f>IF(MonthlyStats!A382="","",MonthlyStats!E382)</x:f>
      </x:c>
      <x:c r="D382" t="str">
        <x:f>IF(MonthlyStats!A382="","",MonthlyStats!F382)</x:f>
      </x:c>
      <x:c r="E382" t="str">
        <x:f>IF(MonthlyStats!A382="","",MonthlyStats!G382)</x:f>
      </x:c>
      <x:c r="F382" t="str">
        <x:f>IF(MonthlyStats!A382="","",MonthlyStats!H382)</x:f>
      </x:c>
      <x:c r="G382" t="str">
        <x:f>IF(MonthlyStats!A382="","",MonthlyStats!I382)</x:f>
      </x:c>
      <x:c r="H382" t="str">
        <x:f>IF(MonthlyStats!A382="","",MonthlyStats!J382+MonthlyStats!K382)</x:f>
      </x:c>
      <x:c r="I382" t="str">
        <x:f>IF(MonthlyStats!A382="","",TEXT(MonthlyStats!O382,"₹#,##0")&amp;" public summary; "&amp;MonthlyStats!D382&amp;" cases")</x:f>
      </x:c>
      <x:c r="J382" t="str">
        <x:f>IF(MonthlyStats!A382="","","#")</x:f>
      </x:c>
      <x:c r="K382" t="str">
        <x:f>IF(MonthlyStats!A382="","",MonthlyStats!S382)</x:f>
      </x:c>
      <x:c r="L382" t="str">
        <x:f>IF(MonthlyStats!A382="","","Formula-linked")</x:f>
      </x:c>
    </x:row>
    <x:row r="383">
      <x:c r="A383" t="str">
        <x:f>IF(MonthlyStats!A383="","",MonthlyStats!A383)</x:f>
      </x:c>
      <x:c r="B383" t="str">
        <x:f>IF(MonthlyStats!A383="","",MonthlyStats!B383)</x:f>
      </x:c>
      <x:c r="C383" t="str">
        <x:f>IF(MonthlyStats!A383="","",MonthlyStats!E383)</x:f>
      </x:c>
      <x:c r="D383" t="str">
        <x:f>IF(MonthlyStats!A383="","",MonthlyStats!F383)</x:f>
      </x:c>
      <x:c r="E383" t="str">
        <x:f>IF(MonthlyStats!A383="","",MonthlyStats!G383)</x:f>
      </x:c>
      <x:c r="F383" t="str">
        <x:f>IF(MonthlyStats!A383="","",MonthlyStats!H383)</x:f>
      </x:c>
      <x:c r="G383" t="str">
        <x:f>IF(MonthlyStats!A383="","",MonthlyStats!I383)</x:f>
      </x:c>
      <x:c r="H383" t="str">
        <x:f>IF(MonthlyStats!A383="","",MonthlyStats!J383+MonthlyStats!K383)</x:f>
      </x:c>
      <x:c r="I383" t="str">
        <x:f>IF(MonthlyStats!A383="","",TEXT(MonthlyStats!O383,"₹#,##0")&amp;" public summary; "&amp;MonthlyStats!D383&amp;" cases")</x:f>
      </x:c>
      <x:c r="J383" t="str">
        <x:f>IF(MonthlyStats!A383="","","#")</x:f>
      </x:c>
      <x:c r="K383" t="str">
        <x:f>IF(MonthlyStats!A383="","",MonthlyStats!S383)</x:f>
      </x:c>
      <x:c r="L383" t="str">
        <x:f>IF(MonthlyStats!A383="","","Formula-linked")</x:f>
      </x:c>
    </x:row>
    <x:row r="384">
      <x:c r="A384" t="str">
        <x:f>IF(MonthlyStats!A384="","",MonthlyStats!A384)</x:f>
      </x:c>
      <x:c r="B384" t="str">
        <x:f>IF(MonthlyStats!A384="","",MonthlyStats!B384)</x:f>
      </x:c>
      <x:c r="C384" t="str">
        <x:f>IF(MonthlyStats!A384="","",MonthlyStats!E384)</x:f>
      </x:c>
      <x:c r="D384" t="str">
        <x:f>IF(MonthlyStats!A384="","",MonthlyStats!F384)</x:f>
      </x:c>
      <x:c r="E384" t="str">
        <x:f>IF(MonthlyStats!A384="","",MonthlyStats!G384)</x:f>
      </x:c>
      <x:c r="F384" t="str">
        <x:f>IF(MonthlyStats!A384="","",MonthlyStats!H384)</x:f>
      </x:c>
      <x:c r="G384" t="str">
        <x:f>IF(MonthlyStats!A384="","",MonthlyStats!I384)</x:f>
      </x:c>
      <x:c r="H384" t="str">
        <x:f>IF(MonthlyStats!A384="","",MonthlyStats!J384+MonthlyStats!K384)</x:f>
      </x:c>
      <x:c r="I384" t="str">
        <x:f>IF(MonthlyStats!A384="","",TEXT(MonthlyStats!O384,"₹#,##0")&amp;" public summary; "&amp;MonthlyStats!D384&amp;" cases")</x:f>
      </x:c>
      <x:c r="J384" t="str">
        <x:f>IF(MonthlyStats!A384="","","#")</x:f>
      </x:c>
      <x:c r="K384" t="str">
        <x:f>IF(MonthlyStats!A384="","",MonthlyStats!S384)</x:f>
      </x:c>
      <x:c r="L384" t="str">
        <x:f>IF(MonthlyStats!A384="","","Formula-linked")</x:f>
      </x:c>
    </x:row>
    <x:row r="385">
      <x:c r="A385" t="str">
        <x:f>IF(MonthlyStats!A385="","",MonthlyStats!A385)</x:f>
      </x:c>
      <x:c r="B385" t="str">
        <x:f>IF(MonthlyStats!A385="","",MonthlyStats!B385)</x:f>
      </x:c>
      <x:c r="C385" t="str">
        <x:f>IF(MonthlyStats!A385="","",MonthlyStats!E385)</x:f>
      </x:c>
      <x:c r="D385" t="str">
        <x:f>IF(MonthlyStats!A385="","",MonthlyStats!F385)</x:f>
      </x:c>
      <x:c r="E385" t="str">
        <x:f>IF(MonthlyStats!A385="","",MonthlyStats!G385)</x:f>
      </x:c>
      <x:c r="F385" t="str">
        <x:f>IF(MonthlyStats!A385="","",MonthlyStats!H385)</x:f>
      </x:c>
      <x:c r="G385" t="str">
        <x:f>IF(MonthlyStats!A385="","",MonthlyStats!I385)</x:f>
      </x:c>
      <x:c r="H385" t="str">
        <x:f>IF(MonthlyStats!A385="","",MonthlyStats!J385+MonthlyStats!K385)</x:f>
      </x:c>
      <x:c r="I385" t="str">
        <x:f>IF(MonthlyStats!A385="","",TEXT(MonthlyStats!O385,"₹#,##0")&amp;" public summary; "&amp;MonthlyStats!D385&amp;" cases")</x:f>
      </x:c>
      <x:c r="J385" t="str">
        <x:f>IF(MonthlyStats!A385="","","#")</x:f>
      </x:c>
      <x:c r="K385" t="str">
        <x:f>IF(MonthlyStats!A385="","",MonthlyStats!S385)</x:f>
      </x:c>
      <x:c r="L385" t="str">
        <x:f>IF(MonthlyStats!A385="","","Formula-linked")</x:f>
      </x:c>
    </x:row>
    <x:row r="386">
      <x:c r="A386" t="str">
        <x:f>IF(MonthlyStats!A386="","",MonthlyStats!A386)</x:f>
      </x:c>
      <x:c r="B386" t="str">
        <x:f>IF(MonthlyStats!A386="","",MonthlyStats!B386)</x:f>
      </x:c>
      <x:c r="C386" t="str">
        <x:f>IF(MonthlyStats!A386="","",MonthlyStats!E386)</x:f>
      </x:c>
      <x:c r="D386" t="str">
        <x:f>IF(MonthlyStats!A386="","",MonthlyStats!F386)</x:f>
      </x:c>
      <x:c r="E386" t="str">
        <x:f>IF(MonthlyStats!A386="","",MonthlyStats!G386)</x:f>
      </x:c>
      <x:c r="F386" t="str">
        <x:f>IF(MonthlyStats!A386="","",MonthlyStats!H386)</x:f>
      </x:c>
      <x:c r="G386" t="str">
        <x:f>IF(MonthlyStats!A386="","",MonthlyStats!I386)</x:f>
      </x:c>
      <x:c r="H386" t="str">
        <x:f>IF(MonthlyStats!A386="","",MonthlyStats!J386+MonthlyStats!K386)</x:f>
      </x:c>
      <x:c r="I386" t="str">
        <x:f>IF(MonthlyStats!A386="","",TEXT(MonthlyStats!O386,"₹#,##0")&amp;" public summary; "&amp;MonthlyStats!D386&amp;" cases")</x:f>
      </x:c>
      <x:c r="J386" t="str">
        <x:f>IF(MonthlyStats!A386="","","#")</x:f>
      </x:c>
      <x:c r="K386" t="str">
        <x:f>IF(MonthlyStats!A386="","",MonthlyStats!S386)</x:f>
      </x:c>
      <x:c r="L386" t="str">
        <x:f>IF(MonthlyStats!A386="","","Formula-linked")</x:f>
      </x:c>
    </x:row>
    <x:row r="387">
      <x:c r="A387" t="str">
        <x:f>IF(MonthlyStats!A387="","",MonthlyStats!A387)</x:f>
      </x:c>
      <x:c r="B387" t="str">
        <x:f>IF(MonthlyStats!A387="","",MonthlyStats!B387)</x:f>
      </x:c>
      <x:c r="C387" t="str">
        <x:f>IF(MonthlyStats!A387="","",MonthlyStats!E387)</x:f>
      </x:c>
      <x:c r="D387" t="str">
        <x:f>IF(MonthlyStats!A387="","",MonthlyStats!F387)</x:f>
      </x:c>
      <x:c r="E387" t="str">
        <x:f>IF(MonthlyStats!A387="","",MonthlyStats!G387)</x:f>
      </x:c>
      <x:c r="F387" t="str">
        <x:f>IF(MonthlyStats!A387="","",MonthlyStats!H387)</x:f>
      </x:c>
      <x:c r="G387" t="str">
        <x:f>IF(MonthlyStats!A387="","",MonthlyStats!I387)</x:f>
      </x:c>
      <x:c r="H387" t="str">
        <x:f>IF(MonthlyStats!A387="","",MonthlyStats!J387+MonthlyStats!K387)</x:f>
      </x:c>
      <x:c r="I387" t="str">
        <x:f>IF(MonthlyStats!A387="","",TEXT(MonthlyStats!O387,"₹#,##0")&amp;" public summary; "&amp;MonthlyStats!D387&amp;" cases")</x:f>
      </x:c>
      <x:c r="J387" t="str">
        <x:f>IF(MonthlyStats!A387="","","#")</x:f>
      </x:c>
      <x:c r="K387" t="str">
        <x:f>IF(MonthlyStats!A387="","",MonthlyStats!S387)</x:f>
      </x:c>
      <x:c r="L387" t="str">
        <x:f>IF(MonthlyStats!A387="","","Formula-linked")</x:f>
      </x:c>
    </x:row>
    <x:row r="388">
      <x:c r="A388" t="str">
        <x:f>IF(MonthlyStats!A388="","",MonthlyStats!A388)</x:f>
      </x:c>
      <x:c r="B388" t="str">
        <x:f>IF(MonthlyStats!A388="","",MonthlyStats!B388)</x:f>
      </x:c>
      <x:c r="C388" t="str">
        <x:f>IF(MonthlyStats!A388="","",MonthlyStats!E388)</x:f>
      </x:c>
      <x:c r="D388" t="str">
        <x:f>IF(MonthlyStats!A388="","",MonthlyStats!F388)</x:f>
      </x:c>
      <x:c r="E388" t="str">
        <x:f>IF(MonthlyStats!A388="","",MonthlyStats!G388)</x:f>
      </x:c>
      <x:c r="F388" t="str">
        <x:f>IF(MonthlyStats!A388="","",MonthlyStats!H388)</x:f>
      </x:c>
      <x:c r="G388" t="str">
        <x:f>IF(MonthlyStats!A388="","",MonthlyStats!I388)</x:f>
      </x:c>
      <x:c r="H388" t="str">
        <x:f>IF(MonthlyStats!A388="","",MonthlyStats!J388+MonthlyStats!K388)</x:f>
      </x:c>
      <x:c r="I388" t="str">
        <x:f>IF(MonthlyStats!A388="","",TEXT(MonthlyStats!O388,"₹#,##0")&amp;" public summary; "&amp;MonthlyStats!D388&amp;" cases")</x:f>
      </x:c>
      <x:c r="J388" t="str">
        <x:f>IF(MonthlyStats!A388="","","#")</x:f>
      </x:c>
      <x:c r="K388" t="str">
        <x:f>IF(MonthlyStats!A388="","",MonthlyStats!S388)</x:f>
      </x:c>
      <x:c r="L388" t="str">
        <x:f>IF(MonthlyStats!A388="","","Formula-linked")</x:f>
      </x:c>
    </x:row>
    <x:row r="389">
      <x:c r="A389" t="str">
        <x:f>IF(MonthlyStats!A389="","",MonthlyStats!A389)</x:f>
      </x:c>
      <x:c r="B389" t="str">
        <x:f>IF(MonthlyStats!A389="","",MonthlyStats!B389)</x:f>
      </x:c>
      <x:c r="C389" t="str">
        <x:f>IF(MonthlyStats!A389="","",MonthlyStats!E389)</x:f>
      </x:c>
      <x:c r="D389" t="str">
        <x:f>IF(MonthlyStats!A389="","",MonthlyStats!F389)</x:f>
      </x:c>
      <x:c r="E389" t="str">
        <x:f>IF(MonthlyStats!A389="","",MonthlyStats!G389)</x:f>
      </x:c>
      <x:c r="F389" t="str">
        <x:f>IF(MonthlyStats!A389="","",MonthlyStats!H389)</x:f>
      </x:c>
      <x:c r="G389" t="str">
        <x:f>IF(MonthlyStats!A389="","",MonthlyStats!I389)</x:f>
      </x:c>
      <x:c r="H389" t="str">
        <x:f>IF(MonthlyStats!A389="","",MonthlyStats!J389+MonthlyStats!K389)</x:f>
      </x:c>
      <x:c r="I389" t="str">
        <x:f>IF(MonthlyStats!A389="","",TEXT(MonthlyStats!O389,"₹#,##0")&amp;" public summary; "&amp;MonthlyStats!D389&amp;" cases")</x:f>
      </x:c>
      <x:c r="J389" t="str">
        <x:f>IF(MonthlyStats!A389="","","#")</x:f>
      </x:c>
      <x:c r="K389" t="str">
        <x:f>IF(MonthlyStats!A389="","",MonthlyStats!S389)</x:f>
      </x:c>
      <x:c r="L389" t="str">
        <x:f>IF(MonthlyStats!A389="","","Formula-linked")</x:f>
      </x:c>
    </x:row>
    <x:row r="390">
      <x:c r="A390" t="str">
        <x:f>IF(MonthlyStats!A390="","",MonthlyStats!A390)</x:f>
      </x:c>
      <x:c r="B390" t="str">
        <x:f>IF(MonthlyStats!A390="","",MonthlyStats!B390)</x:f>
      </x:c>
      <x:c r="C390" t="str">
        <x:f>IF(MonthlyStats!A390="","",MonthlyStats!E390)</x:f>
      </x:c>
      <x:c r="D390" t="str">
        <x:f>IF(MonthlyStats!A390="","",MonthlyStats!F390)</x:f>
      </x:c>
      <x:c r="E390" t="str">
        <x:f>IF(MonthlyStats!A390="","",MonthlyStats!G390)</x:f>
      </x:c>
      <x:c r="F390" t="str">
        <x:f>IF(MonthlyStats!A390="","",MonthlyStats!H390)</x:f>
      </x:c>
      <x:c r="G390" t="str">
        <x:f>IF(MonthlyStats!A390="","",MonthlyStats!I390)</x:f>
      </x:c>
      <x:c r="H390" t="str">
        <x:f>IF(MonthlyStats!A390="","",MonthlyStats!J390+MonthlyStats!K390)</x:f>
      </x:c>
      <x:c r="I390" t="str">
        <x:f>IF(MonthlyStats!A390="","",TEXT(MonthlyStats!O390,"₹#,##0")&amp;" public summary; "&amp;MonthlyStats!D390&amp;" cases")</x:f>
      </x:c>
      <x:c r="J390" t="str">
        <x:f>IF(MonthlyStats!A390="","","#")</x:f>
      </x:c>
      <x:c r="K390" t="str">
        <x:f>IF(MonthlyStats!A390="","",MonthlyStats!S390)</x:f>
      </x:c>
      <x:c r="L390" t="str">
        <x:f>IF(MonthlyStats!A390="","","Formula-linked")</x:f>
      </x:c>
    </x:row>
    <x:row r="391">
      <x:c r="A391" t="str">
        <x:f>IF(MonthlyStats!A391="","",MonthlyStats!A391)</x:f>
      </x:c>
      <x:c r="B391" t="str">
        <x:f>IF(MonthlyStats!A391="","",MonthlyStats!B391)</x:f>
      </x:c>
      <x:c r="C391" t="str">
        <x:f>IF(MonthlyStats!A391="","",MonthlyStats!E391)</x:f>
      </x:c>
      <x:c r="D391" t="str">
        <x:f>IF(MonthlyStats!A391="","",MonthlyStats!F391)</x:f>
      </x:c>
      <x:c r="E391" t="str">
        <x:f>IF(MonthlyStats!A391="","",MonthlyStats!G391)</x:f>
      </x:c>
      <x:c r="F391" t="str">
        <x:f>IF(MonthlyStats!A391="","",MonthlyStats!H391)</x:f>
      </x:c>
      <x:c r="G391" t="str">
        <x:f>IF(MonthlyStats!A391="","",MonthlyStats!I391)</x:f>
      </x:c>
      <x:c r="H391" t="str">
        <x:f>IF(MonthlyStats!A391="","",MonthlyStats!J391+MonthlyStats!K391)</x:f>
      </x:c>
      <x:c r="I391" t="str">
        <x:f>IF(MonthlyStats!A391="","",TEXT(MonthlyStats!O391,"₹#,##0")&amp;" public summary; "&amp;MonthlyStats!D391&amp;" cases")</x:f>
      </x:c>
      <x:c r="J391" t="str">
        <x:f>IF(MonthlyStats!A391="","","#")</x:f>
      </x:c>
      <x:c r="K391" t="str">
        <x:f>IF(MonthlyStats!A391="","",MonthlyStats!S391)</x:f>
      </x:c>
      <x:c r="L391" t="str">
        <x:f>IF(MonthlyStats!A391="","","Formula-linked")</x:f>
      </x:c>
    </x:row>
    <x:row r="392">
      <x:c r="A392" t="str">
        <x:f>IF(MonthlyStats!A392="","",MonthlyStats!A392)</x:f>
      </x:c>
      <x:c r="B392" t="str">
        <x:f>IF(MonthlyStats!A392="","",MonthlyStats!B392)</x:f>
      </x:c>
      <x:c r="C392" t="str">
        <x:f>IF(MonthlyStats!A392="","",MonthlyStats!E392)</x:f>
      </x:c>
      <x:c r="D392" t="str">
        <x:f>IF(MonthlyStats!A392="","",MonthlyStats!F392)</x:f>
      </x:c>
      <x:c r="E392" t="str">
        <x:f>IF(MonthlyStats!A392="","",MonthlyStats!G392)</x:f>
      </x:c>
      <x:c r="F392" t="str">
        <x:f>IF(MonthlyStats!A392="","",MonthlyStats!H392)</x:f>
      </x:c>
      <x:c r="G392" t="str">
        <x:f>IF(MonthlyStats!A392="","",MonthlyStats!I392)</x:f>
      </x:c>
      <x:c r="H392" t="str">
        <x:f>IF(MonthlyStats!A392="","",MonthlyStats!J392+MonthlyStats!K392)</x:f>
      </x:c>
      <x:c r="I392" t="str">
        <x:f>IF(MonthlyStats!A392="","",TEXT(MonthlyStats!O392,"₹#,##0")&amp;" public summary; "&amp;MonthlyStats!D392&amp;" cases")</x:f>
      </x:c>
      <x:c r="J392" t="str">
        <x:f>IF(MonthlyStats!A392="","","#")</x:f>
      </x:c>
      <x:c r="K392" t="str">
        <x:f>IF(MonthlyStats!A392="","",MonthlyStats!S392)</x:f>
      </x:c>
      <x:c r="L392" t="str">
        <x:f>IF(MonthlyStats!A392="","","Formula-linked")</x:f>
      </x:c>
    </x:row>
    <x:row r="393">
      <x:c r="A393" t="str">
        <x:f>IF(MonthlyStats!A393="","",MonthlyStats!A393)</x:f>
      </x:c>
      <x:c r="B393" t="str">
        <x:f>IF(MonthlyStats!A393="","",MonthlyStats!B393)</x:f>
      </x:c>
      <x:c r="C393" t="str">
        <x:f>IF(MonthlyStats!A393="","",MonthlyStats!E393)</x:f>
      </x:c>
      <x:c r="D393" t="str">
        <x:f>IF(MonthlyStats!A393="","",MonthlyStats!F393)</x:f>
      </x:c>
      <x:c r="E393" t="str">
        <x:f>IF(MonthlyStats!A393="","",MonthlyStats!G393)</x:f>
      </x:c>
      <x:c r="F393" t="str">
        <x:f>IF(MonthlyStats!A393="","",MonthlyStats!H393)</x:f>
      </x:c>
      <x:c r="G393" t="str">
        <x:f>IF(MonthlyStats!A393="","",MonthlyStats!I393)</x:f>
      </x:c>
      <x:c r="H393" t="str">
        <x:f>IF(MonthlyStats!A393="","",MonthlyStats!J393+MonthlyStats!K393)</x:f>
      </x:c>
      <x:c r="I393" t="str">
        <x:f>IF(MonthlyStats!A393="","",TEXT(MonthlyStats!O393,"₹#,##0")&amp;" public summary; "&amp;MonthlyStats!D393&amp;" cases")</x:f>
      </x:c>
      <x:c r="J393" t="str">
        <x:f>IF(MonthlyStats!A393="","","#")</x:f>
      </x:c>
      <x:c r="K393" t="str">
        <x:f>IF(MonthlyStats!A393="","",MonthlyStats!S393)</x:f>
      </x:c>
      <x:c r="L393" t="str">
        <x:f>IF(MonthlyStats!A393="","","Formula-linked")</x:f>
      </x:c>
    </x:row>
    <x:row r="394">
      <x:c r="A394" t="str">
        <x:f>IF(MonthlyStats!A394="","",MonthlyStats!A394)</x:f>
      </x:c>
      <x:c r="B394" t="str">
        <x:f>IF(MonthlyStats!A394="","",MonthlyStats!B394)</x:f>
      </x:c>
      <x:c r="C394" t="str">
        <x:f>IF(MonthlyStats!A394="","",MonthlyStats!E394)</x:f>
      </x:c>
      <x:c r="D394" t="str">
        <x:f>IF(MonthlyStats!A394="","",MonthlyStats!F394)</x:f>
      </x:c>
      <x:c r="E394" t="str">
        <x:f>IF(MonthlyStats!A394="","",MonthlyStats!G394)</x:f>
      </x:c>
      <x:c r="F394" t="str">
        <x:f>IF(MonthlyStats!A394="","",MonthlyStats!H394)</x:f>
      </x:c>
      <x:c r="G394" t="str">
        <x:f>IF(MonthlyStats!A394="","",MonthlyStats!I394)</x:f>
      </x:c>
      <x:c r="H394" t="str">
        <x:f>IF(MonthlyStats!A394="","",MonthlyStats!J394+MonthlyStats!K394)</x:f>
      </x:c>
      <x:c r="I394" t="str">
        <x:f>IF(MonthlyStats!A394="","",TEXT(MonthlyStats!O394,"₹#,##0")&amp;" public summary; "&amp;MonthlyStats!D394&amp;" cases")</x:f>
      </x:c>
      <x:c r="J394" t="str">
        <x:f>IF(MonthlyStats!A394="","","#")</x:f>
      </x:c>
      <x:c r="K394" t="str">
        <x:f>IF(MonthlyStats!A394="","",MonthlyStats!S394)</x:f>
      </x:c>
      <x:c r="L394" t="str">
        <x:f>IF(MonthlyStats!A394="","","Formula-linked")</x:f>
      </x:c>
    </x:row>
    <x:row r="395">
      <x:c r="A395" t="str">
        <x:f>IF(MonthlyStats!A395="","",MonthlyStats!A395)</x:f>
      </x:c>
      <x:c r="B395" t="str">
        <x:f>IF(MonthlyStats!A395="","",MonthlyStats!B395)</x:f>
      </x:c>
      <x:c r="C395" t="str">
        <x:f>IF(MonthlyStats!A395="","",MonthlyStats!E395)</x:f>
      </x:c>
      <x:c r="D395" t="str">
        <x:f>IF(MonthlyStats!A395="","",MonthlyStats!F395)</x:f>
      </x:c>
      <x:c r="E395" t="str">
        <x:f>IF(MonthlyStats!A395="","",MonthlyStats!G395)</x:f>
      </x:c>
      <x:c r="F395" t="str">
        <x:f>IF(MonthlyStats!A395="","",MonthlyStats!H395)</x:f>
      </x:c>
      <x:c r="G395" t="str">
        <x:f>IF(MonthlyStats!A395="","",MonthlyStats!I395)</x:f>
      </x:c>
      <x:c r="H395" t="str">
        <x:f>IF(MonthlyStats!A395="","",MonthlyStats!J395+MonthlyStats!K395)</x:f>
      </x:c>
      <x:c r="I395" t="str">
        <x:f>IF(MonthlyStats!A395="","",TEXT(MonthlyStats!O395,"₹#,##0")&amp;" public summary; "&amp;MonthlyStats!D395&amp;" cases")</x:f>
      </x:c>
      <x:c r="J395" t="str">
        <x:f>IF(MonthlyStats!A395="","","#")</x:f>
      </x:c>
      <x:c r="K395" t="str">
        <x:f>IF(MonthlyStats!A395="","",MonthlyStats!S395)</x:f>
      </x:c>
      <x:c r="L395" t="str">
        <x:f>IF(MonthlyStats!A395="","","Formula-linked")</x:f>
      </x:c>
    </x:row>
    <x:row r="396">
      <x:c r="A396" t="str">
        <x:f>IF(MonthlyStats!A396="","",MonthlyStats!A396)</x:f>
      </x:c>
      <x:c r="B396" t="str">
        <x:f>IF(MonthlyStats!A396="","",MonthlyStats!B396)</x:f>
      </x:c>
      <x:c r="C396" t="str">
        <x:f>IF(MonthlyStats!A396="","",MonthlyStats!E396)</x:f>
      </x:c>
      <x:c r="D396" t="str">
        <x:f>IF(MonthlyStats!A396="","",MonthlyStats!F396)</x:f>
      </x:c>
      <x:c r="E396" t="str">
        <x:f>IF(MonthlyStats!A396="","",MonthlyStats!G396)</x:f>
      </x:c>
      <x:c r="F396" t="str">
        <x:f>IF(MonthlyStats!A396="","",MonthlyStats!H396)</x:f>
      </x:c>
      <x:c r="G396" t="str">
        <x:f>IF(MonthlyStats!A396="","",MonthlyStats!I396)</x:f>
      </x:c>
      <x:c r="H396" t="str">
        <x:f>IF(MonthlyStats!A396="","",MonthlyStats!J396+MonthlyStats!K396)</x:f>
      </x:c>
      <x:c r="I396" t="str">
        <x:f>IF(MonthlyStats!A396="","",TEXT(MonthlyStats!O396,"₹#,##0")&amp;" public summary; "&amp;MonthlyStats!D396&amp;" cases")</x:f>
      </x:c>
      <x:c r="J396" t="str">
        <x:f>IF(MonthlyStats!A396="","","#")</x:f>
      </x:c>
      <x:c r="K396" t="str">
        <x:f>IF(MonthlyStats!A396="","",MonthlyStats!S396)</x:f>
      </x:c>
      <x:c r="L396" t="str">
        <x:f>IF(MonthlyStats!A396="","","Formula-linked")</x:f>
      </x:c>
    </x:row>
    <x:row r="397">
      <x:c r="A397" t="str">
        <x:f>IF(MonthlyStats!A397="","",MonthlyStats!A397)</x:f>
      </x:c>
      <x:c r="B397" t="str">
        <x:f>IF(MonthlyStats!A397="","",MonthlyStats!B397)</x:f>
      </x:c>
      <x:c r="C397" t="str">
        <x:f>IF(MonthlyStats!A397="","",MonthlyStats!E397)</x:f>
      </x:c>
      <x:c r="D397" t="str">
        <x:f>IF(MonthlyStats!A397="","",MonthlyStats!F397)</x:f>
      </x:c>
      <x:c r="E397" t="str">
        <x:f>IF(MonthlyStats!A397="","",MonthlyStats!G397)</x:f>
      </x:c>
      <x:c r="F397" t="str">
        <x:f>IF(MonthlyStats!A397="","",MonthlyStats!H397)</x:f>
      </x:c>
      <x:c r="G397" t="str">
        <x:f>IF(MonthlyStats!A397="","",MonthlyStats!I397)</x:f>
      </x:c>
      <x:c r="H397" t="str">
        <x:f>IF(MonthlyStats!A397="","",MonthlyStats!J397+MonthlyStats!K397)</x:f>
      </x:c>
      <x:c r="I397" t="str">
        <x:f>IF(MonthlyStats!A397="","",TEXT(MonthlyStats!O397,"₹#,##0")&amp;" public summary; "&amp;MonthlyStats!D397&amp;" cases")</x:f>
      </x:c>
      <x:c r="J397" t="str">
        <x:f>IF(MonthlyStats!A397="","","#")</x:f>
      </x:c>
      <x:c r="K397" t="str">
        <x:f>IF(MonthlyStats!A397="","",MonthlyStats!S397)</x:f>
      </x:c>
      <x:c r="L397" t="str">
        <x:f>IF(MonthlyStats!A397="","","Formula-linked")</x:f>
      </x:c>
    </x:row>
    <x:row r="398">
      <x:c r="A398" t="str">
        <x:f>IF(MonthlyStats!A398="","",MonthlyStats!A398)</x:f>
      </x:c>
      <x:c r="B398" t="str">
        <x:f>IF(MonthlyStats!A398="","",MonthlyStats!B398)</x:f>
      </x:c>
      <x:c r="C398" t="str">
        <x:f>IF(MonthlyStats!A398="","",MonthlyStats!E398)</x:f>
      </x:c>
      <x:c r="D398" t="str">
        <x:f>IF(MonthlyStats!A398="","",MonthlyStats!F398)</x:f>
      </x:c>
      <x:c r="E398" t="str">
        <x:f>IF(MonthlyStats!A398="","",MonthlyStats!G398)</x:f>
      </x:c>
      <x:c r="F398" t="str">
        <x:f>IF(MonthlyStats!A398="","",MonthlyStats!H398)</x:f>
      </x:c>
      <x:c r="G398" t="str">
        <x:f>IF(MonthlyStats!A398="","",MonthlyStats!I398)</x:f>
      </x:c>
      <x:c r="H398" t="str">
        <x:f>IF(MonthlyStats!A398="","",MonthlyStats!J398+MonthlyStats!K398)</x:f>
      </x:c>
      <x:c r="I398" t="str">
        <x:f>IF(MonthlyStats!A398="","",TEXT(MonthlyStats!O398,"₹#,##0")&amp;" public summary; "&amp;MonthlyStats!D398&amp;" cases")</x:f>
      </x:c>
      <x:c r="J398" t="str">
        <x:f>IF(MonthlyStats!A398="","","#")</x:f>
      </x:c>
      <x:c r="K398" t="str">
        <x:f>IF(MonthlyStats!A398="","",MonthlyStats!S398)</x:f>
      </x:c>
      <x:c r="L398" t="str">
        <x:f>IF(MonthlyStats!A398="","","Formula-linked")</x:f>
      </x:c>
    </x:row>
    <x:row r="399">
      <x:c r="A399" t="str">
        <x:f>IF(MonthlyStats!A399="","",MonthlyStats!A399)</x:f>
      </x:c>
      <x:c r="B399" t="str">
        <x:f>IF(MonthlyStats!A399="","",MonthlyStats!B399)</x:f>
      </x:c>
      <x:c r="C399" t="str">
        <x:f>IF(MonthlyStats!A399="","",MonthlyStats!E399)</x:f>
      </x:c>
      <x:c r="D399" t="str">
        <x:f>IF(MonthlyStats!A399="","",MonthlyStats!F399)</x:f>
      </x:c>
      <x:c r="E399" t="str">
        <x:f>IF(MonthlyStats!A399="","",MonthlyStats!G399)</x:f>
      </x:c>
      <x:c r="F399" t="str">
        <x:f>IF(MonthlyStats!A399="","",MonthlyStats!H399)</x:f>
      </x:c>
      <x:c r="G399" t="str">
        <x:f>IF(MonthlyStats!A399="","",MonthlyStats!I399)</x:f>
      </x:c>
      <x:c r="H399" t="str">
        <x:f>IF(MonthlyStats!A399="","",MonthlyStats!J399+MonthlyStats!K399)</x:f>
      </x:c>
      <x:c r="I399" t="str">
        <x:f>IF(MonthlyStats!A399="","",TEXT(MonthlyStats!O399,"₹#,##0")&amp;" public summary; "&amp;MonthlyStats!D399&amp;" cases")</x:f>
      </x:c>
      <x:c r="J399" t="str">
        <x:f>IF(MonthlyStats!A399="","","#")</x:f>
      </x:c>
      <x:c r="K399" t="str">
        <x:f>IF(MonthlyStats!A399="","",MonthlyStats!S399)</x:f>
      </x:c>
      <x:c r="L399" t="str">
        <x:f>IF(MonthlyStats!A399="","","Formula-linked")</x:f>
      </x:c>
    </x:row>
    <x:row r="400">
      <x:c r="A400" t="str">
        <x:f>IF(MonthlyStats!A400="","",MonthlyStats!A400)</x:f>
      </x:c>
      <x:c r="B400" t="str">
        <x:f>IF(MonthlyStats!A400="","",MonthlyStats!B400)</x:f>
      </x:c>
      <x:c r="C400" t="str">
        <x:f>IF(MonthlyStats!A400="","",MonthlyStats!E400)</x:f>
      </x:c>
      <x:c r="D400" t="str">
        <x:f>IF(MonthlyStats!A400="","",MonthlyStats!F400)</x:f>
      </x:c>
      <x:c r="E400" t="str">
        <x:f>IF(MonthlyStats!A400="","",MonthlyStats!G400)</x:f>
      </x:c>
      <x:c r="F400" t="str">
        <x:f>IF(MonthlyStats!A400="","",MonthlyStats!H400)</x:f>
      </x:c>
      <x:c r="G400" t="str">
        <x:f>IF(MonthlyStats!A400="","",MonthlyStats!I400)</x:f>
      </x:c>
      <x:c r="H400" t="str">
        <x:f>IF(MonthlyStats!A400="","",MonthlyStats!J400+MonthlyStats!K400)</x:f>
      </x:c>
      <x:c r="I400" t="str">
        <x:f>IF(MonthlyStats!A400="","",TEXT(MonthlyStats!O400,"₹#,##0")&amp;" public summary; "&amp;MonthlyStats!D400&amp;" cases")</x:f>
      </x:c>
      <x:c r="J400" t="str">
        <x:f>IF(MonthlyStats!A400="","","#")</x:f>
      </x:c>
      <x:c r="K400" t="str">
        <x:f>IF(MonthlyStats!A400="","",MonthlyStats!S400)</x:f>
      </x:c>
      <x:c r="L400" t="str">
        <x:f>IF(MonthlyStats!A400="","","Formula-linked")</x:f>
      </x:c>
    </x:row>
    <x:row r="401">
      <x:c r="A401" t="str">
        <x:f>IF(MonthlyStats!A401="","",MonthlyStats!A401)</x:f>
      </x:c>
      <x:c r="B401" t="str">
        <x:f>IF(MonthlyStats!A401="","",MonthlyStats!B401)</x:f>
      </x:c>
      <x:c r="C401" t="str">
        <x:f>IF(MonthlyStats!A401="","",MonthlyStats!E401)</x:f>
      </x:c>
      <x:c r="D401" t="str">
        <x:f>IF(MonthlyStats!A401="","",MonthlyStats!F401)</x:f>
      </x:c>
      <x:c r="E401" t="str">
        <x:f>IF(MonthlyStats!A401="","",MonthlyStats!G401)</x:f>
      </x:c>
      <x:c r="F401" t="str">
        <x:f>IF(MonthlyStats!A401="","",MonthlyStats!H401)</x:f>
      </x:c>
      <x:c r="G401" t="str">
        <x:f>IF(MonthlyStats!A401="","",MonthlyStats!I401)</x:f>
      </x:c>
      <x:c r="H401" t="str">
        <x:f>IF(MonthlyStats!A401="","",MonthlyStats!J401+MonthlyStats!K401)</x:f>
      </x:c>
      <x:c r="I401" t="str">
        <x:f>IF(MonthlyStats!A401="","",TEXT(MonthlyStats!O401,"₹#,##0")&amp;" public summary; "&amp;MonthlyStats!D401&amp;" cases")</x:f>
      </x:c>
      <x:c r="J401" t="str">
        <x:f>IF(MonthlyStats!A401="","","#")</x:f>
      </x:c>
      <x:c r="K401" t="str">
        <x:f>IF(MonthlyStats!A401="","",MonthlyStats!S401)</x:f>
      </x:c>
      <x:c r="L401" t="str">
        <x:f>IF(MonthlyStats!A401="","","Formula-linked")</x:f>
      </x:c>
    </x:row>
    <x:row r="402">
      <x:c r="A402" t="str">
        <x:f>IF(MonthlyStats!A402="","",MonthlyStats!A402)</x:f>
      </x:c>
      <x:c r="B402" t="str">
        <x:f>IF(MonthlyStats!A402="","",MonthlyStats!B402)</x:f>
      </x:c>
      <x:c r="C402" t="str">
        <x:f>IF(MonthlyStats!A402="","",MonthlyStats!E402)</x:f>
      </x:c>
      <x:c r="D402" t="str">
        <x:f>IF(MonthlyStats!A402="","",MonthlyStats!F402)</x:f>
      </x:c>
      <x:c r="E402" t="str">
        <x:f>IF(MonthlyStats!A402="","",MonthlyStats!G402)</x:f>
      </x:c>
      <x:c r="F402" t="str">
        <x:f>IF(MonthlyStats!A402="","",MonthlyStats!H402)</x:f>
      </x:c>
      <x:c r="G402" t="str">
        <x:f>IF(MonthlyStats!A402="","",MonthlyStats!I402)</x:f>
      </x:c>
      <x:c r="H402" t="str">
        <x:f>IF(MonthlyStats!A402="","",MonthlyStats!J402+MonthlyStats!K402)</x:f>
      </x:c>
      <x:c r="I402" t="str">
        <x:f>IF(MonthlyStats!A402="","",TEXT(MonthlyStats!O402,"₹#,##0")&amp;" public summary; "&amp;MonthlyStats!D402&amp;" cases")</x:f>
      </x:c>
      <x:c r="J402" t="str">
        <x:f>IF(MonthlyStats!A402="","","#")</x:f>
      </x:c>
      <x:c r="K402" t="str">
        <x:f>IF(MonthlyStats!A402="","",MonthlyStats!S402)</x:f>
      </x:c>
      <x:c r="L402" t="str">
        <x:f>IF(MonthlyStats!A402="","","Formula-linked")</x:f>
      </x:c>
    </x:row>
    <x:row r="403">
      <x:c r="A403" t="str">
        <x:f>IF(MonthlyStats!A403="","",MonthlyStats!A403)</x:f>
      </x:c>
      <x:c r="B403" t="str">
        <x:f>IF(MonthlyStats!A403="","",MonthlyStats!B403)</x:f>
      </x:c>
      <x:c r="C403" t="str">
        <x:f>IF(MonthlyStats!A403="","",MonthlyStats!E403)</x:f>
      </x:c>
      <x:c r="D403" t="str">
        <x:f>IF(MonthlyStats!A403="","",MonthlyStats!F403)</x:f>
      </x:c>
      <x:c r="E403" t="str">
        <x:f>IF(MonthlyStats!A403="","",MonthlyStats!G403)</x:f>
      </x:c>
      <x:c r="F403" t="str">
        <x:f>IF(MonthlyStats!A403="","",MonthlyStats!H403)</x:f>
      </x:c>
      <x:c r="G403" t="str">
        <x:f>IF(MonthlyStats!A403="","",MonthlyStats!I403)</x:f>
      </x:c>
      <x:c r="H403" t="str">
        <x:f>IF(MonthlyStats!A403="","",MonthlyStats!J403+MonthlyStats!K403)</x:f>
      </x:c>
      <x:c r="I403" t="str">
        <x:f>IF(MonthlyStats!A403="","",TEXT(MonthlyStats!O403,"₹#,##0")&amp;" public summary; "&amp;MonthlyStats!D403&amp;" cases")</x:f>
      </x:c>
      <x:c r="J403" t="str">
        <x:f>IF(MonthlyStats!A403="","","#")</x:f>
      </x:c>
      <x:c r="K403" t="str">
        <x:f>IF(MonthlyStats!A403="","",MonthlyStats!S403)</x:f>
      </x:c>
      <x:c r="L403" t="str">
        <x:f>IF(MonthlyStats!A403="","","Formula-linked")</x:f>
      </x:c>
    </x:row>
    <x:row r="404">
      <x:c r="A404" t="str">
        <x:f>IF(MonthlyStats!A404="","",MonthlyStats!A404)</x:f>
      </x:c>
      <x:c r="B404" t="str">
        <x:f>IF(MonthlyStats!A404="","",MonthlyStats!B404)</x:f>
      </x:c>
      <x:c r="C404" t="str">
        <x:f>IF(MonthlyStats!A404="","",MonthlyStats!E404)</x:f>
      </x:c>
      <x:c r="D404" t="str">
        <x:f>IF(MonthlyStats!A404="","",MonthlyStats!F404)</x:f>
      </x:c>
      <x:c r="E404" t="str">
        <x:f>IF(MonthlyStats!A404="","",MonthlyStats!G404)</x:f>
      </x:c>
      <x:c r="F404" t="str">
        <x:f>IF(MonthlyStats!A404="","",MonthlyStats!H404)</x:f>
      </x:c>
      <x:c r="G404" t="str">
        <x:f>IF(MonthlyStats!A404="","",MonthlyStats!I404)</x:f>
      </x:c>
      <x:c r="H404" t="str">
        <x:f>IF(MonthlyStats!A404="","",MonthlyStats!J404+MonthlyStats!K404)</x:f>
      </x:c>
      <x:c r="I404" t="str">
        <x:f>IF(MonthlyStats!A404="","",TEXT(MonthlyStats!O404,"₹#,##0")&amp;" public summary; "&amp;MonthlyStats!D404&amp;" cases")</x:f>
      </x:c>
      <x:c r="J404" t="str">
        <x:f>IF(MonthlyStats!A404="","","#")</x:f>
      </x:c>
      <x:c r="K404" t="str">
        <x:f>IF(MonthlyStats!A404="","",MonthlyStats!S404)</x:f>
      </x:c>
      <x:c r="L404" t="str">
        <x:f>IF(MonthlyStats!A404="","","Formula-linked")</x:f>
      </x:c>
    </x:row>
    <x:row r="405">
      <x:c r="A405" t="str">
        <x:f>IF(MonthlyStats!A405="","",MonthlyStats!A405)</x:f>
      </x:c>
      <x:c r="B405" t="str">
        <x:f>IF(MonthlyStats!A405="","",MonthlyStats!B405)</x:f>
      </x:c>
      <x:c r="C405" t="str">
        <x:f>IF(MonthlyStats!A405="","",MonthlyStats!E405)</x:f>
      </x:c>
      <x:c r="D405" t="str">
        <x:f>IF(MonthlyStats!A405="","",MonthlyStats!F405)</x:f>
      </x:c>
      <x:c r="E405" t="str">
        <x:f>IF(MonthlyStats!A405="","",MonthlyStats!G405)</x:f>
      </x:c>
      <x:c r="F405" t="str">
        <x:f>IF(MonthlyStats!A405="","",MonthlyStats!H405)</x:f>
      </x:c>
      <x:c r="G405" t="str">
        <x:f>IF(MonthlyStats!A405="","",MonthlyStats!I405)</x:f>
      </x:c>
      <x:c r="H405" t="str">
        <x:f>IF(MonthlyStats!A405="","",MonthlyStats!J405+MonthlyStats!K405)</x:f>
      </x:c>
      <x:c r="I405" t="str">
        <x:f>IF(MonthlyStats!A405="","",TEXT(MonthlyStats!O405,"₹#,##0")&amp;" public summary; "&amp;MonthlyStats!D405&amp;" cases")</x:f>
      </x:c>
      <x:c r="J405" t="str">
        <x:f>IF(MonthlyStats!A405="","","#")</x:f>
      </x:c>
      <x:c r="K405" t="str">
        <x:f>IF(MonthlyStats!A405="","",MonthlyStats!S405)</x:f>
      </x:c>
      <x:c r="L405" t="str">
        <x:f>IF(MonthlyStats!A405="","","Formula-linked")</x:f>
      </x:c>
    </x:row>
    <x:row r="406">
      <x:c r="A406" t="str">
        <x:f>IF(MonthlyStats!A406="","",MonthlyStats!A406)</x:f>
      </x:c>
      <x:c r="B406" t="str">
        <x:f>IF(MonthlyStats!A406="","",MonthlyStats!B406)</x:f>
      </x:c>
      <x:c r="C406" t="str">
        <x:f>IF(MonthlyStats!A406="","",MonthlyStats!E406)</x:f>
      </x:c>
      <x:c r="D406" t="str">
        <x:f>IF(MonthlyStats!A406="","",MonthlyStats!F406)</x:f>
      </x:c>
      <x:c r="E406" t="str">
        <x:f>IF(MonthlyStats!A406="","",MonthlyStats!G406)</x:f>
      </x:c>
      <x:c r="F406" t="str">
        <x:f>IF(MonthlyStats!A406="","",MonthlyStats!H406)</x:f>
      </x:c>
      <x:c r="G406" t="str">
        <x:f>IF(MonthlyStats!A406="","",MonthlyStats!I406)</x:f>
      </x:c>
      <x:c r="H406" t="str">
        <x:f>IF(MonthlyStats!A406="","",MonthlyStats!J406+MonthlyStats!K406)</x:f>
      </x:c>
      <x:c r="I406" t="str">
        <x:f>IF(MonthlyStats!A406="","",TEXT(MonthlyStats!O406,"₹#,##0")&amp;" public summary; "&amp;MonthlyStats!D406&amp;" cases")</x:f>
      </x:c>
      <x:c r="J406" t="str">
        <x:f>IF(MonthlyStats!A406="","","#")</x:f>
      </x:c>
      <x:c r="K406" t="str">
        <x:f>IF(MonthlyStats!A406="","",MonthlyStats!S406)</x:f>
      </x:c>
      <x:c r="L406" t="str">
        <x:f>IF(MonthlyStats!A406="","","Formula-linked")</x:f>
      </x:c>
    </x:row>
    <x:row r="407">
      <x:c r="A407" t="str">
        <x:f>IF(MonthlyStats!A407="","",MonthlyStats!A407)</x:f>
      </x:c>
      <x:c r="B407" t="str">
        <x:f>IF(MonthlyStats!A407="","",MonthlyStats!B407)</x:f>
      </x:c>
      <x:c r="C407" t="str">
        <x:f>IF(MonthlyStats!A407="","",MonthlyStats!E407)</x:f>
      </x:c>
      <x:c r="D407" t="str">
        <x:f>IF(MonthlyStats!A407="","",MonthlyStats!F407)</x:f>
      </x:c>
      <x:c r="E407" t="str">
        <x:f>IF(MonthlyStats!A407="","",MonthlyStats!G407)</x:f>
      </x:c>
      <x:c r="F407" t="str">
        <x:f>IF(MonthlyStats!A407="","",MonthlyStats!H407)</x:f>
      </x:c>
      <x:c r="G407" t="str">
        <x:f>IF(MonthlyStats!A407="","",MonthlyStats!I407)</x:f>
      </x:c>
      <x:c r="H407" t="str">
        <x:f>IF(MonthlyStats!A407="","",MonthlyStats!J407+MonthlyStats!K407)</x:f>
      </x:c>
      <x:c r="I407" t="str">
        <x:f>IF(MonthlyStats!A407="","",TEXT(MonthlyStats!O407,"₹#,##0")&amp;" public summary; "&amp;MonthlyStats!D407&amp;" cases")</x:f>
      </x:c>
      <x:c r="J407" t="str">
        <x:f>IF(MonthlyStats!A407="","","#")</x:f>
      </x:c>
      <x:c r="K407" t="str">
        <x:f>IF(MonthlyStats!A407="","",MonthlyStats!S407)</x:f>
      </x:c>
      <x:c r="L407" t="str">
        <x:f>IF(MonthlyStats!A407="","","Formula-linked")</x:f>
      </x:c>
    </x:row>
    <x:row r="408">
      <x:c r="A408" t="str">
        <x:f>IF(MonthlyStats!A408="","",MonthlyStats!A408)</x:f>
      </x:c>
      <x:c r="B408" t="str">
        <x:f>IF(MonthlyStats!A408="","",MonthlyStats!B408)</x:f>
      </x:c>
      <x:c r="C408" t="str">
        <x:f>IF(MonthlyStats!A408="","",MonthlyStats!E408)</x:f>
      </x:c>
      <x:c r="D408" t="str">
        <x:f>IF(MonthlyStats!A408="","",MonthlyStats!F408)</x:f>
      </x:c>
      <x:c r="E408" t="str">
        <x:f>IF(MonthlyStats!A408="","",MonthlyStats!G408)</x:f>
      </x:c>
      <x:c r="F408" t="str">
        <x:f>IF(MonthlyStats!A408="","",MonthlyStats!H408)</x:f>
      </x:c>
      <x:c r="G408" t="str">
        <x:f>IF(MonthlyStats!A408="","",MonthlyStats!I408)</x:f>
      </x:c>
      <x:c r="H408" t="str">
        <x:f>IF(MonthlyStats!A408="","",MonthlyStats!J408+MonthlyStats!K408)</x:f>
      </x:c>
      <x:c r="I408" t="str">
        <x:f>IF(MonthlyStats!A408="","",TEXT(MonthlyStats!O408,"₹#,##0")&amp;" public summary; "&amp;MonthlyStats!D408&amp;" cases")</x:f>
      </x:c>
      <x:c r="J408" t="str">
        <x:f>IF(MonthlyStats!A408="","","#")</x:f>
      </x:c>
      <x:c r="K408" t="str">
        <x:f>IF(MonthlyStats!A408="","",MonthlyStats!S408)</x:f>
      </x:c>
      <x:c r="L408" t="str">
        <x:f>IF(MonthlyStats!A408="","","Formula-linked")</x:f>
      </x:c>
    </x:row>
    <x:row r="409">
      <x:c r="A409" t="str">
        <x:f>IF(MonthlyStats!A409="","",MonthlyStats!A409)</x:f>
      </x:c>
      <x:c r="B409" t="str">
        <x:f>IF(MonthlyStats!A409="","",MonthlyStats!B409)</x:f>
      </x:c>
      <x:c r="C409" t="str">
        <x:f>IF(MonthlyStats!A409="","",MonthlyStats!E409)</x:f>
      </x:c>
      <x:c r="D409" t="str">
        <x:f>IF(MonthlyStats!A409="","",MonthlyStats!F409)</x:f>
      </x:c>
      <x:c r="E409" t="str">
        <x:f>IF(MonthlyStats!A409="","",MonthlyStats!G409)</x:f>
      </x:c>
      <x:c r="F409" t="str">
        <x:f>IF(MonthlyStats!A409="","",MonthlyStats!H409)</x:f>
      </x:c>
      <x:c r="G409" t="str">
        <x:f>IF(MonthlyStats!A409="","",MonthlyStats!I409)</x:f>
      </x:c>
      <x:c r="H409" t="str">
        <x:f>IF(MonthlyStats!A409="","",MonthlyStats!J409+MonthlyStats!K409)</x:f>
      </x:c>
      <x:c r="I409" t="str">
        <x:f>IF(MonthlyStats!A409="","",TEXT(MonthlyStats!O409,"₹#,##0")&amp;" public summary; "&amp;MonthlyStats!D409&amp;" cases")</x:f>
      </x:c>
      <x:c r="J409" t="str">
        <x:f>IF(MonthlyStats!A409="","","#")</x:f>
      </x:c>
      <x:c r="K409" t="str">
        <x:f>IF(MonthlyStats!A409="","",MonthlyStats!S409)</x:f>
      </x:c>
      <x:c r="L409" t="str">
        <x:f>IF(MonthlyStats!A409="","","Formula-linked")</x:f>
      </x:c>
    </x:row>
    <x:row r="410">
      <x:c r="A410" t="str">
        <x:f>IF(MonthlyStats!A410="","",MonthlyStats!A410)</x:f>
      </x:c>
      <x:c r="B410" t="str">
        <x:f>IF(MonthlyStats!A410="","",MonthlyStats!B410)</x:f>
      </x:c>
      <x:c r="C410" t="str">
        <x:f>IF(MonthlyStats!A410="","",MonthlyStats!E410)</x:f>
      </x:c>
      <x:c r="D410" t="str">
        <x:f>IF(MonthlyStats!A410="","",MonthlyStats!F410)</x:f>
      </x:c>
      <x:c r="E410" t="str">
        <x:f>IF(MonthlyStats!A410="","",MonthlyStats!G410)</x:f>
      </x:c>
      <x:c r="F410" t="str">
        <x:f>IF(MonthlyStats!A410="","",MonthlyStats!H410)</x:f>
      </x:c>
      <x:c r="G410" t="str">
        <x:f>IF(MonthlyStats!A410="","",MonthlyStats!I410)</x:f>
      </x:c>
      <x:c r="H410" t="str">
        <x:f>IF(MonthlyStats!A410="","",MonthlyStats!J410+MonthlyStats!K410)</x:f>
      </x:c>
      <x:c r="I410" t="str">
        <x:f>IF(MonthlyStats!A410="","",TEXT(MonthlyStats!O410,"₹#,##0")&amp;" public summary; "&amp;MonthlyStats!D410&amp;" cases")</x:f>
      </x:c>
      <x:c r="J410" t="str">
        <x:f>IF(MonthlyStats!A410="","","#")</x:f>
      </x:c>
      <x:c r="K410" t="str">
        <x:f>IF(MonthlyStats!A410="","",MonthlyStats!S410)</x:f>
      </x:c>
      <x:c r="L410" t="str">
        <x:f>IF(MonthlyStats!A410="","","Formula-linked")</x:f>
      </x:c>
    </x:row>
    <x:row r="411">
      <x:c r="A411" t="str">
        <x:f>IF(MonthlyStats!A411="","",MonthlyStats!A411)</x:f>
      </x:c>
      <x:c r="B411" t="str">
        <x:f>IF(MonthlyStats!A411="","",MonthlyStats!B411)</x:f>
      </x:c>
      <x:c r="C411" t="str">
        <x:f>IF(MonthlyStats!A411="","",MonthlyStats!E411)</x:f>
      </x:c>
      <x:c r="D411" t="str">
        <x:f>IF(MonthlyStats!A411="","",MonthlyStats!F411)</x:f>
      </x:c>
      <x:c r="E411" t="str">
        <x:f>IF(MonthlyStats!A411="","",MonthlyStats!G411)</x:f>
      </x:c>
      <x:c r="F411" t="str">
        <x:f>IF(MonthlyStats!A411="","",MonthlyStats!H411)</x:f>
      </x:c>
      <x:c r="G411" t="str">
        <x:f>IF(MonthlyStats!A411="","",MonthlyStats!I411)</x:f>
      </x:c>
      <x:c r="H411" t="str">
        <x:f>IF(MonthlyStats!A411="","",MonthlyStats!J411+MonthlyStats!K411)</x:f>
      </x:c>
      <x:c r="I411" t="str">
        <x:f>IF(MonthlyStats!A411="","",TEXT(MonthlyStats!O411,"₹#,##0")&amp;" public summary; "&amp;MonthlyStats!D411&amp;" cases")</x:f>
      </x:c>
      <x:c r="J411" t="str">
        <x:f>IF(MonthlyStats!A411="","","#")</x:f>
      </x:c>
      <x:c r="K411" t="str">
        <x:f>IF(MonthlyStats!A411="","",MonthlyStats!S411)</x:f>
      </x:c>
      <x:c r="L411" t="str">
        <x:f>IF(MonthlyStats!A411="","","Formula-linked")</x:f>
      </x:c>
    </x:row>
    <x:row r="412">
      <x:c r="A412" t="str">
        <x:f>IF(MonthlyStats!A412="","",MonthlyStats!A412)</x:f>
      </x:c>
      <x:c r="B412" t="str">
        <x:f>IF(MonthlyStats!A412="","",MonthlyStats!B412)</x:f>
      </x:c>
      <x:c r="C412" t="str">
        <x:f>IF(MonthlyStats!A412="","",MonthlyStats!E412)</x:f>
      </x:c>
      <x:c r="D412" t="str">
        <x:f>IF(MonthlyStats!A412="","",MonthlyStats!F412)</x:f>
      </x:c>
      <x:c r="E412" t="str">
        <x:f>IF(MonthlyStats!A412="","",MonthlyStats!G412)</x:f>
      </x:c>
      <x:c r="F412" t="str">
        <x:f>IF(MonthlyStats!A412="","",MonthlyStats!H412)</x:f>
      </x:c>
      <x:c r="G412" t="str">
        <x:f>IF(MonthlyStats!A412="","",MonthlyStats!I412)</x:f>
      </x:c>
      <x:c r="H412" t="str">
        <x:f>IF(MonthlyStats!A412="","",MonthlyStats!J412+MonthlyStats!K412)</x:f>
      </x:c>
      <x:c r="I412" t="str">
        <x:f>IF(MonthlyStats!A412="","",TEXT(MonthlyStats!O412,"₹#,##0")&amp;" public summary; "&amp;MonthlyStats!D412&amp;" cases")</x:f>
      </x:c>
      <x:c r="J412" t="str">
        <x:f>IF(MonthlyStats!A412="","","#")</x:f>
      </x:c>
      <x:c r="K412" t="str">
        <x:f>IF(MonthlyStats!A412="","",MonthlyStats!S412)</x:f>
      </x:c>
      <x:c r="L412" t="str">
        <x:f>IF(MonthlyStats!A412="","","Formula-linked")</x:f>
      </x:c>
    </x:row>
    <x:row r="413">
      <x:c r="A413" t="str">
        <x:f>IF(MonthlyStats!A413="","",MonthlyStats!A413)</x:f>
      </x:c>
      <x:c r="B413" t="str">
        <x:f>IF(MonthlyStats!A413="","",MonthlyStats!B413)</x:f>
      </x:c>
      <x:c r="C413" t="str">
        <x:f>IF(MonthlyStats!A413="","",MonthlyStats!E413)</x:f>
      </x:c>
      <x:c r="D413" t="str">
        <x:f>IF(MonthlyStats!A413="","",MonthlyStats!F413)</x:f>
      </x:c>
      <x:c r="E413" t="str">
        <x:f>IF(MonthlyStats!A413="","",MonthlyStats!G413)</x:f>
      </x:c>
      <x:c r="F413" t="str">
        <x:f>IF(MonthlyStats!A413="","",MonthlyStats!H413)</x:f>
      </x:c>
      <x:c r="G413" t="str">
        <x:f>IF(MonthlyStats!A413="","",MonthlyStats!I413)</x:f>
      </x:c>
      <x:c r="H413" t="str">
        <x:f>IF(MonthlyStats!A413="","",MonthlyStats!J413+MonthlyStats!K413)</x:f>
      </x:c>
      <x:c r="I413" t="str">
        <x:f>IF(MonthlyStats!A413="","",TEXT(MonthlyStats!O413,"₹#,##0")&amp;" public summary; "&amp;MonthlyStats!D413&amp;" cases")</x:f>
      </x:c>
      <x:c r="J413" t="str">
        <x:f>IF(MonthlyStats!A413="","","#")</x:f>
      </x:c>
      <x:c r="K413" t="str">
        <x:f>IF(MonthlyStats!A413="","",MonthlyStats!S413)</x:f>
      </x:c>
      <x:c r="L413" t="str">
        <x:f>IF(MonthlyStats!A413="","","Formula-linked")</x:f>
      </x:c>
    </x:row>
    <x:row r="414">
      <x:c r="A414" t="str">
        <x:f>IF(MonthlyStats!A414="","",MonthlyStats!A414)</x:f>
      </x:c>
      <x:c r="B414" t="str">
        <x:f>IF(MonthlyStats!A414="","",MonthlyStats!B414)</x:f>
      </x:c>
      <x:c r="C414" t="str">
        <x:f>IF(MonthlyStats!A414="","",MonthlyStats!E414)</x:f>
      </x:c>
      <x:c r="D414" t="str">
        <x:f>IF(MonthlyStats!A414="","",MonthlyStats!F414)</x:f>
      </x:c>
      <x:c r="E414" t="str">
        <x:f>IF(MonthlyStats!A414="","",MonthlyStats!G414)</x:f>
      </x:c>
      <x:c r="F414" t="str">
        <x:f>IF(MonthlyStats!A414="","",MonthlyStats!H414)</x:f>
      </x:c>
      <x:c r="G414" t="str">
        <x:f>IF(MonthlyStats!A414="","",MonthlyStats!I414)</x:f>
      </x:c>
      <x:c r="H414" t="str">
        <x:f>IF(MonthlyStats!A414="","",MonthlyStats!J414+MonthlyStats!K414)</x:f>
      </x:c>
      <x:c r="I414" t="str">
        <x:f>IF(MonthlyStats!A414="","",TEXT(MonthlyStats!O414,"₹#,##0")&amp;" public summary; "&amp;MonthlyStats!D414&amp;" cases")</x:f>
      </x:c>
      <x:c r="J414" t="str">
        <x:f>IF(MonthlyStats!A414="","","#")</x:f>
      </x:c>
      <x:c r="K414" t="str">
        <x:f>IF(MonthlyStats!A414="","",MonthlyStats!S414)</x:f>
      </x:c>
      <x:c r="L414" t="str">
        <x:f>IF(MonthlyStats!A414="","","Formula-linked")</x:f>
      </x:c>
    </x:row>
    <x:row r="415">
      <x:c r="A415" t="str">
        <x:f>IF(MonthlyStats!A415="","",MonthlyStats!A415)</x:f>
      </x:c>
      <x:c r="B415" t="str">
        <x:f>IF(MonthlyStats!A415="","",MonthlyStats!B415)</x:f>
      </x:c>
      <x:c r="C415" t="str">
        <x:f>IF(MonthlyStats!A415="","",MonthlyStats!E415)</x:f>
      </x:c>
      <x:c r="D415" t="str">
        <x:f>IF(MonthlyStats!A415="","",MonthlyStats!F415)</x:f>
      </x:c>
      <x:c r="E415" t="str">
        <x:f>IF(MonthlyStats!A415="","",MonthlyStats!G415)</x:f>
      </x:c>
      <x:c r="F415" t="str">
        <x:f>IF(MonthlyStats!A415="","",MonthlyStats!H415)</x:f>
      </x:c>
      <x:c r="G415" t="str">
        <x:f>IF(MonthlyStats!A415="","",MonthlyStats!I415)</x:f>
      </x:c>
      <x:c r="H415" t="str">
        <x:f>IF(MonthlyStats!A415="","",MonthlyStats!J415+MonthlyStats!K415)</x:f>
      </x:c>
      <x:c r="I415" t="str">
        <x:f>IF(MonthlyStats!A415="","",TEXT(MonthlyStats!O415,"₹#,##0")&amp;" public summary; "&amp;MonthlyStats!D415&amp;" cases")</x:f>
      </x:c>
      <x:c r="J415" t="str">
        <x:f>IF(MonthlyStats!A415="","","#")</x:f>
      </x:c>
      <x:c r="K415" t="str">
        <x:f>IF(MonthlyStats!A415="","",MonthlyStats!S415)</x:f>
      </x:c>
      <x:c r="L415" t="str">
        <x:f>IF(MonthlyStats!A415="","","Formula-linked")</x:f>
      </x:c>
    </x:row>
    <x:row r="416">
      <x:c r="A416" t="str">
        <x:f>IF(MonthlyStats!A416="","",MonthlyStats!A416)</x:f>
      </x:c>
      <x:c r="B416" t="str">
        <x:f>IF(MonthlyStats!A416="","",MonthlyStats!B416)</x:f>
      </x:c>
      <x:c r="C416" t="str">
        <x:f>IF(MonthlyStats!A416="","",MonthlyStats!E416)</x:f>
      </x:c>
      <x:c r="D416" t="str">
        <x:f>IF(MonthlyStats!A416="","",MonthlyStats!F416)</x:f>
      </x:c>
      <x:c r="E416" t="str">
        <x:f>IF(MonthlyStats!A416="","",MonthlyStats!G416)</x:f>
      </x:c>
      <x:c r="F416" t="str">
        <x:f>IF(MonthlyStats!A416="","",MonthlyStats!H416)</x:f>
      </x:c>
      <x:c r="G416" t="str">
        <x:f>IF(MonthlyStats!A416="","",MonthlyStats!I416)</x:f>
      </x:c>
      <x:c r="H416" t="str">
        <x:f>IF(MonthlyStats!A416="","",MonthlyStats!J416+MonthlyStats!K416)</x:f>
      </x:c>
      <x:c r="I416" t="str">
        <x:f>IF(MonthlyStats!A416="","",TEXT(MonthlyStats!O416,"₹#,##0")&amp;" public summary; "&amp;MonthlyStats!D416&amp;" cases")</x:f>
      </x:c>
      <x:c r="J416" t="str">
        <x:f>IF(MonthlyStats!A416="","","#")</x:f>
      </x:c>
      <x:c r="K416" t="str">
        <x:f>IF(MonthlyStats!A416="","",MonthlyStats!S416)</x:f>
      </x:c>
      <x:c r="L416" t="str">
        <x:f>IF(MonthlyStats!A416="","","Formula-linked")</x:f>
      </x:c>
    </x:row>
    <x:row r="417">
      <x:c r="A417" t="str">
        <x:f>IF(MonthlyStats!A417="","",MonthlyStats!A417)</x:f>
      </x:c>
      <x:c r="B417" t="str">
        <x:f>IF(MonthlyStats!A417="","",MonthlyStats!B417)</x:f>
      </x:c>
      <x:c r="C417" t="str">
        <x:f>IF(MonthlyStats!A417="","",MonthlyStats!E417)</x:f>
      </x:c>
      <x:c r="D417" t="str">
        <x:f>IF(MonthlyStats!A417="","",MonthlyStats!F417)</x:f>
      </x:c>
      <x:c r="E417" t="str">
        <x:f>IF(MonthlyStats!A417="","",MonthlyStats!G417)</x:f>
      </x:c>
      <x:c r="F417" t="str">
        <x:f>IF(MonthlyStats!A417="","",MonthlyStats!H417)</x:f>
      </x:c>
      <x:c r="G417" t="str">
        <x:f>IF(MonthlyStats!A417="","",MonthlyStats!I417)</x:f>
      </x:c>
      <x:c r="H417" t="str">
        <x:f>IF(MonthlyStats!A417="","",MonthlyStats!J417+MonthlyStats!K417)</x:f>
      </x:c>
      <x:c r="I417" t="str">
        <x:f>IF(MonthlyStats!A417="","",TEXT(MonthlyStats!O417,"₹#,##0")&amp;" public summary; "&amp;MonthlyStats!D417&amp;" cases")</x:f>
      </x:c>
      <x:c r="J417" t="str">
        <x:f>IF(MonthlyStats!A417="","","#")</x:f>
      </x:c>
      <x:c r="K417" t="str">
        <x:f>IF(MonthlyStats!A417="","",MonthlyStats!S417)</x:f>
      </x:c>
      <x:c r="L417" t="str">
        <x:f>IF(MonthlyStats!A417="","","Formula-linked")</x:f>
      </x:c>
    </x:row>
    <x:row r="418">
      <x:c r="A418" t="str">
        <x:f>IF(MonthlyStats!A418="","",MonthlyStats!A418)</x:f>
      </x:c>
      <x:c r="B418" t="str">
        <x:f>IF(MonthlyStats!A418="","",MonthlyStats!B418)</x:f>
      </x:c>
      <x:c r="C418" t="str">
        <x:f>IF(MonthlyStats!A418="","",MonthlyStats!E418)</x:f>
      </x:c>
      <x:c r="D418" t="str">
        <x:f>IF(MonthlyStats!A418="","",MonthlyStats!F418)</x:f>
      </x:c>
      <x:c r="E418" t="str">
        <x:f>IF(MonthlyStats!A418="","",MonthlyStats!G418)</x:f>
      </x:c>
      <x:c r="F418" t="str">
        <x:f>IF(MonthlyStats!A418="","",MonthlyStats!H418)</x:f>
      </x:c>
      <x:c r="G418" t="str">
        <x:f>IF(MonthlyStats!A418="","",MonthlyStats!I418)</x:f>
      </x:c>
      <x:c r="H418" t="str">
        <x:f>IF(MonthlyStats!A418="","",MonthlyStats!J418+MonthlyStats!K418)</x:f>
      </x:c>
      <x:c r="I418" t="str">
        <x:f>IF(MonthlyStats!A418="","",TEXT(MonthlyStats!O418,"₹#,##0")&amp;" public summary; "&amp;MonthlyStats!D418&amp;" cases")</x:f>
      </x:c>
      <x:c r="J418" t="str">
        <x:f>IF(MonthlyStats!A418="","","#")</x:f>
      </x:c>
      <x:c r="K418" t="str">
        <x:f>IF(MonthlyStats!A418="","",MonthlyStats!S418)</x:f>
      </x:c>
      <x:c r="L418" t="str">
        <x:f>IF(MonthlyStats!A418="","","Formula-linked")</x:f>
      </x:c>
    </x:row>
    <x:row r="419">
      <x:c r="A419" t="str">
        <x:f>IF(MonthlyStats!A419="","",MonthlyStats!A419)</x:f>
      </x:c>
      <x:c r="B419" t="str">
        <x:f>IF(MonthlyStats!A419="","",MonthlyStats!B419)</x:f>
      </x:c>
      <x:c r="C419" t="str">
        <x:f>IF(MonthlyStats!A419="","",MonthlyStats!E419)</x:f>
      </x:c>
      <x:c r="D419" t="str">
        <x:f>IF(MonthlyStats!A419="","",MonthlyStats!F419)</x:f>
      </x:c>
      <x:c r="E419" t="str">
        <x:f>IF(MonthlyStats!A419="","",MonthlyStats!G419)</x:f>
      </x:c>
      <x:c r="F419" t="str">
        <x:f>IF(MonthlyStats!A419="","",MonthlyStats!H419)</x:f>
      </x:c>
      <x:c r="G419" t="str">
        <x:f>IF(MonthlyStats!A419="","",MonthlyStats!I419)</x:f>
      </x:c>
      <x:c r="H419" t="str">
        <x:f>IF(MonthlyStats!A419="","",MonthlyStats!J419+MonthlyStats!K419)</x:f>
      </x:c>
      <x:c r="I419" t="str">
        <x:f>IF(MonthlyStats!A419="","",TEXT(MonthlyStats!O419,"₹#,##0")&amp;" public summary; "&amp;MonthlyStats!D419&amp;" cases")</x:f>
      </x:c>
      <x:c r="J419" t="str">
        <x:f>IF(MonthlyStats!A419="","","#")</x:f>
      </x:c>
      <x:c r="K419" t="str">
        <x:f>IF(MonthlyStats!A419="","",MonthlyStats!S419)</x:f>
      </x:c>
      <x:c r="L419" t="str">
        <x:f>IF(MonthlyStats!A419="","","Formula-linked")</x:f>
      </x:c>
    </x:row>
    <x:row r="420">
      <x:c r="A420" t="str">
        <x:f>IF(MonthlyStats!A420="","",MonthlyStats!A420)</x:f>
      </x:c>
      <x:c r="B420" t="str">
        <x:f>IF(MonthlyStats!A420="","",MonthlyStats!B420)</x:f>
      </x:c>
      <x:c r="C420" t="str">
        <x:f>IF(MonthlyStats!A420="","",MonthlyStats!E420)</x:f>
      </x:c>
      <x:c r="D420" t="str">
        <x:f>IF(MonthlyStats!A420="","",MonthlyStats!F420)</x:f>
      </x:c>
      <x:c r="E420" t="str">
        <x:f>IF(MonthlyStats!A420="","",MonthlyStats!G420)</x:f>
      </x:c>
      <x:c r="F420" t="str">
        <x:f>IF(MonthlyStats!A420="","",MonthlyStats!H420)</x:f>
      </x:c>
      <x:c r="G420" t="str">
        <x:f>IF(MonthlyStats!A420="","",MonthlyStats!I420)</x:f>
      </x:c>
      <x:c r="H420" t="str">
        <x:f>IF(MonthlyStats!A420="","",MonthlyStats!J420+MonthlyStats!K420)</x:f>
      </x:c>
      <x:c r="I420" t="str">
        <x:f>IF(MonthlyStats!A420="","",TEXT(MonthlyStats!O420,"₹#,##0")&amp;" public summary; "&amp;MonthlyStats!D420&amp;" cases")</x:f>
      </x:c>
      <x:c r="J420" t="str">
        <x:f>IF(MonthlyStats!A420="","","#")</x:f>
      </x:c>
      <x:c r="K420" t="str">
        <x:f>IF(MonthlyStats!A420="","",MonthlyStats!S420)</x:f>
      </x:c>
      <x:c r="L420" t="str">
        <x:f>IF(MonthlyStats!A420="","","Formula-linked")</x:f>
      </x:c>
    </x:row>
    <x:row r="421">
      <x:c r="A421" t="str">
        <x:f>IF(MonthlyStats!A421="","",MonthlyStats!A421)</x:f>
      </x:c>
      <x:c r="B421" t="str">
        <x:f>IF(MonthlyStats!A421="","",MonthlyStats!B421)</x:f>
      </x:c>
      <x:c r="C421" t="str">
        <x:f>IF(MonthlyStats!A421="","",MonthlyStats!E421)</x:f>
      </x:c>
      <x:c r="D421" t="str">
        <x:f>IF(MonthlyStats!A421="","",MonthlyStats!F421)</x:f>
      </x:c>
      <x:c r="E421" t="str">
        <x:f>IF(MonthlyStats!A421="","",MonthlyStats!G421)</x:f>
      </x:c>
      <x:c r="F421" t="str">
        <x:f>IF(MonthlyStats!A421="","",MonthlyStats!H421)</x:f>
      </x:c>
      <x:c r="G421" t="str">
        <x:f>IF(MonthlyStats!A421="","",MonthlyStats!I421)</x:f>
      </x:c>
      <x:c r="H421" t="str">
        <x:f>IF(MonthlyStats!A421="","",MonthlyStats!J421+MonthlyStats!K421)</x:f>
      </x:c>
      <x:c r="I421" t="str">
        <x:f>IF(MonthlyStats!A421="","",TEXT(MonthlyStats!O421,"₹#,##0")&amp;" public summary; "&amp;MonthlyStats!D421&amp;" cases")</x:f>
      </x:c>
      <x:c r="J421" t="str">
        <x:f>IF(MonthlyStats!A421="","","#")</x:f>
      </x:c>
      <x:c r="K421" t="str">
        <x:f>IF(MonthlyStats!A421="","",MonthlyStats!S421)</x:f>
      </x:c>
      <x:c r="L421" t="str">
        <x:f>IF(MonthlyStats!A421="","","Formula-linked")</x:f>
      </x:c>
    </x:row>
    <x:row r="422">
      <x:c r="A422" t="str">
        <x:f>IF(MonthlyStats!A422="","",MonthlyStats!A422)</x:f>
      </x:c>
      <x:c r="B422" t="str">
        <x:f>IF(MonthlyStats!A422="","",MonthlyStats!B422)</x:f>
      </x:c>
      <x:c r="C422" t="str">
        <x:f>IF(MonthlyStats!A422="","",MonthlyStats!E422)</x:f>
      </x:c>
      <x:c r="D422" t="str">
        <x:f>IF(MonthlyStats!A422="","",MonthlyStats!F422)</x:f>
      </x:c>
      <x:c r="E422" t="str">
        <x:f>IF(MonthlyStats!A422="","",MonthlyStats!G422)</x:f>
      </x:c>
      <x:c r="F422" t="str">
        <x:f>IF(MonthlyStats!A422="","",MonthlyStats!H422)</x:f>
      </x:c>
      <x:c r="G422" t="str">
        <x:f>IF(MonthlyStats!A422="","",MonthlyStats!I422)</x:f>
      </x:c>
      <x:c r="H422" t="str">
        <x:f>IF(MonthlyStats!A422="","",MonthlyStats!J422+MonthlyStats!K422)</x:f>
      </x:c>
      <x:c r="I422" t="str">
        <x:f>IF(MonthlyStats!A422="","",TEXT(MonthlyStats!O422,"₹#,##0")&amp;" public summary; "&amp;MonthlyStats!D422&amp;" cases")</x:f>
      </x:c>
      <x:c r="J422" t="str">
        <x:f>IF(MonthlyStats!A422="","","#")</x:f>
      </x:c>
      <x:c r="K422" t="str">
        <x:f>IF(MonthlyStats!A422="","",MonthlyStats!S422)</x:f>
      </x:c>
      <x:c r="L422" t="str">
        <x:f>IF(MonthlyStats!A422="","","Formula-linked")</x:f>
      </x:c>
    </x:row>
    <x:row r="423">
      <x:c r="A423" t="str">
        <x:f>IF(MonthlyStats!A423="","",MonthlyStats!A423)</x:f>
      </x:c>
      <x:c r="B423" t="str">
        <x:f>IF(MonthlyStats!A423="","",MonthlyStats!B423)</x:f>
      </x:c>
      <x:c r="C423" t="str">
        <x:f>IF(MonthlyStats!A423="","",MonthlyStats!E423)</x:f>
      </x:c>
      <x:c r="D423" t="str">
        <x:f>IF(MonthlyStats!A423="","",MonthlyStats!F423)</x:f>
      </x:c>
      <x:c r="E423" t="str">
        <x:f>IF(MonthlyStats!A423="","",MonthlyStats!G423)</x:f>
      </x:c>
      <x:c r="F423" t="str">
        <x:f>IF(MonthlyStats!A423="","",MonthlyStats!H423)</x:f>
      </x:c>
      <x:c r="G423" t="str">
        <x:f>IF(MonthlyStats!A423="","",MonthlyStats!I423)</x:f>
      </x:c>
      <x:c r="H423" t="str">
        <x:f>IF(MonthlyStats!A423="","",MonthlyStats!J423+MonthlyStats!K423)</x:f>
      </x:c>
      <x:c r="I423" t="str">
        <x:f>IF(MonthlyStats!A423="","",TEXT(MonthlyStats!O423,"₹#,##0")&amp;" public summary; "&amp;MonthlyStats!D423&amp;" cases")</x:f>
      </x:c>
      <x:c r="J423" t="str">
        <x:f>IF(MonthlyStats!A423="","","#")</x:f>
      </x:c>
      <x:c r="K423" t="str">
        <x:f>IF(MonthlyStats!A423="","",MonthlyStats!S423)</x:f>
      </x:c>
      <x:c r="L423" t="str">
        <x:f>IF(MonthlyStats!A423="","","Formula-linked")</x:f>
      </x:c>
    </x:row>
    <x:row r="424">
      <x:c r="A424" t="str">
        <x:f>IF(MonthlyStats!A424="","",MonthlyStats!A424)</x:f>
      </x:c>
      <x:c r="B424" t="str">
        <x:f>IF(MonthlyStats!A424="","",MonthlyStats!B424)</x:f>
      </x:c>
      <x:c r="C424" t="str">
        <x:f>IF(MonthlyStats!A424="","",MonthlyStats!E424)</x:f>
      </x:c>
      <x:c r="D424" t="str">
        <x:f>IF(MonthlyStats!A424="","",MonthlyStats!F424)</x:f>
      </x:c>
      <x:c r="E424" t="str">
        <x:f>IF(MonthlyStats!A424="","",MonthlyStats!G424)</x:f>
      </x:c>
      <x:c r="F424" t="str">
        <x:f>IF(MonthlyStats!A424="","",MonthlyStats!H424)</x:f>
      </x:c>
      <x:c r="G424" t="str">
        <x:f>IF(MonthlyStats!A424="","",MonthlyStats!I424)</x:f>
      </x:c>
      <x:c r="H424" t="str">
        <x:f>IF(MonthlyStats!A424="","",MonthlyStats!J424+MonthlyStats!K424)</x:f>
      </x:c>
      <x:c r="I424" t="str">
        <x:f>IF(MonthlyStats!A424="","",TEXT(MonthlyStats!O424,"₹#,##0")&amp;" public summary; "&amp;MonthlyStats!D424&amp;" cases")</x:f>
      </x:c>
      <x:c r="J424" t="str">
        <x:f>IF(MonthlyStats!A424="","","#")</x:f>
      </x:c>
      <x:c r="K424" t="str">
        <x:f>IF(MonthlyStats!A424="","",MonthlyStats!S424)</x:f>
      </x:c>
      <x:c r="L424" t="str">
        <x:f>IF(MonthlyStats!A424="","","Formula-linked")</x:f>
      </x:c>
    </x:row>
    <x:row r="425">
      <x:c r="A425" t="str">
        <x:f>IF(MonthlyStats!A425="","",MonthlyStats!A425)</x:f>
      </x:c>
      <x:c r="B425" t="str">
        <x:f>IF(MonthlyStats!A425="","",MonthlyStats!B425)</x:f>
      </x:c>
      <x:c r="C425" t="str">
        <x:f>IF(MonthlyStats!A425="","",MonthlyStats!E425)</x:f>
      </x:c>
      <x:c r="D425" t="str">
        <x:f>IF(MonthlyStats!A425="","",MonthlyStats!F425)</x:f>
      </x:c>
      <x:c r="E425" t="str">
        <x:f>IF(MonthlyStats!A425="","",MonthlyStats!G425)</x:f>
      </x:c>
      <x:c r="F425" t="str">
        <x:f>IF(MonthlyStats!A425="","",MonthlyStats!H425)</x:f>
      </x:c>
      <x:c r="G425" t="str">
        <x:f>IF(MonthlyStats!A425="","",MonthlyStats!I425)</x:f>
      </x:c>
      <x:c r="H425" t="str">
        <x:f>IF(MonthlyStats!A425="","",MonthlyStats!J425+MonthlyStats!K425)</x:f>
      </x:c>
      <x:c r="I425" t="str">
        <x:f>IF(MonthlyStats!A425="","",TEXT(MonthlyStats!O425,"₹#,##0")&amp;" public summary; "&amp;MonthlyStats!D425&amp;" cases")</x:f>
      </x:c>
      <x:c r="J425" t="str">
        <x:f>IF(MonthlyStats!A425="","","#")</x:f>
      </x:c>
      <x:c r="K425" t="str">
        <x:f>IF(MonthlyStats!A425="","",MonthlyStats!S425)</x:f>
      </x:c>
      <x:c r="L425" t="str">
        <x:f>IF(MonthlyStats!A425="","","Formula-linked")</x:f>
      </x:c>
    </x:row>
    <x:row r="426">
      <x:c r="A426" t="str">
        <x:f>IF(MonthlyStats!A426="","",MonthlyStats!A426)</x:f>
      </x:c>
      <x:c r="B426" t="str">
        <x:f>IF(MonthlyStats!A426="","",MonthlyStats!B426)</x:f>
      </x:c>
      <x:c r="C426" t="str">
        <x:f>IF(MonthlyStats!A426="","",MonthlyStats!E426)</x:f>
      </x:c>
      <x:c r="D426" t="str">
        <x:f>IF(MonthlyStats!A426="","",MonthlyStats!F426)</x:f>
      </x:c>
      <x:c r="E426" t="str">
        <x:f>IF(MonthlyStats!A426="","",MonthlyStats!G426)</x:f>
      </x:c>
      <x:c r="F426" t="str">
        <x:f>IF(MonthlyStats!A426="","",MonthlyStats!H426)</x:f>
      </x:c>
      <x:c r="G426" t="str">
        <x:f>IF(MonthlyStats!A426="","",MonthlyStats!I426)</x:f>
      </x:c>
      <x:c r="H426" t="str">
        <x:f>IF(MonthlyStats!A426="","",MonthlyStats!J426+MonthlyStats!K426)</x:f>
      </x:c>
      <x:c r="I426" t="str">
        <x:f>IF(MonthlyStats!A426="","",TEXT(MonthlyStats!O426,"₹#,##0")&amp;" public summary; "&amp;MonthlyStats!D426&amp;" cases")</x:f>
      </x:c>
      <x:c r="J426" t="str">
        <x:f>IF(MonthlyStats!A426="","","#")</x:f>
      </x:c>
      <x:c r="K426" t="str">
        <x:f>IF(MonthlyStats!A426="","",MonthlyStats!S426)</x:f>
      </x:c>
      <x:c r="L426" t="str">
        <x:f>IF(MonthlyStats!A426="","","Formula-linked")</x:f>
      </x:c>
    </x:row>
    <x:row r="427">
      <x:c r="A427" t="str">
        <x:f>IF(MonthlyStats!A427="","",MonthlyStats!A427)</x:f>
      </x:c>
      <x:c r="B427" t="str">
        <x:f>IF(MonthlyStats!A427="","",MonthlyStats!B427)</x:f>
      </x:c>
      <x:c r="C427" t="str">
        <x:f>IF(MonthlyStats!A427="","",MonthlyStats!E427)</x:f>
      </x:c>
      <x:c r="D427" t="str">
        <x:f>IF(MonthlyStats!A427="","",MonthlyStats!F427)</x:f>
      </x:c>
      <x:c r="E427" t="str">
        <x:f>IF(MonthlyStats!A427="","",MonthlyStats!G427)</x:f>
      </x:c>
      <x:c r="F427" t="str">
        <x:f>IF(MonthlyStats!A427="","",MonthlyStats!H427)</x:f>
      </x:c>
      <x:c r="G427" t="str">
        <x:f>IF(MonthlyStats!A427="","",MonthlyStats!I427)</x:f>
      </x:c>
      <x:c r="H427" t="str">
        <x:f>IF(MonthlyStats!A427="","",MonthlyStats!J427+MonthlyStats!K427)</x:f>
      </x:c>
      <x:c r="I427" t="str">
        <x:f>IF(MonthlyStats!A427="","",TEXT(MonthlyStats!O427,"₹#,##0")&amp;" public summary; "&amp;MonthlyStats!D427&amp;" cases")</x:f>
      </x:c>
      <x:c r="J427" t="str">
        <x:f>IF(MonthlyStats!A427="","","#")</x:f>
      </x:c>
      <x:c r="K427" t="str">
        <x:f>IF(MonthlyStats!A427="","",MonthlyStats!S427)</x:f>
      </x:c>
      <x:c r="L427" t="str">
        <x:f>IF(MonthlyStats!A427="","","Formula-linked")</x:f>
      </x:c>
    </x:row>
    <x:row r="428">
      <x:c r="A428" t="str">
        <x:f>IF(MonthlyStats!A428="","",MonthlyStats!A428)</x:f>
      </x:c>
      <x:c r="B428" t="str">
        <x:f>IF(MonthlyStats!A428="","",MonthlyStats!B428)</x:f>
      </x:c>
      <x:c r="C428" t="str">
        <x:f>IF(MonthlyStats!A428="","",MonthlyStats!E428)</x:f>
      </x:c>
      <x:c r="D428" t="str">
        <x:f>IF(MonthlyStats!A428="","",MonthlyStats!F428)</x:f>
      </x:c>
      <x:c r="E428" t="str">
        <x:f>IF(MonthlyStats!A428="","",MonthlyStats!G428)</x:f>
      </x:c>
      <x:c r="F428" t="str">
        <x:f>IF(MonthlyStats!A428="","",MonthlyStats!H428)</x:f>
      </x:c>
      <x:c r="G428" t="str">
        <x:f>IF(MonthlyStats!A428="","",MonthlyStats!I428)</x:f>
      </x:c>
      <x:c r="H428" t="str">
        <x:f>IF(MonthlyStats!A428="","",MonthlyStats!J428+MonthlyStats!K428)</x:f>
      </x:c>
      <x:c r="I428" t="str">
        <x:f>IF(MonthlyStats!A428="","",TEXT(MonthlyStats!O428,"₹#,##0")&amp;" public summary; "&amp;MonthlyStats!D428&amp;" cases")</x:f>
      </x:c>
      <x:c r="J428" t="str">
        <x:f>IF(MonthlyStats!A428="","","#")</x:f>
      </x:c>
      <x:c r="K428" t="str">
        <x:f>IF(MonthlyStats!A428="","",MonthlyStats!S428)</x:f>
      </x:c>
      <x:c r="L428" t="str">
        <x:f>IF(MonthlyStats!A428="","","Formula-linked")</x:f>
      </x:c>
    </x:row>
    <x:row r="429">
      <x:c r="A429" t="str">
        <x:f>IF(MonthlyStats!A429="","",MonthlyStats!A429)</x:f>
      </x:c>
      <x:c r="B429" t="str">
        <x:f>IF(MonthlyStats!A429="","",MonthlyStats!B429)</x:f>
      </x:c>
      <x:c r="C429" t="str">
        <x:f>IF(MonthlyStats!A429="","",MonthlyStats!E429)</x:f>
      </x:c>
      <x:c r="D429" t="str">
        <x:f>IF(MonthlyStats!A429="","",MonthlyStats!F429)</x:f>
      </x:c>
      <x:c r="E429" t="str">
        <x:f>IF(MonthlyStats!A429="","",MonthlyStats!G429)</x:f>
      </x:c>
      <x:c r="F429" t="str">
        <x:f>IF(MonthlyStats!A429="","",MonthlyStats!H429)</x:f>
      </x:c>
      <x:c r="G429" t="str">
        <x:f>IF(MonthlyStats!A429="","",MonthlyStats!I429)</x:f>
      </x:c>
      <x:c r="H429" t="str">
        <x:f>IF(MonthlyStats!A429="","",MonthlyStats!J429+MonthlyStats!K429)</x:f>
      </x:c>
      <x:c r="I429" t="str">
        <x:f>IF(MonthlyStats!A429="","",TEXT(MonthlyStats!O429,"₹#,##0")&amp;" public summary; "&amp;MonthlyStats!D429&amp;" cases")</x:f>
      </x:c>
      <x:c r="J429" t="str">
        <x:f>IF(MonthlyStats!A429="","","#")</x:f>
      </x:c>
      <x:c r="K429" t="str">
        <x:f>IF(MonthlyStats!A429="","",MonthlyStats!S429)</x:f>
      </x:c>
      <x:c r="L429" t="str">
        <x:f>IF(MonthlyStats!A429="","","Formula-linked")</x:f>
      </x:c>
    </x:row>
    <x:row r="430">
      <x:c r="A430" t="str">
        <x:f>IF(MonthlyStats!A430="","",MonthlyStats!A430)</x:f>
      </x:c>
      <x:c r="B430" t="str">
        <x:f>IF(MonthlyStats!A430="","",MonthlyStats!B430)</x:f>
      </x:c>
      <x:c r="C430" t="str">
        <x:f>IF(MonthlyStats!A430="","",MonthlyStats!E430)</x:f>
      </x:c>
      <x:c r="D430" t="str">
        <x:f>IF(MonthlyStats!A430="","",MonthlyStats!F430)</x:f>
      </x:c>
      <x:c r="E430" t="str">
        <x:f>IF(MonthlyStats!A430="","",MonthlyStats!G430)</x:f>
      </x:c>
      <x:c r="F430" t="str">
        <x:f>IF(MonthlyStats!A430="","",MonthlyStats!H430)</x:f>
      </x:c>
      <x:c r="G430" t="str">
        <x:f>IF(MonthlyStats!A430="","",MonthlyStats!I430)</x:f>
      </x:c>
      <x:c r="H430" t="str">
        <x:f>IF(MonthlyStats!A430="","",MonthlyStats!J430+MonthlyStats!K430)</x:f>
      </x:c>
      <x:c r="I430" t="str">
        <x:f>IF(MonthlyStats!A430="","",TEXT(MonthlyStats!O430,"₹#,##0")&amp;" public summary; "&amp;MonthlyStats!D430&amp;" cases")</x:f>
      </x:c>
      <x:c r="J430" t="str">
        <x:f>IF(MonthlyStats!A430="","","#")</x:f>
      </x:c>
      <x:c r="K430" t="str">
        <x:f>IF(MonthlyStats!A430="","",MonthlyStats!S430)</x:f>
      </x:c>
      <x:c r="L430" t="str">
        <x:f>IF(MonthlyStats!A430="","","Formula-linked")</x:f>
      </x:c>
    </x:row>
    <x:row r="431">
      <x:c r="A431" t="str">
        <x:f>IF(MonthlyStats!A431="","",MonthlyStats!A431)</x:f>
      </x:c>
      <x:c r="B431" t="str">
        <x:f>IF(MonthlyStats!A431="","",MonthlyStats!B431)</x:f>
      </x:c>
      <x:c r="C431" t="str">
        <x:f>IF(MonthlyStats!A431="","",MonthlyStats!E431)</x:f>
      </x:c>
      <x:c r="D431" t="str">
        <x:f>IF(MonthlyStats!A431="","",MonthlyStats!F431)</x:f>
      </x:c>
      <x:c r="E431" t="str">
        <x:f>IF(MonthlyStats!A431="","",MonthlyStats!G431)</x:f>
      </x:c>
      <x:c r="F431" t="str">
        <x:f>IF(MonthlyStats!A431="","",MonthlyStats!H431)</x:f>
      </x:c>
      <x:c r="G431" t="str">
        <x:f>IF(MonthlyStats!A431="","",MonthlyStats!I431)</x:f>
      </x:c>
      <x:c r="H431" t="str">
        <x:f>IF(MonthlyStats!A431="","",MonthlyStats!J431+MonthlyStats!K431)</x:f>
      </x:c>
      <x:c r="I431" t="str">
        <x:f>IF(MonthlyStats!A431="","",TEXT(MonthlyStats!O431,"₹#,##0")&amp;" public summary; "&amp;MonthlyStats!D431&amp;" cases")</x:f>
      </x:c>
      <x:c r="J431" t="str">
        <x:f>IF(MonthlyStats!A431="","","#")</x:f>
      </x:c>
      <x:c r="K431" t="str">
        <x:f>IF(MonthlyStats!A431="","",MonthlyStats!S431)</x:f>
      </x:c>
      <x:c r="L431" t="str">
        <x:f>IF(MonthlyStats!A431="","","Formula-linked")</x:f>
      </x:c>
    </x:row>
    <x:row r="432">
      <x:c r="A432" t="str">
        <x:f>IF(MonthlyStats!A432="","",MonthlyStats!A432)</x:f>
      </x:c>
      <x:c r="B432" t="str">
        <x:f>IF(MonthlyStats!A432="","",MonthlyStats!B432)</x:f>
      </x:c>
      <x:c r="C432" t="str">
        <x:f>IF(MonthlyStats!A432="","",MonthlyStats!E432)</x:f>
      </x:c>
      <x:c r="D432" t="str">
        <x:f>IF(MonthlyStats!A432="","",MonthlyStats!F432)</x:f>
      </x:c>
      <x:c r="E432" t="str">
        <x:f>IF(MonthlyStats!A432="","",MonthlyStats!G432)</x:f>
      </x:c>
      <x:c r="F432" t="str">
        <x:f>IF(MonthlyStats!A432="","",MonthlyStats!H432)</x:f>
      </x:c>
      <x:c r="G432" t="str">
        <x:f>IF(MonthlyStats!A432="","",MonthlyStats!I432)</x:f>
      </x:c>
      <x:c r="H432" t="str">
        <x:f>IF(MonthlyStats!A432="","",MonthlyStats!J432+MonthlyStats!K432)</x:f>
      </x:c>
      <x:c r="I432" t="str">
        <x:f>IF(MonthlyStats!A432="","",TEXT(MonthlyStats!O432,"₹#,##0")&amp;" public summary; "&amp;MonthlyStats!D432&amp;" cases")</x:f>
      </x:c>
      <x:c r="J432" t="str">
        <x:f>IF(MonthlyStats!A432="","","#")</x:f>
      </x:c>
      <x:c r="K432" t="str">
        <x:f>IF(MonthlyStats!A432="","",MonthlyStats!S432)</x:f>
      </x:c>
      <x:c r="L432" t="str">
        <x:f>IF(MonthlyStats!A432="","","Formula-linked")</x:f>
      </x:c>
    </x:row>
    <x:row r="433">
      <x:c r="A433" t="str">
        <x:f>IF(MonthlyStats!A433="","",MonthlyStats!A433)</x:f>
      </x:c>
      <x:c r="B433" t="str">
        <x:f>IF(MonthlyStats!A433="","",MonthlyStats!B433)</x:f>
      </x:c>
      <x:c r="C433" t="str">
        <x:f>IF(MonthlyStats!A433="","",MonthlyStats!E433)</x:f>
      </x:c>
      <x:c r="D433" t="str">
        <x:f>IF(MonthlyStats!A433="","",MonthlyStats!F433)</x:f>
      </x:c>
      <x:c r="E433" t="str">
        <x:f>IF(MonthlyStats!A433="","",MonthlyStats!G433)</x:f>
      </x:c>
      <x:c r="F433" t="str">
        <x:f>IF(MonthlyStats!A433="","",MonthlyStats!H433)</x:f>
      </x:c>
      <x:c r="G433" t="str">
        <x:f>IF(MonthlyStats!A433="","",MonthlyStats!I433)</x:f>
      </x:c>
      <x:c r="H433" t="str">
        <x:f>IF(MonthlyStats!A433="","",MonthlyStats!J433+MonthlyStats!K433)</x:f>
      </x:c>
      <x:c r="I433" t="str">
        <x:f>IF(MonthlyStats!A433="","",TEXT(MonthlyStats!O433,"₹#,##0")&amp;" public summary; "&amp;MonthlyStats!D433&amp;" cases")</x:f>
      </x:c>
      <x:c r="J433" t="str">
        <x:f>IF(MonthlyStats!A433="","","#")</x:f>
      </x:c>
      <x:c r="K433" t="str">
        <x:f>IF(MonthlyStats!A433="","",MonthlyStats!S433)</x:f>
      </x:c>
      <x:c r="L433" t="str">
        <x:f>IF(MonthlyStats!A433="","","Formula-linked")</x:f>
      </x:c>
    </x:row>
    <x:row r="434">
      <x:c r="A434" t="str">
        <x:f>IF(MonthlyStats!A434="","",MonthlyStats!A434)</x:f>
      </x:c>
      <x:c r="B434" t="str">
        <x:f>IF(MonthlyStats!A434="","",MonthlyStats!B434)</x:f>
      </x:c>
      <x:c r="C434" t="str">
        <x:f>IF(MonthlyStats!A434="","",MonthlyStats!E434)</x:f>
      </x:c>
      <x:c r="D434" t="str">
        <x:f>IF(MonthlyStats!A434="","",MonthlyStats!F434)</x:f>
      </x:c>
      <x:c r="E434" t="str">
        <x:f>IF(MonthlyStats!A434="","",MonthlyStats!G434)</x:f>
      </x:c>
      <x:c r="F434" t="str">
        <x:f>IF(MonthlyStats!A434="","",MonthlyStats!H434)</x:f>
      </x:c>
      <x:c r="G434" t="str">
        <x:f>IF(MonthlyStats!A434="","",MonthlyStats!I434)</x:f>
      </x:c>
      <x:c r="H434" t="str">
        <x:f>IF(MonthlyStats!A434="","",MonthlyStats!J434+MonthlyStats!K434)</x:f>
      </x:c>
      <x:c r="I434" t="str">
        <x:f>IF(MonthlyStats!A434="","",TEXT(MonthlyStats!O434,"₹#,##0")&amp;" public summary; "&amp;MonthlyStats!D434&amp;" cases")</x:f>
      </x:c>
      <x:c r="J434" t="str">
        <x:f>IF(MonthlyStats!A434="","","#")</x:f>
      </x:c>
      <x:c r="K434" t="str">
        <x:f>IF(MonthlyStats!A434="","",MonthlyStats!S434)</x:f>
      </x:c>
      <x:c r="L434" t="str">
        <x:f>IF(MonthlyStats!A434="","","Formula-linked")</x:f>
      </x:c>
    </x:row>
    <x:row r="435">
      <x:c r="A435" t="str">
        <x:f>IF(MonthlyStats!A435="","",MonthlyStats!A435)</x:f>
      </x:c>
      <x:c r="B435" t="str">
        <x:f>IF(MonthlyStats!A435="","",MonthlyStats!B435)</x:f>
      </x:c>
      <x:c r="C435" t="str">
        <x:f>IF(MonthlyStats!A435="","",MonthlyStats!E435)</x:f>
      </x:c>
      <x:c r="D435" t="str">
        <x:f>IF(MonthlyStats!A435="","",MonthlyStats!F435)</x:f>
      </x:c>
      <x:c r="E435" t="str">
        <x:f>IF(MonthlyStats!A435="","",MonthlyStats!G435)</x:f>
      </x:c>
      <x:c r="F435" t="str">
        <x:f>IF(MonthlyStats!A435="","",MonthlyStats!H435)</x:f>
      </x:c>
      <x:c r="G435" t="str">
        <x:f>IF(MonthlyStats!A435="","",MonthlyStats!I435)</x:f>
      </x:c>
      <x:c r="H435" t="str">
        <x:f>IF(MonthlyStats!A435="","",MonthlyStats!J435+MonthlyStats!K435)</x:f>
      </x:c>
      <x:c r="I435" t="str">
        <x:f>IF(MonthlyStats!A435="","",TEXT(MonthlyStats!O435,"₹#,##0")&amp;" public summary; "&amp;MonthlyStats!D435&amp;" cases")</x:f>
      </x:c>
      <x:c r="J435" t="str">
        <x:f>IF(MonthlyStats!A435="","","#")</x:f>
      </x:c>
      <x:c r="K435" t="str">
        <x:f>IF(MonthlyStats!A435="","",MonthlyStats!S435)</x:f>
      </x:c>
      <x:c r="L435" t="str">
        <x:f>IF(MonthlyStats!A435="","","Formula-linked")</x:f>
      </x:c>
    </x:row>
    <x:row r="436">
      <x:c r="A436" t="str">
        <x:f>IF(MonthlyStats!A436="","",MonthlyStats!A436)</x:f>
      </x:c>
      <x:c r="B436" t="str">
        <x:f>IF(MonthlyStats!A436="","",MonthlyStats!B436)</x:f>
      </x:c>
      <x:c r="C436" t="str">
        <x:f>IF(MonthlyStats!A436="","",MonthlyStats!E436)</x:f>
      </x:c>
      <x:c r="D436" t="str">
        <x:f>IF(MonthlyStats!A436="","",MonthlyStats!F436)</x:f>
      </x:c>
      <x:c r="E436" t="str">
        <x:f>IF(MonthlyStats!A436="","",MonthlyStats!G436)</x:f>
      </x:c>
      <x:c r="F436" t="str">
        <x:f>IF(MonthlyStats!A436="","",MonthlyStats!H436)</x:f>
      </x:c>
      <x:c r="G436" t="str">
        <x:f>IF(MonthlyStats!A436="","",MonthlyStats!I436)</x:f>
      </x:c>
      <x:c r="H436" t="str">
        <x:f>IF(MonthlyStats!A436="","",MonthlyStats!J436+MonthlyStats!K436)</x:f>
      </x:c>
      <x:c r="I436" t="str">
        <x:f>IF(MonthlyStats!A436="","",TEXT(MonthlyStats!O436,"₹#,##0")&amp;" public summary; "&amp;MonthlyStats!D436&amp;" cases")</x:f>
      </x:c>
      <x:c r="J436" t="str">
        <x:f>IF(MonthlyStats!A436="","","#")</x:f>
      </x:c>
      <x:c r="K436" t="str">
        <x:f>IF(MonthlyStats!A436="","",MonthlyStats!S436)</x:f>
      </x:c>
      <x:c r="L436" t="str">
        <x:f>IF(MonthlyStats!A436="","","Formula-linked")</x:f>
      </x:c>
    </x:row>
    <x:row r="437">
      <x:c r="A437" t="str">
        <x:f>IF(MonthlyStats!A437="","",MonthlyStats!A437)</x:f>
      </x:c>
      <x:c r="B437" t="str">
        <x:f>IF(MonthlyStats!A437="","",MonthlyStats!B437)</x:f>
      </x:c>
      <x:c r="C437" t="str">
        <x:f>IF(MonthlyStats!A437="","",MonthlyStats!E437)</x:f>
      </x:c>
      <x:c r="D437" t="str">
        <x:f>IF(MonthlyStats!A437="","",MonthlyStats!F437)</x:f>
      </x:c>
      <x:c r="E437" t="str">
        <x:f>IF(MonthlyStats!A437="","",MonthlyStats!G437)</x:f>
      </x:c>
      <x:c r="F437" t="str">
        <x:f>IF(MonthlyStats!A437="","",MonthlyStats!H437)</x:f>
      </x:c>
      <x:c r="G437" t="str">
        <x:f>IF(MonthlyStats!A437="","",MonthlyStats!I437)</x:f>
      </x:c>
      <x:c r="H437" t="str">
        <x:f>IF(MonthlyStats!A437="","",MonthlyStats!J437+MonthlyStats!K437)</x:f>
      </x:c>
      <x:c r="I437" t="str">
        <x:f>IF(MonthlyStats!A437="","",TEXT(MonthlyStats!O437,"₹#,##0")&amp;" public summary; "&amp;MonthlyStats!D437&amp;" cases")</x:f>
      </x:c>
      <x:c r="J437" t="str">
        <x:f>IF(MonthlyStats!A437="","","#")</x:f>
      </x:c>
      <x:c r="K437" t="str">
        <x:f>IF(MonthlyStats!A437="","",MonthlyStats!S437)</x:f>
      </x:c>
      <x:c r="L437" t="str">
        <x:f>IF(MonthlyStats!A437="","","Formula-linked")</x:f>
      </x:c>
    </x:row>
    <x:row r="438">
      <x:c r="A438" t="str">
        <x:f>IF(MonthlyStats!A438="","",MonthlyStats!A438)</x:f>
      </x:c>
      <x:c r="B438" t="str">
        <x:f>IF(MonthlyStats!A438="","",MonthlyStats!B438)</x:f>
      </x:c>
      <x:c r="C438" t="str">
        <x:f>IF(MonthlyStats!A438="","",MonthlyStats!E438)</x:f>
      </x:c>
      <x:c r="D438" t="str">
        <x:f>IF(MonthlyStats!A438="","",MonthlyStats!F438)</x:f>
      </x:c>
      <x:c r="E438" t="str">
        <x:f>IF(MonthlyStats!A438="","",MonthlyStats!G438)</x:f>
      </x:c>
      <x:c r="F438" t="str">
        <x:f>IF(MonthlyStats!A438="","",MonthlyStats!H438)</x:f>
      </x:c>
      <x:c r="G438" t="str">
        <x:f>IF(MonthlyStats!A438="","",MonthlyStats!I438)</x:f>
      </x:c>
      <x:c r="H438" t="str">
        <x:f>IF(MonthlyStats!A438="","",MonthlyStats!J438+MonthlyStats!K438)</x:f>
      </x:c>
      <x:c r="I438" t="str">
        <x:f>IF(MonthlyStats!A438="","",TEXT(MonthlyStats!O438,"₹#,##0")&amp;" public summary; "&amp;MonthlyStats!D438&amp;" cases")</x:f>
      </x:c>
      <x:c r="J438" t="str">
        <x:f>IF(MonthlyStats!A438="","","#")</x:f>
      </x:c>
      <x:c r="K438" t="str">
        <x:f>IF(MonthlyStats!A438="","",MonthlyStats!S438)</x:f>
      </x:c>
      <x:c r="L438" t="str">
        <x:f>IF(MonthlyStats!A438="","","Formula-linked")</x:f>
      </x:c>
    </x:row>
    <x:row r="439">
      <x:c r="A439" t="str">
        <x:f>IF(MonthlyStats!A439="","",MonthlyStats!A439)</x:f>
      </x:c>
      <x:c r="B439" t="str">
        <x:f>IF(MonthlyStats!A439="","",MonthlyStats!B439)</x:f>
      </x:c>
      <x:c r="C439" t="str">
        <x:f>IF(MonthlyStats!A439="","",MonthlyStats!E439)</x:f>
      </x:c>
      <x:c r="D439" t="str">
        <x:f>IF(MonthlyStats!A439="","",MonthlyStats!F439)</x:f>
      </x:c>
      <x:c r="E439" t="str">
        <x:f>IF(MonthlyStats!A439="","",MonthlyStats!G439)</x:f>
      </x:c>
      <x:c r="F439" t="str">
        <x:f>IF(MonthlyStats!A439="","",MonthlyStats!H439)</x:f>
      </x:c>
      <x:c r="G439" t="str">
        <x:f>IF(MonthlyStats!A439="","",MonthlyStats!I439)</x:f>
      </x:c>
      <x:c r="H439" t="str">
        <x:f>IF(MonthlyStats!A439="","",MonthlyStats!J439+MonthlyStats!K439)</x:f>
      </x:c>
      <x:c r="I439" t="str">
        <x:f>IF(MonthlyStats!A439="","",TEXT(MonthlyStats!O439,"₹#,##0")&amp;" public summary; "&amp;MonthlyStats!D439&amp;" cases")</x:f>
      </x:c>
      <x:c r="J439" t="str">
        <x:f>IF(MonthlyStats!A439="","","#")</x:f>
      </x:c>
      <x:c r="K439" t="str">
        <x:f>IF(MonthlyStats!A439="","",MonthlyStats!S439)</x:f>
      </x:c>
      <x:c r="L439" t="str">
        <x:f>IF(MonthlyStats!A439="","","Formula-linked")</x:f>
      </x:c>
    </x:row>
    <x:row r="440">
      <x:c r="A440" t="str">
        <x:f>IF(MonthlyStats!A440="","",MonthlyStats!A440)</x:f>
      </x:c>
      <x:c r="B440" t="str">
        <x:f>IF(MonthlyStats!A440="","",MonthlyStats!B440)</x:f>
      </x:c>
      <x:c r="C440" t="str">
        <x:f>IF(MonthlyStats!A440="","",MonthlyStats!E440)</x:f>
      </x:c>
      <x:c r="D440" t="str">
        <x:f>IF(MonthlyStats!A440="","",MonthlyStats!F440)</x:f>
      </x:c>
      <x:c r="E440" t="str">
        <x:f>IF(MonthlyStats!A440="","",MonthlyStats!G440)</x:f>
      </x:c>
      <x:c r="F440" t="str">
        <x:f>IF(MonthlyStats!A440="","",MonthlyStats!H440)</x:f>
      </x:c>
      <x:c r="G440" t="str">
        <x:f>IF(MonthlyStats!A440="","",MonthlyStats!I440)</x:f>
      </x:c>
      <x:c r="H440" t="str">
        <x:f>IF(MonthlyStats!A440="","",MonthlyStats!J440+MonthlyStats!K440)</x:f>
      </x:c>
      <x:c r="I440" t="str">
        <x:f>IF(MonthlyStats!A440="","",TEXT(MonthlyStats!O440,"₹#,##0")&amp;" public summary; "&amp;MonthlyStats!D440&amp;" cases")</x:f>
      </x:c>
      <x:c r="J440" t="str">
        <x:f>IF(MonthlyStats!A440="","","#")</x:f>
      </x:c>
      <x:c r="K440" t="str">
        <x:f>IF(MonthlyStats!A440="","",MonthlyStats!S440)</x:f>
      </x:c>
      <x:c r="L440" t="str">
        <x:f>IF(MonthlyStats!A440="","","Formula-linked")</x:f>
      </x:c>
    </x:row>
    <x:row r="441">
      <x:c r="A441" t="str">
        <x:f>IF(MonthlyStats!A441="","",MonthlyStats!A441)</x:f>
      </x:c>
      <x:c r="B441" t="str">
        <x:f>IF(MonthlyStats!A441="","",MonthlyStats!B441)</x:f>
      </x:c>
      <x:c r="C441" t="str">
        <x:f>IF(MonthlyStats!A441="","",MonthlyStats!E441)</x:f>
      </x:c>
      <x:c r="D441" t="str">
        <x:f>IF(MonthlyStats!A441="","",MonthlyStats!F441)</x:f>
      </x:c>
      <x:c r="E441" t="str">
        <x:f>IF(MonthlyStats!A441="","",MonthlyStats!G441)</x:f>
      </x:c>
      <x:c r="F441" t="str">
        <x:f>IF(MonthlyStats!A441="","",MonthlyStats!H441)</x:f>
      </x:c>
      <x:c r="G441" t="str">
        <x:f>IF(MonthlyStats!A441="","",MonthlyStats!I441)</x:f>
      </x:c>
      <x:c r="H441" t="str">
        <x:f>IF(MonthlyStats!A441="","",MonthlyStats!J441+MonthlyStats!K441)</x:f>
      </x:c>
      <x:c r="I441" t="str">
        <x:f>IF(MonthlyStats!A441="","",TEXT(MonthlyStats!O441,"₹#,##0")&amp;" public summary; "&amp;MonthlyStats!D441&amp;" cases")</x:f>
      </x:c>
      <x:c r="J441" t="str">
        <x:f>IF(MonthlyStats!A441="","","#")</x:f>
      </x:c>
      <x:c r="K441" t="str">
        <x:f>IF(MonthlyStats!A441="","",MonthlyStats!S441)</x:f>
      </x:c>
      <x:c r="L441" t="str">
        <x:f>IF(MonthlyStats!A441="","","Formula-linked")</x:f>
      </x:c>
    </x:row>
    <x:row r="442">
      <x:c r="A442" t="str">
        <x:f>IF(MonthlyStats!A442="","",MonthlyStats!A442)</x:f>
      </x:c>
      <x:c r="B442" t="str">
        <x:f>IF(MonthlyStats!A442="","",MonthlyStats!B442)</x:f>
      </x:c>
      <x:c r="C442" t="str">
        <x:f>IF(MonthlyStats!A442="","",MonthlyStats!E442)</x:f>
      </x:c>
      <x:c r="D442" t="str">
        <x:f>IF(MonthlyStats!A442="","",MonthlyStats!F442)</x:f>
      </x:c>
      <x:c r="E442" t="str">
        <x:f>IF(MonthlyStats!A442="","",MonthlyStats!G442)</x:f>
      </x:c>
      <x:c r="F442" t="str">
        <x:f>IF(MonthlyStats!A442="","",MonthlyStats!H442)</x:f>
      </x:c>
      <x:c r="G442" t="str">
        <x:f>IF(MonthlyStats!A442="","",MonthlyStats!I442)</x:f>
      </x:c>
      <x:c r="H442" t="str">
        <x:f>IF(MonthlyStats!A442="","",MonthlyStats!J442+MonthlyStats!K442)</x:f>
      </x:c>
      <x:c r="I442" t="str">
        <x:f>IF(MonthlyStats!A442="","",TEXT(MonthlyStats!O442,"₹#,##0")&amp;" public summary; "&amp;MonthlyStats!D442&amp;" cases")</x:f>
      </x:c>
      <x:c r="J442" t="str">
        <x:f>IF(MonthlyStats!A442="","","#")</x:f>
      </x:c>
      <x:c r="K442" t="str">
        <x:f>IF(MonthlyStats!A442="","",MonthlyStats!S442)</x:f>
      </x:c>
      <x:c r="L442" t="str">
        <x:f>IF(MonthlyStats!A442="","","Formula-linked")</x:f>
      </x:c>
    </x:row>
    <x:row r="443">
      <x:c r="A443" t="str">
        <x:f>IF(MonthlyStats!A443="","",MonthlyStats!A443)</x:f>
      </x:c>
      <x:c r="B443" t="str">
        <x:f>IF(MonthlyStats!A443="","",MonthlyStats!B443)</x:f>
      </x:c>
      <x:c r="C443" t="str">
        <x:f>IF(MonthlyStats!A443="","",MonthlyStats!E443)</x:f>
      </x:c>
      <x:c r="D443" t="str">
        <x:f>IF(MonthlyStats!A443="","",MonthlyStats!F443)</x:f>
      </x:c>
      <x:c r="E443" t="str">
        <x:f>IF(MonthlyStats!A443="","",MonthlyStats!G443)</x:f>
      </x:c>
      <x:c r="F443" t="str">
        <x:f>IF(MonthlyStats!A443="","",MonthlyStats!H443)</x:f>
      </x:c>
      <x:c r="G443" t="str">
        <x:f>IF(MonthlyStats!A443="","",MonthlyStats!I443)</x:f>
      </x:c>
      <x:c r="H443" t="str">
        <x:f>IF(MonthlyStats!A443="","",MonthlyStats!J443+MonthlyStats!K443)</x:f>
      </x:c>
      <x:c r="I443" t="str">
        <x:f>IF(MonthlyStats!A443="","",TEXT(MonthlyStats!O443,"₹#,##0")&amp;" public summary; "&amp;MonthlyStats!D443&amp;" cases")</x:f>
      </x:c>
      <x:c r="J443" t="str">
        <x:f>IF(MonthlyStats!A443="","","#")</x:f>
      </x:c>
      <x:c r="K443" t="str">
        <x:f>IF(MonthlyStats!A443="","",MonthlyStats!S443)</x:f>
      </x:c>
      <x:c r="L443" t="str">
        <x:f>IF(MonthlyStats!A443="","","Formula-linked")</x:f>
      </x:c>
    </x:row>
    <x:row r="444">
      <x:c r="A444" t="str">
        <x:f>IF(MonthlyStats!A444="","",MonthlyStats!A444)</x:f>
      </x:c>
      <x:c r="B444" t="str">
        <x:f>IF(MonthlyStats!A444="","",MonthlyStats!B444)</x:f>
      </x:c>
      <x:c r="C444" t="str">
        <x:f>IF(MonthlyStats!A444="","",MonthlyStats!E444)</x:f>
      </x:c>
      <x:c r="D444" t="str">
        <x:f>IF(MonthlyStats!A444="","",MonthlyStats!F444)</x:f>
      </x:c>
      <x:c r="E444" t="str">
        <x:f>IF(MonthlyStats!A444="","",MonthlyStats!G444)</x:f>
      </x:c>
      <x:c r="F444" t="str">
        <x:f>IF(MonthlyStats!A444="","",MonthlyStats!H444)</x:f>
      </x:c>
      <x:c r="G444" t="str">
        <x:f>IF(MonthlyStats!A444="","",MonthlyStats!I444)</x:f>
      </x:c>
      <x:c r="H444" t="str">
        <x:f>IF(MonthlyStats!A444="","",MonthlyStats!J444+MonthlyStats!K444)</x:f>
      </x:c>
      <x:c r="I444" t="str">
        <x:f>IF(MonthlyStats!A444="","",TEXT(MonthlyStats!O444,"₹#,##0")&amp;" public summary; "&amp;MonthlyStats!D444&amp;" cases")</x:f>
      </x:c>
      <x:c r="J444" t="str">
        <x:f>IF(MonthlyStats!A444="","","#")</x:f>
      </x:c>
      <x:c r="K444" t="str">
        <x:f>IF(MonthlyStats!A444="","",MonthlyStats!S444)</x:f>
      </x:c>
      <x:c r="L444" t="str">
        <x:f>IF(MonthlyStats!A444="","","Formula-linked")</x:f>
      </x:c>
    </x:row>
    <x:row r="445">
      <x:c r="A445" t="str">
        <x:f>IF(MonthlyStats!A445="","",MonthlyStats!A445)</x:f>
      </x:c>
      <x:c r="B445" t="str">
        <x:f>IF(MonthlyStats!A445="","",MonthlyStats!B445)</x:f>
      </x:c>
      <x:c r="C445" t="str">
        <x:f>IF(MonthlyStats!A445="","",MonthlyStats!E445)</x:f>
      </x:c>
      <x:c r="D445" t="str">
        <x:f>IF(MonthlyStats!A445="","",MonthlyStats!F445)</x:f>
      </x:c>
      <x:c r="E445" t="str">
        <x:f>IF(MonthlyStats!A445="","",MonthlyStats!G445)</x:f>
      </x:c>
      <x:c r="F445" t="str">
        <x:f>IF(MonthlyStats!A445="","",MonthlyStats!H445)</x:f>
      </x:c>
      <x:c r="G445" t="str">
        <x:f>IF(MonthlyStats!A445="","",MonthlyStats!I445)</x:f>
      </x:c>
      <x:c r="H445" t="str">
        <x:f>IF(MonthlyStats!A445="","",MonthlyStats!J445+MonthlyStats!K445)</x:f>
      </x:c>
      <x:c r="I445" t="str">
        <x:f>IF(MonthlyStats!A445="","",TEXT(MonthlyStats!O445,"₹#,##0")&amp;" public summary; "&amp;MonthlyStats!D445&amp;" cases")</x:f>
      </x:c>
      <x:c r="J445" t="str">
        <x:f>IF(MonthlyStats!A445="","","#")</x:f>
      </x:c>
      <x:c r="K445" t="str">
        <x:f>IF(MonthlyStats!A445="","",MonthlyStats!S445)</x:f>
      </x:c>
      <x:c r="L445" t="str">
        <x:f>IF(MonthlyStats!A445="","","Formula-linked")</x:f>
      </x:c>
    </x:row>
    <x:row r="446">
      <x:c r="A446" t="str">
        <x:f>IF(MonthlyStats!A446="","",MonthlyStats!A446)</x:f>
      </x:c>
      <x:c r="B446" t="str">
        <x:f>IF(MonthlyStats!A446="","",MonthlyStats!B446)</x:f>
      </x:c>
      <x:c r="C446" t="str">
        <x:f>IF(MonthlyStats!A446="","",MonthlyStats!E446)</x:f>
      </x:c>
      <x:c r="D446" t="str">
        <x:f>IF(MonthlyStats!A446="","",MonthlyStats!F446)</x:f>
      </x:c>
      <x:c r="E446" t="str">
        <x:f>IF(MonthlyStats!A446="","",MonthlyStats!G446)</x:f>
      </x:c>
      <x:c r="F446" t="str">
        <x:f>IF(MonthlyStats!A446="","",MonthlyStats!H446)</x:f>
      </x:c>
      <x:c r="G446" t="str">
        <x:f>IF(MonthlyStats!A446="","",MonthlyStats!I446)</x:f>
      </x:c>
      <x:c r="H446" t="str">
        <x:f>IF(MonthlyStats!A446="","",MonthlyStats!J446+MonthlyStats!K446)</x:f>
      </x:c>
      <x:c r="I446" t="str">
        <x:f>IF(MonthlyStats!A446="","",TEXT(MonthlyStats!O446,"₹#,##0")&amp;" public summary; "&amp;MonthlyStats!D446&amp;" cases")</x:f>
      </x:c>
      <x:c r="J446" t="str">
        <x:f>IF(MonthlyStats!A446="","","#")</x:f>
      </x:c>
      <x:c r="K446" t="str">
        <x:f>IF(MonthlyStats!A446="","",MonthlyStats!S446)</x:f>
      </x:c>
      <x:c r="L446" t="str">
        <x:f>IF(MonthlyStats!A446="","","Formula-linked")</x:f>
      </x:c>
    </x:row>
    <x:row r="447">
      <x:c r="A447" t="str">
        <x:f>IF(MonthlyStats!A447="","",MonthlyStats!A447)</x:f>
      </x:c>
      <x:c r="B447" t="str">
        <x:f>IF(MonthlyStats!A447="","",MonthlyStats!B447)</x:f>
      </x:c>
      <x:c r="C447" t="str">
        <x:f>IF(MonthlyStats!A447="","",MonthlyStats!E447)</x:f>
      </x:c>
      <x:c r="D447" t="str">
        <x:f>IF(MonthlyStats!A447="","",MonthlyStats!F447)</x:f>
      </x:c>
      <x:c r="E447" t="str">
        <x:f>IF(MonthlyStats!A447="","",MonthlyStats!G447)</x:f>
      </x:c>
      <x:c r="F447" t="str">
        <x:f>IF(MonthlyStats!A447="","",MonthlyStats!H447)</x:f>
      </x:c>
      <x:c r="G447" t="str">
        <x:f>IF(MonthlyStats!A447="","",MonthlyStats!I447)</x:f>
      </x:c>
      <x:c r="H447" t="str">
        <x:f>IF(MonthlyStats!A447="","",MonthlyStats!J447+MonthlyStats!K447)</x:f>
      </x:c>
      <x:c r="I447" t="str">
        <x:f>IF(MonthlyStats!A447="","",TEXT(MonthlyStats!O447,"₹#,##0")&amp;" public summary; "&amp;MonthlyStats!D447&amp;" cases")</x:f>
      </x:c>
      <x:c r="J447" t="str">
        <x:f>IF(MonthlyStats!A447="","","#")</x:f>
      </x:c>
      <x:c r="K447" t="str">
        <x:f>IF(MonthlyStats!A447="","",MonthlyStats!S447)</x:f>
      </x:c>
      <x:c r="L447" t="str">
        <x:f>IF(MonthlyStats!A447="","","Formula-linked")</x:f>
      </x:c>
    </x:row>
    <x:row r="448">
      <x:c r="A448" t="str">
        <x:f>IF(MonthlyStats!A448="","",MonthlyStats!A448)</x:f>
      </x:c>
      <x:c r="B448" t="str">
        <x:f>IF(MonthlyStats!A448="","",MonthlyStats!B448)</x:f>
      </x:c>
      <x:c r="C448" t="str">
        <x:f>IF(MonthlyStats!A448="","",MonthlyStats!E448)</x:f>
      </x:c>
      <x:c r="D448" t="str">
        <x:f>IF(MonthlyStats!A448="","",MonthlyStats!F448)</x:f>
      </x:c>
      <x:c r="E448" t="str">
        <x:f>IF(MonthlyStats!A448="","",MonthlyStats!G448)</x:f>
      </x:c>
      <x:c r="F448" t="str">
        <x:f>IF(MonthlyStats!A448="","",MonthlyStats!H448)</x:f>
      </x:c>
      <x:c r="G448" t="str">
        <x:f>IF(MonthlyStats!A448="","",MonthlyStats!I448)</x:f>
      </x:c>
      <x:c r="H448" t="str">
        <x:f>IF(MonthlyStats!A448="","",MonthlyStats!J448+MonthlyStats!K448)</x:f>
      </x:c>
      <x:c r="I448" t="str">
        <x:f>IF(MonthlyStats!A448="","",TEXT(MonthlyStats!O448,"₹#,##0")&amp;" public summary; "&amp;MonthlyStats!D448&amp;" cases")</x:f>
      </x:c>
      <x:c r="J448" t="str">
        <x:f>IF(MonthlyStats!A448="","","#")</x:f>
      </x:c>
      <x:c r="K448" t="str">
        <x:f>IF(MonthlyStats!A448="","",MonthlyStats!S448)</x:f>
      </x:c>
      <x:c r="L448" t="str">
        <x:f>IF(MonthlyStats!A448="","","Formula-linked")</x:f>
      </x:c>
    </x:row>
    <x:row r="449">
      <x:c r="A449" t="str">
        <x:f>IF(MonthlyStats!A449="","",MonthlyStats!A449)</x:f>
      </x:c>
      <x:c r="B449" t="str">
        <x:f>IF(MonthlyStats!A449="","",MonthlyStats!B449)</x:f>
      </x:c>
      <x:c r="C449" t="str">
        <x:f>IF(MonthlyStats!A449="","",MonthlyStats!E449)</x:f>
      </x:c>
      <x:c r="D449" t="str">
        <x:f>IF(MonthlyStats!A449="","",MonthlyStats!F449)</x:f>
      </x:c>
      <x:c r="E449" t="str">
        <x:f>IF(MonthlyStats!A449="","",MonthlyStats!G449)</x:f>
      </x:c>
      <x:c r="F449" t="str">
        <x:f>IF(MonthlyStats!A449="","",MonthlyStats!H449)</x:f>
      </x:c>
      <x:c r="G449" t="str">
        <x:f>IF(MonthlyStats!A449="","",MonthlyStats!I449)</x:f>
      </x:c>
      <x:c r="H449" t="str">
        <x:f>IF(MonthlyStats!A449="","",MonthlyStats!J449+MonthlyStats!K449)</x:f>
      </x:c>
      <x:c r="I449" t="str">
        <x:f>IF(MonthlyStats!A449="","",TEXT(MonthlyStats!O449,"₹#,##0")&amp;" public summary; "&amp;MonthlyStats!D449&amp;" cases")</x:f>
      </x:c>
      <x:c r="J449" t="str">
        <x:f>IF(MonthlyStats!A449="","","#")</x:f>
      </x:c>
      <x:c r="K449" t="str">
        <x:f>IF(MonthlyStats!A449="","",MonthlyStats!S449)</x:f>
      </x:c>
      <x:c r="L449" t="str">
        <x:f>IF(MonthlyStats!A449="","","Formula-linked")</x:f>
      </x:c>
    </x:row>
    <x:row r="450">
      <x:c r="A450" t="str">
        <x:f>IF(MonthlyStats!A450="","",MonthlyStats!A450)</x:f>
      </x:c>
      <x:c r="B450" t="str">
        <x:f>IF(MonthlyStats!A450="","",MonthlyStats!B450)</x:f>
      </x:c>
      <x:c r="C450" t="str">
        <x:f>IF(MonthlyStats!A450="","",MonthlyStats!E450)</x:f>
      </x:c>
      <x:c r="D450" t="str">
        <x:f>IF(MonthlyStats!A450="","",MonthlyStats!F450)</x:f>
      </x:c>
      <x:c r="E450" t="str">
        <x:f>IF(MonthlyStats!A450="","",MonthlyStats!G450)</x:f>
      </x:c>
      <x:c r="F450" t="str">
        <x:f>IF(MonthlyStats!A450="","",MonthlyStats!H450)</x:f>
      </x:c>
      <x:c r="G450" t="str">
        <x:f>IF(MonthlyStats!A450="","",MonthlyStats!I450)</x:f>
      </x:c>
      <x:c r="H450" t="str">
        <x:f>IF(MonthlyStats!A450="","",MonthlyStats!J450+MonthlyStats!K450)</x:f>
      </x:c>
      <x:c r="I450" t="str">
        <x:f>IF(MonthlyStats!A450="","",TEXT(MonthlyStats!O450,"₹#,##0")&amp;" public summary; "&amp;MonthlyStats!D450&amp;" cases")</x:f>
      </x:c>
      <x:c r="J450" t="str">
        <x:f>IF(MonthlyStats!A450="","","#")</x:f>
      </x:c>
      <x:c r="K450" t="str">
        <x:f>IF(MonthlyStats!A450="","",MonthlyStats!S450)</x:f>
      </x:c>
      <x:c r="L450" t="str">
        <x:f>IF(MonthlyStats!A450="","","Formula-linked")</x:f>
      </x:c>
    </x:row>
    <x:row r="451">
      <x:c r="A451" t="str">
        <x:f>IF(MonthlyStats!A451="","",MonthlyStats!A451)</x:f>
      </x:c>
      <x:c r="B451" t="str">
        <x:f>IF(MonthlyStats!A451="","",MonthlyStats!B451)</x:f>
      </x:c>
      <x:c r="C451" t="str">
        <x:f>IF(MonthlyStats!A451="","",MonthlyStats!E451)</x:f>
      </x:c>
      <x:c r="D451" t="str">
        <x:f>IF(MonthlyStats!A451="","",MonthlyStats!F451)</x:f>
      </x:c>
      <x:c r="E451" t="str">
        <x:f>IF(MonthlyStats!A451="","",MonthlyStats!G451)</x:f>
      </x:c>
      <x:c r="F451" t="str">
        <x:f>IF(MonthlyStats!A451="","",MonthlyStats!H451)</x:f>
      </x:c>
      <x:c r="G451" t="str">
        <x:f>IF(MonthlyStats!A451="","",MonthlyStats!I451)</x:f>
      </x:c>
      <x:c r="H451" t="str">
        <x:f>IF(MonthlyStats!A451="","",MonthlyStats!J451+MonthlyStats!K451)</x:f>
      </x:c>
      <x:c r="I451" t="str">
        <x:f>IF(MonthlyStats!A451="","",TEXT(MonthlyStats!O451,"₹#,##0")&amp;" public summary; "&amp;MonthlyStats!D451&amp;" cases")</x:f>
      </x:c>
      <x:c r="J451" t="str">
        <x:f>IF(MonthlyStats!A451="","","#")</x:f>
      </x:c>
      <x:c r="K451" t="str">
        <x:f>IF(MonthlyStats!A451="","",MonthlyStats!S451)</x:f>
      </x:c>
      <x:c r="L451" t="str">
        <x:f>IF(MonthlyStats!A451="","","Formula-linked")</x:f>
      </x:c>
    </x:row>
    <x:row r="452">
      <x:c r="A452" t="str">
        <x:f>IF(MonthlyStats!A452="","",MonthlyStats!A452)</x:f>
      </x:c>
      <x:c r="B452" t="str">
        <x:f>IF(MonthlyStats!A452="","",MonthlyStats!B452)</x:f>
      </x:c>
      <x:c r="C452" t="str">
        <x:f>IF(MonthlyStats!A452="","",MonthlyStats!E452)</x:f>
      </x:c>
      <x:c r="D452" t="str">
        <x:f>IF(MonthlyStats!A452="","",MonthlyStats!F452)</x:f>
      </x:c>
      <x:c r="E452" t="str">
        <x:f>IF(MonthlyStats!A452="","",MonthlyStats!G452)</x:f>
      </x:c>
      <x:c r="F452" t="str">
        <x:f>IF(MonthlyStats!A452="","",MonthlyStats!H452)</x:f>
      </x:c>
      <x:c r="G452" t="str">
        <x:f>IF(MonthlyStats!A452="","",MonthlyStats!I452)</x:f>
      </x:c>
      <x:c r="H452" t="str">
        <x:f>IF(MonthlyStats!A452="","",MonthlyStats!J452+MonthlyStats!K452)</x:f>
      </x:c>
      <x:c r="I452" t="str">
        <x:f>IF(MonthlyStats!A452="","",TEXT(MonthlyStats!O452,"₹#,##0")&amp;" public summary; "&amp;MonthlyStats!D452&amp;" cases")</x:f>
      </x:c>
      <x:c r="J452" t="str">
        <x:f>IF(MonthlyStats!A452="","","#")</x:f>
      </x:c>
      <x:c r="K452" t="str">
        <x:f>IF(MonthlyStats!A452="","",MonthlyStats!S452)</x:f>
      </x:c>
      <x:c r="L452" t="str">
        <x:f>IF(MonthlyStats!A452="","","Formula-linked")</x:f>
      </x:c>
    </x:row>
    <x:row r="453">
      <x:c r="A453" t="str">
        <x:f>IF(MonthlyStats!A453="","",MonthlyStats!A453)</x:f>
      </x:c>
      <x:c r="B453" t="str">
        <x:f>IF(MonthlyStats!A453="","",MonthlyStats!B453)</x:f>
      </x:c>
      <x:c r="C453" t="str">
        <x:f>IF(MonthlyStats!A453="","",MonthlyStats!E453)</x:f>
      </x:c>
      <x:c r="D453" t="str">
        <x:f>IF(MonthlyStats!A453="","",MonthlyStats!F453)</x:f>
      </x:c>
      <x:c r="E453" t="str">
        <x:f>IF(MonthlyStats!A453="","",MonthlyStats!G453)</x:f>
      </x:c>
      <x:c r="F453" t="str">
        <x:f>IF(MonthlyStats!A453="","",MonthlyStats!H453)</x:f>
      </x:c>
      <x:c r="G453" t="str">
        <x:f>IF(MonthlyStats!A453="","",MonthlyStats!I453)</x:f>
      </x:c>
      <x:c r="H453" t="str">
        <x:f>IF(MonthlyStats!A453="","",MonthlyStats!J453+MonthlyStats!K453)</x:f>
      </x:c>
      <x:c r="I453" t="str">
        <x:f>IF(MonthlyStats!A453="","",TEXT(MonthlyStats!O453,"₹#,##0")&amp;" public summary; "&amp;MonthlyStats!D453&amp;" cases")</x:f>
      </x:c>
      <x:c r="J453" t="str">
        <x:f>IF(MonthlyStats!A453="","","#")</x:f>
      </x:c>
      <x:c r="K453" t="str">
        <x:f>IF(MonthlyStats!A453="","",MonthlyStats!S453)</x:f>
      </x:c>
      <x:c r="L453" t="str">
        <x:f>IF(MonthlyStats!A453="","","Formula-linked")</x:f>
      </x:c>
    </x:row>
    <x:row r="454">
      <x:c r="A454" t="str">
        <x:f>IF(MonthlyStats!A454="","",MonthlyStats!A454)</x:f>
      </x:c>
      <x:c r="B454" t="str">
        <x:f>IF(MonthlyStats!A454="","",MonthlyStats!B454)</x:f>
      </x:c>
      <x:c r="C454" t="str">
        <x:f>IF(MonthlyStats!A454="","",MonthlyStats!E454)</x:f>
      </x:c>
      <x:c r="D454" t="str">
        <x:f>IF(MonthlyStats!A454="","",MonthlyStats!F454)</x:f>
      </x:c>
      <x:c r="E454" t="str">
        <x:f>IF(MonthlyStats!A454="","",MonthlyStats!G454)</x:f>
      </x:c>
      <x:c r="F454" t="str">
        <x:f>IF(MonthlyStats!A454="","",MonthlyStats!H454)</x:f>
      </x:c>
      <x:c r="G454" t="str">
        <x:f>IF(MonthlyStats!A454="","",MonthlyStats!I454)</x:f>
      </x:c>
      <x:c r="H454" t="str">
        <x:f>IF(MonthlyStats!A454="","",MonthlyStats!J454+MonthlyStats!K454)</x:f>
      </x:c>
      <x:c r="I454" t="str">
        <x:f>IF(MonthlyStats!A454="","",TEXT(MonthlyStats!O454,"₹#,##0")&amp;" public summary; "&amp;MonthlyStats!D454&amp;" cases")</x:f>
      </x:c>
      <x:c r="J454" t="str">
        <x:f>IF(MonthlyStats!A454="","","#")</x:f>
      </x:c>
      <x:c r="K454" t="str">
        <x:f>IF(MonthlyStats!A454="","",MonthlyStats!S454)</x:f>
      </x:c>
      <x:c r="L454" t="str">
        <x:f>IF(MonthlyStats!A454="","","Formula-linked")</x:f>
      </x:c>
    </x:row>
    <x:row r="455">
      <x:c r="A455" t="str">
        <x:f>IF(MonthlyStats!A455="","",MonthlyStats!A455)</x:f>
      </x:c>
      <x:c r="B455" t="str">
        <x:f>IF(MonthlyStats!A455="","",MonthlyStats!B455)</x:f>
      </x:c>
      <x:c r="C455" t="str">
        <x:f>IF(MonthlyStats!A455="","",MonthlyStats!E455)</x:f>
      </x:c>
      <x:c r="D455" t="str">
        <x:f>IF(MonthlyStats!A455="","",MonthlyStats!F455)</x:f>
      </x:c>
      <x:c r="E455" t="str">
        <x:f>IF(MonthlyStats!A455="","",MonthlyStats!G455)</x:f>
      </x:c>
      <x:c r="F455" t="str">
        <x:f>IF(MonthlyStats!A455="","",MonthlyStats!H455)</x:f>
      </x:c>
      <x:c r="G455" t="str">
        <x:f>IF(MonthlyStats!A455="","",MonthlyStats!I455)</x:f>
      </x:c>
      <x:c r="H455" t="str">
        <x:f>IF(MonthlyStats!A455="","",MonthlyStats!J455+MonthlyStats!K455)</x:f>
      </x:c>
      <x:c r="I455" t="str">
        <x:f>IF(MonthlyStats!A455="","",TEXT(MonthlyStats!O455,"₹#,##0")&amp;" public summary; "&amp;MonthlyStats!D455&amp;" cases")</x:f>
      </x:c>
      <x:c r="J455" t="str">
        <x:f>IF(MonthlyStats!A455="","","#")</x:f>
      </x:c>
      <x:c r="K455" t="str">
        <x:f>IF(MonthlyStats!A455="","",MonthlyStats!S455)</x:f>
      </x:c>
      <x:c r="L455" t="str">
        <x:f>IF(MonthlyStats!A455="","","Formula-linked")</x:f>
      </x:c>
    </x:row>
    <x:row r="456">
      <x:c r="A456" t="str">
        <x:f>IF(MonthlyStats!A456="","",MonthlyStats!A456)</x:f>
      </x:c>
      <x:c r="B456" t="str">
        <x:f>IF(MonthlyStats!A456="","",MonthlyStats!B456)</x:f>
      </x:c>
      <x:c r="C456" t="str">
        <x:f>IF(MonthlyStats!A456="","",MonthlyStats!E456)</x:f>
      </x:c>
      <x:c r="D456" t="str">
        <x:f>IF(MonthlyStats!A456="","",MonthlyStats!F456)</x:f>
      </x:c>
      <x:c r="E456" t="str">
        <x:f>IF(MonthlyStats!A456="","",MonthlyStats!G456)</x:f>
      </x:c>
      <x:c r="F456" t="str">
        <x:f>IF(MonthlyStats!A456="","",MonthlyStats!H456)</x:f>
      </x:c>
      <x:c r="G456" t="str">
        <x:f>IF(MonthlyStats!A456="","",MonthlyStats!I456)</x:f>
      </x:c>
      <x:c r="H456" t="str">
        <x:f>IF(MonthlyStats!A456="","",MonthlyStats!J456+MonthlyStats!K456)</x:f>
      </x:c>
      <x:c r="I456" t="str">
        <x:f>IF(MonthlyStats!A456="","",TEXT(MonthlyStats!O456,"₹#,##0")&amp;" public summary; "&amp;MonthlyStats!D456&amp;" cases")</x:f>
      </x:c>
      <x:c r="J456" t="str">
        <x:f>IF(MonthlyStats!A456="","","#")</x:f>
      </x:c>
      <x:c r="K456" t="str">
        <x:f>IF(MonthlyStats!A456="","",MonthlyStats!S456)</x:f>
      </x:c>
      <x:c r="L456" t="str">
        <x:f>IF(MonthlyStats!A456="","","Formula-linked")</x:f>
      </x:c>
    </x:row>
    <x:row r="457">
      <x:c r="A457" t="str">
        <x:f>IF(MonthlyStats!A457="","",MonthlyStats!A457)</x:f>
      </x:c>
      <x:c r="B457" t="str">
        <x:f>IF(MonthlyStats!A457="","",MonthlyStats!B457)</x:f>
      </x:c>
      <x:c r="C457" t="str">
        <x:f>IF(MonthlyStats!A457="","",MonthlyStats!E457)</x:f>
      </x:c>
      <x:c r="D457" t="str">
        <x:f>IF(MonthlyStats!A457="","",MonthlyStats!F457)</x:f>
      </x:c>
      <x:c r="E457" t="str">
        <x:f>IF(MonthlyStats!A457="","",MonthlyStats!G457)</x:f>
      </x:c>
      <x:c r="F457" t="str">
        <x:f>IF(MonthlyStats!A457="","",MonthlyStats!H457)</x:f>
      </x:c>
      <x:c r="G457" t="str">
        <x:f>IF(MonthlyStats!A457="","",MonthlyStats!I457)</x:f>
      </x:c>
      <x:c r="H457" t="str">
        <x:f>IF(MonthlyStats!A457="","",MonthlyStats!J457+MonthlyStats!K457)</x:f>
      </x:c>
      <x:c r="I457" t="str">
        <x:f>IF(MonthlyStats!A457="","",TEXT(MonthlyStats!O457,"₹#,##0")&amp;" public summary; "&amp;MonthlyStats!D457&amp;" cases")</x:f>
      </x:c>
      <x:c r="J457" t="str">
        <x:f>IF(MonthlyStats!A457="","","#")</x:f>
      </x:c>
      <x:c r="K457" t="str">
        <x:f>IF(MonthlyStats!A457="","",MonthlyStats!S457)</x:f>
      </x:c>
      <x:c r="L457" t="str">
        <x:f>IF(MonthlyStats!A457="","","Formula-linked")</x:f>
      </x:c>
    </x:row>
    <x:row r="458">
      <x:c r="A458" t="str">
        <x:f>IF(MonthlyStats!A458="","",MonthlyStats!A458)</x:f>
      </x:c>
      <x:c r="B458" t="str">
        <x:f>IF(MonthlyStats!A458="","",MonthlyStats!B458)</x:f>
      </x:c>
      <x:c r="C458" t="str">
        <x:f>IF(MonthlyStats!A458="","",MonthlyStats!E458)</x:f>
      </x:c>
      <x:c r="D458" t="str">
        <x:f>IF(MonthlyStats!A458="","",MonthlyStats!F458)</x:f>
      </x:c>
      <x:c r="E458" t="str">
        <x:f>IF(MonthlyStats!A458="","",MonthlyStats!G458)</x:f>
      </x:c>
      <x:c r="F458" t="str">
        <x:f>IF(MonthlyStats!A458="","",MonthlyStats!H458)</x:f>
      </x:c>
      <x:c r="G458" t="str">
        <x:f>IF(MonthlyStats!A458="","",MonthlyStats!I458)</x:f>
      </x:c>
      <x:c r="H458" t="str">
        <x:f>IF(MonthlyStats!A458="","",MonthlyStats!J458+MonthlyStats!K458)</x:f>
      </x:c>
      <x:c r="I458" t="str">
        <x:f>IF(MonthlyStats!A458="","",TEXT(MonthlyStats!O458,"₹#,##0")&amp;" public summary; "&amp;MonthlyStats!D458&amp;" cases")</x:f>
      </x:c>
      <x:c r="J458" t="str">
        <x:f>IF(MonthlyStats!A458="","","#")</x:f>
      </x:c>
      <x:c r="K458" t="str">
        <x:f>IF(MonthlyStats!A458="","",MonthlyStats!S458)</x:f>
      </x:c>
      <x:c r="L458" t="str">
        <x:f>IF(MonthlyStats!A458="","","Formula-linked")</x:f>
      </x:c>
    </x:row>
    <x:row r="459">
      <x:c r="A459" t="str">
        <x:f>IF(MonthlyStats!A459="","",MonthlyStats!A459)</x:f>
      </x:c>
      <x:c r="B459" t="str">
        <x:f>IF(MonthlyStats!A459="","",MonthlyStats!B459)</x:f>
      </x:c>
      <x:c r="C459" t="str">
        <x:f>IF(MonthlyStats!A459="","",MonthlyStats!E459)</x:f>
      </x:c>
      <x:c r="D459" t="str">
        <x:f>IF(MonthlyStats!A459="","",MonthlyStats!F459)</x:f>
      </x:c>
      <x:c r="E459" t="str">
        <x:f>IF(MonthlyStats!A459="","",MonthlyStats!G459)</x:f>
      </x:c>
      <x:c r="F459" t="str">
        <x:f>IF(MonthlyStats!A459="","",MonthlyStats!H459)</x:f>
      </x:c>
      <x:c r="G459" t="str">
        <x:f>IF(MonthlyStats!A459="","",MonthlyStats!I459)</x:f>
      </x:c>
      <x:c r="H459" t="str">
        <x:f>IF(MonthlyStats!A459="","",MonthlyStats!J459+MonthlyStats!K459)</x:f>
      </x:c>
      <x:c r="I459" t="str">
        <x:f>IF(MonthlyStats!A459="","",TEXT(MonthlyStats!O459,"₹#,##0")&amp;" public summary; "&amp;MonthlyStats!D459&amp;" cases")</x:f>
      </x:c>
      <x:c r="J459" t="str">
        <x:f>IF(MonthlyStats!A459="","","#")</x:f>
      </x:c>
      <x:c r="K459" t="str">
        <x:f>IF(MonthlyStats!A459="","",MonthlyStats!S459)</x:f>
      </x:c>
      <x:c r="L459" t="str">
        <x:f>IF(MonthlyStats!A459="","","Formula-linked")</x:f>
      </x:c>
    </x:row>
    <x:row r="460">
      <x:c r="A460" t="str">
        <x:f>IF(MonthlyStats!A460="","",MonthlyStats!A460)</x:f>
      </x:c>
      <x:c r="B460" t="str">
        <x:f>IF(MonthlyStats!A460="","",MonthlyStats!B460)</x:f>
      </x:c>
      <x:c r="C460" t="str">
        <x:f>IF(MonthlyStats!A460="","",MonthlyStats!E460)</x:f>
      </x:c>
      <x:c r="D460" t="str">
        <x:f>IF(MonthlyStats!A460="","",MonthlyStats!F460)</x:f>
      </x:c>
      <x:c r="E460" t="str">
        <x:f>IF(MonthlyStats!A460="","",MonthlyStats!G460)</x:f>
      </x:c>
      <x:c r="F460" t="str">
        <x:f>IF(MonthlyStats!A460="","",MonthlyStats!H460)</x:f>
      </x:c>
      <x:c r="G460" t="str">
        <x:f>IF(MonthlyStats!A460="","",MonthlyStats!I460)</x:f>
      </x:c>
      <x:c r="H460" t="str">
        <x:f>IF(MonthlyStats!A460="","",MonthlyStats!J460+MonthlyStats!K460)</x:f>
      </x:c>
      <x:c r="I460" t="str">
        <x:f>IF(MonthlyStats!A460="","",TEXT(MonthlyStats!O460,"₹#,##0")&amp;" public summary; "&amp;MonthlyStats!D460&amp;" cases")</x:f>
      </x:c>
      <x:c r="J460" t="str">
        <x:f>IF(MonthlyStats!A460="","","#")</x:f>
      </x:c>
      <x:c r="K460" t="str">
        <x:f>IF(MonthlyStats!A460="","",MonthlyStats!S460)</x:f>
      </x:c>
      <x:c r="L460" t="str">
        <x:f>IF(MonthlyStats!A460="","","Formula-linked")</x:f>
      </x:c>
    </x:row>
    <x:row r="461">
      <x:c r="A461" t="str">
        <x:f>IF(MonthlyStats!A461="","",MonthlyStats!A461)</x:f>
      </x:c>
      <x:c r="B461" t="str">
        <x:f>IF(MonthlyStats!A461="","",MonthlyStats!B461)</x:f>
      </x:c>
      <x:c r="C461" t="str">
        <x:f>IF(MonthlyStats!A461="","",MonthlyStats!E461)</x:f>
      </x:c>
      <x:c r="D461" t="str">
        <x:f>IF(MonthlyStats!A461="","",MonthlyStats!F461)</x:f>
      </x:c>
      <x:c r="E461" t="str">
        <x:f>IF(MonthlyStats!A461="","",MonthlyStats!G461)</x:f>
      </x:c>
      <x:c r="F461" t="str">
        <x:f>IF(MonthlyStats!A461="","",MonthlyStats!H461)</x:f>
      </x:c>
      <x:c r="G461" t="str">
        <x:f>IF(MonthlyStats!A461="","",MonthlyStats!I461)</x:f>
      </x:c>
      <x:c r="H461" t="str">
        <x:f>IF(MonthlyStats!A461="","",MonthlyStats!J461+MonthlyStats!K461)</x:f>
      </x:c>
      <x:c r="I461" t="str">
        <x:f>IF(MonthlyStats!A461="","",TEXT(MonthlyStats!O461,"₹#,##0")&amp;" public summary; "&amp;MonthlyStats!D461&amp;" cases")</x:f>
      </x:c>
      <x:c r="J461" t="str">
        <x:f>IF(MonthlyStats!A461="","","#")</x:f>
      </x:c>
      <x:c r="K461" t="str">
        <x:f>IF(MonthlyStats!A461="","",MonthlyStats!S461)</x:f>
      </x:c>
      <x:c r="L461" t="str">
        <x:f>IF(MonthlyStats!A461="","","Formula-linked")</x:f>
      </x:c>
    </x:row>
    <x:row r="462">
      <x:c r="A462" t="str">
        <x:f>IF(MonthlyStats!A462="","",MonthlyStats!A462)</x:f>
      </x:c>
      <x:c r="B462" t="str">
        <x:f>IF(MonthlyStats!A462="","",MonthlyStats!B462)</x:f>
      </x:c>
      <x:c r="C462" t="str">
        <x:f>IF(MonthlyStats!A462="","",MonthlyStats!E462)</x:f>
      </x:c>
      <x:c r="D462" t="str">
        <x:f>IF(MonthlyStats!A462="","",MonthlyStats!F462)</x:f>
      </x:c>
      <x:c r="E462" t="str">
        <x:f>IF(MonthlyStats!A462="","",MonthlyStats!G462)</x:f>
      </x:c>
      <x:c r="F462" t="str">
        <x:f>IF(MonthlyStats!A462="","",MonthlyStats!H462)</x:f>
      </x:c>
      <x:c r="G462" t="str">
        <x:f>IF(MonthlyStats!A462="","",MonthlyStats!I462)</x:f>
      </x:c>
      <x:c r="H462" t="str">
        <x:f>IF(MonthlyStats!A462="","",MonthlyStats!J462+MonthlyStats!K462)</x:f>
      </x:c>
      <x:c r="I462" t="str">
        <x:f>IF(MonthlyStats!A462="","",TEXT(MonthlyStats!O462,"₹#,##0")&amp;" public summary; "&amp;MonthlyStats!D462&amp;" cases")</x:f>
      </x:c>
      <x:c r="J462" t="str">
        <x:f>IF(MonthlyStats!A462="","","#")</x:f>
      </x:c>
      <x:c r="K462" t="str">
        <x:f>IF(MonthlyStats!A462="","",MonthlyStats!S462)</x:f>
      </x:c>
      <x:c r="L462" t="str">
        <x:f>IF(MonthlyStats!A462="","","Formula-linked")</x:f>
      </x:c>
    </x:row>
    <x:row r="463">
      <x:c r="A463" t="str">
        <x:f>IF(MonthlyStats!A463="","",MonthlyStats!A463)</x:f>
      </x:c>
      <x:c r="B463" t="str">
        <x:f>IF(MonthlyStats!A463="","",MonthlyStats!B463)</x:f>
      </x:c>
      <x:c r="C463" t="str">
        <x:f>IF(MonthlyStats!A463="","",MonthlyStats!E463)</x:f>
      </x:c>
      <x:c r="D463" t="str">
        <x:f>IF(MonthlyStats!A463="","",MonthlyStats!F463)</x:f>
      </x:c>
      <x:c r="E463" t="str">
        <x:f>IF(MonthlyStats!A463="","",MonthlyStats!G463)</x:f>
      </x:c>
      <x:c r="F463" t="str">
        <x:f>IF(MonthlyStats!A463="","",MonthlyStats!H463)</x:f>
      </x:c>
      <x:c r="G463" t="str">
        <x:f>IF(MonthlyStats!A463="","",MonthlyStats!I463)</x:f>
      </x:c>
      <x:c r="H463" t="str">
        <x:f>IF(MonthlyStats!A463="","",MonthlyStats!J463+MonthlyStats!K463)</x:f>
      </x:c>
      <x:c r="I463" t="str">
        <x:f>IF(MonthlyStats!A463="","",TEXT(MonthlyStats!O463,"₹#,##0")&amp;" public summary; "&amp;MonthlyStats!D463&amp;" cases")</x:f>
      </x:c>
      <x:c r="J463" t="str">
        <x:f>IF(MonthlyStats!A463="","","#")</x:f>
      </x:c>
      <x:c r="K463" t="str">
        <x:f>IF(MonthlyStats!A463="","",MonthlyStats!S463)</x:f>
      </x:c>
      <x:c r="L463" t="str">
        <x:f>IF(MonthlyStats!A463="","","Formula-linked")</x:f>
      </x:c>
    </x:row>
    <x:row r="464">
      <x:c r="A464" t="str">
        <x:f>IF(MonthlyStats!A464="","",MonthlyStats!A464)</x:f>
      </x:c>
      <x:c r="B464" t="str">
        <x:f>IF(MonthlyStats!A464="","",MonthlyStats!B464)</x:f>
      </x:c>
      <x:c r="C464" t="str">
        <x:f>IF(MonthlyStats!A464="","",MonthlyStats!E464)</x:f>
      </x:c>
      <x:c r="D464" t="str">
        <x:f>IF(MonthlyStats!A464="","",MonthlyStats!F464)</x:f>
      </x:c>
      <x:c r="E464" t="str">
        <x:f>IF(MonthlyStats!A464="","",MonthlyStats!G464)</x:f>
      </x:c>
      <x:c r="F464" t="str">
        <x:f>IF(MonthlyStats!A464="","",MonthlyStats!H464)</x:f>
      </x:c>
      <x:c r="G464" t="str">
        <x:f>IF(MonthlyStats!A464="","",MonthlyStats!I464)</x:f>
      </x:c>
      <x:c r="H464" t="str">
        <x:f>IF(MonthlyStats!A464="","",MonthlyStats!J464+MonthlyStats!K464)</x:f>
      </x:c>
      <x:c r="I464" t="str">
        <x:f>IF(MonthlyStats!A464="","",TEXT(MonthlyStats!O464,"₹#,##0")&amp;" public summary; "&amp;MonthlyStats!D464&amp;" cases")</x:f>
      </x:c>
      <x:c r="J464" t="str">
        <x:f>IF(MonthlyStats!A464="","","#")</x:f>
      </x:c>
      <x:c r="K464" t="str">
        <x:f>IF(MonthlyStats!A464="","",MonthlyStats!S464)</x:f>
      </x:c>
      <x:c r="L464" t="str">
        <x:f>IF(MonthlyStats!A464="","","Formula-linked")</x:f>
      </x:c>
    </x:row>
    <x:row r="465">
      <x:c r="A465" t="str">
        <x:f>IF(MonthlyStats!A465="","",MonthlyStats!A465)</x:f>
      </x:c>
      <x:c r="B465" t="str">
        <x:f>IF(MonthlyStats!A465="","",MonthlyStats!B465)</x:f>
      </x:c>
      <x:c r="C465" t="str">
        <x:f>IF(MonthlyStats!A465="","",MonthlyStats!E465)</x:f>
      </x:c>
      <x:c r="D465" t="str">
        <x:f>IF(MonthlyStats!A465="","",MonthlyStats!F465)</x:f>
      </x:c>
      <x:c r="E465" t="str">
        <x:f>IF(MonthlyStats!A465="","",MonthlyStats!G465)</x:f>
      </x:c>
      <x:c r="F465" t="str">
        <x:f>IF(MonthlyStats!A465="","",MonthlyStats!H465)</x:f>
      </x:c>
      <x:c r="G465" t="str">
        <x:f>IF(MonthlyStats!A465="","",MonthlyStats!I465)</x:f>
      </x:c>
      <x:c r="H465" t="str">
        <x:f>IF(MonthlyStats!A465="","",MonthlyStats!J465+MonthlyStats!K465)</x:f>
      </x:c>
      <x:c r="I465" t="str">
        <x:f>IF(MonthlyStats!A465="","",TEXT(MonthlyStats!O465,"₹#,##0")&amp;" public summary; "&amp;MonthlyStats!D465&amp;" cases")</x:f>
      </x:c>
      <x:c r="J465" t="str">
        <x:f>IF(MonthlyStats!A465="","","#")</x:f>
      </x:c>
      <x:c r="K465" t="str">
        <x:f>IF(MonthlyStats!A465="","",MonthlyStats!S465)</x:f>
      </x:c>
      <x:c r="L465" t="str">
        <x:f>IF(MonthlyStats!A465="","","Formula-linked")</x:f>
      </x:c>
    </x:row>
    <x:row r="466">
      <x:c r="A466" t="str">
        <x:f>IF(MonthlyStats!A466="","",MonthlyStats!A466)</x:f>
      </x:c>
      <x:c r="B466" t="str">
        <x:f>IF(MonthlyStats!A466="","",MonthlyStats!B466)</x:f>
      </x:c>
      <x:c r="C466" t="str">
        <x:f>IF(MonthlyStats!A466="","",MonthlyStats!E466)</x:f>
      </x:c>
      <x:c r="D466" t="str">
        <x:f>IF(MonthlyStats!A466="","",MonthlyStats!F466)</x:f>
      </x:c>
      <x:c r="E466" t="str">
        <x:f>IF(MonthlyStats!A466="","",MonthlyStats!G466)</x:f>
      </x:c>
      <x:c r="F466" t="str">
        <x:f>IF(MonthlyStats!A466="","",MonthlyStats!H466)</x:f>
      </x:c>
      <x:c r="G466" t="str">
        <x:f>IF(MonthlyStats!A466="","",MonthlyStats!I466)</x:f>
      </x:c>
      <x:c r="H466" t="str">
        <x:f>IF(MonthlyStats!A466="","",MonthlyStats!J466+MonthlyStats!K466)</x:f>
      </x:c>
      <x:c r="I466" t="str">
        <x:f>IF(MonthlyStats!A466="","",TEXT(MonthlyStats!O466,"₹#,##0")&amp;" public summary; "&amp;MonthlyStats!D466&amp;" cases")</x:f>
      </x:c>
      <x:c r="J466" t="str">
        <x:f>IF(MonthlyStats!A466="","","#")</x:f>
      </x:c>
      <x:c r="K466" t="str">
        <x:f>IF(MonthlyStats!A466="","",MonthlyStats!S466)</x:f>
      </x:c>
      <x:c r="L466" t="str">
        <x:f>IF(MonthlyStats!A466="","","Formula-linked")</x:f>
      </x:c>
    </x:row>
    <x:row r="467">
      <x:c r="A467" t="str">
        <x:f>IF(MonthlyStats!A467="","",MonthlyStats!A467)</x:f>
      </x:c>
      <x:c r="B467" t="str">
        <x:f>IF(MonthlyStats!A467="","",MonthlyStats!B467)</x:f>
      </x:c>
      <x:c r="C467" t="str">
        <x:f>IF(MonthlyStats!A467="","",MonthlyStats!E467)</x:f>
      </x:c>
      <x:c r="D467" t="str">
        <x:f>IF(MonthlyStats!A467="","",MonthlyStats!F467)</x:f>
      </x:c>
      <x:c r="E467" t="str">
        <x:f>IF(MonthlyStats!A467="","",MonthlyStats!G467)</x:f>
      </x:c>
      <x:c r="F467" t="str">
        <x:f>IF(MonthlyStats!A467="","",MonthlyStats!H467)</x:f>
      </x:c>
      <x:c r="G467" t="str">
        <x:f>IF(MonthlyStats!A467="","",MonthlyStats!I467)</x:f>
      </x:c>
      <x:c r="H467" t="str">
        <x:f>IF(MonthlyStats!A467="","",MonthlyStats!J467+MonthlyStats!K467)</x:f>
      </x:c>
      <x:c r="I467" t="str">
        <x:f>IF(MonthlyStats!A467="","",TEXT(MonthlyStats!O467,"₹#,##0")&amp;" public summary; "&amp;MonthlyStats!D467&amp;" cases")</x:f>
      </x:c>
      <x:c r="J467" t="str">
        <x:f>IF(MonthlyStats!A467="","","#")</x:f>
      </x:c>
      <x:c r="K467" t="str">
        <x:f>IF(MonthlyStats!A467="","",MonthlyStats!S467)</x:f>
      </x:c>
      <x:c r="L467" t="str">
        <x:f>IF(MonthlyStats!A467="","","Formula-linked")</x:f>
      </x:c>
    </x:row>
    <x:row r="468">
      <x:c r="A468" t="str">
        <x:f>IF(MonthlyStats!A468="","",MonthlyStats!A468)</x:f>
      </x:c>
      <x:c r="B468" t="str">
        <x:f>IF(MonthlyStats!A468="","",MonthlyStats!B468)</x:f>
      </x:c>
      <x:c r="C468" t="str">
        <x:f>IF(MonthlyStats!A468="","",MonthlyStats!E468)</x:f>
      </x:c>
      <x:c r="D468" t="str">
        <x:f>IF(MonthlyStats!A468="","",MonthlyStats!F468)</x:f>
      </x:c>
      <x:c r="E468" t="str">
        <x:f>IF(MonthlyStats!A468="","",MonthlyStats!G468)</x:f>
      </x:c>
      <x:c r="F468" t="str">
        <x:f>IF(MonthlyStats!A468="","",MonthlyStats!H468)</x:f>
      </x:c>
      <x:c r="G468" t="str">
        <x:f>IF(MonthlyStats!A468="","",MonthlyStats!I468)</x:f>
      </x:c>
      <x:c r="H468" t="str">
        <x:f>IF(MonthlyStats!A468="","",MonthlyStats!J468+MonthlyStats!K468)</x:f>
      </x:c>
      <x:c r="I468" t="str">
        <x:f>IF(MonthlyStats!A468="","",TEXT(MonthlyStats!O468,"₹#,##0")&amp;" public summary; "&amp;MonthlyStats!D468&amp;" cases")</x:f>
      </x:c>
      <x:c r="J468" t="str">
        <x:f>IF(MonthlyStats!A468="","","#")</x:f>
      </x:c>
      <x:c r="K468" t="str">
        <x:f>IF(MonthlyStats!A468="","",MonthlyStats!S468)</x:f>
      </x:c>
      <x:c r="L468" t="str">
        <x:f>IF(MonthlyStats!A468="","","Formula-linked")</x:f>
      </x:c>
    </x:row>
    <x:row r="469">
      <x:c r="A469" t="str">
        <x:f>IF(MonthlyStats!A469="","",MonthlyStats!A469)</x:f>
      </x:c>
      <x:c r="B469" t="str">
        <x:f>IF(MonthlyStats!A469="","",MonthlyStats!B469)</x:f>
      </x:c>
      <x:c r="C469" t="str">
        <x:f>IF(MonthlyStats!A469="","",MonthlyStats!E469)</x:f>
      </x:c>
      <x:c r="D469" t="str">
        <x:f>IF(MonthlyStats!A469="","",MonthlyStats!F469)</x:f>
      </x:c>
      <x:c r="E469" t="str">
        <x:f>IF(MonthlyStats!A469="","",MonthlyStats!G469)</x:f>
      </x:c>
      <x:c r="F469" t="str">
        <x:f>IF(MonthlyStats!A469="","",MonthlyStats!H469)</x:f>
      </x:c>
      <x:c r="G469" t="str">
        <x:f>IF(MonthlyStats!A469="","",MonthlyStats!I469)</x:f>
      </x:c>
      <x:c r="H469" t="str">
        <x:f>IF(MonthlyStats!A469="","",MonthlyStats!J469+MonthlyStats!K469)</x:f>
      </x:c>
      <x:c r="I469" t="str">
        <x:f>IF(MonthlyStats!A469="","",TEXT(MonthlyStats!O469,"₹#,##0")&amp;" public summary; "&amp;MonthlyStats!D469&amp;" cases")</x:f>
      </x:c>
      <x:c r="J469" t="str">
        <x:f>IF(MonthlyStats!A469="","","#")</x:f>
      </x:c>
      <x:c r="K469" t="str">
        <x:f>IF(MonthlyStats!A469="","",MonthlyStats!S469)</x:f>
      </x:c>
      <x:c r="L469" t="str">
        <x:f>IF(MonthlyStats!A469="","","Formula-linked")</x:f>
      </x:c>
    </x:row>
    <x:row r="470">
      <x:c r="A470" t="str">
        <x:f>IF(MonthlyStats!A470="","",MonthlyStats!A470)</x:f>
      </x:c>
      <x:c r="B470" t="str">
        <x:f>IF(MonthlyStats!A470="","",MonthlyStats!B470)</x:f>
      </x:c>
      <x:c r="C470" t="str">
        <x:f>IF(MonthlyStats!A470="","",MonthlyStats!E470)</x:f>
      </x:c>
      <x:c r="D470" t="str">
        <x:f>IF(MonthlyStats!A470="","",MonthlyStats!F470)</x:f>
      </x:c>
      <x:c r="E470" t="str">
        <x:f>IF(MonthlyStats!A470="","",MonthlyStats!G470)</x:f>
      </x:c>
      <x:c r="F470" t="str">
        <x:f>IF(MonthlyStats!A470="","",MonthlyStats!H470)</x:f>
      </x:c>
      <x:c r="G470" t="str">
        <x:f>IF(MonthlyStats!A470="","",MonthlyStats!I470)</x:f>
      </x:c>
      <x:c r="H470" t="str">
        <x:f>IF(MonthlyStats!A470="","",MonthlyStats!J470+MonthlyStats!K470)</x:f>
      </x:c>
      <x:c r="I470" t="str">
        <x:f>IF(MonthlyStats!A470="","",TEXT(MonthlyStats!O470,"₹#,##0")&amp;" public summary; "&amp;MonthlyStats!D470&amp;" cases")</x:f>
      </x:c>
      <x:c r="J470" t="str">
        <x:f>IF(MonthlyStats!A470="","","#")</x:f>
      </x:c>
      <x:c r="K470" t="str">
        <x:f>IF(MonthlyStats!A470="","",MonthlyStats!S470)</x:f>
      </x:c>
      <x:c r="L470" t="str">
        <x:f>IF(MonthlyStats!A470="","","Formula-linked")</x:f>
      </x:c>
    </x:row>
    <x:row r="471">
      <x:c r="A471" t="str">
        <x:f>IF(MonthlyStats!A471="","",MonthlyStats!A471)</x:f>
      </x:c>
      <x:c r="B471" t="str">
        <x:f>IF(MonthlyStats!A471="","",MonthlyStats!B471)</x:f>
      </x:c>
      <x:c r="C471" t="str">
        <x:f>IF(MonthlyStats!A471="","",MonthlyStats!E471)</x:f>
      </x:c>
      <x:c r="D471" t="str">
        <x:f>IF(MonthlyStats!A471="","",MonthlyStats!F471)</x:f>
      </x:c>
      <x:c r="E471" t="str">
        <x:f>IF(MonthlyStats!A471="","",MonthlyStats!G471)</x:f>
      </x:c>
      <x:c r="F471" t="str">
        <x:f>IF(MonthlyStats!A471="","",MonthlyStats!H471)</x:f>
      </x:c>
      <x:c r="G471" t="str">
        <x:f>IF(MonthlyStats!A471="","",MonthlyStats!I471)</x:f>
      </x:c>
      <x:c r="H471" t="str">
        <x:f>IF(MonthlyStats!A471="","",MonthlyStats!J471+MonthlyStats!K471)</x:f>
      </x:c>
      <x:c r="I471" t="str">
        <x:f>IF(MonthlyStats!A471="","",TEXT(MonthlyStats!O471,"₹#,##0")&amp;" public summary; "&amp;MonthlyStats!D471&amp;" cases")</x:f>
      </x:c>
      <x:c r="J471" t="str">
        <x:f>IF(MonthlyStats!A471="","","#")</x:f>
      </x:c>
      <x:c r="K471" t="str">
        <x:f>IF(MonthlyStats!A471="","",MonthlyStats!S471)</x:f>
      </x:c>
      <x:c r="L471" t="str">
        <x:f>IF(MonthlyStats!A471="","","Formula-linked")</x:f>
      </x:c>
    </x:row>
    <x:row r="472">
      <x:c r="A472" t="str">
        <x:f>IF(MonthlyStats!A472="","",MonthlyStats!A472)</x:f>
      </x:c>
      <x:c r="B472" t="str">
        <x:f>IF(MonthlyStats!A472="","",MonthlyStats!B472)</x:f>
      </x:c>
      <x:c r="C472" t="str">
        <x:f>IF(MonthlyStats!A472="","",MonthlyStats!E472)</x:f>
      </x:c>
      <x:c r="D472" t="str">
        <x:f>IF(MonthlyStats!A472="","",MonthlyStats!F472)</x:f>
      </x:c>
      <x:c r="E472" t="str">
        <x:f>IF(MonthlyStats!A472="","",MonthlyStats!G472)</x:f>
      </x:c>
      <x:c r="F472" t="str">
        <x:f>IF(MonthlyStats!A472="","",MonthlyStats!H472)</x:f>
      </x:c>
      <x:c r="G472" t="str">
        <x:f>IF(MonthlyStats!A472="","",MonthlyStats!I472)</x:f>
      </x:c>
      <x:c r="H472" t="str">
        <x:f>IF(MonthlyStats!A472="","",MonthlyStats!J472+MonthlyStats!K472)</x:f>
      </x:c>
      <x:c r="I472" t="str">
        <x:f>IF(MonthlyStats!A472="","",TEXT(MonthlyStats!O472,"₹#,##0")&amp;" public summary; "&amp;MonthlyStats!D472&amp;" cases")</x:f>
      </x:c>
      <x:c r="J472" t="str">
        <x:f>IF(MonthlyStats!A472="","","#")</x:f>
      </x:c>
      <x:c r="K472" t="str">
        <x:f>IF(MonthlyStats!A472="","",MonthlyStats!S472)</x:f>
      </x:c>
      <x:c r="L472" t="str">
        <x:f>IF(MonthlyStats!A472="","","Formula-linked")</x:f>
      </x:c>
    </x:row>
    <x:row r="473">
      <x:c r="A473" t="str">
        <x:f>IF(MonthlyStats!A473="","",MonthlyStats!A473)</x:f>
      </x:c>
      <x:c r="B473" t="str">
        <x:f>IF(MonthlyStats!A473="","",MonthlyStats!B473)</x:f>
      </x:c>
      <x:c r="C473" t="str">
        <x:f>IF(MonthlyStats!A473="","",MonthlyStats!E473)</x:f>
      </x:c>
      <x:c r="D473" t="str">
        <x:f>IF(MonthlyStats!A473="","",MonthlyStats!F473)</x:f>
      </x:c>
      <x:c r="E473" t="str">
        <x:f>IF(MonthlyStats!A473="","",MonthlyStats!G473)</x:f>
      </x:c>
      <x:c r="F473" t="str">
        <x:f>IF(MonthlyStats!A473="","",MonthlyStats!H473)</x:f>
      </x:c>
      <x:c r="G473" t="str">
        <x:f>IF(MonthlyStats!A473="","",MonthlyStats!I473)</x:f>
      </x:c>
      <x:c r="H473" t="str">
        <x:f>IF(MonthlyStats!A473="","",MonthlyStats!J473+MonthlyStats!K473)</x:f>
      </x:c>
      <x:c r="I473" t="str">
        <x:f>IF(MonthlyStats!A473="","",TEXT(MonthlyStats!O473,"₹#,##0")&amp;" public summary; "&amp;MonthlyStats!D473&amp;" cases")</x:f>
      </x:c>
      <x:c r="J473" t="str">
        <x:f>IF(MonthlyStats!A473="","","#")</x:f>
      </x:c>
      <x:c r="K473" t="str">
        <x:f>IF(MonthlyStats!A473="","",MonthlyStats!S473)</x:f>
      </x:c>
      <x:c r="L473" t="str">
        <x:f>IF(MonthlyStats!A473="","","Formula-linked")</x:f>
      </x:c>
    </x:row>
    <x:row r="474">
      <x:c r="A474" t="str">
        <x:f>IF(MonthlyStats!A474="","",MonthlyStats!A474)</x:f>
      </x:c>
      <x:c r="B474" t="str">
        <x:f>IF(MonthlyStats!A474="","",MonthlyStats!B474)</x:f>
      </x:c>
      <x:c r="C474" t="str">
        <x:f>IF(MonthlyStats!A474="","",MonthlyStats!E474)</x:f>
      </x:c>
      <x:c r="D474" t="str">
        <x:f>IF(MonthlyStats!A474="","",MonthlyStats!F474)</x:f>
      </x:c>
      <x:c r="E474" t="str">
        <x:f>IF(MonthlyStats!A474="","",MonthlyStats!G474)</x:f>
      </x:c>
      <x:c r="F474" t="str">
        <x:f>IF(MonthlyStats!A474="","",MonthlyStats!H474)</x:f>
      </x:c>
      <x:c r="G474" t="str">
        <x:f>IF(MonthlyStats!A474="","",MonthlyStats!I474)</x:f>
      </x:c>
      <x:c r="H474" t="str">
        <x:f>IF(MonthlyStats!A474="","",MonthlyStats!J474+MonthlyStats!K474)</x:f>
      </x:c>
      <x:c r="I474" t="str">
        <x:f>IF(MonthlyStats!A474="","",TEXT(MonthlyStats!O474,"₹#,##0")&amp;" public summary; "&amp;MonthlyStats!D474&amp;" cases")</x:f>
      </x:c>
      <x:c r="J474" t="str">
        <x:f>IF(MonthlyStats!A474="","","#")</x:f>
      </x:c>
      <x:c r="K474" t="str">
        <x:f>IF(MonthlyStats!A474="","",MonthlyStats!S474)</x:f>
      </x:c>
      <x:c r="L474" t="str">
        <x:f>IF(MonthlyStats!A474="","","Formula-linked")</x:f>
      </x:c>
    </x:row>
    <x:row r="475">
      <x:c r="A475" t="str">
        <x:f>IF(MonthlyStats!A475="","",MonthlyStats!A475)</x:f>
      </x:c>
      <x:c r="B475" t="str">
        <x:f>IF(MonthlyStats!A475="","",MonthlyStats!B475)</x:f>
      </x:c>
      <x:c r="C475" t="str">
        <x:f>IF(MonthlyStats!A475="","",MonthlyStats!E475)</x:f>
      </x:c>
      <x:c r="D475" t="str">
        <x:f>IF(MonthlyStats!A475="","",MonthlyStats!F475)</x:f>
      </x:c>
      <x:c r="E475" t="str">
        <x:f>IF(MonthlyStats!A475="","",MonthlyStats!G475)</x:f>
      </x:c>
      <x:c r="F475" t="str">
        <x:f>IF(MonthlyStats!A475="","",MonthlyStats!H475)</x:f>
      </x:c>
      <x:c r="G475" t="str">
        <x:f>IF(MonthlyStats!A475="","",MonthlyStats!I475)</x:f>
      </x:c>
      <x:c r="H475" t="str">
        <x:f>IF(MonthlyStats!A475="","",MonthlyStats!J475+MonthlyStats!K475)</x:f>
      </x:c>
      <x:c r="I475" t="str">
        <x:f>IF(MonthlyStats!A475="","",TEXT(MonthlyStats!O475,"₹#,##0")&amp;" public summary; "&amp;MonthlyStats!D475&amp;" cases")</x:f>
      </x:c>
      <x:c r="J475" t="str">
        <x:f>IF(MonthlyStats!A475="","","#")</x:f>
      </x:c>
      <x:c r="K475" t="str">
        <x:f>IF(MonthlyStats!A475="","",MonthlyStats!S475)</x:f>
      </x:c>
      <x:c r="L475" t="str">
        <x:f>IF(MonthlyStats!A475="","","Formula-linked")</x:f>
      </x:c>
    </x:row>
    <x:row r="476">
      <x:c r="A476" t="str">
        <x:f>IF(MonthlyStats!A476="","",MonthlyStats!A476)</x:f>
      </x:c>
      <x:c r="B476" t="str">
        <x:f>IF(MonthlyStats!A476="","",MonthlyStats!B476)</x:f>
      </x:c>
      <x:c r="C476" t="str">
        <x:f>IF(MonthlyStats!A476="","",MonthlyStats!E476)</x:f>
      </x:c>
      <x:c r="D476" t="str">
        <x:f>IF(MonthlyStats!A476="","",MonthlyStats!F476)</x:f>
      </x:c>
      <x:c r="E476" t="str">
        <x:f>IF(MonthlyStats!A476="","",MonthlyStats!G476)</x:f>
      </x:c>
      <x:c r="F476" t="str">
        <x:f>IF(MonthlyStats!A476="","",MonthlyStats!H476)</x:f>
      </x:c>
      <x:c r="G476" t="str">
        <x:f>IF(MonthlyStats!A476="","",MonthlyStats!I476)</x:f>
      </x:c>
      <x:c r="H476" t="str">
        <x:f>IF(MonthlyStats!A476="","",MonthlyStats!J476+MonthlyStats!K476)</x:f>
      </x:c>
      <x:c r="I476" t="str">
        <x:f>IF(MonthlyStats!A476="","",TEXT(MonthlyStats!O476,"₹#,##0")&amp;" public summary; "&amp;MonthlyStats!D476&amp;" cases")</x:f>
      </x:c>
      <x:c r="J476" t="str">
        <x:f>IF(MonthlyStats!A476="","","#")</x:f>
      </x:c>
      <x:c r="K476" t="str">
        <x:f>IF(MonthlyStats!A476="","",MonthlyStats!S476)</x:f>
      </x:c>
      <x:c r="L476" t="str">
        <x:f>IF(MonthlyStats!A476="","","Formula-linked")</x:f>
      </x:c>
    </x:row>
    <x:row r="477">
      <x:c r="A477" t="str">
        <x:f>IF(MonthlyStats!A477="","",MonthlyStats!A477)</x:f>
      </x:c>
      <x:c r="B477" t="str">
        <x:f>IF(MonthlyStats!A477="","",MonthlyStats!B477)</x:f>
      </x:c>
      <x:c r="C477" t="str">
        <x:f>IF(MonthlyStats!A477="","",MonthlyStats!E477)</x:f>
      </x:c>
      <x:c r="D477" t="str">
        <x:f>IF(MonthlyStats!A477="","",MonthlyStats!F477)</x:f>
      </x:c>
      <x:c r="E477" t="str">
        <x:f>IF(MonthlyStats!A477="","",MonthlyStats!G477)</x:f>
      </x:c>
      <x:c r="F477" t="str">
        <x:f>IF(MonthlyStats!A477="","",MonthlyStats!H477)</x:f>
      </x:c>
      <x:c r="G477" t="str">
        <x:f>IF(MonthlyStats!A477="","",MonthlyStats!I477)</x:f>
      </x:c>
      <x:c r="H477" t="str">
        <x:f>IF(MonthlyStats!A477="","",MonthlyStats!J477+MonthlyStats!K477)</x:f>
      </x:c>
      <x:c r="I477" t="str">
        <x:f>IF(MonthlyStats!A477="","",TEXT(MonthlyStats!O477,"₹#,##0")&amp;" public summary; "&amp;MonthlyStats!D477&amp;" cases")</x:f>
      </x:c>
      <x:c r="J477" t="str">
        <x:f>IF(MonthlyStats!A477="","","#")</x:f>
      </x:c>
      <x:c r="K477" t="str">
        <x:f>IF(MonthlyStats!A477="","",MonthlyStats!S477)</x:f>
      </x:c>
      <x:c r="L477" t="str">
        <x:f>IF(MonthlyStats!A477="","","Formula-linked")</x:f>
      </x:c>
    </x:row>
    <x:row r="478">
      <x:c r="A478" t="str">
        <x:f>IF(MonthlyStats!A478="","",MonthlyStats!A478)</x:f>
      </x:c>
      <x:c r="B478" t="str">
        <x:f>IF(MonthlyStats!A478="","",MonthlyStats!B478)</x:f>
      </x:c>
      <x:c r="C478" t="str">
        <x:f>IF(MonthlyStats!A478="","",MonthlyStats!E478)</x:f>
      </x:c>
      <x:c r="D478" t="str">
        <x:f>IF(MonthlyStats!A478="","",MonthlyStats!F478)</x:f>
      </x:c>
      <x:c r="E478" t="str">
        <x:f>IF(MonthlyStats!A478="","",MonthlyStats!G478)</x:f>
      </x:c>
      <x:c r="F478" t="str">
        <x:f>IF(MonthlyStats!A478="","",MonthlyStats!H478)</x:f>
      </x:c>
      <x:c r="G478" t="str">
        <x:f>IF(MonthlyStats!A478="","",MonthlyStats!I478)</x:f>
      </x:c>
      <x:c r="H478" t="str">
        <x:f>IF(MonthlyStats!A478="","",MonthlyStats!J478+MonthlyStats!K478)</x:f>
      </x:c>
      <x:c r="I478" t="str">
        <x:f>IF(MonthlyStats!A478="","",TEXT(MonthlyStats!O478,"₹#,##0")&amp;" public summary; "&amp;MonthlyStats!D478&amp;" cases")</x:f>
      </x:c>
      <x:c r="J478" t="str">
        <x:f>IF(MonthlyStats!A478="","","#")</x:f>
      </x:c>
      <x:c r="K478" t="str">
        <x:f>IF(MonthlyStats!A478="","",MonthlyStats!S478)</x:f>
      </x:c>
      <x:c r="L478" t="str">
        <x:f>IF(MonthlyStats!A478="","","Formula-linked")</x:f>
      </x:c>
    </x:row>
    <x:row r="479">
      <x:c r="A479" t="str">
        <x:f>IF(MonthlyStats!A479="","",MonthlyStats!A479)</x:f>
      </x:c>
      <x:c r="B479" t="str">
        <x:f>IF(MonthlyStats!A479="","",MonthlyStats!B479)</x:f>
      </x:c>
      <x:c r="C479" t="str">
        <x:f>IF(MonthlyStats!A479="","",MonthlyStats!E479)</x:f>
      </x:c>
      <x:c r="D479" t="str">
        <x:f>IF(MonthlyStats!A479="","",MonthlyStats!F479)</x:f>
      </x:c>
      <x:c r="E479" t="str">
        <x:f>IF(MonthlyStats!A479="","",MonthlyStats!G479)</x:f>
      </x:c>
      <x:c r="F479" t="str">
        <x:f>IF(MonthlyStats!A479="","",MonthlyStats!H479)</x:f>
      </x:c>
      <x:c r="G479" t="str">
        <x:f>IF(MonthlyStats!A479="","",MonthlyStats!I479)</x:f>
      </x:c>
      <x:c r="H479" t="str">
        <x:f>IF(MonthlyStats!A479="","",MonthlyStats!J479+MonthlyStats!K479)</x:f>
      </x:c>
      <x:c r="I479" t="str">
        <x:f>IF(MonthlyStats!A479="","",TEXT(MonthlyStats!O479,"₹#,##0")&amp;" public summary; "&amp;MonthlyStats!D479&amp;" cases")</x:f>
      </x:c>
      <x:c r="J479" t="str">
        <x:f>IF(MonthlyStats!A479="","","#")</x:f>
      </x:c>
      <x:c r="K479" t="str">
        <x:f>IF(MonthlyStats!A479="","",MonthlyStats!S479)</x:f>
      </x:c>
      <x:c r="L479" t="str">
        <x:f>IF(MonthlyStats!A479="","","Formula-linked")</x:f>
      </x:c>
    </x:row>
    <x:row r="480">
      <x:c r="A480" t="str">
        <x:f>IF(MonthlyStats!A480="","",MonthlyStats!A480)</x:f>
      </x:c>
      <x:c r="B480" t="str">
        <x:f>IF(MonthlyStats!A480="","",MonthlyStats!B480)</x:f>
      </x:c>
      <x:c r="C480" t="str">
        <x:f>IF(MonthlyStats!A480="","",MonthlyStats!E480)</x:f>
      </x:c>
      <x:c r="D480" t="str">
        <x:f>IF(MonthlyStats!A480="","",MonthlyStats!F480)</x:f>
      </x:c>
      <x:c r="E480" t="str">
        <x:f>IF(MonthlyStats!A480="","",MonthlyStats!G480)</x:f>
      </x:c>
      <x:c r="F480" t="str">
        <x:f>IF(MonthlyStats!A480="","",MonthlyStats!H480)</x:f>
      </x:c>
      <x:c r="G480" t="str">
        <x:f>IF(MonthlyStats!A480="","",MonthlyStats!I480)</x:f>
      </x:c>
      <x:c r="H480" t="str">
        <x:f>IF(MonthlyStats!A480="","",MonthlyStats!J480+MonthlyStats!K480)</x:f>
      </x:c>
      <x:c r="I480" t="str">
        <x:f>IF(MonthlyStats!A480="","",TEXT(MonthlyStats!O480,"₹#,##0")&amp;" public summary; "&amp;MonthlyStats!D480&amp;" cases")</x:f>
      </x:c>
      <x:c r="J480" t="str">
        <x:f>IF(MonthlyStats!A480="","","#")</x:f>
      </x:c>
      <x:c r="K480" t="str">
        <x:f>IF(MonthlyStats!A480="","",MonthlyStats!S480)</x:f>
      </x:c>
      <x:c r="L480" t="str">
        <x:f>IF(MonthlyStats!A480="","","Formula-linked")</x:f>
      </x:c>
    </x:row>
    <x:row r="481">
      <x:c r="A481" t="str">
        <x:f>IF(MonthlyStats!A481="","",MonthlyStats!A481)</x:f>
      </x:c>
      <x:c r="B481" t="str">
        <x:f>IF(MonthlyStats!A481="","",MonthlyStats!B481)</x:f>
      </x:c>
      <x:c r="C481" t="str">
        <x:f>IF(MonthlyStats!A481="","",MonthlyStats!E481)</x:f>
      </x:c>
      <x:c r="D481" t="str">
        <x:f>IF(MonthlyStats!A481="","",MonthlyStats!F481)</x:f>
      </x:c>
      <x:c r="E481" t="str">
        <x:f>IF(MonthlyStats!A481="","",MonthlyStats!G481)</x:f>
      </x:c>
      <x:c r="F481" t="str">
        <x:f>IF(MonthlyStats!A481="","",MonthlyStats!H481)</x:f>
      </x:c>
      <x:c r="G481" t="str">
        <x:f>IF(MonthlyStats!A481="","",MonthlyStats!I481)</x:f>
      </x:c>
      <x:c r="H481" t="str">
        <x:f>IF(MonthlyStats!A481="","",MonthlyStats!J481+MonthlyStats!K481)</x:f>
      </x:c>
      <x:c r="I481" t="str">
        <x:f>IF(MonthlyStats!A481="","",TEXT(MonthlyStats!O481,"₹#,##0")&amp;" public summary; "&amp;MonthlyStats!D481&amp;" cases")</x:f>
      </x:c>
      <x:c r="J481" t="str">
        <x:f>IF(MonthlyStats!A481="","","#")</x:f>
      </x:c>
      <x:c r="K481" t="str">
        <x:f>IF(MonthlyStats!A481="","",MonthlyStats!S481)</x:f>
      </x:c>
      <x:c r="L481" t="str">
        <x:f>IF(MonthlyStats!A481="","","Formula-linked")</x:f>
      </x:c>
    </x:row>
    <x:row r="482">
      <x:c r="A482" t="str">
        <x:f>IF(MonthlyStats!A482="","",MonthlyStats!A482)</x:f>
      </x:c>
      <x:c r="B482" t="str">
        <x:f>IF(MonthlyStats!A482="","",MonthlyStats!B482)</x:f>
      </x:c>
      <x:c r="C482" t="str">
        <x:f>IF(MonthlyStats!A482="","",MonthlyStats!E482)</x:f>
      </x:c>
      <x:c r="D482" t="str">
        <x:f>IF(MonthlyStats!A482="","",MonthlyStats!F482)</x:f>
      </x:c>
      <x:c r="E482" t="str">
        <x:f>IF(MonthlyStats!A482="","",MonthlyStats!G482)</x:f>
      </x:c>
      <x:c r="F482" t="str">
        <x:f>IF(MonthlyStats!A482="","",MonthlyStats!H482)</x:f>
      </x:c>
      <x:c r="G482" t="str">
        <x:f>IF(MonthlyStats!A482="","",MonthlyStats!I482)</x:f>
      </x:c>
      <x:c r="H482" t="str">
        <x:f>IF(MonthlyStats!A482="","",MonthlyStats!J482+MonthlyStats!K482)</x:f>
      </x:c>
      <x:c r="I482" t="str">
        <x:f>IF(MonthlyStats!A482="","",TEXT(MonthlyStats!O482,"₹#,##0")&amp;" public summary; "&amp;MonthlyStats!D482&amp;" cases")</x:f>
      </x:c>
      <x:c r="J482" t="str">
        <x:f>IF(MonthlyStats!A482="","","#")</x:f>
      </x:c>
      <x:c r="K482" t="str">
        <x:f>IF(MonthlyStats!A482="","",MonthlyStats!S482)</x:f>
      </x:c>
      <x:c r="L482" t="str">
        <x:f>IF(MonthlyStats!A482="","","Formula-linked")</x:f>
      </x:c>
    </x:row>
    <x:row r="483">
      <x:c r="A483" t="str">
        <x:f>IF(MonthlyStats!A483="","",MonthlyStats!A483)</x:f>
      </x:c>
      <x:c r="B483" t="str">
        <x:f>IF(MonthlyStats!A483="","",MonthlyStats!B483)</x:f>
      </x:c>
      <x:c r="C483" t="str">
        <x:f>IF(MonthlyStats!A483="","",MonthlyStats!E483)</x:f>
      </x:c>
      <x:c r="D483" t="str">
        <x:f>IF(MonthlyStats!A483="","",MonthlyStats!F483)</x:f>
      </x:c>
      <x:c r="E483" t="str">
        <x:f>IF(MonthlyStats!A483="","",MonthlyStats!G483)</x:f>
      </x:c>
      <x:c r="F483" t="str">
        <x:f>IF(MonthlyStats!A483="","",MonthlyStats!H483)</x:f>
      </x:c>
      <x:c r="G483" t="str">
        <x:f>IF(MonthlyStats!A483="","",MonthlyStats!I483)</x:f>
      </x:c>
      <x:c r="H483" t="str">
        <x:f>IF(MonthlyStats!A483="","",MonthlyStats!J483+MonthlyStats!K483)</x:f>
      </x:c>
      <x:c r="I483" t="str">
        <x:f>IF(MonthlyStats!A483="","",TEXT(MonthlyStats!O483,"₹#,##0")&amp;" public summary; "&amp;MonthlyStats!D483&amp;" cases")</x:f>
      </x:c>
      <x:c r="J483" t="str">
        <x:f>IF(MonthlyStats!A483="","","#")</x:f>
      </x:c>
      <x:c r="K483" t="str">
        <x:f>IF(MonthlyStats!A483="","",MonthlyStats!S483)</x:f>
      </x:c>
      <x:c r="L483" t="str">
        <x:f>IF(MonthlyStats!A483="","","Formula-linked")</x:f>
      </x:c>
    </x:row>
    <x:row r="484">
      <x:c r="A484" t="str">
        <x:f>IF(MonthlyStats!A484="","",MonthlyStats!A484)</x:f>
      </x:c>
      <x:c r="B484" t="str">
        <x:f>IF(MonthlyStats!A484="","",MonthlyStats!B484)</x:f>
      </x:c>
      <x:c r="C484" t="str">
        <x:f>IF(MonthlyStats!A484="","",MonthlyStats!E484)</x:f>
      </x:c>
      <x:c r="D484" t="str">
        <x:f>IF(MonthlyStats!A484="","",MonthlyStats!F484)</x:f>
      </x:c>
      <x:c r="E484" t="str">
        <x:f>IF(MonthlyStats!A484="","",MonthlyStats!G484)</x:f>
      </x:c>
      <x:c r="F484" t="str">
        <x:f>IF(MonthlyStats!A484="","",MonthlyStats!H484)</x:f>
      </x:c>
      <x:c r="G484" t="str">
        <x:f>IF(MonthlyStats!A484="","",MonthlyStats!I484)</x:f>
      </x:c>
      <x:c r="H484" t="str">
        <x:f>IF(MonthlyStats!A484="","",MonthlyStats!J484+MonthlyStats!K484)</x:f>
      </x:c>
      <x:c r="I484" t="str">
        <x:f>IF(MonthlyStats!A484="","",TEXT(MonthlyStats!O484,"₹#,##0")&amp;" public summary; "&amp;MonthlyStats!D484&amp;" cases")</x:f>
      </x:c>
      <x:c r="J484" t="str">
        <x:f>IF(MonthlyStats!A484="","","#")</x:f>
      </x:c>
      <x:c r="K484" t="str">
        <x:f>IF(MonthlyStats!A484="","",MonthlyStats!S484)</x:f>
      </x:c>
      <x:c r="L484" t="str">
        <x:f>IF(MonthlyStats!A484="","","Formula-linked")</x:f>
      </x:c>
    </x:row>
    <x:row r="485">
      <x:c r="A485" t="str">
        <x:f>IF(MonthlyStats!A485="","",MonthlyStats!A485)</x:f>
      </x:c>
      <x:c r="B485" t="str">
        <x:f>IF(MonthlyStats!A485="","",MonthlyStats!B485)</x:f>
      </x:c>
      <x:c r="C485" t="str">
        <x:f>IF(MonthlyStats!A485="","",MonthlyStats!E485)</x:f>
      </x:c>
      <x:c r="D485" t="str">
        <x:f>IF(MonthlyStats!A485="","",MonthlyStats!F485)</x:f>
      </x:c>
      <x:c r="E485" t="str">
        <x:f>IF(MonthlyStats!A485="","",MonthlyStats!G485)</x:f>
      </x:c>
      <x:c r="F485" t="str">
        <x:f>IF(MonthlyStats!A485="","",MonthlyStats!H485)</x:f>
      </x:c>
      <x:c r="G485" t="str">
        <x:f>IF(MonthlyStats!A485="","",MonthlyStats!I485)</x:f>
      </x:c>
      <x:c r="H485" t="str">
        <x:f>IF(MonthlyStats!A485="","",MonthlyStats!J485+MonthlyStats!K485)</x:f>
      </x:c>
      <x:c r="I485" t="str">
        <x:f>IF(MonthlyStats!A485="","",TEXT(MonthlyStats!O485,"₹#,##0")&amp;" public summary; "&amp;MonthlyStats!D485&amp;" cases")</x:f>
      </x:c>
      <x:c r="J485" t="str">
        <x:f>IF(MonthlyStats!A485="","","#")</x:f>
      </x:c>
      <x:c r="K485" t="str">
        <x:f>IF(MonthlyStats!A485="","",MonthlyStats!S485)</x:f>
      </x:c>
      <x:c r="L485" t="str">
        <x:f>IF(MonthlyStats!A485="","","Formula-linked")</x:f>
      </x:c>
    </x:row>
    <x:row r="486">
      <x:c r="A486" t="str">
        <x:f>IF(MonthlyStats!A486="","",MonthlyStats!A486)</x:f>
      </x:c>
      <x:c r="B486" t="str">
        <x:f>IF(MonthlyStats!A486="","",MonthlyStats!B486)</x:f>
      </x:c>
      <x:c r="C486" t="str">
        <x:f>IF(MonthlyStats!A486="","",MonthlyStats!E486)</x:f>
      </x:c>
      <x:c r="D486" t="str">
        <x:f>IF(MonthlyStats!A486="","",MonthlyStats!F486)</x:f>
      </x:c>
      <x:c r="E486" t="str">
        <x:f>IF(MonthlyStats!A486="","",MonthlyStats!G486)</x:f>
      </x:c>
      <x:c r="F486" t="str">
        <x:f>IF(MonthlyStats!A486="","",MonthlyStats!H486)</x:f>
      </x:c>
      <x:c r="G486" t="str">
        <x:f>IF(MonthlyStats!A486="","",MonthlyStats!I486)</x:f>
      </x:c>
      <x:c r="H486" t="str">
        <x:f>IF(MonthlyStats!A486="","",MonthlyStats!J486+MonthlyStats!K486)</x:f>
      </x:c>
      <x:c r="I486" t="str">
        <x:f>IF(MonthlyStats!A486="","",TEXT(MonthlyStats!O486,"₹#,##0")&amp;" public summary; "&amp;MonthlyStats!D486&amp;" cases")</x:f>
      </x:c>
      <x:c r="J486" t="str">
        <x:f>IF(MonthlyStats!A486="","","#")</x:f>
      </x:c>
      <x:c r="K486" t="str">
        <x:f>IF(MonthlyStats!A486="","",MonthlyStats!S486)</x:f>
      </x:c>
      <x:c r="L486" t="str">
        <x:f>IF(MonthlyStats!A486="","","Formula-linked")</x:f>
      </x:c>
    </x:row>
    <x:row r="487">
      <x:c r="A487" t="str">
        <x:f>IF(MonthlyStats!A487="","",MonthlyStats!A487)</x:f>
      </x:c>
      <x:c r="B487" t="str">
        <x:f>IF(MonthlyStats!A487="","",MonthlyStats!B487)</x:f>
      </x:c>
      <x:c r="C487" t="str">
        <x:f>IF(MonthlyStats!A487="","",MonthlyStats!E487)</x:f>
      </x:c>
      <x:c r="D487" t="str">
        <x:f>IF(MonthlyStats!A487="","",MonthlyStats!F487)</x:f>
      </x:c>
      <x:c r="E487" t="str">
        <x:f>IF(MonthlyStats!A487="","",MonthlyStats!G487)</x:f>
      </x:c>
      <x:c r="F487" t="str">
        <x:f>IF(MonthlyStats!A487="","",MonthlyStats!H487)</x:f>
      </x:c>
      <x:c r="G487" t="str">
        <x:f>IF(MonthlyStats!A487="","",MonthlyStats!I487)</x:f>
      </x:c>
      <x:c r="H487" t="str">
        <x:f>IF(MonthlyStats!A487="","",MonthlyStats!J487+MonthlyStats!K487)</x:f>
      </x:c>
      <x:c r="I487" t="str">
        <x:f>IF(MonthlyStats!A487="","",TEXT(MonthlyStats!O487,"₹#,##0")&amp;" public summary; "&amp;MonthlyStats!D487&amp;" cases")</x:f>
      </x:c>
      <x:c r="J487" t="str">
        <x:f>IF(MonthlyStats!A487="","","#")</x:f>
      </x:c>
      <x:c r="K487" t="str">
        <x:f>IF(MonthlyStats!A487="","",MonthlyStats!S487)</x:f>
      </x:c>
      <x:c r="L487" t="str">
        <x:f>IF(MonthlyStats!A487="","","Formula-linked")</x:f>
      </x:c>
    </x:row>
    <x:row r="488">
      <x:c r="A488" t="str">
        <x:f>IF(MonthlyStats!A488="","",MonthlyStats!A488)</x:f>
      </x:c>
      <x:c r="B488" t="str">
        <x:f>IF(MonthlyStats!A488="","",MonthlyStats!B488)</x:f>
      </x:c>
      <x:c r="C488" t="str">
        <x:f>IF(MonthlyStats!A488="","",MonthlyStats!E488)</x:f>
      </x:c>
      <x:c r="D488" t="str">
        <x:f>IF(MonthlyStats!A488="","",MonthlyStats!F488)</x:f>
      </x:c>
      <x:c r="E488" t="str">
        <x:f>IF(MonthlyStats!A488="","",MonthlyStats!G488)</x:f>
      </x:c>
      <x:c r="F488" t="str">
        <x:f>IF(MonthlyStats!A488="","",MonthlyStats!H488)</x:f>
      </x:c>
      <x:c r="G488" t="str">
        <x:f>IF(MonthlyStats!A488="","",MonthlyStats!I488)</x:f>
      </x:c>
      <x:c r="H488" t="str">
        <x:f>IF(MonthlyStats!A488="","",MonthlyStats!J488+MonthlyStats!K488)</x:f>
      </x:c>
      <x:c r="I488" t="str">
        <x:f>IF(MonthlyStats!A488="","",TEXT(MonthlyStats!O488,"₹#,##0")&amp;" public summary; "&amp;MonthlyStats!D488&amp;" cases")</x:f>
      </x:c>
      <x:c r="J488" t="str">
        <x:f>IF(MonthlyStats!A488="","","#")</x:f>
      </x:c>
      <x:c r="K488" t="str">
        <x:f>IF(MonthlyStats!A488="","",MonthlyStats!S488)</x:f>
      </x:c>
      <x:c r="L488" t="str">
        <x:f>IF(MonthlyStats!A488="","","Formula-linked")</x:f>
      </x:c>
    </x:row>
    <x:row r="489">
      <x:c r="A489" t="str">
        <x:f>IF(MonthlyStats!A489="","",MonthlyStats!A489)</x:f>
      </x:c>
      <x:c r="B489" t="str">
        <x:f>IF(MonthlyStats!A489="","",MonthlyStats!B489)</x:f>
      </x:c>
      <x:c r="C489" t="str">
        <x:f>IF(MonthlyStats!A489="","",MonthlyStats!E489)</x:f>
      </x:c>
      <x:c r="D489" t="str">
        <x:f>IF(MonthlyStats!A489="","",MonthlyStats!F489)</x:f>
      </x:c>
      <x:c r="E489" t="str">
        <x:f>IF(MonthlyStats!A489="","",MonthlyStats!G489)</x:f>
      </x:c>
      <x:c r="F489" t="str">
        <x:f>IF(MonthlyStats!A489="","",MonthlyStats!H489)</x:f>
      </x:c>
      <x:c r="G489" t="str">
        <x:f>IF(MonthlyStats!A489="","",MonthlyStats!I489)</x:f>
      </x:c>
      <x:c r="H489" t="str">
        <x:f>IF(MonthlyStats!A489="","",MonthlyStats!J489+MonthlyStats!K489)</x:f>
      </x:c>
      <x:c r="I489" t="str">
        <x:f>IF(MonthlyStats!A489="","",TEXT(MonthlyStats!O489,"₹#,##0")&amp;" public summary; "&amp;MonthlyStats!D489&amp;" cases")</x:f>
      </x:c>
      <x:c r="J489" t="str">
        <x:f>IF(MonthlyStats!A489="","","#")</x:f>
      </x:c>
      <x:c r="K489" t="str">
        <x:f>IF(MonthlyStats!A489="","",MonthlyStats!S489)</x:f>
      </x:c>
      <x:c r="L489" t="str">
        <x:f>IF(MonthlyStats!A489="","","Formula-linked")</x:f>
      </x:c>
    </x:row>
    <x:row r="490">
      <x:c r="A490" t="str">
        <x:f>IF(MonthlyStats!A490="","",MonthlyStats!A490)</x:f>
      </x:c>
      <x:c r="B490" t="str">
        <x:f>IF(MonthlyStats!A490="","",MonthlyStats!B490)</x:f>
      </x:c>
      <x:c r="C490" t="str">
        <x:f>IF(MonthlyStats!A490="","",MonthlyStats!E490)</x:f>
      </x:c>
      <x:c r="D490" t="str">
        <x:f>IF(MonthlyStats!A490="","",MonthlyStats!F490)</x:f>
      </x:c>
      <x:c r="E490" t="str">
        <x:f>IF(MonthlyStats!A490="","",MonthlyStats!G490)</x:f>
      </x:c>
      <x:c r="F490" t="str">
        <x:f>IF(MonthlyStats!A490="","",MonthlyStats!H490)</x:f>
      </x:c>
      <x:c r="G490" t="str">
        <x:f>IF(MonthlyStats!A490="","",MonthlyStats!I490)</x:f>
      </x:c>
      <x:c r="H490" t="str">
        <x:f>IF(MonthlyStats!A490="","",MonthlyStats!J490+MonthlyStats!K490)</x:f>
      </x:c>
      <x:c r="I490" t="str">
        <x:f>IF(MonthlyStats!A490="","",TEXT(MonthlyStats!O490,"₹#,##0")&amp;" public summary; "&amp;MonthlyStats!D490&amp;" cases")</x:f>
      </x:c>
      <x:c r="J490" t="str">
        <x:f>IF(MonthlyStats!A490="","","#")</x:f>
      </x:c>
      <x:c r="K490" t="str">
        <x:f>IF(MonthlyStats!A490="","",MonthlyStats!S490)</x:f>
      </x:c>
      <x:c r="L490" t="str">
        <x:f>IF(MonthlyStats!A490="","","Formula-linked")</x:f>
      </x:c>
    </x:row>
    <x:row r="491">
      <x:c r="A491" t="str">
        <x:f>IF(MonthlyStats!A491="","",MonthlyStats!A491)</x:f>
      </x:c>
      <x:c r="B491" t="str">
        <x:f>IF(MonthlyStats!A491="","",MonthlyStats!B491)</x:f>
      </x:c>
      <x:c r="C491" t="str">
        <x:f>IF(MonthlyStats!A491="","",MonthlyStats!E491)</x:f>
      </x:c>
      <x:c r="D491" t="str">
        <x:f>IF(MonthlyStats!A491="","",MonthlyStats!F491)</x:f>
      </x:c>
      <x:c r="E491" t="str">
        <x:f>IF(MonthlyStats!A491="","",MonthlyStats!G491)</x:f>
      </x:c>
      <x:c r="F491" t="str">
        <x:f>IF(MonthlyStats!A491="","",MonthlyStats!H491)</x:f>
      </x:c>
      <x:c r="G491" t="str">
        <x:f>IF(MonthlyStats!A491="","",MonthlyStats!I491)</x:f>
      </x:c>
      <x:c r="H491" t="str">
        <x:f>IF(MonthlyStats!A491="","",MonthlyStats!J491+MonthlyStats!K491)</x:f>
      </x:c>
      <x:c r="I491" t="str">
        <x:f>IF(MonthlyStats!A491="","",TEXT(MonthlyStats!O491,"₹#,##0")&amp;" public summary; "&amp;MonthlyStats!D491&amp;" cases")</x:f>
      </x:c>
      <x:c r="J491" t="str">
        <x:f>IF(MonthlyStats!A491="","","#")</x:f>
      </x:c>
      <x:c r="K491" t="str">
        <x:f>IF(MonthlyStats!A491="","",MonthlyStats!S491)</x:f>
      </x:c>
      <x:c r="L491" t="str">
        <x:f>IF(MonthlyStats!A491="","","Formula-linked")</x:f>
      </x:c>
    </x:row>
    <x:row r="492">
      <x:c r="A492" t="str">
        <x:f>IF(MonthlyStats!A492="","",MonthlyStats!A492)</x:f>
      </x:c>
      <x:c r="B492" t="str">
        <x:f>IF(MonthlyStats!A492="","",MonthlyStats!B492)</x:f>
      </x:c>
      <x:c r="C492" t="str">
        <x:f>IF(MonthlyStats!A492="","",MonthlyStats!E492)</x:f>
      </x:c>
      <x:c r="D492" t="str">
        <x:f>IF(MonthlyStats!A492="","",MonthlyStats!F492)</x:f>
      </x:c>
      <x:c r="E492" t="str">
        <x:f>IF(MonthlyStats!A492="","",MonthlyStats!G492)</x:f>
      </x:c>
      <x:c r="F492" t="str">
        <x:f>IF(MonthlyStats!A492="","",MonthlyStats!H492)</x:f>
      </x:c>
      <x:c r="G492" t="str">
        <x:f>IF(MonthlyStats!A492="","",MonthlyStats!I492)</x:f>
      </x:c>
      <x:c r="H492" t="str">
        <x:f>IF(MonthlyStats!A492="","",MonthlyStats!J492+MonthlyStats!K492)</x:f>
      </x:c>
      <x:c r="I492" t="str">
        <x:f>IF(MonthlyStats!A492="","",TEXT(MonthlyStats!O492,"₹#,##0")&amp;" public summary; "&amp;MonthlyStats!D492&amp;" cases")</x:f>
      </x:c>
      <x:c r="J492" t="str">
        <x:f>IF(MonthlyStats!A492="","","#")</x:f>
      </x:c>
      <x:c r="K492" t="str">
        <x:f>IF(MonthlyStats!A492="","",MonthlyStats!S492)</x:f>
      </x:c>
      <x:c r="L492" t="str">
        <x:f>IF(MonthlyStats!A492="","","Formula-linked")</x:f>
      </x:c>
    </x:row>
    <x:row r="493">
      <x:c r="A493" t="str">
        <x:f>IF(MonthlyStats!A493="","",MonthlyStats!A493)</x:f>
      </x:c>
      <x:c r="B493" t="str">
        <x:f>IF(MonthlyStats!A493="","",MonthlyStats!B493)</x:f>
      </x:c>
      <x:c r="C493" t="str">
        <x:f>IF(MonthlyStats!A493="","",MonthlyStats!E493)</x:f>
      </x:c>
      <x:c r="D493" t="str">
        <x:f>IF(MonthlyStats!A493="","",MonthlyStats!F493)</x:f>
      </x:c>
      <x:c r="E493" t="str">
        <x:f>IF(MonthlyStats!A493="","",MonthlyStats!G493)</x:f>
      </x:c>
      <x:c r="F493" t="str">
        <x:f>IF(MonthlyStats!A493="","",MonthlyStats!H493)</x:f>
      </x:c>
      <x:c r="G493" t="str">
        <x:f>IF(MonthlyStats!A493="","",MonthlyStats!I493)</x:f>
      </x:c>
      <x:c r="H493" t="str">
        <x:f>IF(MonthlyStats!A493="","",MonthlyStats!J493+MonthlyStats!K493)</x:f>
      </x:c>
      <x:c r="I493" t="str">
        <x:f>IF(MonthlyStats!A493="","",TEXT(MonthlyStats!O493,"₹#,##0")&amp;" public summary; "&amp;MonthlyStats!D493&amp;" cases")</x:f>
      </x:c>
      <x:c r="J493" t="str">
        <x:f>IF(MonthlyStats!A493="","","#")</x:f>
      </x:c>
      <x:c r="K493" t="str">
        <x:f>IF(MonthlyStats!A493="","",MonthlyStats!S493)</x:f>
      </x:c>
      <x:c r="L493" t="str">
        <x:f>IF(MonthlyStats!A493="","","Formula-linked")</x:f>
      </x:c>
    </x:row>
    <x:row r="494">
      <x:c r="A494" t="str">
        <x:f>IF(MonthlyStats!A494="","",MonthlyStats!A494)</x:f>
      </x:c>
      <x:c r="B494" t="str">
        <x:f>IF(MonthlyStats!A494="","",MonthlyStats!B494)</x:f>
      </x:c>
      <x:c r="C494" t="str">
        <x:f>IF(MonthlyStats!A494="","",MonthlyStats!E494)</x:f>
      </x:c>
      <x:c r="D494" t="str">
        <x:f>IF(MonthlyStats!A494="","",MonthlyStats!F494)</x:f>
      </x:c>
      <x:c r="E494" t="str">
        <x:f>IF(MonthlyStats!A494="","",MonthlyStats!G494)</x:f>
      </x:c>
      <x:c r="F494" t="str">
        <x:f>IF(MonthlyStats!A494="","",MonthlyStats!H494)</x:f>
      </x:c>
      <x:c r="G494" t="str">
        <x:f>IF(MonthlyStats!A494="","",MonthlyStats!I494)</x:f>
      </x:c>
      <x:c r="H494" t="str">
        <x:f>IF(MonthlyStats!A494="","",MonthlyStats!J494+MonthlyStats!K494)</x:f>
      </x:c>
      <x:c r="I494" t="str">
        <x:f>IF(MonthlyStats!A494="","",TEXT(MonthlyStats!O494,"₹#,##0")&amp;" public summary; "&amp;MonthlyStats!D494&amp;" cases")</x:f>
      </x:c>
      <x:c r="J494" t="str">
        <x:f>IF(MonthlyStats!A494="","","#")</x:f>
      </x:c>
      <x:c r="K494" t="str">
        <x:f>IF(MonthlyStats!A494="","",MonthlyStats!S494)</x:f>
      </x:c>
      <x:c r="L494" t="str">
        <x:f>IF(MonthlyStats!A494="","","Formula-linked")</x:f>
      </x:c>
    </x:row>
    <x:row r="495">
      <x:c r="A495" t="str">
        <x:f>IF(MonthlyStats!A495="","",MonthlyStats!A495)</x:f>
      </x:c>
      <x:c r="B495" t="str">
        <x:f>IF(MonthlyStats!A495="","",MonthlyStats!B495)</x:f>
      </x:c>
      <x:c r="C495" t="str">
        <x:f>IF(MonthlyStats!A495="","",MonthlyStats!E495)</x:f>
      </x:c>
      <x:c r="D495" t="str">
        <x:f>IF(MonthlyStats!A495="","",MonthlyStats!F495)</x:f>
      </x:c>
      <x:c r="E495" t="str">
        <x:f>IF(MonthlyStats!A495="","",MonthlyStats!G495)</x:f>
      </x:c>
      <x:c r="F495" t="str">
        <x:f>IF(MonthlyStats!A495="","",MonthlyStats!H495)</x:f>
      </x:c>
      <x:c r="G495" t="str">
        <x:f>IF(MonthlyStats!A495="","",MonthlyStats!I495)</x:f>
      </x:c>
      <x:c r="H495" t="str">
        <x:f>IF(MonthlyStats!A495="","",MonthlyStats!J495+MonthlyStats!K495)</x:f>
      </x:c>
      <x:c r="I495" t="str">
        <x:f>IF(MonthlyStats!A495="","",TEXT(MonthlyStats!O495,"₹#,##0")&amp;" public summary; "&amp;MonthlyStats!D495&amp;" cases")</x:f>
      </x:c>
      <x:c r="J495" t="str">
        <x:f>IF(MonthlyStats!A495="","","#")</x:f>
      </x:c>
      <x:c r="K495" t="str">
        <x:f>IF(MonthlyStats!A495="","",MonthlyStats!S495)</x:f>
      </x:c>
      <x:c r="L495" t="str">
        <x:f>IF(MonthlyStats!A495="","","Formula-linked")</x:f>
      </x:c>
    </x:row>
    <x:row r="496">
      <x:c r="A496" t="str">
        <x:f>IF(MonthlyStats!A496="","",MonthlyStats!A496)</x:f>
      </x:c>
      <x:c r="B496" t="str">
        <x:f>IF(MonthlyStats!A496="","",MonthlyStats!B496)</x:f>
      </x:c>
      <x:c r="C496" t="str">
        <x:f>IF(MonthlyStats!A496="","",MonthlyStats!E496)</x:f>
      </x:c>
      <x:c r="D496" t="str">
        <x:f>IF(MonthlyStats!A496="","",MonthlyStats!F496)</x:f>
      </x:c>
      <x:c r="E496" t="str">
        <x:f>IF(MonthlyStats!A496="","",MonthlyStats!G496)</x:f>
      </x:c>
      <x:c r="F496" t="str">
        <x:f>IF(MonthlyStats!A496="","",MonthlyStats!H496)</x:f>
      </x:c>
      <x:c r="G496" t="str">
        <x:f>IF(MonthlyStats!A496="","",MonthlyStats!I496)</x:f>
      </x:c>
      <x:c r="H496" t="str">
        <x:f>IF(MonthlyStats!A496="","",MonthlyStats!J496+MonthlyStats!K496)</x:f>
      </x:c>
      <x:c r="I496" t="str">
        <x:f>IF(MonthlyStats!A496="","",TEXT(MonthlyStats!O496,"₹#,##0")&amp;" public summary; "&amp;MonthlyStats!D496&amp;" cases")</x:f>
      </x:c>
      <x:c r="J496" t="str">
        <x:f>IF(MonthlyStats!A496="","","#")</x:f>
      </x:c>
      <x:c r="K496" t="str">
        <x:f>IF(MonthlyStats!A496="","",MonthlyStats!S496)</x:f>
      </x:c>
      <x:c r="L496" t="str">
        <x:f>IF(MonthlyStats!A496="","","Formula-linked")</x:f>
      </x:c>
    </x:row>
    <x:row r="497">
      <x:c r="A497" t="str">
        <x:f>IF(MonthlyStats!A497="","",MonthlyStats!A497)</x:f>
      </x:c>
      <x:c r="B497" t="str">
        <x:f>IF(MonthlyStats!A497="","",MonthlyStats!B497)</x:f>
      </x:c>
      <x:c r="C497" t="str">
        <x:f>IF(MonthlyStats!A497="","",MonthlyStats!E497)</x:f>
      </x:c>
      <x:c r="D497" t="str">
        <x:f>IF(MonthlyStats!A497="","",MonthlyStats!F497)</x:f>
      </x:c>
      <x:c r="E497" t="str">
        <x:f>IF(MonthlyStats!A497="","",MonthlyStats!G497)</x:f>
      </x:c>
      <x:c r="F497" t="str">
        <x:f>IF(MonthlyStats!A497="","",MonthlyStats!H497)</x:f>
      </x:c>
      <x:c r="G497" t="str">
        <x:f>IF(MonthlyStats!A497="","",MonthlyStats!I497)</x:f>
      </x:c>
      <x:c r="H497" t="str">
        <x:f>IF(MonthlyStats!A497="","",MonthlyStats!J497+MonthlyStats!K497)</x:f>
      </x:c>
      <x:c r="I497" t="str">
        <x:f>IF(MonthlyStats!A497="","",TEXT(MonthlyStats!O497,"₹#,##0")&amp;" public summary; "&amp;MonthlyStats!D497&amp;" cases")</x:f>
      </x:c>
      <x:c r="J497" t="str">
        <x:f>IF(MonthlyStats!A497="","","#")</x:f>
      </x:c>
      <x:c r="K497" t="str">
        <x:f>IF(MonthlyStats!A497="","",MonthlyStats!S497)</x:f>
      </x:c>
      <x:c r="L497" t="str">
        <x:f>IF(MonthlyStats!A497="","","Formula-linked")</x:f>
      </x:c>
    </x:row>
    <x:row r="498">
      <x:c r="A498" t="str">
        <x:f>IF(MonthlyStats!A498="","",MonthlyStats!A498)</x:f>
      </x:c>
      <x:c r="B498" t="str">
        <x:f>IF(MonthlyStats!A498="","",MonthlyStats!B498)</x:f>
      </x:c>
      <x:c r="C498" t="str">
        <x:f>IF(MonthlyStats!A498="","",MonthlyStats!E498)</x:f>
      </x:c>
      <x:c r="D498" t="str">
        <x:f>IF(MonthlyStats!A498="","",MonthlyStats!F498)</x:f>
      </x:c>
      <x:c r="E498" t="str">
        <x:f>IF(MonthlyStats!A498="","",MonthlyStats!G498)</x:f>
      </x:c>
      <x:c r="F498" t="str">
        <x:f>IF(MonthlyStats!A498="","",MonthlyStats!H498)</x:f>
      </x:c>
      <x:c r="G498" t="str">
        <x:f>IF(MonthlyStats!A498="","",MonthlyStats!I498)</x:f>
      </x:c>
      <x:c r="H498" t="str">
        <x:f>IF(MonthlyStats!A498="","",MonthlyStats!J498+MonthlyStats!K498)</x:f>
      </x:c>
      <x:c r="I498" t="str">
        <x:f>IF(MonthlyStats!A498="","",TEXT(MonthlyStats!O498,"₹#,##0")&amp;" public summary; "&amp;MonthlyStats!D498&amp;" cases")</x:f>
      </x:c>
      <x:c r="J498" t="str">
        <x:f>IF(MonthlyStats!A498="","","#")</x:f>
      </x:c>
      <x:c r="K498" t="str">
        <x:f>IF(MonthlyStats!A498="","",MonthlyStats!S498)</x:f>
      </x:c>
      <x:c r="L498" t="str">
        <x:f>IF(MonthlyStats!A498="","","Formula-linked")</x:f>
      </x:c>
    </x:row>
    <x:row r="499">
      <x:c r="A499" t="str">
        <x:f>IF(MonthlyStats!A499="","",MonthlyStats!A499)</x:f>
      </x:c>
      <x:c r="B499" t="str">
        <x:f>IF(MonthlyStats!A499="","",MonthlyStats!B499)</x:f>
      </x:c>
      <x:c r="C499" t="str">
        <x:f>IF(MonthlyStats!A499="","",MonthlyStats!E499)</x:f>
      </x:c>
      <x:c r="D499" t="str">
        <x:f>IF(MonthlyStats!A499="","",MonthlyStats!F499)</x:f>
      </x:c>
      <x:c r="E499" t="str">
        <x:f>IF(MonthlyStats!A499="","",MonthlyStats!G499)</x:f>
      </x:c>
      <x:c r="F499" t="str">
        <x:f>IF(MonthlyStats!A499="","",MonthlyStats!H499)</x:f>
      </x:c>
      <x:c r="G499" t="str">
        <x:f>IF(MonthlyStats!A499="","",MonthlyStats!I499)</x:f>
      </x:c>
      <x:c r="H499" t="str">
        <x:f>IF(MonthlyStats!A499="","",MonthlyStats!J499+MonthlyStats!K499)</x:f>
      </x:c>
      <x:c r="I499" t="str">
        <x:f>IF(MonthlyStats!A499="","",TEXT(MonthlyStats!O499,"₹#,##0")&amp;" public summary; "&amp;MonthlyStats!D499&amp;" cases")</x:f>
      </x:c>
      <x:c r="J499" t="str">
        <x:f>IF(MonthlyStats!A499="","","#")</x:f>
      </x:c>
      <x:c r="K499" t="str">
        <x:f>IF(MonthlyStats!A499="","",MonthlyStats!S499)</x:f>
      </x:c>
      <x:c r="L499" t="str">
        <x:f>IF(MonthlyStats!A499="","","Formula-linked")</x:f>
      </x:c>
    </x:row>
    <x:row r="500">
      <x:c r="A500" t="str">
        <x:f>IF(MonthlyStats!A500="","",MonthlyStats!A500)</x:f>
      </x:c>
      <x:c r="B500" t="str">
        <x:f>IF(MonthlyStats!A500="","",MonthlyStats!B500)</x:f>
      </x:c>
      <x:c r="C500" t="str">
        <x:f>IF(MonthlyStats!A500="","",MonthlyStats!E500)</x:f>
      </x:c>
      <x:c r="D500" t="str">
        <x:f>IF(MonthlyStats!A500="","",MonthlyStats!F500)</x:f>
      </x:c>
      <x:c r="E500" t="str">
        <x:f>IF(MonthlyStats!A500="","",MonthlyStats!G500)</x:f>
      </x:c>
      <x:c r="F500" t="str">
        <x:f>IF(MonthlyStats!A500="","",MonthlyStats!H500)</x:f>
      </x:c>
      <x:c r="G500" t="str">
        <x:f>IF(MonthlyStats!A500="","",MonthlyStats!I500)</x:f>
      </x:c>
      <x:c r="H500" t="str">
        <x:f>IF(MonthlyStats!A500="","",MonthlyStats!J500+MonthlyStats!K500)</x:f>
      </x:c>
      <x:c r="I500" t="str">
        <x:f>IF(MonthlyStats!A500="","",TEXT(MonthlyStats!O500,"₹#,##0")&amp;" public summary; "&amp;MonthlyStats!D500&amp;" cases")</x:f>
      </x:c>
      <x:c r="J500" t="str">
        <x:f>IF(MonthlyStats!A500="","","#")</x:f>
      </x:c>
      <x:c r="K500" t="str">
        <x:f>IF(MonthlyStats!A500="","",MonthlyStats!S500)</x:f>
      </x:c>
      <x:c r="L500" t="str">
        <x:f>IF(MonthlyStats!A500="","","Formula-linked")</x:f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24" hidden="0" customWidth="1"/>
    <x:col min="4" max="4" width="18" hidden="0" customWidth="1"/>
    <x:col min="5" max="5" width="26" hidden="0" customWidth="1"/>
    <x:col min="6" max="6" width="12" hidden="0" customWidth="1"/>
    <x:col min="7" max="7" width="18" hidden="0" customWidth="1"/>
    <x:col min="8" max="8" width="24" hidden="0" customWidth="1"/>
    <x:col min="9" max="9" width="16" hidden="0" customWidth="1"/>
    <x:col min="10" max="10" width="40" hidden="0" customWidth="1"/>
    <x:col min="11" max="11" width="44" hidden="0" customWidth="1"/>
    <x:col min="12" max="12" width="38" hidden="0" customWidth="1"/>
    <x:col min="13" max="13" width="38" hidden="0" customWidth="1"/>
    <x:col min="14" max="14" width="40" hidden="0" customWidth="1"/>
    <x:col min="15" max="15" width="42" hidden="0" customWidth="1"/>
    <x:col min="16" max="16" width="14" hidden="0" customWidth="1"/>
    <x:col min="17" max="17" width="12" hidden="0" customWidth="1"/>
    <x:col min="18" max="18" width="14" hidden="0" customWidth="1"/>
    <x:col min="19" max="19" width="30" hidden="0" customWidth="1"/>
    <x:col min="20" max="20" width="28" hidden="0" customWidth="1"/>
    <x:col min="21" max="21" width="28" hidden="0" customWidth="1"/>
    <x:col min="22" max="22" width="30" hidden="0" customWidth="1"/>
    <x:col min="23" max="23" width="28" hidden="0" customWidth="1"/>
    <x:col min="24" max="24" width="28" hidden="0" customWidth="1"/>
    <x:col min="25" max="25" width="30" hidden="0" customWidth="1"/>
    <x:col min="26" max="26" width="28" hidden="0" customWidth="1"/>
    <x:col min="27" max="27" width="28" hidden="0" customWidth="1"/>
    <x:col min="28" max="28" width="18" hidden="0" customWidth="1"/>
    <x:col min="29" max="29" width="36" hidden="0" customWidth="1"/>
  </x:cols>
  <x:sheetData>
    <x:row r="1" ht="24" customHeight="1">
      <x:c r="A1" s="32" t="str">
        <x:v>case_id</x:v>
      </x:c>
      <x:c r="B1" s="32" t="str">
        <x:v>title</x:v>
      </x:c>
      <x:c r="C1" s="32" t="str">
        <x:v>anonymized_name</x:v>
      </x:c>
      <x:c r="D1" s="32" t="str">
        <x:v>category</x:v>
      </x:c>
      <x:c r="E1" s="32" t="str">
        <x:v>support_type</x:v>
      </x:c>
      <x:c r="F1" s="32" t="str">
        <x:v>fund_type</x:v>
      </x:c>
      <x:c r="G1" s="32" t="str">
        <x:v>period_label</x:v>
      </x:c>
      <x:c r="H1" s="32" t="str">
        <x:v>public_location</x:v>
      </x:c>
      <x:c r="I1" s="32" t="str">
        <x:v>amount_range</x:v>
      </x:c>
      <x:c r="J1" s="32" t="str">
        <x:v>need</x:v>
      </x:c>
      <x:c r="K1" s="32" t="str">
        <x:v>support_provided</x:v>
      </x:c>
      <x:c r="L1" s="32" t="str">
        <x:v>outcome</x:v>
      </x:c>
      <x:c r="M1" s="32" t="str">
        <x:v>follow_up</x:v>
      </x:c>
      <x:c r="N1" s="32" t="str">
        <x:v>quote_placeholder</x:v>
      </x:c>
      <x:c r="O1" s="32" t="str">
        <x:v>privacy_note</x:v>
      </x:c>
      <x:c r="P1" s="32" t="str">
        <x:v>story_candidate</x:v>
      </x:c>
      <x:c r="Q1" s="32" t="str">
        <x:v>published</x:v>
      </x:c>
      <x:c r="R1" s="32" t="str">
        <x:v>publish_status</x:v>
      </x:c>
      <x:c r="S1" s="32" t="str">
        <x:v>image_url_1</x:v>
      </x:c>
      <x:c r="T1" s="32" t="str">
        <x:v>image_alt_1</x:v>
      </x:c>
      <x:c r="U1" s="32" t="str">
        <x:v>image_caption_1</x:v>
      </x:c>
      <x:c r="V1" s="32" t="str">
        <x:v>image_url_2</x:v>
      </x:c>
      <x:c r="W1" s="32" t="str">
        <x:v>image_alt_2</x:v>
      </x:c>
      <x:c r="X1" s="32" t="str">
        <x:v>image_caption_2</x:v>
      </x:c>
      <x:c r="Y1" s="32" t="str">
        <x:v>image_url_3</x:v>
      </x:c>
      <x:c r="Z1" s="32" t="str">
        <x:v>image_alt_3</x:v>
      </x:c>
      <x:c r="AA1" s="32" t="str">
        <x:v>image_caption_3</x:v>
      </x:c>
      <x:c r="AB1" s="32" t="str">
        <x:v>image_consent_status</x:v>
      </x:c>
      <x:c r="AC1" s="32" t="str">
        <x:v>image_publish_notes</x:v>
      </x:c>
    </x:row>
    <x:row r="2">
      <x:c r="A2" t="str">
        <x:f>IF(CaseLedger!$A2="","",CaseLedger!A2)</x:f>
        <x:v>HUM-001</x:v>
      </x:c>
      <x:c r="B2" t="str">
        <x:f>IF(CaseLedger!$A2="","",CaseLedger!I2)</x:f>
        <x:v>1 Sewing Machine + Installation</x:v>
      </x:c>
      <x:c r="C2" t="str">
        <x:f>IF(CaseLedger!$A2="","",CaseLedger!J2)</x:f>
        <x:v>Anonymized case HUM-001</x:v>
      </x:c>
      <x:c r="D2" t="str">
        <x:f>IF(CaseLedger!$A2="","",CaseLedger!K2)</x:f>
        <x:v>Livelihood</x:v>
      </x:c>
      <x:c r="E2" t="str">
        <x:f>IF(CaseLedger!$A2="","",CaseLedger!L2)</x:f>
        <x:v>Sewing / tailoring</x:v>
      </x:c>
      <x:c r="F2" t="str">
        <x:f>IF(CaseLedger!$A2="","",CaseLedger!P2)</x:f>
        <x:v>Sadaqah</x:v>
      </x:c>
      <x:c r="G2" t="str">
        <x:f>IF(CaseLedger!$A2="","",CaseLedger!F2)</x:f>
        <x:v>Sep 2024</x:v>
      </x:c>
      <x:c r="H2" t="str">
        <x:f>IF(CaseLedger!$A2="","",CaseLedger!Q2)</x:f>
        <x:v>Kanpur</x:v>
      </x:c>
      <x:c r="I2" t="str">
        <x:f>IF(CaseLedger!$A2="","",CaseLedger!R2)</x:f>
        <x:v>₹5,000–₹10,000</x:v>
      </x:c>
      <x:c r="J2" t="str">
        <x:f>IF(CaseLedger!$A2="","",CaseLedger!S2)</x:f>
        <x:v>A verified recipient/family needed support related to sewing / tailoring.</x:v>
      </x:c>
      <x:c r="K2" t="str">
        <x:f>IF(CaseLedger!$A2="","",CaseLedger!T2)</x:f>
        <x:v>Humanitarians supported the case through Sadaqah funds for 1 sewing machine + installation.</x:v>
      </x:c>
      <x:c r="L2" t="str">
        <x:f>IF(CaseLedger!$A2="","",CaseLedger!U2)</x:f>
        <x:v>Outcome/update should be added only after verified follow-up.</x:v>
      </x:c>
      <x:c r="M2" t="str">
        <x:f>IF(CaseLedger!$A2="","",CaseLedger!V2)</x:f>
        <x:v>Add follow-up notes after checking with the verification team.</x:v>
      </x:c>
      <x:c r="N2" t="str">
        <x:f>IF(CaseLedger!$A2="","",CaseLedger!W2)</x:f>
        <x:v>Add a real quote only with consent; do not publish this placeholder as a recipient quote.</x:v>
      </x:c>
      <x:c r="O2" t="str">
        <x:f>IF(CaseLedger!$A2="","",CaseLedger!X2)</x:f>
        <x:v>Anonymized public summary; no full name, phone, address, ID, bank details, or donor identity included.</x:v>
      </x:c>
      <x:c r="P2" t="str">
        <x:f>IF(CaseLedger!$A2="","",CaseLedger!E2)</x:f>
        <x:v>TRUE</x:v>
      </x:c>
      <x:c r="Q2" t="str">
        <x:f>IF(CaseLedger!$A2="","",CaseLedger!C2)</x:f>
        <x:v>No</x:v>
      </x:c>
      <x:c r="R2" t="str">
        <x:f>IF(CaseLedger!$A2="","",CaseLedger!D2)</x:f>
        <x:v>Draft</x:v>
      </x:c>
      <x:c r="S2" t="str">
        <x:f>IFERROR(IF(CaseLedger!$A2="","",CaseLedger!Y2),"")</x:f>
      </x:c>
      <x:c r="T2" t="str">
        <x:f>IFERROR(IF(CaseLedger!$A2="","",CaseLedger!Z2),"")</x:f>
        <x:v>Anonymized Humanitarians case image 1 for HUM-001</x:v>
      </x:c>
      <x:c r="U2" t="str">
        <x:f>IFERROR(IF(CaseLedger!$A2="","",CaseLedger!AA2),"")</x:f>
        <x:v>Before/support context image - add only after consent.</x:v>
      </x:c>
      <x:c r="V2" t="str">
        <x:f>IFERROR(IF(CaseLedger!$A2="","",CaseLedger!AB2),"")</x:f>
      </x:c>
      <x:c r="W2" t="str">
        <x:f>IFERROR(IF(CaseLedger!$A2="","",CaseLedger!AC2),"")</x:f>
        <x:v>Anonymized Humanitarians case image 2 for HUM-001</x:v>
      </x:c>
      <x:c r="X2" t="str">
        <x:f>IFERROR(IF(CaseLedger!$A2="","",CaseLedger!AD2),"")</x:f>
        <x:v>Support/equipment image - add only after consent.</x:v>
      </x:c>
      <x:c r="Y2" t="str">
        <x:f>IFERROR(IF(CaseLedger!$A2="","",CaseLedger!AE2),"")</x:f>
      </x:c>
      <x:c r="Z2" t="str">
        <x:f>IFERROR(IF(CaseLedger!$A2="","",CaseLedger!AF2),"")</x:f>
        <x:v>Anonymized Humanitarians case image 3 for HUM-001</x:v>
      </x:c>
      <x:c r="AA2" t="str">
        <x:f>IFERROR(IF(CaseLedger!$A2="","",CaseLedger!AG2),"")</x:f>
        <x:v>Outcome/follow-up image - add only after consent.</x:v>
      </x:c>
      <x:c r="AB2" t="str">
        <x:f>IFERROR(IF(CaseLedger!$A2="","",CaseLedger!AH2),"")</x:f>
        <x:v>Pending consent</x:v>
      </x:c>
      <x:c r="AC2" t="str">
        <x:f>IFERROR(IF(CaseLedger!$A2="","",CaseLedger!AI2),"")</x:f>
        <x:v>Paste public Google Drive image URLs only after recipient consent and privacy review.</x:v>
      </x:c>
    </x:row>
    <x:row r="3">
      <x:c r="A3" t="str">
        <x:f>IF(CaseLedger!$A3="","",CaseLedger!A3)</x:f>
        <x:v>HUM-002</x:v>
      </x:c>
      <x:c r="B3" t="str">
        <x:f>IF(CaseLedger!$A3="","",CaseLedger!I3)</x:f>
        <x:v>3 Sewing Machines</x:v>
      </x:c>
      <x:c r="C3" t="str">
        <x:f>IF(CaseLedger!$A3="","",CaseLedger!J3)</x:f>
        <x:v>Anonymized case HUM-002</x:v>
      </x:c>
      <x:c r="D3" t="str">
        <x:f>IF(CaseLedger!$A3="","",CaseLedger!K3)</x:f>
        <x:v>Livelihood</x:v>
      </x:c>
      <x:c r="E3" t="str">
        <x:f>IF(CaseLedger!$A3="","",CaseLedger!L3)</x:f>
        <x:v>Sewing / tailoring</x:v>
      </x:c>
      <x:c r="F3" t="str">
        <x:f>IF(CaseLedger!$A3="","",CaseLedger!P3)</x:f>
        <x:v>Sadaqah</x:v>
      </x:c>
      <x:c r="G3" t="str">
        <x:f>IF(CaseLedger!$A3="","",CaseLedger!F3)</x:f>
        <x:v>Sep 2024</x:v>
      </x:c>
      <x:c r="H3" t="str">
        <x:f>IF(CaseLedger!$A3="","",CaseLedger!Q3)</x:f>
        <x:v>Basti</x:v>
      </x:c>
      <x:c r="I3" t="str">
        <x:f>IF(CaseLedger!$A3="","",CaseLedger!R3)</x:f>
        <x:v>₹15,000–₹25,000</x:v>
      </x:c>
      <x:c r="J3" t="str">
        <x:f>IF(CaseLedger!$A3="","",CaseLedger!S3)</x:f>
        <x:v>A verified recipient/family needed support related to sewing / tailoring.</x:v>
      </x:c>
      <x:c r="K3" t="str">
        <x:f>IF(CaseLedger!$A3="","",CaseLedger!T3)</x:f>
        <x:v>Humanitarians supported the case through Sadaqah funds for 3 sewing machines.</x:v>
      </x:c>
      <x:c r="L3" t="str">
        <x:f>IF(CaseLedger!$A3="","",CaseLedger!U3)</x:f>
        <x:v>Outcome/update should be added only after verified follow-up.</x:v>
      </x:c>
      <x:c r="M3" t="str">
        <x:f>IF(CaseLedger!$A3="","",CaseLedger!V3)</x:f>
        <x:v>Add follow-up notes after checking with the verification team.</x:v>
      </x:c>
      <x:c r="N3" t="str">
        <x:f>IF(CaseLedger!$A3="","",CaseLedger!W3)</x:f>
        <x:v>Add a real quote only with consent; do not publish this placeholder as a recipient quote.</x:v>
      </x:c>
      <x:c r="O3" t="str">
        <x:f>IF(CaseLedger!$A3="","",CaseLedger!X3)</x:f>
        <x:v>Anonymized public summary; no full name, phone, address, ID, bank details, or donor identity included.</x:v>
      </x:c>
      <x:c r="P3" t="str">
        <x:f>IF(CaseLedger!$A3="","",CaseLedger!E3)</x:f>
        <x:v>TRUE</x:v>
      </x:c>
      <x:c r="Q3" t="str">
        <x:f>IF(CaseLedger!$A3="","",CaseLedger!C3)</x:f>
        <x:v>No</x:v>
      </x:c>
      <x:c r="R3" t="str">
        <x:f>IF(CaseLedger!$A3="","",CaseLedger!D3)</x:f>
        <x:v>Draft</x:v>
      </x:c>
      <x:c r="S3" t="str">
        <x:f>IFERROR(IF(CaseLedger!$A3="","",CaseLedger!Y3),"")</x:f>
      </x:c>
      <x:c r="T3" t="str">
        <x:f>IFERROR(IF(CaseLedger!$A3="","",CaseLedger!Z3),"")</x:f>
        <x:v>Anonymized Humanitarians case image 1 for HUM-002</x:v>
      </x:c>
      <x:c r="U3" t="str">
        <x:f>IFERROR(IF(CaseLedger!$A3="","",CaseLedger!AA3),"")</x:f>
        <x:v>Before/support context image - add only after consent.</x:v>
      </x:c>
      <x:c r="V3" t="str">
        <x:f>IFERROR(IF(CaseLedger!$A3="","",CaseLedger!AB3),"")</x:f>
      </x:c>
      <x:c r="W3" t="str">
        <x:f>IFERROR(IF(CaseLedger!$A3="","",CaseLedger!AC3),"")</x:f>
        <x:v>Anonymized Humanitarians case image 2 for HUM-002</x:v>
      </x:c>
      <x:c r="X3" t="str">
        <x:f>IFERROR(IF(CaseLedger!$A3="","",CaseLedger!AD3),"")</x:f>
        <x:v>Support/equipment image - add only after consent.</x:v>
      </x:c>
      <x:c r="Y3" t="str">
        <x:f>IFERROR(IF(CaseLedger!$A3="","",CaseLedger!AE3),"")</x:f>
      </x:c>
      <x:c r="Z3" t="str">
        <x:f>IFERROR(IF(CaseLedger!$A3="","",CaseLedger!AF3),"")</x:f>
        <x:v>Anonymized Humanitarians case image 3 for HUM-002</x:v>
      </x:c>
      <x:c r="AA3" t="str">
        <x:f>IFERROR(IF(CaseLedger!$A3="","",CaseLedger!AG3),"")</x:f>
        <x:v>Outcome/follow-up image - add only after consent.</x:v>
      </x:c>
      <x:c r="AB3" t="str">
        <x:f>IFERROR(IF(CaseLedger!$A3="","",CaseLedger!AH3),"")</x:f>
        <x:v>Pending consent</x:v>
      </x:c>
      <x:c r="AC3" t="str">
        <x:f>IFERROR(IF(CaseLedger!$A3="","",CaseLedger!AI3),"")</x:f>
        <x:v>Paste public Google Drive image URLs only after recipient consent and privacy review.</x:v>
      </x:c>
    </x:row>
    <x:row r="4">
      <x:c r="A4" t="str">
        <x:f>IF(CaseLedger!$A4="","",CaseLedger!A4)</x:f>
        <x:v>HUM-003</x:v>
      </x:c>
      <x:c r="B4" t="str">
        <x:f>IF(CaseLedger!$A4="","",CaseLedger!I4)</x:f>
        <x:v>Ration + Transportation</x:v>
      </x:c>
      <x:c r="C4" t="str">
        <x:f>IF(CaseLedger!$A4="","",CaseLedger!J4)</x:f>
        <x:v>Anonymized case HUM-003</x:v>
      </x:c>
      <x:c r="D4" t="str">
        <x:f>IF(CaseLedger!$A4="","",CaseLedger!K4)</x:f>
        <x:v>Emergency Support</x:v>
      </x:c>
      <x:c r="E4" t="str">
        <x:f>IF(CaseLedger!$A4="","",CaseLedger!L4)</x:f>
        <x:v>Relief / emergency support</x:v>
      </x:c>
      <x:c r="F4" t="str">
        <x:f>IF(CaseLedger!$A4="","",CaseLedger!P4)</x:f>
        <x:v>Sadaqah</x:v>
      </x:c>
      <x:c r="G4" t="str">
        <x:f>IF(CaseLedger!$A4="","",CaseLedger!F4)</x:f>
        <x:v>Sep 2024</x:v>
      </x:c>
      <x:c r="H4" t="str">
        <x:f>IF(CaseLedger!$A4="","",CaseLedger!Q4)</x:f>
        <x:v>Kanpur</x:v>
      </x:c>
      <x:c r="I4" t="str">
        <x:f>IF(CaseLedger!$A4="","",CaseLedger!R4)</x:f>
        <x:v>Under ₹5,000</x:v>
      </x:c>
      <x:c r="J4" t="str">
        <x:f>IF(CaseLedger!$A4="","",CaseLedger!S4)</x:f>
        <x:v>A verified recipient/family needed support related to relief / emergency support.</x:v>
      </x:c>
      <x:c r="K4" t="str">
        <x:f>IF(CaseLedger!$A4="","",CaseLedger!T4)</x:f>
        <x:v>Humanitarians supported the case through Sadaqah funds for ration + transportation.</x:v>
      </x:c>
      <x:c r="L4" t="str">
        <x:f>IF(CaseLedger!$A4="","",CaseLedger!U4)</x:f>
        <x:v>Outcome/update should be added only after verified follow-up.</x:v>
      </x:c>
      <x:c r="M4" t="str">
        <x:f>IF(CaseLedger!$A4="","",CaseLedger!V4)</x:f>
        <x:v>Add follow-up notes after checking with the verification team.</x:v>
      </x:c>
      <x:c r="N4" t="str">
        <x:f>IF(CaseLedger!$A4="","",CaseLedger!W4)</x:f>
        <x:v>Add a real quote only with consent; do not publish this placeholder as a recipient quote.</x:v>
      </x:c>
      <x:c r="O4" t="str">
        <x:f>IF(CaseLedger!$A4="","",CaseLedger!X4)</x:f>
        <x:v>Anonymized public summary; no full name, phone, address, ID, bank details, or donor identity included.</x:v>
      </x:c>
      <x:c r="P4" t="str">
        <x:f>IF(CaseLedger!$A4="","",CaseLedger!E4)</x:f>
        <x:v>FALSE</x:v>
      </x:c>
      <x:c r="Q4" t="str">
        <x:f>IF(CaseLedger!$A4="","",CaseLedger!C4)</x:f>
        <x:v>No</x:v>
      </x:c>
      <x:c r="R4" t="str">
        <x:f>IF(CaseLedger!$A4="","",CaseLedger!D4)</x:f>
        <x:v>Archive</x:v>
      </x:c>
      <x:c r="S4" t="str">
        <x:f>IFERROR(IF(CaseLedger!$A4="","",CaseLedger!Y4),"")</x:f>
      </x:c>
      <x:c r="T4" t="str">
        <x:f>IFERROR(IF(CaseLedger!$A4="","",CaseLedger!Z4),"")</x:f>
        <x:v>Anonymized Humanitarians case image 1 for HUM-003</x:v>
      </x:c>
      <x:c r="U4" t="str">
        <x:f>IFERROR(IF(CaseLedger!$A4="","",CaseLedger!AA4),"")</x:f>
        <x:v>Before/support context image - add only after consent.</x:v>
      </x:c>
      <x:c r="V4" t="str">
        <x:f>IFERROR(IF(CaseLedger!$A4="","",CaseLedger!AB4),"")</x:f>
      </x:c>
      <x:c r="W4" t="str">
        <x:f>IFERROR(IF(CaseLedger!$A4="","",CaseLedger!AC4),"")</x:f>
        <x:v>Anonymized Humanitarians case image 2 for HUM-003</x:v>
      </x:c>
      <x:c r="X4" t="str">
        <x:f>IFERROR(IF(CaseLedger!$A4="","",CaseLedger!AD4),"")</x:f>
        <x:v>Support/equipment image - add only after consent.</x:v>
      </x:c>
      <x:c r="Y4" t="str">
        <x:f>IFERROR(IF(CaseLedger!$A4="","",CaseLedger!AE4),"")</x:f>
      </x:c>
      <x:c r="Z4" t="str">
        <x:f>IFERROR(IF(CaseLedger!$A4="","",CaseLedger!AF4),"")</x:f>
        <x:v>Anonymized Humanitarians case image 3 for HUM-003</x:v>
      </x:c>
      <x:c r="AA4" t="str">
        <x:f>IFERROR(IF(CaseLedger!$A4="","",CaseLedger!AG4),"")</x:f>
        <x:v>Outcome/follow-up image - add only after consent.</x:v>
      </x:c>
      <x:c r="AB4" t="str">
        <x:f>IFERROR(IF(CaseLedger!$A4="","",CaseLedger!AH4),"")</x:f>
        <x:v>Pending consent</x:v>
      </x:c>
      <x:c r="AC4" t="str">
        <x:f>IFERROR(IF(CaseLedger!$A4="","",CaseLedger!AI4),"")</x:f>
        <x:v>Paste public Google Drive image URLs only after recipient consent and privacy review.</x:v>
      </x:c>
    </x:row>
    <x:row r="5">
      <x:c r="A5" t="str">
        <x:f>IF(CaseLedger!$A5="","",CaseLedger!A5)</x:f>
        <x:v>HUM-004</x:v>
      </x:c>
      <x:c r="B5" t="str">
        <x:f>IF(CaseLedger!$A5="","",CaseLedger!I5)</x:f>
        <x:v>Sewing Machines Assembly</x:v>
      </x:c>
      <x:c r="C5" t="str">
        <x:f>IF(CaseLedger!$A5="","",CaseLedger!J5)</x:f>
        <x:v>Anonymized case HUM-004</x:v>
      </x:c>
      <x:c r="D5" t="str">
        <x:f>IF(CaseLedger!$A5="","",CaseLedger!K5)</x:f>
        <x:v>Livelihood</x:v>
      </x:c>
      <x:c r="E5" t="str">
        <x:f>IF(CaseLedger!$A5="","",CaseLedger!L5)</x:f>
        <x:v>Sewing / tailoring</x:v>
      </x:c>
      <x:c r="F5" t="str">
        <x:f>IF(CaseLedger!$A5="","",CaseLedger!P5)</x:f>
        <x:v>Sadaqah</x:v>
      </x:c>
      <x:c r="G5" t="str">
        <x:f>IF(CaseLedger!$A5="","",CaseLedger!F5)</x:f>
        <x:v>Sep 2024</x:v>
      </x:c>
      <x:c r="H5" t="str">
        <x:f>IF(CaseLedger!$A5="","",CaseLedger!Q5)</x:f>
        <x:v>Basti</x:v>
      </x:c>
      <x:c r="I5" t="str">
        <x:f>IF(CaseLedger!$A5="","",CaseLedger!R5)</x:f>
        <x:v>Under ₹5,000</x:v>
      </x:c>
      <x:c r="J5" t="str">
        <x:f>IF(CaseLedger!$A5="","",CaseLedger!S5)</x:f>
        <x:v>A verified recipient/family needed support related to sewing / tailoring.</x:v>
      </x:c>
      <x:c r="K5" t="str">
        <x:f>IF(CaseLedger!$A5="","",CaseLedger!T5)</x:f>
        <x:v>Humanitarians supported the case through Sadaqah funds for sewing machines assembly.</x:v>
      </x:c>
      <x:c r="L5" t="str">
        <x:f>IF(CaseLedger!$A5="","",CaseLedger!U5)</x:f>
        <x:v>Outcome/update should be added only after verified follow-up.</x:v>
      </x:c>
      <x:c r="M5" t="str">
        <x:f>IF(CaseLedger!$A5="","",CaseLedger!V5)</x:f>
        <x:v>Add follow-up notes after checking with the verification team.</x:v>
      </x:c>
      <x:c r="N5" t="str">
        <x:f>IF(CaseLedger!$A5="","",CaseLedger!W5)</x:f>
        <x:v>Add a real quote only with consent; do not publish this placeholder as a recipient quote.</x:v>
      </x:c>
      <x:c r="O5" t="str">
        <x:f>IF(CaseLedger!$A5="","",CaseLedger!X5)</x:f>
        <x:v>Anonymized public summary; no full name, phone, address, ID, bank details, or donor identity included.</x:v>
      </x:c>
      <x:c r="P5" t="str">
        <x:f>IF(CaseLedger!$A5="","",CaseLedger!E5)</x:f>
        <x:v>TRUE</x:v>
      </x:c>
      <x:c r="Q5" t="str">
        <x:f>IF(CaseLedger!$A5="","",CaseLedger!C5)</x:f>
        <x:v>No</x:v>
      </x:c>
      <x:c r="R5" t="str">
        <x:f>IF(CaseLedger!$A5="","",CaseLedger!D5)</x:f>
        <x:v>Draft</x:v>
      </x:c>
      <x:c r="S5" t="str">
        <x:f>IFERROR(IF(CaseLedger!$A5="","",CaseLedger!Y5),"")</x:f>
      </x:c>
      <x:c r="T5" t="str">
        <x:f>IFERROR(IF(CaseLedger!$A5="","",CaseLedger!Z5),"")</x:f>
        <x:v>Anonymized Humanitarians case image 1 for HUM-004</x:v>
      </x:c>
      <x:c r="U5" t="str">
        <x:f>IFERROR(IF(CaseLedger!$A5="","",CaseLedger!AA5),"")</x:f>
        <x:v>Before/support context image - add only after consent.</x:v>
      </x:c>
      <x:c r="V5" t="str">
        <x:f>IFERROR(IF(CaseLedger!$A5="","",CaseLedger!AB5),"")</x:f>
      </x:c>
      <x:c r="W5" t="str">
        <x:f>IFERROR(IF(CaseLedger!$A5="","",CaseLedger!AC5),"")</x:f>
        <x:v>Anonymized Humanitarians case image 2 for HUM-004</x:v>
      </x:c>
      <x:c r="X5" t="str">
        <x:f>IFERROR(IF(CaseLedger!$A5="","",CaseLedger!AD5),"")</x:f>
        <x:v>Support/equipment image - add only after consent.</x:v>
      </x:c>
      <x:c r="Y5" t="str">
        <x:f>IFERROR(IF(CaseLedger!$A5="","",CaseLedger!AE5),"")</x:f>
      </x:c>
      <x:c r="Z5" t="str">
        <x:f>IFERROR(IF(CaseLedger!$A5="","",CaseLedger!AF5),"")</x:f>
        <x:v>Anonymized Humanitarians case image 3 for HUM-004</x:v>
      </x:c>
      <x:c r="AA5" t="str">
        <x:f>IFERROR(IF(CaseLedger!$A5="","",CaseLedger!AG5),"")</x:f>
        <x:v>Outcome/follow-up image - add only after consent.</x:v>
      </x:c>
      <x:c r="AB5" t="str">
        <x:f>IFERROR(IF(CaseLedger!$A5="","",CaseLedger!AH5),"")</x:f>
        <x:v>Pending consent</x:v>
      </x:c>
      <x:c r="AC5" t="str">
        <x:f>IFERROR(IF(CaseLedger!$A5="","",CaseLedger!AI5),"")</x:f>
        <x:v>Paste public Google Drive image URLs only after recipient consent and privacy review.</x:v>
      </x:c>
    </x:row>
    <x:row r="6">
      <x:c r="A6" t="str">
        <x:f>IF(CaseLedger!$A6="","",CaseLedger!A6)</x:f>
        <x:v>HUM-005</x:v>
      </x:c>
      <x:c r="B6" t="str">
        <x:f>IF(CaseLedger!$A6="","",CaseLedger!I6)</x:f>
        <x:v>Marble Cutter and Grinder</x:v>
      </x:c>
      <x:c r="C6" t="str">
        <x:f>IF(CaseLedger!$A6="","",CaseLedger!J6)</x:f>
        <x:v>Anonymized case HUM-005</x:v>
      </x:c>
      <x:c r="D6" t="str">
        <x:f>IF(CaseLedger!$A6="","",CaseLedger!K6)</x:f>
        <x:v>Livelihood</x:v>
      </x:c>
      <x:c r="E6" t="str">
        <x:f>IF(CaseLedger!$A6="","",CaseLedger!L6)</x:f>
        <x:v>Tools / equipment</x:v>
      </x:c>
      <x:c r="F6" t="str">
        <x:f>IF(CaseLedger!$A6="","",CaseLedger!P6)</x:f>
        <x:v>Sadaqah</x:v>
      </x:c>
      <x:c r="G6" t="str">
        <x:f>IF(CaseLedger!$A6="","",CaseLedger!F6)</x:f>
        <x:v>Oct 2024</x:v>
      </x:c>
      <x:c r="H6" t="str">
        <x:f>IF(CaseLedger!$A6="","",CaseLedger!Q6)</x:f>
        <x:v>Basti</x:v>
      </x:c>
      <x:c r="I6" t="str">
        <x:f>IF(CaseLedger!$A6="","",CaseLedger!R6)</x:f>
        <x:v>₹5,000–₹10,000</x:v>
      </x:c>
      <x:c r="J6" t="str">
        <x:f>IF(CaseLedger!$A6="","",CaseLedger!S6)</x:f>
        <x:v>A verified recipient/family needed support related to tools / equipment.</x:v>
      </x:c>
      <x:c r="K6" t="str">
        <x:f>IF(CaseLedger!$A6="","",CaseLedger!T6)</x:f>
        <x:v>Humanitarians supported the case through Sadaqah funds for marble cutter and grinder.</x:v>
      </x:c>
      <x:c r="L6" t="str">
        <x:f>IF(CaseLedger!$A6="","",CaseLedger!U6)</x:f>
        <x:v>Outcome/update should be added only after verified follow-up.</x:v>
      </x:c>
      <x:c r="M6" t="str">
        <x:f>IF(CaseLedger!$A6="","",CaseLedger!V6)</x:f>
        <x:v>Add follow-up notes after checking with the verification team.</x:v>
      </x:c>
      <x:c r="N6" t="str">
        <x:f>IF(CaseLedger!$A6="","",CaseLedger!W6)</x:f>
        <x:v>Add a real quote only with consent; do not publish this placeholder as a recipient quote.</x:v>
      </x:c>
      <x:c r="O6" t="str">
        <x:f>IF(CaseLedger!$A6="","",CaseLedger!X6)</x:f>
        <x:v>Anonymized public summary; no full name, phone, address, ID, bank details, or donor identity included.</x:v>
      </x:c>
      <x:c r="P6" t="str">
        <x:f>IF(CaseLedger!$A6="","",CaseLedger!E6)</x:f>
        <x:v>FALSE</x:v>
      </x:c>
      <x:c r="Q6" t="str">
        <x:f>IF(CaseLedger!$A6="","",CaseLedger!C6)</x:f>
        <x:v>No</x:v>
      </x:c>
      <x:c r="R6" t="str">
        <x:f>IF(CaseLedger!$A6="","",CaseLedger!D6)</x:f>
        <x:v>Archive</x:v>
      </x:c>
      <x:c r="S6" t="str">
        <x:f>IFERROR(IF(CaseLedger!$A6="","",CaseLedger!Y6),"")</x:f>
      </x:c>
      <x:c r="T6" t="str">
        <x:f>IFERROR(IF(CaseLedger!$A6="","",CaseLedger!Z6),"")</x:f>
        <x:v>Anonymized Humanitarians case image 1 for HUM-005</x:v>
      </x:c>
      <x:c r="U6" t="str">
        <x:f>IFERROR(IF(CaseLedger!$A6="","",CaseLedger!AA6),"")</x:f>
        <x:v>Before/support context image - add only after consent.</x:v>
      </x:c>
      <x:c r="V6" t="str">
        <x:f>IFERROR(IF(CaseLedger!$A6="","",CaseLedger!AB6),"")</x:f>
      </x:c>
      <x:c r="W6" t="str">
        <x:f>IFERROR(IF(CaseLedger!$A6="","",CaseLedger!AC6),"")</x:f>
        <x:v>Anonymized Humanitarians case image 2 for HUM-005</x:v>
      </x:c>
      <x:c r="X6" t="str">
        <x:f>IFERROR(IF(CaseLedger!$A6="","",CaseLedger!AD6),"")</x:f>
        <x:v>Support/equipment image - add only after consent.</x:v>
      </x:c>
      <x:c r="Y6" t="str">
        <x:f>IFERROR(IF(CaseLedger!$A6="","",CaseLedger!AE6),"")</x:f>
      </x:c>
      <x:c r="Z6" t="str">
        <x:f>IFERROR(IF(CaseLedger!$A6="","",CaseLedger!AF6),"")</x:f>
        <x:v>Anonymized Humanitarians case image 3 for HUM-005</x:v>
      </x:c>
      <x:c r="AA6" t="str">
        <x:f>IFERROR(IF(CaseLedger!$A6="","",CaseLedger!AG6),"")</x:f>
        <x:v>Outcome/follow-up image - add only after consent.</x:v>
      </x:c>
      <x:c r="AB6" t="str">
        <x:f>IFERROR(IF(CaseLedger!$A6="","",CaseLedger!AH6),"")</x:f>
        <x:v>Pending consent</x:v>
      </x:c>
      <x:c r="AC6" t="str">
        <x:f>IFERROR(IF(CaseLedger!$A6="","",CaseLedger!AI6),"")</x:f>
        <x:v>Paste public Google Drive image URLs only after recipient consent and privacy review.</x:v>
      </x:c>
    </x:row>
    <x:row r="7">
      <x:c r="A7" t="str">
        <x:f>IF(CaseLedger!$A7="","",CaseLedger!A7)</x:f>
        <x:v>HUM-006</x:v>
      </x:c>
      <x:c r="B7" t="str">
        <x:f>IF(CaseLedger!$A7="","",CaseLedger!I7)</x:f>
        <x:v>Ration</x:v>
      </x:c>
      <x:c r="C7" t="str">
        <x:f>IF(CaseLedger!$A7="","",CaseLedger!J7)</x:f>
        <x:v>Anonymized case HUM-006</x:v>
      </x:c>
      <x:c r="D7" t="str">
        <x:f>IF(CaseLedger!$A7="","",CaseLedger!K7)</x:f>
        <x:v>Emergency Support</x:v>
      </x:c>
      <x:c r="E7" t="str">
        <x:f>IF(CaseLedger!$A7="","",CaseLedger!L7)</x:f>
        <x:v>Relief / emergency support</x:v>
      </x:c>
      <x:c r="F7" t="str">
        <x:f>IF(CaseLedger!$A7="","",CaseLedger!P7)</x:f>
        <x:v>Sadaqah</x:v>
      </x:c>
      <x:c r="G7" t="str">
        <x:f>IF(CaseLedger!$A7="","",CaseLedger!F7)</x:f>
        <x:v>Oct 2024</x:v>
      </x:c>
      <x:c r="H7" t="str">
        <x:f>IF(CaseLedger!$A7="","",CaseLedger!Q7)</x:f>
        <x:v>Bangermau</x:v>
      </x:c>
      <x:c r="I7" t="str">
        <x:f>IF(CaseLedger!$A7="","",CaseLedger!R7)</x:f>
        <x:v>Under ₹5,000</x:v>
      </x:c>
      <x:c r="J7" t="str">
        <x:f>IF(CaseLedger!$A7="","",CaseLedger!S7)</x:f>
        <x:v>A verified recipient/family needed support related to relief / emergency support.</x:v>
      </x:c>
      <x:c r="K7" t="str">
        <x:f>IF(CaseLedger!$A7="","",CaseLedger!T7)</x:f>
        <x:v>Humanitarians supported the case through Sadaqah funds for ration.</x:v>
      </x:c>
      <x:c r="L7" t="str">
        <x:f>IF(CaseLedger!$A7="","",CaseLedger!U7)</x:f>
        <x:v>Outcome/update should be added only after verified follow-up.</x:v>
      </x:c>
      <x:c r="M7" t="str">
        <x:f>IF(CaseLedger!$A7="","",CaseLedger!V7)</x:f>
        <x:v>Add follow-up notes after checking with the verification team.</x:v>
      </x:c>
      <x:c r="N7" t="str">
        <x:f>IF(CaseLedger!$A7="","",CaseLedger!W7)</x:f>
        <x:v>Add a real quote only with consent; do not publish this placeholder as a recipient quote.</x:v>
      </x:c>
      <x:c r="O7" t="str">
        <x:f>IF(CaseLedger!$A7="","",CaseLedger!X7)</x:f>
        <x:v>Anonymized public summary; no full name, phone, address, ID, bank details, or donor identity included.</x:v>
      </x:c>
      <x:c r="P7" t="str">
        <x:f>IF(CaseLedger!$A7="","",CaseLedger!E7)</x:f>
        <x:v>FALSE</x:v>
      </x:c>
      <x:c r="Q7" t="str">
        <x:f>IF(CaseLedger!$A7="","",CaseLedger!C7)</x:f>
        <x:v>No</x:v>
      </x:c>
      <x:c r="R7" t="str">
        <x:f>IF(CaseLedger!$A7="","",CaseLedger!D7)</x:f>
        <x:v>Archive</x:v>
      </x:c>
      <x:c r="S7" t="str">
        <x:f>IFERROR(IF(CaseLedger!$A7="","",CaseLedger!Y7),"")</x:f>
      </x:c>
      <x:c r="T7" t="str">
        <x:f>IFERROR(IF(CaseLedger!$A7="","",CaseLedger!Z7),"")</x:f>
        <x:v>Anonymized Humanitarians case image 1 for HUM-006</x:v>
      </x:c>
      <x:c r="U7" t="str">
        <x:f>IFERROR(IF(CaseLedger!$A7="","",CaseLedger!AA7),"")</x:f>
        <x:v>Before/support context image - add only after consent.</x:v>
      </x:c>
      <x:c r="V7" t="str">
        <x:f>IFERROR(IF(CaseLedger!$A7="","",CaseLedger!AB7),"")</x:f>
      </x:c>
      <x:c r="W7" t="str">
        <x:f>IFERROR(IF(CaseLedger!$A7="","",CaseLedger!AC7),"")</x:f>
        <x:v>Anonymized Humanitarians case image 2 for HUM-006</x:v>
      </x:c>
      <x:c r="X7" t="str">
        <x:f>IFERROR(IF(CaseLedger!$A7="","",CaseLedger!AD7),"")</x:f>
        <x:v>Support/equipment image - add only after consent.</x:v>
      </x:c>
      <x:c r="Y7" t="str">
        <x:f>IFERROR(IF(CaseLedger!$A7="","",CaseLedger!AE7),"")</x:f>
      </x:c>
      <x:c r="Z7" t="str">
        <x:f>IFERROR(IF(CaseLedger!$A7="","",CaseLedger!AF7),"")</x:f>
        <x:v>Anonymized Humanitarians case image 3 for HUM-006</x:v>
      </x:c>
      <x:c r="AA7" t="str">
        <x:f>IFERROR(IF(CaseLedger!$A7="","",CaseLedger!AG7),"")</x:f>
        <x:v>Outcome/follow-up image - add only after consent.</x:v>
      </x:c>
      <x:c r="AB7" t="str">
        <x:f>IFERROR(IF(CaseLedger!$A7="","",CaseLedger!AH7),"")</x:f>
        <x:v>Pending consent</x:v>
      </x:c>
      <x:c r="AC7" t="str">
        <x:f>IFERROR(IF(CaseLedger!$A7="","",CaseLedger!AI7),"")</x:f>
        <x:v>Paste public Google Drive image URLs only after recipient consent and privacy review.</x:v>
      </x:c>
    </x:row>
    <x:row r="8">
      <x:c r="A8" t="str">
        <x:f>IF(CaseLedger!$A8="","",CaseLedger!A8)</x:f>
        <x:v>HUM-007</x:v>
      </x:c>
      <x:c r="B8" t="str">
        <x:f>IF(CaseLedger!$A8="","",CaseLedger!I8)</x:f>
        <x:v>Support in Clothing Business</x:v>
      </x:c>
      <x:c r="C8" t="str">
        <x:f>IF(CaseLedger!$A8="","",CaseLedger!J8)</x:f>
        <x:v>Anonymized case HUM-007</x:v>
      </x:c>
      <x:c r="D8" t="str">
        <x:f>IF(CaseLedger!$A8="","",CaseLedger!K8)</x:f>
        <x:v>Livelihood</x:v>
      </x:c>
      <x:c r="E8" t="str">
        <x:f>IF(CaseLedger!$A8="","",CaseLedger!L8)</x:f>
        <x:v>Shop / business inventory</x:v>
      </x:c>
      <x:c r="F8" t="str">
        <x:f>IF(CaseLedger!$A8="","",CaseLedger!P8)</x:f>
        <x:v>Sadaqah</x:v>
      </x:c>
      <x:c r="G8" t="str">
        <x:f>IF(CaseLedger!$A8="","",CaseLedger!F8)</x:f>
        <x:v>Nov 2024</x:v>
      </x:c>
      <x:c r="H8" t="str">
        <x:f>IF(CaseLedger!$A8="","",CaseLedger!Q8)</x:f>
        <x:v>Location withheld</x:v>
      </x:c>
      <x:c r="I8" t="str">
        <x:f>IF(CaseLedger!$A8="","",CaseLedger!R8)</x:f>
        <x:v>₹10,000–₹15,000</x:v>
      </x:c>
      <x:c r="J8" t="str">
        <x:f>IF(CaseLedger!$A8="","",CaseLedger!S8)</x:f>
        <x:v>A verified recipient/family needed support related to shop / business inventory.</x:v>
      </x:c>
      <x:c r="K8" t="str">
        <x:f>IF(CaseLedger!$A8="","",CaseLedger!T8)</x:f>
        <x:v>Humanitarians supported the case through Sadaqah funds for support in clothing business.</x:v>
      </x:c>
      <x:c r="L8" t="str">
        <x:f>IF(CaseLedger!$A8="","",CaseLedger!U8)</x:f>
        <x:v>Outcome/update should be added only after verified follow-up.</x:v>
      </x:c>
      <x:c r="M8" t="str">
        <x:f>IF(CaseLedger!$A8="","",CaseLedger!V8)</x:f>
        <x:v>Add follow-up notes after checking with the verification team.</x:v>
      </x:c>
      <x:c r="N8" t="str">
        <x:f>IF(CaseLedger!$A8="","",CaseLedger!W8)</x:f>
        <x:v>Add a real quote only with consent; do not publish this placeholder as a recipient quote.</x:v>
      </x:c>
      <x:c r="O8" t="str">
        <x:f>IF(CaseLedger!$A8="","",CaseLedger!X8)</x:f>
        <x:v>Anonymized public summary; no full name, phone, address, ID, bank details, or donor identity included.</x:v>
      </x:c>
      <x:c r="P8" t="str">
        <x:f>IF(CaseLedger!$A8="","",CaseLedger!E8)</x:f>
        <x:v>FALSE</x:v>
      </x:c>
      <x:c r="Q8" t="str">
        <x:f>IF(CaseLedger!$A8="","",CaseLedger!C8)</x:f>
        <x:v>No</x:v>
      </x:c>
      <x:c r="R8" t="str">
        <x:f>IF(CaseLedger!$A8="","",CaseLedger!D8)</x:f>
        <x:v>Archive</x:v>
      </x:c>
      <x:c r="S8" t="str">
        <x:f>IFERROR(IF(CaseLedger!$A8="","",CaseLedger!Y8),"")</x:f>
      </x:c>
      <x:c r="T8" t="str">
        <x:f>IFERROR(IF(CaseLedger!$A8="","",CaseLedger!Z8),"")</x:f>
        <x:v>Anonymized Humanitarians case image 1 for HUM-007</x:v>
      </x:c>
      <x:c r="U8" t="str">
        <x:f>IFERROR(IF(CaseLedger!$A8="","",CaseLedger!AA8),"")</x:f>
        <x:v>Before/support context image - add only after consent.</x:v>
      </x:c>
      <x:c r="V8" t="str">
        <x:f>IFERROR(IF(CaseLedger!$A8="","",CaseLedger!AB8),"")</x:f>
      </x:c>
      <x:c r="W8" t="str">
        <x:f>IFERROR(IF(CaseLedger!$A8="","",CaseLedger!AC8),"")</x:f>
        <x:v>Anonymized Humanitarians case image 2 for HUM-007</x:v>
      </x:c>
      <x:c r="X8" t="str">
        <x:f>IFERROR(IF(CaseLedger!$A8="","",CaseLedger!AD8),"")</x:f>
        <x:v>Support/equipment image - add only after consent.</x:v>
      </x:c>
      <x:c r="Y8" t="str">
        <x:f>IFERROR(IF(CaseLedger!$A8="","",CaseLedger!AE8),"")</x:f>
      </x:c>
      <x:c r="Z8" t="str">
        <x:f>IFERROR(IF(CaseLedger!$A8="","",CaseLedger!AF8),"")</x:f>
        <x:v>Anonymized Humanitarians case image 3 for HUM-007</x:v>
      </x:c>
      <x:c r="AA8" t="str">
        <x:f>IFERROR(IF(CaseLedger!$A8="","",CaseLedger!AG8),"")</x:f>
        <x:v>Outcome/follow-up image - add only after consent.</x:v>
      </x:c>
      <x:c r="AB8" t="str">
        <x:f>IFERROR(IF(CaseLedger!$A8="","",CaseLedger!AH8),"")</x:f>
        <x:v>Pending consent</x:v>
      </x:c>
      <x:c r="AC8" t="str">
        <x:f>IFERROR(IF(CaseLedger!$A8="","",CaseLedger!AI8),"")</x:f>
        <x:v>Paste public Google Drive image URLs only after recipient consent and privacy review.</x:v>
      </x:c>
    </x:row>
    <x:row r="9">
      <x:c r="A9" t="str">
        <x:f>IF(CaseLedger!$A9="","",CaseLedger!A9)</x:f>
        <x:v>HUM-008</x:v>
      </x:c>
      <x:c r="B9" t="str">
        <x:f>IF(CaseLedger!$A9="","",CaseLedger!I9)</x:f>
        <x:v>Extended Support for Kirana Shop</x:v>
      </x:c>
      <x:c r="C9" t="str">
        <x:f>IF(CaseLedger!$A9="","",CaseLedger!J9)</x:f>
        <x:v>Anonymized case HUM-008</x:v>
      </x:c>
      <x:c r="D9" t="str">
        <x:f>IF(CaseLedger!$A9="","",CaseLedger!K9)</x:f>
        <x:v>Livelihood</x:v>
      </x:c>
      <x:c r="E9" t="str">
        <x:f>IF(CaseLedger!$A9="","",CaseLedger!L9)</x:f>
        <x:v>Shop / business inventory</x:v>
      </x:c>
      <x:c r="F9" t="str">
        <x:f>IF(CaseLedger!$A9="","",CaseLedger!P9)</x:f>
        <x:v>Sadaqah</x:v>
      </x:c>
      <x:c r="G9" t="str">
        <x:f>IF(CaseLedger!$A9="","",CaseLedger!F9)</x:f>
        <x:v>Dec 2024</x:v>
      </x:c>
      <x:c r="H9" t="str">
        <x:f>IF(CaseLedger!$A9="","",CaseLedger!Q9)</x:f>
        <x:v>Ghaziabad, UP</x:v>
      </x:c>
      <x:c r="I9" t="str">
        <x:f>IF(CaseLedger!$A9="","",CaseLedger!R9)</x:f>
        <x:v>₹15,000–₹25,000</x:v>
      </x:c>
      <x:c r="J9" t="str">
        <x:f>IF(CaseLedger!$A9="","",CaseLedger!S9)</x:f>
        <x:v>A verified recipient/family needed support related to shop / business inventory.</x:v>
      </x:c>
      <x:c r="K9" t="str">
        <x:f>IF(CaseLedger!$A9="","",CaseLedger!T9)</x:f>
        <x:v>Humanitarians supported the case through Sadaqah funds for extended support for kirana shop.</x:v>
      </x:c>
      <x:c r="L9" t="str">
        <x:f>IF(CaseLedger!$A9="","",CaseLedger!U9)</x:f>
        <x:v>Outcome/update should be added only after verified follow-up.</x:v>
      </x:c>
      <x:c r="M9" t="str">
        <x:f>IF(CaseLedger!$A9="","",CaseLedger!V9)</x:f>
        <x:v>Add follow-up notes after checking with the verification team.</x:v>
      </x:c>
      <x:c r="N9" t="str">
        <x:f>IF(CaseLedger!$A9="","",CaseLedger!W9)</x:f>
        <x:v>Add a real quote only with consent; do not publish this placeholder as a recipient quote.</x:v>
      </x:c>
      <x:c r="O9" t="str">
        <x:f>IF(CaseLedger!$A9="","",CaseLedger!X9)</x:f>
        <x:v>Anonymized public summary; no full name, phone, address, ID, bank details, or donor identity included.</x:v>
      </x:c>
      <x:c r="P9" t="str">
        <x:f>IF(CaseLedger!$A9="","",CaseLedger!E9)</x:f>
        <x:v>TRUE</x:v>
      </x:c>
      <x:c r="Q9" t="str">
        <x:f>IF(CaseLedger!$A9="","",CaseLedger!C9)</x:f>
        <x:v>No</x:v>
      </x:c>
      <x:c r="R9" t="str">
        <x:f>IF(CaseLedger!$A9="","",CaseLedger!D9)</x:f>
        <x:v>Draft</x:v>
      </x:c>
      <x:c r="S9" t="str">
        <x:f>IFERROR(IF(CaseLedger!$A9="","",CaseLedger!Y9),"")</x:f>
      </x:c>
      <x:c r="T9" t="str">
        <x:f>IFERROR(IF(CaseLedger!$A9="","",CaseLedger!Z9),"")</x:f>
        <x:v>Anonymized Humanitarians case image 1 for HUM-008</x:v>
      </x:c>
      <x:c r="U9" t="str">
        <x:f>IFERROR(IF(CaseLedger!$A9="","",CaseLedger!AA9),"")</x:f>
        <x:v>Before/support context image - add only after consent.</x:v>
      </x:c>
      <x:c r="V9" t="str">
        <x:f>IFERROR(IF(CaseLedger!$A9="","",CaseLedger!AB9),"")</x:f>
      </x:c>
      <x:c r="W9" t="str">
        <x:f>IFERROR(IF(CaseLedger!$A9="","",CaseLedger!AC9),"")</x:f>
        <x:v>Anonymized Humanitarians case image 2 for HUM-008</x:v>
      </x:c>
      <x:c r="X9" t="str">
        <x:f>IFERROR(IF(CaseLedger!$A9="","",CaseLedger!AD9),"")</x:f>
        <x:v>Support/equipment image - add only after consent.</x:v>
      </x:c>
      <x:c r="Y9" t="str">
        <x:f>IFERROR(IF(CaseLedger!$A9="","",CaseLedger!AE9),"")</x:f>
      </x:c>
      <x:c r="Z9" t="str">
        <x:f>IFERROR(IF(CaseLedger!$A9="","",CaseLedger!AF9),"")</x:f>
        <x:v>Anonymized Humanitarians case image 3 for HUM-008</x:v>
      </x:c>
      <x:c r="AA9" t="str">
        <x:f>IFERROR(IF(CaseLedger!$A9="","",CaseLedger!AG9),"")</x:f>
        <x:v>Outcome/follow-up image - add only after consent.</x:v>
      </x:c>
      <x:c r="AB9" t="str">
        <x:f>IFERROR(IF(CaseLedger!$A9="","",CaseLedger!AH9),"")</x:f>
        <x:v>Pending consent</x:v>
      </x:c>
      <x:c r="AC9" t="str">
        <x:f>IFERROR(IF(CaseLedger!$A9="","",CaseLedger!AI9),"")</x:f>
        <x:v>Paste public Google Drive image URLs only after recipient consent and privacy review.</x:v>
      </x:c>
    </x:row>
    <x:row r="10">
      <x:c r="A10" t="str">
        <x:f>IF(CaseLedger!$A10="","",CaseLedger!A10)</x:f>
        <x:v>HUM-009</x:v>
      </x:c>
      <x:c r="B10" t="str">
        <x:f>IF(CaseLedger!$A10="","",CaseLedger!I10)</x:f>
        <x:v>Initial Support in Kirana Shop</x:v>
      </x:c>
      <x:c r="C10" t="str">
        <x:f>IF(CaseLedger!$A10="","",CaseLedger!J10)</x:f>
        <x:v>Anonymized case HUM-009</x:v>
      </x:c>
      <x:c r="D10" t="str">
        <x:f>IF(CaseLedger!$A10="","",CaseLedger!K10)</x:f>
        <x:v>Livelihood</x:v>
      </x:c>
      <x:c r="E10" t="str">
        <x:f>IF(CaseLedger!$A10="","",CaseLedger!L10)</x:f>
        <x:v>Shop / business inventory</x:v>
      </x:c>
      <x:c r="F10" t="str">
        <x:f>IF(CaseLedger!$A10="","",CaseLedger!P10)</x:f>
        <x:v>Sadaqah</x:v>
      </x:c>
      <x:c r="G10" t="str">
        <x:f>IF(CaseLedger!$A10="","",CaseLedger!F10)</x:f>
        <x:v>Dec 2024</x:v>
      </x:c>
      <x:c r="H10" t="str">
        <x:f>IF(CaseLedger!$A10="","",CaseLedger!Q10)</x:f>
        <x:v>Basti, UP</x:v>
      </x:c>
      <x:c r="I10" t="str">
        <x:f>IF(CaseLedger!$A10="","",CaseLedger!R10)</x:f>
        <x:v>₹15,000–₹25,000</x:v>
      </x:c>
      <x:c r="J10" t="str">
        <x:f>IF(CaseLedger!$A10="","",CaseLedger!S10)</x:f>
        <x:v>A verified recipient/family needed support related to shop / business inventory.</x:v>
      </x:c>
      <x:c r="K10" t="str">
        <x:f>IF(CaseLedger!$A10="","",CaseLedger!T10)</x:f>
        <x:v>Humanitarians supported the case through Sadaqah funds for initial support in kirana shop.</x:v>
      </x:c>
      <x:c r="L10" t="str">
        <x:f>IF(CaseLedger!$A10="","",CaseLedger!U10)</x:f>
        <x:v>Outcome/update should be added only after verified follow-up.</x:v>
      </x:c>
      <x:c r="M10" t="str">
        <x:f>IF(CaseLedger!$A10="","",CaseLedger!V10)</x:f>
        <x:v>Add follow-up notes after checking with the verification team.</x:v>
      </x:c>
      <x:c r="N10" t="str">
        <x:f>IF(CaseLedger!$A10="","",CaseLedger!W10)</x:f>
        <x:v>Add a real quote only with consent; do not publish this placeholder as a recipient quote.</x:v>
      </x:c>
      <x:c r="O10" t="str">
        <x:f>IF(CaseLedger!$A10="","",CaseLedger!X10)</x:f>
        <x:v>Anonymized public summary; no full name, phone, address, ID, bank details, or donor identity included.</x:v>
      </x:c>
      <x:c r="P10" t="str">
        <x:f>IF(CaseLedger!$A10="","",CaseLedger!E10)</x:f>
        <x:v>TRUE</x:v>
      </x:c>
      <x:c r="Q10" t="str">
        <x:f>IF(CaseLedger!$A10="","",CaseLedger!C10)</x:f>
        <x:v>No</x:v>
      </x:c>
      <x:c r="R10" t="str">
        <x:f>IF(CaseLedger!$A10="","",CaseLedger!D10)</x:f>
        <x:v>Draft</x:v>
      </x:c>
      <x:c r="S10" t="str">
        <x:f>IFERROR(IF(CaseLedger!$A10="","",CaseLedger!Y10),"")</x:f>
      </x:c>
      <x:c r="T10" t="str">
        <x:f>IFERROR(IF(CaseLedger!$A10="","",CaseLedger!Z10),"")</x:f>
        <x:v>Anonymized Humanitarians case image 1 for HUM-009</x:v>
      </x:c>
      <x:c r="U10" t="str">
        <x:f>IFERROR(IF(CaseLedger!$A10="","",CaseLedger!AA10),"")</x:f>
        <x:v>Before/support context image - add only after consent.</x:v>
      </x:c>
      <x:c r="V10" t="str">
        <x:f>IFERROR(IF(CaseLedger!$A10="","",CaseLedger!AB10),"")</x:f>
      </x:c>
      <x:c r="W10" t="str">
        <x:f>IFERROR(IF(CaseLedger!$A10="","",CaseLedger!AC10),"")</x:f>
        <x:v>Anonymized Humanitarians case image 2 for HUM-009</x:v>
      </x:c>
      <x:c r="X10" t="str">
        <x:f>IFERROR(IF(CaseLedger!$A10="","",CaseLedger!AD10),"")</x:f>
        <x:v>Support/equipment image - add only after consent.</x:v>
      </x:c>
      <x:c r="Y10" t="str">
        <x:f>IFERROR(IF(CaseLedger!$A10="","",CaseLedger!AE10),"")</x:f>
      </x:c>
      <x:c r="Z10" t="str">
        <x:f>IFERROR(IF(CaseLedger!$A10="","",CaseLedger!AF10),"")</x:f>
        <x:v>Anonymized Humanitarians case image 3 for HUM-009</x:v>
      </x:c>
      <x:c r="AA10" t="str">
        <x:f>IFERROR(IF(CaseLedger!$A10="","",CaseLedger!AG10),"")</x:f>
        <x:v>Outcome/follow-up image - add only after consent.</x:v>
      </x:c>
      <x:c r="AB10" t="str">
        <x:f>IFERROR(IF(CaseLedger!$A10="","",CaseLedger!AH10),"")</x:f>
        <x:v>Pending consent</x:v>
      </x:c>
      <x:c r="AC10" t="str">
        <x:f>IFERROR(IF(CaseLedger!$A10="","",CaseLedger!AI10),"")</x:f>
        <x:v>Paste public Google Drive image URLs only after recipient consent and privacy review.</x:v>
      </x:c>
    </x:row>
    <x:row r="11">
      <x:c r="A11" t="str">
        <x:f>IF(CaseLedger!$A11="","",CaseLedger!A11)</x:f>
        <x:v>HUM-010</x:v>
      </x:c>
      <x:c r="B11" t="str">
        <x:f>IF(CaseLedger!$A11="","",CaseLedger!I11)</x:f>
        <x:v>Repairs in Handcart + Ration</x:v>
      </x:c>
      <x:c r="C11" t="str">
        <x:f>IF(CaseLedger!$A11="","",CaseLedger!J11)</x:f>
        <x:v>Anonymized case HUM-010</x:v>
      </x:c>
      <x:c r="D11" t="str">
        <x:f>IF(CaseLedger!$A11="","",CaseLedger!K11)</x:f>
        <x:v>Emergency Support</x:v>
      </x:c>
      <x:c r="E11" t="str">
        <x:f>IF(CaseLedger!$A11="","",CaseLedger!L11)</x:f>
        <x:v>Relief / emergency support</x:v>
      </x:c>
      <x:c r="F11" t="str">
        <x:f>IF(CaseLedger!$A11="","",CaseLedger!P11)</x:f>
        <x:v>Sadaqah</x:v>
      </x:c>
      <x:c r="G11" t="str">
        <x:f>IF(CaseLedger!$A11="","",CaseLedger!F11)</x:f>
        <x:v>Dec 2024</x:v>
      </x:c>
      <x:c r="H11" t="str">
        <x:f>IF(CaseLedger!$A11="","",CaseLedger!Q11)</x:f>
        <x:v>Bihar</x:v>
      </x:c>
      <x:c r="I11" t="str">
        <x:f>IF(CaseLedger!$A11="","",CaseLedger!R11)</x:f>
        <x:v>Under ₹5,000</x:v>
      </x:c>
      <x:c r="J11" t="str">
        <x:f>IF(CaseLedger!$A11="","",CaseLedger!S11)</x:f>
        <x:v>A verified recipient/family needed support related to relief / emergency support.</x:v>
      </x:c>
      <x:c r="K11" t="str">
        <x:f>IF(CaseLedger!$A11="","",CaseLedger!T11)</x:f>
        <x:v>Humanitarians supported the case through Sadaqah funds for repairs in handcart + ration.</x:v>
      </x:c>
      <x:c r="L11" t="str">
        <x:f>IF(CaseLedger!$A11="","",CaseLedger!U11)</x:f>
        <x:v>Outcome/update should be added only after verified follow-up.</x:v>
      </x:c>
      <x:c r="M11" t="str">
        <x:f>IF(CaseLedger!$A11="","",CaseLedger!V11)</x:f>
        <x:v>Add follow-up notes after checking with the verification team.</x:v>
      </x:c>
      <x:c r="N11" t="str">
        <x:f>IF(CaseLedger!$A11="","",CaseLedger!W11)</x:f>
        <x:v>Add a real quote only with consent; do not publish this placeholder as a recipient quote.</x:v>
      </x:c>
      <x:c r="O11" t="str">
        <x:f>IF(CaseLedger!$A11="","",CaseLedger!X11)</x:f>
        <x:v>Anonymized public summary; no full name, phone, address, ID, bank details, or donor identity included.</x:v>
      </x:c>
      <x:c r="P11" t="str">
        <x:f>IF(CaseLedger!$A11="","",CaseLedger!E11)</x:f>
        <x:v>FALSE</x:v>
      </x:c>
      <x:c r="Q11" t="str">
        <x:f>IF(CaseLedger!$A11="","",CaseLedger!C11)</x:f>
        <x:v>No</x:v>
      </x:c>
      <x:c r="R11" t="str">
        <x:f>IF(CaseLedger!$A11="","",CaseLedger!D11)</x:f>
        <x:v>Archive</x:v>
      </x:c>
      <x:c r="S11" t="str">
        <x:f>IFERROR(IF(CaseLedger!$A11="","",CaseLedger!Y11),"")</x:f>
      </x:c>
      <x:c r="T11" t="str">
        <x:f>IFERROR(IF(CaseLedger!$A11="","",CaseLedger!Z11),"")</x:f>
        <x:v>Anonymized Humanitarians case image 1 for HUM-010</x:v>
      </x:c>
      <x:c r="U11" t="str">
        <x:f>IFERROR(IF(CaseLedger!$A11="","",CaseLedger!AA11),"")</x:f>
        <x:v>Before/support context image - add only after consent.</x:v>
      </x:c>
      <x:c r="V11" t="str">
        <x:f>IFERROR(IF(CaseLedger!$A11="","",CaseLedger!AB11),"")</x:f>
      </x:c>
      <x:c r="W11" t="str">
        <x:f>IFERROR(IF(CaseLedger!$A11="","",CaseLedger!AC11),"")</x:f>
        <x:v>Anonymized Humanitarians case image 2 for HUM-010</x:v>
      </x:c>
      <x:c r="X11" t="str">
        <x:f>IFERROR(IF(CaseLedger!$A11="","",CaseLedger!AD11),"")</x:f>
        <x:v>Support/equipment image - add only after consent.</x:v>
      </x:c>
      <x:c r="Y11" t="str">
        <x:f>IFERROR(IF(CaseLedger!$A11="","",CaseLedger!AE11),"")</x:f>
      </x:c>
      <x:c r="Z11" t="str">
        <x:f>IFERROR(IF(CaseLedger!$A11="","",CaseLedger!AF11),"")</x:f>
        <x:v>Anonymized Humanitarians case image 3 for HUM-010</x:v>
      </x:c>
      <x:c r="AA11" t="str">
        <x:f>IFERROR(IF(CaseLedger!$A11="","",CaseLedger!AG11),"")</x:f>
        <x:v>Outcome/follow-up image - add only after consent.</x:v>
      </x:c>
      <x:c r="AB11" t="str">
        <x:f>IFERROR(IF(CaseLedger!$A11="","",CaseLedger!AH11),"")</x:f>
        <x:v>Pending consent</x:v>
      </x:c>
      <x:c r="AC11" t="str">
        <x:f>IFERROR(IF(CaseLedger!$A11="","",CaseLedger!AI11),"")</x:f>
        <x:v>Paste public Google Drive image URLs only after recipient consent and privacy review.</x:v>
      </x:c>
    </x:row>
    <x:row r="12">
      <x:c r="A12" t="str">
        <x:f>IF(CaseLedger!$A12="","",CaseLedger!A12)</x:f>
        <x:v>HUM-011</x:v>
      </x:c>
      <x:c r="B12" t="str">
        <x:f>IF(CaseLedger!$A12="","",CaseLedger!I12)</x:f>
        <x:v>Sewing Machine + Ration</x:v>
      </x:c>
      <x:c r="C12" t="str">
        <x:f>IF(CaseLedger!$A12="","",CaseLedger!J12)</x:f>
        <x:v>Anonymized case HUM-011</x:v>
      </x:c>
      <x:c r="D12" t="str">
        <x:f>IF(CaseLedger!$A12="","",CaseLedger!K12)</x:f>
        <x:v>Emergency Support</x:v>
      </x:c>
      <x:c r="E12" t="str">
        <x:f>IF(CaseLedger!$A12="","",CaseLedger!L12)</x:f>
        <x:v>Relief / emergency support</x:v>
      </x:c>
      <x:c r="F12" t="str">
        <x:f>IF(CaseLedger!$A12="","",CaseLedger!P12)</x:f>
        <x:v>Sadaqah</x:v>
      </x:c>
      <x:c r="G12" t="str">
        <x:f>IF(CaseLedger!$A12="","",CaseLedger!F12)</x:f>
        <x:v>Dec 2024</x:v>
      </x:c>
      <x:c r="H12" t="str">
        <x:f>IF(CaseLedger!$A12="","",CaseLedger!Q12)</x:f>
        <x:v>Basti, UP</x:v>
      </x:c>
      <x:c r="I12" t="str">
        <x:f>IF(CaseLedger!$A12="","",CaseLedger!R12)</x:f>
        <x:v>₹5,000–₹10,000</x:v>
      </x:c>
      <x:c r="J12" t="str">
        <x:f>IF(CaseLedger!$A12="","",CaseLedger!S12)</x:f>
        <x:v>A verified recipient/family needed support related to relief / emergency support.</x:v>
      </x:c>
      <x:c r="K12" t="str">
        <x:f>IF(CaseLedger!$A12="","",CaseLedger!T12)</x:f>
        <x:v>Humanitarians supported the case through Sadaqah funds for sewing machine + ration.</x:v>
      </x:c>
      <x:c r="L12" t="str">
        <x:f>IF(CaseLedger!$A12="","",CaseLedger!U12)</x:f>
        <x:v>Outcome/update should be added only after verified follow-up.</x:v>
      </x:c>
      <x:c r="M12" t="str">
        <x:f>IF(CaseLedger!$A12="","",CaseLedger!V12)</x:f>
        <x:v>Add follow-up notes after checking with the verification team.</x:v>
      </x:c>
      <x:c r="N12" t="str">
        <x:f>IF(CaseLedger!$A12="","",CaseLedger!W12)</x:f>
        <x:v>Add a real quote only with consent; do not publish this placeholder as a recipient quote.</x:v>
      </x:c>
      <x:c r="O12" t="str">
        <x:f>IF(CaseLedger!$A12="","",CaseLedger!X12)</x:f>
        <x:v>Anonymized public summary; no full name, phone, address, ID, bank details, or donor identity included.</x:v>
      </x:c>
      <x:c r="P12" t="str">
        <x:f>IF(CaseLedger!$A12="","",CaseLedger!E12)</x:f>
        <x:v>TRUE</x:v>
      </x:c>
      <x:c r="Q12" t="str">
        <x:f>IF(CaseLedger!$A12="","",CaseLedger!C12)</x:f>
        <x:v>No</x:v>
      </x:c>
      <x:c r="R12" t="str">
        <x:f>IF(CaseLedger!$A12="","",CaseLedger!D12)</x:f>
        <x:v>Draft</x:v>
      </x:c>
      <x:c r="S12" t="str">
        <x:f>IFERROR(IF(CaseLedger!$A12="","",CaseLedger!Y12),"")</x:f>
      </x:c>
      <x:c r="T12" t="str">
        <x:f>IFERROR(IF(CaseLedger!$A12="","",CaseLedger!Z12),"")</x:f>
        <x:v>Anonymized Humanitarians case image 1 for HUM-011</x:v>
      </x:c>
      <x:c r="U12" t="str">
        <x:f>IFERROR(IF(CaseLedger!$A12="","",CaseLedger!AA12),"")</x:f>
        <x:v>Before/support context image - add only after consent.</x:v>
      </x:c>
      <x:c r="V12" t="str">
        <x:f>IFERROR(IF(CaseLedger!$A12="","",CaseLedger!AB12),"")</x:f>
      </x:c>
      <x:c r="W12" t="str">
        <x:f>IFERROR(IF(CaseLedger!$A12="","",CaseLedger!AC12),"")</x:f>
        <x:v>Anonymized Humanitarians case image 2 for HUM-011</x:v>
      </x:c>
      <x:c r="X12" t="str">
        <x:f>IFERROR(IF(CaseLedger!$A12="","",CaseLedger!AD12),"")</x:f>
        <x:v>Support/equipment image - add only after consent.</x:v>
      </x:c>
      <x:c r="Y12" t="str">
        <x:f>IFERROR(IF(CaseLedger!$A12="","",CaseLedger!AE12),"")</x:f>
      </x:c>
      <x:c r="Z12" t="str">
        <x:f>IFERROR(IF(CaseLedger!$A12="","",CaseLedger!AF12),"")</x:f>
        <x:v>Anonymized Humanitarians case image 3 for HUM-011</x:v>
      </x:c>
      <x:c r="AA12" t="str">
        <x:f>IFERROR(IF(CaseLedger!$A12="","",CaseLedger!AG12),"")</x:f>
        <x:v>Outcome/follow-up image - add only after consent.</x:v>
      </x:c>
      <x:c r="AB12" t="str">
        <x:f>IFERROR(IF(CaseLedger!$A12="","",CaseLedger!AH12),"")</x:f>
        <x:v>Pending consent</x:v>
      </x:c>
      <x:c r="AC12" t="str">
        <x:f>IFERROR(IF(CaseLedger!$A12="","",CaseLedger!AI12),"")</x:f>
        <x:v>Paste public Google Drive image URLs only after recipient consent and privacy review.</x:v>
      </x:c>
    </x:row>
    <x:row r="13">
      <x:c r="A13" t="str">
        <x:f>IF(CaseLedger!$A13="","",CaseLedger!A13)</x:f>
        <x:v>HUM-012</x:v>
      </x:c>
      <x:c r="B13" t="str">
        <x:f>IF(CaseLedger!$A13="","",CaseLedger!I13)</x:f>
        <x:v>Ingredients for fast food shop</x:v>
      </x:c>
      <x:c r="C13" t="str">
        <x:f>IF(CaseLedger!$A13="","",CaseLedger!J13)</x:f>
        <x:v>Anonymized case HUM-012</x:v>
      </x:c>
      <x:c r="D13" t="str">
        <x:f>IF(CaseLedger!$A13="","",CaseLedger!K13)</x:f>
        <x:v>Livelihood</x:v>
      </x:c>
      <x:c r="E13" t="str">
        <x:f>IF(CaseLedger!$A13="","",CaseLedger!L13)</x:f>
        <x:v>Shop / business inventory</x:v>
      </x:c>
      <x:c r="F13" t="str">
        <x:f>IF(CaseLedger!$A13="","",CaseLedger!P13)</x:f>
        <x:v>Sadaqah</x:v>
      </x:c>
      <x:c r="G13" t="str">
        <x:f>IF(CaseLedger!$A13="","",CaseLedger!F13)</x:f>
        <x:v>Jan 2025</x:v>
      </x:c>
      <x:c r="H13" t="str">
        <x:f>IF(CaseLedger!$A13="","",CaseLedger!Q13)</x:f>
        <x:v>Location withheld</x:v>
      </x:c>
      <x:c r="I13" t="str">
        <x:f>IF(CaseLedger!$A13="","",CaseLedger!R13)</x:f>
        <x:v>₹5,000–₹10,000</x:v>
      </x:c>
      <x:c r="J13" t="str">
        <x:f>IF(CaseLedger!$A13="","",CaseLedger!S13)</x:f>
        <x:v>A verified recipient/family needed support related to shop / business inventory.</x:v>
      </x:c>
      <x:c r="K13" t="str">
        <x:f>IF(CaseLedger!$A13="","",CaseLedger!T13)</x:f>
        <x:v>Humanitarians supported the case through Sadaqah funds for ingredients for fast food shop.</x:v>
      </x:c>
      <x:c r="L13" t="str">
        <x:f>IF(CaseLedger!$A13="","",CaseLedger!U13)</x:f>
        <x:v>Outcome/update should be added only after verified follow-up.</x:v>
      </x:c>
      <x:c r="M13" t="str">
        <x:f>IF(CaseLedger!$A13="","",CaseLedger!V13)</x:f>
        <x:v>Add follow-up notes after checking with the verification team.</x:v>
      </x:c>
      <x:c r="N13" t="str">
        <x:f>IF(CaseLedger!$A13="","",CaseLedger!W13)</x:f>
        <x:v>Add a real quote only with consent; do not publish this placeholder as a recipient quote.</x:v>
      </x:c>
      <x:c r="O13" t="str">
        <x:f>IF(CaseLedger!$A13="","",CaseLedger!X13)</x:f>
        <x:v>Anonymized public summary; no full name, phone, address, ID, bank details, or donor identity included.</x:v>
      </x:c>
      <x:c r="P13" t="str">
        <x:f>IF(CaseLedger!$A13="","",CaseLedger!E13)</x:f>
        <x:v>FALSE</x:v>
      </x:c>
      <x:c r="Q13" t="str">
        <x:f>IF(CaseLedger!$A13="","",CaseLedger!C13)</x:f>
        <x:v>No</x:v>
      </x:c>
      <x:c r="R13" t="str">
        <x:f>IF(CaseLedger!$A13="","",CaseLedger!D13)</x:f>
        <x:v>Archive</x:v>
      </x:c>
      <x:c r="S13" t="str">
        <x:f>IFERROR(IF(CaseLedger!$A13="","",CaseLedger!Y13),"")</x:f>
      </x:c>
      <x:c r="T13" t="str">
        <x:f>IFERROR(IF(CaseLedger!$A13="","",CaseLedger!Z13),"")</x:f>
        <x:v>Anonymized Humanitarians case image 1 for HUM-012</x:v>
      </x:c>
      <x:c r="U13" t="str">
        <x:f>IFERROR(IF(CaseLedger!$A13="","",CaseLedger!AA13),"")</x:f>
        <x:v>Before/support context image - add only after consent.</x:v>
      </x:c>
      <x:c r="V13" t="str">
        <x:f>IFERROR(IF(CaseLedger!$A13="","",CaseLedger!AB13),"")</x:f>
      </x:c>
      <x:c r="W13" t="str">
        <x:f>IFERROR(IF(CaseLedger!$A13="","",CaseLedger!AC13),"")</x:f>
        <x:v>Anonymized Humanitarians case image 2 for HUM-012</x:v>
      </x:c>
      <x:c r="X13" t="str">
        <x:f>IFERROR(IF(CaseLedger!$A13="","",CaseLedger!AD13),"")</x:f>
        <x:v>Support/equipment image - add only after consent.</x:v>
      </x:c>
      <x:c r="Y13" t="str">
        <x:f>IFERROR(IF(CaseLedger!$A13="","",CaseLedger!AE13),"")</x:f>
      </x:c>
      <x:c r="Z13" t="str">
        <x:f>IFERROR(IF(CaseLedger!$A13="","",CaseLedger!AF13),"")</x:f>
        <x:v>Anonymized Humanitarians case image 3 for HUM-012</x:v>
      </x:c>
      <x:c r="AA13" t="str">
        <x:f>IFERROR(IF(CaseLedger!$A13="","",CaseLedger!AG13),"")</x:f>
        <x:v>Outcome/follow-up image - add only after consent.</x:v>
      </x:c>
      <x:c r="AB13" t="str">
        <x:f>IFERROR(IF(CaseLedger!$A13="","",CaseLedger!AH13),"")</x:f>
        <x:v>Pending consent</x:v>
      </x:c>
      <x:c r="AC13" t="str">
        <x:f>IFERROR(IF(CaseLedger!$A13="","",CaseLedger!AI13),"")</x:f>
        <x:v>Paste public Google Drive image URLs only after recipient consent and privacy review.</x:v>
      </x:c>
    </x:row>
    <x:row r="14">
      <x:c r="A14" t="str">
        <x:f>IF(CaseLedger!$A14="","",CaseLedger!A14)</x:f>
        <x:v>HUM-013</x:v>
      </x:c>
      <x:c r="B14" t="str">
        <x:f>IF(CaseLedger!$A14="","",CaseLedger!I14)</x:f>
        <x:v>New wooden Shop</x:v>
      </x:c>
      <x:c r="C14" t="str">
        <x:f>IF(CaseLedger!$A14="","",CaseLedger!J14)</x:f>
        <x:v>Anonymized case HUM-013</x:v>
      </x:c>
      <x:c r="D14" t="str">
        <x:f>IF(CaseLedger!$A14="","",CaseLedger!K14)</x:f>
        <x:v>Livelihood</x:v>
      </x:c>
      <x:c r="E14" t="str">
        <x:f>IF(CaseLedger!$A14="","",CaseLedger!L14)</x:f>
        <x:v>Shop / business inventory</x:v>
      </x:c>
      <x:c r="F14" t="str">
        <x:f>IF(CaseLedger!$A14="","",CaseLedger!P14)</x:f>
        <x:v>Mixed</x:v>
      </x:c>
      <x:c r="G14" t="str">
        <x:f>IF(CaseLedger!$A14="","",CaseLedger!F14)</x:f>
        <x:v>Jan 2025</x:v>
      </x:c>
      <x:c r="H14" t="str">
        <x:f>IF(CaseLedger!$A14="","",CaseLedger!Q14)</x:f>
        <x:v>Basti, UP</x:v>
      </x:c>
      <x:c r="I14" t="str">
        <x:f>IF(CaseLedger!$A14="","",CaseLedger!R14)</x:f>
        <x:v>₹10,000–₹15,000</x:v>
      </x:c>
      <x:c r="J14" t="str">
        <x:f>IF(CaseLedger!$A14="","",CaseLedger!S14)</x:f>
        <x:v>A verified recipient/family needed support related to shop / business inventory.</x:v>
      </x:c>
      <x:c r="K14" t="str">
        <x:f>IF(CaseLedger!$A14="","",CaseLedger!T14)</x:f>
        <x:v>Humanitarians supported the case through Mixed funds for new wooden shop.</x:v>
      </x:c>
      <x:c r="L14" t="str">
        <x:f>IF(CaseLedger!$A14="","",CaseLedger!U14)</x:f>
        <x:v>Outcome/update should be added only after verified follow-up.</x:v>
      </x:c>
      <x:c r="M14" t="str">
        <x:f>IF(CaseLedger!$A14="","",CaseLedger!V14)</x:f>
        <x:v>Add follow-up notes after checking with the verification team.</x:v>
      </x:c>
      <x:c r="N14" t="str">
        <x:f>IF(CaseLedger!$A14="","",CaseLedger!W14)</x:f>
        <x:v>Add a real quote only with consent; do not publish this placeholder as a recipient quote.</x:v>
      </x:c>
      <x:c r="O14" t="str">
        <x:f>IF(CaseLedger!$A14="","",CaseLedger!X14)</x:f>
        <x:v>Anonymized public summary; no full name, phone, address, ID, bank details, or donor identity included.</x:v>
      </x:c>
      <x:c r="P14" t="str">
        <x:f>IF(CaseLedger!$A14="","",CaseLedger!E14)</x:f>
        <x:v>FALSE</x:v>
      </x:c>
      <x:c r="Q14" t="str">
        <x:f>IF(CaseLedger!$A14="","",CaseLedger!C14)</x:f>
        <x:v>No</x:v>
      </x:c>
      <x:c r="R14" t="str">
        <x:f>IF(CaseLedger!$A14="","",CaseLedger!D14)</x:f>
        <x:v>Archive</x:v>
      </x:c>
      <x:c r="S14" t="str">
        <x:f>IFERROR(IF(CaseLedger!$A14="","",CaseLedger!Y14),"")</x:f>
      </x:c>
      <x:c r="T14" t="str">
        <x:f>IFERROR(IF(CaseLedger!$A14="","",CaseLedger!Z14),"")</x:f>
        <x:v>Anonymized Humanitarians case image 1 for HUM-013</x:v>
      </x:c>
      <x:c r="U14" t="str">
        <x:f>IFERROR(IF(CaseLedger!$A14="","",CaseLedger!AA14),"")</x:f>
        <x:v>Before/support context image - add only after consent.</x:v>
      </x:c>
      <x:c r="V14" t="str">
        <x:f>IFERROR(IF(CaseLedger!$A14="","",CaseLedger!AB14),"")</x:f>
      </x:c>
      <x:c r="W14" t="str">
        <x:f>IFERROR(IF(CaseLedger!$A14="","",CaseLedger!AC14),"")</x:f>
        <x:v>Anonymized Humanitarians case image 2 for HUM-013</x:v>
      </x:c>
      <x:c r="X14" t="str">
        <x:f>IFERROR(IF(CaseLedger!$A14="","",CaseLedger!AD14),"")</x:f>
        <x:v>Support/equipment image - add only after consent.</x:v>
      </x:c>
      <x:c r="Y14" t="str">
        <x:f>IFERROR(IF(CaseLedger!$A14="","",CaseLedger!AE14),"")</x:f>
      </x:c>
      <x:c r="Z14" t="str">
        <x:f>IFERROR(IF(CaseLedger!$A14="","",CaseLedger!AF14),"")</x:f>
        <x:v>Anonymized Humanitarians case image 3 for HUM-013</x:v>
      </x:c>
      <x:c r="AA14" t="str">
        <x:f>IFERROR(IF(CaseLedger!$A14="","",CaseLedger!AG14),"")</x:f>
        <x:v>Outcome/follow-up image - add only after consent.</x:v>
      </x:c>
      <x:c r="AB14" t="str">
        <x:f>IFERROR(IF(CaseLedger!$A14="","",CaseLedger!AH14),"")</x:f>
        <x:v>Pending consent</x:v>
      </x:c>
      <x:c r="AC14" t="str">
        <x:f>IFERROR(IF(CaseLedger!$A14="","",CaseLedger!AI14),"")</x:f>
        <x:v>Paste public Google Drive image URLs only after recipient consent and privacy review.</x:v>
      </x:c>
    </x:row>
    <x:row r="15">
      <x:c r="A15" t="str">
        <x:f>IF(CaseLedger!$A15="","",CaseLedger!A15)</x:f>
        <x:v>HUM-014</x:v>
      </x:c>
      <x:c r="B15" t="str">
        <x:f>IF(CaseLedger!$A15="","",CaseLedger!I15)</x:f>
        <x:v>Sewing Machine</x:v>
      </x:c>
      <x:c r="C15" t="str">
        <x:f>IF(CaseLedger!$A15="","",CaseLedger!J15)</x:f>
        <x:v>Anonymized case HUM-014</x:v>
      </x:c>
      <x:c r="D15" t="str">
        <x:f>IF(CaseLedger!$A15="","",CaseLedger!K15)</x:f>
        <x:v>Livelihood</x:v>
      </x:c>
      <x:c r="E15" t="str">
        <x:f>IF(CaseLedger!$A15="","",CaseLedger!L15)</x:f>
        <x:v>Sewing / tailoring</x:v>
      </x:c>
      <x:c r="F15" t="str">
        <x:f>IF(CaseLedger!$A15="","",CaseLedger!P15)</x:f>
        <x:v>Sadaqah</x:v>
      </x:c>
      <x:c r="G15" t="str">
        <x:f>IF(CaseLedger!$A15="","",CaseLedger!F15)</x:f>
        <x:v>Jan 2025</x:v>
      </x:c>
      <x:c r="H15" t="str">
        <x:f>IF(CaseLedger!$A15="","",CaseLedger!Q15)</x:f>
        <x:v>Bihar</x:v>
      </x:c>
      <x:c r="I15" t="str">
        <x:f>IF(CaseLedger!$A15="","",CaseLedger!R15)</x:f>
        <x:v>₹5,000–₹10,000</x:v>
      </x:c>
      <x:c r="J15" t="str">
        <x:f>IF(CaseLedger!$A15="","",CaseLedger!S15)</x:f>
        <x:v>A verified recipient/family needed support related to sewing / tailoring.</x:v>
      </x:c>
      <x:c r="K15" t="str">
        <x:f>IF(CaseLedger!$A15="","",CaseLedger!T15)</x:f>
        <x:v>Humanitarians supported the case through Sadaqah funds for sewing machine.</x:v>
      </x:c>
      <x:c r="L15" t="str">
        <x:f>IF(CaseLedger!$A15="","",CaseLedger!U15)</x:f>
        <x:v>Outcome/update should be added only after verified follow-up.</x:v>
      </x:c>
      <x:c r="M15" t="str">
        <x:f>IF(CaseLedger!$A15="","",CaseLedger!V15)</x:f>
        <x:v>Add follow-up notes after checking with the verification team.</x:v>
      </x:c>
      <x:c r="N15" t="str">
        <x:f>IF(CaseLedger!$A15="","",CaseLedger!W15)</x:f>
        <x:v>Add a real quote only with consent; do not publish this placeholder as a recipient quote.</x:v>
      </x:c>
      <x:c r="O15" t="str">
        <x:f>IF(CaseLedger!$A15="","",CaseLedger!X15)</x:f>
        <x:v>Anonymized public summary; no full name, phone, address, ID, bank details, or donor identity included.</x:v>
      </x:c>
      <x:c r="P15" t="str">
        <x:f>IF(CaseLedger!$A15="","",CaseLedger!E15)</x:f>
        <x:v>TRUE</x:v>
      </x:c>
      <x:c r="Q15" t="str">
        <x:f>IF(CaseLedger!$A15="","",CaseLedger!C15)</x:f>
        <x:v>No</x:v>
      </x:c>
      <x:c r="R15" t="str">
        <x:f>IF(CaseLedger!$A15="","",CaseLedger!D15)</x:f>
        <x:v>Draft</x:v>
      </x:c>
      <x:c r="S15" t="str">
        <x:f>IFERROR(IF(CaseLedger!$A15="","",CaseLedger!Y15),"")</x:f>
      </x:c>
      <x:c r="T15" t="str">
        <x:f>IFERROR(IF(CaseLedger!$A15="","",CaseLedger!Z15),"")</x:f>
        <x:v>Anonymized Humanitarians case image 1 for HUM-014</x:v>
      </x:c>
      <x:c r="U15" t="str">
        <x:f>IFERROR(IF(CaseLedger!$A15="","",CaseLedger!AA15),"")</x:f>
        <x:v>Before/support context image - add only after consent.</x:v>
      </x:c>
      <x:c r="V15" t="str">
        <x:f>IFERROR(IF(CaseLedger!$A15="","",CaseLedger!AB15),"")</x:f>
      </x:c>
      <x:c r="W15" t="str">
        <x:f>IFERROR(IF(CaseLedger!$A15="","",CaseLedger!AC15),"")</x:f>
        <x:v>Anonymized Humanitarians case image 2 for HUM-014</x:v>
      </x:c>
      <x:c r="X15" t="str">
        <x:f>IFERROR(IF(CaseLedger!$A15="","",CaseLedger!AD15),"")</x:f>
        <x:v>Support/equipment image - add only after consent.</x:v>
      </x:c>
      <x:c r="Y15" t="str">
        <x:f>IFERROR(IF(CaseLedger!$A15="","",CaseLedger!AE15),"")</x:f>
      </x:c>
      <x:c r="Z15" t="str">
        <x:f>IFERROR(IF(CaseLedger!$A15="","",CaseLedger!AF15),"")</x:f>
        <x:v>Anonymized Humanitarians case image 3 for HUM-014</x:v>
      </x:c>
      <x:c r="AA15" t="str">
        <x:f>IFERROR(IF(CaseLedger!$A15="","",CaseLedger!AG15),"")</x:f>
        <x:v>Outcome/follow-up image - add only after consent.</x:v>
      </x:c>
      <x:c r="AB15" t="str">
        <x:f>IFERROR(IF(CaseLedger!$A15="","",CaseLedger!AH15),"")</x:f>
        <x:v>Pending consent</x:v>
      </x:c>
      <x:c r="AC15" t="str">
        <x:f>IFERROR(IF(CaseLedger!$A15="","",CaseLedger!AI15),"")</x:f>
        <x:v>Paste public Google Drive image URLs only after recipient consent and privacy review.</x:v>
      </x:c>
    </x:row>
    <x:row r="16">
      <x:c r="A16" t="str">
        <x:f>IF(CaseLedger!$A16="","",CaseLedger!A16)</x:f>
        <x:v>HUM-015</x:v>
      </x:c>
      <x:c r="B16" t="str">
        <x:f>IF(CaseLedger!$A16="","",CaseLedger!I16)</x:f>
        <x:v>Support for Chicken shop</x:v>
      </x:c>
      <x:c r="C16" t="str">
        <x:f>IF(CaseLedger!$A16="","",CaseLedger!J16)</x:f>
        <x:v>Anonymized case HUM-015</x:v>
      </x:c>
      <x:c r="D16" t="str">
        <x:f>IF(CaseLedger!$A16="","",CaseLedger!K16)</x:f>
        <x:v>Livelihood</x:v>
      </x:c>
      <x:c r="E16" t="str">
        <x:f>IF(CaseLedger!$A16="","",CaseLedger!L16)</x:f>
        <x:v>Shop / business inventory</x:v>
      </x:c>
      <x:c r="F16" t="str">
        <x:f>IF(CaseLedger!$A16="","",CaseLedger!P16)</x:f>
        <x:v>Sadaqah</x:v>
      </x:c>
      <x:c r="G16" t="str">
        <x:f>IF(CaseLedger!$A16="","",CaseLedger!F16)</x:f>
        <x:v>Feb 2025</x:v>
      </x:c>
      <x:c r="H16" t="str">
        <x:f>IF(CaseLedger!$A16="","",CaseLedger!Q16)</x:f>
        <x:v>Location withheld</x:v>
      </x:c>
      <x:c r="I16" t="str">
        <x:f>IF(CaseLedger!$A16="","",CaseLedger!R16)</x:f>
        <x:v>₹10,000–₹15,000</x:v>
      </x:c>
      <x:c r="J16" t="str">
        <x:f>IF(CaseLedger!$A16="","",CaseLedger!S16)</x:f>
        <x:v>A verified recipient/family needed support related to shop / business inventory.</x:v>
      </x:c>
      <x:c r="K16" t="str">
        <x:f>IF(CaseLedger!$A16="","",CaseLedger!T16)</x:f>
        <x:v>Humanitarians supported the case through Sadaqah funds for support for chicken shop.</x:v>
      </x:c>
      <x:c r="L16" t="str">
        <x:f>IF(CaseLedger!$A16="","",CaseLedger!U16)</x:f>
        <x:v>Outcome/update should be added only after verified follow-up.</x:v>
      </x:c>
      <x:c r="M16" t="str">
        <x:f>IF(CaseLedger!$A16="","",CaseLedger!V16)</x:f>
        <x:v>Add follow-up notes after checking with the verification team.</x:v>
      </x:c>
      <x:c r="N16" t="str">
        <x:f>IF(CaseLedger!$A16="","",CaseLedger!W16)</x:f>
        <x:v>Add a real quote only with consent; do not publish this placeholder as a recipient quote.</x:v>
      </x:c>
      <x:c r="O16" t="str">
        <x:f>IF(CaseLedger!$A16="","",CaseLedger!X16)</x:f>
        <x:v>Anonymized public summary; no full name, phone, address, ID, bank details, or donor identity included.</x:v>
      </x:c>
      <x:c r="P16" t="str">
        <x:f>IF(CaseLedger!$A16="","",CaseLedger!E16)</x:f>
        <x:v>FALSE</x:v>
      </x:c>
      <x:c r="Q16" t="str">
        <x:f>IF(CaseLedger!$A16="","",CaseLedger!C16)</x:f>
        <x:v>No</x:v>
      </x:c>
      <x:c r="R16" t="str">
        <x:f>IF(CaseLedger!$A16="","",CaseLedger!D16)</x:f>
        <x:v>Archive</x:v>
      </x:c>
      <x:c r="S16" t="str">
        <x:f>IFERROR(IF(CaseLedger!$A16="","",CaseLedger!Y16),"")</x:f>
      </x:c>
      <x:c r="T16" t="str">
        <x:f>IFERROR(IF(CaseLedger!$A16="","",CaseLedger!Z16),"")</x:f>
        <x:v>Anonymized Humanitarians case image 1 for HUM-015</x:v>
      </x:c>
      <x:c r="U16" t="str">
        <x:f>IFERROR(IF(CaseLedger!$A16="","",CaseLedger!AA16),"")</x:f>
        <x:v>Before/support context image - add only after consent.</x:v>
      </x:c>
      <x:c r="V16" t="str">
        <x:f>IFERROR(IF(CaseLedger!$A16="","",CaseLedger!AB16),"")</x:f>
      </x:c>
      <x:c r="W16" t="str">
        <x:f>IFERROR(IF(CaseLedger!$A16="","",CaseLedger!AC16),"")</x:f>
        <x:v>Anonymized Humanitarians case image 2 for HUM-015</x:v>
      </x:c>
      <x:c r="X16" t="str">
        <x:f>IFERROR(IF(CaseLedger!$A16="","",CaseLedger!AD16),"")</x:f>
        <x:v>Support/equipment image - add only after consent.</x:v>
      </x:c>
      <x:c r="Y16" t="str">
        <x:f>IFERROR(IF(CaseLedger!$A16="","",CaseLedger!AE16),"")</x:f>
      </x:c>
      <x:c r="Z16" t="str">
        <x:f>IFERROR(IF(CaseLedger!$A16="","",CaseLedger!AF16),"")</x:f>
        <x:v>Anonymized Humanitarians case image 3 for HUM-015</x:v>
      </x:c>
      <x:c r="AA16" t="str">
        <x:f>IFERROR(IF(CaseLedger!$A16="","",CaseLedger!AG16),"")</x:f>
        <x:v>Outcome/follow-up image - add only after consent.</x:v>
      </x:c>
      <x:c r="AB16" t="str">
        <x:f>IFERROR(IF(CaseLedger!$A16="","",CaseLedger!AH16),"")</x:f>
        <x:v>Pending consent</x:v>
      </x:c>
      <x:c r="AC16" t="str">
        <x:f>IFERROR(IF(CaseLedger!$A16="","",CaseLedger!AI16),"")</x:f>
        <x:v>Paste public Google Drive image URLs only after recipient consent and privacy review.</x:v>
      </x:c>
    </x:row>
    <x:row r="17">
      <x:c r="A17" t="str">
        <x:f>IF(CaseLedger!$A17="","",CaseLedger!A17)</x:f>
        <x:v>HUM-016</x:v>
      </x:c>
      <x:c r="B17" t="str">
        <x:f>IF(CaseLedger!$A17="","",CaseLedger!I17)</x:f>
        <x:v>Support for peddling toys</x:v>
      </x:c>
      <x:c r="C17" t="str">
        <x:f>IF(CaseLedger!$A17="","",CaseLedger!J17)</x:f>
        <x:v>Anonymized case HUM-016</x:v>
      </x:c>
      <x:c r="D17" t="str">
        <x:f>IF(CaseLedger!$A17="","",CaseLedger!K17)</x:f>
        <x:v>Livelihood</x:v>
      </x:c>
      <x:c r="E17" t="str">
        <x:f>IF(CaseLedger!$A17="","",CaseLedger!L17)</x:f>
        <x:v>Shop / business inventory</x:v>
      </x:c>
      <x:c r="F17" t="str">
        <x:f>IF(CaseLedger!$A17="","",CaseLedger!P17)</x:f>
        <x:v>Zakat</x:v>
      </x:c>
      <x:c r="G17" t="str">
        <x:f>IF(CaseLedger!$A17="","",CaseLedger!F17)</x:f>
        <x:v>Feb 2025</x:v>
      </x:c>
      <x:c r="H17" t="str">
        <x:f>IF(CaseLedger!$A17="","",CaseLedger!Q17)</x:f>
        <x:v>Location withheld</x:v>
      </x:c>
      <x:c r="I17" t="str">
        <x:f>IF(CaseLedger!$A17="","",CaseLedger!R17)</x:f>
        <x:v>₹5,000–₹10,000</x:v>
      </x:c>
      <x:c r="J17" t="str">
        <x:f>IF(CaseLedger!$A17="","",CaseLedger!S17)</x:f>
        <x:v>A verified recipient/family needed support related to shop / business inventory.</x:v>
      </x:c>
      <x:c r="K17" t="str">
        <x:f>IF(CaseLedger!$A17="","",CaseLedger!T17)</x:f>
        <x:v>Humanitarians supported the case through Zakat funds for support for peddling toys.</x:v>
      </x:c>
      <x:c r="L17" t="str">
        <x:f>IF(CaseLedger!$A17="","",CaseLedger!U17)</x:f>
        <x:v>Outcome/update should be added only after verified follow-up.</x:v>
      </x:c>
      <x:c r="M17" t="str">
        <x:f>IF(CaseLedger!$A17="","",CaseLedger!V17)</x:f>
        <x:v>Add follow-up notes after checking with the verification team.</x:v>
      </x:c>
      <x:c r="N17" t="str">
        <x:f>IF(CaseLedger!$A17="","",CaseLedger!W17)</x:f>
        <x:v>Add a real quote only with consent; do not publish this placeholder as a recipient quote.</x:v>
      </x:c>
      <x:c r="O17" t="str">
        <x:f>IF(CaseLedger!$A17="","",CaseLedger!X17)</x:f>
        <x:v>Anonymized public summary; no full name, phone, address, ID, bank details, or donor identity included.</x:v>
      </x:c>
      <x:c r="P17" t="str">
        <x:f>IF(CaseLedger!$A17="","",CaseLedger!E17)</x:f>
        <x:v>FALSE</x:v>
      </x:c>
      <x:c r="Q17" t="str">
        <x:f>IF(CaseLedger!$A17="","",CaseLedger!C17)</x:f>
        <x:v>No</x:v>
      </x:c>
      <x:c r="R17" t="str">
        <x:f>IF(CaseLedger!$A17="","",CaseLedger!D17)</x:f>
        <x:v>Archive</x:v>
      </x:c>
      <x:c r="S17" t="str">
        <x:f>IFERROR(IF(CaseLedger!$A17="","",CaseLedger!Y17),"")</x:f>
      </x:c>
      <x:c r="T17" t="str">
        <x:f>IFERROR(IF(CaseLedger!$A17="","",CaseLedger!Z17),"")</x:f>
        <x:v>Anonymized Humanitarians case image 1 for HUM-016</x:v>
      </x:c>
      <x:c r="U17" t="str">
        <x:f>IFERROR(IF(CaseLedger!$A17="","",CaseLedger!AA17),"")</x:f>
        <x:v>Before/support context image - add only after consent.</x:v>
      </x:c>
      <x:c r="V17" t="str">
        <x:f>IFERROR(IF(CaseLedger!$A17="","",CaseLedger!AB17),"")</x:f>
      </x:c>
      <x:c r="W17" t="str">
        <x:f>IFERROR(IF(CaseLedger!$A17="","",CaseLedger!AC17),"")</x:f>
        <x:v>Anonymized Humanitarians case image 2 for HUM-016</x:v>
      </x:c>
      <x:c r="X17" t="str">
        <x:f>IFERROR(IF(CaseLedger!$A17="","",CaseLedger!AD17),"")</x:f>
        <x:v>Support/equipment image - add only after consent.</x:v>
      </x:c>
      <x:c r="Y17" t="str">
        <x:f>IFERROR(IF(CaseLedger!$A17="","",CaseLedger!AE17),"")</x:f>
      </x:c>
      <x:c r="Z17" t="str">
        <x:f>IFERROR(IF(CaseLedger!$A17="","",CaseLedger!AF17),"")</x:f>
        <x:v>Anonymized Humanitarians case image 3 for HUM-016</x:v>
      </x:c>
      <x:c r="AA17" t="str">
        <x:f>IFERROR(IF(CaseLedger!$A17="","",CaseLedger!AG17),"")</x:f>
        <x:v>Outcome/follow-up image - add only after consent.</x:v>
      </x:c>
      <x:c r="AB17" t="str">
        <x:f>IFERROR(IF(CaseLedger!$A17="","",CaseLedger!AH17),"")</x:f>
        <x:v>Pending consent</x:v>
      </x:c>
      <x:c r="AC17" t="str">
        <x:f>IFERROR(IF(CaseLedger!$A17="","",CaseLedger!AI17),"")</x:f>
        <x:v>Paste public Google Drive image URLs only after recipient consent and privacy review.</x:v>
      </x:c>
    </x:row>
    <x:row r="18">
      <x:c r="A18" t="str">
        <x:f>IF(CaseLedger!$A18="","",CaseLedger!A18)</x:f>
        <x:v>HUM-017</x:v>
      </x:c>
      <x:c r="B18" t="str">
        <x:f>IF(CaseLedger!$A18="","",CaseLedger!I18)</x:f>
        <x:v>Support for sustainability of Small business</x:v>
      </x:c>
      <x:c r="C18" t="str">
        <x:f>IF(CaseLedger!$A18="","",CaseLedger!J18)</x:f>
        <x:v>Anonymized case HUM-017</x:v>
      </x:c>
      <x:c r="D18" t="str">
        <x:f>IF(CaseLedger!$A18="","",CaseLedger!K18)</x:f>
        <x:v>Livelihood</x:v>
      </x:c>
      <x:c r="E18" t="str">
        <x:f>IF(CaseLedger!$A18="","",CaseLedger!L18)</x:f>
        <x:v>Shop / business inventory</x:v>
      </x:c>
      <x:c r="F18" t="str">
        <x:f>IF(CaseLedger!$A18="","",CaseLedger!P18)</x:f>
        <x:v>Zakat</x:v>
      </x:c>
      <x:c r="G18" t="str">
        <x:f>IF(CaseLedger!$A18="","",CaseLedger!F18)</x:f>
        <x:v>Feb 2025</x:v>
      </x:c>
      <x:c r="H18" t="str">
        <x:f>IF(CaseLedger!$A18="","",CaseLedger!Q18)</x:f>
        <x:v>Location withheld</x:v>
      </x:c>
      <x:c r="I18" t="str">
        <x:f>IF(CaseLedger!$A18="","",CaseLedger!R18)</x:f>
        <x:v>₹15,000–₹25,000</x:v>
      </x:c>
      <x:c r="J18" t="str">
        <x:f>IF(CaseLedger!$A18="","",CaseLedger!S18)</x:f>
        <x:v>A verified recipient/family needed support related to shop / business inventory.</x:v>
      </x:c>
      <x:c r="K18" t="str">
        <x:f>IF(CaseLedger!$A18="","",CaseLedger!T18)</x:f>
        <x:v>Humanitarians supported the case through Zakat funds for support for sustainability of small business.</x:v>
      </x:c>
      <x:c r="L18" t="str">
        <x:f>IF(CaseLedger!$A18="","",CaseLedger!U18)</x:f>
        <x:v>Outcome/update should be added only after verified follow-up.</x:v>
      </x:c>
      <x:c r="M18" t="str">
        <x:f>IF(CaseLedger!$A18="","",CaseLedger!V18)</x:f>
        <x:v>Add follow-up notes after checking with the verification team.</x:v>
      </x:c>
      <x:c r="N18" t="str">
        <x:f>IF(CaseLedger!$A18="","",CaseLedger!W18)</x:f>
        <x:v>Add a real quote only with consent; do not publish this placeholder as a recipient quote.</x:v>
      </x:c>
      <x:c r="O18" t="str">
        <x:f>IF(CaseLedger!$A18="","",CaseLedger!X18)</x:f>
        <x:v>Anonymized public summary; no full name, phone, address, ID, bank details, or donor identity included.</x:v>
      </x:c>
      <x:c r="P18" t="str">
        <x:f>IF(CaseLedger!$A18="","",CaseLedger!E18)</x:f>
        <x:v>FALSE</x:v>
      </x:c>
      <x:c r="Q18" t="str">
        <x:f>IF(CaseLedger!$A18="","",CaseLedger!C18)</x:f>
        <x:v>No</x:v>
      </x:c>
      <x:c r="R18" t="str">
        <x:f>IF(CaseLedger!$A18="","",CaseLedger!D18)</x:f>
        <x:v>Archive</x:v>
      </x:c>
      <x:c r="S18" t="str">
        <x:f>IFERROR(IF(CaseLedger!$A18="","",CaseLedger!Y18),"")</x:f>
      </x:c>
      <x:c r="T18" t="str">
        <x:f>IFERROR(IF(CaseLedger!$A18="","",CaseLedger!Z18),"")</x:f>
        <x:v>Anonymized Humanitarians case image 1 for HUM-017</x:v>
      </x:c>
      <x:c r="U18" t="str">
        <x:f>IFERROR(IF(CaseLedger!$A18="","",CaseLedger!AA18),"")</x:f>
        <x:v>Before/support context image - add only after consent.</x:v>
      </x:c>
      <x:c r="V18" t="str">
        <x:f>IFERROR(IF(CaseLedger!$A18="","",CaseLedger!AB18),"")</x:f>
      </x:c>
      <x:c r="W18" t="str">
        <x:f>IFERROR(IF(CaseLedger!$A18="","",CaseLedger!AC18),"")</x:f>
        <x:v>Anonymized Humanitarians case image 2 for HUM-017</x:v>
      </x:c>
      <x:c r="X18" t="str">
        <x:f>IFERROR(IF(CaseLedger!$A18="","",CaseLedger!AD18),"")</x:f>
        <x:v>Support/equipment image - add only after consent.</x:v>
      </x:c>
      <x:c r="Y18" t="str">
        <x:f>IFERROR(IF(CaseLedger!$A18="","",CaseLedger!AE18),"")</x:f>
      </x:c>
      <x:c r="Z18" t="str">
        <x:f>IFERROR(IF(CaseLedger!$A18="","",CaseLedger!AF18),"")</x:f>
        <x:v>Anonymized Humanitarians case image 3 for HUM-017</x:v>
      </x:c>
      <x:c r="AA18" t="str">
        <x:f>IFERROR(IF(CaseLedger!$A18="","",CaseLedger!AG18),"")</x:f>
        <x:v>Outcome/follow-up image - add only after consent.</x:v>
      </x:c>
      <x:c r="AB18" t="str">
        <x:f>IFERROR(IF(CaseLedger!$A18="","",CaseLedger!AH18),"")</x:f>
        <x:v>Pending consent</x:v>
      </x:c>
      <x:c r="AC18" t="str">
        <x:f>IFERROR(IF(CaseLedger!$A18="","",CaseLedger!AI18),"")</x:f>
        <x:v>Paste public Google Drive image URLs only after recipient consent and privacy review.</x:v>
      </x:c>
    </x:row>
    <x:row r="19">
      <x:c r="A19" t="str">
        <x:f>IF(CaseLedger!$A19="","",CaseLedger!A19)</x:f>
        <x:v>HUM-018</x:v>
      </x:c>
      <x:c r="B19" t="str">
        <x:f>IF(CaseLedger!$A19="","",CaseLedger!I19)</x:f>
        <x:v>Assistance in procurement of better quality cloths</x:v>
      </x:c>
      <x:c r="C19" t="str">
        <x:f>IF(CaseLedger!$A19="","",CaseLedger!J19)</x:f>
        <x:v>Anonymized case HUM-018</x:v>
      </x:c>
      <x:c r="D19" t="str">
        <x:f>IF(CaseLedger!$A19="","",CaseLedger!K19)</x:f>
        <x:v>Livelihood</x:v>
      </x:c>
      <x:c r="E19" t="str">
        <x:f>IF(CaseLedger!$A19="","",CaseLedger!L19)</x:f>
        <x:v>Shop / business inventory</x:v>
      </x:c>
      <x:c r="F19" t="str">
        <x:f>IF(CaseLedger!$A19="","",CaseLedger!P19)</x:f>
        <x:v>Zakat</x:v>
      </x:c>
      <x:c r="G19" t="str">
        <x:f>IF(CaseLedger!$A19="","",CaseLedger!F19)</x:f>
        <x:v>Mar 2025</x:v>
      </x:c>
      <x:c r="H19" t="str">
        <x:f>IF(CaseLedger!$A19="","",CaseLedger!Q19)</x:f>
        <x:v>Basti, UP</x:v>
      </x:c>
      <x:c r="I19" t="str">
        <x:f>IF(CaseLedger!$A19="","",CaseLedger!R19)</x:f>
        <x:v>₹10,000–₹15,000</x:v>
      </x:c>
      <x:c r="J19" t="str">
        <x:f>IF(CaseLedger!$A19="","",CaseLedger!S19)</x:f>
        <x:v>A verified recipient/family needed support related to shop / business inventory.</x:v>
      </x:c>
      <x:c r="K19" t="str">
        <x:f>IF(CaseLedger!$A19="","",CaseLedger!T19)</x:f>
        <x:v>Humanitarians supported the case through Zakat funds for assistance in procurement of better quality cloths.</x:v>
      </x:c>
      <x:c r="L19" t="str">
        <x:f>IF(CaseLedger!$A19="","",CaseLedger!U19)</x:f>
        <x:v>Outcome/update should be added only after verified follow-up.</x:v>
      </x:c>
      <x:c r="M19" t="str">
        <x:f>IF(CaseLedger!$A19="","",CaseLedger!V19)</x:f>
        <x:v>Add follow-up notes after checking with the verification team.</x:v>
      </x:c>
      <x:c r="N19" t="str">
        <x:f>IF(CaseLedger!$A19="","",CaseLedger!W19)</x:f>
        <x:v>Add a real quote only with consent; do not publish this placeholder as a recipient quote.</x:v>
      </x:c>
      <x:c r="O19" t="str">
        <x:f>IF(CaseLedger!$A19="","",CaseLedger!X19)</x:f>
        <x:v>Anonymized public summary; no full name, phone, address, ID, bank details, or donor identity included.</x:v>
      </x:c>
      <x:c r="P19" t="str">
        <x:f>IF(CaseLedger!$A19="","",CaseLedger!E19)</x:f>
        <x:v>FALSE</x:v>
      </x:c>
      <x:c r="Q19" t="str">
        <x:f>IF(CaseLedger!$A19="","",CaseLedger!C19)</x:f>
        <x:v>No</x:v>
      </x:c>
      <x:c r="R19" t="str">
        <x:f>IF(CaseLedger!$A19="","",CaseLedger!D19)</x:f>
        <x:v>Archive</x:v>
      </x:c>
      <x:c r="S19" t="str">
        <x:f>IFERROR(IF(CaseLedger!$A19="","",CaseLedger!Y19),"")</x:f>
      </x:c>
      <x:c r="T19" t="str">
        <x:f>IFERROR(IF(CaseLedger!$A19="","",CaseLedger!Z19),"")</x:f>
        <x:v>Anonymized Humanitarians case image 1 for HUM-018</x:v>
      </x:c>
      <x:c r="U19" t="str">
        <x:f>IFERROR(IF(CaseLedger!$A19="","",CaseLedger!AA19),"")</x:f>
        <x:v>Before/support context image - add only after consent.</x:v>
      </x:c>
      <x:c r="V19" t="str">
        <x:f>IFERROR(IF(CaseLedger!$A19="","",CaseLedger!AB19),"")</x:f>
      </x:c>
      <x:c r="W19" t="str">
        <x:f>IFERROR(IF(CaseLedger!$A19="","",CaseLedger!AC19),"")</x:f>
        <x:v>Anonymized Humanitarians case image 2 for HUM-018</x:v>
      </x:c>
      <x:c r="X19" t="str">
        <x:f>IFERROR(IF(CaseLedger!$A19="","",CaseLedger!AD19),"")</x:f>
        <x:v>Support/equipment image - add only after consent.</x:v>
      </x:c>
      <x:c r="Y19" t="str">
        <x:f>IFERROR(IF(CaseLedger!$A19="","",CaseLedger!AE19),"")</x:f>
      </x:c>
      <x:c r="Z19" t="str">
        <x:f>IFERROR(IF(CaseLedger!$A19="","",CaseLedger!AF19),"")</x:f>
        <x:v>Anonymized Humanitarians case image 3 for HUM-018</x:v>
      </x:c>
      <x:c r="AA19" t="str">
        <x:f>IFERROR(IF(CaseLedger!$A19="","",CaseLedger!AG19),"")</x:f>
        <x:v>Outcome/follow-up image - add only after consent.</x:v>
      </x:c>
      <x:c r="AB19" t="str">
        <x:f>IFERROR(IF(CaseLedger!$A19="","",CaseLedger!AH19),"")</x:f>
        <x:v>Pending consent</x:v>
      </x:c>
      <x:c r="AC19" t="str">
        <x:f>IFERROR(IF(CaseLedger!$A19="","",CaseLedger!AI19),"")</x:f>
        <x:v>Paste public Google Drive image URLs only after recipient consent and privacy review.</x:v>
      </x:c>
    </x:row>
    <x:row r="20">
      <x:c r="A20" t="str">
        <x:f>IF(CaseLedger!$A20="","",CaseLedger!A20)</x:f>
        <x:v>HUM-019</x:v>
      </x:c>
      <x:c r="B20" t="str">
        <x:f>IF(CaseLedger!$A20="","",CaseLedger!I20)</x:f>
        <x:v>Initial Support for Cosmetics Shop</x:v>
      </x:c>
      <x:c r="C20" t="str">
        <x:f>IF(CaseLedger!$A20="","",CaseLedger!J20)</x:f>
        <x:v>Anonymized case HUM-019</x:v>
      </x:c>
      <x:c r="D20" t="str">
        <x:f>IF(CaseLedger!$A20="","",CaseLedger!K20)</x:f>
        <x:v>Livelihood</x:v>
      </x:c>
      <x:c r="E20" t="str">
        <x:f>IF(CaseLedger!$A20="","",CaseLedger!L20)</x:f>
        <x:v>Shop / business inventory</x:v>
      </x:c>
      <x:c r="F20" t="str">
        <x:f>IF(CaseLedger!$A20="","",CaseLedger!P20)</x:f>
        <x:v>Zakat</x:v>
      </x:c>
      <x:c r="G20" t="str">
        <x:f>IF(CaseLedger!$A20="","",CaseLedger!F20)</x:f>
        <x:v>Mar 2025</x:v>
      </x:c>
      <x:c r="H20" t="str">
        <x:f>IF(CaseLedger!$A20="","",CaseLedger!Q20)</x:f>
        <x:v>Gurgaon, Haryana</x:v>
      </x:c>
      <x:c r="I20" t="str">
        <x:f>IF(CaseLedger!$A20="","",CaseLedger!R20)</x:f>
        <x:v>₹15,000–₹25,000</x:v>
      </x:c>
      <x:c r="J20" t="str">
        <x:f>IF(CaseLedger!$A20="","",CaseLedger!S20)</x:f>
        <x:v>A verified recipient/family needed support related to shop / business inventory.</x:v>
      </x:c>
      <x:c r="K20" t="str">
        <x:f>IF(CaseLedger!$A20="","",CaseLedger!T20)</x:f>
        <x:v>Humanitarians supported the case through Zakat funds for initial support for cosmetics shop.</x:v>
      </x:c>
      <x:c r="L20" t="str">
        <x:f>IF(CaseLedger!$A20="","",CaseLedger!U20)</x:f>
        <x:v>Outcome/update should be added only after verified follow-up.</x:v>
      </x:c>
      <x:c r="M20" t="str">
        <x:f>IF(CaseLedger!$A20="","",CaseLedger!V20)</x:f>
        <x:v>Add follow-up notes after checking with the verification team.</x:v>
      </x:c>
      <x:c r="N20" t="str">
        <x:f>IF(CaseLedger!$A20="","",CaseLedger!W20)</x:f>
        <x:v>Add a real quote only with consent; do not publish this placeholder as a recipient quote.</x:v>
      </x:c>
      <x:c r="O20" t="str">
        <x:f>IF(CaseLedger!$A20="","",CaseLedger!X20)</x:f>
        <x:v>Anonymized public summary; no full name, phone, address, ID, bank details, or donor identity included.</x:v>
      </x:c>
      <x:c r="P20" t="str">
        <x:f>IF(CaseLedger!$A20="","",CaseLedger!E20)</x:f>
        <x:v>FALSE</x:v>
      </x:c>
      <x:c r="Q20" t="str">
        <x:f>IF(CaseLedger!$A20="","",CaseLedger!C20)</x:f>
        <x:v>No</x:v>
      </x:c>
      <x:c r="R20" t="str">
        <x:f>IF(CaseLedger!$A20="","",CaseLedger!D20)</x:f>
        <x:v>Archive</x:v>
      </x:c>
      <x:c r="S20" t="str">
        <x:f>IFERROR(IF(CaseLedger!$A20="","",CaseLedger!Y20),"")</x:f>
      </x:c>
      <x:c r="T20" t="str">
        <x:f>IFERROR(IF(CaseLedger!$A20="","",CaseLedger!Z20),"")</x:f>
        <x:v>Anonymized Humanitarians case image 1 for HUM-019</x:v>
      </x:c>
      <x:c r="U20" t="str">
        <x:f>IFERROR(IF(CaseLedger!$A20="","",CaseLedger!AA20),"")</x:f>
        <x:v>Before/support context image - add only after consent.</x:v>
      </x:c>
      <x:c r="V20" t="str">
        <x:f>IFERROR(IF(CaseLedger!$A20="","",CaseLedger!AB20),"")</x:f>
      </x:c>
      <x:c r="W20" t="str">
        <x:f>IFERROR(IF(CaseLedger!$A20="","",CaseLedger!AC20),"")</x:f>
        <x:v>Anonymized Humanitarians case image 2 for HUM-019</x:v>
      </x:c>
      <x:c r="X20" t="str">
        <x:f>IFERROR(IF(CaseLedger!$A20="","",CaseLedger!AD20),"")</x:f>
        <x:v>Support/equipment image - add only after consent.</x:v>
      </x:c>
      <x:c r="Y20" t="str">
        <x:f>IFERROR(IF(CaseLedger!$A20="","",CaseLedger!AE20),"")</x:f>
      </x:c>
      <x:c r="Z20" t="str">
        <x:f>IFERROR(IF(CaseLedger!$A20="","",CaseLedger!AF20),"")</x:f>
        <x:v>Anonymized Humanitarians case image 3 for HUM-019</x:v>
      </x:c>
      <x:c r="AA20" t="str">
        <x:f>IFERROR(IF(CaseLedger!$A20="","",CaseLedger!AG20),"")</x:f>
        <x:v>Outcome/follow-up image - add only after consent.</x:v>
      </x:c>
      <x:c r="AB20" t="str">
        <x:f>IFERROR(IF(CaseLedger!$A20="","",CaseLedger!AH20),"")</x:f>
        <x:v>Pending consent</x:v>
      </x:c>
      <x:c r="AC20" t="str">
        <x:f>IFERROR(IF(CaseLedger!$A20="","",CaseLedger!AI20),"")</x:f>
        <x:v>Paste public Google Drive image URLs only after recipient consent and privacy review.</x:v>
      </x:c>
    </x:row>
    <x:row r="21">
      <x:c r="A21" t="str">
        <x:f>IF(CaseLedger!$A21="","",CaseLedger!A21)</x:f>
        <x:v>HUM-020</x:v>
      </x:c>
      <x:c r="B21" t="str">
        <x:f>IF(CaseLedger!$A21="","",CaseLedger!I21)</x:f>
        <x:v>Repair of Electric Sewing Machine</x:v>
      </x:c>
      <x:c r="C21" t="str">
        <x:f>IF(CaseLedger!$A21="","",CaseLedger!J21)</x:f>
        <x:v>Anonymized case HUM-020</x:v>
      </x:c>
      <x:c r="D21" t="str">
        <x:f>IF(CaseLedger!$A21="","",CaseLedger!K21)</x:f>
        <x:v>Livelihood</x:v>
      </x:c>
      <x:c r="E21" t="str">
        <x:f>IF(CaseLedger!$A21="","",CaseLedger!L21)</x:f>
        <x:v>Sewing / tailoring</x:v>
      </x:c>
      <x:c r="F21" t="str">
        <x:f>IF(CaseLedger!$A21="","",CaseLedger!P21)</x:f>
        <x:v>Zakat</x:v>
      </x:c>
      <x:c r="G21" t="str">
        <x:f>IF(CaseLedger!$A21="","",CaseLedger!F21)</x:f>
        <x:v>Mar 2025</x:v>
      </x:c>
      <x:c r="H21" t="str">
        <x:f>IF(CaseLedger!$A21="","",CaseLedger!Q21)</x:f>
        <x:v>Ghaziabad, UP</x:v>
      </x:c>
      <x:c r="I21" t="str">
        <x:f>IF(CaseLedger!$A21="","",CaseLedger!R21)</x:f>
        <x:v>₹10,000–₹15,000</x:v>
      </x:c>
      <x:c r="J21" t="str">
        <x:f>IF(CaseLedger!$A21="","",CaseLedger!S21)</x:f>
        <x:v>A verified recipient/family needed support related to sewing / tailoring.</x:v>
      </x:c>
      <x:c r="K21" t="str">
        <x:f>IF(CaseLedger!$A21="","",CaseLedger!T21)</x:f>
        <x:v>Humanitarians supported the case through Zakat funds for repair of electric sewing machine.</x:v>
      </x:c>
      <x:c r="L21" t="str">
        <x:f>IF(CaseLedger!$A21="","",CaseLedger!U21)</x:f>
        <x:v>Outcome/update should be added only after verified follow-up.</x:v>
      </x:c>
      <x:c r="M21" t="str">
        <x:f>IF(CaseLedger!$A21="","",CaseLedger!V21)</x:f>
        <x:v>Add follow-up notes after checking with the verification team.</x:v>
      </x:c>
      <x:c r="N21" t="str">
        <x:f>IF(CaseLedger!$A21="","",CaseLedger!W21)</x:f>
        <x:v>Add a real quote only with consent; do not publish this placeholder as a recipient quote.</x:v>
      </x:c>
      <x:c r="O21" t="str">
        <x:f>IF(CaseLedger!$A21="","",CaseLedger!X21)</x:f>
        <x:v>Anonymized public summary; no full name, phone, address, ID, bank details, or donor identity included.</x:v>
      </x:c>
      <x:c r="P21" t="str">
        <x:f>IF(CaseLedger!$A21="","",CaseLedger!E21)</x:f>
        <x:v>TRUE</x:v>
      </x:c>
      <x:c r="Q21" t="str">
        <x:f>IF(CaseLedger!$A21="","",CaseLedger!C21)</x:f>
        <x:v>No</x:v>
      </x:c>
      <x:c r="R21" t="str">
        <x:f>IF(CaseLedger!$A21="","",CaseLedger!D21)</x:f>
        <x:v>Draft</x:v>
      </x:c>
      <x:c r="S21" t="str">
        <x:f>IFERROR(IF(CaseLedger!$A21="","",CaseLedger!Y21),"")</x:f>
      </x:c>
      <x:c r="T21" t="str">
        <x:f>IFERROR(IF(CaseLedger!$A21="","",CaseLedger!Z21),"")</x:f>
        <x:v>Anonymized Humanitarians case image 1 for HUM-020</x:v>
      </x:c>
      <x:c r="U21" t="str">
        <x:f>IFERROR(IF(CaseLedger!$A21="","",CaseLedger!AA21),"")</x:f>
        <x:v>Before/support context image - add only after consent.</x:v>
      </x:c>
      <x:c r="V21" t="str">
        <x:f>IFERROR(IF(CaseLedger!$A21="","",CaseLedger!AB21),"")</x:f>
      </x:c>
      <x:c r="W21" t="str">
        <x:f>IFERROR(IF(CaseLedger!$A21="","",CaseLedger!AC21),"")</x:f>
        <x:v>Anonymized Humanitarians case image 2 for HUM-020</x:v>
      </x:c>
      <x:c r="X21" t="str">
        <x:f>IFERROR(IF(CaseLedger!$A21="","",CaseLedger!AD21),"")</x:f>
        <x:v>Support/equipment image - add only after consent.</x:v>
      </x:c>
      <x:c r="Y21" t="str">
        <x:f>IFERROR(IF(CaseLedger!$A21="","",CaseLedger!AE21),"")</x:f>
      </x:c>
      <x:c r="Z21" t="str">
        <x:f>IFERROR(IF(CaseLedger!$A21="","",CaseLedger!AF21),"")</x:f>
        <x:v>Anonymized Humanitarians case image 3 for HUM-020</x:v>
      </x:c>
      <x:c r="AA21" t="str">
        <x:f>IFERROR(IF(CaseLedger!$A21="","",CaseLedger!AG21),"")</x:f>
        <x:v>Outcome/follow-up image - add only after consent.</x:v>
      </x:c>
      <x:c r="AB21" t="str">
        <x:f>IFERROR(IF(CaseLedger!$A21="","",CaseLedger!AH21),"")</x:f>
        <x:v>Pending consent</x:v>
      </x:c>
      <x:c r="AC21" t="str">
        <x:f>IFERROR(IF(CaseLedger!$A21="","",CaseLedger!AI21),"")</x:f>
        <x:v>Paste public Google Drive image URLs only after recipient consent and privacy review.</x:v>
      </x:c>
    </x:row>
    <x:row r="22">
      <x:c r="A22" t="str">
        <x:f>IF(CaseLedger!$A22="","",CaseLedger!A22)</x:f>
        <x:v>HUM-021</x:v>
      </x:c>
      <x:c r="B22" t="str">
        <x:f>IF(CaseLedger!$A22="","",CaseLedger!I22)</x:f>
        <x:v>Support for Kirana Shop</x:v>
      </x:c>
      <x:c r="C22" t="str">
        <x:f>IF(CaseLedger!$A22="","",CaseLedger!J22)</x:f>
        <x:v>Anonymized case HUM-021</x:v>
      </x:c>
      <x:c r="D22" t="str">
        <x:f>IF(CaseLedger!$A22="","",CaseLedger!K22)</x:f>
        <x:v>Livelihood</x:v>
      </x:c>
      <x:c r="E22" t="str">
        <x:f>IF(CaseLedger!$A22="","",CaseLedger!L22)</x:f>
        <x:v>Shop / business inventory</x:v>
      </x:c>
      <x:c r="F22" t="str">
        <x:f>IF(CaseLedger!$A22="","",CaseLedger!P22)</x:f>
        <x:v>Sadaqah</x:v>
      </x:c>
      <x:c r="G22" t="str">
        <x:f>IF(CaseLedger!$A22="","",CaseLedger!F22)</x:f>
        <x:v>Mar 2025</x:v>
      </x:c>
      <x:c r="H22" t="str">
        <x:f>IF(CaseLedger!$A22="","",CaseLedger!Q22)</x:f>
        <x:v>Basti, UP</x:v>
      </x:c>
      <x:c r="I22" t="str">
        <x:f>IF(CaseLedger!$A22="","",CaseLedger!R22)</x:f>
        <x:v>₹10,000–₹15,000</x:v>
      </x:c>
      <x:c r="J22" t="str">
        <x:f>IF(CaseLedger!$A22="","",CaseLedger!S22)</x:f>
        <x:v>A verified recipient/family needed support related to shop / business inventory.</x:v>
      </x:c>
      <x:c r="K22" t="str">
        <x:f>IF(CaseLedger!$A22="","",CaseLedger!T22)</x:f>
        <x:v>Humanitarians supported the case through Sadaqah funds for support for kirana shop.</x:v>
      </x:c>
      <x:c r="L22" t="str">
        <x:f>IF(CaseLedger!$A22="","",CaseLedger!U22)</x:f>
        <x:v>Outcome/update should be added only after verified follow-up.</x:v>
      </x:c>
      <x:c r="M22" t="str">
        <x:f>IF(CaseLedger!$A22="","",CaseLedger!V22)</x:f>
        <x:v>Add follow-up notes after checking with the verification team.</x:v>
      </x:c>
      <x:c r="N22" t="str">
        <x:f>IF(CaseLedger!$A22="","",CaseLedger!W22)</x:f>
        <x:v>Add a real quote only with consent; do not publish this placeholder as a recipient quote.</x:v>
      </x:c>
      <x:c r="O22" t="str">
        <x:f>IF(CaseLedger!$A22="","",CaseLedger!X22)</x:f>
        <x:v>Anonymized public summary; no full name, phone, address, ID, bank details, or donor identity included.</x:v>
      </x:c>
      <x:c r="P22" t="str">
        <x:f>IF(CaseLedger!$A22="","",CaseLedger!E22)</x:f>
        <x:v>TRUE</x:v>
      </x:c>
      <x:c r="Q22" t="str">
        <x:f>IF(CaseLedger!$A22="","",CaseLedger!C22)</x:f>
        <x:v>No</x:v>
      </x:c>
      <x:c r="R22" t="str">
        <x:f>IF(CaseLedger!$A22="","",CaseLedger!D22)</x:f>
        <x:v>Draft</x:v>
      </x:c>
      <x:c r="S22" t="str">
        <x:f>IFERROR(IF(CaseLedger!$A22="","",CaseLedger!Y22),"")</x:f>
      </x:c>
      <x:c r="T22" t="str">
        <x:f>IFERROR(IF(CaseLedger!$A22="","",CaseLedger!Z22),"")</x:f>
        <x:v>Anonymized Humanitarians case image 1 for HUM-021</x:v>
      </x:c>
      <x:c r="U22" t="str">
        <x:f>IFERROR(IF(CaseLedger!$A22="","",CaseLedger!AA22),"")</x:f>
        <x:v>Before/support context image - add only after consent.</x:v>
      </x:c>
      <x:c r="V22" t="str">
        <x:f>IFERROR(IF(CaseLedger!$A22="","",CaseLedger!AB22),"")</x:f>
      </x:c>
      <x:c r="W22" t="str">
        <x:f>IFERROR(IF(CaseLedger!$A22="","",CaseLedger!AC22),"")</x:f>
        <x:v>Anonymized Humanitarians case image 2 for HUM-021</x:v>
      </x:c>
      <x:c r="X22" t="str">
        <x:f>IFERROR(IF(CaseLedger!$A22="","",CaseLedger!AD22),"")</x:f>
        <x:v>Support/equipment image - add only after consent.</x:v>
      </x:c>
      <x:c r="Y22" t="str">
        <x:f>IFERROR(IF(CaseLedger!$A22="","",CaseLedger!AE22),"")</x:f>
      </x:c>
      <x:c r="Z22" t="str">
        <x:f>IFERROR(IF(CaseLedger!$A22="","",CaseLedger!AF22),"")</x:f>
        <x:v>Anonymized Humanitarians case image 3 for HUM-021</x:v>
      </x:c>
      <x:c r="AA22" t="str">
        <x:f>IFERROR(IF(CaseLedger!$A22="","",CaseLedger!AG22),"")</x:f>
        <x:v>Outcome/follow-up image - add only after consent.</x:v>
      </x:c>
      <x:c r="AB22" t="str">
        <x:f>IFERROR(IF(CaseLedger!$A22="","",CaseLedger!AH22),"")</x:f>
        <x:v>Pending consent</x:v>
      </x:c>
      <x:c r="AC22" t="str">
        <x:f>IFERROR(IF(CaseLedger!$A22="","",CaseLedger!AI22),"")</x:f>
        <x:v>Paste public Google Drive image URLs only after recipient consent and privacy review.</x:v>
      </x:c>
    </x:row>
    <x:row r="23">
      <x:c r="A23" t="str">
        <x:f>IF(CaseLedger!$A23="","",CaseLedger!A23)</x:f>
        <x:v>HUM-022</x:v>
      </x:c>
      <x:c r="B23" t="str">
        <x:f>IF(CaseLedger!$A23="","",CaseLedger!I23)</x:f>
        <x:v>Support for Second Hand Auto</x:v>
      </x:c>
      <x:c r="C23" t="str">
        <x:f>IF(CaseLedger!$A23="","",CaseLedger!J23)</x:f>
        <x:v>Anonymized case HUM-022</x:v>
      </x:c>
      <x:c r="D23" t="str">
        <x:f>IF(CaseLedger!$A23="","",CaseLedger!K23)</x:f>
        <x:v>Livelihood</x:v>
      </x:c>
      <x:c r="E23" t="str">
        <x:f>IF(CaseLedger!$A23="","",CaseLedger!L23)</x:f>
        <x:v>E-rickshaw / auto</x:v>
      </x:c>
      <x:c r="F23" t="str">
        <x:f>IF(CaseLedger!$A23="","",CaseLedger!P23)</x:f>
        <x:v>Sadaqah</x:v>
      </x:c>
      <x:c r="G23" t="str">
        <x:f>IF(CaseLedger!$A23="","",CaseLedger!F23)</x:f>
        <x:v>Mar 2025</x:v>
      </x:c>
      <x:c r="H23" t="str">
        <x:f>IF(CaseLedger!$A23="","",CaseLedger!Q23)</x:f>
        <x:v>Ghaziabad, UP</x:v>
      </x:c>
      <x:c r="I23" t="str">
        <x:f>IF(CaseLedger!$A23="","",CaseLedger!R23)</x:f>
        <x:v>₹15,000–₹25,000</x:v>
      </x:c>
      <x:c r="J23" t="str">
        <x:f>IF(CaseLedger!$A23="","",CaseLedger!S23)</x:f>
        <x:v>A verified recipient/family needed support related to e-rickshaw / auto.</x:v>
      </x:c>
      <x:c r="K23" t="str">
        <x:f>IF(CaseLedger!$A23="","",CaseLedger!T23)</x:f>
        <x:v>Humanitarians supported the case through Sadaqah funds for support for second hand auto.</x:v>
      </x:c>
      <x:c r="L23" t="str">
        <x:f>IF(CaseLedger!$A23="","",CaseLedger!U23)</x:f>
        <x:v>Outcome/update should be added only after verified follow-up.</x:v>
      </x:c>
      <x:c r="M23" t="str">
        <x:f>IF(CaseLedger!$A23="","",CaseLedger!V23)</x:f>
        <x:v>Add follow-up notes after checking with the verification team.</x:v>
      </x:c>
      <x:c r="N23" t="str">
        <x:f>IF(CaseLedger!$A23="","",CaseLedger!W23)</x:f>
        <x:v>Add a real quote only with consent; do not publish this placeholder as a recipient quote.</x:v>
      </x:c>
      <x:c r="O23" t="str">
        <x:f>IF(CaseLedger!$A23="","",CaseLedger!X23)</x:f>
        <x:v>Anonymized public summary; no full name, phone, address, ID, bank details, or donor identity included.</x:v>
      </x:c>
      <x:c r="P23" t="str">
        <x:f>IF(CaseLedger!$A23="","",CaseLedger!E23)</x:f>
        <x:v>FALSE</x:v>
      </x:c>
      <x:c r="Q23" t="str">
        <x:f>IF(CaseLedger!$A23="","",CaseLedger!C23)</x:f>
        <x:v>No</x:v>
      </x:c>
      <x:c r="R23" t="str">
        <x:f>IF(CaseLedger!$A23="","",CaseLedger!D23)</x:f>
        <x:v>Archive</x:v>
      </x:c>
      <x:c r="S23" t="str">
        <x:f>IFERROR(IF(CaseLedger!$A23="","",CaseLedger!Y23),"")</x:f>
      </x:c>
      <x:c r="T23" t="str">
        <x:f>IFERROR(IF(CaseLedger!$A23="","",CaseLedger!Z23),"")</x:f>
        <x:v>Anonymized Humanitarians case image 1 for HUM-022</x:v>
      </x:c>
      <x:c r="U23" t="str">
        <x:f>IFERROR(IF(CaseLedger!$A23="","",CaseLedger!AA23),"")</x:f>
        <x:v>Before/support context image - add only after consent.</x:v>
      </x:c>
      <x:c r="V23" t="str">
        <x:f>IFERROR(IF(CaseLedger!$A23="","",CaseLedger!AB23),"")</x:f>
      </x:c>
      <x:c r="W23" t="str">
        <x:f>IFERROR(IF(CaseLedger!$A23="","",CaseLedger!AC23),"")</x:f>
        <x:v>Anonymized Humanitarians case image 2 for HUM-022</x:v>
      </x:c>
      <x:c r="X23" t="str">
        <x:f>IFERROR(IF(CaseLedger!$A23="","",CaseLedger!AD23),"")</x:f>
        <x:v>Support/equipment image - add only after consent.</x:v>
      </x:c>
      <x:c r="Y23" t="str">
        <x:f>IFERROR(IF(CaseLedger!$A23="","",CaseLedger!AE23),"")</x:f>
      </x:c>
      <x:c r="Z23" t="str">
        <x:f>IFERROR(IF(CaseLedger!$A23="","",CaseLedger!AF23),"")</x:f>
        <x:v>Anonymized Humanitarians case image 3 for HUM-022</x:v>
      </x:c>
      <x:c r="AA23" t="str">
        <x:f>IFERROR(IF(CaseLedger!$A23="","",CaseLedger!AG23),"")</x:f>
        <x:v>Outcome/follow-up image - add only after consent.</x:v>
      </x:c>
      <x:c r="AB23" t="str">
        <x:f>IFERROR(IF(CaseLedger!$A23="","",CaseLedger!AH23),"")</x:f>
        <x:v>Pending consent</x:v>
      </x:c>
      <x:c r="AC23" t="str">
        <x:f>IFERROR(IF(CaseLedger!$A23="","",CaseLedger!AI23),"")</x:f>
        <x:v>Paste public Google Drive image URLs only after recipient consent and privacy review.</x:v>
      </x:c>
    </x:row>
    <x:row r="24">
      <x:c r="A24" t="str">
        <x:f>IF(CaseLedger!$A24="","",CaseLedger!A24)</x:f>
        <x:v>HUM-023</x:v>
      </x:c>
      <x:c r="B24" t="str">
        <x:f>IF(CaseLedger!$A24="","",CaseLedger!I24)</x:f>
        <x:v>Support in Buying New Auto</x:v>
      </x:c>
      <x:c r="C24" t="str">
        <x:f>IF(CaseLedger!$A24="","",CaseLedger!J24)</x:f>
        <x:v>Anonymized case HUM-023</x:v>
      </x:c>
      <x:c r="D24" t="str">
        <x:f>IF(CaseLedger!$A24="","",CaseLedger!K24)</x:f>
        <x:v>Livelihood</x:v>
      </x:c>
      <x:c r="E24" t="str">
        <x:f>IF(CaseLedger!$A24="","",CaseLedger!L24)</x:f>
        <x:v>E-rickshaw / auto</x:v>
      </x:c>
      <x:c r="F24" t="str">
        <x:f>IF(CaseLedger!$A24="","",CaseLedger!P24)</x:f>
        <x:v>Zakat</x:v>
      </x:c>
      <x:c r="G24" t="str">
        <x:f>IF(CaseLedger!$A24="","",CaseLedger!F24)</x:f>
        <x:v>Mar 2025</x:v>
      </x:c>
      <x:c r="H24" t="str">
        <x:f>IF(CaseLedger!$A24="","",CaseLedger!Q24)</x:f>
        <x:v>Basti, UP</x:v>
      </x:c>
      <x:c r="I24" t="str">
        <x:f>IF(CaseLedger!$A24="","",CaseLedger!R24)</x:f>
        <x:v>₹15,000–₹25,000</x:v>
      </x:c>
      <x:c r="J24" t="str">
        <x:f>IF(CaseLedger!$A24="","",CaseLedger!S24)</x:f>
        <x:v>A verified recipient/family needed support related to e-rickshaw / auto.</x:v>
      </x:c>
      <x:c r="K24" t="str">
        <x:f>IF(CaseLedger!$A24="","",CaseLedger!T24)</x:f>
        <x:v>Humanitarians supported the case through Zakat funds for support in buying new auto.</x:v>
      </x:c>
      <x:c r="L24" t="str">
        <x:f>IF(CaseLedger!$A24="","",CaseLedger!U24)</x:f>
        <x:v>Outcome/update should be added only after verified follow-up.</x:v>
      </x:c>
      <x:c r="M24" t="str">
        <x:f>IF(CaseLedger!$A24="","",CaseLedger!V24)</x:f>
        <x:v>Add follow-up notes after checking with the verification team.</x:v>
      </x:c>
      <x:c r="N24" t="str">
        <x:f>IF(CaseLedger!$A24="","",CaseLedger!W24)</x:f>
        <x:v>Add a real quote only with consent; do not publish this placeholder as a recipient quote.</x:v>
      </x:c>
      <x:c r="O24" t="str">
        <x:f>IF(CaseLedger!$A24="","",CaseLedger!X24)</x:f>
        <x:v>Anonymized public summary; no full name, phone, address, ID, bank details, or donor identity included.</x:v>
      </x:c>
      <x:c r="P24" t="str">
        <x:f>IF(CaseLedger!$A24="","",CaseLedger!E24)</x:f>
        <x:v>FALSE</x:v>
      </x:c>
      <x:c r="Q24" t="str">
        <x:f>IF(CaseLedger!$A24="","",CaseLedger!C24)</x:f>
        <x:v>No</x:v>
      </x:c>
      <x:c r="R24" t="str">
        <x:f>IF(CaseLedger!$A24="","",CaseLedger!D24)</x:f>
        <x:v>Archive</x:v>
      </x:c>
      <x:c r="S24" t="str">
        <x:f>IFERROR(IF(CaseLedger!$A24="","",CaseLedger!Y24),"")</x:f>
      </x:c>
      <x:c r="T24" t="str">
        <x:f>IFERROR(IF(CaseLedger!$A24="","",CaseLedger!Z24),"")</x:f>
        <x:v>Anonymized Humanitarians case image 1 for HUM-023</x:v>
      </x:c>
      <x:c r="U24" t="str">
        <x:f>IFERROR(IF(CaseLedger!$A24="","",CaseLedger!AA24),"")</x:f>
        <x:v>Before/support context image - add only after consent.</x:v>
      </x:c>
      <x:c r="V24" t="str">
        <x:f>IFERROR(IF(CaseLedger!$A24="","",CaseLedger!AB24),"")</x:f>
      </x:c>
      <x:c r="W24" t="str">
        <x:f>IFERROR(IF(CaseLedger!$A24="","",CaseLedger!AC24),"")</x:f>
        <x:v>Anonymized Humanitarians case image 2 for HUM-023</x:v>
      </x:c>
      <x:c r="X24" t="str">
        <x:f>IFERROR(IF(CaseLedger!$A24="","",CaseLedger!AD24),"")</x:f>
        <x:v>Support/equipment image - add only after consent.</x:v>
      </x:c>
      <x:c r="Y24" t="str">
        <x:f>IFERROR(IF(CaseLedger!$A24="","",CaseLedger!AE24),"")</x:f>
      </x:c>
      <x:c r="Z24" t="str">
        <x:f>IFERROR(IF(CaseLedger!$A24="","",CaseLedger!AF24),"")</x:f>
        <x:v>Anonymized Humanitarians case image 3 for HUM-023</x:v>
      </x:c>
      <x:c r="AA24" t="str">
        <x:f>IFERROR(IF(CaseLedger!$A24="","",CaseLedger!AG24),"")</x:f>
        <x:v>Outcome/follow-up image - add only after consent.</x:v>
      </x:c>
      <x:c r="AB24" t="str">
        <x:f>IFERROR(IF(CaseLedger!$A24="","",CaseLedger!AH24),"")</x:f>
        <x:v>Pending consent</x:v>
      </x:c>
      <x:c r="AC24" t="str">
        <x:f>IFERROR(IF(CaseLedger!$A24="","",CaseLedger!AI24),"")</x:f>
        <x:v>Paste public Google Drive image URLs only after recipient consent and privacy review.</x:v>
      </x:c>
    </x:row>
    <x:row r="25">
      <x:c r="A25" t="str">
        <x:f>IF(CaseLedger!$A25="","",CaseLedger!A25)</x:f>
        <x:v>HUM-024</x:v>
      </x:c>
      <x:c r="B25" t="str">
        <x:f>IF(CaseLedger!$A25="","",CaseLedger!I25)</x:f>
        <x:v>Support in Buying Second Hand Auto</x:v>
      </x:c>
      <x:c r="C25" t="str">
        <x:f>IF(CaseLedger!$A25="","",CaseLedger!J25)</x:f>
        <x:v>Anonymized case HUM-024</x:v>
      </x:c>
      <x:c r="D25" t="str">
        <x:f>IF(CaseLedger!$A25="","",CaseLedger!K25)</x:f>
        <x:v>Livelihood</x:v>
      </x:c>
      <x:c r="E25" t="str">
        <x:f>IF(CaseLedger!$A25="","",CaseLedger!L25)</x:f>
        <x:v>E-rickshaw / auto</x:v>
      </x:c>
      <x:c r="F25" t="str">
        <x:f>IF(CaseLedger!$A25="","",CaseLedger!P25)</x:f>
        <x:v>Zakat</x:v>
      </x:c>
      <x:c r="G25" t="str">
        <x:f>IF(CaseLedger!$A25="","",CaseLedger!F25)</x:f>
        <x:v>Mar 2025</x:v>
      </x:c>
      <x:c r="H25" t="str">
        <x:f>IF(CaseLedger!$A25="","",CaseLedger!Q25)</x:f>
        <x:v>Basti, UP</x:v>
      </x:c>
      <x:c r="I25" t="str">
        <x:f>IF(CaseLedger!$A25="","",CaseLedger!R25)</x:f>
        <x:v>₹15,000–₹25,000</x:v>
      </x:c>
      <x:c r="J25" t="str">
        <x:f>IF(CaseLedger!$A25="","",CaseLedger!S25)</x:f>
        <x:v>A verified recipient/family needed support related to e-rickshaw / auto.</x:v>
      </x:c>
      <x:c r="K25" t="str">
        <x:f>IF(CaseLedger!$A25="","",CaseLedger!T25)</x:f>
        <x:v>Humanitarians supported the case through Zakat funds for support in buying second hand auto.</x:v>
      </x:c>
      <x:c r="L25" t="str">
        <x:f>IF(CaseLedger!$A25="","",CaseLedger!U25)</x:f>
        <x:v>Outcome/update should be added only after verified follow-up.</x:v>
      </x:c>
      <x:c r="M25" t="str">
        <x:f>IF(CaseLedger!$A25="","",CaseLedger!V25)</x:f>
        <x:v>Add follow-up notes after checking with the verification team.</x:v>
      </x:c>
      <x:c r="N25" t="str">
        <x:f>IF(CaseLedger!$A25="","",CaseLedger!W25)</x:f>
        <x:v>Add a real quote only with consent; do not publish this placeholder as a recipient quote.</x:v>
      </x:c>
      <x:c r="O25" t="str">
        <x:f>IF(CaseLedger!$A25="","",CaseLedger!X25)</x:f>
        <x:v>Anonymized public summary; no full name, phone, address, ID, bank details, or donor identity included.</x:v>
      </x:c>
      <x:c r="P25" t="str">
        <x:f>IF(CaseLedger!$A25="","",CaseLedger!E25)</x:f>
        <x:v>FALSE</x:v>
      </x:c>
      <x:c r="Q25" t="str">
        <x:f>IF(CaseLedger!$A25="","",CaseLedger!C25)</x:f>
        <x:v>No</x:v>
      </x:c>
      <x:c r="R25" t="str">
        <x:f>IF(CaseLedger!$A25="","",CaseLedger!D25)</x:f>
        <x:v>Archive</x:v>
      </x:c>
      <x:c r="S25" t="str">
        <x:f>IFERROR(IF(CaseLedger!$A25="","",CaseLedger!Y25),"")</x:f>
      </x:c>
      <x:c r="T25" t="str">
        <x:f>IFERROR(IF(CaseLedger!$A25="","",CaseLedger!Z25),"")</x:f>
        <x:v>Anonymized Humanitarians case image 1 for HUM-024</x:v>
      </x:c>
      <x:c r="U25" t="str">
        <x:f>IFERROR(IF(CaseLedger!$A25="","",CaseLedger!AA25),"")</x:f>
        <x:v>Before/support context image - add only after consent.</x:v>
      </x:c>
      <x:c r="V25" t="str">
        <x:f>IFERROR(IF(CaseLedger!$A25="","",CaseLedger!AB25),"")</x:f>
      </x:c>
      <x:c r="W25" t="str">
        <x:f>IFERROR(IF(CaseLedger!$A25="","",CaseLedger!AC25),"")</x:f>
        <x:v>Anonymized Humanitarians case image 2 for HUM-024</x:v>
      </x:c>
      <x:c r="X25" t="str">
        <x:f>IFERROR(IF(CaseLedger!$A25="","",CaseLedger!AD25),"")</x:f>
        <x:v>Support/equipment image - add only after consent.</x:v>
      </x:c>
      <x:c r="Y25" t="str">
        <x:f>IFERROR(IF(CaseLedger!$A25="","",CaseLedger!AE25),"")</x:f>
      </x:c>
      <x:c r="Z25" t="str">
        <x:f>IFERROR(IF(CaseLedger!$A25="","",CaseLedger!AF25),"")</x:f>
        <x:v>Anonymized Humanitarians case image 3 for HUM-024</x:v>
      </x:c>
      <x:c r="AA25" t="str">
        <x:f>IFERROR(IF(CaseLedger!$A25="","",CaseLedger!AG25),"")</x:f>
        <x:v>Outcome/follow-up image - add only after consent.</x:v>
      </x:c>
      <x:c r="AB25" t="str">
        <x:f>IFERROR(IF(CaseLedger!$A25="","",CaseLedger!AH25),"")</x:f>
        <x:v>Pending consent</x:v>
      </x:c>
      <x:c r="AC25" t="str">
        <x:f>IFERROR(IF(CaseLedger!$A25="","",CaseLedger!AI25),"")</x:f>
        <x:v>Paste public Google Drive image URLs only after recipient consent and privacy review.</x:v>
      </x:c>
    </x:row>
    <x:row r="26">
      <x:c r="A26" t="str">
        <x:f>IF(CaseLedger!$A26="","",CaseLedger!A26)</x:f>
        <x:v>HUM-025</x:v>
      </x:c>
      <x:c r="B26" t="str">
        <x:f>IF(CaseLedger!$A26="","",CaseLedger!I26)</x:f>
        <x:v>Electric Sewing Machine</x:v>
      </x:c>
      <x:c r="C26" t="str">
        <x:f>IF(CaseLedger!$A26="","",CaseLedger!J26)</x:f>
        <x:v>Anonymized case HUM-025</x:v>
      </x:c>
      <x:c r="D26" t="str">
        <x:f>IF(CaseLedger!$A26="","",CaseLedger!K26)</x:f>
        <x:v>Livelihood</x:v>
      </x:c>
      <x:c r="E26" t="str">
        <x:f>IF(CaseLedger!$A26="","",CaseLedger!L26)</x:f>
        <x:v>Sewing / tailoring</x:v>
      </x:c>
      <x:c r="F26" t="str">
        <x:f>IF(CaseLedger!$A26="","",CaseLedger!P26)</x:f>
        <x:v>Sadaqah</x:v>
      </x:c>
      <x:c r="G26" t="str">
        <x:f>IF(CaseLedger!$A26="","",CaseLedger!F26)</x:f>
        <x:v>Apr 2025</x:v>
      </x:c>
      <x:c r="H26" t="str">
        <x:f>IF(CaseLedger!$A26="","",CaseLedger!Q26)</x:f>
        <x:v>Basti, UP</x:v>
      </x:c>
      <x:c r="I26" t="str">
        <x:f>IF(CaseLedger!$A26="","",CaseLedger!R26)</x:f>
        <x:v>₹5,000–₹10,000</x:v>
      </x:c>
      <x:c r="J26" t="str">
        <x:f>IF(CaseLedger!$A26="","",CaseLedger!S26)</x:f>
        <x:v>A verified recipient/family needed support related to sewing / tailoring.</x:v>
      </x:c>
      <x:c r="K26" t="str">
        <x:f>IF(CaseLedger!$A26="","",CaseLedger!T26)</x:f>
        <x:v>Humanitarians supported the case through Sadaqah funds for electric sewing machine.</x:v>
      </x:c>
      <x:c r="L26" t="str">
        <x:f>IF(CaseLedger!$A26="","",CaseLedger!U26)</x:f>
        <x:v>Outcome/update should be added only after verified follow-up.</x:v>
      </x:c>
      <x:c r="M26" t="str">
        <x:f>IF(CaseLedger!$A26="","",CaseLedger!V26)</x:f>
        <x:v>Add follow-up notes after checking with the verification team.</x:v>
      </x:c>
      <x:c r="N26" t="str">
        <x:f>IF(CaseLedger!$A26="","",CaseLedger!W26)</x:f>
        <x:v>Add a real quote only with consent; do not publish this placeholder as a recipient quote.</x:v>
      </x:c>
      <x:c r="O26" t="str">
        <x:f>IF(CaseLedger!$A26="","",CaseLedger!X26)</x:f>
        <x:v>Anonymized public summary; no full name, phone, address, ID, bank details, or donor identity included.</x:v>
      </x:c>
      <x:c r="P26" t="str">
        <x:f>IF(CaseLedger!$A26="","",CaseLedger!E26)</x:f>
        <x:v>TRUE</x:v>
      </x:c>
      <x:c r="Q26" t="str">
        <x:f>IF(CaseLedger!$A26="","",CaseLedger!C26)</x:f>
        <x:v>No</x:v>
      </x:c>
      <x:c r="R26" t="str">
        <x:f>IF(CaseLedger!$A26="","",CaseLedger!D26)</x:f>
        <x:v>Draft</x:v>
      </x:c>
      <x:c r="S26" t="str">
        <x:f>IFERROR(IF(CaseLedger!$A26="","",CaseLedger!Y26),"")</x:f>
      </x:c>
      <x:c r="T26" t="str">
        <x:f>IFERROR(IF(CaseLedger!$A26="","",CaseLedger!Z26),"")</x:f>
        <x:v>Anonymized Humanitarians case image 1 for HUM-025</x:v>
      </x:c>
      <x:c r="U26" t="str">
        <x:f>IFERROR(IF(CaseLedger!$A26="","",CaseLedger!AA26),"")</x:f>
        <x:v>Before/support context image - add only after consent.</x:v>
      </x:c>
      <x:c r="V26" t="str">
        <x:f>IFERROR(IF(CaseLedger!$A26="","",CaseLedger!AB26),"")</x:f>
      </x:c>
      <x:c r="W26" t="str">
        <x:f>IFERROR(IF(CaseLedger!$A26="","",CaseLedger!AC26),"")</x:f>
        <x:v>Anonymized Humanitarians case image 2 for HUM-025</x:v>
      </x:c>
      <x:c r="X26" t="str">
        <x:f>IFERROR(IF(CaseLedger!$A26="","",CaseLedger!AD26),"")</x:f>
        <x:v>Support/equipment image - add only after consent.</x:v>
      </x:c>
      <x:c r="Y26" t="str">
        <x:f>IFERROR(IF(CaseLedger!$A26="","",CaseLedger!AE26),"")</x:f>
      </x:c>
      <x:c r="Z26" t="str">
        <x:f>IFERROR(IF(CaseLedger!$A26="","",CaseLedger!AF26),"")</x:f>
        <x:v>Anonymized Humanitarians case image 3 for HUM-025</x:v>
      </x:c>
      <x:c r="AA26" t="str">
        <x:f>IFERROR(IF(CaseLedger!$A26="","",CaseLedger!AG26),"")</x:f>
        <x:v>Outcome/follow-up image - add only after consent.</x:v>
      </x:c>
      <x:c r="AB26" t="str">
        <x:f>IFERROR(IF(CaseLedger!$A26="","",CaseLedger!AH26),"")</x:f>
        <x:v>Pending consent</x:v>
      </x:c>
      <x:c r="AC26" t="str">
        <x:f>IFERROR(IF(CaseLedger!$A26="","",CaseLedger!AI26),"")</x:f>
        <x:v>Paste public Google Drive image URLs only after recipient consent and privacy review.</x:v>
      </x:c>
    </x:row>
    <x:row r="27">
      <x:c r="A27" t="str">
        <x:f>IF(CaseLedger!$A27="","",CaseLedger!A27)</x:f>
        <x:v>HUM-026</x:v>
      </x:c>
      <x:c r="B27" t="str">
        <x:f>IF(CaseLedger!$A27="","",CaseLedger!I27)</x:f>
        <x:v>Sewing Machines</x:v>
      </x:c>
      <x:c r="C27" t="str">
        <x:f>IF(CaseLedger!$A27="","",CaseLedger!J27)</x:f>
        <x:v>Anonymized case HUM-026</x:v>
      </x:c>
      <x:c r="D27" t="str">
        <x:f>IF(CaseLedger!$A27="","",CaseLedger!K27)</x:f>
        <x:v>Livelihood</x:v>
      </x:c>
      <x:c r="E27" t="str">
        <x:f>IF(CaseLedger!$A27="","",CaseLedger!L27)</x:f>
        <x:v>Sewing / tailoring</x:v>
      </x:c>
      <x:c r="F27" t="str">
        <x:f>IF(CaseLedger!$A27="","",CaseLedger!P27)</x:f>
        <x:v>Mixed</x:v>
      </x:c>
      <x:c r="G27" t="str">
        <x:f>IF(CaseLedger!$A27="","",CaseLedger!F27)</x:f>
        <x:v>May 2025</x:v>
      </x:c>
      <x:c r="H27" t="str">
        <x:f>IF(CaseLedger!$A27="","",CaseLedger!Q27)</x:f>
        <x:v>Basti, UP</x:v>
      </x:c>
      <x:c r="I27" t="str">
        <x:f>IF(CaseLedger!$A27="","",CaseLedger!R27)</x:f>
        <x:v>₹15,000–₹25,000</x:v>
      </x:c>
      <x:c r="J27" t="str">
        <x:f>IF(CaseLedger!$A27="","",CaseLedger!S27)</x:f>
        <x:v>A verified recipient/family needed support related to sewing / tailoring.</x:v>
      </x:c>
      <x:c r="K27" t="str">
        <x:f>IF(CaseLedger!$A27="","",CaseLedger!T27)</x:f>
        <x:v>Humanitarians supported the case through Mixed funds for sewing machines.</x:v>
      </x:c>
      <x:c r="L27" t="str">
        <x:f>IF(CaseLedger!$A27="","",CaseLedger!U27)</x:f>
        <x:v>Outcome/update should be added only after verified follow-up.</x:v>
      </x:c>
      <x:c r="M27" t="str">
        <x:f>IF(CaseLedger!$A27="","",CaseLedger!V27)</x:f>
        <x:v>Add follow-up notes after checking with the verification team.</x:v>
      </x:c>
      <x:c r="N27" t="str">
        <x:f>IF(CaseLedger!$A27="","",CaseLedger!W27)</x:f>
        <x:v>Add a real quote only with consent; do not publish this placeholder as a recipient quote.</x:v>
      </x:c>
      <x:c r="O27" t="str">
        <x:f>IF(CaseLedger!$A27="","",CaseLedger!X27)</x:f>
        <x:v>Anonymized public summary; no full name, phone, address, ID, bank details, or donor identity included.</x:v>
      </x:c>
      <x:c r="P27" t="str">
        <x:f>IF(CaseLedger!$A27="","",CaseLedger!E27)</x:f>
        <x:v>TRUE</x:v>
      </x:c>
      <x:c r="Q27" t="str">
        <x:f>IF(CaseLedger!$A27="","",CaseLedger!C27)</x:f>
        <x:v>No</x:v>
      </x:c>
      <x:c r="R27" t="str">
        <x:f>IF(CaseLedger!$A27="","",CaseLedger!D27)</x:f>
        <x:v>Draft</x:v>
      </x:c>
      <x:c r="S27" t="str">
        <x:f>IFERROR(IF(CaseLedger!$A27="","",CaseLedger!Y27),"")</x:f>
      </x:c>
      <x:c r="T27" t="str">
        <x:f>IFERROR(IF(CaseLedger!$A27="","",CaseLedger!Z27),"")</x:f>
        <x:v>Anonymized Humanitarians case image 1 for HUM-026</x:v>
      </x:c>
      <x:c r="U27" t="str">
        <x:f>IFERROR(IF(CaseLedger!$A27="","",CaseLedger!AA27),"")</x:f>
        <x:v>Before/support context image - add only after consent.</x:v>
      </x:c>
      <x:c r="V27" t="str">
        <x:f>IFERROR(IF(CaseLedger!$A27="","",CaseLedger!AB27),"")</x:f>
      </x:c>
      <x:c r="W27" t="str">
        <x:f>IFERROR(IF(CaseLedger!$A27="","",CaseLedger!AC27),"")</x:f>
        <x:v>Anonymized Humanitarians case image 2 for HUM-026</x:v>
      </x:c>
      <x:c r="X27" t="str">
        <x:f>IFERROR(IF(CaseLedger!$A27="","",CaseLedger!AD27),"")</x:f>
        <x:v>Support/equipment image - add only after consent.</x:v>
      </x:c>
      <x:c r="Y27" t="str">
        <x:f>IFERROR(IF(CaseLedger!$A27="","",CaseLedger!AE27),"")</x:f>
      </x:c>
      <x:c r="Z27" t="str">
        <x:f>IFERROR(IF(CaseLedger!$A27="","",CaseLedger!AF27),"")</x:f>
        <x:v>Anonymized Humanitarians case image 3 for HUM-026</x:v>
      </x:c>
      <x:c r="AA27" t="str">
        <x:f>IFERROR(IF(CaseLedger!$A27="","",CaseLedger!AG27),"")</x:f>
        <x:v>Outcome/follow-up image - add only after consent.</x:v>
      </x:c>
      <x:c r="AB27" t="str">
        <x:f>IFERROR(IF(CaseLedger!$A27="","",CaseLedger!AH27),"")</x:f>
        <x:v>Pending consent</x:v>
      </x:c>
      <x:c r="AC27" t="str">
        <x:f>IFERROR(IF(CaseLedger!$A27="","",CaseLedger!AI27),"")</x:f>
        <x:v>Paste public Google Drive image URLs only after recipient consent and privacy review.</x:v>
      </x:c>
    </x:row>
    <x:row r="28">
      <x:c r="A28" t="str">
        <x:f>IF(CaseLedger!$A28="","",CaseLedger!A28)</x:f>
        <x:v>HUM-027</x:v>
      </x:c>
      <x:c r="B28" t="str">
        <x:f>IF(CaseLedger!$A28="","",CaseLedger!I28)</x:f>
        <x:v>Support for Buffalo Shed</x:v>
      </x:c>
      <x:c r="C28" t="str">
        <x:f>IF(CaseLedger!$A28="","",CaseLedger!J28)</x:f>
        <x:v>Anonymized case HUM-027</x:v>
      </x:c>
      <x:c r="D28" t="str">
        <x:f>IF(CaseLedger!$A28="","",CaseLedger!K28)</x:f>
        <x:v>Livelihood</x:v>
      </x:c>
      <x:c r="E28" t="str">
        <x:f>IF(CaseLedger!$A28="","",CaseLedger!L28)</x:f>
        <x:v>Agriculture / animal livelihood</x:v>
      </x:c>
      <x:c r="F28" t="str">
        <x:f>IF(CaseLedger!$A28="","",CaseLedger!P28)</x:f>
        <x:v>Sadaqah</x:v>
      </x:c>
      <x:c r="G28" t="str">
        <x:f>IF(CaseLedger!$A28="","",CaseLedger!F28)</x:f>
        <x:v>May 2025</x:v>
      </x:c>
      <x:c r="H28" t="str">
        <x:f>IF(CaseLedger!$A28="","",CaseLedger!Q28)</x:f>
        <x:v>Basti, UP</x:v>
      </x:c>
      <x:c r="I28" t="str">
        <x:f>IF(CaseLedger!$A28="","",CaseLedger!R28)</x:f>
        <x:v>₹15,000–₹25,000</x:v>
      </x:c>
      <x:c r="J28" t="str">
        <x:f>IF(CaseLedger!$A28="","",CaseLedger!S28)</x:f>
        <x:v>A verified recipient/family needed support related to agriculture / animal livelihood.</x:v>
      </x:c>
      <x:c r="K28" t="str">
        <x:f>IF(CaseLedger!$A28="","",CaseLedger!T28)</x:f>
        <x:v>Humanitarians supported the case through Sadaqah funds for support for buffalo shed.</x:v>
      </x:c>
      <x:c r="L28" t="str">
        <x:f>IF(CaseLedger!$A28="","",CaseLedger!U28)</x:f>
        <x:v>Outcome/update should be added only after verified follow-up.</x:v>
      </x:c>
      <x:c r="M28" t="str">
        <x:f>IF(CaseLedger!$A28="","",CaseLedger!V28)</x:f>
        <x:v>Add follow-up notes after checking with the verification team.</x:v>
      </x:c>
      <x:c r="N28" t="str">
        <x:f>IF(CaseLedger!$A28="","",CaseLedger!W28)</x:f>
        <x:v>Add a real quote only with consent; do not publish this placeholder as a recipient quote.</x:v>
      </x:c>
      <x:c r="O28" t="str">
        <x:f>IF(CaseLedger!$A28="","",CaseLedger!X28)</x:f>
        <x:v>Anonymized public summary; no full name, phone, address, ID, bank details, or donor identity included.</x:v>
      </x:c>
      <x:c r="P28" t="str">
        <x:f>IF(CaseLedger!$A28="","",CaseLedger!E28)</x:f>
        <x:v>TRUE</x:v>
      </x:c>
      <x:c r="Q28" t="str">
        <x:f>IF(CaseLedger!$A28="","",CaseLedger!C28)</x:f>
        <x:v>No</x:v>
      </x:c>
      <x:c r="R28" t="str">
        <x:f>IF(CaseLedger!$A28="","",CaseLedger!D28)</x:f>
        <x:v>Draft</x:v>
      </x:c>
      <x:c r="S28" t="str">
        <x:f>IFERROR(IF(CaseLedger!$A28="","",CaseLedger!Y28),"")</x:f>
      </x:c>
      <x:c r="T28" t="str">
        <x:f>IFERROR(IF(CaseLedger!$A28="","",CaseLedger!Z28),"")</x:f>
        <x:v>Anonymized Humanitarians case image 1 for HUM-027</x:v>
      </x:c>
      <x:c r="U28" t="str">
        <x:f>IFERROR(IF(CaseLedger!$A28="","",CaseLedger!AA28),"")</x:f>
        <x:v>Before/support context image - add only after consent.</x:v>
      </x:c>
      <x:c r="V28" t="str">
        <x:f>IFERROR(IF(CaseLedger!$A28="","",CaseLedger!AB28),"")</x:f>
      </x:c>
      <x:c r="W28" t="str">
        <x:f>IFERROR(IF(CaseLedger!$A28="","",CaseLedger!AC28),"")</x:f>
        <x:v>Anonymized Humanitarians case image 2 for HUM-027</x:v>
      </x:c>
      <x:c r="X28" t="str">
        <x:f>IFERROR(IF(CaseLedger!$A28="","",CaseLedger!AD28),"")</x:f>
        <x:v>Support/equipment image - add only after consent.</x:v>
      </x:c>
      <x:c r="Y28" t="str">
        <x:f>IFERROR(IF(CaseLedger!$A28="","",CaseLedger!AE28),"")</x:f>
      </x:c>
      <x:c r="Z28" t="str">
        <x:f>IFERROR(IF(CaseLedger!$A28="","",CaseLedger!AF28),"")</x:f>
        <x:v>Anonymized Humanitarians case image 3 for HUM-027</x:v>
      </x:c>
      <x:c r="AA28" t="str">
        <x:f>IFERROR(IF(CaseLedger!$A28="","",CaseLedger!AG28),"")</x:f>
        <x:v>Outcome/follow-up image - add only after consent.</x:v>
      </x:c>
      <x:c r="AB28" t="str">
        <x:f>IFERROR(IF(CaseLedger!$A28="","",CaseLedger!AH28),"")</x:f>
        <x:v>Pending consent</x:v>
      </x:c>
      <x:c r="AC28" t="str">
        <x:f>IFERROR(IF(CaseLedger!$A28="","",CaseLedger!AI28),"")</x:f>
        <x:v>Paste public Google Drive image URLs only after recipient consent and privacy review.</x:v>
      </x:c>
    </x:row>
    <x:row r="29">
      <x:c r="A29" t="str">
        <x:f>IF(CaseLedger!$A29="","",CaseLedger!A29)</x:f>
        <x:v>HUM-028</x:v>
      </x:c>
      <x:c r="B29" t="str">
        <x:f>IF(CaseLedger!$A29="","",CaseLedger!I29)</x:f>
        <x:v>Support for Egg shop and Sewing Machine</x:v>
      </x:c>
      <x:c r="C29" t="str">
        <x:f>IF(CaseLedger!$A29="","",CaseLedger!J29)</x:f>
        <x:v>Anonymized case HUM-028</x:v>
      </x:c>
      <x:c r="D29" t="str">
        <x:f>IF(CaseLedger!$A29="","",CaseLedger!K29)</x:f>
        <x:v>Livelihood</x:v>
      </x:c>
      <x:c r="E29" t="str">
        <x:f>IF(CaseLedger!$A29="","",CaseLedger!L29)</x:f>
        <x:v>Sewing / tailoring</x:v>
      </x:c>
      <x:c r="F29" t="str">
        <x:f>IF(CaseLedger!$A29="","",CaseLedger!P29)</x:f>
        <x:v>Mixed</x:v>
      </x:c>
      <x:c r="G29" t="str">
        <x:f>IF(CaseLedger!$A29="","",CaseLedger!F29)</x:f>
        <x:v>May 2025</x:v>
      </x:c>
      <x:c r="H29" t="str">
        <x:f>IF(CaseLedger!$A29="","",CaseLedger!Q29)</x:f>
        <x:v>Barauni, Bihar</x:v>
      </x:c>
      <x:c r="I29" t="str">
        <x:f>IF(CaseLedger!$A29="","",CaseLedger!R29)</x:f>
        <x:v>₹15,000–₹25,000</x:v>
      </x:c>
      <x:c r="J29" t="str">
        <x:f>IF(CaseLedger!$A29="","",CaseLedger!S29)</x:f>
        <x:v>A verified recipient/family needed support related to sewing / tailoring.</x:v>
      </x:c>
      <x:c r="K29" t="str">
        <x:f>IF(CaseLedger!$A29="","",CaseLedger!T29)</x:f>
        <x:v>Humanitarians supported the case through Mixed funds for support for egg shop and sewing machine.</x:v>
      </x:c>
      <x:c r="L29" t="str">
        <x:f>IF(CaseLedger!$A29="","",CaseLedger!U29)</x:f>
        <x:v>Outcome/update should be added only after verified follow-up.</x:v>
      </x:c>
      <x:c r="M29" t="str">
        <x:f>IF(CaseLedger!$A29="","",CaseLedger!V29)</x:f>
        <x:v>Add follow-up notes after checking with the verification team.</x:v>
      </x:c>
      <x:c r="N29" t="str">
        <x:f>IF(CaseLedger!$A29="","",CaseLedger!W29)</x:f>
        <x:v>Add a real quote only with consent; do not publish this placeholder as a recipient quote.</x:v>
      </x:c>
      <x:c r="O29" t="str">
        <x:f>IF(CaseLedger!$A29="","",CaseLedger!X29)</x:f>
        <x:v>Anonymized public summary; no full name, phone, address, ID, bank details, or donor identity included.</x:v>
      </x:c>
      <x:c r="P29" t="str">
        <x:f>IF(CaseLedger!$A29="","",CaseLedger!E29)</x:f>
        <x:v>TRUE</x:v>
      </x:c>
      <x:c r="Q29" t="str">
        <x:f>IF(CaseLedger!$A29="","",CaseLedger!C29)</x:f>
        <x:v>No</x:v>
      </x:c>
      <x:c r="R29" t="str">
        <x:f>IF(CaseLedger!$A29="","",CaseLedger!D29)</x:f>
        <x:v>Draft</x:v>
      </x:c>
      <x:c r="S29" t="str">
        <x:f>IFERROR(IF(CaseLedger!$A29="","",CaseLedger!Y29),"")</x:f>
      </x:c>
      <x:c r="T29" t="str">
        <x:f>IFERROR(IF(CaseLedger!$A29="","",CaseLedger!Z29),"")</x:f>
        <x:v>Anonymized Humanitarians case image 1 for HUM-028</x:v>
      </x:c>
      <x:c r="U29" t="str">
        <x:f>IFERROR(IF(CaseLedger!$A29="","",CaseLedger!AA29),"")</x:f>
        <x:v>Before/support context image - add only after consent.</x:v>
      </x:c>
      <x:c r="V29" t="str">
        <x:f>IFERROR(IF(CaseLedger!$A29="","",CaseLedger!AB29),"")</x:f>
      </x:c>
      <x:c r="W29" t="str">
        <x:f>IFERROR(IF(CaseLedger!$A29="","",CaseLedger!AC29),"")</x:f>
        <x:v>Anonymized Humanitarians case image 2 for HUM-028</x:v>
      </x:c>
      <x:c r="X29" t="str">
        <x:f>IFERROR(IF(CaseLedger!$A29="","",CaseLedger!AD29),"")</x:f>
        <x:v>Support/equipment image - add only after consent.</x:v>
      </x:c>
      <x:c r="Y29" t="str">
        <x:f>IFERROR(IF(CaseLedger!$A29="","",CaseLedger!AE29),"")</x:f>
      </x:c>
      <x:c r="Z29" t="str">
        <x:f>IFERROR(IF(CaseLedger!$A29="","",CaseLedger!AF29),"")</x:f>
        <x:v>Anonymized Humanitarians case image 3 for HUM-028</x:v>
      </x:c>
      <x:c r="AA29" t="str">
        <x:f>IFERROR(IF(CaseLedger!$A29="","",CaseLedger!AG29),"")</x:f>
        <x:v>Outcome/follow-up image - add only after consent.</x:v>
      </x:c>
      <x:c r="AB29" t="str">
        <x:f>IFERROR(IF(CaseLedger!$A29="","",CaseLedger!AH29),"")</x:f>
        <x:v>Pending consent</x:v>
      </x:c>
      <x:c r="AC29" t="str">
        <x:f>IFERROR(IF(CaseLedger!$A29="","",CaseLedger!AI29),"")</x:f>
        <x:v>Paste public Google Drive image URLs only after recipient consent and privacy review.</x:v>
      </x:c>
    </x:row>
    <x:row r="30">
      <x:c r="A30" t="str">
        <x:f>IF(CaseLedger!$A30="","",CaseLedger!A30)</x:f>
        <x:v>HUM-029</x:v>
      </x:c>
      <x:c r="B30" t="str">
        <x:f>IF(CaseLedger!$A30="","",CaseLedger!I30)</x:f>
        <x:v>Support in Buying Old E-Rickshaw</x:v>
      </x:c>
      <x:c r="C30" t="str">
        <x:f>IF(CaseLedger!$A30="","",CaseLedger!J30)</x:f>
        <x:v>Anonymized case HUM-029</x:v>
      </x:c>
      <x:c r="D30" t="str">
        <x:f>IF(CaseLedger!$A30="","",CaseLedger!K30)</x:f>
        <x:v>Livelihood</x:v>
      </x:c>
      <x:c r="E30" t="str">
        <x:f>IF(CaseLedger!$A30="","",CaseLedger!L30)</x:f>
        <x:v>E-rickshaw / auto</x:v>
      </x:c>
      <x:c r="F30" t="str">
        <x:f>IF(CaseLedger!$A30="","",CaseLedger!P30)</x:f>
        <x:v>Mixed</x:v>
      </x:c>
      <x:c r="G30" t="str">
        <x:f>IF(CaseLedger!$A30="","",CaseLedger!F30)</x:f>
        <x:v>May 2025</x:v>
      </x:c>
      <x:c r="H30" t="str">
        <x:f>IF(CaseLedger!$A30="","",CaseLedger!Q30)</x:f>
        <x:v>Aligarh, UP</x:v>
      </x:c>
      <x:c r="I30" t="str">
        <x:f>IF(CaseLedger!$A30="","",CaseLedger!R30)</x:f>
        <x:v>₹15,000–₹25,000</x:v>
      </x:c>
      <x:c r="J30" t="str">
        <x:f>IF(CaseLedger!$A30="","",CaseLedger!S30)</x:f>
        <x:v>A verified recipient/family needed support related to e-rickshaw / auto.</x:v>
      </x:c>
      <x:c r="K30" t="str">
        <x:f>IF(CaseLedger!$A30="","",CaseLedger!T30)</x:f>
        <x:v>Humanitarians supported the case through Mixed funds for support in buying old e-rickshaw.</x:v>
      </x:c>
      <x:c r="L30" t="str">
        <x:f>IF(CaseLedger!$A30="","",CaseLedger!U30)</x:f>
        <x:v>Outcome/update should be added only after verified follow-up.</x:v>
      </x:c>
      <x:c r="M30" t="str">
        <x:f>IF(CaseLedger!$A30="","",CaseLedger!V30)</x:f>
        <x:v>Add follow-up notes after checking with the verification team.</x:v>
      </x:c>
      <x:c r="N30" t="str">
        <x:f>IF(CaseLedger!$A30="","",CaseLedger!W30)</x:f>
        <x:v>Add a real quote only with consent; do not publish this placeholder as a recipient quote.</x:v>
      </x:c>
      <x:c r="O30" t="str">
        <x:f>IF(CaseLedger!$A30="","",CaseLedger!X30)</x:f>
        <x:v>Anonymized public summary; no full name, phone, address, ID, bank details, or donor identity included.</x:v>
      </x:c>
      <x:c r="P30" t="str">
        <x:f>IF(CaseLedger!$A30="","",CaseLedger!E30)</x:f>
        <x:v>TRUE</x:v>
      </x:c>
      <x:c r="Q30" t="str">
        <x:f>IF(CaseLedger!$A30="","",CaseLedger!C30)</x:f>
        <x:v>No</x:v>
      </x:c>
      <x:c r="R30" t="str">
        <x:f>IF(CaseLedger!$A30="","",CaseLedger!D30)</x:f>
        <x:v>Draft</x:v>
      </x:c>
      <x:c r="S30" t="str">
        <x:f>IFERROR(IF(CaseLedger!$A30="","",CaseLedger!Y30),"")</x:f>
      </x:c>
      <x:c r="T30" t="str">
        <x:f>IFERROR(IF(CaseLedger!$A30="","",CaseLedger!Z30),"")</x:f>
        <x:v>Anonymized Humanitarians case image 1 for HUM-029</x:v>
      </x:c>
      <x:c r="U30" t="str">
        <x:f>IFERROR(IF(CaseLedger!$A30="","",CaseLedger!AA30),"")</x:f>
        <x:v>Before/support context image - add only after consent.</x:v>
      </x:c>
      <x:c r="V30" t="str">
        <x:f>IFERROR(IF(CaseLedger!$A30="","",CaseLedger!AB30),"")</x:f>
      </x:c>
      <x:c r="W30" t="str">
        <x:f>IFERROR(IF(CaseLedger!$A30="","",CaseLedger!AC30),"")</x:f>
        <x:v>Anonymized Humanitarians case image 2 for HUM-029</x:v>
      </x:c>
      <x:c r="X30" t="str">
        <x:f>IFERROR(IF(CaseLedger!$A30="","",CaseLedger!AD30),"")</x:f>
        <x:v>Support/equipment image - add only after consent.</x:v>
      </x:c>
      <x:c r="Y30" t="str">
        <x:f>IFERROR(IF(CaseLedger!$A30="","",CaseLedger!AE30),"")</x:f>
      </x:c>
      <x:c r="Z30" t="str">
        <x:f>IFERROR(IF(CaseLedger!$A30="","",CaseLedger!AF30),"")</x:f>
        <x:v>Anonymized Humanitarians case image 3 for HUM-029</x:v>
      </x:c>
      <x:c r="AA30" t="str">
        <x:f>IFERROR(IF(CaseLedger!$A30="","",CaseLedger!AG30),"")</x:f>
        <x:v>Outcome/follow-up image - add only after consent.</x:v>
      </x:c>
      <x:c r="AB30" t="str">
        <x:f>IFERROR(IF(CaseLedger!$A30="","",CaseLedger!AH30),"")</x:f>
        <x:v>Pending consent</x:v>
      </x:c>
      <x:c r="AC30" t="str">
        <x:f>IFERROR(IF(CaseLedger!$A30="","",CaseLedger!AI30),"")</x:f>
        <x:v>Paste public Google Drive image URLs only after recipient consent and privacy review.</x:v>
      </x:c>
    </x:row>
    <x:row r="31">
      <x:c r="A31" t="str">
        <x:f>IF(CaseLedger!$A31="","",CaseLedger!A31)</x:f>
        <x:v>HUM-030</x:v>
      </x:c>
      <x:c r="B31" t="str">
        <x:f>IF(CaseLedger!$A31="","",CaseLedger!I31)</x:f>
        <x:v>Support for building new Wooden Shop</x:v>
      </x:c>
      <x:c r="C31" t="str">
        <x:f>IF(CaseLedger!$A31="","",CaseLedger!J31)</x:f>
        <x:v>Anonymized case HUM-030</x:v>
      </x:c>
      <x:c r="D31" t="str">
        <x:f>IF(CaseLedger!$A31="","",CaseLedger!K31)</x:f>
        <x:v>Livelihood</x:v>
      </x:c>
      <x:c r="E31" t="str">
        <x:f>IF(CaseLedger!$A31="","",CaseLedger!L31)</x:f>
        <x:v>Shop / business inventory</x:v>
      </x:c>
      <x:c r="F31" t="str">
        <x:f>IF(CaseLedger!$A31="","",CaseLedger!P31)</x:f>
        <x:v>Mixed</x:v>
      </x:c>
      <x:c r="G31" t="str">
        <x:f>IF(CaseLedger!$A31="","",CaseLedger!F31)</x:f>
        <x:v>Jun 2025</x:v>
      </x:c>
      <x:c r="H31" t="str">
        <x:f>IF(CaseLedger!$A31="","",CaseLedger!Q31)</x:f>
        <x:v>Mallawan, UP</x:v>
      </x:c>
      <x:c r="I31" t="str">
        <x:f>IF(CaseLedger!$A31="","",CaseLedger!R31)</x:f>
        <x:v>₹15,000–₹25,000</x:v>
      </x:c>
      <x:c r="J31" t="str">
        <x:f>IF(CaseLedger!$A31="","",CaseLedger!S31)</x:f>
        <x:v>A verified recipient/family needed support related to shop / business inventory.</x:v>
      </x:c>
      <x:c r="K31" t="str">
        <x:f>IF(CaseLedger!$A31="","",CaseLedger!T31)</x:f>
        <x:v>Humanitarians supported the case through Mixed funds for support for building new wooden shop.</x:v>
      </x:c>
      <x:c r="L31" t="str">
        <x:f>IF(CaseLedger!$A31="","",CaseLedger!U31)</x:f>
        <x:v>Outcome/update should be added only after verified follow-up.</x:v>
      </x:c>
      <x:c r="M31" t="str">
        <x:f>IF(CaseLedger!$A31="","",CaseLedger!V31)</x:f>
        <x:v>Add follow-up notes after checking with the verification team.</x:v>
      </x:c>
      <x:c r="N31" t="str">
        <x:f>IF(CaseLedger!$A31="","",CaseLedger!W31)</x:f>
        <x:v>Add a real quote only with consent; do not publish this placeholder as a recipient quote.</x:v>
      </x:c>
      <x:c r="O31" t="str">
        <x:f>IF(CaseLedger!$A31="","",CaseLedger!X31)</x:f>
        <x:v>Anonymized public summary; no full name, phone, address, ID, bank details, or donor identity included.</x:v>
      </x:c>
      <x:c r="P31" t="str">
        <x:f>IF(CaseLedger!$A31="","",CaseLedger!E31)</x:f>
        <x:v>FALSE</x:v>
      </x:c>
      <x:c r="Q31" t="str">
        <x:f>IF(CaseLedger!$A31="","",CaseLedger!C31)</x:f>
        <x:v>No</x:v>
      </x:c>
      <x:c r="R31" t="str">
        <x:f>IF(CaseLedger!$A31="","",CaseLedger!D31)</x:f>
        <x:v>Archive</x:v>
      </x:c>
      <x:c r="S31" t="str">
        <x:f>IFERROR(IF(CaseLedger!$A31="","",CaseLedger!Y31),"")</x:f>
      </x:c>
      <x:c r="T31" t="str">
        <x:f>IFERROR(IF(CaseLedger!$A31="","",CaseLedger!Z31),"")</x:f>
        <x:v>Anonymized Humanitarians case image 1 for HUM-030</x:v>
      </x:c>
      <x:c r="U31" t="str">
        <x:f>IFERROR(IF(CaseLedger!$A31="","",CaseLedger!AA31),"")</x:f>
        <x:v>Before/support context image - add only after consent.</x:v>
      </x:c>
      <x:c r="V31" t="str">
        <x:f>IFERROR(IF(CaseLedger!$A31="","",CaseLedger!AB31),"")</x:f>
      </x:c>
      <x:c r="W31" t="str">
        <x:f>IFERROR(IF(CaseLedger!$A31="","",CaseLedger!AC31),"")</x:f>
        <x:v>Anonymized Humanitarians case image 2 for HUM-030</x:v>
      </x:c>
      <x:c r="X31" t="str">
        <x:f>IFERROR(IF(CaseLedger!$A31="","",CaseLedger!AD31),"")</x:f>
        <x:v>Support/equipment image - add only after consent.</x:v>
      </x:c>
      <x:c r="Y31" t="str">
        <x:f>IFERROR(IF(CaseLedger!$A31="","",CaseLedger!AE31),"")</x:f>
      </x:c>
      <x:c r="Z31" t="str">
        <x:f>IFERROR(IF(CaseLedger!$A31="","",CaseLedger!AF31),"")</x:f>
        <x:v>Anonymized Humanitarians case image 3 for HUM-030</x:v>
      </x:c>
      <x:c r="AA31" t="str">
        <x:f>IFERROR(IF(CaseLedger!$A31="","",CaseLedger!AG31),"")</x:f>
        <x:v>Outcome/follow-up image - add only after consent.</x:v>
      </x:c>
      <x:c r="AB31" t="str">
        <x:f>IFERROR(IF(CaseLedger!$A31="","",CaseLedger!AH31),"")</x:f>
        <x:v>Pending consent</x:v>
      </x:c>
      <x:c r="AC31" t="str">
        <x:f>IFERROR(IF(CaseLedger!$A31="","",CaseLedger!AI31),"")</x:f>
        <x:v>Paste public Google Drive image URLs only after recipient consent and privacy review.</x:v>
      </x:c>
    </x:row>
    <x:row r="32">
      <x:c r="A32" t="str">
        <x:f>IF(CaseLedger!$A32="","",CaseLedger!A32)</x:f>
        <x:v>HUM-031</x:v>
      </x:c>
      <x:c r="B32" t="str">
        <x:f>IF(CaseLedger!$A32="","",CaseLedger!I32)</x:f>
        <x:v>Support for 2nd hand E-rickshaw</x:v>
      </x:c>
      <x:c r="C32" t="str">
        <x:f>IF(CaseLedger!$A32="","",CaseLedger!J32)</x:f>
        <x:v>Anonymized case HUM-031</x:v>
      </x:c>
      <x:c r="D32" t="str">
        <x:f>IF(CaseLedger!$A32="","",CaseLedger!K32)</x:f>
        <x:v>Livelihood</x:v>
      </x:c>
      <x:c r="E32" t="str">
        <x:f>IF(CaseLedger!$A32="","",CaseLedger!L32)</x:f>
        <x:v>E-rickshaw / auto</x:v>
      </x:c>
      <x:c r="F32" t="str">
        <x:f>IF(CaseLedger!$A32="","",CaseLedger!P32)</x:f>
        <x:v>Sadaqah</x:v>
      </x:c>
      <x:c r="G32" t="str">
        <x:f>IF(CaseLedger!$A32="","",CaseLedger!F32)</x:f>
        <x:v>Jul 2025</x:v>
      </x:c>
      <x:c r="H32" t="str">
        <x:f>IF(CaseLedger!$A32="","",CaseLedger!Q32)</x:f>
        <x:v>Bihar</x:v>
      </x:c>
      <x:c r="I32" t="str">
        <x:f>IF(CaseLedger!$A32="","",CaseLedger!R32)</x:f>
        <x:v>₹5,000–₹10,000</x:v>
      </x:c>
      <x:c r="J32" t="str">
        <x:f>IF(CaseLedger!$A32="","",CaseLedger!S32)</x:f>
        <x:v>A verified recipient/family needed support related to e-rickshaw / auto.</x:v>
      </x:c>
      <x:c r="K32" t="str">
        <x:f>IF(CaseLedger!$A32="","",CaseLedger!T32)</x:f>
        <x:v>Humanitarians supported the case through Sadaqah funds for support for 2nd hand e-rickshaw.</x:v>
      </x:c>
      <x:c r="L32" t="str">
        <x:f>IF(CaseLedger!$A32="","",CaseLedger!U32)</x:f>
        <x:v>Outcome/update should be added only after verified follow-up.</x:v>
      </x:c>
      <x:c r="M32" t="str">
        <x:f>IF(CaseLedger!$A32="","",CaseLedger!V32)</x:f>
        <x:v>Add follow-up notes after checking with the verification team.</x:v>
      </x:c>
      <x:c r="N32" t="str">
        <x:f>IF(CaseLedger!$A32="","",CaseLedger!W32)</x:f>
        <x:v>Add a real quote only with consent; do not publish this placeholder as a recipient quote.</x:v>
      </x:c>
      <x:c r="O32" t="str">
        <x:f>IF(CaseLedger!$A32="","",CaseLedger!X32)</x:f>
        <x:v>Anonymized public summary; no full name, phone, address, ID, bank details, or donor identity included.</x:v>
      </x:c>
      <x:c r="P32" t="str">
        <x:f>IF(CaseLedger!$A32="","",CaseLedger!E32)</x:f>
        <x:v>TRUE</x:v>
      </x:c>
      <x:c r="Q32" t="str">
        <x:f>IF(CaseLedger!$A32="","",CaseLedger!C32)</x:f>
        <x:v>No</x:v>
      </x:c>
      <x:c r="R32" t="str">
        <x:f>IF(CaseLedger!$A32="","",CaseLedger!D32)</x:f>
        <x:v>Draft</x:v>
      </x:c>
      <x:c r="S32" t="str">
        <x:f>IFERROR(IF(CaseLedger!$A32="","",CaseLedger!Y32),"")</x:f>
      </x:c>
      <x:c r="T32" t="str">
        <x:f>IFERROR(IF(CaseLedger!$A32="","",CaseLedger!Z32),"")</x:f>
        <x:v>Anonymized Humanitarians case image 1 for HUM-031</x:v>
      </x:c>
      <x:c r="U32" t="str">
        <x:f>IFERROR(IF(CaseLedger!$A32="","",CaseLedger!AA32),"")</x:f>
        <x:v>Before/support context image - add only after consent.</x:v>
      </x:c>
      <x:c r="V32" t="str">
        <x:f>IFERROR(IF(CaseLedger!$A32="","",CaseLedger!AB32),"")</x:f>
      </x:c>
      <x:c r="W32" t="str">
        <x:f>IFERROR(IF(CaseLedger!$A32="","",CaseLedger!AC32),"")</x:f>
        <x:v>Anonymized Humanitarians case image 2 for HUM-031</x:v>
      </x:c>
      <x:c r="X32" t="str">
        <x:f>IFERROR(IF(CaseLedger!$A32="","",CaseLedger!AD32),"")</x:f>
        <x:v>Support/equipment image - add only after consent.</x:v>
      </x:c>
      <x:c r="Y32" t="str">
        <x:f>IFERROR(IF(CaseLedger!$A32="","",CaseLedger!AE32),"")</x:f>
      </x:c>
      <x:c r="Z32" t="str">
        <x:f>IFERROR(IF(CaseLedger!$A32="","",CaseLedger!AF32),"")</x:f>
        <x:v>Anonymized Humanitarians case image 3 for HUM-031</x:v>
      </x:c>
      <x:c r="AA32" t="str">
        <x:f>IFERROR(IF(CaseLedger!$A32="","",CaseLedger!AG32),"")</x:f>
        <x:v>Outcome/follow-up image - add only after consent.</x:v>
      </x:c>
      <x:c r="AB32" t="str">
        <x:f>IFERROR(IF(CaseLedger!$A32="","",CaseLedger!AH32),"")</x:f>
        <x:v>Pending consent</x:v>
      </x:c>
      <x:c r="AC32" t="str">
        <x:f>IFERROR(IF(CaseLedger!$A32="","",CaseLedger!AI32),"")</x:f>
        <x:v>Paste public Google Drive image URLs only after recipient consent and privacy review.</x:v>
      </x:c>
    </x:row>
    <x:row r="33">
      <x:c r="A33" t="str">
        <x:f>IF(CaseLedger!$A33="","",CaseLedger!A33)</x:f>
        <x:v>HUM-032</x:v>
      </x:c>
      <x:c r="B33" t="str">
        <x:f>IF(CaseLedger!$A33="","",CaseLedger!I33)</x:f>
        <x:v>3 Sewing Machines</x:v>
      </x:c>
      <x:c r="C33" t="str">
        <x:f>IF(CaseLedger!$A33="","",CaseLedger!J33)</x:f>
        <x:v>Anonymized case HUM-032</x:v>
      </x:c>
      <x:c r="D33" t="str">
        <x:f>IF(CaseLedger!$A33="","",CaseLedger!K33)</x:f>
        <x:v>Livelihood</x:v>
      </x:c>
      <x:c r="E33" t="str">
        <x:f>IF(CaseLedger!$A33="","",CaseLedger!L33)</x:f>
        <x:v>Sewing / tailoring</x:v>
      </x:c>
      <x:c r="F33" t="str">
        <x:f>IF(CaseLedger!$A33="","",CaseLedger!P33)</x:f>
        <x:v>Sadaqah</x:v>
      </x:c>
      <x:c r="G33" t="str">
        <x:f>IF(CaseLedger!$A33="","",CaseLedger!F33)</x:f>
        <x:v>Aug 2025</x:v>
      </x:c>
      <x:c r="H33" t="str">
        <x:f>IF(CaseLedger!$A33="","",CaseLedger!Q33)</x:f>
        <x:v>Basti, UP</x:v>
      </x:c>
      <x:c r="I33" t="str">
        <x:f>IF(CaseLedger!$A33="","",CaseLedger!R33)</x:f>
        <x:v>₹15,000–₹25,000</x:v>
      </x:c>
      <x:c r="J33" t="str">
        <x:f>IF(CaseLedger!$A33="","",CaseLedger!S33)</x:f>
        <x:v>A verified recipient/family needed support related to sewing / tailoring.</x:v>
      </x:c>
      <x:c r="K33" t="str">
        <x:f>IF(CaseLedger!$A33="","",CaseLedger!T33)</x:f>
        <x:v>Humanitarians supported the case through Sadaqah funds for 3 sewing machines.</x:v>
      </x:c>
      <x:c r="L33" t="str">
        <x:f>IF(CaseLedger!$A33="","",CaseLedger!U33)</x:f>
        <x:v>Outcome/update should be added only after verified follow-up.</x:v>
      </x:c>
      <x:c r="M33" t="str">
        <x:f>IF(CaseLedger!$A33="","",CaseLedger!V33)</x:f>
        <x:v>Add follow-up notes after checking with the verification team.</x:v>
      </x:c>
      <x:c r="N33" t="str">
        <x:f>IF(CaseLedger!$A33="","",CaseLedger!W33)</x:f>
        <x:v>Add a real quote only with consent; do not publish this placeholder as a recipient quote.</x:v>
      </x:c>
      <x:c r="O33" t="str">
        <x:f>IF(CaseLedger!$A33="","",CaseLedger!X33)</x:f>
        <x:v>Anonymized public summary; no full name, phone, address, ID, bank details, or donor identity included.</x:v>
      </x:c>
      <x:c r="P33" t="str">
        <x:f>IF(CaseLedger!$A33="","",CaseLedger!E33)</x:f>
        <x:v>TRUE</x:v>
      </x:c>
      <x:c r="Q33" t="str">
        <x:f>IF(CaseLedger!$A33="","",CaseLedger!C33)</x:f>
        <x:v>No</x:v>
      </x:c>
      <x:c r="R33" t="str">
        <x:f>IF(CaseLedger!$A33="","",CaseLedger!D33)</x:f>
        <x:v>Draft</x:v>
      </x:c>
      <x:c r="S33" t="str">
        <x:f>IFERROR(IF(CaseLedger!$A33="","",CaseLedger!Y33),"")</x:f>
      </x:c>
      <x:c r="T33" t="str">
        <x:f>IFERROR(IF(CaseLedger!$A33="","",CaseLedger!Z33),"")</x:f>
        <x:v>Anonymized Humanitarians case image 1 for HUM-032</x:v>
      </x:c>
      <x:c r="U33" t="str">
        <x:f>IFERROR(IF(CaseLedger!$A33="","",CaseLedger!AA33),"")</x:f>
        <x:v>Before/support context image - add only after consent.</x:v>
      </x:c>
      <x:c r="V33" t="str">
        <x:f>IFERROR(IF(CaseLedger!$A33="","",CaseLedger!AB33),"")</x:f>
      </x:c>
      <x:c r="W33" t="str">
        <x:f>IFERROR(IF(CaseLedger!$A33="","",CaseLedger!AC33),"")</x:f>
        <x:v>Anonymized Humanitarians case image 2 for HUM-032</x:v>
      </x:c>
      <x:c r="X33" t="str">
        <x:f>IFERROR(IF(CaseLedger!$A33="","",CaseLedger!AD33),"")</x:f>
        <x:v>Support/equipment image - add only after consent.</x:v>
      </x:c>
      <x:c r="Y33" t="str">
        <x:f>IFERROR(IF(CaseLedger!$A33="","",CaseLedger!AE33),"")</x:f>
      </x:c>
      <x:c r="Z33" t="str">
        <x:f>IFERROR(IF(CaseLedger!$A33="","",CaseLedger!AF33),"")</x:f>
        <x:v>Anonymized Humanitarians case image 3 for HUM-032</x:v>
      </x:c>
      <x:c r="AA33" t="str">
        <x:f>IFERROR(IF(CaseLedger!$A33="","",CaseLedger!AG33),"")</x:f>
        <x:v>Outcome/follow-up image - add only after consent.</x:v>
      </x:c>
      <x:c r="AB33" t="str">
        <x:f>IFERROR(IF(CaseLedger!$A33="","",CaseLedger!AH33),"")</x:f>
        <x:v>Pending consent</x:v>
      </x:c>
      <x:c r="AC33" t="str">
        <x:f>IFERROR(IF(CaseLedger!$A33="","",CaseLedger!AI33),"")</x:f>
        <x:v>Paste public Google Drive image URLs only after recipient consent and privacy review.</x:v>
      </x:c>
    </x:row>
    <x:row r="34">
      <x:c r="A34" t="str">
        <x:f>IF(CaseLedger!$A34="","",CaseLedger!A34)</x:f>
        <x:v>HUM-033</x:v>
      </x:c>
      <x:c r="B34" t="str">
        <x:f>IF(CaseLedger!$A34="","",CaseLedger!I34)</x:f>
        <x:v>Support for Biryani Shop</x:v>
      </x:c>
      <x:c r="C34" t="str">
        <x:f>IF(CaseLedger!$A34="","",CaseLedger!J34)</x:f>
        <x:v>Anonymized case HUM-033</x:v>
      </x:c>
      <x:c r="D34" t="str">
        <x:f>IF(CaseLedger!$A34="","",CaseLedger!K34)</x:f>
        <x:v>Livelihood</x:v>
      </x:c>
      <x:c r="E34" t="str">
        <x:f>IF(CaseLedger!$A34="","",CaseLedger!L34)</x:f>
        <x:v>Shop / business inventory</x:v>
      </x:c>
      <x:c r="F34" t="str">
        <x:f>IF(CaseLedger!$A34="","",CaseLedger!P34)</x:f>
        <x:v>Sadaqah</x:v>
      </x:c>
      <x:c r="G34" t="str">
        <x:f>IF(CaseLedger!$A34="","",CaseLedger!F34)</x:f>
        <x:v>Aug 2025</x:v>
      </x:c>
      <x:c r="H34" t="str">
        <x:f>IF(CaseLedger!$A34="","",CaseLedger!Q34)</x:f>
        <x:v>Location withheld</x:v>
      </x:c>
      <x:c r="I34" t="str">
        <x:f>IF(CaseLedger!$A34="","",CaseLedger!R34)</x:f>
        <x:v>₹5,000–₹10,000</x:v>
      </x:c>
      <x:c r="J34" t="str">
        <x:f>IF(CaseLedger!$A34="","",CaseLedger!S34)</x:f>
        <x:v>A verified recipient/family needed support related to shop / business inventory.</x:v>
      </x:c>
      <x:c r="K34" t="str">
        <x:f>IF(CaseLedger!$A34="","",CaseLedger!T34)</x:f>
        <x:v>Humanitarians supported the case through Sadaqah funds for support for biryani shop.</x:v>
      </x:c>
      <x:c r="L34" t="str">
        <x:f>IF(CaseLedger!$A34="","",CaseLedger!U34)</x:f>
        <x:v>Outcome/update should be added only after verified follow-up.</x:v>
      </x:c>
      <x:c r="M34" t="str">
        <x:f>IF(CaseLedger!$A34="","",CaseLedger!V34)</x:f>
        <x:v>Add follow-up notes after checking with the verification team.</x:v>
      </x:c>
      <x:c r="N34" t="str">
        <x:f>IF(CaseLedger!$A34="","",CaseLedger!W34)</x:f>
        <x:v>Add a real quote only with consent; do not publish this placeholder as a recipient quote.</x:v>
      </x:c>
      <x:c r="O34" t="str">
        <x:f>IF(CaseLedger!$A34="","",CaseLedger!X34)</x:f>
        <x:v>Anonymized public summary; no full name, phone, address, ID, bank details, or donor identity included.</x:v>
      </x:c>
      <x:c r="P34" t="str">
        <x:f>IF(CaseLedger!$A34="","",CaseLedger!E34)</x:f>
        <x:v>TRUE</x:v>
      </x:c>
      <x:c r="Q34" t="str">
        <x:f>IF(CaseLedger!$A34="","",CaseLedger!C34)</x:f>
        <x:v>No</x:v>
      </x:c>
      <x:c r="R34" t="str">
        <x:f>IF(CaseLedger!$A34="","",CaseLedger!D34)</x:f>
        <x:v>Draft</x:v>
      </x:c>
      <x:c r="S34" t="str">
        <x:f>IFERROR(IF(CaseLedger!$A34="","",CaseLedger!Y34),"")</x:f>
      </x:c>
      <x:c r="T34" t="str">
        <x:f>IFERROR(IF(CaseLedger!$A34="","",CaseLedger!Z34),"")</x:f>
        <x:v>Anonymized Humanitarians case image 1 for HUM-033</x:v>
      </x:c>
      <x:c r="U34" t="str">
        <x:f>IFERROR(IF(CaseLedger!$A34="","",CaseLedger!AA34),"")</x:f>
        <x:v>Before/support context image - add only after consent.</x:v>
      </x:c>
      <x:c r="V34" t="str">
        <x:f>IFERROR(IF(CaseLedger!$A34="","",CaseLedger!AB34),"")</x:f>
      </x:c>
      <x:c r="W34" t="str">
        <x:f>IFERROR(IF(CaseLedger!$A34="","",CaseLedger!AC34),"")</x:f>
        <x:v>Anonymized Humanitarians case image 2 for HUM-033</x:v>
      </x:c>
      <x:c r="X34" t="str">
        <x:f>IFERROR(IF(CaseLedger!$A34="","",CaseLedger!AD34),"")</x:f>
        <x:v>Support/equipment image - add only after consent.</x:v>
      </x:c>
      <x:c r="Y34" t="str">
        <x:f>IFERROR(IF(CaseLedger!$A34="","",CaseLedger!AE34),"")</x:f>
      </x:c>
      <x:c r="Z34" t="str">
        <x:f>IFERROR(IF(CaseLedger!$A34="","",CaseLedger!AF34),"")</x:f>
        <x:v>Anonymized Humanitarians case image 3 for HUM-033</x:v>
      </x:c>
      <x:c r="AA34" t="str">
        <x:f>IFERROR(IF(CaseLedger!$A34="","",CaseLedger!AG34),"")</x:f>
        <x:v>Outcome/follow-up image - add only after consent.</x:v>
      </x:c>
      <x:c r="AB34" t="str">
        <x:f>IFERROR(IF(CaseLedger!$A34="","",CaseLedger!AH34),"")</x:f>
        <x:v>Pending consent</x:v>
      </x:c>
      <x:c r="AC34" t="str">
        <x:f>IFERROR(IF(CaseLedger!$A34="","",CaseLedger!AI34),"")</x:f>
        <x:v>Paste public Google Drive image URLs only after recipient consent and privacy review.</x:v>
      </x:c>
    </x:row>
    <x:row r="35">
      <x:c r="A35" t="str">
        <x:f>IF(CaseLedger!$A35="","",CaseLedger!A35)</x:f>
        <x:v>HUM-034</x:v>
      </x:c>
      <x:c r="B35" t="str">
        <x:f>IF(CaseLedger!$A35="","",CaseLedger!I35)</x:f>
        <x:v>Support for Kirana Shop</x:v>
      </x:c>
      <x:c r="C35" t="str">
        <x:f>IF(CaseLedger!$A35="","",CaseLedger!J35)</x:f>
        <x:v>Anonymized case HUM-034</x:v>
      </x:c>
      <x:c r="D35" t="str">
        <x:f>IF(CaseLedger!$A35="","",CaseLedger!K35)</x:f>
        <x:v>Livelihood</x:v>
      </x:c>
      <x:c r="E35" t="str">
        <x:f>IF(CaseLedger!$A35="","",CaseLedger!L35)</x:f>
        <x:v>Shop / business inventory</x:v>
      </x:c>
      <x:c r="F35" t="str">
        <x:f>IF(CaseLedger!$A35="","",CaseLedger!P35)</x:f>
        <x:v>Sadaqah</x:v>
      </x:c>
      <x:c r="G35" t="str">
        <x:f>IF(CaseLedger!$A35="","",CaseLedger!F35)</x:f>
        <x:v>Aug 2025</x:v>
      </x:c>
      <x:c r="H35" t="str">
        <x:f>IF(CaseLedger!$A35="","",CaseLedger!Q35)</x:f>
        <x:v>Mallawan, UP</x:v>
      </x:c>
      <x:c r="I35" t="str">
        <x:f>IF(CaseLedger!$A35="","",CaseLedger!R35)</x:f>
        <x:v>₹15,000–₹25,000</x:v>
      </x:c>
      <x:c r="J35" t="str">
        <x:f>IF(CaseLedger!$A35="","",CaseLedger!S35)</x:f>
        <x:v>A verified recipient/family needed support related to shop / business inventory.</x:v>
      </x:c>
      <x:c r="K35" t="str">
        <x:f>IF(CaseLedger!$A35="","",CaseLedger!T35)</x:f>
        <x:v>Humanitarians supported the case through Sadaqah funds for support for kirana shop.</x:v>
      </x:c>
      <x:c r="L35" t="str">
        <x:f>IF(CaseLedger!$A35="","",CaseLedger!U35)</x:f>
        <x:v>Outcome/update should be added only after verified follow-up.</x:v>
      </x:c>
      <x:c r="M35" t="str">
        <x:f>IF(CaseLedger!$A35="","",CaseLedger!V35)</x:f>
        <x:v>Add follow-up notes after checking with the verification team.</x:v>
      </x:c>
      <x:c r="N35" t="str">
        <x:f>IF(CaseLedger!$A35="","",CaseLedger!W35)</x:f>
        <x:v>Add a real quote only with consent; do not publish this placeholder as a recipient quote.</x:v>
      </x:c>
      <x:c r="O35" t="str">
        <x:f>IF(CaseLedger!$A35="","",CaseLedger!X35)</x:f>
        <x:v>Anonymized public summary; no full name, phone, address, ID, bank details, or donor identity included.</x:v>
      </x:c>
      <x:c r="P35" t="str">
        <x:f>IF(CaseLedger!$A35="","",CaseLedger!E35)</x:f>
        <x:v>TRUE</x:v>
      </x:c>
      <x:c r="Q35" t="str">
        <x:f>IF(CaseLedger!$A35="","",CaseLedger!C35)</x:f>
        <x:v>No</x:v>
      </x:c>
      <x:c r="R35" t="str">
        <x:f>IF(CaseLedger!$A35="","",CaseLedger!D35)</x:f>
        <x:v>Draft</x:v>
      </x:c>
      <x:c r="S35" t="str">
        <x:f>IFERROR(IF(CaseLedger!$A35="","",CaseLedger!Y35),"")</x:f>
      </x:c>
      <x:c r="T35" t="str">
        <x:f>IFERROR(IF(CaseLedger!$A35="","",CaseLedger!Z35),"")</x:f>
        <x:v>Anonymized Humanitarians case image 1 for HUM-034</x:v>
      </x:c>
      <x:c r="U35" t="str">
        <x:f>IFERROR(IF(CaseLedger!$A35="","",CaseLedger!AA35),"")</x:f>
        <x:v>Before/support context image - add only after consent.</x:v>
      </x:c>
      <x:c r="V35" t="str">
        <x:f>IFERROR(IF(CaseLedger!$A35="","",CaseLedger!AB35),"")</x:f>
      </x:c>
      <x:c r="W35" t="str">
        <x:f>IFERROR(IF(CaseLedger!$A35="","",CaseLedger!AC35),"")</x:f>
        <x:v>Anonymized Humanitarians case image 2 for HUM-034</x:v>
      </x:c>
      <x:c r="X35" t="str">
        <x:f>IFERROR(IF(CaseLedger!$A35="","",CaseLedger!AD35),"")</x:f>
        <x:v>Support/equipment image - add only after consent.</x:v>
      </x:c>
      <x:c r="Y35" t="str">
        <x:f>IFERROR(IF(CaseLedger!$A35="","",CaseLedger!AE35),"")</x:f>
      </x:c>
      <x:c r="Z35" t="str">
        <x:f>IFERROR(IF(CaseLedger!$A35="","",CaseLedger!AF35),"")</x:f>
        <x:v>Anonymized Humanitarians case image 3 for HUM-034</x:v>
      </x:c>
      <x:c r="AA35" t="str">
        <x:f>IFERROR(IF(CaseLedger!$A35="","",CaseLedger!AG35),"")</x:f>
        <x:v>Outcome/follow-up image - add only after consent.</x:v>
      </x:c>
      <x:c r="AB35" t="str">
        <x:f>IFERROR(IF(CaseLedger!$A35="","",CaseLedger!AH35),"")</x:f>
        <x:v>Pending consent</x:v>
      </x:c>
      <x:c r="AC35" t="str">
        <x:f>IFERROR(IF(CaseLedger!$A35="","",CaseLedger!AI35),"")</x:f>
        <x:v>Paste public Google Drive image URLs only after recipient consent and privacy review.</x:v>
      </x:c>
    </x:row>
    <x:row r="36">
      <x:c r="A36" t="str">
        <x:f>IF(CaseLedger!$A36="","",CaseLedger!A36)</x:f>
        <x:v>HUM-035</x:v>
      </x:c>
      <x:c r="B36" t="str">
        <x:f>IF(CaseLedger!$A36="","",CaseLedger!I36)</x:f>
        <x:v>Rapid Vacuum Cleaner</x:v>
      </x:c>
      <x:c r="C36" t="str">
        <x:f>IF(CaseLedger!$A36="","",CaseLedger!J36)</x:f>
        <x:v>Anonymized case HUM-035</x:v>
      </x:c>
      <x:c r="D36" t="str">
        <x:f>IF(CaseLedger!$A36="","",CaseLedger!K36)</x:f>
        <x:v>Livelihood</x:v>
      </x:c>
      <x:c r="E36" t="str">
        <x:f>IF(CaseLedger!$A36="","",CaseLedger!L36)</x:f>
        <x:v>Tools / equipment</x:v>
      </x:c>
      <x:c r="F36" t="str">
        <x:f>IF(CaseLedger!$A36="","",CaseLedger!P36)</x:f>
        <x:v>Sadaqah</x:v>
      </x:c>
      <x:c r="G36" t="str">
        <x:f>IF(CaseLedger!$A36="","",CaseLedger!F36)</x:f>
        <x:v>Sep 2025</x:v>
      </x:c>
      <x:c r="H36" t="str">
        <x:f>IF(CaseLedger!$A36="","",CaseLedger!Q36)</x:f>
        <x:v>Basti, UP</x:v>
      </x:c>
      <x:c r="I36" t="str">
        <x:f>IF(CaseLedger!$A36="","",CaseLedger!R36)</x:f>
        <x:v>Under ₹5,000</x:v>
      </x:c>
      <x:c r="J36" t="str">
        <x:f>IF(CaseLedger!$A36="","",CaseLedger!S36)</x:f>
        <x:v>A verified recipient/family needed support related to tools / equipment.</x:v>
      </x:c>
      <x:c r="K36" t="str">
        <x:f>IF(CaseLedger!$A36="","",CaseLedger!T36)</x:f>
        <x:v>Humanitarians supported the case through Sadaqah funds for rapid vacuum cleaner.</x:v>
      </x:c>
      <x:c r="L36" t="str">
        <x:f>IF(CaseLedger!$A36="","",CaseLedger!U36)</x:f>
        <x:v>Outcome/update should be added only after verified follow-up.</x:v>
      </x:c>
      <x:c r="M36" t="str">
        <x:f>IF(CaseLedger!$A36="","",CaseLedger!V36)</x:f>
        <x:v>Add follow-up notes after checking with the verification team.</x:v>
      </x:c>
      <x:c r="N36" t="str">
        <x:f>IF(CaseLedger!$A36="","",CaseLedger!W36)</x:f>
        <x:v>Add a real quote only with consent; do not publish this placeholder as a recipient quote.</x:v>
      </x:c>
      <x:c r="O36" t="str">
        <x:f>IF(CaseLedger!$A36="","",CaseLedger!X36)</x:f>
        <x:v>Anonymized public summary; no full name, phone, address, ID, bank details, or donor identity included.</x:v>
      </x:c>
      <x:c r="P36" t="str">
        <x:f>IF(CaseLedger!$A36="","",CaseLedger!E36)</x:f>
        <x:v>FALSE</x:v>
      </x:c>
      <x:c r="Q36" t="str">
        <x:f>IF(CaseLedger!$A36="","",CaseLedger!C36)</x:f>
        <x:v>No</x:v>
      </x:c>
      <x:c r="R36" t="str">
        <x:f>IF(CaseLedger!$A36="","",CaseLedger!D36)</x:f>
        <x:v>Archive</x:v>
      </x:c>
      <x:c r="S36" t="str">
        <x:f>IFERROR(IF(CaseLedger!$A36="","",CaseLedger!Y36),"")</x:f>
      </x:c>
      <x:c r="T36" t="str">
        <x:f>IFERROR(IF(CaseLedger!$A36="","",CaseLedger!Z36),"")</x:f>
        <x:v>Anonymized Humanitarians case image 1 for HUM-035</x:v>
      </x:c>
      <x:c r="U36" t="str">
        <x:f>IFERROR(IF(CaseLedger!$A36="","",CaseLedger!AA36),"")</x:f>
        <x:v>Before/support context image - add only after consent.</x:v>
      </x:c>
      <x:c r="V36" t="str">
        <x:f>IFERROR(IF(CaseLedger!$A36="","",CaseLedger!AB36),"")</x:f>
      </x:c>
      <x:c r="W36" t="str">
        <x:f>IFERROR(IF(CaseLedger!$A36="","",CaseLedger!AC36),"")</x:f>
        <x:v>Anonymized Humanitarians case image 2 for HUM-035</x:v>
      </x:c>
      <x:c r="X36" t="str">
        <x:f>IFERROR(IF(CaseLedger!$A36="","",CaseLedger!AD36),"")</x:f>
        <x:v>Support/equipment image - add only after consent.</x:v>
      </x:c>
      <x:c r="Y36" t="str">
        <x:f>IFERROR(IF(CaseLedger!$A36="","",CaseLedger!AE36),"")</x:f>
      </x:c>
      <x:c r="Z36" t="str">
        <x:f>IFERROR(IF(CaseLedger!$A36="","",CaseLedger!AF36),"")</x:f>
        <x:v>Anonymized Humanitarians case image 3 for HUM-035</x:v>
      </x:c>
      <x:c r="AA36" t="str">
        <x:f>IFERROR(IF(CaseLedger!$A36="","",CaseLedger!AG36),"")</x:f>
        <x:v>Outcome/follow-up image - add only after consent.</x:v>
      </x:c>
      <x:c r="AB36" t="str">
        <x:f>IFERROR(IF(CaseLedger!$A36="","",CaseLedger!AH36),"")</x:f>
        <x:v>Pending consent</x:v>
      </x:c>
      <x:c r="AC36" t="str">
        <x:f>IFERROR(IF(CaseLedger!$A36="","",CaseLedger!AI36),"")</x:f>
        <x:v>Paste public Google Drive image URLs only after recipient consent and privacy review.</x:v>
      </x:c>
    </x:row>
    <x:row r="37">
      <x:c r="A37" t="str">
        <x:f>IF(CaseLedger!$A37="","",CaseLedger!A37)</x:f>
        <x:v>HUM-036</x:v>
      </x:c>
      <x:c r="B37" t="str">
        <x:f>IF(CaseLedger!$A37="","",CaseLedger!I37)</x:f>
        <x:v>Support for Maktab set up</x:v>
      </x:c>
      <x:c r="C37" t="str">
        <x:f>IF(CaseLedger!$A37="","",CaseLedger!J37)</x:f>
        <x:v>Anonymized case HUM-036</x:v>
      </x:c>
      <x:c r="D37" t="str">
        <x:f>IF(CaseLedger!$A37="","",CaseLedger!K37)</x:f>
        <x:v>Skill Sponsorship</x:v>
      </x:c>
      <x:c r="E37" t="str">
        <x:f>IF(CaseLedger!$A37="","",CaseLedger!L37)</x:f>
        <x:v>Education / Maktab</x:v>
      </x:c>
      <x:c r="F37" t="str">
        <x:f>IF(CaseLedger!$A37="","",CaseLedger!P37)</x:f>
        <x:v>Mixed</x:v>
      </x:c>
      <x:c r="G37" t="str">
        <x:f>IF(CaseLedger!$A37="","",CaseLedger!F37)</x:f>
        <x:v>Sep 2025</x:v>
      </x:c>
      <x:c r="H37" t="str">
        <x:f>IF(CaseLedger!$A37="","",CaseLedger!Q37)</x:f>
        <x:v>Delhi</x:v>
      </x:c>
      <x:c r="I37" t="str">
        <x:f>IF(CaseLedger!$A37="","",CaseLedger!R37)</x:f>
        <x:v>₹25,000–₹50,000</x:v>
      </x:c>
      <x:c r="J37" t="str">
        <x:f>IF(CaseLedger!$A37="","",CaseLedger!S37)</x:f>
        <x:v>A verified recipient/family needed support related to education / maktab.</x:v>
      </x:c>
      <x:c r="K37" t="str">
        <x:f>IF(CaseLedger!$A37="","",CaseLedger!T37)</x:f>
        <x:v>Humanitarians supported the case through Mixed funds for support for maktab set up.</x:v>
      </x:c>
      <x:c r="L37" t="str">
        <x:f>IF(CaseLedger!$A37="","",CaseLedger!U37)</x:f>
        <x:v>Outcome/update should be added only after verified follow-up.</x:v>
      </x:c>
      <x:c r="M37" t="str">
        <x:f>IF(CaseLedger!$A37="","",CaseLedger!V37)</x:f>
        <x:v>Add follow-up notes after checking with the verification team.</x:v>
      </x:c>
      <x:c r="N37" t="str">
        <x:f>IF(CaseLedger!$A37="","",CaseLedger!W37)</x:f>
        <x:v>Add a real quote only with consent; do not publish this placeholder as a recipient quote.</x:v>
      </x:c>
      <x:c r="O37" t="str">
        <x:f>IF(CaseLedger!$A37="","",CaseLedger!X37)</x:f>
        <x:v>Anonymized public summary; no full name, phone, address, ID, bank details, or donor identity included.</x:v>
      </x:c>
      <x:c r="P37" t="str">
        <x:f>IF(CaseLedger!$A37="","",CaseLedger!E37)</x:f>
        <x:v>TRUE</x:v>
      </x:c>
      <x:c r="Q37" t="str">
        <x:f>IF(CaseLedger!$A37="","",CaseLedger!C37)</x:f>
        <x:v>No</x:v>
      </x:c>
      <x:c r="R37" t="str">
        <x:f>IF(CaseLedger!$A37="","",CaseLedger!D37)</x:f>
        <x:v>Draft</x:v>
      </x:c>
      <x:c r="S37" t="str">
        <x:f>IFERROR(IF(CaseLedger!$A37="","",CaseLedger!Y37),"")</x:f>
      </x:c>
      <x:c r="T37" t="str">
        <x:f>IFERROR(IF(CaseLedger!$A37="","",CaseLedger!Z37),"")</x:f>
        <x:v>Anonymized Humanitarians case image 1 for HUM-036</x:v>
      </x:c>
      <x:c r="U37" t="str">
        <x:f>IFERROR(IF(CaseLedger!$A37="","",CaseLedger!AA37),"")</x:f>
        <x:v>Before/support context image - add only after consent.</x:v>
      </x:c>
      <x:c r="V37" t="str">
        <x:f>IFERROR(IF(CaseLedger!$A37="","",CaseLedger!AB37),"")</x:f>
      </x:c>
      <x:c r="W37" t="str">
        <x:f>IFERROR(IF(CaseLedger!$A37="","",CaseLedger!AC37),"")</x:f>
        <x:v>Anonymized Humanitarians case image 2 for HUM-036</x:v>
      </x:c>
      <x:c r="X37" t="str">
        <x:f>IFERROR(IF(CaseLedger!$A37="","",CaseLedger!AD37),"")</x:f>
        <x:v>Support/equipment image - add only after consent.</x:v>
      </x:c>
      <x:c r="Y37" t="str">
        <x:f>IFERROR(IF(CaseLedger!$A37="","",CaseLedger!AE37),"")</x:f>
      </x:c>
      <x:c r="Z37" t="str">
        <x:f>IFERROR(IF(CaseLedger!$A37="","",CaseLedger!AF37),"")</x:f>
        <x:v>Anonymized Humanitarians case image 3 for HUM-036</x:v>
      </x:c>
      <x:c r="AA37" t="str">
        <x:f>IFERROR(IF(CaseLedger!$A37="","",CaseLedger!AG37),"")</x:f>
        <x:v>Outcome/follow-up image - add only after consent.</x:v>
      </x:c>
      <x:c r="AB37" t="str">
        <x:f>IFERROR(IF(CaseLedger!$A37="","",CaseLedger!AH37),"")</x:f>
        <x:v>Pending consent</x:v>
      </x:c>
      <x:c r="AC37" t="str">
        <x:f>IFERROR(IF(CaseLedger!$A37="","",CaseLedger!AI37),"")</x:f>
        <x:v>Paste public Google Drive image URLs only after recipient consent and privacy review.</x:v>
      </x:c>
    </x:row>
    <x:row r="38">
      <x:c r="A38" t="str">
        <x:f>IF(CaseLedger!$A38="","",CaseLedger!A38)</x:f>
        <x:v>HUM-037</x:v>
      </x:c>
      <x:c r="B38" t="str">
        <x:f>IF(CaseLedger!$A38="","",CaseLedger!I38)</x:f>
        <x:v>Support for Sewing Business</x:v>
      </x:c>
      <x:c r="C38" t="str">
        <x:f>IF(CaseLedger!$A38="","",CaseLedger!J38)</x:f>
        <x:v>Anonymized case HUM-037</x:v>
      </x:c>
      <x:c r="D38" t="str">
        <x:f>IF(CaseLedger!$A38="","",CaseLedger!K38)</x:f>
        <x:v>Livelihood</x:v>
      </x:c>
      <x:c r="E38" t="str">
        <x:f>IF(CaseLedger!$A38="","",CaseLedger!L38)</x:f>
        <x:v>Sewing / tailoring</x:v>
      </x:c>
      <x:c r="F38" t="str">
        <x:f>IF(CaseLedger!$A38="","",CaseLedger!P38)</x:f>
        <x:v>Sadaqah</x:v>
      </x:c>
      <x:c r="G38" t="str">
        <x:f>IF(CaseLedger!$A38="","",CaseLedger!F38)</x:f>
        <x:v>Sep 2025</x:v>
      </x:c>
      <x:c r="H38" t="str">
        <x:f>IF(CaseLedger!$A38="","",CaseLedger!Q38)</x:f>
        <x:v>Kanpur, UP</x:v>
      </x:c>
      <x:c r="I38" t="str">
        <x:f>IF(CaseLedger!$A38="","",CaseLedger!R38)</x:f>
        <x:v>₹15,000–₹25,000</x:v>
      </x:c>
      <x:c r="J38" t="str">
        <x:f>IF(CaseLedger!$A38="","",CaseLedger!S38)</x:f>
        <x:v>A verified recipient/family needed support related to sewing / tailoring.</x:v>
      </x:c>
      <x:c r="K38" t="str">
        <x:f>IF(CaseLedger!$A38="","",CaseLedger!T38)</x:f>
        <x:v>Humanitarians supported the case through Sadaqah funds for support for sewing business.</x:v>
      </x:c>
      <x:c r="L38" t="str">
        <x:f>IF(CaseLedger!$A38="","",CaseLedger!U38)</x:f>
        <x:v>Outcome/update should be added only after verified follow-up.</x:v>
      </x:c>
      <x:c r="M38" t="str">
        <x:f>IF(CaseLedger!$A38="","",CaseLedger!V38)</x:f>
        <x:v>Add follow-up notes after checking with the verification team.</x:v>
      </x:c>
      <x:c r="N38" t="str">
        <x:f>IF(CaseLedger!$A38="","",CaseLedger!W38)</x:f>
        <x:v>Add a real quote only with consent; do not publish this placeholder as a recipient quote.</x:v>
      </x:c>
      <x:c r="O38" t="str">
        <x:f>IF(CaseLedger!$A38="","",CaseLedger!X38)</x:f>
        <x:v>Anonymized public summary; no full name, phone, address, ID, bank details, or donor identity included.</x:v>
      </x:c>
      <x:c r="P38" t="str">
        <x:f>IF(CaseLedger!$A38="","",CaseLedger!E38)</x:f>
        <x:v>TRUE</x:v>
      </x:c>
      <x:c r="Q38" t="str">
        <x:f>IF(CaseLedger!$A38="","",CaseLedger!C38)</x:f>
        <x:v>No</x:v>
      </x:c>
      <x:c r="R38" t="str">
        <x:f>IF(CaseLedger!$A38="","",CaseLedger!D38)</x:f>
        <x:v>Draft</x:v>
      </x:c>
      <x:c r="S38" t="str">
        <x:f>IFERROR(IF(CaseLedger!$A38="","",CaseLedger!Y38),"")</x:f>
      </x:c>
      <x:c r="T38" t="str">
        <x:f>IFERROR(IF(CaseLedger!$A38="","",CaseLedger!Z38),"")</x:f>
        <x:v>Anonymized Humanitarians case image 1 for HUM-037</x:v>
      </x:c>
      <x:c r="U38" t="str">
        <x:f>IFERROR(IF(CaseLedger!$A38="","",CaseLedger!AA38),"")</x:f>
        <x:v>Before/support context image - add only after consent.</x:v>
      </x:c>
      <x:c r="V38" t="str">
        <x:f>IFERROR(IF(CaseLedger!$A38="","",CaseLedger!AB38),"")</x:f>
      </x:c>
      <x:c r="W38" t="str">
        <x:f>IFERROR(IF(CaseLedger!$A38="","",CaseLedger!AC38),"")</x:f>
        <x:v>Anonymized Humanitarians case image 2 for HUM-037</x:v>
      </x:c>
      <x:c r="X38" t="str">
        <x:f>IFERROR(IF(CaseLedger!$A38="","",CaseLedger!AD38),"")</x:f>
        <x:v>Support/equipment image - add only after consent.</x:v>
      </x:c>
      <x:c r="Y38" t="str">
        <x:f>IFERROR(IF(CaseLedger!$A38="","",CaseLedger!AE38),"")</x:f>
      </x:c>
      <x:c r="Z38" t="str">
        <x:f>IFERROR(IF(CaseLedger!$A38="","",CaseLedger!AF38),"")</x:f>
        <x:v>Anonymized Humanitarians case image 3 for HUM-037</x:v>
      </x:c>
      <x:c r="AA38" t="str">
        <x:f>IFERROR(IF(CaseLedger!$A38="","",CaseLedger!AG38),"")</x:f>
        <x:v>Outcome/follow-up image - add only after consent.</x:v>
      </x:c>
      <x:c r="AB38" t="str">
        <x:f>IFERROR(IF(CaseLedger!$A38="","",CaseLedger!AH38),"")</x:f>
        <x:v>Pending consent</x:v>
      </x:c>
      <x:c r="AC38" t="str">
        <x:f>IFERROR(IF(CaseLedger!$A38="","",CaseLedger!AI38),"")</x:f>
        <x:v>Paste public Google Drive image URLs only after recipient consent and privacy review.</x:v>
      </x:c>
    </x:row>
    <x:row r="39">
      <x:c r="A39" t="str">
        <x:f>IF(CaseLedger!$A39="","",CaseLedger!A39)</x:f>
        <x:v>HUM-038</x:v>
      </x:c>
      <x:c r="B39" t="str">
        <x:f>IF(CaseLedger!$A39="","",CaseLedger!I39)</x:f>
        <x:v>Support to Clothing business</x:v>
      </x:c>
      <x:c r="C39" t="str">
        <x:f>IF(CaseLedger!$A39="","",CaseLedger!J39)</x:f>
        <x:v>Anonymized case HUM-038</x:v>
      </x:c>
      <x:c r="D39" t="str">
        <x:f>IF(CaseLedger!$A39="","",CaseLedger!K39)</x:f>
        <x:v>Livelihood</x:v>
      </x:c>
      <x:c r="E39" t="str">
        <x:f>IF(CaseLedger!$A39="","",CaseLedger!L39)</x:f>
        <x:v>Shop / business inventory</x:v>
      </x:c>
      <x:c r="F39" t="str">
        <x:f>IF(CaseLedger!$A39="","",CaseLedger!P39)</x:f>
        <x:v>Sadaqah</x:v>
      </x:c>
      <x:c r="G39" t="str">
        <x:f>IF(CaseLedger!$A39="","",CaseLedger!F39)</x:f>
        <x:v>Sep 2025</x:v>
      </x:c>
      <x:c r="H39" t="str">
        <x:f>IF(CaseLedger!$A39="","",CaseLedger!Q39)</x:f>
        <x:v>Bihar</x:v>
      </x:c>
      <x:c r="I39" t="str">
        <x:f>IF(CaseLedger!$A39="","",CaseLedger!R39)</x:f>
        <x:v>₹15,000–₹25,000</x:v>
      </x:c>
      <x:c r="J39" t="str">
        <x:f>IF(CaseLedger!$A39="","",CaseLedger!S39)</x:f>
        <x:v>A verified recipient/family needed support related to shop / business inventory.</x:v>
      </x:c>
      <x:c r="K39" t="str">
        <x:f>IF(CaseLedger!$A39="","",CaseLedger!T39)</x:f>
        <x:v>Humanitarians supported the case through Sadaqah funds for support to clothing business.</x:v>
      </x:c>
      <x:c r="L39" t="str">
        <x:f>IF(CaseLedger!$A39="","",CaseLedger!U39)</x:f>
        <x:v>Outcome/update should be added only after verified follow-up.</x:v>
      </x:c>
      <x:c r="M39" t="str">
        <x:f>IF(CaseLedger!$A39="","",CaseLedger!V39)</x:f>
        <x:v>Add follow-up notes after checking with the verification team.</x:v>
      </x:c>
      <x:c r="N39" t="str">
        <x:f>IF(CaseLedger!$A39="","",CaseLedger!W39)</x:f>
        <x:v>Add a real quote only with consent; do not publish this placeholder as a recipient quote.</x:v>
      </x:c>
      <x:c r="O39" t="str">
        <x:f>IF(CaseLedger!$A39="","",CaseLedger!X39)</x:f>
        <x:v>Anonymized public summary; no full name, phone, address, ID, bank details, or donor identity included.</x:v>
      </x:c>
      <x:c r="P39" t="str">
        <x:f>IF(CaseLedger!$A39="","",CaseLedger!E39)</x:f>
        <x:v>FALSE</x:v>
      </x:c>
      <x:c r="Q39" t="str">
        <x:f>IF(CaseLedger!$A39="","",CaseLedger!C39)</x:f>
        <x:v>No</x:v>
      </x:c>
      <x:c r="R39" t="str">
        <x:f>IF(CaseLedger!$A39="","",CaseLedger!D39)</x:f>
        <x:v>Archive</x:v>
      </x:c>
      <x:c r="S39" t="str">
        <x:f>IFERROR(IF(CaseLedger!$A39="","",CaseLedger!Y39),"")</x:f>
      </x:c>
      <x:c r="T39" t="str">
        <x:f>IFERROR(IF(CaseLedger!$A39="","",CaseLedger!Z39),"")</x:f>
        <x:v>Anonymized Humanitarians case image 1 for HUM-038</x:v>
      </x:c>
      <x:c r="U39" t="str">
        <x:f>IFERROR(IF(CaseLedger!$A39="","",CaseLedger!AA39),"")</x:f>
        <x:v>Before/support context image - add only after consent.</x:v>
      </x:c>
      <x:c r="V39" t="str">
        <x:f>IFERROR(IF(CaseLedger!$A39="","",CaseLedger!AB39),"")</x:f>
      </x:c>
      <x:c r="W39" t="str">
        <x:f>IFERROR(IF(CaseLedger!$A39="","",CaseLedger!AC39),"")</x:f>
        <x:v>Anonymized Humanitarians case image 2 for HUM-038</x:v>
      </x:c>
      <x:c r="X39" t="str">
        <x:f>IFERROR(IF(CaseLedger!$A39="","",CaseLedger!AD39),"")</x:f>
        <x:v>Support/equipment image - add only after consent.</x:v>
      </x:c>
      <x:c r="Y39" t="str">
        <x:f>IFERROR(IF(CaseLedger!$A39="","",CaseLedger!AE39),"")</x:f>
      </x:c>
      <x:c r="Z39" t="str">
        <x:f>IFERROR(IF(CaseLedger!$A39="","",CaseLedger!AF39),"")</x:f>
        <x:v>Anonymized Humanitarians case image 3 for HUM-038</x:v>
      </x:c>
      <x:c r="AA39" t="str">
        <x:f>IFERROR(IF(CaseLedger!$A39="","",CaseLedger!AG39),"")</x:f>
        <x:v>Outcome/follow-up image - add only after consent.</x:v>
      </x:c>
      <x:c r="AB39" t="str">
        <x:f>IFERROR(IF(CaseLedger!$A39="","",CaseLedger!AH39),"")</x:f>
        <x:v>Pending consent</x:v>
      </x:c>
      <x:c r="AC39" t="str">
        <x:f>IFERROR(IF(CaseLedger!$A39="","",CaseLedger!AI39),"")</x:f>
        <x:v>Paste public Google Drive image URLs only after recipient consent and privacy review.</x:v>
      </x:c>
    </x:row>
    <x:row r="40">
      <x:c r="A40" t="str">
        <x:f>IF(CaseLedger!$A40="","",CaseLedger!A40)</x:f>
        <x:v>HUM-039</x:v>
      </x:c>
      <x:c r="B40" t="str">
        <x:f>IF(CaseLedger!$A40="","",CaseLedger!I40)</x:f>
        <x:v>Support to Shoe Vendor</x:v>
      </x:c>
      <x:c r="C40" t="str">
        <x:f>IF(CaseLedger!$A40="","",CaseLedger!J40)</x:f>
        <x:v>Anonymized case HUM-039</x:v>
      </x:c>
      <x:c r="D40" t="str">
        <x:f>IF(CaseLedger!$A40="","",CaseLedger!K40)</x:f>
        <x:v>Livelihood</x:v>
      </x:c>
      <x:c r="E40" t="str">
        <x:f>IF(CaseLedger!$A40="","",CaseLedger!L40)</x:f>
        <x:v>Shop / business inventory</x:v>
      </x:c>
      <x:c r="F40" t="str">
        <x:f>IF(CaseLedger!$A40="","",CaseLedger!P40)</x:f>
        <x:v>Sadaqah</x:v>
      </x:c>
      <x:c r="G40" t="str">
        <x:f>IF(CaseLedger!$A40="","",CaseLedger!F40)</x:f>
        <x:v>Sep 2025</x:v>
      </x:c>
      <x:c r="H40" t="str">
        <x:f>IF(CaseLedger!$A40="","",CaseLedger!Q40)</x:f>
        <x:v>Bihar</x:v>
      </x:c>
      <x:c r="I40" t="str">
        <x:f>IF(CaseLedger!$A40="","",CaseLedger!R40)</x:f>
        <x:v>₹5,000–₹10,000</x:v>
      </x:c>
      <x:c r="J40" t="str">
        <x:f>IF(CaseLedger!$A40="","",CaseLedger!S40)</x:f>
        <x:v>A verified recipient/family needed support related to shop / business inventory.</x:v>
      </x:c>
      <x:c r="K40" t="str">
        <x:f>IF(CaseLedger!$A40="","",CaseLedger!T40)</x:f>
        <x:v>Humanitarians supported the case through Sadaqah funds for support to shoe vendor.</x:v>
      </x:c>
      <x:c r="L40" t="str">
        <x:f>IF(CaseLedger!$A40="","",CaseLedger!U40)</x:f>
        <x:v>Outcome/update should be added only after verified follow-up.</x:v>
      </x:c>
      <x:c r="M40" t="str">
        <x:f>IF(CaseLedger!$A40="","",CaseLedger!V40)</x:f>
        <x:v>Add follow-up notes after checking with the verification team.</x:v>
      </x:c>
      <x:c r="N40" t="str">
        <x:f>IF(CaseLedger!$A40="","",CaseLedger!W40)</x:f>
        <x:v>Add a real quote only with consent; do not publish this placeholder as a recipient quote.</x:v>
      </x:c>
      <x:c r="O40" t="str">
        <x:f>IF(CaseLedger!$A40="","",CaseLedger!X40)</x:f>
        <x:v>Anonymized public summary; no full name, phone, address, ID, bank details, or donor identity included.</x:v>
      </x:c>
      <x:c r="P40" t="str">
        <x:f>IF(CaseLedger!$A40="","",CaseLedger!E40)</x:f>
        <x:v>TRUE</x:v>
      </x:c>
      <x:c r="Q40" t="str">
        <x:f>IF(CaseLedger!$A40="","",CaseLedger!C40)</x:f>
        <x:v>No</x:v>
      </x:c>
      <x:c r="R40" t="str">
        <x:f>IF(CaseLedger!$A40="","",CaseLedger!D40)</x:f>
        <x:v>Draft</x:v>
      </x:c>
      <x:c r="S40" t="str">
        <x:f>IFERROR(IF(CaseLedger!$A40="","",CaseLedger!Y40),"")</x:f>
      </x:c>
      <x:c r="T40" t="str">
        <x:f>IFERROR(IF(CaseLedger!$A40="","",CaseLedger!Z40),"")</x:f>
        <x:v>Anonymized Humanitarians case image 1 for HUM-039</x:v>
      </x:c>
      <x:c r="U40" t="str">
        <x:f>IFERROR(IF(CaseLedger!$A40="","",CaseLedger!AA40),"")</x:f>
        <x:v>Before/support context image - add only after consent.</x:v>
      </x:c>
      <x:c r="V40" t="str">
        <x:f>IFERROR(IF(CaseLedger!$A40="","",CaseLedger!AB40),"")</x:f>
      </x:c>
      <x:c r="W40" t="str">
        <x:f>IFERROR(IF(CaseLedger!$A40="","",CaseLedger!AC40),"")</x:f>
        <x:v>Anonymized Humanitarians case image 2 for HUM-039</x:v>
      </x:c>
      <x:c r="X40" t="str">
        <x:f>IFERROR(IF(CaseLedger!$A40="","",CaseLedger!AD40),"")</x:f>
        <x:v>Support/equipment image - add only after consent.</x:v>
      </x:c>
      <x:c r="Y40" t="str">
        <x:f>IFERROR(IF(CaseLedger!$A40="","",CaseLedger!AE40),"")</x:f>
      </x:c>
      <x:c r="Z40" t="str">
        <x:f>IFERROR(IF(CaseLedger!$A40="","",CaseLedger!AF40),"")</x:f>
        <x:v>Anonymized Humanitarians case image 3 for HUM-039</x:v>
      </x:c>
      <x:c r="AA40" t="str">
        <x:f>IFERROR(IF(CaseLedger!$A40="","",CaseLedger!AG40),"")</x:f>
        <x:v>Outcome/follow-up image - add only after consent.</x:v>
      </x:c>
      <x:c r="AB40" t="str">
        <x:f>IFERROR(IF(CaseLedger!$A40="","",CaseLedger!AH40),"")</x:f>
        <x:v>Pending consent</x:v>
      </x:c>
      <x:c r="AC40" t="str">
        <x:f>IFERROR(IF(CaseLedger!$A40="","",CaseLedger!AI40),"")</x:f>
        <x:v>Paste public Google Drive image URLs only after recipient consent and privacy review.</x:v>
      </x:c>
    </x:row>
    <x:row r="41">
      <x:c r="A41" t="str">
        <x:f>IF(CaseLedger!$A41="","",CaseLedger!A41)</x:f>
        <x:v>HUM-040</x:v>
      </x:c>
      <x:c r="B41" t="str">
        <x:f>IF(CaseLedger!$A41="","",CaseLedger!I41)</x:f>
        <x:v>Support for Deep Freezer</x:v>
      </x:c>
      <x:c r="C41" t="str">
        <x:f>IF(CaseLedger!$A41="","",CaseLedger!J41)</x:f>
        <x:v>Anonymized case HUM-040</x:v>
      </x:c>
      <x:c r="D41" t="str">
        <x:f>IF(CaseLedger!$A41="","",CaseLedger!K41)</x:f>
        <x:v>Livelihood</x:v>
      </x:c>
      <x:c r="E41" t="str">
        <x:f>IF(CaseLedger!$A41="","",CaseLedger!L41)</x:f>
        <x:v>Tools / equipment</x:v>
      </x:c>
      <x:c r="F41" t="str">
        <x:f>IF(CaseLedger!$A41="","",CaseLedger!P41)</x:f>
        <x:v>Sadaqah</x:v>
      </x:c>
      <x:c r="G41" t="str">
        <x:f>IF(CaseLedger!$A41="","",CaseLedger!F41)</x:f>
        <x:v>Jan 2026</x:v>
      </x:c>
      <x:c r="H41" t="str">
        <x:f>IF(CaseLedger!$A41="","",CaseLedger!Q41)</x:f>
        <x:v>Mallawan UP</x:v>
      </x:c>
      <x:c r="I41" t="str">
        <x:f>IF(CaseLedger!$A41="","",CaseLedger!R41)</x:f>
        <x:v>₹10,000–₹15,000</x:v>
      </x:c>
      <x:c r="J41" t="str">
        <x:f>IF(CaseLedger!$A41="","",CaseLedger!S41)</x:f>
        <x:v>A verified recipient/family needed support related to tools / equipment.</x:v>
      </x:c>
      <x:c r="K41" t="str">
        <x:f>IF(CaseLedger!$A41="","",CaseLedger!T41)</x:f>
        <x:v>Humanitarians supported the case through Sadaqah funds for support for deep freezer.</x:v>
      </x:c>
      <x:c r="L41" t="str">
        <x:f>IF(CaseLedger!$A41="","",CaseLedger!U41)</x:f>
        <x:v>Outcome/update should be added only after verified follow-up.</x:v>
      </x:c>
      <x:c r="M41" t="str">
        <x:f>IF(CaseLedger!$A41="","",CaseLedger!V41)</x:f>
        <x:v>Add follow-up notes after checking with the verification team.</x:v>
      </x:c>
      <x:c r="N41" t="str">
        <x:f>IF(CaseLedger!$A41="","",CaseLedger!W41)</x:f>
        <x:v>Add a real quote only with consent; do not publish this placeholder as a recipient quote.</x:v>
      </x:c>
      <x:c r="O41" t="str">
        <x:f>IF(CaseLedger!$A41="","",CaseLedger!X41)</x:f>
        <x:v>Anonymized public summary; no full name, phone, address, ID, bank details, or donor identity included.</x:v>
      </x:c>
      <x:c r="P41" t="str">
        <x:f>IF(CaseLedger!$A41="","",CaseLedger!E41)</x:f>
        <x:v>TRUE</x:v>
      </x:c>
      <x:c r="Q41" t="str">
        <x:f>IF(CaseLedger!$A41="","",CaseLedger!C41)</x:f>
        <x:v>No</x:v>
      </x:c>
      <x:c r="R41" t="str">
        <x:f>IF(CaseLedger!$A41="","",CaseLedger!D41)</x:f>
        <x:v>Draft</x:v>
      </x:c>
      <x:c r="S41" t="str">
        <x:f>IFERROR(IF(CaseLedger!$A41="","",CaseLedger!Y41),"")</x:f>
      </x:c>
      <x:c r="T41" t="str">
        <x:f>IFERROR(IF(CaseLedger!$A41="","",CaseLedger!Z41),"")</x:f>
        <x:v>Anonymized Humanitarians case image 1 for HUM-040</x:v>
      </x:c>
      <x:c r="U41" t="str">
        <x:f>IFERROR(IF(CaseLedger!$A41="","",CaseLedger!AA41),"")</x:f>
        <x:v>Before/support context image - add only after consent.</x:v>
      </x:c>
      <x:c r="V41" t="str">
        <x:f>IFERROR(IF(CaseLedger!$A41="","",CaseLedger!AB41),"")</x:f>
      </x:c>
      <x:c r="W41" t="str">
        <x:f>IFERROR(IF(CaseLedger!$A41="","",CaseLedger!AC41),"")</x:f>
        <x:v>Anonymized Humanitarians case image 2 for HUM-040</x:v>
      </x:c>
      <x:c r="X41" t="str">
        <x:f>IFERROR(IF(CaseLedger!$A41="","",CaseLedger!AD41),"")</x:f>
        <x:v>Support/equipment image - add only after consent.</x:v>
      </x:c>
      <x:c r="Y41" t="str">
        <x:f>IFERROR(IF(CaseLedger!$A41="","",CaseLedger!AE41),"")</x:f>
      </x:c>
      <x:c r="Z41" t="str">
        <x:f>IFERROR(IF(CaseLedger!$A41="","",CaseLedger!AF41),"")</x:f>
        <x:v>Anonymized Humanitarians case image 3 for HUM-040</x:v>
      </x:c>
      <x:c r="AA41" t="str">
        <x:f>IFERROR(IF(CaseLedger!$A41="","",CaseLedger!AG41),"")</x:f>
        <x:v>Outcome/follow-up image - add only after consent.</x:v>
      </x:c>
      <x:c r="AB41" t="str">
        <x:f>IFERROR(IF(CaseLedger!$A41="","",CaseLedger!AH41),"")</x:f>
        <x:v>Pending consent</x:v>
      </x:c>
      <x:c r="AC41" t="str">
        <x:f>IFERROR(IF(CaseLedger!$A41="","",CaseLedger!AI41),"")</x:f>
        <x:v>Paste public Google Drive image URLs only after recipient consent and privacy review.</x:v>
      </x:c>
    </x:row>
    <x:row r="42">
      <x:c r="A42" t="str">
        <x:f>IF(CaseLedger!$A42="","",CaseLedger!A42)</x:f>
        <x:v>HUM-041</x:v>
      </x:c>
      <x:c r="B42" t="str">
        <x:f>IF(CaseLedger!$A42="","",CaseLedger!I42)</x:f>
        <x:v>Support for additional items to Footwear vendor</x:v>
      </x:c>
      <x:c r="C42" t="str">
        <x:f>IF(CaseLedger!$A42="","",CaseLedger!J42)</x:f>
        <x:v>Anonymized case HUM-041</x:v>
      </x:c>
      <x:c r="D42" t="str">
        <x:f>IF(CaseLedger!$A42="","",CaseLedger!K42)</x:f>
        <x:v>Livelihood</x:v>
      </x:c>
      <x:c r="E42" t="str">
        <x:f>IF(CaseLedger!$A42="","",CaseLedger!L42)</x:f>
        <x:v>Shop / business inventory</x:v>
      </x:c>
      <x:c r="F42" t="str">
        <x:f>IF(CaseLedger!$A42="","",CaseLedger!P42)</x:f>
        <x:v>Sadaqah</x:v>
      </x:c>
      <x:c r="G42" t="str">
        <x:f>IF(CaseLedger!$A42="","",CaseLedger!F42)</x:f>
        <x:v>Jan 2026</x:v>
      </x:c>
      <x:c r="H42" t="str">
        <x:f>IF(CaseLedger!$A42="","",CaseLedger!Q42)</x:f>
        <x:v>Mallawan UP</x:v>
      </x:c>
      <x:c r="I42" t="str">
        <x:f>IF(CaseLedger!$A42="","",CaseLedger!R42)</x:f>
        <x:v>₹10,000–₹15,000</x:v>
      </x:c>
      <x:c r="J42" t="str">
        <x:f>IF(CaseLedger!$A42="","",CaseLedger!S42)</x:f>
        <x:v>A verified recipient/family needed support related to shop / business inventory.</x:v>
      </x:c>
      <x:c r="K42" t="str">
        <x:f>IF(CaseLedger!$A42="","",CaseLedger!T42)</x:f>
        <x:v>Humanitarians supported the case through Sadaqah funds for support for additional items to footwear vendor.</x:v>
      </x:c>
      <x:c r="L42" t="str">
        <x:f>IF(CaseLedger!$A42="","",CaseLedger!U42)</x:f>
        <x:v>Outcome/update should be added only after verified follow-up.</x:v>
      </x:c>
      <x:c r="M42" t="str">
        <x:f>IF(CaseLedger!$A42="","",CaseLedger!V42)</x:f>
        <x:v>Add follow-up notes after checking with the verification team.</x:v>
      </x:c>
      <x:c r="N42" t="str">
        <x:f>IF(CaseLedger!$A42="","",CaseLedger!W42)</x:f>
        <x:v>Add a real quote only with consent; do not publish this placeholder as a recipient quote.</x:v>
      </x:c>
      <x:c r="O42" t="str">
        <x:f>IF(CaseLedger!$A42="","",CaseLedger!X42)</x:f>
        <x:v>Anonymized public summary; no full name, phone, address, ID, bank details, or donor identity included.</x:v>
      </x:c>
      <x:c r="P42" t="str">
        <x:f>IF(CaseLedger!$A42="","",CaseLedger!E42)</x:f>
        <x:v>TRUE</x:v>
      </x:c>
      <x:c r="Q42" t="str">
        <x:f>IF(CaseLedger!$A42="","",CaseLedger!C42)</x:f>
        <x:v>No</x:v>
      </x:c>
      <x:c r="R42" t="str">
        <x:f>IF(CaseLedger!$A42="","",CaseLedger!D42)</x:f>
        <x:v>Draft</x:v>
      </x:c>
      <x:c r="S42" t="str">
        <x:f>IFERROR(IF(CaseLedger!$A42="","",CaseLedger!Y42),"")</x:f>
      </x:c>
      <x:c r="T42" t="str">
        <x:f>IFERROR(IF(CaseLedger!$A42="","",CaseLedger!Z42),"")</x:f>
        <x:v>Anonymized Humanitarians case image 1 for HUM-041</x:v>
      </x:c>
      <x:c r="U42" t="str">
        <x:f>IFERROR(IF(CaseLedger!$A42="","",CaseLedger!AA42),"")</x:f>
        <x:v>Before/support context image - add only after consent.</x:v>
      </x:c>
      <x:c r="V42" t="str">
        <x:f>IFERROR(IF(CaseLedger!$A42="","",CaseLedger!AB42),"")</x:f>
      </x:c>
      <x:c r="W42" t="str">
        <x:f>IFERROR(IF(CaseLedger!$A42="","",CaseLedger!AC42),"")</x:f>
        <x:v>Anonymized Humanitarians case image 2 for HUM-041</x:v>
      </x:c>
      <x:c r="X42" t="str">
        <x:f>IFERROR(IF(CaseLedger!$A42="","",CaseLedger!AD42),"")</x:f>
        <x:v>Support/equipment image - add only after consent.</x:v>
      </x:c>
      <x:c r="Y42" t="str">
        <x:f>IFERROR(IF(CaseLedger!$A42="","",CaseLedger!AE42),"")</x:f>
      </x:c>
      <x:c r="Z42" t="str">
        <x:f>IFERROR(IF(CaseLedger!$A42="","",CaseLedger!AF42),"")</x:f>
        <x:v>Anonymized Humanitarians case image 3 for HUM-041</x:v>
      </x:c>
      <x:c r="AA42" t="str">
        <x:f>IFERROR(IF(CaseLedger!$A42="","",CaseLedger!AG42),"")</x:f>
        <x:v>Outcome/follow-up image - add only after consent.</x:v>
      </x:c>
      <x:c r="AB42" t="str">
        <x:f>IFERROR(IF(CaseLedger!$A42="","",CaseLedger!AH42),"")</x:f>
        <x:v>Pending consent</x:v>
      </x:c>
      <x:c r="AC42" t="str">
        <x:f>IFERROR(IF(CaseLedger!$A42="","",CaseLedger!AI42),"")</x:f>
        <x:v>Paste public Google Drive image URLs only after recipient consent and privacy review.</x:v>
      </x:c>
    </x:row>
    <x:row r="43">
      <x:c r="A43" t="str">
        <x:f>IF(CaseLedger!$A43="","",CaseLedger!A43)</x:f>
        <x:v>HUM-042</x:v>
      </x:c>
      <x:c r="B43" t="str">
        <x:f>IF(CaseLedger!$A43="","",CaseLedger!I43)</x:f>
        <x:v>Educational Support</x:v>
      </x:c>
      <x:c r="C43" t="str">
        <x:f>IF(CaseLedger!$A43="","",CaseLedger!J43)</x:f>
        <x:v>Anonymized case HUM-042</x:v>
      </x:c>
      <x:c r="D43" t="str">
        <x:f>IF(CaseLedger!$A43="","",CaseLedger!K43)</x:f>
        <x:v>Skill Sponsorship</x:v>
      </x:c>
      <x:c r="E43" t="str">
        <x:f>IF(CaseLedger!$A43="","",CaseLedger!L43)</x:f>
        <x:v>Education / course sponsorship</x:v>
      </x:c>
      <x:c r="F43" t="str">
        <x:f>IF(CaseLedger!$A43="","",CaseLedger!P43)</x:f>
        <x:v>Sadaqah</x:v>
      </x:c>
      <x:c r="G43" t="str">
        <x:f>IF(CaseLedger!$A43="","",CaseLedger!F43)</x:f>
        <x:v>Mar 2026</x:v>
      </x:c>
      <x:c r="H43" t="str">
        <x:f>IF(CaseLedger!$A43="","",CaseLedger!Q43)</x:f>
        <x:v>Location withheld</x:v>
      </x:c>
      <x:c r="I43" t="str">
        <x:f>IF(CaseLedger!$A43="","",CaseLedger!R43)</x:f>
        <x:v>₹10,000–₹15,000</x:v>
      </x:c>
      <x:c r="J43" t="str">
        <x:f>IF(CaseLedger!$A43="","",CaseLedger!S43)</x:f>
        <x:v>A verified recipient/family needed support related to education / course sponsorship.</x:v>
      </x:c>
      <x:c r="K43" t="str">
        <x:f>IF(CaseLedger!$A43="","",CaseLedger!T43)</x:f>
        <x:v>Humanitarians supported the case through Sadaqah funds for educational support.</x:v>
      </x:c>
      <x:c r="L43" t="str">
        <x:f>IF(CaseLedger!$A43="","",CaseLedger!U43)</x:f>
        <x:v>Outcome/update should be added only after verified follow-up.</x:v>
      </x:c>
      <x:c r="M43" t="str">
        <x:f>IF(CaseLedger!$A43="","",CaseLedger!V43)</x:f>
        <x:v>Add follow-up notes after checking with the verification team.</x:v>
      </x:c>
      <x:c r="N43" t="str">
        <x:f>IF(CaseLedger!$A43="","",CaseLedger!W43)</x:f>
        <x:v>Add a real quote only with consent; do not publish this placeholder as a recipient quote.</x:v>
      </x:c>
      <x:c r="O43" t="str">
        <x:f>IF(CaseLedger!$A43="","",CaseLedger!X43)</x:f>
        <x:v>Anonymized public summary; no full name, phone, address, ID, bank details, or donor identity included.</x:v>
      </x:c>
      <x:c r="P43" t="str">
        <x:f>IF(CaseLedger!$A43="","",CaseLedger!E43)</x:f>
        <x:v>FALSE</x:v>
      </x:c>
      <x:c r="Q43" t="str">
        <x:f>IF(CaseLedger!$A43="","",CaseLedger!C43)</x:f>
        <x:v>No</x:v>
      </x:c>
      <x:c r="R43" t="str">
        <x:f>IF(CaseLedger!$A43="","",CaseLedger!D43)</x:f>
        <x:v>Archive</x:v>
      </x:c>
      <x:c r="S43" t="str">
        <x:f>IFERROR(IF(CaseLedger!$A43="","",CaseLedger!Y43),"")</x:f>
      </x:c>
      <x:c r="T43" t="str">
        <x:f>IFERROR(IF(CaseLedger!$A43="","",CaseLedger!Z43),"")</x:f>
        <x:v>Anonymized Humanitarians case image 1 for HUM-042</x:v>
      </x:c>
      <x:c r="U43" t="str">
        <x:f>IFERROR(IF(CaseLedger!$A43="","",CaseLedger!AA43),"")</x:f>
        <x:v>Before/support context image - add only after consent.</x:v>
      </x:c>
      <x:c r="V43" t="str">
        <x:f>IFERROR(IF(CaseLedger!$A43="","",CaseLedger!AB43),"")</x:f>
      </x:c>
      <x:c r="W43" t="str">
        <x:f>IFERROR(IF(CaseLedger!$A43="","",CaseLedger!AC43),"")</x:f>
        <x:v>Anonymized Humanitarians case image 2 for HUM-042</x:v>
      </x:c>
      <x:c r="X43" t="str">
        <x:f>IFERROR(IF(CaseLedger!$A43="","",CaseLedger!AD43),"")</x:f>
        <x:v>Support/equipment image - add only after consent.</x:v>
      </x:c>
      <x:c r="Y43" t="str">
        <x:f>IFERROR(IF(CaseLedger!$A43="","",CaseLedger!AE43),"")</x:f>
      </x:c>
      <x:c r="Z43" t="str">
        <x:f>IFERROR(IF(CaseLedger!$A43="","",CaseLedger!AF43),"")</x:f>
        <x:v>Anonymized Humanitarians case image 3 for HUM-042</x:v>
      </x:c>
      <x:c r="AA43" t="str">
        <x:f>IFERROR(IF(CaseLedger!$A43="","",CaseLedger!AG43),"")</x:f>
        <x:v>Outcome/follow-up image - add only after consent.</x:v>
      </x:c>
      <x:c r="AB43" t="str">
        <x:f>IFERROR(IF(CaseLedger!$A43="","",CaseLedger!AH43),"")</x:f>
        <x:v>Pending consent</x:v>
      </x:c>
      <x:c r="AC43" t="str">
        <x:f>IFERROR(IF(CaseLedger!$A43="","",CaseLedger!AI43),"")</x:f>
        <x:v>Paste public Google Drive image URLs only after recipient consent and privacy review.</x:v>
      </x:c>
    </x:row>
    <x:row r="44">
      <x:c r="A44" t="str">
        <x:f>IF(CaseLedger!$A44="","",CaseLedger!A44)</x:f>
        <x:v>HUM-043</x:v>
      </x:c>
      <x:c r="B44" t="str">
        <x:f>IF(CaseLedger!$A44="","",CaseLedger!I44)</x:f>
        <x:v>Support for T shirt Printing and Tagging Machine</x:v>
      </x:c>
      <x:c r="C44" t="str">
        <x:f>IF(CaseLedger!$A44="","",CaseLedger!J44)</x:f>
        <x:v>Anonymized case HUM-043</x:v>
      </x:c>
      <x:c r="D44" t="str">
        <x:f>IF(CaseLedger!$A44="","",CaseLedger!K44)</x:f>
        <x:v>Livelihood</x:v>
      </x:c>
      <x:c r="E44" t="str">
        <x:f>IF(CaseLedger!$A44="","",CaseLedger!L44)</x:f>
        <x:v>Tools / equipment</x:v>
      </x:c>
      <x:c r="F44" t="str">
        <x:f>IF(CaseLedger!$A44="","",CaseLedger!P44)</x:f>
        <x:v>Sadaqah</x:v>
      </x:c>
      <x:c r="G44" t="str">
        <x:f>IF(CaseLedger!$A44="","",CaseLedger!F44)</x:f>
        <x:v>Mar 2026</x:v>
      </x:c>
      <x:c r="H44" t="str">
        <x:f>IF(CaseLedger!$A44="","",CaseLedger!Q44)</x:f>
        <x:v>Location withheld</x:v>
      </x:c>
      <x:c r="I44" t="str">
        <x:f>IF(CaseLedger!$A44="","",CaseLedger!R44)</x:f>
        <x:v>₹10,000–₹15,000</x:v>
      </x:c>
      <x:c r="J44" t="str">
        <x:f>IF(CaseLedger!$A44="","",CaseLedger!S44)</x:f>
        <x:v>A verified recipient/family needed support related to tools / equipment.</x:v>
      </x:c>
      <x:c r="K44" t="str">
        <x:f>IF(CaseLedger!$A44="","",CaseLedger!T44)</x:f>
        <x:v>Humanitarians supported the case through Sadaqah funds for support for t shirt printing and tagging machine.</x:v>
      </x:c>
      <x:c r="L44" t="str">
        <x:f>IF(CaseLedger!$A44="","",CaseLedger!U44)</x:f>
        <x:v>Outcome/update should be added only after verified follow-up.</x:v>
      </x:c>
      <x:c r="M44" t="str">
        <x:f>IF(CaseLedger!$A44="","",CaseLedger!V44)</x:f>
        <x:v>Add follow-up notes after checking with the verification team.</x:v>
      </x:c>
      <x:c r="N44" t="str">
        <x:f>IF(CaseLedger!$A44="","",CaseLedger!W44)</x:f>
        <x:v>Add a real quote only with consent; do not publish this placeholder as a recipient quote.</x:v>
      </x:c>
      <x:c r="O44" t="str">
        <x:f>IF(CaseLedger!$A44="","",CaseLedger!X44)</x:f>
        <x:v>Anonymized public summary; no full name, phone, address, ID, bank details, or donor identity included.</x:v>
      </x:c>
      <x:c r="P44" t="str">
        <x:f>IF(CaseLedger!$A44="","",CaseLedger!E44)</x:f>
        <x:v>TRUE</x:v>
      </x:c>
      <x:c r="Q44" t="str">
        <x:f>IF(CaseLedger!$A44="","",CaseLedger!C44)</x:f>
        <x:v>No</x:v>
      </x:c>
      <x:c r="R44" t="str">
        <x:f>IF(CaseLedger!$A44="","",CaseLedger!D44)</x:f>
        <x:v>Draft</x:v>
      </x:c>
      <x:c r="S44" t="str">
        <x:f>IFERROR(IF(CaseLedger!$A44="","",CaseLedger!Y44),"")</x:f>
      </x:c>
      <x:c r="T44" t="str">
        <x:f>IFERROR(IF(CaseLedger!$A44="","",CaseLedger!Z44),"")</x:f>
        <x:v>Anonymized Humanitarians case image 1 for HUM-043</x:v>
      </x:c>
      <x:c r="U44" t="str">
        <x:f>IFERROR(IF(CaseLedger!$A44="","",CaseLedger!AA44),"")</x:f>
        <x:v>Before/support context image - add only after consent.</x:v>
      </x:c>
      <x:c r="V44" t="str">
        <x:f>IFERROR(IF(CaseLedger!$A44="","",CaseLedger!AB44),"")</x:f>
      </x:c>
      <x:c r="W44" t="str">
        <x:f>IFERROR(IF(CaseLedger!$A44="","",CaseLedger!AC44),"")</x:f>
        <x:v>Anonymized Humanitarians case image 2 for HUM-043</x:v>
      </x:c>
      <x:c r="X44" t="str">
        <x:f>IFERROR(IF(CaseLedger!$A44="","",CaseLedger!AD44),"")</x:f>
        <x:v>Support/equipment image - add only after consent.</x:v>
      </x:c>
      <x:c r="Y44" t="str">
        <x:f>IFERROR(IF(CaseLedger!$A44="","",CaseLedger!AE44),"")</x:f>
      </x:c>
      <x:c r="Z44" t="str">
        <x:f>IFERROR(IF(CaseLedger!$A44="","",CaseLedger!AF44),"")</x:f>
        <x:v>Anonymized Humanitarians case image 3 for HUM-043</x:v>
      </x:c>
      <x:c r="AA44" t="str">
        <x:f>IFERROR(IF(CaseLedger!$A44="","",CaseLedger!AG44),"")</x:f>
        <x:v>Outcome/follow-up image - add only after consent.</x:v>
      </x:c>
      <x:c r="AB44" t="str">
        <x:f>IFERROR(IF(CaseLedger!$A44="","",CaseLedger!AH44),"")</x:f>
        <x:v>Pending consent</x:v>
      </x:c>
      <x:c r="AC44" t="str">
        <x:f>IFERROR(IF(CaseLedger!$A44="","",CaseLedger!AI44),"")</x:f>
        <x:v>Paste public Google Drive image URLs only after recipient consent and privacy review.</x:v>
      </x:c>
    </x:row>
    <x:row r="45">
      <x:c r="A45" t="str">
        <x:f>IF(CaseLedger!$A45="","",CaseLedger!A45)</x:f>
        <x:v>HUM-044</x:v>
      </x:c>
      <x:c r="B45" t="str">
        <x:f>IF(CaseLedger!$A45="","",CaseLedger!I45)</x:f>
        <x:v>Support for Widow</x:v>
      </x:c>
      <x:c r="C45" t="str">
        <x:f>IF(CaseLedger!$A45="","",CaseLedger!J45)</x:f>
        <x:v>Anonymized case HUM-044</x:v>
      </x:c>
      <x:c r="D45" t="str">
        <x:f>IF(CaseLedger!$A45="","",CaseLedger!K45)</x:f>
        <x:v>Emergency Support</x:v>
      </x:c>
      <x:c r="E45" t="str">
        <x:f>IF(CaseLedger!$A45="","",CaseLedger!L45)</x:f>
        <x:v>Relief / emergency support</x:v>
      </x:c>
      <x:c r="F45" t="str">
        <x:f>IF(CaseLedger!$A45="","",CaseLedger!P45)</x:f>
        <x:v>Zakat</x:v>
      </x:c>
      <x:c r="G45" t="str">
        <x:f>IF(CaseLedger!$A45="","",CaseLedger!F45)</x:f>
        <x:v>Mar 2026</x:v>
      </x:c>
      <x:c r="H45" t="str">
        <x:f>IF(CaseLedger!$A45="","",CaseLedger!Q45)</x:f>
        <x:v>Location withheld</x:v>
      </x:c>
      <x:c r="I45" t="str">
        <x:f>IF(CaseLedger!$A45="","",CaseLedger!R45)</x:f>
        <x:v>₹15,000–₹25,000</x:v>
      </x:c>
      <x:c r="J45" t="str">
        <x:f>IF(CaseLedger!$A45="","",CaseLedger!S45)</x:f>
        <x:v>A verified recipient/family needed support related to relief / emergency support.</x:v>
      </x:c>
      <x:c r="K45" t="str">
        <x:f>IF(CaseLedger!$A45="","",CaseLedger!T45)</x:f>
        <x:v>Humanitarians supported the case through Zakat funds for support for widow.</x:v>
      </x:c>
      <x:c r="L45" t="str">
        <x:f>IF(CaseLedger!$A45="","",CaseLedger!U45)</x:f>
        <x:v>Outcome/update should be added only after verified follow-up.</x:v>
      </x:c>
      <x:c r="M45" t="str">
        <x:f>IF(CaseLedger!$A45="","",CaseLedger!V45)</x:f>
        <x:v>Add follow-up notes after checking with the verification team.</x:v>
      </x:c>
      <x:c r="N45" t="str">
        <x:f>IF(CaseLedger!$A45="","",CaseLedger!W45)</x:f>
        <x:v>Add a real quote only with consent; do not publish this placeholder as a recipient quote.</x:v>
      </x:c>
      <x:c r="O45" t="str">
        <x:f>IF(CaseLedger!$A45="","",CaseLedger!X45)</x:f>
        <x:v>Anonymized public summary; no full name, phone, address, ID, bank details, or donor identity included.</x:v>
      </x:c>
      <x:c r="P45" t="str">
        <x:f>IF(CaseLedger!$A45="","",CaseLedger!E45)</x:f>
        <x:v>TRUE</x:v>
      </x:c>
      <x:c r="Q45" t="str">
        <x:f>IF(CaseLedger!$A45="","",CaseLedger!C45)</x:f>
        <x:v>No</x:v>
      </x:c>
      <x:c r="R45" t="str">
        <x:f>IF(CaseLedger!$A45="","",CaseLedger!D45)</x:f>
        <x:v>Draft</x:v>
      </x:c>
      <x:c r="S45" t="str">
        <x:f>IFERROR(IF(CaseLedger!$A45="","",CaseLedger!Y45),"")</x:f>
      </x:c>
      <x:c r="T45" t="str">
        <x:f>IFERROR(IF(CaseLedger!$A45="","",CaseLedger!Z45),"")</x:f>
        <x:v>Anonymized Humanitarians case image 1 for HUM-044</x:v>
      </x:c>
      <x:c r="U45" t="str">
        <x:f>IFERROR(IF(CaseLedger!$A45="","",CaseLedger!AA45),"")</x:f>
        <x:v>Before/support context image - add only after consent.</x:v>
      </x:c>
      <x:c r="V45" t="str">
        <x:f>IFERROR(IF(CaseLedger!$A45="","",CaseLedger!AB45),"")</x:f>
      </x:c>
      <x:c r="W45" t="str">
        <x:f>IFERROR(IF(CaseLedger!$A45="","",CaseLedger!AC45),"")</x:f>
        <x:v>Anonymized Humanitarians case image 2 for HUM-044</x:v>
      </x:c>
      <x:c r="X45" t="str">
        <x:f>IFERROR(IF(CaseLedger!$A45="","",CaseLedger!AD45),"")</x:f>
        <x:v>Support/equipment image - add only after consent.</x:v>
      </x:c>
      <x:c r="Y45" t="str">
        <x:f>IFERROR(IF(CaseLedger!$A45="","",CaseLedger!AE45),"")</x:f>
      </x:c>
      <x:c r="Z45" t="str">
        <x:f>IFERROR(IF(CaseLedger!$A45="","",CaseLedger!AF45),"")</x:f>
        <x:v>Anonymized Humanitarians case image 3 for HUM-044</x:v>
      </x:c>
      <x:c r="AA45" t="str">
        <x:f>IFERROR(IF(CaseLedger!$A45="","",CaseLedger!AG45),"")</x:f>
        <x:v>Outcome/follow-up image - add only after consent.</x:v>
      </x:c>
      <x:c r="AB45" t="str">
        <x:f>IFERROR(IF(CaseLedger!$A45="","",CaseLedger!AH45),"")</x:f>
        <x:v>Pending consent</x:v>
      </x:c>
      <x:c r="AC45" t="str">
        <x:f>IFERROR(IF(CaseLedger!$A45="","",CaseLedger!AI45),"")</x:f>
        <x:v>Paste public Google Drive image URLs only after recipient consent and privacy review.</x:v>
      </x:c>
    </x:row>
    <x:row r="46">
      <x:c r="A46" t="str">
        <x:f>IF(CaseLedger!$A46="","",CaseLedger!A46)</x:f>
        <x:v>HUM-045</x:v>
      </x:c>
      <x:c r="B46" t="str">
        <x:f>IF(CaseLedger!$A46="","",CaseLedger!I46)</x:f>
        <x:v>Support for increasing stock of gas cylinders</x:v>
      </x:c>
      <x:c r="C46" t="str">
        <x:f>IF(CaseLedger!$A46="","",CaseLedger!J46)</x:f>
        <x:v>Anonymized case HUM-045</x:v>
      </x:c>
      <x:c r="D46" t="str">
        <x:f>IF(CaseLedger!$A46="","",CaseLedger!K46)</x:f>
        <x:v>Livelihood</x:v>
      </x:c>
      <x:c r="E46" t="str">
        <x:f>IF(CaseLedger!$A46="","",CaseLedger!L46)</x:f>
        <x:v>Tools / equipment</x:v>
      </x:c>
      <x:c r="F46" t="str">
        <x:f>IF(CaseLedger!$A46="","",CaseLedger!P46)</x:f>
        <x:v>Zakat</x:v>
      </x:c>
      <x:c r="G46" t="str">
        <x:f>IF(CaseLedger!$A46="","",CaseLedger!F46)</x:f>
        <x:v>Mar 2026</x:v>
      </x:c>
      <x:c r="H46" t="str">
        <x:f>IF(CaseLedger!$A46="","",CaseLedger!Q46)</x:f>
        <x:v>Location withheld</x:v>
      </x:c>
      <x:c r="I46" t="str">
        <x:f>IF(CaseLedger!$A46="","",CaseLedger!R46)</x:f>
        <x:v>₹15,000–₹25,000</x:v>
      </x:c>
      <x:c r="J46" t="str">
        <x:f>IF(CaseLedger!$A46="","",CaseLedger!S46)</x:f>
        <x:v>A verified recipient/family needed support related to tools / equipment.</x:v>
      </x:c>
      <x:c r="K46" t="str">
        <x:f>IF(CaseLedger!$A46="","",CaseLedger!T46)</x:f>
        <x:v>Humanitarians supported the case through Zakat funds for support for increasing stock of gas cylinders.</x:v>
      </x:c>
      <x:c r="L46" t="str">
        <x:f>IF(CaseLedger!$A46="","",CaseLedger!U46)</x:f>
        <x:v>Outcome/update should be added only after verified follow-up.</x:v>
      </x:c>
      <x:c r="M46" t="str">
        <x:f>IF(CaseLedger!$A46="","",CaseLedger!V46)</x:f>
        <x:v>Add follow-up notes after checking with the verification team.</x:v>
      </x:c>
      <x:c r="N46" t="str">
        <x:f>IF(CaseLedger!$A46="","",CaseLedger!W46)</x:f>
        <x:v>Add a real quote only with consent; do not publish this placeholder as a recipient quote.</x:v>
      </x:c>
      <x:c r="O46" t="str">
        <x:f>IF(CaseLedger!$A46="","",CaseLedger!X46)</x:f>
        <x:v>Anonymized public summary; no full name, phone, address, ID, bank details, or donor identity included.</x:v>
      </x:c>
      <x:c r="P46" t="str">
        <x:f>IF(CaseLedger!$A46="","",CaseLedger!E46)</x:f>
        <x:v>TRUE</x:v>
      </x:c>
      <x:c r="Q46" t="str">
        <x:f>IF(CaseLedger!$A46="","",CaseLedger!C46)</x:f>
        <x:v>No</x:v>
      </x:c>
      <x:c r="R46" t="str">
        <x:f>IF(CaseLedger!$A46="","",CaseLedger!D46)</x:f>
        <x:v>Draft</x:v>
      </x:c>
      <x:c r="S46" t="str">
        <x:f>IFERROR(IF(CaseLedger!$A46="","",CaseLedger!Y46),"")</x:f>
      </x:c>
      <x:c r="T46" t="str">
        <x:f>IFERROR(IF(CaseLedger!$A46="","",CaseLedger!Z46),"")</x:f>
        <x:v>Anonymized Humanitarians case image 1 for HUM-045</x:v>
      </x:c>
      <x:c r="U46" t="str">
        <x:f>IFERROR(IF(CaseLedger!$A46="","",CaseLedger!AA46),"")</x:f>
        <x:v>Before/support context image - add only after consent.</x:v>
      </x:c>
      <x:c r="V46" t="str">
        <x:f>IFERROR(IF(CaseLedger!$A46="","",CaseLedger!AB46),"")</x:f>
      </x:c>
      <x:c r="W46" t="str">
        <x:f>IFERROR(IF(CaseLedger!$A46="","",CaseLedger!AC46),"")</x:f>
        <x:v>Anonymized Humanitarians case image 2 for HUM-045</x:v>
      </x:c>
      <x:c r="X46" t="str">
        <x:f>IFERROR(IF(CaseLedger!$A46="","",CaseLedger!AD46),"")</x:f>
        <x:v>Support/equipment image - add only after consent.</x:v>
      </x:c>
      <x:c r="Y46" t="str">
        <x:f>IFERROR(IF(CaseLedger!$A46="","",CaseLedger!AE46),"")</x:f>
      </x:c>
      <x:c r="Z46" t="str">
        <x:f>IFERROR(IF(CaseLedger!$A46="","",CaseLedger!AF46),"")</x:f>
        <x:v>Anonymized Humanitarians case image 3 for HUM-045</x:v>
      </x:c>
      <x:c r="AA46" t="str">
        <x:f>IFERROR(IF(CaseLedger!$A46="","",CaseLedger!AG46),"")</x:f>
        <x:v>Outcome/follow-up image - add only after consent.</x:v>
      </x:c>
      <x:c r="AB46" t="str">
        <x:f>IFERROR(IF(CaseLedger!$A46="","",CaseLedger!AH46),"")</x:f>
        <x:v>Pending consent</x:v>
      </x:c>
      <x:c r="AC46" t="str">
        <x:f>IFERROR(IF(CaseLedger!$A46="","",CaseLedger!AI46),"")</x:f>
        <x:v>Paste public Google Drive image URLs only after recipient consent and privacy review.</x:v>
      </x:c>
    </x:row>
    <x:row r="47">
      <x:c r="A47" t="str">
        <x:f>IF(CaseLedger!$A47="","",CaseLedger!A47)</x:f>
        <x:v>HUM-046</x:v>
      </x:c>
      <x:c r="B47" t="str">
        <x:f>IF(CaseLedger!$A47="","",CaseLedger!I47)</x:f>
        <x:v>Support for Masjid</x:v>
      </x:c>
      <x:c r="C47" t="str">
        <x:f>IF(CaseLedger!$A47="","",CaseLedger!J47)</x:f>
        <x:v>Anonymized case HUM-046</x:v>
      </x:c>
      <x:c r="D47" t="str">
        <x:f>IF(CaseLedger!$A47="","",CaseLedger!K47)</x:f>
        <x:v>Community Support</x:v>
      </x:c>
      <x:c r="E47" t="str">
        <x:f>IF(CaseLedger!$A47="","",CaseLedger!L47)</x:f>
        <x:v>Masjid / community support</x:v>
      </x:c>
      <x:c r="F47" t="str">
        <x:f>IF(CaseLedger!$A47="","",CaseLedger!P47)</x:f>
        <x:v>Sadaqah</x:v>
      </x:c>
      <x:c r="G47" t="str">
        <x:f>IF(CaseLedger!$A47="","",CaseLedger!F47)</x:f>
        <x:v>Apr 2026</x:v>
      </x:c>
      <x:c r="H47" t="str">
        <x:f>IF(CaseLedger!$A47="","",CaseLedger!Q47)</x:f>
        <x:v>Location withheld</x:v>
      </x:c>
      <x:c r="I47" t="str">
        <x:f>IF(CaseLedger!$A47="","",CaseLedger!R47)</x:f>
        <x:v>Under ₹5,000</x:v>
      </x:c>
      <x:c r="J47" t="str">
        <x:f>IF(CaseLedger!$A47="","",CaseLedger!S47)</x:f>
        <x:v>A verified recipient/family needed support related to masjid / community support.</x:v>
      </x:c>
      <x:c r="K47" t="str">
        <x:f>IF(CaseLedger!$A47="","",CaseLedger!T47)</x:f>
        <x:v>Humanitarians supported the case through Sadaqah funds for support for masjid.</x:v>
      </x:c>
      <x:c r="L47" t="str">
        <x:f>IF(CaseLedger!$A47="","",CaseLedger!U47)</x:f>
        <x:v>Outcome/update should be added only after verified follow-up.</x:v>
      </x:c>
      <x:c r="M47" t="str">
        <x:f>IF(CaseLedger!$A47="","",CaseLedger!V47)</x:f>
        <x:v>Add follow-up notes after checking with the verification team.</x:v>
      </x:c>
      <x:c r="N47" t="str">
        <x:f>IF(CaseLedger!$A47="","",CaseLedger!W47)</x:f>
        <x:v>Add a real quote only with consent; do not publish this placeholder as a recipient quote.</x:v>
      </x:c>
      <x:c r="O47" t="str">
        <x:f>IF(CaseLedger!$A47="","",CaseLedger!X47)</x:f>
        <x:v>Anonymized public summary; no full name, phone, address, ID, bank details, or donor identity included.</x:v>
      </x:c>
      <x:c r="P47" t="str">
        <x:f>IF(CaseLedger!$A47="","",CaseLedger!E47)</x:f>
        <x:v>FALSE</x:v>
      </x:c>
      <x:c r="Q47" t="str">
        <x:f>IF(CaseLedger!$A47="","",CaseLedger!C47)</x:f>
        <x:v>No</x:v>
      </x:c>
      <x:c r="R47" t="str">
        <x:f>IF(CaseLedger!$A47="","",CaseLedger!D47)</x:f>
        <x:v>Archive</x:v>
      </x:c>
      <x:c r="S47" t="str">
        <x:f>IFERROR(IF(CaseLedger!$A47="","",CaseLedger!Y47),"")</x:f>
      </x:c>
      <x:c r="T47" t="str">
        <x:f>IFERROR(IF(CaseLedger!$A47="","",CaseLedger!Z47),"")</x:f>
        <x:v>Anonymized Humanitarians case image 1 for HUM-046</x:v>
      </x:c>
      <x:c r="U47" t="str">
        <x:f>IFERROR(IF(CaseLedger!$A47="","",CaseLedger!AA47),"")</x:f>
        <x:v>Before/support context image - add only after consent.</x:v>
      </x:c>
      <x:c r="V47" t="str">
        <x:f>IFERROR(IF(CaseLedger!$A47="","",CaseLedger!AB47),"")</x:f>
      </x:c>
      <x:c r="W47" t="str">
        <x:f>IFERROR(IF(CaseLedger!$A47="","",CaseLedger!AC47),"")</x:f>
        <x:v>Anonymized Humanitarians case image 2 for HUM-046</x:v>
      </x:c>
      <x:c r="X47" t="str">
        <x:f>IFERROR(IF(CaseLedger!$A47="","",CaseLedger!AD47),"")</x:f>
        <x:v>Support/equipment image - add only after consent.</x:v>
      </x:c>
      <x:c r="Y47" t="str">
        <x:f>IFERROR(IF(CaseLedger!$A47="","",CaseLedger!AE47),"")</x:f>
      </x:c>
      <x:c r="Z47" t="str">
        <x:f>IFERROR(IF(CaseLedger!$A47="","",CaseLedger!AF47),"")</x:f>
        <x:v>Anonymized Humanitarians case image 3 for HUM-046</x:v>
      </x:c>
      <x:c r="AA47" t="str">
        <x:f>IFERROR(IF(CaseLedger!$A47="","",CaseLedger!AG47),"")</x:f>
        <x:v>Outcome/follow-up image - add only after consent.</x:v>
      </x:c>
      <x:c r="AB47" t="str">
        <x:f>IFERROR(IF(CaseLedger!$A47="","",CaseLedger!AH47),"")</x:f>
        <x:v>Pending consent</x:v>
      </x:c>
      <x:c r="AC47" t="str">
        <x:f>IFERROR(IF(CaseLedger!$A47="","",CaseLedger!AI47),"")</x:f>
        <x:v>Paste public Google Drive image URLs only after recipient consent and privacy review.</x:v>
      </x:c>
    </x:row>
    <x:row r="48">
      <x:c r="A48" t="str">
        <x:f>IF(CaseLedger!$A48="","",CaseLedger!A48)</x:f>
        <x:v>HUM-047</x:v>
      </x:c>
      <x:c r="B48" t="str">
        <x:f>IF(CaseLedger!$A48="","",CaseLedger!I48)</x:f>
        <x:v>Educational Support</x:v>
      </x:c>
      <x:c r="C48" t="str">
        <x:f>IF(CaseLedger!$A48="","",CaseLedger!J48)</x:f>
        <x:v>Anonymized case HUM-047</x:v>
      </x:c>
      <x:c r="D48" t="str">
        <x:f>IF(CaseLedger!$A48="","",CaseLedger!K48)</x:f>
        <x:v>Skill Sponsorship</x:v>
      </x:c>
      <x:c r="E48" t="str">
        <x:f>IF(CaseLedger!$A48="","",CaseLedger!L48)</x:f>
        <x:v>Education / course sponsorship</x:v>
      </x:c>
      <x:c r="F48" t="str">
        <x:f>IF(CaseLedger!$A48="","",CaseLedger!P48)</x:f>
        <x:v>Zakat</x:v>
      </x:c>
      <x:c r="G48" t="str">
        <x:f>IF(CaseLedger!$A48="","",CaseLedger!F48)</x:f>
        <x:v>Dec 2025-Apr 2026</x:v>
      </x:c>
      <x:c r="H48" t="str">
        <x:f>IF(CaseLedger!$A48="","",CaseLedger!Q48)</x:f>
        <x:v>Bihar</x:v>
      </x:c>
      <x:c r="I48" t="str">
        <x:f>IF(CaseLedger!$A48="","",CaseLedger!R48)</x:f>
        <x:v>₹15,000–₹25,000</x:v>
      </x:c>
      <x:c r="J48" t="str">
        <x:f>IF(CaseLedger!$A48="","",CaseLedger!S48)</x:f>
        <x:v>A verified recipient/family needed support related to education / course sponsorship.</x:v>
      </x:c>
      <x:c r="K48" t="str">
        <x:f>IF(CaseLedger!$A48="","",CaseLedger!T48)</x:f>
        <x:v>Humanitarians supported the case through Zakat funds for educational support.</x:v>
      </x:c>
      <x:c r="L48" t="str">
        <x:f>IF(CaseLedger!$A48="","",CaseLedger!U48)</x:f>
        <x:v>Outcome/update should be added only after verified follow-up.</x:v>
      </x:c>
      <x:c r="M48" t="str">
        <x:f>IF(CaseLedger!$A48="","",CaseLedger!V48)</x:f>
        <x:v>Add follow-up notes after checking with the verification team.</x:v>
      </x:c>
      <x:c r="N48" t="str">
        <x:f>IF(CaseLedger!$A48="","",CaseLedger!W48)</x:f>
        <x:v>Add a real quote only with consent; do not publish this placeholder as a recipient quote.</x:v>
      </x:c>
      <x:c r="O48" t="str">
        <x:f>IF(CaseLedger!$A48="","",CaseLedger!X48)</x:f>
        <x:v>Anonymized public summary; no full name, phone, address, ID, bank details, or donor identity included.</x:v>
      </x:c>
      <x:c r="P48" t="str">
        <x:f>IF(CaseLedger!$A48="","",CaseLedger!E48)</x:f>
        <x:v>FALSE</x:v>
      </x:c>
      <x:c r="Q48" t="str">
        <x:f>IF(CaseLedger!$A48="","",CaseLedger!C48)</x:f>
        <x:v>No</x:v>
      </x:c>
      <x:c r="R48" t="str">
        <x:f>IF(CaseLedger!$A48="","",CaseLedger!D48)</x:f>
        <x:v>Archive</x:v>
      </x:c>
      <x:c r="S48" t="str">
        <x:f>IFERROR(IF(CaseLedger!$A48="","",CaseLedger!Y48),"")</x:f>
      </x:c>
      <x:c r="T48" t="str">
        <x:f>IFERROR(IF(CaseLedger!$A48="","",CaseLedger!Z48),"")</x:f>
        <x:v>Anonymized Humanitarians case image 1 for HUM-047</x:v>
      </x:c>
      <x:c r="U48" t="str">
        <x:f>IFERROR(IF(CaseLedger!$A48="","",CaseLedger!AA48),"")</x:f>
        <x:v>Before/support context image - add only after consent.</x:v>
      </x:c>
      <x:c r="V48" t="str">
        <x:f>IFERROR(IF(CaseLedger!$A48="","",CaseLedger!AB48),"")</x:f>
      </x:c>
      <x:c r="W48" t="str">
        <x:f>IFERROR(IF(CaseLedger!$A48="","",CaseLedger!AC48),"")</x:f>
        <x:v>Anonymized Humanitarians case image 2 for HUM-047</x:v>
      </x:c>
      <x:c r="X48" t="str">
        <x:f>IFERROR(IF(CaseLedger!$A48="","",CaseLedger!AD48),"")</x:f>
        <x:v>Support/equipment image - add only after consent.</x:v>
      </x:c>
      <x:c r="Y48" t="str">
        <x:f>IFERROR(IF(CaseLedger!$A48="","",CaseLedger!AE48),"")</x:f>
      </x:c>
      <x:c r="Z48" t="str">
        <x:f>IFERROR(IF(CaseLedger!$A48="","",CaseLedger!AF48),"")</x:f>
        <x:v>Anonymized Humanitarians case image 3 for HUM-047</x:v>
      </x:c>
      <x:c r="AA48" t="str">
        <x:f>IFERROR(IF(CaseLedger!$A48="","",CaseLedger!AG48),"")</x:f>
        <x:v>Outcome/follow-up image - add only after consent.</x:v>
      </x:c>
      <x:c r="AB48" t="str">
        <x:f>IFERROR(IF(CaseLedger!$A48="","",CaseLedger!AH48),"")</x:f>
        <x:v>Pending consent</x:v>
      </x:c>
      <x:c r="AC48" t="str">
        <x:f>IFERROR(IF(CaseLedger!$A48="","",CaseLedger!AI48),"")</x:f>
        <x:v>Paste public Google Drive image URLs only after recipient consent and privacy review.</x:v>
      </x:c>
    </x:row>
    <x:row r="49">
      <x:c r="A49" t="str">
        <x:f>IF(CaseLedger!$A49="","",CaseLedger!A49)</x:f>
        <x:v>HUM-048</x:v>
      </x:c>
      <x:c r="B49" t="str">
        <x:f>IF(CaseLedger!$A49="","",CaseLedger!I49)</x:f>
        <x:v>Electric Sewing Machine</x:v>
      </x:c>
      <x:c r="C49" t="str">
        <x:f>IF(CaseLedger!$A49="","",CaseLedger!J49)</x:f>
        <x:v>Anonymized case HUM-048</x:v>
      </x:c>
      <x:c r="D49" t="str">
        <x:f>IF(CaseLedger!$A49="","",CaseLedger!K49)</x:f>
        <x:v>Livelihood</x:v>
      </x:c>
      <x:c r="E49" t="str">
        <x:f>IF(CaseLedger!$A49="","",CaseLedger!L49)</x:f>
        <x:v>Sewing / tailoring</x:v>
      </x:c>
      <x:c r="F49" t="str">
        <x:f>IF(CaseLedger!$A49="","",CaseLedger!P49)</x:f>
        <x:v>Zakat</x:v>
      </x:c>
      <x:c r="G49" t="str">
        <x:f>IF(CaseLedger!$A49="","",CaseLedger!F49)</x:f>
        <x:v>Dec 2025-Apr 2026</x:v>
      </x:c>
      <x:c r="H49" t="str">
        <x:f>IF(CaseLedger!$A49="","",CaseLedger!Q49)</x:f>
        <x:v>Basti, UP</x:v>
      </x:c>
      <x:c r="I49" t="str">
        <x:f>IF(CaseLedger!$A49="","",CaseLedger!R49)</x:f>
        <x:v>₹5,000–₹10,000</x:v>
      </x:c>
      <x:c r="J49" t="str">
        <x:f>IF(CaseLedger!$A49="","",CaseLedger!S49)</x:f>
        <x:v>A verified recipient/family needed support related to sewing / tailoring.</x:v>
      </x:c>
      <x:c r="K49" t="str">
        <x:f>IF(CaseLedger!$A49="","",CaseLedger!T49)</x:f>
        <x:v>Humanitarians supported the case through Zakat funds for electric sewing machine.</x:v>
      </x:c>
      <x:c r="L49" t="str">
        <x:f>IF(CaseLedger!$A49="","",CaseLedger!U49)</x:f>
        <x:v>Outcome/update should be added only after verified follow-up.</x:v>
      </x:c>
      <x:c r="M49" t="str">
        <x:f>IF(CaseLedger!$A49="","",CaseLedger!V49)</x:f>
        <x:v>Add follow-up notes after checking with the verification team.</x:v>
      </x:c>
      <x:c r="N49" t="str">
        <x:f>IF(CaseLedger!$A49="","",CaseLedger!W49)</x:f>
        <x:v>Add a real quote only with consent; do not publish this placeholder as a recipient quote.</x:v>
      </x:c>
      <x:c r="O49" t="str">
        <x:f>IF(CaseLedger!$A49="","",CaseLedger!X49)</x:f>
        <x:v>Anonymized public summary; no full name, phone, address, ID, bank details, or donor identity included.</x:v>
      </x:c>
      <x:c r="P49" t="str">
        <x:f>IF(CaseLedger!$A49="","",CaseLedger!E49)</x:f>
        <x:v>TRUE</x:v>
      </x:c>
      <x:c r="Q49" t="str">
        <x:f>IF(CaseLedger!$A49="","",CaseLedger!C49)</x:f>
        <x:v>No</x:v>
      </x:c>
      <x:c r="R49" t="str">
        <x:f>IF(CaseLedger!$A49="","",CaseLedger!D49)</x:f>
        <x:v>Draft</x:v>
      </x:c>
      <x:c r="S49" t="str">
        <x:f>IFERROR(IF(CaseLedger!$A49="","",CaseLedger!Y49),"")</x:f>
      </x:c>
      <x:c r="T49" t="str">
        <x:f>IFERROR(IF(CaseLedger!$A49="","",CaseLedger!Z49),"")</x:f>
        <x:v>Anonymized Humanitarians case image 1 for HUM-048</x:v>
      </x:c>
      <x:c r="U49" t="str">
        <x:f>IFERROR(IF(CaseLedger!$A49="","",CaseLedger!AA49),"")</x:f>
        <x:v>Before/support context image - add only after consent.</x:v>
      </x:c>
      <x:c r="V49" t="str">
        <x:f>IFERROR(IF(CaseLedger!$A49="","",CaseLedger!AB49),"")</x:f>
      </x:c>
      <x:c r="W49" t="str">
        <x:f>IFERROR(IF(CaseLedger!$A49="","",CaseLedger!AC49),"")</x:f>
        <x:v>Anonymized Humanitarians case image 2 for HUM-048</x:v>
      </x:c>
      <x:c r="X49" t="str">
        <x:f>IFERROR(IF(CaseLedger!$A49="","",CaseLedger!AD49),"")</x:f>
        <x:v>Support/equipment image - add only after consent.</x:v>
      </x:c>
      <x:c r="Y49" t="str">
        <x:f>IFERROR(IF(CaseLedger!$A49="","",CaseLedger!AE49),"")</x:f>
      </x:c>
      <x:c r="Z49" t="str">
        <x:f>IFERROR(IF(CaseLedger!$A49="","",CaseLedger!AF49),"")</x:f>
        <x:v>Anonymized Humanitarians case image 3 for HUM-048</x:v>
      </x:c>
      <x:c r="AA49" t="str">
        <x:f>IFERROR(IF(CaseLedger!$A49="","",CaseLedger!AG49),"")</x:f>
        <x:v>Outcome/follow-up image - add only after consent.</x:v>
      </x:c>
      <x:c r="AB49" t="str">
        <x:f>IFERROR(IF(CaseLedger!$A49="","",CaseLedger!AH49),"")</x:f>
        <x:v>Pending consent</x:v>
      </x:c>
      <x:c r="AC49" t="str">
        <x:f>IFERROR(IF(CaseLedger!$A49="","",CaseLedger!AI49),"")</x:f>
        <x:v>Paste public Google Drive image URLs only after recipient consent and privacy review.</x:v>
      </x:c>
    </x:row>
    <x:row r="50">
      <x:c r="A50" t="str">
        <x:f>IF(CaseLedger!$A50="","",CaseLedger!A50)</x:f>
        <x:v>HUM-049</x:v>
      </x:c>
      <x:c r="B50" t="str">
        <x:f>IF(CaseLedger!$A50="","",CaseLedger!I50)</x:f>
        <x:v>Initial Support for running parcel service business</x:v>
      </x:c>
      <x:c r="C50" t="str">
        <x:f>IF(CaseLedger!$A50="","",CaseLedger!J50)</x:f>
        <x:v>Anonymized case HUM-049</x:v>
      </x:c>
      <x:c r="D50" t="str">
        <x:f>IF(CaseLedger!$A50="","",CaseLedger!K50)</x:f>
        <x:v>Livelihood</x:v>
      </x:c>
      <x:c r="E50" t="str">
        <x:f>IF(CaseLedger!$A50="","",CaseLedger!L50)</x:f>
        <x:v>Shop / business inventory</x:v>
      </x:c>
      <x:c r="F50" t="str">
        <x:f>IF(CaseLedger!$A50="","",CaseLedger!P50)</x:f>
        <x:v>Zakat</x:v>
      </x:c>
      <x:c r="G50" t="str">
        <x:f>IF(CaseLedger!$A50="","",CaseLedger!F50)</x:f>
        <x:v>Dec 2025-Apr 2026</x:v>
      </x:c>
      <x:c r="H50" t="str">
        <x:f>IF(CaseLedger!$A50="","",CaseLedger!Q50)</x:f>
        <x:v>Aurangabad, Maharashtra</x:v>
      </x:c>
      <x:c r="I50" t="str">
        <x:f>IF(CaseLedger!$A50="","",CaseLedger!R50)</x:f>
        <x:v>₹25,000–₹50,000</x:v>
      </x:c>
      <x:c r="J50" t="str">
        <x:f>IF(CaseLedger!$A50="","",CaseLedger!S50)</x:f>
        <x:v>A verified recipient/family needed support related to shop / business inventory.</x:v>
      </x:c>
      <x:c r="K50" t="str">
        <x:f>IF(CaseLedger!$A50="","",CaseLedger!T50)</x:f>
        <x:v>Humanitarians supported the case through Zakat funds for initial support for running parcel service business.</x:v>
      </x:c>
      <x:c r="L50" t="str">
        <x:f>IF(CaseLedger!$A50="","",CaseLedger!U50)</x:f>
        <x:v>Outcome/update should be added only after verified follow-up.</x:v>
      </x:c>
      <x:c r="M50" t="str">
        <x:f>IF(CaseLedger!$A50="","",CaseLedger!V50)</x:f>
        <x:v>Add follow-up notes after checking with the verification team.</x:v>
      </x:c>
      <x:c r="N50" t="str">
        <x:f>IF(CaseLedger!$A50="","",CaseLedger!W50)</x:f>
        <x:v>Add a real quote only with consent; do not publish this placeholder as a recipient quote.</x:v>
      </x:c>
      <x:c r="O50" t="str">
        <x:f>IF(CaseLedger!$A50="","",CaseLedger!X50)</x:f>
        <x:v>Anonymized public summary; no full name, phone, address, ID, bank details, or donor identity included.</x:v>
      </x:c>
      <x:c r="P50" t="str">
        <x:f>IF(CaseLedger!$A50="","",CaseLedger!E50)</x:f>
        <x:v>TRUE</x:v>
      </x:c>
      <x:c r="Q50" t="str">
        <x:f>IF(CaseLedger!$A50="","",CaseLedger!C50)</x:f>
        <x:v>No</x:v>
      </x:c>
      <x:c r="R50" t="str">
        <x:f>IF(CaseLedger!$A50="","",CaseLedger!D50)</x:f>
        <x:v>Draft</x:v>
      </x:c>
      <x:c r="S50" t="str">
        <x:f>IFERROR(IF(CaseLedger!$A50="","",CaseLedger!Y50),"")</x:f>
      </x:c>
      <x:c r="T50" t="str">
        <x:f>IFERROR(IF(CaseLedger!$A50="","",CaseLedger!Z50),"")</x:f>
        <x:v>Anonymized Humanitarians case image 1 for HUM-049</x:v>
      </x:c>
      <x:c r="U50" t="str">
        <x:f>IFERROR(IF(CaseLedger!$A50="","",CaseLedger!AA50),"")</x:f>
        <x:v>Before/support context image - add only after consent.</x:v>
      </x:c>
      <x:c r="V50" t="str">
        <x:f>IFERROR(IF(CaseLedger!$A50="","",CaseLedger!AB50),"")</x:f>
      </x:c>
      <x:c r="W50" t="str">
        <x:f>IFERROR(IF(CaseLedger!$A50="","",CaseLedger!AC50),"")</x:f>
        <x:v>Anonymized Humanitarians case image 2 for HUM-049</x:v>
      </x:c>
      <x:c r="X50" t="str">
        <x:f>IFERROR(IF(CaseLedger!$A50="","",CaseLedger!AD50),"")</x:f>
        <x:v>Support/equipment image - add only after consent.</x:v>
      </x:c>
      <x:c r="Y50" t="str">
        <x:f>IFERROR(IF(CaseLedger!$A50="","",CaseLedger!AE50),"")</x:f>
      </x:c>
      <x:c r="Z50" t="str">
        <x:f>IFERROR(IF(CaseLedger!$A50="","",CaseLedger!AF50),"")</x:f>
        <x:v>Anonymized Humanitarians case image 3 for HUM-049</x:v>
      </x:c>
      <x:c r="AA50" t="str">
        <x:f>IFERROR(IF(CaseLedger!$A50="","",CaseLedger!AG50),"")</x:f>
        <x:v>Outcome/follow-up image - add only after consent.</x:v>
      </x:c>
      <x:c r="AB50" t="str">
        <x:f>IFERROR(IF(CaseLedger!$A50="","",CaseLedger!AH50),"")</x:f>
        <x:v>Pending consent</x:v>
      </x:c>
      <x:c r="AC50" t="str">
        <x:f>IFERROR(IF(CaseLedger!$A50="","",CaseLedger!AI50),"")</x:f>
        <x:v>Paste public Google Drive image URLs only after recipient consent and privacy review.</x:v>
      </x:c>
    </x:row>
    <x:row r="51">
      <x:c r="A51" t="str">
        <x:f>IF(CaseLedger!$A51="","",CaseLedger!A51)</x:f>
        <x:v>HUM-050</x:v>
      </x:c>
      <x:c r="B51" t="str">
        <x:f>IF(CaseLedger!$A51="","",CaseLedger!I51)</x:f>
        <x:v>Medical Case_Stage 3 Gall Bladder Cancer</x:v>
      </x:c>
      <x:c r="C51" t="str">
        <x:f>IF(CaseLedger!$A51="","",CaseLedger!J51)</x:f>
        <x:v>Anonymized case HUM-050</x:v>
      </x:c>
      <x:c r="D51" t="str">
        <x:f>IF(CaseLedger!$A51="","",CaseLedger!K51)</x:f>
        <x:v>Emergency Support</x:v>
      </x:c>
      <x:c r="E51" t="str">
        <x:f>IF(CaseLedger!$A51="","",CaseLedger!L51)</x:f>
        <x:v>Medical support</x:v>
      </x:c>
      <x:c r="F51" t="str">
        <x:f>IF(CaseLedger!$A51="","",CaseLedger!P51)</x:f>
        <x:v>Zakat</x:v>
      </x:c>
      <x:c r="G51" t="str">
        <x:f>IF(CaseLedger!$A51="","",CaseLedger!F51)</x:f>
        <x:v>Dec 2025-Apr 2026</x:v>
      </x:c>
      <x:c r="H51" t="str">
        <x:f>IF(CaseLedger!$A51="","",CaseLedger!Q51)</x:f>
        <x:v>Bihar</x:v>
      </x:c>
      <x:c r="I51" t="str">
        <x:f>IF(CaseLedger!$A51="","",CaseLedger!R51)</x:f>
        <x:v>₹15,000–₹25,000</x:v>
      </x:c>
      <x:c r="J51" t="str">
        <x:f>IF(CaseLedger!$A51="","",CaseLedger!S51)</x:f>
        <x:v>A verified recipient/family needed support related to medical support.</x:v>
      </x:c>
      <x:c r="K51" t="str">
        <x:f>IF(CaseLedger!$A51="","",CaseLedger!T51)</x:f>
        <x:v>Humanitarians supported the case through Zakat funds for medical case_stage 3 gall bladder cancer.</x:v>
      </x:c>
      <x:c r="L51" t="str">
        <x:f>IF(CaseLedger!$A51="","",CaseLedger!U51)</x:f>
        <x:v>Outcome/update should be added only after verified follow-up.</x:v>
      </x:c>
      <x:c r="M51" t="str">
        <x:f>IF(CaseLedger!$A51="","",CaseLedger!V51)</x:f>
        <x:v>Add follow-up notes after checking with the verification team.</x:v>
      </x:c>
      <x:c r="N51" t="str">
        <x:f>IF(CaseLedger!$A51="","",CaseLedger!W51)</x:f>
        <x:v>Add a real quote only with consent; do not publish this placeholder as a recipient quote.</x:v>
      </x:c>
      <x:c r="O51" t="str">
        <x:f>IF(CaseLedger!$A51="","",CaseLedger!X51)</x:f>
        <x:v>Anonymized public summary; no full name, phone, address, ID, bank details, or donor identity included.</x:v>
      </x:c>
      <x:c r="P51" t="str">
        <x:f>IF(CaseLedger!$A51="","",CaseLedger!E51)</x:f>
        <x:v>TRUE</x:v>
      </x:c>
      <x:c r="Q51" t="str">
        <x:f>IF(CaseLedger!$A51="","",CaseLedger!C51)</x:f>
        <x:v>No</x:v>
      </x:c>
      <x:c r="R51" t="str">
        <x:f>IF(CaseLedger!$A51="","",CaseLedger!D51)</x:f>
        <x:v>Draft</x:v>
      </x:c>
      <x:c r="S51" t="str">
        <x:f>IFERROR(IF(CaseLedger!$A51="","",CaseLedger!Y51),"")</x:f>
      </x:c>
      <x:c r="T51" t="str">
        <x:f>IFERROR(IF(CaseLedger!$A51="","",CaseLedger!Z51),"")</x:f>
        <x:v>Anonymized Humanitarians case image 1 for HUM-050</x:v>
      </x:c>
      <x:c r="U51" t="str">
        <x:f>IFERROR(IF(CaseLedger!$A51="","",CaseLedger!AA51),"")</x:f>
        <x:v>Before/support context image - add only after consent.</x:v>
      </x:c>
      <x:c r="V51" t="str">
        <x:f>IFERROR(IF(CaseLedger!$A51="","",CaseLedger!AB51),"")</x:f>
      </x:c>
      <x:c r="W51" t="str">
        <x:f>IFERROR(IF(CaseLedger!$A51="","",CaseLedger!AC51),"")</x:f>
        <x:v>Anonymized Humanitarians case image 2 for HUM-050</x:v>
      </x:c>
      <x:c r="X51" t="str">
        <x:f>IFERROR(IF(CaseLedger!$A51="","",CaseLedger!AD51),"")</x:f>
        <x:v>Support/equipment image - add only after consent.</x:v>
      </x:c>
      <x:c r="Y51" t="str">
        <x:f>IFERROR(IF(CaseLedger!$A51="","",CaseLedger!AE51),"")</x:f>
      </x:c>
      <x:c r="Z51" t="str">
        <x:f>IFERROR(IF(CaseLedger!$A51="","",CaseLedger!AF51),"")</x:f>
        <x:v>Anonymized Humanitarians case image 3 for HUM-050</x:v>
      </x:c>
      <x:c r="AA51" t="str">
        <x:f>IFERROR(IF(CaseLedger!$A51="","",CaseLedger!AG51),"")</x:f>
        <x:v>Outcome/follow-up image - add only after consent.</x:v>
      </x:c>
      <x:c r="AB51" t="str">
        <x:f>IFERROR(IF(CaseLedger!$A51="","",CaseLedger!AH51),"")</x:f>
        <x:v>Pending consent</x:v>
      </x:c>
      <x:c r="AC51" t="str">
        <x:f>IFERROR(IF(CaseLedger!$A51="","",CaseLedger!AI51),"")</x:f>
        <x:v>Paste public Google Drive image URLs only after recipient consent and privacy review.</x:v>
      </x:c>
    </x:row>
    <x:row r="52">
      <x:c r="A52" t="str">
        <x:f>IF(CaseLedger!$A52="","",CaseLedger!A52)</x:f>
        <x:v>HUM-051</x:v>
      </x:c>
      <x:c r="B52" t="str">
        <x:f>IF(CaseLedger!$A52="","",CaseLedger!I52)</x:f>
        <x:v>Sewing Machine</x:v>
      </x:c>
      <x:c r="C52" t="str">
        <x:f>IF(CaseLedger!$A52="","",CaseLedger!J52)</x:f>
        <x:v>Anonymized case HUM-051</x:v>
      </x:c>
      <x:c r="D52" t="str">
        <x:f>IF(CaseLedger!$A52="","",CaseLedger!K52)</x:f>
        <x:v>Livelihood</x:v>
      </x:c>
      <x:c r="E52" t="str">
        <x:f>IF(CaseLedger!$A52="","",CaseLedger!L52)</x:f>
        <x:v>Sewing / tailoring</x:v>
      </x:c>
      <x:c r="F52" t="str">
        <x:f>IF(CaseLedger!$A52="","",CaseLedger!P52)</x:f>
        <x:v>Zakat</x:v>
      </x:c>
      <x:c r="G52" t="str">
        <x:f>IF(CaseLedger!$A52="","",CaseLedger!F52)</x:f>
        <x:v>Dec 2025-Apr 2026</x:v>
      </x:c>
      <x:c r="H52" t="str">
        <x:f>IF(CaseLedger!$A52="","",CaseLedger!Q52)</x:f>
        <x:v>Bihar</x:v>
      </x:c>
      <x:c r="I52" t="str">
        <x:f>IF(CaseLedger!$A52="","",CaseLedger!R52)</x:f>
        <x:v>₹10,000–₹15,000</x:v>
      </x:c>
      <x:c r="J52" t="str">
        <x:f>IF(CaseLedger!$A52="","",CaseLedger!S52)</x:f>
        <x:v>A verified recipient/family needed support related to sewing / tailoring.</x:v>
      </x:c>
      <x:c r="K52" t="str">
        <x:f>IF(CaseLedger!$A52="","",CaseLedger!T52)</x:f>
        <x:v>Humanitarians supported the case through Zakat funds for sewing machine.</x:v>
      </x:c>
      <x:c r="L52" t="str">
        <x:f>IF(CaseLedger!$A52="","",CaseLedger!U52)</x:f>
        <x:v>Outcome/update should be added only after verified follow-up.</x:v>
      </x:c>
      <x:c r="M52" t="str">
        <x:f>IF(CaseLedger!$A52="","",CaseLedger!V52)</x:f>
        <x:v>Add follow-up notes after checking with the verification team.</x:v>
      </x:c>
      <x:c r="N52" t="str">
        <x:f>IF(CaseLedger!$A52="","",CaseLedger!W52)</x:f>
        <x:v>Add a real quote only with consent; do not publish this placeholder as a recipient quote.</x:v>
      </x:c>
      <x:c r="O52" t="str">
        <x:f>IF(CaseLedger!$A52="","",CaseLedger!X52)</x:f>
        <x:v>Anonymized public summary; no full name, phone, address, ID, bank details, or donor identity included.</x:v>
      </x:c>
      <x:c r="P52" t="str">
        <x:f>IF(CaseLedger!$A52="","",CaseLedger!E52)</x:f>
        <x:v>TRUE</x:v>
      </x:c>
      <x:c r="Q52" t="str">
        <x:f>IF(CaseLedger!$A52="","",CaseLedger!C52)</x:f>
        <x:v>No</x:v>
      </x:c>
      <x:c r="R52" t="str">
        <x:f>IF(CaseLedger!$A52="","",CaseLedger!D52)</x:f>
        <x:v>Draft</x:v>
      </x:c>
      <x:c r="S52" t="str">
        <x:f>IFERROR(IF(CaseLedger!$A52="","",CaseLedger!Y52),"")</x:f>
      </x:c>
      <x:c r="T52" t="str">
        <x:f>IFERROR(IF(CaseLedger!$A52="","",CaseLedger!Z52),"")</x:f>
        <x:v>Anonymized Humanitarians case image 1 for HUM-051</x:v>
      </x:c>
      <x:c r="U52" t="str">
        <x:f>IFERROR(IF(CaseLedger!$A52="","",CaseLedger!AA52),"")</x:f>
        <x:v>Before/support context image - add only after consent.</x:v>
      </x:c>
      <x:c r="V52" t="str">
        <x:f>IFERROR(IF(CaseLedger!$A52="","",CaseLedger!AB52),"")</x:f>
      </x:c>
      <x:c r="W52" t="str">
        <x:f>IFERROR(IF(CaseLedger!$A52="","",CaseLedger!AC52),"")</x:f>
        <x:v>Anonymized Humanitarians case image 2 for HUM-051</x:v>
      </x:c>
      <x:c r="X52" t="str">
        <x:f>IFERROR(IF(CaseLedger!$A52="","",CaseLedger!AD52),"")</x:f>
        <x:v>Support/equipment image - add only after consent.</x:v>
      </x:c>
      <x:c r="Y52" t="str">
        <x:f>IFERROR(IF(CaseLedger!$A52="","",CaseLedger!AE52),"")</x:f>
      </x:c>
      <x:c r="Z52" t="str">
        <x:f>IFERROR(IF(CaseLedger!$A52="","",CaseLedger!AF52),"")</x:f>
        <x:v>Anonymized Humanitarians case image 3 for HUM-051</x:v>
      </x:c>
      <x:c r="AA52" t="str">
        <x:f>IFERROR(IF(CaseLedger!$A52="","",CaseLedger!AG52),"")</x:f>
        <x:v>Outcome/follow-up image - add only after consent.</x:v>
      </x:c>
      <x:c r="AB52" t="str">
        <x:f>IFERROR(IF(CaseLedger!$A52="","",CaseLedger!AH52),"")</x:f>
        <x:v>Pending consent</x:v>
      </x:c>
      <x:c r="AC52" t="str">
        <x:f>IFERROR(IF(CaseLedger!$A52="","",CaseLedger!AI52),"")</x:f>
        <x:v>Paste public Google Drive image URLs only after recipient consent and privacy review.</x:v>
      </x:c>
    </x:row>
    <x:row r="53">
      <x:c r="A53" t="str">
        <x:f>IF(CaseLedger!$A53="","",CaseLedger!A53)</x:f>
        <x:v>HUM-052</x:v>
      </x:c>
      <x:c r="B53" t="str">
        <x:f>IF(CaseLedger!$A53="","",CaseLedger!I53)</x:f>
        <x:v>Support for IT Course</x:v>
      </x:c>
      <x:c r="C53" t="str">
        <x:f>IF(CaseLedger!$A53="","",CaseLedger!J53)</x:f>
        <x:v>Anonymized case HUM-052</x:v>
      </x:c>
      <x:c r="D53" t="str">
        <x:f>IF(CaseLedger!$A53="","",CaseLedger!K53)</x:f>
        <x:v>Skill Sponsorship</x:v>
      </x:c>
      <x:c r="E53" t="str">
        <x:f>IF(CaseLedger!$A53="","",CaseLedger!L53)</x:f>
        <x:v>Education / course sponsorship</x:v>
      </x:c>
      <x:c r="F53" t="str">
        <x:f>IF(CaseLedger!$A53="","",CaseLedger!P53)</x:f>
        <x:v>Zakat</x:v>
      </x:c>
      <x:c r="G53" t="str">
        <x:f>IF(CaseLedger!$A53="","",CaseLedger!F53)</x:f>
        <x:v>Dec 2025-Apr 2026</x:v>
      </x:c>
      <x:c r="H53" t="str">
        <x:f>IF(CaseLedger!$A53="","",CaseLedger!Q53)</x:f>
        <x:v>Basti, UP</x:v>
      </x:c>
      <x:c r="I53" t="str">
        <x:f>IF(CaseLedger!$A53="","",CaseLedger!R53)</x:f>
        <x:v>₹10,000–₹15,000</x:v>
      </x:c>
      <x:c r="J53" t="str">
        <x:f>IF(CaseLedger!$A53="","",CaseLedger!S53)</x:f>
        <x:v>A verified recipient/family needed support related to education / course sponsorship.</x:v>
      </x:c>
      <x:c r="K53" t="str">
        <x:f>IF(CaseLedger!$A53="","",CaseLedger!T53)</x:f>
        <x:v>Humanitarians supported the case through Zakat funds for support for it course.</x:v>
      </x:c>
      <x:c r="L53" t="str">
        <x:f>IF(CaseLedger!$A53="","",CaseLedger!U53)</x:f>
        <x:v>Outcome/update should be added only after verified follow-up.</x:v>
      </x:c>
      <x:c r="M53" t="str">
        <x:f>IF(CaseLedger!$A53="","",CaseLedger!V53)</x:f>
        <x:v>Add follow-up notes after checking with the verification team.</x:v>
      </x:c>
      <x:c r="N53" t="str">
        <x:f>IF(CaseLedger!$A53="","",CaseLedger!W53)</x:f>
        <x:v>Add a real quote only with consent; do not publish this placeholder as a recipient quote.</x:v>
      </x:c>
      <x:c r="O53" t="str">
        <x:f>IF(CaseLedger!$A53="","",CaseLedger!X53)</x:f>
        <x:v>Anonymized public summary; no full name, phone, address, ID, bank details, or donor identity included.</x:v>
      </x:c>
      <x:c r="P53" t="str">
        <x:f>IF(CaseLedger!$A53="","",CaseLedger!E53)</x:f>
        <x:v>TRUE</x:v>
      </x:c>
      <x:c r="Q53" t="str">
        <x:f>IF(CaseLedger!$A53="","",CaseLedger!C53)</x:f>
        <x:v>No</x:v>
      </x:c>
      <x:c r="R53" t="str">
        <x:f>IF(CaseLedger!$A53="","",CaseLedger!D53)</x:f>
        <x:v>Draft</x:v>
      </x:c>
      <x:c r="S53" t="str">
        <x:f>IFERROR(IF(CaseLedger!$A53="","",CaseLedger!Y53),"")</x:f>
      </x:c>
      <x:c r="T53" t="str">
        <x:f>IFERROR(IF(CaseLedger!$A53="","",CaseLedger!Z53),"")</x:f>
        <x:v>Anonymized Humanitarians case image 1 for HUM-052</x:v>
      </x:c>
      <x:c r="U53" t="str">
        <x:f>IFERROR(IF(CaseLedger!$A53="","",CaseLedger!AA53),"")</x:f>
        <x:v>Before/support context image - add only after consent.</x:v>
      </x:c>
      <x:c r="V53" t="str">
        <x:f>IFERROR(IF(CaseLedger!$A53="","",CaseLedger!AB53),"")</x:f>
      </x:c>
      <x:c r="W53" t="str">
        <x:f>IFERROR(IF(CaseLedger!$A53="","",CaseLedger!AC53),"")</x:f>
        <x:v>Anonymized Humanitarians case image 2 for HUM-052</x:v>
      </x:c>
      <x:c r="X53" t="str">
        <x:f>IFERROR(IF(CaseLedger!$A53="","",CaseLedger!AD53),"")</x:f>
        <x:v>Support/equipment image - add only after consent.</x:v>
      </x:c>
      <x:c r="Y53" t="str">
        <x:f>IFERROR(IF(CaseLedger!$A53="","",CaseLedger!AE53),"")</x:f>
      </x:c>
      <x:c r="Z53" t="str">
        <x:f>IFERROR(IF(CaseLedger!$A53="","",CaseLedger!AF53),"")</x:f>
        <x:v>Anonymized Humanitarians case image 3 for HUM-052</x:v>
      </x:c>
      <x:c r="AA53" t="str">
        <x:f>IFERROR(IF(CaseLedger!$A53="","",CaseLedger!AG53),"")</x:f>
        <x:v>Outcome/follow-up image - add only after consent.</x:v>
      </x:c>
      <x:c r="AB53" t="str">
        <x:f>IFERROR(IF(CaseLedger!$A53="","",CaseLedger!AH53),"")</x:f>
        <x:v>Pending consent</x:v>
      </x:c>
      <x:c r="AC53" t="str">
        <x:f>IFERROR(IF(CaseLedger!$A53="","",CaseLedger!AI53),"")</x:f>
        <x:v>Paste public Google Drive image URLs only after recipient consent and privacy review.</x:v>
      </x:c>
    </x:row>
    <x:row r="54">
      <x:c r="A54" t="str">
        <x:f>IF(CaseLedger!$A54="","",CaseLedger!A54)</x:f>
        <x:v>HUM-053</x:v>
      </x:c>
      <x:c r="B54" t="str">
        <x:f>IF(CaseLedger!$A54="","",CaseLedger!I54)</x:f>
        <x:v>Support for Masjid Rebuilding</x:v>
      </x:c>
      <x:c r="C54" t="str">
        <x:f>IF(CaseLedger!$A54="","",CaseLedger!J54)</x:f>
        <x:v>Anonymized case HUM-053</x:v>
      </x:c>
      <x:c r="D54" t="str">
        <x:f>IF(CaseLedger!$A54="","",CaseLedger!K54)</x:f>
        <x:v>Community Support</x:v>
      </x:c>
      <x:c r="E54" t="str">
        <x:f>IF(CaseLedger!$A54="","",CaseLedger!L54)</x:f>
        <x:v>Masjid / community support</x:v>
      </x:c>
      <x:c r="F54" t="str">
        <x:f>IF(CaseLedger!$A54="","",CaseLedger!P54)</x:f>
        <x:v>Sadaqah</x:v>
      </x:c>
      <x:c r="G54" t="str">
        <x:f>IF(CaseLedger!$A54="","",CaseLedger!F54)</x:f>
        <x:v>Dec 2025-Apr 2026</x:v>
      </x:c>
      <x:c r="H54" t="str">
        <x:f>IF(CaseLedger!$A54="","",CaseLedger!Q54)</x:f>
        <x:v>Srinagar</x:v>
      </x:c>
      <x:c r="I54" t="str">
        <x:f>IF(CaseLedger!$A54="","",CaseLedger!R54)</x:f>
        <x:v>₹15,000–₹25,000</x:v>
      </x:c>
      <x:c r="J54" t="str">
        <x:f>IF(CaseLedger!$A54="","",CaseLedger!S54)</x:f>
        <x:v>A verified recipient/family needed support related to masjid / community support.</x:v>
      </x:c>
      <x:c r="K54" t="str">
        <x:f>IF(CaseLedger!$A54="","",CaseLedger!T54)</x:f>
        <x:v>Humanitarians supported the case through Sadaqah funds for support for masjid rebuilding.</x:v>
      </x:c>
      <x:c r="L54" t="str">
        <x:f>IF(CaseLedger!$A54="","",CaseLedger!U54)</x:f>
        <x:v>Outcome/update should be added only after verified follow-up.</x:v>
      </x:c>
      <x:c r="M54" t="str">
        <x:f>IF(CaseLedger!$A54="","",CaseLedger!V54)</x:f>
        <x:v>Add follow-up notes after checking with the verification team.</x:v>
      </x:c>
      <x:c r="N54" t="str">
        <x:f>IF(CaseLedger!$A54="","",CaseLedger!W54)</x:f>
        <x:v>Add a real quote only with consent; do not publish this placeholder as a recipient quote.</x:v>
      </x:c>
      <x:c r="O54" t="str">
        <x:f>IF(CaseLedger!$A54="","",CaseLedger!X54)</x:f>
        <x:v>Anonymized public summary; no full name, phone, address, ID, bank details, or donor identity included.</x:v>
      </x:c>
      <x:c r="P54" t="str">
        <x:f>IF(CaseLedger!$A54="","",CaseLedger!E54)</x:f>
        <x:v>FALSE</x:v>
      </x:c>
      <x:c r="Q54" t="str">
        <x:f>IF(CaseLedger!$A54="","",CaseLedger!C54)</x:f>
        <x:v>No</x:v>
      </x:c>
      <x:c r="R54" t="str">
        <x:f>IF(CaseLedger!$A54="","",CaseLedger!D54)</x:f>
        <x:v>Archive</x:v>
      </x:c>
      <x:c r="S54" t="str">
        <x:f>IFERROR(IF(CaseLedger!$A54="","",CaseLedger!Y54),"")</x:f>
      </x:c>
      <x:c r="T54" t="str">
        <x:f>IFERROR(IF(CaseLedger!$A54="","",CaseLedger!Z54),"")</x:f>
        <x:v>Anonymized Humanitarians case image 1 for HUM-053</x:v>
      </x:c>
      <x:c r="U54" t="str">
        <x:f>IFERROR(IF(CaseLedger!$A54="","",CaseLedger!AA54),"")</x:f>
        <x:v>Before/support context image - add only after consent.</x:v>
      </x:c>
      <x:c r="V54" t="str">
        <x:f>IFERROR(IF(CaseLedger!$A54="","",CaseLedger!AB54),"")</x:f>
      </x:c>
      <x:c r="W54" t="str">
        <x:f>IFERROR(IF(CaseLedger!$A54="","",CaseLedger!AC54),"")</x:f>
        <x:v>Anonymized Humanitarians case image 2 for HUM-053</x:v>
      </x:c>
      <x:c r="X54" t="str">
        <x:f>IFERROR(IF(CaseLedger!$A54="","",CaseLedger!AD54),"")</x:f>
        <x:v>Support/equipment image - add only after consent.</x:v>
      </x:c>
      <x:c r="Y54" t="str">
        <x:f>IFERROR(IF(CaseLedger!$A54="","",CaseLedger!AE54),"")</x:f>
      </x:c>
      <x:c r="Z54" t="str">
        <x:f>IFERROR(IF(CaseLedger!$A54="","",CaseLedger!AF54),"")</x:f>
        <x:v>Anonymized Humanitarians case image 3 for HUM-053</x:v>
      </x:c>
      <x:c r="AA54" t="str">
        <x:f>IFERROR(IF(CaseLedger!$A54="","",CaseLedger!AG54),"")</x:f>
        <x:v>Outcome/follow-up image - add only after consent.</x:v>
      </x:c>
      <x:c r="AB54" t="str">
        <x:f>IFERROR(IF(CaseLedger!$A54="","",CaseLedger!AH54),"")</x:f>
        <x:v>Pending consent</x:v>
      </x:c>
      <x:c r="AC54" t="str">
        <x:f>IFERROR(IF(CaseLedger!$A54="","",CaseLedger!AI54),"")</x:f>
        <x:v>Paste public Google Drive image URLs only after recipient consent and privacy review.</x:v>
      </x:c>
    </x:row>
    <x:row r="55">
      <x:c r="A55" t="str">
        <x:f>IF(CaseLedger!$A55="","",CaseLedger!A55)</x:f>
        <x:v>HUM-054</x:v>
      </x:c>
      <x:c r="B55" t="str">
        <x:f>IF(CaseLedger!$A55="","",CaseLedger!I55)</x:f>
        <x:v>Support for additional clothes for ferry shop</x:v>
      </x:c>
      <x:c r="C55" t="str">
        <x:f>IF(CaseLedger!$A55="","",CaseLedger!J55)</x:f>
        <x:v>Anonymized case HUM-054</x:v>
      </x:c>
      <x:c r="D55" t="str">
        <x:f>IF(CaseLedger!$A55="","",CaseLedger!K55)</x:f>
        <x:v>Livelihood</x:v>
      </x:c>
      <x:c r="E55" t="str">
        <x:f>IF(CaseLedger!$A55="","",CaseLedger!L55)</x:f>
        <x:v>Shop / business inventory</x:v>
      </x:c>
      <x:c r="F55" t="str">
        <x:f>IF(CaseLedger!$A55="","",CaseLedger!P55)</x:f>
        <x:v>Zakat</x:v>
      </x:c>
      <x:c r="G55" t="str">
        <x:f>IF(CaseLedger!$A55="","",CaseLedger!F55)</x:f>
        <x:v>Dec 2025-Apr 2026</x:v>
      </x:c>
      <x:c r="H55" t="str">
        <x:f>IF(CaseLedger!$A55="","",CaseLedger!Q55)</x:f>
        <x:v>Mallawan, UP</x:v>
      </x:c>
      <x:c r="I55" t="str">
        <x:f>IF(CaseLedger!$A55="","",CaseLedger!R55)</x:f>
        <x:v>₹25,000–₹50,000</x:v>
      </x:c>
      <x:c r="J55" t="str">
        <x:f>IF(CaseLedger!$A55="","",CaseLedger!S55)</x:f>
        <x:v>A verified recipient/family needed support related to shop / business inventory.</x:v>
      </x:c>
      <x:c r="K55" t="str">
        <x:f>IF(CaseLedger!$A55="","",CaseLedger!T55)</x:f>
        <x:v>Humanitarians supported the case through Zakat funds for support for additional clothes for ferry shop.</x:v>
      </x:c>
      <x:c r="L55" t="str">
        <x:f>IF(CaseLedger!$A55="","",CaseLedger!U55)</x:f>
        <x:v>Outcome/update should be added only after verified follow-up.</x:v>
      </x:c>
      <x:c r="M55" t="str">
        <x:f>IF(CaseLedger!$A55="","",CaseLedger!V55)</x:f>
        <x:v>Add follow-up notes after checking with the verification team.</x:v>
      </x:c>
      <x:c r="N55" t="str">
        <x:f>IF(CaseLedger!$A55="","",CaseLedger!W55)</x:f>
        <x:v>Add a real quote only with consent; do not publish this placeholder as a recipient quote.</x:v>
      </x:c>
      <x:c r="O55" t="str">
        <x:f>IF(CaseLedger!$A55="","",CaseLedger!X55)</x:f>
        <x:v>Anonymized public summary; no full name, phone, address, ID, bank details, or donor identity included.</x:v>
      </x:c>
      <x:c r="P55" t="str">
        <x:f>IF(CaseLedger!$A55="","",CaseLedger!E55)</x:f>
        <x:v>FALSE</x:v>
      </x:c>
      <x:c r="Q55" t="str">
        <x:f>IF(CaseLedger!$A55="","",CaseLedger!C55)</x:f>
        <x:v>No</x:v>
      </x:c>
      <x:c r="R55" t="str">
        <x:f>IF(CaseLedger!$A55="","",CaseLedger!D55)</x:f>
        <x:v>Archive</x:v>
      </x:c>
      <x:c r="S55" t="str">
        <x:f>IFERROR(IF(CaseLedger!$A55="","",CaseLedger!Y55),"")</x:f>
      </x:c>
      <x:c r="T55" t="str">
        <x:f>IFERROR(IF(CaseLedger!$A55="","",CaseLedger!Z55),"")</x:f>
        <x:v>Anonymized Humanitarians case image 1 for HUM-054</x:v>
      </x:c>
      <x:c r="U55" t="str">
        <x:f>IFERROR(IF(CaseLedger!$A55="","",CaseLedger!AA55),"")</x:f>
        <x:v>Before/support context image - add only after consent.</x:v>
      </x:c>
      <x:c r="V55" t="str">
        <x:f>IFERROR(IF(CaseLedger!$A55="","",CaseLedger!AB55),"")</x:f>
      </x:c>
      <x:c r="W55" t="str">
        <x:f>IFERROR(IF(CaseLedger!$A55="","",CaseLedger!AC55),"")</x:f>
        <x:v>Anonymized Humanitarians case image 2 for HUM-054</x:v>
      </x:c>
      <x:c r="X55" t="str">
        <x:f>IFERROR(IF(CaseLedger!$A55="","",CaseLedger!AD55),"")</x:f>
        <x:v>Support/equipment image - add only after consent.</x:v>
      </x:c>
      <x:c r="Y55" t="str">
        <x:f>IFERROR(IF(CaseLedger!$A55="","",CaseLedger!AE55),"")</x:f>
      </x:c>
      <x:c r="Z55" t="str">
        <x:f>IFERROR(IF(CaseLedger!$A55="","",CaseLedger!AF55),"")</x:f>
        <x:v>Anonymized Humanitarians case image 3 for HUM-054</x:v>
      </x:c>
      <x:c r="AA55" t="str">
        <x:f>IFERROR(IF(CaseLedger!$A55="","",CaseLedger!AG55),"")</x:f>
        <x:v>Outcome/follow-up image - add only after consent.</x:v>
      </x:c>
      <x:c r="AB55" t="str">
        <x:f>IFERROR(IF(CaseLedger!$A55="","",CaseLedger!AH55),"")</x:f>
        <x:v>Pending consent</x:v>
      </x:c>
      <x:c r="AC55" t="str">
        <x:f>IFERROR(IF(CaseLedger!$A55="","",CaseLedger!AI55),"")</x:f>
        <x:v>Paste public Google Drive image URLs only after recipient consent and privacy review.</x:v>
      </x:c>
    </x:row>
    <x:row r="56">
      <x:c r="A56" t="str">
        <x:f>IF(CaseLedger!$A56="","",CaseLedger!A56)</x:f>
        <x:v>HUM-055</x:v>
      </x:c>
      <x:c r="B56" t="str">
        <x:f>IF(CaseLedger!$A56="","",CaseLedger!I56)</x:f>
        <x:v>Support for increasing stock of General store</x:v>
      </x:c>
      <x:c r="C56" t="str">
        <x:f>IF(CaseLedger!$A56="","",CaseLedger!J56)</x:f>
        <x:v>Anonymized case HUM-055</x:v>
      </x:c>
      <x:c r="D56" t="str">
        <x:f>IF(CaseLedger!$A56="","",CaseLedger!K56)</x:f>
        <x:v>Livelihood</x:v>
      </x:c>
      <x:c r="E56" t="str">
        <x:f>IF(CaseLedger!$A56="","",CaseLedger!L56)</x:f>
        <x:v>Shop / business inventory</x:v>
      </x:c>
      <x:c r="F56" t="str">
        <x:f>IF(CaseLedger!$A56="","",CaseLedger!P56)</x:f>
        <x:v>Zakat</x:v>
      </x:c>
      <x:c r="G56" t="str">
        <x:f>IF(CaseLedger!$A56="","",CaseLedger!F56)</x:f>
        <x:v>Dec 2025-Apr 2026</x:v>
      </x:c>
      <x:c r="H56" t="str">
        <x:f>IF(CaseLedger!$A56="","",CaseLedger!Q56)</x:f>
        <x:v>Basti, UP</x:v>
      </x:c>
      <x:c r="I56" t="str">
        <x:f>IF(CaseLedger!$A56="","",CaseLedger!R56)</x:f>
        <x:v>₹15,000–₹25,000</x:v>
      </x:c>
      <x:c r="J56" t="str">
        <x:f>IF(CaseLedger!$A56="","",CaseLedger!S56)</x:f>
        <x:v>A verified recipient/family needed support related to shop / business inventory.</x:v>
      </x:c>
      <x:c r="K56" t="str">
        <x:f>IF(CaseLedger!$A56="","",CaseLedger!T56)</x:f>
        <x:v>Humanitarians supported the case through Zakat funds for support for increasing stock of general store.</x:v>
      </x:c>
      <x:c r="L56" t="str">
        <x:f>IF(CaseLedger!$A56="","",CaseLedger!U56)</x:f>
        <x:v>Outcome/update should be added only after verified follow-up.</x:v>
      </x:c>
      <x:c r="M56" t="str">
        <x:f>IF(CaseLedger!$A56="","",CaseLedger!V56)</x:f>
        <x:v>Add follow-up notes after checking with the verification team.</x:v>
      </x:c>
      <x:c r="N56" t="str">
        <x:f>IF(CaseLedger!$A56="","",CaseLedger!W56)</x:f>
        <x:v>Add a real quote only with consent; do not publish this placeholder as a recipient quote.</x:v>
      </x:c>
      <x:c r="O56" t="str">
        <x:f>IF(CaseLedger!$A56="","",CaseLedger!X56)</x:f>
        <x:v>Anonymized public summary; no full name, phone, address, ID, bank details, or donor identity included.</x:v>
      </x:c>
      <x:c r="P56" t="str">
        <x:f>IF(CaseLedger!$A56="","",CaseLedger!E56)</x:f>
        <x:v>FALSE</x:v>
      </x:c>
      <x:c r="Q56" t="str">
        <x:f>IF(CaseLedger!$A56="","",CaseLedger!C56)</x:f>
        <x:v>No</x:v>
      </x:c>
      <x:c r="R56" t="str">
        <x:f>IF(CaseLedger!$A56="","",CaseLedger!D56)</x:f>
        <x:v>Archive</x:v>
      </x:c>
      <x:c r="S56" t="str">
        <x:f>IFERROR(IF(CaseLedger!$A56="","",CaseLedger!Y56),"")</x:f>
      </x:c>
      <x:c r="T56" t="str">
        <x:f>IFERROR(IF(CaseLedger!$A56="","",CaseLedger!Z56),"")</x:f>
        <x:v>Anonymized Humanitarians case image 1 for HUM-055</x:v>
      </x:c>
      <x:c r="U56" t="str">
        <x:f>IFERROR(IF(CaseLedger!$A56="","",CaseLedger!AA56),"")</x:f>
        <x:v>Before/support context image - add only after consent.</x:v>
      </x:c>
      <x:c r="V56" t="str">
        <x:f>IFERROR(IF(CaseLedger!$A56="","",CaseLedger!AB56),"")</x:f>
      </x:c>
      <x:c r="W56" t="str">
        <x:f>IFERROR(IF(CaseLedger!$A56="","",CaseLedger!AC56),"")</x:f>
        <x:v>Anonymized Humanitarians case image 2 for HUM-055</x:v>
      </x:c>
      <x:c r="X56" t="str">
        <x:f>IFERROR(IF(CaseLedger!$A56="","",CaseLedger!AD56),"")</x:f>
        <x:v>Support/equipment image - add only after consent.</x:v>
      </x:c>
      <x:c r="Y56" t="str">
        <x:f>IFERROR(IF(CaseLedger!$A56="","",CaseLedger!AE56),"")</x:f>
      </x:c>
      <x:c r="Z56" t="str">
        <x:f>IFERROR(IF(CaseLedger!$A56="","",CaseLedger!AF56),"")</x:f>
        <x:v>Anonymized Humanitarians case image 3 for HUM-055</x:v>
      </x:c>
      <x:c r="AA56" t="str">
        <x:f>IFERROR(IF(CaseLedger!$A56="","",CaseLedger!AG56),"")</x:f>
        <x:v>Outcome/follow-up image - add only after consent.</x:v>
      </x:c>
      <x:c r="AB56" t="str">
        <x:f>IFERROR(IF(CaseLedger!$A56="","",CaseLedger!AH56),"")</x:f>
        <x:v>Pending consent</x:v>
      </x:c>
      <x:c r="AC56" t="str">
        <x:f>IFERROR(IF(CaseLedger!$A56="","",CaseLedger!AI56),"")</x:f>
        <x:v>Paste public Google Drive image URLs only after recipient consent and privacy review.</x:v>
      </x:c>
    </x:row>
    <x:row r="57">
      <x:c r="A57" t="str">
        <x:f>IF(CaseLedger!$A57="","",CaseLedger!A57)</x:f>
        <x:v>HUM-056</x:v>
      </x:c>
      <x:c r="B57" t="str">
        <x:f>IF(CaseLedger!$A57="","",CaseLedger!I57)</x:f>
        <x:v>Support for increasing stock of grocery shop</x:v>
      </x:c>
      <x:c r="C57" t="str">
        <x:f>IF(CaseLedger!$A57="","",CaseLedger!J57)</x:f>
        <x:v>Anonymized case HUM-056</x:v>
      </x:c>
      <x:c r="D57" t="str">
        <x:f>IF(CaseLedger!$A57="","",CaseLedger!K57)</x:f>
        <x:v>Livelihood</x:v>
      </x:c>
      <x:c r="E57" t="str">
        <x:f>IF(CaseLedger!$A57="","",CaseLedger!L57)</x:f>
        <x:v>Shop / business inventory</x:v>
      </x:c>
      <x:c r="F57" t="str">
        <x:f>IF(CaseLedger!$A57="","",CaseLedger!P57)</x:f>
        <x:v>Zakat</x:v>
      </x:c>
      <x:c r="G57" t="str">
        <x:f>IF(CaseLedger!$A57="","",CaseLedger!F57)</x:f>
        <x:v>Dec 2025-Apr 2026</x:v>
      </x:c>
      <x:c r="H57" t="str">
        <x:f>IF(CaseLedger!$A57="","",CaseLedger!Q57)</x:f>
        <x:v>Basti, UP</x:v>
      </x:c>
      <x:c r="I57" t="str">
        <x:f>IF(CaseLedger!$A57="","",CaseLedger!R57)</x:f>
        <x:v>₹15,000–₹25,000</x:v>
      </x:c>
      <x:c r="J57" t="str">
        <x:f>IF(CaseLedger!$A57="","",CaseLedger!S57)</x:f>
        <x:v>A verified recipient/family needed support related to shop / business inventory.</x:v>
      </x:c>
      <x:c r="K57" t="str">
        <x:f>IF(CaseLedger!$A57="","",CaseLedger!T57)</x:f>
        <x:v>Humanitarians supported the case through Zakat funds for support for increasing stock of grocery shop.</x:v>
      </x:c>
      <x:c r="L57" t="str">
        <x:f>IF(CaseLedger!$A57="","",CaseLedger!U57)</x:f>
        <x:v>Outcome/update should be added only after verified follow-up.</x:v>
      </x:c>
      <x:c r="M57" t="str">
        <x:f>IF(CaseLedger!$A57="","",CaseLedger!V57)</x:f>
        <x:v>Add follow-up notes after checking with the verification team.</x:v>
      </x:c>
      <x:c r="N57" t="str">
        <x:f>IF(CaseLedger!$A57="","",CaseLedger!W57)</x:f>
        <x:v>Add a real quote only with consent; do not publish this placeholder as a recipient quote.</x:v>
      </x:c>
      <x:c r="O57" t="str">
        <x:f>IF(CaseLedger!$A57="","",CaseLedger!X57)</x:f>
        <x:v>Anonymized public summary; no full name, phone, address, ID, bank details, or donor identity included.</x:v>
      </x:c>
      <x:c r="P57" t="str">
        <x:f>IF(CaseLedger!$A57="","",CaseLedger!E57)</x:f>
        <x:v>TRUE</x:v>
      </x:c>
      <x:c r="Q57" t="str">
        <x:f>IF(CaseLedger!$A57="","",CaseLedger!C57)</x:f>
        <x:v>No</x:v>
      </x:c>
      <x:c r="R57" t="str">
        <x:f>IF(CaseLedger!$A57="","",CaseLedger!D57)</x:f>
        <x:v>Draft</x:v>
      </x:c>
      <x:c r="S57" t="str">
        <x:f>IFERROR(IF(CaseLedger!$A57="","",CaseLedger!Y57),"")</x:f>
      </x:c>
      <x:c r="T57" t="str">
        <x:f>IFERROR(IF(CaseLedger!$A57="","",CaseLedger!Z57),"")</x:f>
        <x:v>Anonymized Humanitarians case image 1 for HUM-056</x:v>
      </x:c>
      <x:c r="U57" t="str">
        <x:f>IFERROR(IF(CaseLedger!$A57="","",CaseLedger!AA57),"")</x:f>
        <x:v>Before/support context image - add only after consent.</x:v>
      </x:c>
      <x:c r="V57" t="str">
        <x:f>IFERROR(IF(CaseLedger!$A57="","",CaseLedger!AB57),"")</x:f>
      </x:c>
      <x:c r="W57" t="str">
        <x:f>IFERROR(IF(CaseLedger!$A57="","",CaseLedger!AC57),"")</x:f>
        <x:v>Anonymized Humanitarians case image 2 for HUM-056</x:v>
      </x:c>
      <x:c r="X57" t="str">
        <x:f>IFERROR(IF(CaseLedger!$A57="","",CaseLedger!AD57),"")</x:f>
        <x:v>Support/equipment image - add only after consent.</x:v>
      </x:c>
      <x:c r="Y57" t="str">
        <x:f>IFERROR(IF(CaseLedger!$A57="","",CaseLedger!AE57),"")</x:f>
      </x:c>
      <x:c r="Z57" t="str">
        <x:f>IFERROR(IF(CaseLedger!$A57="","",CaseLedger!AF57),"")</x:f>
        <x:v>Anonymized Humanitarians case image 3 for HUM-056</x:v>
      </x:c>
      <x:c r="AA57" t="str">
        <x:f>IFERROR(IF(CaseLedger!$A57="","",CaseLedger!AG57),"")</x:f>
        <x:v>Outcome/follow-up image - add only after consent.</x:v>
      </x:c>
      <x:c r="AB57" t="str">
        <x:f>IFERROR(IF(CaseLedger!$A57="","",CaseLedger!AH57),"")</x:f>
        <x:v>Pending consent</x:v>
      </x:c>
      <x:c r="AC57" t="str">
        <x:f>IFERROR(IF(CaseLedger!$A57="","",CaseLedger!AI57),"")</x:f>
        <x:v>Paste public Google Drive image URLs only after recipient consent and privacy review.</x:v>
      </x:c>
    </x:row>
    <x:row r="58">
      <x:c r="A58" t="str">
        <x:f>IF(CaseLedger!$A58="","",CaseLedger!A58)</x:f>
        <x:v>HUM-057</x:v>
      </x:c>
      <x:c r="B58" t="str">
        <x:f>IF(CaseLedger!$A58="","",CaseLedger!I58)</x:f>
        <x:v>Support for restarting food businees</x:v>
      </x:c>
      <x:c r="C58" t="str">
        <x:f>IF(CaseLedger!$A58="","",CaseLedger!J58)</x:f>
        <x:v>Anonymized case HUM-057</x:v>
      </x:c>
      <x:c r="D58" t="str">
        <x:f>IF(CaseLedger!$A58="","",CaseLedger!K58)</x:f>
        <x:v>Livelihood</x:v>
      </x:c>
      <x:c r="E58" t="str">
        <x:f>IF(CaseLedger!$A58="","",CaseLedger!L58)</x:f>
        <x:v>Shop / business inventory</x:v>
      </x:c>
      <x:c r="F58" t="str">
        <x:f>IF(CaseLedger!$A58="","",CaseLedger!P58)</x:f>
        <x:v>Zakat</x:v>
      </x:c>
      <x:c r="G58" t="str">
        <x:f>IF(CaseLedger!$A58="","",CaseLedger!F58)</x:f>
        <x:v>Dec 2025-Apr 2026</x:v>
      </x:c>
      <x:c r="H58" t="str">
        <x:f>IF(CaseLedger!$A58="","",CaseLedger!Q58)</x:f>
        <x:v>Sundargarh, Odisha</x:v>
      </x:c>
      <x:c r="I58" t="str">
        <x:f>IF(CaseLedger!$A58="","",CaseLedger!R58)</x:f>
        <x:v>₹25,000–₹50,000</x:v>
      </x:c>
      <x:c r="J58" t="str">
        <x:f>IF(CaseLedger!$A58="","",CaseLedger!S58)</x:f>
        <x:v>A verified recipient/family needed support related to shop / business inventory.</x:v>
      </x:c>
      <x:c r="K58" t="str">
        <x:f>IF(CaseLedger!$A58="","",CaseLedger!T58)</x:f>
        <x:v>Humanitarians supported the case through Zakat funds for support for restarting food businees.</x:v>
      </x:c>
      <x:c r="L58" t="str">
        <x:f>IF(CaseLedger!$A58="","",CaseLedger!U58)</x:f>
        <x:v>Outcome/update should be added only after verified follow-up.</x:v>
      </x:c>
      <x:c r="M58" t="str">
        <x:f>IF(CaseLedger!$A58="","",CaseLedger!V58)</x:f>
        <x:v>Add follow-up notes after checking with the verification team.</x:v>
      </x:c>
      <x:c r="N58" t="str">
        <x:f>IF(CaseLedger!$A58="","",CaseLedger!W58)</x:f>
        <x:v>Add a real quote only with consent; do not publish this placeholder as a recipient quote.</x:v>
      </x:c>
      <x:c r="O58" t="str">
        <x:f>IF(CaseLedger!$A58="","",CaseLedger!X58)</x:f>
        <x:v>Anonymized public summary; no full name, phone, address, ID, bank details, or donor identity included.</x:v>
      </x:c>
      <x:c r="P58" t="str">
        <x:f>IF(CaseLedger!$A58="","",CaseLedger!E58)</x:f>
        <x:v>FALSE</x:v>
      </x:c>
      <x:c r="Q58" t="str">
        <x:f>IF(CaseLedger!$A58="","",CaseLedger!C58)</x:f>
        <x:v>No</x:v>
      </x:c>
      <x:c r="R58" t="str">
        <x:f>IF(CaseLedger!$A58="","",CaseLedger!D58)</x:f>
        <x:v>Archive</x:v>
      </x:c>
      <x:c r="S58" t="str">
        <x:f>IFERROR(IF(CaseLedger!$A58="","",CaseLedger!Y58),"")</x:f>
      </x:c>
      <x:c r="T58" t="str">
        <x:f>IFERROR(IF(CaseLedger!$A58="","",CaseLedger!Z58),"")</x:f>
        <x:v>Anonymized Humanitarians case image 1 for HUM-057</x:v>
      </x:c>
      <x:c r="U58" t="str">
        <x:f>IFERROR(IF(CaseLedger!$A58="","",CaseLedger!AA58),"")</x:f>
        <x:v>Before/support context image - add only after consent.</x:v>
      </x:c>
      <x:c r="V58" t="str">
        <x:f>IFERROR(IF(CaseLedger!$A58="","",CaseLedger!AB58),"")</x:f>
      </x:c>
      <x:c r="W58" t="str">
        <x:f>IFERROR(IF(CaseLedger!$A58="","",CaseLedger!AC58),"")</x:f>
        <x:v>Anonymized Humanitarians case image 2 for HUM-057</x:v>
      </x:c>
      <x:c r="X58" t="str">
        <x:f>IFERROR(IF(CaseLedger!$A58="","",CaseLedger!AD58),"")</x:f>
        <x:v>Support/equipment image - add only after consent.</x:v>
      </x:c>
      <x:c r="Y58" t="str">
        <x:f>IFERROR(IF(CaseLedger!$A58="","",CaseLedger!AE58),"")</x:f>
      </x:c>
      <x:c r="Z58" t="str">
        <x:f>IFERROR(IF(CaseLedger!$A58="","",CaseLedger!AF58),"")</x:f>
        <x:v>Anonymized Humanitarians case image 3 for HUM-057</x:v>
      </x:c>
      <x:c r="AA58" t="str">
        <x:f>IFERROR(IF(CaseLedger!$A58="","",CaseLedger!AG58),"")</x:f>
        <x:v>Outcome/follow-up image - add only after consent.</x:v>
      </x:c>
      <x:c r="AB58" t="str">
        <x:f>IFERROR(IF(CaseLedger!$A58="","",CaseLedger!AH58),"")</x:f>
        <x:v>Pending consent</x:v>
      </x:c>
      <x:c r="AC58" t="str">
        <x:f>IFERROR(IF(CaseLedger!$A58="","",CaseLedger!AI58),"")</x:f>
        <x:v>Paste public Google Drive image URLs only after recipient consent and privacy review.</x:v>
      </x:c>
    </x:row>
    <x:row r="59">
      <x:c r="A59" t="str">
        <x:f>IF(CaseLedger!$A59="","",CaseLedger!A59)</x:f>
      </x:c>
      <x:c r="B59" t="str">
        <x:f>IF(CaseLedger!$A59="","",CaseLedger!I59)</x:f>
      </x:c>
      <x:c r="C59" t="str">
        <x:f>IF(CaseLedger!$A59="","",CaseLedger!J59)</x:f>
      </x:c>
      <x:c r="D59" t="str">
        <x:f>IF(CaseLedger!$A59="","",CaseLedger!K59)</x:f>
      </x:c>
      <x:c r="E59" t="str">
        <x:f>IF(CaseLedger!$A59="","",CaseLedger!L59)</x:f>
      </x:c>
      <x:c r="F59" t="str">
        <x:f>IF(CaseLedger!$A59="","",CaseLedger!P59)</x:f>
      </x:c>
      <x:c r="G59" t="str">
        <x:f>IF(CaseLedger!$A59="","",CaseLedger!F59)</x:f>
      </x:c>
      <x:c r="H59" t="str">
        <x:f>IF(CaseLedger!$A59="","",CaseLedger!Q59)</x:f>
      </x:c>
      <x:c r="I59" t="str">
        <x:f>IF(CaseLedger!$A59="","",CaseLedger!R59)</x:f>
      </x:c>
      <x:c r="J59" t="str">
        <x:f>IF(CaseLedger!$A59="","",CaseLedger!S59)</x:f>
      </x:c>
      <x:c r="K59" t="str">
        <x:f>IF(CaseLedger!$A59="","",CaseLedger!T59)</x:f>
      </x:c>
      <x:c r="L59" t="str">
        <x:f>IF(CaseLedger!$A59="","",CaseLedger!U59)</x:f>
      </x:c>
      <x:c r="M59" t="str">
        <x:f>IF(CaseLedger!$A59="","",CaseLedger!V59)</x:f>
      </x:c>
      <x:c r="N59" t="str">
        <x:f>IF(CaseLedger!$A59="","",CaseLedger!W59)</x:f>
      </x:c>
      <x:c r="O59" t="str">
        <x:f>IF(CaseLedger!$A59="","",CaseLedger!X59)</x:f>
      </x:c>
      <x:c r="P59" t="str">
        <x:f>IF(CaseLedger!$A59="","",CaseLedger!E59)</x:f>
      </x:c>
      <x:c r="Q59" t="str">
        <x:f>IF(CaseLedger!$A59="","",CaseLedger!C59)</x:f>
      </x:c>
      <x:c r="R59" t="str">
        <x:f>IF(CaseLedger!$A59="","",CaseLedger!D59)</x:f>
      </x:c>
      <x:c r="S59" t="str">
        <x:f>IFERROR(IF(CaseLedger!$A59="","",CaseLedger!Y59),"")</x:f>
      </x:c>
      <x:c r="T59" t="str">
        <x:f>IFERROR(IF(CaseLedger!$A59="","",CaseLedger!Z59),"")</x:f>
      </x:c>
      <x:c r="U59" t="str">
        <x:f>IFERROR(IF(CaseLedger!$A59="","",CaseLedger!AA59),"")</x:f>
      </x:c>
      <x:c r="V59" t="str">
        <x:f>IFERROR(IF(CaseLedger!$A59="","",CaseLedger!AB59),"")</x:f>
      </x:c>
      <x:c r="W59" t="str">
        <x:f>IFERROR(IF(CaseLedger!$A59="","",CaseLedger!AC59),"")</x:f>
      </x:c>
      <x:c r="X59" t="str">
        <x:f>IFERROR(IF(CaseLedger!$A59="","",CaseLedger!AD59),"")</x:f>
      </x:c>
      <x:c r="Y59" t="str">
        <x:f>IFERROR(IF(CaseLedger!$A59="","",CaseLedger!AE59),"")</x:f>
      </x:c>
      <x:c r="Z59" t="str">
        <x:f>IFERROR(IF(CaseLedger!$A59="","",CaseLedger!AF59),"")</x:f>
      </x:c>
      <x:c r="AA59" t="str">
        <x:f>IFERROR(IF(CaseLedger!$A59="","",CaseLedger!AG59),"")</x:f>
      </x:c>
      <x:c r="AB59" t="str">
        <x:f>IFERROR(IF(CaseLedger!$A59="","",CaseLedger!AH59),"")</x:f>
      </x:c>
      <x:c r="AC59" t="str">
        <x:f>IFERROR(IF(CaseLedger!$A59="","",CaseLedger!AI59),"")</x:f>
      </x:c>
    </x:row>
    <x:row r="60">
      <x:c r="A60" t="str">
        <x:f>IF(CaseLedger!$A60="","",CaseLedger!A60)</x:f>
      </x:c>
      <x:c r="B60" t="str">
        <x:f>IF(CaseLedger!$A60="","",CaseLedger!I60)</x:f>
      </x:c>
      <x:c r="C60" t="str">
        <x:f>IF(CaseLedger!$A60="","",CaseLedger!J60)</x:f>
      </x:c>
      <x:c r="D60" t="str">
        <x:f>IF(CaseLedger!$A60="","",CaseLedger!K60)</x:f>
      </x:c>
      <x:c r="E60" t="str">
        <x:f>IF(CaseLedger!$A60="","",CaseLedger!L60)</x:f>
      </x:c>
      <x:c r="F60" t="str">
        <x:f>IF(CaseLedger!$A60="","",CaseLedger!P60)</x:f>
      </x:c>
      <x:c r="G60" t="str">
        <x:f>IF(CaseLedger!$A60="","",CaseLedger!F60)</x:f>
      </x:c>
      <x:c r="H60" t="str">
        <x:f>IF(CaseLedger!$A60="","",CaseLedger!Q60)</x:f>
      </x:c>
      <x:c r="I60" t="str">
        <x:f>IF(CaseLedger!$A60="","",CaseLedger!R60)</x:f>
      </x:c>
      <x:c r="J60" t="str">
        <x:f>IF(CaseLedger!$A60="","",CaseLedger!S60)</x:f>
      </x:c>
      <x:c r="K60" t="str">
        <x:f>IF(CaseLedger!$A60="","",CaseLedger!T60)</x:f>
      </x:c>
      <x:c r="L60" t="str">
        <x:f>IF(CaseLedger!$A60="","",CaseLedger!U60)</x:f>
      </x:c>
      <x:c r="M60" t="str">
        <x:f>IF(CaseLedger!$A60="","",CaseLedger!V60)</x:f>
      </x:c>
      <x:c r="N60" t="str">
        <x:f>IF(CaseLedger!$A60="","",CaseLedger!W60)</x:f>
      </x:c>
      <x:c r="O60" t="str">
        <x:f>IF(CaseLedger!$A60="","",CaseLedger!X60)</x:f>
      </x:c>
      <x:c r="P60" t="str">
        <x:f>IF(CaseLedger!$A60="","",CaseLedger!E60)</x:f>
      </x:c>
      <x:c r="Q60" t="str">
        <x:f>IF(CaseLedger!$A60="","",CaseLedger!C60)</x:f>
      </x:c>
      <x:c r="R60" t="str">
        <x:f>IF(CaseLedger!$A60="","",CaseLedger!D60)</x:f>
      </x:c>
      <x:c r="S60" t="str">
        <x:f>IFERROR(IF(CaseLedger!$A60="","",CaseLedger!Y60),"")</x:f>
      </x:c>
      <x:c r="T60" t="str">
        <x:f>IFERROR(IF(CaseLedger!$A60="","",CaseLedger!Z60),"")</x:f>
      </x:c>
      <x:c r="U60" t="str">
        <x:f>IFERROR(IF(CaseLedger!$A60="","",CaseLedger!AA60),"")</x:f>
      </x:c>
      <x:c r="V60" t="str">
        <x:f>IFERROR(IF(CaseLedger!$A60="","",CaseLedger!AB60),"")</x:f>
      </x:c>
      <x:c r="W60" t="str">
        <x:f>IFERROR(IF(CaseLedger!$A60="","",CaseLedger!AC60),"")</x:f>
      </x:c>
      <x:c r="X60" t="str">
        <x:f>IFERROR(IF(CaseLedger!$A60="","",CaseLedger!AD60),"")</x:f>
      </x:c>
      <x:c r="Y60" t="str">
        <x:f>IFERROR(IF(CaseLedger!$A60="","",CaseLedger!AE60),"")</x:f>
      </x:c>
      <x:c r="Z60" t="str">
        <x:f>IFERROR(IF(CaseLedger!$A60="","",CaseLedger!AF60),"")</x:f>
      </x:c>
      <x:c r="AA60" t="str">
        <x:f>IFERROR(IF(CaseLedger!$A60="","",CaseLedger!AG60),"")</x:f>
      </x:c>
      <x:c r="AB60" t="str">
        <x:f>IFERROR(IF(CaseLedger!$A60="","",CaseLedger!AH60),"")</x:f>
      </x:c>
      <x:c r="AC60" t="str">
        <x:f>IFERROR(IF(CaseLedger!$A60="","",CaseLedger!AI60),"")</x:f>
      </x:c>
    </x:row>
    <x:row r="61">
      <x:c r="A61" t="str">
        <x:f>IF(CaseLedger!$A61="","",CaseLedger!A61)</x:f>
      </x:c>
      <x:c r="B61" t="str">
        <x:f>IF(CaseLedger!$A61="","",CaseLedger!I61)</x:f>
      </x:c>
      <x:c r="C61" t="str">
        <x:f>IF(CaseLedger!$A61="","",CaseLedger!J61)</x:f>
      </x:c>
      <x:c r="D61" t="str">
        <x:f>IF(CaseLedger!$A61="","",CaseLedger!K61)</x:f>
      </x:c>
      <x:c r="E61" t="str">
        <x:f>IF(CaseLedger!$A61="","",CaseLedger!L61)</x:f>
      </x:c>
      <x:c r="F61" t="str">
        <x:f>IF(CaseLedger!$A61="","",CaseLedger!P61)</x:f>
      </x:c>
      <x:c r="G61" t="str">
        <x:f>IF(CaseLedger!$A61="","",CaseLedger!F61)</x:f>
      </x:c>
      <x:c r="H61" t="str">
        <x:f>IF(CaseLedger!$A61="","",CaseLedger!Q61)</x:f>
      </x:c>
      <x:c r="I61" t="str">
        <x:f>IF(CaseLedger!$A61="","",CaseLedger!R61)</x:f>
      </x:c>
      <x:c r="J61" t="str">
        <x:f>IF(CaseLedger!$A61="","",CaseLedger!S61)</x:f>
      </x:c>
      <x:c r="K61" t="str">
        <x:f>IF(CaseLedger!$A61="","",CaseLedger!T61)</x:f>
      </x:c>
      <x:c r="L61" t="str">
        <x:f>IF(CaseLedger!$A61="","",CaseLedger!U61)</x:f>
      </x:c>
      <x:c r="M61" t="str">
        <x:f>IF(CaseLedger!$A61="","",CaseLedger!V61)</x:f>
      </x:c>
      <x:c r="N61" t="str">
        <x:f>IF(CaseLedger!$A61="","",CaseLedger!W61)</x:f>
      </x:c>
      <x:c r="O61" t="str">
        <x:f>IF(CaseLedger!$A61="","",CaseLedger!X61)</x:f>
      </x:c>
      <x:c r="P61" t="str">
        <x:f>IF(CaseLedger!$A61="","",CaseLedger!E61)</x:f>
      </x:c>
      <x:c r="Q61" t="str">
        <x:f>IF(CaseLedger!$A61="","",CaseLedger!C61)</x:f>
      </x:c>
      <x:c r="R61" t="str">
        <x:f>IF(CaseLedger!$A61="","",CaseLedger!D61)</x:f>
      </x:c>
      <x:c r="S61" t="str">
        <x:f>IFERROR(IF(CaseLedger!$A61="","",CaseLedger!Y61),"")</x:f>
      </x:c>
      <x:c r="T61" t="str">
        <x:f>IFERROR(IF(CaseLedger!$A61="","",CaseLedger!Z61),"")</x:f>
      </x:c>
      <x:c r="U61" t="str">
        <x:f>IFERROR(IF(CaseLedger!$A61="","",CaseLedger!AA61),"")</x:f>
      </x:c>
      <x:c r="V61" t="str">
        <x:f>IFERROR(IF(CaseLedger!$A61="","",CaseLedger!AB61),"")</x:f>
      </x:c>
      <x:c r="W61" t="str">
        <x:f>IFERROR(IF(CaseLedger!$A61="","",CaseLedger!AC61),"")</x:f>
      </x:c>
      <x:c r="X61" t="str">
        <x:f>IFERROR(IF(CaseLedger!$A61="","",CaseLedger!AD61),"")</x:f>
      </x:c>
      <x:c r="Y61" t="str">
        <x:f>IFERROR(IF(CaseLedger!$A61="","",CaseLedger!AE61),"")</x:f>
      </x:c>
      <x:c r="Z61" t="str">
        <x:f>IFERROR(IF(CaseLedger!$A61="","",CaseLedger!AF61),"")</x:f>
      </x:c>
      <x:c r="AA61" t="str">
        <x:f>IFERROR(IF(CaseLedger!$A61="","",CaseLedger!AG61),"")</x:f>
      </x:c>
      <x:c r="AB61" t="str">
        <x:f>IFERROR(IF(CaseLedger!$A61="","",CaseLedger!AH61),"")</x:f>
      </x:c>
      <x:c r="AC61" t="str">
        <x:f>IFERROR(IF(CaseLedger!$A61="","",CaseLedger!AI61),"")</x:f>
      </x:c>
    </x:row>
    <x:row r="62">
      <x:c r="A62" t="str">
        <x:f>IF(CaseLedger!$A62="","",CaseLedger!A62)</x:f>
      </x:c>
      <x:c r="B62" t="str">
        <x:f>IF(CaseLedger!$A62="","",CaseLedger!I62)</x:f>
      </x:c>
      <x:c r="C62" t="str">
        <x:f>IF(CaseLedger!$A62="","",CaseLedger!J62)</x:f>
      </x:c>
      <x:c r="D62" t="str">
        <x:f>IF(CaseLedger!$A62="","",CaseLedger!K62)</x:f>
      </x:c>
      <x:c r="E62" t="str">
        <x:f>IF(CaseLedger!$A62="","",CaseLedger!L62)</x:f>
      </x:c>
      <x:c r="F62" t="str">
        <x:f>IF(CaseLedger!$A62="","",CaseLedger!P62)</x:f>
      </x:c>
      <x:c r="G62" t="str">
        <x:f>IF(CaseLedger!$A62="","",CaseLedger!F62)</x:f>
      </x:c>
      <x:c r="H62" t="str">
        <x:f>IF(CaseLedger!$A62="","",CaseLedger!Q62)</x:f>
      </x:c>
      <x:c r="I62" t="str">
        <x:f>IF(CaseLedger!$A62="","",CaseLedger!R62)</x:f>
      </x:c>
      <x:c r="J62" t="str">
        <x:f>IF(CaseLedger!$A62="","",CaseLedger!S62)</x:f>
      </x:c>
      <x:c r="K62" t="str">
        <x:f>IF(CaseLedger!$A62="","",CaseLedger!T62)</x:f>
      </x:c>
      <x:c r="L62" t="str">
        <x:f>IF(CaseLedger!$A62="","",CaseLedger!U62)</x:f>
      </x:c>
      <x:c r="M62" t="str">
        <x:f>IF(CaseLedger!$A62="","",CaseLedger!V62)</x:f>
      </x:c>
      <x:c r="N62" t="str">
        <x:f>IF(CaseLedger!$A62="","",CaseLedger!W62)</x:f>
      </x:c>
      <x:c r="O62" t="str">
        <x:f>IF(CaseLedger!$A62="","",CaseLedger!X62)</x:f>
      </x:c>
      <x:c r="P62" t="str">
        <x:f>IF(CaseLedger!$A62="","",CaseLedger!E62)</x:f>
      </x:c>
      <x:c r="Q62" t="str">
        <x:f>IF(CaseLedger!$A62="","",CaseLedger!C62)</x:f>
      </x:c>
      <x:c r="R62" t="str">
        <x:f>IF(CaseLedger!$A62="","",CaseLedger!D62)</x:f>
      </x:c>
      <x:c r="S62" t="str">
        <x:f>IFERROR(IF(CaseLedger!$A62="","",CaseLedger!Y62),"")</x:f>
      </x:c>
      <x:c r="T62" t="str">
        <x:f>IFERROR(IF(CaseLedger!$A62="","",CaseLedger!Z62),"")</x:f>
      </x:c>
      <x:c r="U62" t="str">
        <x:f>IFERROR(IF(CaseLedger!$A62="","",CaseLedger!AA62),"")</x:f>
      </x:c>
      <x:c r="V62" t="str">
        <x:f>IFERROR(IF(CaseLedger!$A62="","",CaseLedger!AB62),"")</x:f>
      </x:c>
      <x:c r="W62" t="str">
        <x:f>IFERROR(IF(CaseLedger!$A62="","",CaseLedger!AC62),"")</x:f>
      </x:c>
      <x:c r="X62" t="str">
        <x:f>IFERROR(IF(CaseLedger!$A62="","",CaseLedger!AD62),"")</x:f>
      </x:c>
      <x:c r="Y62" t="str">
        <x:f>IFERROR(IF(CaseLedger!$A62="","",CaseLedger!AE62),"")</x:f>
      </x:c>
      <x:c r="Z62" t="str">
        <x:f>IFERROR(IF(CaseLedger!$A62="","",CaseLedger!AF62),"")</x:f>
      </x:c>
      <x:c r="AA62" t="str">
        <x:f>IFERROR(IF(CaseLedger!$A62="","",CaseLedger!AG62),"")</x:f>
      </x:c>
      <x:c r="AB62" t="str">
        <x:f>IFERROR(IF(CaseLedger!$A62="","",CaseLedger!AH62),"")</x:f>
      </x:c>
      <x:c r="AC62" t="str">
        <x:f>IFERROR(IF(CaseLedger!$A62="","",CaseLedger!AI62),"")</x:f>
      </x:c>
    </x:row>
    <x:row r="63">
      <x:c r="A63" t="str">
        <x:f>IF(CaseLedger!$A63="","",CaseLedger!A63)</x:f>
      </x:c>
      <x:c r="B63" t="str">
        <x:f>IF(CaseLedger!$A63="","",CaseLedger!I63)</x:f>
      </x:c>
      <x:c r="C63" t="str">
        <x:f>IF(CaseLedger!$A63="","",CaseLedger!J63)</x:f>
      </x:c>
      <x:c r="D63" t="str">
        <x:f>IF(CaseLedger!$A63="","",CaseLedger!K63)</x:f>
      </x:c>
      <x:c r="E63" t="str">
        <x:f>IF(CaseLedger!$A63="","",CaseLedger!L63)</x:f>
      </x:c>
      <x:c r="F63" t="str">
        <x:f>IF(CaseLedger!$A63="","",CaseLedger!P63)</x:f>
      </x:c>
      <x:c r="G63" t="str">
        <x:f>IF(CaseLedger!$A63="","",CaseLedger!F63)</x:f>
      </x:c>
      <x:c r="H63" t="str">
        <x:f>IF(CaseLedger!$A63="","",CaseLedger!Q63)</x:f>
      </x:c>
      <x:c r="I63" t="str">
        <x:f>IF(CaseLedger!$A63="","",CaseLedger!R63)</x:f>
      </x:c>
      <x:c r="J63" t="str">
        <x:f>IF(CaseLedger!$A63="","",CaseLedger!S63)</x:f>
      </x:c>
      <x:c r="K63" t="str">
        <x:f>IF(CaseLedger!$A63="","",CaseLedger!T63)</x:f>
      </x:c>
      <x:c r="L63" t="str">
        <x:f>IF(CaseLedger!$A63="","",CaseLedger!U63)</x:f>
      </x:c>
      <x:c r="M63" t="str">
        <x:f>IF(CaseLedger!$A63="","",CaseLedger!V63)</x:f>
      </x:c>
      <x:c r="N63" t="str">
        <x:f>IF(CaseLedger!$A63="","",CaseLedger!W63)</x:f>
      </x:c>
      <x:c r="O63" t="str">
        <x:f>IF(CaseLedger!$A63="","",CaseLedger!X63)</x:f>
      </x:c>
      <x:c r="P63" t="str">
        <x:f>IF(CaseLedger!$A63="","",CaseLedger!E63)</x:f>
      </x:c>
      <x:c r="Q63" t="str">
        <x:f>IF(CaseLedger!$A63="","",CaseLedger!C63)</x:f>
      </x:c>
      <x:c r="R63" t="str">
        <x:f>IF(CaseLedger!$A63="","",CaseLedger!D63)</x:f>
      </x:c>
      <x:c r="S63" t="str">
        <x:f>IFERROR(IF(CaseLedger!$A63="","",CaseLedger!Y63),"")</x:f>
      </x:c>
      <x:c r="T63" t="str">
        <x:f>IFERROR(IF(CaseLedger!$A63="","",CaseLedger!Z63),"")</x:f>
      </x:c>
      <x:c r="U63" t="str">
        <x:f>IFERROR(IF(CaseLedger!$A63="","",CaseLedger!AA63),"")</x:f>
      </x:c>
      <x:c r="V63" t="str">
        <x:f>IFERROR(IF(CaseLedger!$A63="","",CaseLedger!AB63),"")</x:f>
      </x:c>
      <x:c r="W63" t="str">
        <x:f>IFERROR(IF(CaseLedger!$A63="","",CaseLedger!AC63),"")</x:f>
      </x:c>
      <x:c r="X63" t="str">
        <x:f>IFERROR(IF(CaseLedger!$A63="","",CaseLedger!AD63),"")</x:f>
      </x:c>
      <x:c r="Y63" t="str">
        <x:f>IFERROR(IF(CaseLedger!$A63="","",CaseLedger!AE63),"")</x:f>
      </x:c>
      <x:c r="Z63" t="str">
        <x:f>IFERROR(IF(CaseLedger!$A63="","",CaseLedger!AF63),"")</x:f>
      </x:c>
      <x:c r="AA63" t="str">
        <x:f>IFERROR(IF(CaseLedger!$A63="","",CaseLedger!AG63),"")</x:f>
      </x:c>
      <x:c r="AB63" t="str">
        <x:f>IFERROR(IF(CaseLedger!$A63="","",CaseLedger!AH63),"")</x:f>
      </x:c>
      <x:c r="AC63" t="str">
        <x:f>IFERROR(IF(CaseLedger!$A63="","",CaseLedger!AI63),"")</x:f>
      </x:c>
    </x:row>
    <x:row r="64">
      <x:c r="A64" t="str">
        <x:f>IF(CaseLedger!$A64="","",CaseLedger!A64)</x:f>
      </x:c>
      <x:c r="B64" t="str">
        <x:f>IF(CaseLedger!$A64="","",CaseLedger!I64)</x:f>
      </x:c>
      <x:c r="C64" t="str">
        <x:f>IF(CaseLedger!$A64="","",CaseLedger!J64)</x:f>
      </x:c>
      <x:c r="D64" t="str">
        <x:f>IF(CaseLedger!$A64="","",CaseLedger!K64)</x:f>
      </x:c>
      <x:c r="E64" t="str">
        <x:f>IF(CaseLedger!$A64="","",CaseLedger!L64)</x:f>
      </x:c>
      <x:c r="F64" t="str">
        <x:f>IF(CaseLedger!$A64="","",CaseLedger!P64)</x:f>
      </x:c>
      <x:c r="G64" t="str">
        <x:f>IF(CaseLedger!$A64="","",CaseLedger!F64)</x:f>
      </x:c>
      <x:c r="H64" t="str">
        <x:f>IF(CaseLedger!$A64="","",CaseLedger!Q64)</x:f>
      </x:c>
      <x:c r="I64" t="str">
        <x:f>IF(CaseLedger!$A64="","",CaseLedger!R64)</x:f>
      </x:c>
      <x:c r="J64" t="str">
        <x:f>IF(CaseLedger!$A64="","",CaseLedger!S64)</x:f>
      </x:c>
      <x:c r="K64" t="str">
        <x:f>IF(CaseLedger!$A64="","",CaseLedger!T64)</x:f>
      </x:c>
      <x:c r="L64" t="str">
        <x:f>IF(CaseLedger!$A64="","",CaseLedger!U64)</x:f>
      </x:c>
      <x:c r="M64" t="str">
        <x:f>IF(CaseLedger!$A64="","",CaseLedger!V64)</x:f>
      </x:c>
      <x:c r="N64" t="str">
        <x:f>IF(CaseLedger!$A64="","",CaseLedger!W64)</x:f>
      </x:c>
      <x:c r="O64" t="str">
        <x:f>IF(CaseLedger!$A64="","",CaseLedger!X64)</x:f>
      </x:c>
      <x:c r="P64" t="str">
        <x:f>IF(CaseLedger!$A64="","",CaseLedger!E64)</x:f>
      </x:c>
      <x:c r="Q64" t="str">
        <x:f>IF(CaseLedger!$A64="","",CaseLedger!C64)</x:f>
      </x:c>
      <x:c r="R64" t="str">
        <x:f>IF(CaseLedger!$A64="","",CaseLedger!D64)</x:f>
      </x:c>
      <x:c r="S64" t="str">
        <x:f>IFERROR(IF(CaseLedger!$A64="","",CaseLedger!Y64),"")</x:f>
      </x:c>
      <x:c r="T64" t="str">
        <x:f>IFERROR(IF(CaseLedger!$A64="","",CaseLedger!Z64),"")</x:f>
      </x:c>
      <x:c r="U64" t="str">
        <x:f>IFERROR(IF(CaseLedger!$A64="","",CaseLedger!AA64),"")</x:f>
      </x:c>
      <x:c r="V64" t="str">
        <x:f>IFERROR(IF(CaseLedger!$A64="","",CaseLedger!AB64),"")</x:f>
      </x:c>
      <x:c r="W64" t="str">
        <x:f>IFERROR(IF(CaseLedger!$A64="","",CaseLedger!AC64),"")</x:f>
      </x:c>
      <x:c r="X64" t="str">
        <x:f>IFERROR(IF(CaseLedger!$A64="","",CaseLedger!AD64),"")</x:f>
      </x:c>
      <x:c r="Y64" t="str">
        <x:f>IFERROR(IF(CaseLedger!$A64="","",CaseLedger!AE64),"")</x:f>
      </x:c>
      <x:c r="Z64" t="str">
        <x:f>IFERROR(IF(CaseLedger!$A64="","",CaseLedger!AF64),"")</x:f>
      </x:c>
      <x:c r="AA64" t="str">
        <x:f>IFERROR(IF(CaseLedger!$A64="","",CaseLedger!AG64),"")</x:f>
      </x:c>
      <x:c r="AB64" t="str">
        <x:f>IFERROR(IF(CaseLedger!$A64="","",CaseLedger!AH64),"")</x:f>
      </x:c>
      <x:c r="AC64" t="str">
        <x:f>IFERROR(IF(CaseLedger!$A64="","",CaseLedger!AI64),"")</x:f>
      </x:c>
    </x:row>
    <x:row r="65">
      <x:c r="A65" t="str">
        <x:f>IF(CaseLedger!$A65="","",CaseLedger!A65)</x:f>
      </x:c>
      <x:c r="B65" t="str">
        <x:f>IF(CaseLedger!$A65="","",CaseLedger!I65)</x:f>
      </x:c>
      <x:c r="C65" t="str">
        <x:f>IF(CaseLedger!$A65="","",CaseLedger!J65)</x:f>
      </x:c>
      <x:c r="D65" t="str">
        <x:f>IF(CaseLedger!$A65="","",CaseLedger!K65)</x:f>
      </x:c>
      <x:c r="E65" t="str">
        <x:f>IF(CaseLedger!$A65="","",CaseLedger!L65)</x:f>
      </x:c>
      <x:c r="F65" t="str">
        <x:f>IF(CaseLedger!$A65="","",CaseLedger!P65)</x:f>
      </x:c>
      <x:c r="G65" t="str">
        <x:f>IF(CaseLedger!$A65="","",CaseLedger!F65)</x:f>
      </x:c>
      <x:c r="H65" t="str">
        <x:f>IF(CaseLedger!$A65="","",CaseLedger!Q65)</x:f>
      </x:c>
      <x:c r="I65" t="str">
        <x:f>IF(CaseLedger!$A65="","",CaseLedger!R65)</x:f>
      </x:c>
      <x:c r="J65" t="str">
        <x:f>IF(CaseLedger!$A65="","",CaseLedger!S65)</x:f>
      </x:c>
      <x:c r="K65" t="str">
        <x:f>IF(CaseLedger!$A65="","",CaseLedger!T65)</x:f>
      </x:c>
      <x:c r="L65" t="str">
        <x:f>IF(CaseLedger!$A65="","",CaseLedger!U65)</x:f>
      </x:c>
      <x:c r="M65" t="str">
        <x:f>IF(CaseLedger!$A65="","",CaseLedger!V65)</x:f>
      </x:c>
      <x:c r="N65" t="str">
        <x:f>IF(CaseLedger!$A65="","",CaseLedger!W65)</x:f>
      </x:c>
      <x:c r="O65" t="str">
        <x:f>IF(CaseLedger!$A65="","",CaseLedger!X65)</x:f>
      </x:c>
      <x:c r="P65" t="str">
        <x:f>IF(CaseLedger!$A65="","",CaseLedger!E65)</x:f>
      </x:c>
      <x:c r="Q65" t="str">
        <x:f>IF(CaseLedger!$A65="","",CaseLedger!C65)</x:f>
      </x:c>
      <x:c r="R65" t="str">
        <x:f>IF(CaseLedger!$A65="","",CaseLedger!D65)</x:f>
      </x:c>
      <x:c r="S65" t="str">
        <x:f>IFERROR(IF(CaseLedger!$A65="","",CaseLedger!Y65),"")</x:f>
      </x:c>
      <x:c r="T65" t="str">
        <x:f>IFERROR(IF(CaseLedger!$A65="","",CaseLedger!Z65),"")</x:f>
      </x:c>
      <x:c r="U65" t="str">
        <x:f>IFERROR(IF(CaseLedger!$A65="","",CaseLedger!AA65),"")</x:f>
      </x:c>
      <x:c r="V65" t="str">
        <x:f>IFERROR(IF(CaseLedger!$A65="","",CaseLedger!AB65),"")</x:f>
      </x:c>
      <x:c r="W65" t="str">
        <x:f>IFERROR(IF(CaseLedger!$A65="","",CaseLedger!AC65),"")</x:f>
      </x:c>
      <x:c r="X65" t="str">
        <x:f>IFERROR(IF(CaseLedger!$A65="","",CaseLedger!AD65),"")</x:f>
      </x:c>
      <x:c r="Y65" t="str">
        <x:f>IFERROR(IF(CaseLedger!$A65="","",CaseLedger!AE65),"")</x:f>
      </x:c>
      <x:c r="Z65" t="str">
        <x:f>IFERROR(IF(CaseLedger!$A65="","",CaseLedger!AF65),"")</x:f>
      </x:c>
      <x:c r="AA65" t="str">
        <x:f>IFERROR(IF(CaseLedger!$A65="","",CaseLedger!AG65),"")</x:f>
      </x:c>
      <x:c r="AB65" t="str">
        <x:f>IFERROR(IF(CaseLedger!$A65="","",CaseLedger!AH65),"")</x:f>
      </x:c>
      <x:c r="AC65" t="str">
        <x:f>IFERROR(IF(CaseLedger!$A65="","",CaseLedger!AI65),"")</x:f>
      </x:c>
    </x:row>
    <x:row r="66">
      <x:c r="A66" t="str">
        <x:f>IF(CaseLedger!$A66="","",CaseLedger!A66)</x:f>
      </x:c>
      <x:c r="B66" t="str">
        <x:f>IF(CaseLedger!$A66="","",CaseLedger!I66)</x:f>
      </x:c>
      <x:c r="C66" t="str">
        <x:f>IF(CaseLedger!$A66="","",CaseLedger!J66)</x:f>
      </x:c>
      <x:c r="D66" t="str">
        <x:f>IF(CaseLedger!$A66="","",CaseLedger!K66)</x:f>
      </x:c>
      <x:c r="E66" t="str">
        <x:f>IF(CaseLedger!$A66="","",CaseLedger!L66)</x:f>
      </x:c>
      <x:c r="F66" t="str">
        <x:f>IF(CaseLedger!$A66="","",CaseLedger!P66)</x:f>
      </x:c>
      <x:c r="G66" t="str">
        <x:f>IF(CaseLedger!$A66="","",CaseLedger!F66)</x:f>
      </x:c>
      <x:c r="H66" t="str">
        <x:f>IF(CaseLedger!$A66="","",CaseLedger!Q66)</x:f>
      </x:c>
      <x:c r="I66" t="str">
        <x:f>IF(CaseLedger!$A66="","",CaseLedger!R66)</x:f>
      </x:c>
      <x:c r="J66" t="str">
        <x:f>IF(CaseLedger!$A66="","",CaseLedger!S66)</x:f>
      </x:c>
      <x:c r="K66" t="str">
        <x:f>IF(CaseLedger!$A66="","",CaseLedger!T66)</x:f>
      </x:c>
      <x:c r="L66" t="str">
        <x:f>IF(CaseLedger!$A66="","",CaseLedger!U66)</x:f>
      </x:c>
      <x:c r="M66" t="str">
        <x:f>IF(CaseLedger!$A66="","",CaseLedger!V66)</x:f>
      </x:c>
      <x:c r="N66" t="str">
        <x:f>IF(CaseLedger!$A66="","",CaseLedger!W66)</x:f>
      </x:c>
      <x:c r="O66" t="str">
        <x:f>IF(CaseLedger!$A66="","",CaseLedger!X66)</x:f>
      </x:c>
      <x:c r="P66" t="str">
        <x:f>IF(CaseLedger!$A66="","",CaseLedger!E66)</x:f>
      </x:c>
      <x:c r="Q66" t="str">
        <x:f>IF(CaseLedger!$A66="","",CaseLedger!C66)</x:f>
      </x:c>
      <x:c r="R66" t="str">
        <x:f>IF(CaseLedger!$A66="","",CaseLedger!D66)</x:f>
      </x:c>
      <x:c r="S66" t="str">
        <x:f>IFERROR(IF(CaseLedger!$A66="","",CaseLedger!Y66),"")</x:f>
      </x:c>
      <x:c r="T66" t="str">
        <x:f>IFERROR(IF(CaseLedger!$A66="","",CaseLedger!Z66),"")</x:f>
      </x:c>
      <x:c r="U66" t="str">
        <x:f>IFERROR(IF(CaseLedger!$A66="","",CaseLedger!AA66),"")</x:f>
      </x:c>
      <x:c r="V66" t="str">
        <x:f>IFERROR(IF(CaseLedger!$A66="","",CaseLedger!AB66),"")</x:f>
      </x:c>
      <x:c r="W66" t="str">
        <x:f>IFERROR(IF(CaseLedger!$A66="","",CaseLedger!AC66),"")</x:f>
      </x:c>
      <x:c r="X66" t="str">
        <x:f>IFERROR(IF(CaseLedger!$A66="","",CaseLedger!AD66),"")</x:f>
      </x:c>
      <x:c r="Y66" t="str">
        <x:f>IFERROR(IF(CaseLedger!$A66="","",CaseLedger!AE66),"")</x:f>
      </x:c>
      <x:c r="Z66" t="str">
        <x:f>IFERROR(IF(CaseLedger!$A66="","",CaseLedger!AF66),"")</x:f>
      </x:c>
      <x:c r="AA66" t="str">
        <x:f>IFERROR(IF(CaseLedger!$A66="","",CaseLedger!AG66),"")</x:f>
      </x:c>
      <x:c r="AB66" t="str">
        <x:f>IFERROR(IF(CaseLedger!$A66="","",CaseLedger!AH66),"")</x:f>
      </x:c>
      <x:c r="AC66" t="str">
        <x:f>IFERROR(IF(CaseLedger!$A66="","",CaseLedger!AI66),"")</x:f>
      </x:c>
    </x:row>
    <x:row r="67">
      <x:c r="A67" t="str">
        <x:f>IF(CaseLedger!$A67="","",CaseLedger!A67)</x:f>
      </x:c>
      <x:c r="B67" t="str">
        <x:f>IF(CaseLedger!$A67="","",CaseLedger!I67)</x:f>
      </x:c>
      <x:c r="C67" t="str">
        <x:f>IF(CaseLedger!$A67="","",CaseLedger!J67)</x:f>
      </x:c>
      <x:c r="D67" t="str">
        <x:f>IF(CaseLedger!$A67="","",CaseLedger!K67)</x:f>
      </x:c>
      <x:c r="E67" t="str">
        <x:f>IF(CaseLedger!$A67="","",CaseLedger!L67)</x:f>
      </x:c>
      <x:c r="F67" t="str">
        <x:f>IF(CaseLedger!$A67="","",CaseLedger!P67)</x:f>
      </x:c>
      <x:c r="G67" t="str">
        <x:f>IF(CaseLedger!$A67="","",CaseLedger!F67)</x:f>
      </x:c>
      <x:c r="H67" t="str">
        <x:f>IF(CaseLedger!$A67="","",CaseLedger!Q67)</x:f>
      </x:c>
      <x:c r="I67" t="str">
        <x:f>IF(CaseLedger!$A67="","",CaseLedger!R67)</x:f>
      </x:c>
      <x:c r="J67" t="str">
        <x:f>IF(CaseLedger!$A67="","",CaseLedger!S67)</x:f>
      </x:c>
      <x:c r="K67" t="str">
        <x:f>IF(CaseLedger!$A67="","",CaseLedger!T67)</x:f>
      </x:c>
      <x:c r="L67" t="str">
        <x:f>IF(CaseLedger!$A67="","",CaseLedger!U67)</x:f>
      </x:c>
      <x:c r="M67" t="str">
        <x:f>IF(CaseLedger!$A67="","",CaseLedger!V67)</x:f>
      </x:c>
      <x:c r="N67" t="str">
        <x:f>IF(CaseLedger!$A67="","",CaseLedger!W67)</x:f>
      </x:c>
      <x:c r="O67" t="str">
        <x:f>IF(CaseLedger!$A67="","",CaseLedger!X67)</x:f>
      </x:c>
      <x:c r="P67" t="str">
        <x:f>IF(CaseLedger!$A67="","",CaseLedger!E67)</x:f>
      </x:c>
      <x:c r="Q67" t="str">
        <x:f>IF(CaseLedger!$A67="","",CaseLedger!C67)</x:f>
      </x:c>
      <x:c r="R67" t="str">
        <x:f>IF(CaseLedger!$A67="","",CaseLedger!D67)</x:f>
      </x:c>
      <x:c r="S67" t="str">
        <x:f>IFERROR(IF(CaseLedger!$A67="","",CaseLedger!Y67),"")</x:f>
      </x:c>
      <x:c r="T67" t="str">
        <x:f>IFERROR(IF(CaseLedger!$A67="","",CaseLedger!Z67),"")</x:f>
      </x:c>
      <x:c r="U67" t="str">
        <x:f>IFERROR(IF(CaseLedger!$A67="","",CaseLedger!AA67),"")</x:f>
      </x:c>
      <x:c r="V67" t="str">
        <x:f>IFERROR(IF(CaseLedger!$A67="","",CaseLedger!AB67),"")</x:f>
      </x:c>
      <x:c r="W67" t="str">
        <x:f>IFERROR(IF(CaseLedger!$A67="","",CaseLedger!AC67),"")</x:f>
      </x:c>
      <x:c r="X67" t="str">
        <x:f>IFERROR(IF(CaseLedger!$A67="","",CaseLedger!AD67),"")</x:f>
      </x:c>
      <x:c r="Y67" t="str">
        <x:f>IFERROR(IF(CaseLedger!$A67="","",CaseLedger!AE67),"")</x:f>
      </x:c>
      <x:c r="Z67" t="str">
        <x:f>IFERROR(IF(CaseLedger!$A67="","",CaseLedger!AF67),"")</x:f>
      </x:c>
      <x:c r="AA67" t="str">
        <x:f>IFERROR(IF(CaseLedger!$A67="","",CaseLedger!AG67),"")</x:f>
      </x:c>
      <x:c r="AB67" t="str">
        <x:f>IFERROR(IF(CaseLedger!$A67="","",CaseLedger!AH67),"")</x:f>
      </x:c>
      <x:c r="AC67" t="str">
        <x:f>IFERROR(IF(CaseLedger!$A67="","",CaseLedger!AI67),"")</x:f>
      </x:c>
    </x:row>
    <x:row r="68">
      <x:c r="A68" t="str">
        <x:f>IF(CaseLedger!$A68="","",CaseLedger!A68)</x:f>
      </x:c>
      <x:c r="B68" t="str">
        <x:f>IF(CaseLedger!$A68="","",CaseLedger!I68)</x:f>
      </x:c>
      <x:c r="C68" t="str">
        <x:f>IF(CaseLedger!$A68="","",CaseLedger!J68)</x:f>
      </x:c>
      <x:c r="D68" t="str">
        <x:f>IF(CaseLedger!$A68="","",CaseLedger!K68)</x:f>
      </x:c>
      <x:c r="E68" t="str">
        <x:f>IF(CaseLedger!$A68="","",CaseLedger!L68)</x:f>
      </x:c>
      <x:c r="F68" t="str">
        <x:f>IF(CaseLedger!$A68="","",CaseLedger!P68)</x:f>
      </x:c>
      <x:c r="G68" t="str">
        <x:f>IF(CaseLedger!$A68="","",CaseLedger!F68)</x:f>
      </x:c>
      <x:c r="H68" t="str">
        <x:f>IF(CaseLedger!$A68="","",CaseLedger!Q68)</x:f>
      </x:c>
      <x:c r="I68" t="str">
        <x:f>IF(CaseLedger!$A68="","",CaseLedger!R68)</x:f>
      </x:c>
      <x:c r="J68" t="str">
        <x:f>IF(CaseLedger!$A68="","",CaseLedger!S68)</x:f>
      </x:c>
      <x:c r="K68" t="str">
        <x:f>IF(CaseLedger!$A68="","",CaseLedger!T68)</x:f>
      </x:c>
      <x:c r="L68" t="str">
        <x:f>IF(CaseLedger!$A68="","",CaseLedger!U68)</x:f>
      </x:c>
      <x:c r="M68" t="str">
        <x:f>IF(CaseLedger!$A68="","",CaseLedger!V68)</x:f>
      </x:c>
      <x:c r="N68" t="str">
        <x:f>IF(CaseLedger!$A68="","",CaseLedger!W68)</x:f>
      </x:c>
      <x:c r="O68" t="str">
        <x:f>IF(CaseLedger!$A68="","",CaseLedger!X68)</x:f>
      </x:c>
      <x:c r="P68" t="str">
        <x:f>IF(CaseLedger!$A68="","",CaseLedger!E68)</x:f>
      </x:c>
      <x:c r="Q68" t="str">
        <x:f>IF(CaseLedger!$A68="","",CaseLedger!C68)</x:f>
      </x:c>
      <x:c r="R68" t="str">
        <x:f>IF(CaseLedger!$A68="","",CaseLedger!D68)</x:f>
      </x:c>
      <x:c r="S68" t="str">
        <x:f>IFERROR(IF(CaseLedger!$A68="","",CaseLedger!Y68),"")</x:f>
      </x:c>
      <x:c r="T68" t="str">
        <x:f>IFERROR(IF(CaseLedger!$A68="","",CaseLedger!Z68),"")</x:f>
      </x:c>
      <x:c r="U68" t="str">
        <x:f>IFERROR(IF(CaseLedger!$A68="","",CaseLedger!AA68),"")</x:f>
      </x:c>
      <x:c r="V68" t="str">
        <x:f>IFERROR(IF(CaseLedger!$A68="","",CaseLedger!AB68),"")</x:f>
      </x:c>
      <x:c r="W68" t="str">
        <x:f>IFERROR(IF(CaseLedger!$A68="","",CaseLedger!AC68),"")</x:f>
      </x:c>
      <x:c r="X68" t="str">
        <x:f>IFERROR(IF(CaseLedger!$A68="","",CaseLedger!AD68),"")</x:f>
      </x:c>
      <x:c r="Y68" t="str">
        <x:f>IFERROR(IF(CaseLedger!$A68="","",CaseLedger!AE68),"")</x:f>
      </x:c>
      <x:c r="Z68" t="str">
        <x:f>IFERROR(IF(CaseLedger!$A68="","",CaseLedger!AF68),"")</x:f>
      </x:c>
      <x:c r="AA68" t="str">
        <x:f>IFERROR(IF(CaseLedger!$A68="","",CaseLedger!AG68),"")</x:f>
      </x:c>
      <x:c r="AB68" t="str">
        <x:f>IFERROR(IF(CaseLedger!$A68="","",CaseLedger!AH68),"")</x:f>
      </x:c>
      <x:c r="AC68" t="str">
        <x:f>IFERROR(IF(CaseLedger!$A68="","",CaseLedger!AI68),"")</x:f>
      </x:c>
    </x:row>
    <x:row r="69">
      <x:c r="A69" t="str">
        <x:f>IF(CaseLedger!$A69="","",CaseLedger!A69)</x:f>
      </x:c>
      <x:c r="B69" t="str">
        <x:f>IF(CaseLedger!$A69="","",CaseLedger!I69)</x:f>
      </x:c>
      <x:c r="C69" t="str">
        <x:f>IF(CaseLedger!$A69="","",CaseLedger!J69)</x:f>
      </x:c>
      <x:c r="D69" t="str">
        <x:f>IF(CaseLedger!$A69="","",CaseLedger!K69)</x:f>
      </x:c>
      <x:c r="E69" t="str">
        <x:f>IF(CaseLedger!$A69="","",CaseLedger!L69)</x:f>
      </x:c>
      <x:c r="F69" t="str">
        <x:f>IF(CaseLedger!$A69="","",CaseLedger!P69)</x:f>
      </x:c>
      <x:c r="G69" t="str">
        <x:f>IF(CaseLedger!$A69="","",CaseLedger!F69)</x:f>
      </x:c>
      <x:c r="H69" t="str">
        <x:f>IF(CaseLedger!$A69="","",CaseLedger!Q69)</x:f>
      </x:c>
      <x:c r="I69" t="str">
        <x:f>IF(CaseLedger!$A69="","",CaseLedger!R69)</x:f>
      </x:c>
      <x:c r="J69" t="str">
        <x:f>IF(CaseLedger!$A69="","",CaseLedger!S69)</x:f>
      </x:c>
      <x:c r="K69" t="str">
        <x:f>IF(CaseLedger!$A69="","",CaseLedger!T69)</x:f>
      </x:c>
      <x:c r="L69" t="str">
        <x:f>IF(CaseLedger!$A69="","",CaseLedger!U69)</x:f>
      </x:c>
      <x:c r="M69" t="str">
        <x:f>IF(CaseLedger!$A69="","",CaseLedger!V69)</x:f>
      </x:c>
      <x:c r="N69" t="str">
        <x:f>IF(CaseLedger!$A69="","",CaseLedger!W69)</x:f>
      </x:c>
      <x:c r="O69" t="str">
        <x:f>IF(CaseLedger!$A69="","",CaseLedger!X69)</x:f>
      </x:c>
      <x:c r="P69" t="str">
        <x:f>IF(CaseLedger!$A69="","",CaseLedger!E69)</x:f>
      </x:c>
      <x:c r="Q69" t="str">
        <x:f>IF(CaseLedger!$A69="","",CaseLedger!C69)</x:f>
      </x:c>
      <x:c r="R69" t="str">
        <x:f>IF(CaseLedger!$A69="","",CaseLedger!D69)</x:f>
      </x:c>
      <x:c r="S69" t="str">
        <x:f>IFERROR(IF(CaseLedger!$A69="","",CaseLedger!Y69),"")</x:f>
      </x:c>
      <x:c r="T69" t="str">
        <x:f>IFERROR(IF(CaseLedger!$A69="","",CaseLedger!Z69),"")</x:f>
      </x:c>
      <x:c r="U69" t="str">
        <x:f>IFERROR(IF(CaseLedger!$A69="","",CaseLedger!AA69),"")</x:f>
      </x:c>
      <x:c r="V69" t="str">
        <x:f>IFERROR(IF(CaseLedger!$A69="","",CaseLedger!AB69),"")</x:f>
      </x:c>
      <x:c r="W69" t="str">
        <x:f>IFERROR(IF(CaseLedger!$A69="","",CaseLedger!AC69),"")</x:f>
      </x:c>
      <x:c r="X69" t="str">
        <x:f>IFERROR(IF(CaseLedger!$A69="","",CaseLedger!AD69),"")</x:f>
      </x:c>
      <x:c r="Y69" t="str">
        <x:f>IFERROR(IF(CaseLedger!$A69="","",CaseLedger!AE69),"")</x:f>
      </x:c>
      <x:c r="Z69" t="str">
        <x:f>IFERROR(IF(CaseLedger!$A69="","",CaseLedger!AF69),"")</x:f>
      </x:c>
      <x:c r="AA69" t="str">
        <x:f>IFERROR(IF(CaseLedger!$A69="","",CaseLedger!AG69),"")</x:f>
      </x:c>
      <x:c r="AB69" t="str">
        <x:f>IFERROR(IF(CaseLedger!$A69="","",CaseLedger!AH69),"")</x:f>
      </x:c>
      <x:c r="AC69" t="str">
        <x:f>IFERROR(IF(CaseLedger!$A69="","",CaseLedger!AI69),"")</x:f>
      </x:c>
    </x:row>
    <x:row r="70">
      <x:c r="A70" t="str">
        <x:f>IF(CaseLedger!$A70="","",CaseLedger!A70)</x:f>
      </x:c>
      <x:c r="B70" t="str">
        <x:f>IF(CaseLedger!$A70="","",CaseLedger!I70)</x:f>
      </x:c>
      <x:c r="C70" t="str">
        <x:f>IF(CaseLedger!$A70="","",CaseLedger!J70)</x:f>
      </x:c>
      <x:c r="D70" t="str">
        <x:f>IF(CaseLedger!$A70="","",CaseLedger!K70)</x:f>
      </x:c>
      <x:c r="E70" t="str">
        <x:f>IF(CaseLedger!$A70="","",CaseLedger!L70)</x:f>
      </x:c>
      <x:c r="F70" t="str">
        <x:f>IF(CaseLedger!$A70="","",CaseLedger!P70)</x:f>
      </x:c>
      <x:c r="G70" t="str">
        <x:f>IF(CaseLedger!$A70="","",CaseLedger!F70)</x:f>
      </x:c>
      <x:c r="H70" t="str">
        <x:f>IF(CaseLedger!$A70="","",CaseLedger!Q70)</x:f>
      </x:c>
      <x:c r="I70" t="str">
        <x:f>IF(CaseLedger!$A70="","",CaseLedger!R70)</x:f>
      </x:c>
      <x:c r="J70" t="str">
        <x:f>IF(CaseLedger!$A70="","",CaseLedger!S70)</x:f>
      </x:c>
      <x:c r="K70" t="str">
        <x:f>IF(CaseLedger!$A70="","",CaseLedger!T70)</x:f>
      </x:c>
      <x:c r="L70" t="str">
        <x:f>IF(CaseLedger!$A70="","",CaseLedger!U70)</x:f>
      </x:c>
      <x:c r="M70" t="str">
        <x:f>IF(CaseLedger!$A70="","",CaseLedger!V70)</x:f>
      </x:c>
      <x:c r="N70" t="str">
        <x:f>IF(CaseLedger!$A70="","",CaseLedger!W70)</x:f>
      </x:c>
      <x:c r="O70" t="str">
        <x:f>IF(CaseLedger!$A70="","",CaseLedger!X70)</x:f>
      </x:c>
      <x:c r="P70" t="str">
        <x:f>IF(CaseLedger!$A70="","",CaseLedger!E70)</x:f>
      </x:c>
      <x:c r="Q70" t="str">
        <x:f>IF(CaseLedger!$A70="","",CaseLedger!C70)</x:f>
      </x:c>
      <x:c r="R70" t="str">
        <x:f>IF(CaseLedger!$A70="","",CaseLedger!D70)</x:f>
      </x:c>
      <x:c r="S70" t="str">
        <x:f>IFERROR(IF(CaseLedger!$A70="","",CaseLedger!Y70),"")</x:f>
      </x:c>
      <x:c r="T70" t="str">
        <x:f>IFERROR(IF(CaseLedger!$A70="","",CaseLedger!Z70),"")</x:f>
      </x:c>
      <x:c r="U70" t="str">
        <x:f>IFERROR(IF(CaseLedger!$A70="","",CaseLedger!AA70),"")</x:f>
      </x:c>
      <x:c r="V70" t="str">
        <x:f>IFERROR(IF(CaseLedger!$A70="","",CaseLedger!AB70),"")</x:f>
      </x:c>
      <x:c r="W70" t="str">
        <x:f>IFERROR(IF(CaseLedger!$A70="","",CaseLedger!AC70),"")</x:f>
      </x:c>
      <x:c r="X70" t="str">
        <x:f>IFERROR(IF(CaseLedger!$A70="","",CaseLedger!AD70),"")</x:f>
      </x:c>
      <x:c r="Y70" t="str">
        <x:f>IFERROR(IF(CaseLedger!$A70="","",CaseLedger!AE70),"")</x:f>
      </x:c>
      <x:c r="Z70" t="str">
        <x:f>IFERROR(IF(CaseLedger!$A70="","",CaseLedger!AF70),"")</x:f>
      </x:c>
      <x:c r="AA70" t="str">
        <x:f>IFERROR(IF(CaseLedger!$A70="","",CaseLedger!AG70),"")</x:f>
      </x:c>
      <x:c r="AB70" t="str">
        <x:f>IFERROR(IF(CaseLedger!$A70="","",CaseLedger!AH70),"")</x:f>
      </x:c>
      <x:c r="AC70" t="str">
        <x:f>IFERROR(IF(CaseLedger!$A70="","",CaseLedger!AI70),"")</x:f>
      </x:c>
    </x:row>
    <x:row r="71">
      <x:c r="A71" t="str">
        <x:f>IF(CaseLedger!$A71="","",CaseLedger!A71)</x:f>
      </x:c>
      <x:c r="B71" t="str">
        <x:f>IF(CaseLedger!$A71="","",CaseLedger!I71)</x:f>
      </x:c>
      <x:c r="C71" t="str">
        <x:f>IF(CaseLedger!$A71="","",CaseLedger!J71)</x:f>
      </x:c>
      <x:c r="D71" t="str">
        <x:f>IF(CaseLedger!$A71="","",CaseLedger!K71)</x:f>
      </x:c>
      <x:c r="E71" t="str">
        <x:f>IF(CaseLedger!$A71="","",CaseLedger!L71)</x:f>
      </x:c>
      <x:c r="F71" t="str">
        <x:f>IF(CaseLedger!$A71="","",CaseLedger!P71)</x:f>
      </x:c>
      <x:c r="G71" t="str">
        <x:f>IF(CaseLedger!$A71="","",CaseLedger!F71)</x:f>
      </x:c>
      <x:c r="H71" t="str">
        <x:f>IF(CaseLedger!$A71="","",CaseLedger!Q71)</x:f>
      </x:c>
      <x:c r="I71" t="str">
        <x:f>IF(CaseLedger!$A71="","",CaseLedger!R71)</x:f>
      </x:c>
      <x:c r="J71" t="str">
        <x:f>IF(CaseLedger!$A71="","",CaseLedger!S71)</x:f>
      </x:c>
      <x:c r="K71" t="str">
        <x:f>IF(CaseLedger!$A71="","",CaseLedger!T71)</x:f>
      </x:c>
      <x:c r="L71" t="str">
        <x:f>IF(CaseLedger!$A71="","",CaseLedger!U71)</x:f>
      </x:c>
      <x:c r="M71" t="str">
        <x:f>IF(CaseLedger!$A71="","",CaseLedger!V71)</x:f>
      </x:c>
      <x:c r="N71" t="str">
        <x:f>IF(CaseLedger!$A71="","",CaseLedger!W71)</x:f>
      </x:c>
      <x:c r="O71" t="str">
        <x:f>IF(CaseLedger!$A71="","",CaseLedger!X71)</x:f>
      </x:c>
      <x:c r="P71" t="str">
        <x:f>IF(CaseLedger!$A71="","",CaseLedger!E71)</x:f>
      </x:c>
      <x:c r="Q71" t="str">
        <x:f>IF(CaseLedger!$A71="","",CaseLedger!C71)</x:f>
      </x:c>
      <x:c r="R71" t="str">
        <x:f>IF(CaseLedger!$A71="","",CaseLedger!D71)</x:f>
      </x:c>
      <x:c r="S71" t="str">
        <x:f>IFERROR(IF(CaseLedger!$A71="","",CaseLedger!Y71),"")</x:f>
      </x:c>
      <x:c r="T71" t="str">
        <x:f>IFERROR(IF(CaseLedger!$A71="","",CaseLedger!Z71),"")</x:f>
      </x:c>
      <x:c r="U71" t="str">
        <x:f>IFERROR(IF(CaseLedger!$A71="","",CaseLedger!AA71),"")</x:f>
      </x:c>
      <x:c r="V71" t="str">
        <x:f>IFERROR(IF(CaseLedger!$A71="","",CaseLedger!AB71),"")</x:f>
      </x:c>
      <x:c r="W71" t="str">
        <x:f>IFERROR(IF(CaseLedger!$A71="","",CaseLedger!AC71),"")</x:f>
      </x:c>
      <x:c r="X71" t="str">
        <x:f>IFERROR(IF(CaseLedger!$A71="","",CaseLedger!AD71),"")</x:f>
      </x:c>
      <x:c r="Y71" t="str">
        <x:f>IFERROR(IF(CaseLedger!$A71="","",CaseLedger!AE71),"")</x:f>
      </x:c>
      <x:c r="Z71" t="str">
        <x:f>IFERROR(IF(CaseLedger!$A71="","",CaseLedger!AF71),"")</x:f>
      </x:c>
      <x:c r="AA71" t="str">
        <x:f>IFERROR(IF(CaseLedger!$A71="","",CaseLedger!AG71),"")</x:f>
      </x:c>
      <x:c r="AB71" t="str">
        <x:f>IFERROR(IF(CaseLedger!$A71="","",CaseLedger!AH71),"")</x:f>
      </x:c>
      <x:c r="AC71" t="str">
        <x:f>IFERROR(IF(CaseLedger!$A71="","",CaseLedger!AI71),"")</x:f>
      </x:c>
    </x:row>
    <x:row r="72">
      <x:c r="A72" t="str">
        <x:f>IF(CaseLedger!$A72="","",CaseLedger!A72)</x:f>
      </x:c>
      <x:c r="B72" t="str">
        <x:f>IF(CaseLedger!$A72="","",CaseLedger!I72)</x:f>
      </x:c>
      <x:c r="C72" t="str">
        <x:f>IF(CaseLedger!$A72="","",CaseLedger!J72)</x:f>
      </x:c>
      <x:c r="D72" t="str">
        <x:f>IF(CaseLedger!$A72="","",CaseLedger!K72)</x:f>
      </x:c>
      <x:c r="E72" t="str">
        <x:f>IF(CaseLedger!$A72="","",CaseLedger!L72)</x:f>
      </x:c>
      <x:c r="F72" t="str">
        <x:f>IF(CaseLedger!$A72="","",CaseLedger!P72)</x:f>
      </x:c>
      <x:c r="G72" t="str">
        <x:f>IF(CaseLedger!$A72="","",CaseLedger!F72)</x:f>
      </x:c>
      <x:c r="H72" t="str">
        <x:f>IF(CaseLedger!$A72="","",CaseLedger!Q72)</x:f>
      </x:c>
      <x:c r="I72" t="str">
        <x:f>IF(CaseLedger!$A72="","",CaseLedger!R72)</x:f>
      </x:c>
      <x:c r="J72" t="str">
        <x:f>IF(CaseLedger!$A72="","",CaseLedger!S72)</x:f>
      </x:c>
      <x:c r="K72" t="str">
        <x:f>IF(CaseLedger!$A72="","",CaseLedger!T72)</x:f>
      </x:c>
      <x:c r="L72" t="str">
        <x:f>IF(CaseLedger!$A72="","",CaseLedger!U72)</x:f>
      </x:c>
      <x:c r="M72" t="str">
        <x:f>IF(CaseLedger!$A72="","",CaseLedger!V72)</x:f>
      </x:c>
      <x:c r="N72" t="str">
        <x:f>IF(CaseLedger!$A72="","",CaseLedger!W72)</x:f>
      </x:c>
      <x:c r="O72" t="str">
        <x:f>IF(CaseLedger!$A72="","",CaseLedger!X72)</x:f>
      </x:c>
      <x:c r="P72" t="str">
        <x:f>IF(CaseLedger!$A72="","",CaseLedger!E72)</x:f>
      </x:c>
      <x:c r="Q72" t="str">
        <x:f>IF(CaseLedger!$A72="","",CaseLedger!C72)</x:f>
      </x:c>
      <x:c r="R72" t="str">
        <x:f>IF(CaseLedger!$A72="","",CaseLedger!D72)</x:f>
      </x:c>
      <x:c r="S72" t="str">
        <x:f>IFERROR(IF(CaseLedger!$A72="","",CaseLedger!Y72),"")</x:f>
      </x:c>
      <x:c r="T72" t="str">
        <x:f>IFERROR(IF(CaseLedger!$A72="","",CaseLedger!Z72),"")</x:f>
      </x:c>
      <x:c r="U72" t="str">
        <x:f>IFERROR(IF(CaseLedger!$A72="","",CaseLedger!AA72),"")</x:f>
      </x:c>
      <x:c r="V72" t="str">
        <x:f>IFERROR(IF(CaseLedger!$A72="","",CaseLedger!AB72),"")</x:f>
      </x:c>
      <x:c r="W72" t="str">
        <x:f>IFERROR(IF(CaseLedger!$A72="","",CaseLedger!AC72),"")</x:f>
      </x:c>
      <x:c r="X72" t="str">
        <x:f>IFERROR(IF(CaseLedger!$A72="","",CaseLedger!AD72),"")</x:f>
      </x:c>
      <x:c r="Y72" t="str">
        <x:f>IFERROR(IF(CaseLedger!$A72="","",CaseLedger!AE72),"")</x:f>
      </x:c>
      <x:c r="Z72" t="str">
        <x:f>IFERROR(IF(CaseLedger!$A72="","",CaseLedger!AF72),"")</x:f>
      </x:c>
      <x:c r="AA72" t="str">
        <x:f>IFERROR(IF(CaseLedger!$A72="","",CaseLedger!AG72),"")</x:f>
      </x:c>
      <x:c r="AB72" t="str">
        <x:f>IFERROR(IF(CaseLedger!$A72="","",CaseLedger!AH72),"")</x:f>
      </x:c>
      <x:c r="AC72" t="str">
        <x:f>IFERROR(IF(CaseLedger!$A72="","",CaseLedger!AI72),"")</x:f>
      </x:c>
    </x:row>
    <x:row r="73">
      <x:c r="A73" t="str">
        <x:f>IF(CaseLedger!$A73="","",CaseLedger!A73)</x:f>
      </x:c>
      <x:c r="B73" t="str">
        <x:f>IF(CaseLedger!$A73="","",CaseLedger!I73)</x:f>
      </x:c>
      <x:c r="C73" t="str">
        <x:f>IF(CaseLedger!$A73="","",CaseLedger!J73)</x:f>
      </x:c>
      <x:c r="D73" t="str">
        <x:f>IF(CaseLedger!$A73="","",CaseLedger!K73)</x:f>
      </x:c>
      <x:c r="E73" t="str">
        <x:f>IF(CaseLedger!$A73="","",CaseLedger!L73)</x:f>
      </x:c>
      <x:c r="F73" t="str">
        <x:f>IF(CaseLedger!$A73="","",CaseLedger!P73)</x:f>
      </x:c>
      <x:c r="G73" t="str">
        <x:f>IF(CaseLedger!$A73="","",CaseLedger!F73)</x:f>
      </x:c>
      <x:c r="H73" t="str">
        <x:f>IF(CaseLedger!$A73="","",CaseLedger!Q73)</x:f>
      </x:c>
      <x:c r="I73" t="str">
        <x:f>IF(CaseLedger!$A73="","",CaseLedger!R73)</x:f>
      </x:c>
      <x:c r="J73" t="str">
        <x:f>IF(CaseLedger!$A73="","",CaseLedger!S73)</x:f>
      </x:c>
      <x:c r="K73" t="str">
        <x:f>IF(CaseLedger!$A73="","",CaseLedger!T73)</x:f>
      </x:c>
      <x:c r="L73" t="str">
        <x:f>IF(CaseLedger!$A73="","",CaseLedger!U73)</x:f>
      </x:c>
      <x:c r="M73" t="str">
        <x:f>IF(CaseLedger!$A73="","",CaseLedger!V73)</x:f>
      </x:c>
      <x:c r="N73" t="str">
        <x:f>IF(CaseLedger!$A73="","",CaseLedger!W73)</x:f>
      </x:c>
      <x:c r="O73" t="str">
        <x:f>IF(CaseLedger!$A73="","",CaseLedger!X73)</x:f>
      </x:c>
      <x:c r="P73" t="str">
        <x:f>IF(CaseLedger!$A73="","",CaseLedger!E73)</x:f>
      </x:c>
      <x:c r="Q73" t="str">
        <x:f>IF(CaseLedger!$A73="","",CaseLedger!C73)</x:f>
      </x:c>
      <x:c r="R73" t="str">
        <x:f>IF(CaseLedger!$A73="","",CaseLedger!D73)</x:f>
      </x:c>
      <x:c r="S73" t="str">
        <x:f>IFERROR(IF(CaseLedger!$A73="","",CaseLedger!Y73),"")</x:f>
      </x:c>
      <x:c r="T73" t="str">
        <x:f>IFERROR(IF(CaseLedger!$A73="","",CaseLedger!Z73),"")</x:f>
      </x:c>
      <x:c r="U73" t="str">
        <x:f>IFERROR(IF(CaseLedger!$A73="","",CaseLedger!AA73),"")</x:f>
      </x:c>
      <x:c r="V73" t="str">
        <x:f>IFERROR(IF(CaseLedger!$A73="","",CaseLedger!AB73),"")</x:f>
      </x:c>
      <x:c r="W73" t="str">
        <x:f>IFERROR(IF(CaseLedger!$A73="","",CaseLedger!AC73),"")</x:f>
      </x:c>
      <x:c r="X73" t="str">
        <x:f>IFERROR(IF(CaseLedger!$A73="","",CaseLedger!AD73),"")</x:f>
      </x:c>
      <x:c r="Y73" t="str">
        <x:f>IFERROR(IF(CaseLedger!$A73="","",CaseLedger!AE73),"")</x:f>
      </x:c>
      <x:c r="Z73" t="str">
        <x:f>IFERROR(IF(CaseLedger!$A73="","",CaseLedger!AF73),"")</x:f>
      </x:c>
      <x:c r="AA73" t="str">
        <x:f>IFERROR(IF(CaseLedger!$A73="","",CaseLedger!AG73),"")</x:f>
      </x:c>
      <x:c r="AB73" t="str">
        <x:f>IFERROR(IF(CaseLedger!$A73="","",CaseLedger!AH73),"")</x:f>
      </x:c>
      <x:c r="AC73" t="str">
        <x:f>IFERROR(IF(CaseLedger!$A73="","",CaseLedger!AI73),"")</x:f>
      </x:c>
    </x:row>
    <x:row r="74">
      <x:c r="A74" t="str">
        <x:f>IF(CaseLedger!$A74="","",CaseLedger!A74)</x:f>
      </x:c>
      <x:c r="B74" t="str">
        <x:f>IF(CaseLedger!$A74="","",CaseLedger!I74)</x:f>
      </x:c>
      <x:c r="C74" t="str">
        <x:f>IF(CaseLedger!$A74="","",CaseLedger!J74)</x:f>
      </x:c>
      <x:c r="D74" t="str">
        <x:f>IF(CaseLedger!$A74="","",CaseLedger!K74)</x:f>
      </x:c>
      <x:c r="E74" t="str">
        <x:f>IF(CaseLedger!$A74="","",CaseLedger!L74)</x:f>
      </x:c>
      <x:c r="F74" t="str">
        <x:f>IF(CaseLedger!$A74="","",CaseLedger!P74)</x:f>
      </x:c>
      <x:c r="G74" t="str">
        <x:f>IF(CaseLedger!$A74="","",CaseLedger!F74)</x:f>
      </x:c>
      <x:c r="H74" t="str">
        <x:f>IF(CaseLedger!$A74="","",CaseLedger!Q74)</x:f>
      </x:c>
      <x:c r="I74" t="str">
        <x:f>IF(CaseLedger!$A74="","",CaseLedger!R74)</x:f>
      </x:c>
      <x:c r="J74" t="str">
        <x:f>IF(CaseLedger!$A74="","",CaseLedger!S74)</x:f>
      </x:c>
      <x:c r="K74" t="str">
        <x:f>IF(CaseLedger!$A74="","",CaseLedger!T74)</x:f>
      </x:c>
      <x:c r="L74" t="str">
        <x:f>IF(CaseLedger!$A74="","",CaseLedger!U74)</x:f>
      </x:c>
      <x:c r="M74" t="str">
        <x:f>IF(CaseLedger!$A74="","",CaseLedger!V74)</x:f>
      </x:c>
      <x:c r="N74" t="str">
        <x:f>IF(CaseLedger!$A74="","",CaseLedger!W74)</x:f>
      </x:c>
      <x:c r="O74" t="str">
        <x:f>IF(CaseLedger!$A74="","",CaseLedger!X74)</x:f>
      </x:c>
      <x:c r="P74" t="str">
        <x:f>IF(CaseLedger!$A74="","",CaseLedger!E74)</x:f>
      </x:c>
      <x:c r="Q74" t="str">
        <x:f>IF(CaseLedger!$A74="","",CaseLedger!C74)</x:f>
      </x:c>
      <x:c r="R74" t="str">
        <x:f>IF(CaseLedger!$A74="","",CaseLedger!D74)</x:f>
      </x:c>
      <x:c r="S74" t="str">
        <x:f>IFERROR(IF(CaseLedger!$A74="","",CaseLedger!Y74),"")</x:f>
      </x:c>
      <x:c r="T74" t="str">
        <x:f>IFERROR(IF(CaseLedger!$A74="","",CaseLedger!Z74),"")</x:f>
      </x:c>
      <x:c r="U74" t="str">
        <x:f>IFERROR(IF(CaseLedger!$A74="","",CaseLedger!AA74),"")</x:f>
      </x:c>
      <x:c r="V74" t="str">
        <x:f>IFERROR(IF(CaseLedger!$A74="","",CaseLedger!AB74),"")</x:f>
      </x:c>
      <x:c r="W74" t="str">
        <x:f>IFERROR(IF(CaseLedger!$A74="","",CaseLedger!AC74),"")</x:f>
      </x:c>
      <x:c r="X74" t="str">
        <x:f>IFERROR(IF(CaseLedger!$A74="","",CaseLedger!AD74),"")</x:f>
      </x:c>
      <x:c r="Y74" t="str">
        <x:f>IFERROR(IF(CaseLedger!$A74="","",CaseLedger!AE74),"")</x:f>
      </x:c>
      <x:c r="Z74" t="str">
        <x:f>IFERROR(IF(CaseLedger!$A74="","",CaseLedger!AF74),"")</x:f>
      </x:c>
      <x:c r="AA74" t="str">
        <x:f>IFERROR(IF(CaseLedger!$A74="","",CaseLedger!AG74),"")</x:f>
      </x:c>
      <x:c r="AB74" t="str">
        <x:f>IFERROR(IF(CaseLedger!$A74="","",CaseLedger!AH74),"")</x:f>
      </x:c>
      <x:c r="AC74" t="str">
        <x:f>IFERROR(IF(CaseLedger!$A74="","",CaseLedger!AI74),"")</x:f>
      </x:c>
    </x:row>
    <x:row r="75">
      <x:c r="A75" t="str">
        <x:f>IF(CaseLedger!$A75="","",CaseLedger!A75)</x:f>
      </x:c>
      <x:c r="B75" t="str">
        <x:f>IF(CaseLedger!$A75="","",CaseLedger!I75)</x:f>
      </x:c>
      <x:c r="C75" t="str">
        <x:f>IF(CaseLedger!$A75="","",CaseLedger!J75)</x:f>
      </x:c>
      <x:c r="D75" t="str">
        <x:f>IF(CaseLedger!$A75="","",CaseLedger!K75)</x:f>
      </x:c>
      <x:c r="E75" t="str">
        <x:f>IF(CaseLedger!$A75="","",CaseLedger!L75)</x:f>
      </x:c>
      <x:c r="F75" t="str">
        <x:f>IF(CaseLedger!$A75="","",CaseLedger!P75)</x:f>
      </x:c>
      <x:c r="G75" t="str">
        <x:f>IF(CaseLedger!$A75="","",CaseLedger!F75)</x:f>
      </x:c>
      <x:c r="H75" t="str">
        <x:f>IF(CaseLedger!$A75="","",CaseLedger!Q75)</x:f>
      </x:c>
      <x:c r="I75" t="str">
        <x:f>IF(CaseLedger!$A75="","",CaseLedger!R75)</x:f>
      </x:c>
      <x:c r="J75" t="str">
        <x:f>IF(CaseLedger!$A75="","",CaseLedger!S75)</x:f>
      </x:c>
      <x:c r="K75" t="str">
        <x:f>IF(CaseLedger!$A75="","",CaseLedger!T75)</x:f>
      </x:c>
      <x:c r="L75" t="str">
        <x:f>IF(CaseLedger!$A75="","",CaseLedger!U75)</x:f>
      </x:c>
      <x:c r="M75" t="str">
        <x:f>IF(CaseLedger!$A75="","",CaseLedger!V75)</x:f>
      </x:c>
      <x:c r="N75" t="str">
        <x:f>IF(CaseLedger!$A75="","",CaseLedger!W75)</x:f>
      </x:c>
      <x:c r="O75" t="str">
        <x:f>IF(CaseLedger!$A75="","",CaseLedger!X75)</x:f>
      </x:c>
      <x:c r="P75" t="str">
        <x:f>IF(CaseLedger!$A75="","",CaseLedger!E75)</x:f>
      </x:c>
      <x:c r="Q75" t="str">
        <x:f>IF(CaseLedger!$A75="","",CaseLedger!C75)</x:f>
      </x:c>
      <x:c r="R75" t="str">
        <x:f>IF(CaseLedger!$A75="","",CaseLedger!D75)</x:f>
      </x:c>
      <x:c r="S75" t="str">
        <x:f>IFERROR(IF(CaseLedger!$A75="","",CaseLedger!Y75),"")</x:f>
      </x:c>
      <x:c r="T75" t="str">
        <x:f>IFERROR(IF(CaseLedger!$A75="","",CaseLedger!Z75),"")</x:f>
      </x:c>
      <x:c r="U75" t="str">
        <x:f>IFERROR(IF(CaseLedger!$A75="","",CaseLedger!AA75),"")</x:f>
      </x:c>
      <x:c r="V75" t="str">
        <x:f>IFERROR(IF(CaseLedger!$A75="","",CaseLedger!AB75),"")</x:f>
      </x:c>
      <x:c r="W75" t="str">
        <x:f>IFERROR(IF(CaseLedger!$A75="","",CaseLedger!AC75),"")</x:f>
      </x:c>
      <x:c r="X75" t="str">
        <x:f>IFERROR(IF(CaseLedger!$A75="","",CaseLedger!AD75),"")</x:f>
      </x:c>
      <x:c r="Y75" t="str">
        <x:f>IFERROR(IF(CaseLedger!$A75="","",CaseLedger!AE75),"")</x:f>
      </x:c>
      <x:c r="Z75" t="str">
        <x:f>IFERROR(IF(CaseLedger!$A75="","",CaseLedger!AF75),"")</x:f>
      </x:c>
      <x:c r="AA75" t="str">
        <x:f>IFERROR(IF(CaseLedger!$A75="","",CaseLedger!AG75),"")</x:f>
      </x:c>
      <x:c r="AB75" t="str">
        <x:f>IFERROR(IF(CaseLedger!$A75="","",CaseLedger!AH75),"")</x:f>
      </x:c>
      <x:c r="AC75" t="str">
        <x:f>IFERROR(IF(CaseLedger!$A75="","",CaseLedger!AI75),"")</x:f>
      </x:c>
    </x:row>
    <x:row r="76">
      <x:c r="A76" t="str">
        <x:f>IF(CaseLedger!$A76="","",CaseLedger!A76)</x:f>
      </x:c>
      <x:c r="B76" t="str">
        <x:f>IF(CaseLedger!$A76="","",CaseLedger!I76)</x:f>
      </x:c>
      <x:c r="C76" t="str">
        <x:f>IF(CaseLedger!$A76="","",CaseLedger!J76)</x:f>
      </x:c>
      <x:c r="D76" t="str">
        <x:f>IF(CaseLedger!$A76="","",CaseLedger!K76)</x:f>
      </x:c>
      <x:c r="E76" t="str">
        <x:f>IF(CaseLedger!$A76="","",CaseLedger!L76)</x:f>
      </x:c>
      <x:c r="F76" t="str">
        <x:f>IF(CaseLedger!$A76="","",CaseLedger!P76)</x:f>
      </x:c>
      <x:c r="G76" t="str">
        <x:f>IF(CaseLedger!$A76="","",CaseLedger!F76)</x:f>
      </x:c>
      <x:c r="H76" t="str">
        <x:f>IF(CaseLedger!$A76="","",CaseLedger!Q76)</x:f>
      </x:c>
      <x:c r="I76" t="str">
        <x:f>IF(CaseLedger!$A76="","",CaseLedger!R76)</x:f>
      </x:c>
      <x:c r="J76" t="str">
        <x:f>IF(CaseLedger!$A76="","",CaseLedger!S76)</x:f>
      </x:c>
      <x:c r="K76" t="str">
        <x:f>IF(CaseLedger!$A76="","",CaseLedger!T76)</x:f>
      </x:c>
      <x:c r="L76" t="str">
        <x:f>IF(CaseLedger!$A76="","",CaseLedger!U76)</x:f>
      </x:c>
      <x:c r="M76" t="str">
        <x:f>IF(CaseLedger!$A76="","",CaseLedger!V76)</x:f>
      </x:c>
      <x:c r="N76" t="str">
        <x:f>IF(CaseLedger!$A76="","",CaseLedger!W76)</x:f>
      </x:c>
      <x:c r="O76" t="str">
        <x:f>IF(CaseLedger!$A76="","",CaseLedger!X76)</x:f>
      </x:c>
      <x:c r="P76" t="str">
        <x:f>IF(CaseLedger!$A76="","",CaseLedger!E76)</x:f>
      </x:c>
      <x:c r="Q76" t="str">
        <x:f>IF(CaseLedger!$A76="","",CaseLedger!C76)</x:f>
      </x:c>
      <x:c r="R76" t="str">
        <x:f>IF(CaseLedger!$A76="","",CaseLedger!D76)</x:f>
      </x:c>
      <x:c r="S76" t="str">
        <x:f>IFERROR(IF(CaseLedger!$A76="","",CaseLedger!Y76),"")</x:f>
      </x:c>
      <x:c r="T76" t="str">
        <x:f>IFERROR(IF(CaseLedger!$A76="","",CaseLedger!Z76),"")</x:f>
      </x:c>
      <x:c r="U76" t="str">
        <x:f>IFERROR(IF(CaseLedger!$A76="","",CaseLedger!AA76),"")</x:f>
      </x:c>
      <x:c r="V76" t="str">
        <x:f>IFERROR(IF(CaseLedger!$A76="","",CaseLedger!AB76),"")</x:f>
      </x:c>
      <x:c r="W76" t="str">
        <x:f>IFERROR(IF(CaseLedger!$A76="","",CaseLedger!AC76),"")</x:f>
      </x:c>
      <x:c r="X76" t="str">
        <x:f>IFERROR(IF(CaseLedger!$A76="","",CaseLedger!AD76),"")</x:f>
      </x:c>
      <x:c r="Y76" t="str">
        <x:f>IFERROR(IF(CaseLedger!$A76="","",CaseLedger!AE76),"")</x:f>
      </x:c>
      <x:c r="Z76" t="str">
        <x:f>IFERROR(IF(CaseLedger!$A76="","",CaseLedger!AF76),"")</x:f>
      </x:c>
      <x:c r="AA76" t="str">
        <x:f>IFERROR(IF(CaseLedger!$A76="","",CaseLedger!AG76),"")</x:f>
      </x:c>
      <x:c r="AB76" t="str">
        <x:f>IFERROR(IF(CaseLedger!$A76="","",CaseLedger!AH76),"")</x:f>
      </x:c>
      <x:c r="AC76" t="str">
        <x:f>IFERROR(IF(CaseLedger!$A76="","",CaseLedger!AI76),"")</x:f>
      </x:c>
    </x:row>
    <x:row r="77">
      <x:c r="A77" t="str">
        <x:f>IF(CaseLedger!$A77="","",CaseLedger!A77)</x:f>
      </x:c>
      <x:c r="B77" t="str">
        <x:f>IF(CaseLedger!$A77="","",CaseLedger!I77)</x:f>
      </x:c>
      <x:c r="C77" t="str">
        <x:f>IF(CaseLedger!$A77="","",CaseLedger!J77)</x:f>
      </x:c>
      <x:c r="D77" t="str">
        <x:f>IF(CaseLedger!$A77="","",CaseLedger!K77)</x:f>
      </x:c>
      <x:c r="E77" t="str">
        <x:f>IF(CaseLedger!$A77="","",CaseLedger!L77)</x:f>
      </x:c>
      <x:c r="F77" t="str">
        <x:f>IF(CaseLedger!$A77="","",CaseLedger!P77)</x:f>
      </x:c>
      <x:c r="G77" t="str">
        <x:f>IF(CaseLedger!$A77="","",CaseLedger!F77)</x:f>
      </x:c>
      <x:c r="H77" t="str">
        <x:f>IF(CaseLedger!$A77="","",CaseLedger!Q77)</x:f>
      </x:c>
      <x:c r="I77" t="str">
        <x:f>IF(CaseLedger!$A77="","",CaseLedger!R77)</x:f>
      </x:c>
      <x:c r="J77" t="str">
        <x:f>IF(CaseLedger!$A77="","",CaseLedger!S77)</x:f>
      </x:c>
      <x:c r="K77" t="str">
        <x:f>IF(CaseLedger!$A77="","",CaseLedger!T77)</x:f>
      </x:c>
      <x:c r="L77" t="str">
        <x:f>IF(CaseLedger!$A77="","",CaseLedger!U77)</x:f>
      </x:c>
      <x:c r="M77" t="str">
        <x:f>IF(CaseLedger!$A77="","",CaseLedger!V77)</x:f>
      </x:c>
      <x:c r="N77" t="str">
        <x:f>IF(CaseLedger!$A77="","",CaseLedger!W77)</x:f>
      </x:c>
      <x:c r="O77" t="str">
        <x:f>IF(CaseLedger!$A77="","",CaseLedger!X77)</x:f>
      </x:c>
      <x:c r="P77" t="str">
        <x:f>IF(CaseLedger!$A77="","",CaseLedger!E77)</x:f>
      </x:c>
      <x:c r="Q77" t="str">
        <x:f>IF(CaseLedger!$A77="","",CaseLedger!C77)</x:f>
      </x:c>
      <x:c r="R77" t="str">
        <x:f>IF(CaseLedger!$A77="","",CaseLedger!D77)</x:f>
      </x:c>
      <x:c r="S77" t="str">
        <x:f>IFERROR(IF(CaseLedger!$A77="","",CaseLedger!Y77),"")</x:f>
      </x:c>
      <x:c r="T77" t="str">
        <x:f>IFERROR(IF(CaseLedger!$A77="","",CaseLedger!Z77),"")</x:f>
      </x:c>
      <x:c r="U77" t="str">
        <x:f>IFERROR(IF(CaseLedger!$A77="","",CaseLedger!AA77),"")</x:f>
      </x:c>
      <x:c r="V77" t="str">
        <x:f>IFERROR(IF(CaseLedger!$A77="","",CaseLedger!AB77),"")</x:f>
      </x:c>
      <x:c r="W77" t="str">
        <x:f>IFERROR(IF(CaseLedger!$A77="","",CaseLedger!AC77),"")</x:f>
      </x:c>
      <x:c r="X77" t="str">
        <x:f>IFERROR(IF(CaseLedger!$A77="","",CaseLedger!AD77),"")</x:f>
      </x:c>
      <x:c r="Y77" t="str">
        <x:f>IFERROR(IF(CaseLedger!$A77="","",CaseLedger!AE77),"")</x:f>
      </x:c>
      <x:c r="Z77" t="str">
        <x:f>IFERROR(IF(CaseLedger!$A77="","",CaseLedger!AF77),"")</x:f>
      </x:c>
      <x:c r="AA77" t="str">
        <x:f>IFERROR(IF(CaseLedger!$A77="","",CaseLedger!AG77),"")</x:f>
      </x:c>
      <x:c r="AB77" t="str">
        <x:f>IFERROR(IF(CaseLedger!$A77="","",CaseLedger!AH77),"")</x:f>
      </x:c>
      <x:c r="AC77" t="str">
        <x:f>IFERROR(IF(CaseLedger!$A77="","",CaseLedger!AI77),"")</x:f>
      </x:c>
    </x:row>
    <x:row r="78">
      <x:c r="A78" t="str">
        <x:f>IF(CaseLedger!$A78="","",CaseLedger!A78)</x:f>
      </x:c>
      <x:c r="B78" t="str">
        <x:f>IF(CaseLedger!$A78="","",CaseLedger!I78)</x:f>
      </x:c>
      <x:c r="C78" t="str">
        <x:f>IF(CaseLedger!$A78="","",CaseLedger!J78)</x:f>
      </x:c>
      <x:c r="D78" t="str">
        <x:f>IF(CaseLedger!$A78="","",CaseLedger!K78)</x:f>
      </x:c>
      <x:c r="E78" t="str">
        <x:f>IF(CaseLedger!$A78="","",CaseLedger!L78)</x:f>
      </x:c>
      <x:c r="F78" t="str">
        <x:f>IF(CaseLedger!$A78="","",CaseLedger!P78)</x:f>
      </x:c>
      <x:c r="G78" t="str">
        <x:f>IF(CaseLedger!$A78="","",CaseLedger!F78)</x:f>
      </x:c>
      <x:c r="H78" t="str">
        <x:f>IF(CaseLedger!$A78="","",CaseLedger!Q78)</x:f>
      </x:c>
      <x:c r="I78" t="str">
        <x:f>IF(CaseLedger!$A78="","",CaseLedger!R78)</x:f>
      </x:c>
      <x:c r="J78" t="str">
        <x:f>IF(CaseLedger!$A78="","",CaseLedger!S78)</x:f>
      </x:c>
      <x:c r="K78" t="str">
        <x:f>IF(CaseLedger!$A78="","",CaseLedger!T78)</x:f>
      </x:c>
      <x:c r="L78" t="str">
        <x:f>IF(CaseLedger!$A78="","",CaseLedger!U78)</x:f>
      </x:c>
      <x:c r="M78" t="str">
        <x:f>IF(CaseLedger!$A78="","",CaseLedger!V78)</x:f>
      </x:c>
      <x:c r="N78" t="str">
        <x:f>IF(CaseLedger!$A78="","",CaseLedger!W78)</x:f>
      </x:c>
      <x:c r="O78" t="str">
        <x:f>IF(CaseLedger!$A78="","",CaseLedger!X78)</x:f>
      </x:c>
      <x:c r="P78" t="str">
        <x:f>IF(CaseLedger!$A78="","",CaseLedger!E78)</x:f>
      </x:c>
      <x:c r="Q78" t="str">
        <x:f>IF(CaseLedger!$A78="","",CaseLedger!C78)</x:f>
      </x:c>
      <x:c r="R78" t="str">
        <x:f>IF(CaseLedger!$A78="","",CaseLedger!D78)</x:f>
      </x:c>
      <x:c r="S78" t="str">
        <x:f>IFERROR(IF(CaseLedger!$A78="","",CaseLedger!Y78),"")</x:f>
      </x:c>
      <x:c r="T78" t="str">
        <x:f>IFERROR(IF(CaseLedger!$A78="","",CaseLedger!Z78),"")</x:f>
      </x:c>
      <x:c r="U78" t="str">
        <x:f>IFERROR(IF(CaseLedger!$A78="","",CaseLedger!AA78),"")</x:f>
      </x:c>
      <x:c r="V78" t="str">
        <x:f>IFERROR(IF(CaseLedger!$A78="","",CaseLedger!AB78),"")</x:f>
      </x:c>
      <x:c r="W78" t="str">
        <x:f>IFERROR(IF(CaseLedger!$A78="","",CaseLedger!AC78),"")</x:f>
      </x:c>
      <x:c r="X78" t="str">
        <x:f>IFERROR(IF(CaseLedger!$A78="","",CaseLedger!AD78),"")</x:f>
      </x:c>
      <x:c r="Y78" t="str">
        <x:f>IFERROR(IF(CaseLedger!$A78="","",CaseLedger!AE78),"")</x:f>
      </x:c>
      <x:c r="Z78" t="str">
        <x:f>IFERROR(IF(CaseLedger!$A78="","",CaseLedger!AF78),"")</x:f>
      </x:c>
      <x:c r="AA78" t="str">
        <x:f>IFERROR(IF(CaseLedger!$A78="","",CaseLedger!AG78),"")</x:f>
      </x:c>
      <x:c r="AB78" t="str">
        <x:f>IFERROR(IF(CaseLedger!$A78="","",CaseLedger!AH78),"")</x:f>
      </x:c>
      <x:c r="AC78" t="str">
        <x:f>IFERROR(IF(CaseLedger!$A78="","",CaseLedger!AI78),"")</x:f>
      </x:c>
    </x:row>
    <x:row r="79">
      <x:c r="A79" t="str">
        <x:f>IF(CaseLedger!$A79="","",CaseLedger!A79)</x:f>
      </x:c>
      <x:c r="B79" t="str">
        <x:f>IF(CaseLedger!$A79="","",CaseLedger!I79)</x:f>
      </x:c>
      <x:c r="C79" t="str">
        <x:f>IF(CaseLedger!$A79="","",CaseLedger!J79)</x:f>
      </x:c>
      <x:c r="D79" t="str">
        <x:f>IF(CaseLedger!$A79="","",CaseLedger!K79)</x:f>
      </x:c>
      <x:c r="E79" t="str">
        <x:f>IF(CaseLedger!$A79="","",CaseLedger!L79)</x:f>
      </x:c>
      <x:c r="F79" t="str">
        <x:f>IF(CaseLedger!$A79="","",CaseLedger!P79)</x:f>
      </x:c>
      <x:c r="G79" t="str">
        <x:f>IF(CaseLedger!$A79="","",CaseLedger!F79)</x:f>
      </x:c>
      <x:c r="H79" t="str">
        <x:f>IF(CaseLedger!$A79="","",CaseLedger!Q79)</x:f>
      </x:c>
      <x:c r="I79" t="str">
        <x:f>IF(CaseLedger!$A79="","",CaseLedger!R79)</x:f>
      </x:c>
      <x:c r="J79" t="str">
        <x:f>IF(CaseLedger!$A79="","",CaseLedger!S79)</x:f>
      </x:c>
      <x:c r="K79" t="str">
        <x:f>IF(CaseLedger!$A79="","",CaseLedger!T79)</x:f>
      </x:c>
      <x:c r="L79" t="str">
        <x:f>IF(CaseLedger!$A79="","",CaseLedger!U79)</x:f>
      </x:c>
      <x:c r="M79" t="str">
        <x:f>IF(CaseLedger!$A79="","",CaseLedger!V79)</x:f>
      </x:c>
      <x:c r="N79" t="str">
        <x:f>IF(CaseLedger!$A79="","",CaseLedger!W79)</x:f>
      </x:c>
      <x:c r="O79" t="str">
        <x:f>IF(CaseLedger!$A79="","",CaseLedger!X79)</x:f>
      </x:c>
      <x:c r="P79" t="str">
        <x:f>IF(CaseLedger!$A79="","",CaseLedger!E79)</x:f>
      </x:c>
      <x:c r="Q79" t="str">
        <x:f>IF(CaseLedger!$A79="","",CaseLedger!C79)</x:f>
      </x:c>
      <x:c r="R79" t="str">
        <x:f>IF(CaseLedger!$A79="","",CaseLedger!D79)</x:f>
      </x:c>
      <x:c r="S79" t="str">
        <x:f>IFERROR(IF(CaseLedger!$A79="","",CaseLedger!Y79),"")</x:f>
      </x:c>
      <x:c r="T79" t="str">
        <x:f>IFERROR(IF(CaseLedger!$A79="","",CaseLedger!Z79),"")</x:f>
      </x:c>
      <x:c r="U79" t="str">
        <x:f>IFERROR(IF(CaseLedger!$A79="","",CaseLedger!AA79),"")</x:f>
      </x:c>
      <x:c r="V79" t="str">
        <x:f>IFERROR(IF(CaseLedger!$A79="","",CaseLedger!AB79),"")</x:f>
      </x:c>
      <x:c r="W79" t="str">
        <x:f>IFERROR(IF(CaseLedger!$A79="","",CaseLedger!AC79),"")</x:f>
      </x:c>
      <x:c r="X79" t="str">
        <x:f>IFERROR(IF(CaseLedger!$A79="","",CaseLedger!AD79),"")</x:f>
      </x:c>
      <x:c r="Y79" t="str">
        <x:f>IFERROR(IF(CaseLedger!$A79="","",CaseLedger!AE79),"")</x:f>
      </x:c>
      <x:c r="Z79" t="str">
        <x:f>IFERROR(IF(CaseLedger!$A79="","",CaseLedger!AF79),"")</x:f>
      </x:c>
      <x:c r="AA79" t="str">
        <x:f>IFERROR(IF(CaseLedger!$A79="","",CaseLedger!AG79),"")</x:f>
      </x:c>
      <x:c r="AB79" t="str">
        <x:f>IFERROR(IF(CaseLedger!$A79="","",CaseLedger!AH79),"")</x:f>
      </x:c>
      <x:c r="AC79" t="str">
        <x:f>IFERROR(IF(CaseLedger!$A79="","",CaseLedger!AI79),"")</x:f>
      </x:c>
    </x:row>
    <x:row r="80">
      <x:c r="A80" t="str">
        <x:f>IF(CaseLedger!$A80="","",CaseLedger!A80)</x:f>
      </x:c>
      <x:c r="B80" t="str">
        <x:f>IF(CaseLedger!$A80="","",CaseLedger!I80)</x:f>
      </x:c>
      <x:c r="C80" t="str">
        <x:f>IF(CaseLedger!$A80="","",CaseLedger!J80)</x:f>
      </x:c>
      <x:c r="D80" t="str">
        <x:f>IF(CaseLedger!$A80="","",CaseLedger!K80)</x:f>
      </x:c>
      <x:c r="E80" t="str">
        <x:f>IF(CaseLedger!$A80="","",CaseLedger!L80)</x:f>
      </x:c>
      <x:c r="F80" t="str">
        <x:f>IF(CaseLedger!$A80="","",CaseLedger!P80)</x:f>
      </x:c>
      <x:c r="G80" t="str">
        <x:f>IF(CaseLedger!$A80="","",CaseLedger!F80)</x:f>
      </x:c>
      <x:c r="H80" t="str">
        <x:f>IF(CaseLedger!$A80="","",CaseLedger!Q80)</x:f>
      </x:c>
      <x:c r="I80" t="str">
        <x:f>IF(CaseLedger!$A80="","",CaseLedger!R80)</x:f>
      </x:c>
      <x:c r="J80" t="str">
        <x:f>IF(CaseLedger!$A80="","",CaseLedger!S80)</x:f>
      </x:c>
      <x:c r="K80" t="str">
        <x:f>IF(CaseLedger!$A80="","",CaseLedger!T80)</x:f>
      </x:c>
      <x:c r="L80" t="str">
        <x:f>IF(CaseLedger!$A80="","",CaseLedger!U80)</x:f>
      </x:c>
      <x:c r="M80" t="str">
        <x:f>IF(CaseLedger!$A80="","",CaseLedger!V80)</x:f>
      </x:c>
      <x:c r="N80" t="str">
        <x:f>IF(CaseLedger!$A80="","",CaseLedger!W80)</x:f>
      </x:c>
      <x:c r="O80" t="str">
        <x:f>IF(CaseLedger!$A80="","",CaseLedger!X80)</x:f>
      </x:c>
      <x:c r="P80" t="str">
        <x:f>IF(CaseLedger!$A80="","",CaseLedger!E80)</x:f>
      </x:c>
      <x:c r="Q80" t="str">
        <x:f>IF(CaseLedger!$A80="","",CaseLedger!C80)</x:f>
      </x:c>
      <x:c r="R80" t="str">
        <x:f>IF(CaseLedger!$A80="","",CaseLedger!D80)</x:f>
      </x:c>
      <x:c r="S80" t="str">
        <x:f>IFERROR(IF(CaseLedger!$A80="","",CaseLedger!Y80),"")</x:f>
      </x:c>
      <x:c r="T80" t="str">
        <x:f>IFERROR(IF(CaseLedger!$A80="","",CaseLedger!Z80),"")</x:f>
      </x:c>
      <x:c r="U80" t="str">
        <x:f>IFERROR(IF(CaseLedger!$A80="","",CaseLedger!AA80),"")</x:f>
      </x:c>
      <x:c r="V80" t="str">
        <x:f>IFERROR(IF(CaseLedger!$A80="","",CaseLedger!AB80),"")</x:f>
      </x:c>
      <x:c r="W80" t="str">
        <x:f>IFERROR(IF(CaseLedger!$A80="","",CaseLedger!AC80),"")</x:f>
      </x:c>
      <x:c r="X80" t="str">
        <x:f>IFERROR(IF(CaseLedger!$A80="","",CaseLedger!AD80),"")</x:f>
      </x:c>
      <x:c r="Y80" t="str">
        <x:f>IFERROR(IF(CaseLedger!$A80="","",CaseLedger!AE80),"")</x:f>
      </x:c>
      <x:c r="Z80" t="str">
        <x:f>IFERROR(IF(CaseLedger!$A80="","",CaseLedger!AF80),"")</x:f>
      </x:c>
      <x:c r="AA80" t="str">
        <x:f>IFERROR(IF(CaseLedger!$A80="","",CaseLedger!AG80),"")</x:f>
      </x:c>
      <x:c r="AB80" t="str">
        <x:f>IFERROR(IF(CaseLedger!$A80="","",CaseLedger!AH80),"")</x:f>
      </x:c>
      <x:c r="AC80" t="str">
        <x:f>IFERROR(IF(CaseLedger!$A80="","",CaseLedger!AI80),"")</x:f>
      </x:c>
    </x:row>
    <x:row r="81">
      <x:c r="A81" t="str">
        <x:f>IF(CaseLedger!$A81="","",CaseLedger!A81)</x:f>
      </x:c>
      <x:c r="B81" t="str">
        <x:f>IF(CaseLedger!$A81="","",CaseLedger!I81)</x:f>
      </x:c>
      <x:c r="C81" t="str">
        <x:f>IF(CaseLedger!$A81="","",CaseLedger!J81)</x:f>
      </x:c>
      <x:c r="D81" t="str">
        <x:f>IF(CaseLedger!$A81="","",CaseLedger!K81)</x:f>
      </x:c>
      <x:c r="E81" t="str">
        <x:f>IF(CaseLedger!$A81="","",CaseLedger!L81)</x:f>
      </x:c>
      <x:c r="F81" t="str">
        <x:f>IF(CaseLedger!$A81="","",CaseLedger!P81)</x:f>
      </x:c>
      <x:c r="G81" t="str">
        <x:f>IF(CaseLedger!$A81="","",CaseLedger!F81)</x:f>
      </x:c>
      <x:c r="H81" t="str">
        <x:f>IF(CaseLedger!$A81="","",CaseLedger!Q81)</x:f>
      </x:c>
      <x:c r="I81" t="str">
        <x:f>IF(CaseLedger!$A81="","",CaseLedger!R81)</x:f>
      </x:c>
      <x:c r="J81" t="str">
        <x:f>IF(CaseLedger!$A81="","",CaseLedger!S81)</x:f>
      </x:c>
      <x:c r="K81" t="str">
        <x:f>IF(CaseLedger!$A81="","",CaseLedger!T81)</x:f>
      </x:c>
      <x:c r="L81" t="str">
        <x:f>IF(CaseLedger!$A81="","",CaseLedger!U81)</x:f>
      </x:c>
      <x:c r="M81" t="str">
        <x:f>IF(CaseLedger!$A81="","",CaseLedger!V81)</x:f>
      </x:c>
      <x:c r="N81" t="str">
        <x:f>IF(CaseLedger!$A81="","",CaseLedger!W81)</x:f>
      </x:c>
      <x:c r="O81" t="str">
        <x:f>IF(CaseLedger!$A81="","",CaseLedger!X81)</x:f>
      </x:c>
      <x:c r="P81" t="str">
        <x:f>IF(CaseLedger!$A81="","",CaseLedger!E81)</x:f>
      </x:c>
      <x:c r="Q81" t="str">
        <x:f>IF(CaseLedger!$A81="","",CaseLedger!C81)</x:f>
      </x:c>
      <x:c r="R81" t="str">
        <x:f>IF(CaseLedger!$A81="","",CaseLedger!D81)</x:f>
      </x:c>
      <x:c r="S81" t="str">
        <x:f>IFERROR(IF(CaseLedger!$A81="","",CaseLedger!Y81),"")</x:f>
      </x:c>
      <x:c r="T81" t="str">
        <x:f>IFERROR(IF(CaseLedger!$A81="","",CaseLedger!Z81),"")</x:f>
      </x:c>
      <x:c r="U81" t="str">
        <x:f>IFERROR(IF(CaseLedger!$A81="","",CaseLedger!AA81),"")</x:f>
      </x:c>
      <x:c r="V81" t="str">
        <x:f>IFERROR(IF(CaseLedger!$A81="","",CaseLedger!AB81),"")</x:f>
      </x:c>
      <x:c r="W81" t="str">
        <x:f>IFERROR(IF(CaseLedger!$A81="","",CaseLedger!AC81),"")</x:f>
      </x:c>
      <x:c r="X81" t="str">
        <x:f>IFERROR(IF(CaseLedger!$A81="","",CaseLedger!AD81),"")</x:f>
      </x:c>
      <x:c r="Y81" t="str">
        <x:f>IFERROR(IF(CaseLedger!$A81="","",CaseLedger!AE81),"")</x:f>
      </x:c>
      <x:c r="Z81" t="str">
        <x:f>IFERROR(IF(CaseLedger!$A81="","",CaseLedger!AF81),"")</x:f>
      </x:c>
      <x:c r="AA81" t="str">
        <x:f>IFERROR(IF(CaseLedger!$A81="","",CaseLedger!AG81),"")</x:f>
      </x:c>
      <x:c r="AB81" t="str">
        <x:f>IFERROR(IF(CaseLedger!$A81="","",CaseLedger!AH81),"")</x:f>
      </x:c>
      <x:c r="AC81" t="str">
        <x:f>IFERROR(IF(CaseLedger!$A81="","",CaseLedger!AI81),"")</x:f>
      </x:c>
    </x:row>
    <x:row r="82">
      <x:c r="A82" t="str">
        <x:f>IF(CaseLedger!$A82="","",CaseLedger!A82)</x:f>
      </x:c>
      <x:c r="B82" t="str">
        <x:f>IF(CaseLedger!$A82="","",CaseLedger!I82)</x:f>
      </x:c>
      <x:c r="C82" t="str">
        <x:f>IF(CaseLedger!$A82="","",CaseLedger!J82)</x:f>
      </x:c>
      <x:c r="D82" t="str">
        <x:f>IF(CaseLedger!$A82="","",CaseLedger!K82)</x:f>
      </x:c>
      <x:c r="E82" t="str">
        <x:f>IF(CaseLedger!$A82="","",CaseLedger!L82)</x:f>
      </x:c>
      <x:c r="F82" t="str">
        <x:f>IF(CaseLedger!$A82="","",CaseLedger!P82)</x:f>
      </x:c>
      <x:c r="G82" t="str">
        <x:f>IF(CaseLedger!$A82="","",CaseLedger!F82)</x:f>
      </x:c>
      <x:c r="H82" t="str">
        <x:f>IF(CaseLedger!$A82="","",CaseLedger!Q82)</x:f>
      </x:c>
      <x:c r="I82" t="str">
        <x:f>IF(CaseLedger!$A82="","",CaseLedger!R82)</x:f>
      </x:c>
      <x:c r="J82" t="str">
        <x:f>IF(CaseLedger!$A82="","",CaseLedger!S82)</x:f>
      </x:c>
      <x:c r="K82" t="str">
        <x:f>IF(CaseLedger!$A82="","",CaseLedger!T82)</x:f>
      </x:c>
      <x:c r="L82" t="str">
        <x:f>IF(CaseLedger!$A82="","",CaseLedger!U82)</x:f>
      </x:c>
      <x:c r="M82" t="str">
        <x:f>IF(CaseLedger!$A82="","",CaseLedger!V82)</x:f>
      </x:c>
      <x:c r="N82" t="str">
        <x:f>IF(CaseLedger!$A82="","",CaseLedger!W82)</x:f>
      </x:c>
      <x:c r="O82" t="str">
        <x:f>IF(CaseLedger!$A82="","",CaseLedger!X82)</x:f>
      </x:c>
      <x:c r="P82" t="str">
        <x:f>IF(CaseLedger!$A82="","",CaseLedger!E82)</x:f>
      </x:c>
      <x:c r="Q82" t="str">
        <x:f>IF(CaseLedger!$A82="","",CaseLedger!C82)</x:f>
      </x:c>
      <x:c r="R82" t="str">
        <x:f>IF(CaseLedger!$A82="","",CaseLedger!D82)</x:f>
      </x:c>
      <x:c r="S82" t="str">
        <x:f>IFERROR(IF(CaseLedger!$A82="","",CaseLedger!Y82),"")</x:f>
      </x:c>
      <x:c r="T82" t="str">
        <x:f>IFERROR(IF(CaseLedger!$A82="","",CaseLedger!Z82),"")</x:f>
      </x:c>
      <x:c r="U82" t="str">
        <x:f>IFERROR(IF(CaseLedger!$A82="","",CaseLedger!AA82),"")</x:f>
      </x:c>
      <x:c r="V82" t="str">
        <x:f>IFERROR(IF(CaseLedger!$A82="","",CaseLedger!AB82),"")</x:f>
      </x:c>
      <x:c r="W82" t="str">
        <x:f>IFERROR(IF(CaseLedger!$A82="","",CaseLedger!AC82),"")</x:f>
      </x:c>
      <x:c r="X82" t="str">
        <x:f>IFERROR(IF(CaseLedger!$A82="","",CaseLedger!AD82),"")</x:f>
      </x:c>
      <x:c r="Y82" t="str">
        <x:f>IFERROR(IF(CaseLedger!$A82="","",CaseLedger!AE82),"")</x:f>
      </x:c>
      <x:c r="Z82" t="str">
        <x:f>IFERROR(IF(CaseLedger!$A82="","",CaseLedger!AF82),"")</x:f>
      </x:c>
      <x:c r="AA82" t="str">
        <x:f>IFERROR(IF(CaseLedger!$A82="","",CaseLedger!AG82),"")</x:f>
      </x:c>
      <x:c r="AB82" t="str">
        <x:f>IFERROR(IF(CaseLedger!$A82="","",CaseLedger!AH82),"")</x:f>
      </x:c>
      <x:c r="AC82" t="str">
        <x:f>IFERROR(IF(CaseLedger!$A82="","",CaseLedger!AI82),"")</x:f>
      </x:c>
    </x:row>
    <x:row r="83">
      <x:c r="A83" t="str">
        <x:f>IF(CaseLedger!$A83="","",CaseLedger!A83)</x:f>
      </x:c>
      <x:c r="B83" t="str">
        <x:f>IF(CaseLedger!$A83="","",CaseLedger!I83)</x:f>
      </x:c>
      <x:c r="C83" t="str">
        <x:f>IF(CaseLedger!$A83="","",CaseLedger!J83)</x:f>
      </x:c>
      <x:c r="D83" t="str">
        <x:f>IF(CaseLedger!$A83="","",CaseLedger!K83)</x:f>
      </x:c>
      <x:c r="E83" t="str">
        <x:f>IF(CaseLedger!$A83="","",CaseLedger!L83)</x:f>
      </x:c>
      <x:c r="F83" t="str">
        <x:f>IF(CaseLedger!$A83="","",CaseLedger!P83)</x:f>
      </x:c>
      <x:c r="G83" t="str">
        <x:f>IF(CaseLedger!$A83="","",CaseLedger!F83)</x:f>
      </x:c>
      <x:c r="H83" t="str">
        <x:f>IF(CaseLedger!$A83="","",CaseLedger!Q83)</x:f>
      </x:c>
      <x:c r="I83" t="str">
        <x:f>IF(CaseLedger!$A83="","",CaseLedger!R83)</x:f>
      </x:c>
      <x:c r="J83" t="str">
        <x:f>IF(CaseLedger!$A83="","",CaseLedger!S83)</x:f>
      </x:c>
      <x:c r="K83" t="str">
        <x:f>IF(CaseLedger!$A83="","",CaseLedger!T83)</x:f>
      </x:c>
      <x:c r="L83" t="str">
        <x:f>IF(CaseLedger!$A83="","",CaseLedger!U83)</x:f>
      </x:c>
      <x:c r="M83" t="str">
        <x:f>IF(CaseLedger!$A83="","",CaseLedger!V83)</x:f>
      </x:c>
      <x:c r="N83" t="str">
        <x:f>IF(CaseLedger!$A83="","",CaseLedger!W83)</x:f>
      </x:c>
      <x:c r="O83" t="str">
        <x:f>IF(CaseLedger!$A83="","",CaseLedger!X83)</x:f>
      </x:c>
      <x:c r="P83" t="str">
        <x:f>IF(CaseLedger!$A83="","",CaseLedger!E83)</x:f>
      </x:c>
      <x:c r="Q83" t="str">
        <x:f>IF(CaseLedger!$A83="","",CaseLedger!C83)</x:f>
      </x:c>
      <x:c r="R83" t="str">
        <x:f>IF(CaseLedger!$A83="","",CaseLedger!D83)</x:f>
      </x:c>
      <x:c r="S83" t="str">
        <x:f>IFERROR(IF(CaseLedger!$A83="","",CaseLedger!Y83),"")</x:f>
      </x:c>
      <x:c r="T83" t="str">
        <x:f>IFERROR(IF(CaseLedger!$A83="","",CaseLedger!Z83),"")</x:f>
      </x:c>
      <x:c r="U83" t="str">
        <x:f>IFERROR(IF(CaseLedger!$A83="","",CaseLedger!AA83),"")</x:f>
      </x:c>
      <x:c r="V83" t="str">
        <x:f>IFERROR(IF(CaseLedger!$A83="","",CaseLedger!AB83),"")</x:f>
      </x:c>
      <x:c r="W83" t="str">
        <x:f>IFERROR(IF(CaseLedger!$A83="","",CaseLedger!AC83),"")</x:f>
      </x:c>
      <x:c r="X83" t="str">
        <x:f>IFERROR(IF(CaseLedger!$A83="","",CaseLedger!AD83),"")</x:f>
      </x:c>
      <x:c r="Y83" t="str">
        <x:f>IFERROR(IF(CaseLedger!$A83="","",CaseLedger!AE83),"")</x:f>
      </x:c>
      <x:c r="Z83" t="str">
        <x:f>IFERROR(IF(CaseLedger!$A83="","",CaseLedger!AF83),"")</x:f>
      </x:c>
      <x:c r="AA83" t="str">
        <x:f>IFERROR(IF(CaseLedger!$A83="","",CaseLedger!AG83),"")</x:f>
      </x:c>
      <x:c r="AB83" t="str">
        <x:f>IFERROR(IF(CaseLedger!$A83="","",CaseLedger!AH83),"")</x:f>
      </x:c>
      <x:c r="AC83" t="str">
        <x:f>IFERROR(IF(CaseLedger!$A83="","",CaseLedger!AI83),"")</x:f>
      </x:c>
    </x:row>
    <x:row r="84">
      <x:c r="A84" t="str">
        <x:f>IF(CaseLedger!$A84="","",CaseLedger!A84)</x:f>
      </x:c>
      <x:c r="B84" t="str">
        <x:f>IF(CaseLedger!$A84="","",CaseLedger!I84)</x:f>
      </x:c>
      <x:c r="C84" t="str">
        <x:f>IF(CaseLedger!$A84="","",CaseLedger!J84)</x:f>
      </x:c>
      <x:c r="D84" t="str">
        <x:f>IF(CaseLedger!$A84="","",CaseLedger!K84)</x:f>
      </x:c>
      <x:c r="E84" t="str">
        <x:f>IF(CaseLedger!$A84="","",CaseLedger!L84)</x:f>
      </x:c>
      <x:c r="F84" t="str">
        <x:f>IF(CaseLedger!$A84="","",CaseLedger!P84)</x:f>
      </x:c>
      <x:c r="G84" t="str">
        <x:f>IF(CaseLedger!$A84="","",CaseLedger!F84)</x:f>
      </x:c>
      <x:c r="H84" t="str">
        <x:f>IF(CaseLedger!$A84="","",CaseLedger!Q84)</x:f>
      </x:c>
      <x:c r="I84" t="str">
        <x:f>IF(CaseLedger!$A84="","",CaseLedger!R84)</x:f>
      </x:c>
      <x:c r="J84" t="str">
        <x:f>IF(CaseLedger!$A84="","",CaseLedger!S84)</x:f>
      </x:c>
      <x:c r="K84" t="str">
        <x:f>IF(CaseLedger!$A84="","",CaseLedger!T84)</x:f>
      </x:c>
      <x:c r="L84" t="str">
        <x:f>IF(CaseLedger!$A84="","",CaseLedger!U84)</x:f>
      </x:c>
      <x:c r="M84" t="str">
        <x:f>IF(CaseLedger!$A84="","",CaseLedger!V84)</x:f>
      </x:c>
      <x:c r="N84" t="str">
        <x:f>IF(CaseLedger!$A84="","",CaseLedger!W84)</x:f>
      </x:c>
      <x:c r="O84" t="str">
        <x:f>IF(CaseLedger!$A84="","",CaseLedger!X84)</x:f>
      </x:c>
      <x:c r="P84" t="str">
        <x:f>IF(CaseLedger!$A84="","",CaseLedger!E84)</x:f>
      </x:c>
      <x:c r="Q84" t="str">
        <x:f>IF(CaseLedger!$A84="","",CaseLedger!C84)</x:f>
      </x:c>
      <x:c r="R84" t="str">
        <x:f>IF(CaseLedger!$A84="","",CaseLedger!D84)</x:f>
      </x:c>
      <x:c r="S84" t="str">
        <x:f>IFERROR(IF(CaseLedger!$A84="","",CaseLedger!Y84),"")</x:f>
      </x:c>
      <x:c r="T84" t="str">
        <x:f>IFERROR(IF(CaseLedger!$A84="","",CaseLedger!Z84),"")</x:f>
      </x:c>
      <x:c r="U84" t="str">
        <x:f>IFERROR(IF(CaseLedger!$A84="","",CaseLedger!AA84),"")</x:f>
      </x:c>
      <x:c r="V84" t="str">
        <x:f>IFERROR(IF(CaseLedger!$A84="","",CaseLedger!AB84),"")</x:f>
      </x:c>
      <x:c r="W84" t="str">
        <x:f>IFERROR(IF(CaseLedger!$A84="","",CaseLedger!AC84),"")</x:f>
      </x:c>
      <x:c r="X84" t="str">
        <x:f>IFERROR(IF(CaseLedger!$A84="","",CaseLedger!AD84),"")</x:f>
      </x:c>
      <x:c r="Y84" t="str">
        <x:f>IFERROR(IF(CaseLedger!$A84="","",CaseLedger!AE84),"")</x:f>
      </x:c>
      <x:c r="Z84" t="str">
        <x:f>IFERROR(IF(CaseLedger!$A84="","",CaseLedger!AF84),"")</x:f>
      </x:c>
      <x:c r="AA84" t="str">
        <x:f>IFERROR(IF(CaseLedger!$A84="","",CaseLedger!AG84),"")</x:f>
      </x:c>
      <x:c r="AB84" t="str">
        <x:f>IFERROR(IF(CaseLedger!$A84="","",CaseLedger!AH84),"")</x:f>
      </x:c>
      <x:c r="AC84" t="str">
        <x:f>IFERROR(IF(CaseLedger!$A84="","",CaseLedger!AI84),"")</x:f>
      </x:c>
    </x:row>
    <x:row r="85">
      <x:c r="A85" t="str">
        <x:f>IF(CaseLedger!$A85="","",CaseLedger!A85)</x:f>
      </x:c>
      <x:c r="B85" t="str">
        <x:f>IF(CaseLedger!$A85="","",CaseLedger!I85)</x:f>
      </x:c>
      <x:c r="C85" t="str">
        <x:f>IF(CaseLedger!$A85="","",CaseLedger!J85)</x:f>
      </x:c>
      <x:c r="D85" t="str">
        <x:f>IF(CaseLedger!$A85="","",CaseLedger!K85)</x:f>
      </x:c>
      <x:c r="E85" t="str">
        <x:f>IF(CaseLedger!$A85="","",CaseLedger!L85)</x:f>
      </x:c>
      <x:c r="F85" t="str">
        <x:f>IF(CaseLedger!$A85="","",CaseLedger!P85)</x:f>
      </x:c>
      <x:c r="G85" t="str">
        <x:f>IF(CaseLedger!$A85="","",CaseLedger!F85)</x:f>
      </x:c>
      <x:c r="H85" t="str">
        <x:f>IF(CaseLedger!$A85="","",CaseLedger!Q85)</x:f>
      </x:c>
      <x:c r="I85" t="str">
        <x:f>IF(CaseLedger!$A85="","",CaseLedger!R85)</x:f>
      </x:c>
      <x:c r="J85" t="str">
        <x:f>IF(CaseLedger!$A85="","",CaseLedger!S85)</x:f>
      </x:c>
      <x:c r="K85" t="str">
        <x:f>IF(CaseLedger!$A85="","",CaseLedger!T85)</x:f>
      </x:c>
      <x:c r="L85" t="str">
        <x:f>IF(CaseLedger!$A85="","",CaseLedger!U85)</x:f>
      </x:c>
      <x:c r="M85" t="str">
        <x:f>IF(CaseLedger!$A85="","",CaseLedger!V85)</x:f>
      </x:c>
      <x:c r="N85" t="str">
        <x:f>IF(CaseLedger!$A85="","",CaseLedger!W85)</x:f>
      </x:c>
      <x:c r="O85" t="str">
        <x:f>IF(CaseLedger!$A85="","",CaseLedger!X85)</x:f>
      </x:c>
      <x:c r="P85" t="str">
        <x:f>IF(CaseLedger!$A85="","",CaseLedger!E85)</x:f>
      </x:c>
      <x:c r="Q85" t="str">
        <x:f>IF(CaseLedger!$A85="","",CaseLedger!C85)</x:f>
      </x:c>
      <x:c r="R85" t="str">
        <x:f>IF(CaseLedger!$A85="","",CaseLedger!D85)</x:f>
      </x:c>
      <x:c r="S85" t="str">
        <x:f>IFERROR(IF(CaseLedger!$A85="","",CaseLedger!Y85),"")</x:f>
      </x:c>
      <x:c r="T85" t="str">
        <x:f>IFERROR(IF(CaseLedger!$A85="","",CaseLedger!Z85),"")</x:f>
      </x:c>
      <x:c r="U85" t="str">
        <x:f>IFERROR(IF(CaseLedger!$A85="","",CaseLedger!AA85),"")</x:f>
      </x:c>
      <x:c r="V85" t="str">
        <x:f>IFERROR(IF(CaseLedger!$A85="","",CaseLedger!AB85),"")</x:f>
      </x:c>
      <x:c r="W85" t="str">
        <x:f>IFERROR(IF(CaseLedger!$A85="","",CaseLedger!AC85),"")</x:f>
      </x:c>
      <x:c r="X85" t="str">
        <x:f>IFERROR(IF(CaseLedger!$A85="","",CaseLedger!AD85),"")</x:f>
      </x:c>
      <x:c r="Y85" t="str">
        <x:f>IFERROR(IF(CaseLedger!$A85="","",CaseLedger!AE85),"")</x:f>
      </x:c>
      <x:c r="Z85" t="str">
        <x:f>IFERROR(IF(CaseLedger!$A85="","",CaseLedger!AF85),"")</x:f>
      </x:c>
      <x:c r="AA85" t="str">
        <x:f>IFERROR(IF(CaseLedger!$A85="","",CaseLedger!AG85),"")</x:f>
      </x:c>
      <x:c r="AB85" t="str">
        <x:f>IFERROR(IF(CaseLedger!$A85="","",CaseLedger!AH85),"")</x:f>
      </x:c>
      <x:c r="AC85" t="str">
        <x:f>IFERROR(IF(CaseLedger!$A85="","",CaseLedger!AI85),"")</x:f>
      </x:c>
    </x:row>
    <x:row r="86">
      <x:c r="A86" t="str">
        <x:f>IF(CaseLedger!$A86="","",CaseLedger!A86)</x:f>
      </x:c>
      <x:c r="B86" t="str">
        <x:f>IF(CaseLedger!$A86="","",CaseLedger!I86)</x:f>
      </x:c>
      <x:c r="C86" t="str">
        <x:f>IF(CaseLedger!$A86="","",CaseLedger!J86)</x:f>
      </x:c>
      <x:c r="D86" t="str">
        <x:f>IF(CaseLedger!$A86="","",CaseLedger!K86)</x:f>
      </x:c>
      <x:c r="E86" t="str">
        <x:f>IF(CaseLedger!$A86="","",CaseLedger!L86)</x:f>
      </x:c>
      <x:c r="F86" t="str">
        <x:f>IF(CaseLedger!$A86="","",CaseLedger!P86)</x:f>
      </x:c>
      <x:c r="G86" t="str">
        <x:f>IF(CaseLedger!$A86="","",CaseLedger!F86)</x:f>
      </x:c>
      <x:c r="H86" t="str">
        <x:f>IF(CaseLedger!$A86="","",CaseLedger!Q86)</x:f>
      </x:c>
      <x:c r="I86" t="str">
        <x:f>IF(CaseLedger!$A86="","",CaseLedger!R86)</x:f>
      </x:c>
      <x:c r="J86" t="str">
        <x:f>IF(CaseLedger!$A86="","",CaseLedger!S86)</x:f>
      </x:c>
      <x:c r="K86" t="str">
        <x:f>IF(CaseLedger!$A86="","",CaseLedger!T86)</x:f>
      </x:c>
      <x:c r="L86" t="str">
        <x:f>IF(CaseLedger!$A86="","",CaseLedger!U86)</x:f>
      </x:c>
      <x:c r="M86" t="str">
        <x:f>IF(CaseLedger!$A86="","",CaseLedger!V86)</x:f>
      </x:c>
      <x:c r="N86" t="str">
        <x:f>IF(CaseLedger!$A86="","",CaseLedger!W86)</x:f>
      </x:c>
      <x:c r="O86" t="str">
        <x:f>IF(CaseLedger!$A86="","",CaseLedger!X86)</x:f>
      </x:c>
      <x:c r="P86" t="str">
        <x:f>IF(CaseLedger!$A86="","",CaseLedger!E86)</x:f>
      </x:c>
      <x:c r="Q86" t="str">
        <x:f>IF(CaseLedger!$A86="","",CaseLedger!C86)</x:f>
      </x:c>
      <x:c r="R86" t="str">
        <x:f>IF(CaseLedger!$A86="","",CaseLedger!D86)</x:f>
      </x:c>
      <x:c r="S86" t="str">
        <x:f>IFERROR(IF(CaseLedger!$A86="","",CaseLedger!Y86),"")</x:f>
      </x:c>
      <x:c r="T86" t="str">
        <x:f>IFERROR(IF(CaseLedger!$A86="","",CaseLedger!Z86),"")</x:f>
      </x:c>
      <x:c r="U86" t="str">
        <x:f>IFERROR(IF(CaseLedger!$A86="","",CaseLedger!AA86),"")</x:f>
      </x:c>
      <x:c r="V86" t="str">
        <x:f>IFERROR(IF(CaseLedger!$A86="","",CaseLedger!AB86),"")</x:f>
      </x:c>
      <x:c r="W86" t="str">
        <x:f>IFERROR(IF(CaseLedger!$A86="","",CaseLedger!AC86),"")</x:f>
      </x:c>
      <x:c r="X86" t="str">
        <x:f>IFERROR(IF(CaseLedger!$A86="","",CaseLedger!AD86),"")</x:f>
      </x:c>
      <x:c r="Y86" t="str">
        <x:f>IFERROR(IF(CaseLedger!$A86="","",CaseLedger!AE86),"")</x:f>
      </x:c>
      <x:c r="Z86" t="str">
        <x:f>IFERROR(IF(CaseLedger!$A86="","",CaseLedger!AF86),"")</x:f>
      </x:c>
      <x:c r="AA86" t="str">
        <x:f>IFERROR(IF(CaseLedger!$A86="","",CaseLedger!AG86),"")</x:f>
      </x:c>
      <x:c r="AB86" t="str">
        <x:f>IFERROR(IF(CaseLedger!$A86="","",CaseLedger!AH86),"")</x:f>
      </x:c>
      <x:c r="AC86" t="str">
        <x:f>IFERROR(IF(CaseLedger!$A86="","",CaseLedger!AI86),"")</x:f>
      </x:c>
    </x:row>
    <x:row r="87">
      <x:c r="A87" t="str">
        <x:f>IF(CaseLedger!$A87="","",CaseLedger!A87)</x:f>
      </x:c>
      <x:c r="B87" t="str">
        <x:f>IF(CaseLedger!$A87="","",CaseLedger!I87)</x:f>
      </x:c>
      <x:c r="C87" t="str">
        <x:f>IF(CaseLedger!$A87="","",CaseLedger!J87)</x:f>
      </x:c>
      <x:c r="D87" t="str">
        <x:f>IF(CaseLedger!$A87="","",CaseLedger!K87)</x:f>
      </x:c>
      <x:c r="E87" t="str">
        <x:f>IF(CaseLedger!$A87="","",CaseLedger!L87)</x:f>
      </x:c>
      <x:c r="F87" t="str">
        <x:f>IF(CaseLedger!$A87="","",CaseLedger!P87)</x:f>
      </x:c>
      <x:c r="G87" t="str">
        <x:f>IF(CaseLedger!$A87="","",CaseLedger!F87)</x:f>
      </x:c>
      <x:c r="H87" t="str">
        <x:f>IF(CaseLedger!$A87="","",CaseLedger!Q87)</x:f>
      </x:c>
      <x:c r="I87" t="str">
        <x:f>IF(CaseLedger!$A87="","",CaseLedger!R87)</x:f>
      </x:c>
      <x:c r="J87" t="str">
        <x:f>IF(CaseLedger!$A87="","",CaseLedger!S87)</x:f>
      </x:c>
      <x:c r="K87" t="str">
        <x:f>IF(CaseLedger!$A87="","",CaseLedger!T87)</x:f>
      </x:c>
      <x:c r="L87" t="str">
        <x:f>IF(CaseLedger!$A87="","",CaseLedger!U87)</x:f>
      </x:c>
      <x:c r="M87" t="str">
        <x:f>IF(CaseLedger!$A87="","",CaseLedger!V87)</x:f>
      </x:c>
      <x:c r="N87" t="str">
        <x:f>IF(CaseLedger!$A87="","",CaseLedger!W87)</x:f>
      </x:c>
      <x:c r="O87" t="str">
        <x:f>IF(CaseLedger!$A87="","",CaseLedger!X87)</x:f>
      </x:c>
      <x:c r="P87" t="str">
        <x:f>IF(CaseLedger!$A87="","",CaseLedger!E87)</x:f>
      </x:c>
      <x:c r="Q87" t="str">
        <x:f>IF(CaseLedger!$A87="","",CaseLedger!C87)</x:f>
      </x:c>
      <x:c r="R87" t="str">
        <x:f>IF(CaseLedger!$A87="","",CaseLedger!D87)</x:f>
      </x:c>
      <x:c r="S87" t="str">
        <x:f>IFERROR(IF(CaseLedger!$A87="","",CaseLedger!Y87),"")</x:f>
      </x:c>
      <x:c r="T87" t="str">
        <x:f>IFERROR(IF(CaseLedger!$A87="","",CaseLedger!Z87),"")</x:f>
      </x:c>
      <x:c r="U87" t="str">
        <x:f>IFERROR(IF(CaseLedger!$A87="","",CaseLedger!AA87),"")</x:f>
      </x:c>
      <x:c r="V87" t="str">
        <x:f>IFERROR(IF(CaseLedger!$A87="","",CaseLedger!AB87),"")</x:f>
      </x:c>
      <x:c r="W87" t="str">
        <x:f>IFERROR(IF(CaseLedger!$A87="","",CaseLedger!AC87),"")</x:f>
      </x:c>
      <x:c r="X87" t="str">
        <x:f>IFERROR(IF(CaseLedger!$A87="","",CaseLedger!AD87),"")</x:f>
      </x:c>
      <x:c r="Y87" t="str">
        <x:f>IFERROR(IF(CaseLedger!$A87="","",CaseLedger!AE87),"")</x:f>
      </x:c>
      <x:c r="Z87" t="str">
        <x:f>IFERROR(IF(CaseLedger!$A87="","",CaseLedger!AF87),"")</x:f>
      </x:c>
      <x:c r="AA87" t="str">
        <x:f>IFERROR(IF(CaseLedger!$A87="","",CaseLedger!AG87),"")</x:f>
      </x:c>
      <x:c r="AB87" t="str">
        <x:f>IFERROR(IF(CaseLedger!$A87="","",CaseLedger!AH87),"")</x:f>
      </x:c>
      <x:c r="AC87" t="str">
        <x:f>IFERROR(IF(CaseLedger!$A87="","",CaseLedger!AI87),"")</x:f>
      </x:c>
    </x:row>
    <x:row r="88">
      <x:c r="A88" t="str">
        <x:f>IF(CaseLedger!$A88="","",CaseLedger!A88)</x:f>
      </x:c>
      <x:c r="B88" t="str">
        <x:f>IF(CaseLedger!$A88="","",CaseLedger!I88)</x:f>
      </x:c>
      <x:c r="C88" t="str">
        <x:f>IF(CaseLedger!$A88="","",CaseLedger!J88)</x:f>
      </x:c>
      <x:c r="D88" t="str">
        <x:f>IF(CaseLedger!$A88="","",CaseLedger!K88)</x:f>
      </x:c>
      <x:c r="E88" t="str">
        <x:f>IF(CaseLedger!$A88="","",CaseLedger!L88)</x:f>
      </x:c>
      <x:c r="F88" t="str">
        <x:f>IF(CaseLedger!$A88="","",CaseLedger!P88)</x:f>
      </x:c>
      <x:c r="G88" t="str">
        <x:f>IF(CaseLedger!$A88="","",CaseLedger!F88)</x:f>
      </x:c>
      <x:c r="H88" t="str">
        <x:f>IF(CaseLedger!$A88="","",CaseLedger!Q88)</x:f>
      </x:c>
      <x:c r="I88" t="str">
        <x:f>IF(CaseLedger!$A88="","",CaseLedger!R88)</x:f>
      </x:c>
      <x:c r="J88" t="str">
        <x:f>IF(CaseLedger!$A88="","",CaseLedger!S88)</x:f>
      </x:c>
      <x:c r="K88" t="str">
        <x:f>IF(CaseLedger!$A88="","",CaseLedger!T88)</x:f>
      </x:c>
      <x:c r="L88" t="str">
        <x:f>IF(CaseLedger!$A88="","",CaseLedger!U88)</x:f>
      </x:c>
      <x:c r="M88" t="str">
        <x:f>IF(CaseLedger!$A88="","",CaseLedger!V88)</x:f>
      </x:c>
      <x:c r="N88" t="str">
        <x:f>IF(CaseLedger!$A88="","",CaseLedger!W88)</x:f>
      </x:c>
      <x:c r="O88" t="str">
        <x:f>IF(CaseLedger!$A88="","",CaseLedger!X88)</x:f>
      </x:c>
      <x:c r="P88" t="str">
        <x:f>IF(CaseLedger!$A88="","",CaseLedger!E88)</x:f>
      </x:c>
      <x:c r="Q88" t="str">
        <x:f>IF(CaseLedger!$A88="","",CaseLedger!C88)</x:f>
      </x:c>
      <x:c r="R88" t="str">
        <x:f>IF(CaseLedger!$A88="","",CaseLedger!D88)</x:f>
      </x:c>
      <x:c r="S88" t="str">
        <x:f>IFERROR(IF(CaseLedger!$A88="","",CaseLedger!Y88),"")</x:f>
      </x:c>
      <x:c r="T88" t="str">
        <x:f>IFERROR(IF(CaseLedger!$A88="","",CaseLedger!Z88),"")</x:f>
      </x:c>
      <x:c r="U88" t="str">
        <x:f>IFERROR(IF(CaseLedger!$A88="","",CaseLedger!AA88),"")</x:f>
      </x:c>
      <x:c r="V88" t="str">
        <x:f>IFERROR(IF(CaseLedger!$A88="","",CaseLedger!AB88),"")</x:f>
      </x:c>
      <x:c r="W88" t="str">
        <x:f>IFERROR(IF(CaseLedger!$A88="","",CaseLedger!AC88),"")</x:f>
      </x:c>
      <x:c r="X88" t="str">
        <x:f>IFERROR(IF(CaseLedger!$A88="","",CaseLedger!AD88),"")</x:f>
      </x:c>
      <x:c r="Y88" t="str">
        <x:f>IFERROR(IF(CaseLedger!$A88="","",CaseLedger!AE88),"")</x:f>
      </x:c>
      <x:c r="Z88" t="str">
        <x:f>IFERROR(IF(CaseLedger!$A88="","",CaseLedger!AF88),"")</x:f>
      </x:c>
      <x:c r="AA88" t="str">
        <x:f>IFERROR(IF(CaseLedger!$A88="","",CaseLedger!AG88),"")</x:f>
      </x:c>
      <x:c r="AB88" t="str">
        <x:f>IFERROR(IF(CaseLedger!$A88="","",CaseLedger!AH88),"")</x:f>
      </x:c>
      <x:c r="AC88" t="str">
        <x:f>IFERROR(IF(CaseLedger!$A88="","",CaseLedger!AI88),"")</x:f>
      </x:c>
    </x:row>
    <x:row r="89">
      <x:c r="A89" t="str">
        <x:f>IF(CaseLedger!$A89="","",CaseLedger!A89)</x:f>
      </x:c>
      <x:c r="B89" t="str">
        <x:f>IF(CaseLedger!$A89="","",CaseLedger!I89)</x:f>
      </x:c>
      <x:c r="C89" t="str">
        <x:f>IF(CaseLedger!$A89="","",CaseLedger!J89)</x:f>
      </x:c>
      <x:c r="D89" t="str">
        <x:f>IF(CaseLedger!$A89="","",CaseLedger!K89)</x:f>
      </x:c>
      <x:c r="E89" t="str">
        <x:f>IF(CaseLedger!$A89="","",CaseLedger!L89)</x:f>
      </x:c>
      <x:c r="F89" t="str">
        <x:f>IF(CaseLedger!$A89="","",CaseLedger!P89)</x:f>
      </x:c>
      <x:c r="G89" t="str">
        <x:f>IF(CaseLedger!$A89="","",CaseLedger!F89)</x:f>
      </x:c>
      <x:c r="H89" t="str">
        <x:f>IF(CaseLedger!$A89="","",CaseLedger!Q89)</x:f>
      </x:c>
      <x:c r="I89" t="str">
        <x:f>IF(CaseLedger!$A89="","",CaseLedger!R89)</x:f>
      </x:c>
      <x:c r="J89" t="str">
        <x:f>IF(CaseLedger!$A89="","",CaseLedger!S89)</x:f>
      </x:c>
      <x:c r="K89" t="str">
        <x:f>IF(CaseLedger!$A89="","",CaseLedger!T89)</x:f>
      </x:c>
      <x:c r="L89" t="str">
        <x:f>IF(CaseLedger!$A89="","",CaseLedger!U89)</x:f>
      </x:c>
      <x:c r="M89" t="str">
        <x:f>IF(CaseLedger!$A89="","",CaseLedger!V89)</x:f>
      </x:c>
      <x:c r="N89" t="str">
        <x:f>IF(CaseLedger!$A89="","",CaseLedger!W89)</x:f>
      </x:c>
      <x:c r="O89" t="str">
        <x:f>IF(CaseLedger!$A89="","",CaseLedger!X89)</x:f>
      </x:c>
      <x:c r="P89" t="str">
        <x:f>IF(CaseLedger!$A89="","",CaseLedger!E89)</x:f>
      </x:c>
      <x:c r="Q89" t="str">
        <x:f>IF(CaseLedger!$A89="","",CaseLedger!C89)</x:f>
      </x:c>
      <x:c r="R89" t="str">
        <x:f>IF(CaseLedger!$A89="","",CaseLedger!D89)</x:f>
      </x:c>
      <x:c r="S89" t="str">
        <x:f>IFERROR(IF(CaseLedger!$A89="","",CaseLedger!Y89),"")</x:f>
      </x:c>
      <x:c r="T89" t="str">
        <x:f>IFERROR(IF(CaseLedger!$A89="","",CaseLedger!Z89),"")</x:f>
      </x:c>
      <x:c r="U89" t="str">
        <x:f>IFERROR(IF(CaseLedger!$A89="","",CaseLedger!AA89),"")</x:f>
      </x:c>
      <x:c r="V89" t="str">
        <x:f>IFERROR(IF(CaseLedger!$A89="","",CaseLedger!AB89),"")</x:f>
      </x:c>
      <x:c r="W89" t="str">
        <x:f>IFERROR(IF(CaseLedger!$A89="","",CaseLedger!AC89),"")</x:f>
      </x:c>
      <x:c r="X89" t="str">
        <x:f>IFERROR(IF(CaseLedger!$A89="","",CaseLedger!AD89),"")</x:f>
      </x:c>
      <x:c r="Y89" t="str">
        <x:f>IFERROR(IF(CaseLedger!$A89="","",CaseLedger!AE89),"")</x:f>
      </x:c>
      <x:c r="Z89" t="str">
        <x:f>IFERROR(IF(CaseLedger!$A89="","",CaseLedger!AF89),"")</x:f>
      </x:c>
      <x:c r="AA89" t="str">
        <x:f>IFERROR(IF(CaseLedger!$A89="","",CaseLedger!AG89),"")</x:f>
      </x:c>
      <x:c r="AB89" t="str">
        <x:f>IFERROR(IF(CaseLedger!$A89="","",CaseLedger!AH89),"")</x:f>
      </x:c>
      <x:c r="AC89" t="str">
        <x:f>IFERROR(IF(CaseLedger!$A89="","",CaseLedger!AI89),"")</x:f>
      </x:c>
    </x:row>
    <x:row r="90">
      <x:c r="A90" t="str">
        <x:f>IF(CaseLedger!$A90="","",CaseLedger!A90)</x:f>
      </x:c>
      <x:c r="B90" t="str">
        <x:f>IF(CaseLedger!$A90="","",CaseLedger!I90)</x:f>
      </x:c>
      <x:c r="C90" t="str">
        <x:f>IF(CaseLedger!$A90="","",CaseLedger!J90)</x:f>
      </x:c>
      <x:c r="D90" t="str">
        <x:f>IF(CaseLedger!$A90="","",CaseLedger!K90)</x:f>
      </x:c>
      <x:c r="E90" t="str">
        <x:f>IF(CaseLedger!$A90="","",CaseLedger!L90)</x:f>
      </x:c>
      <x:c r="F90" t="str">
        <x:f>IF(CaseLedger!$A90="","",CaseLedger!P90)</x:f>
      </x:c>
      <x:c r="G90" t="str">
        <x:f>IF(CaseLedger!$A90="","",CaseLedger!F90)</x:f>
      </x:c>
      <x:c r="H90" t="str">
        <x:f>IF(CaseLedger!$A90="","",CaseLedger!Q90)</x:f>
      </x:c>
      <x:c r="I90" t="str">
        <x:f>IF(CaseLedger!$A90="","",CaseLedger!R90)</x:f>
      </x:c>
      <x:c r="J90" t="str">
        <x:f>IF(CaseLedger!$A90="","",CaseLedger!S90)</x:f>
      </x:c>
      <x:c r="K90" t="str">
        <x:f>IF(CaseLedger!$A90="","",CaseLedger!T90)</x:f>
      </x:c>
      <x:c r="L90" t="str">
        <x:f>IF(CaseLedger!$A90="","",CaseLedger!U90)</x:f>
      </x:c>
      <x:c r="M90" t="str">
        <x:f>IF(CaseLedger!$A90="","",CaseLedger!V90)</x:f>
      </x:c>
      <x:c r="N90" t="str">
        <x:f>IF(CaseLedger!$A90="","",CaseLedger!W90)</x:f>
      </x:c>
      <x:c r="O90" t="str">
        <x:f>IF(CaseLedger!$A90="","",CaseLedger!X90)</x:f>
      </x:c>
      <x:c r="P90" t="str">
        <x:f>IF(CaseLedger!$A90="","",CaseLedger!E90)</x:f>
      </x:c>
      <x:c r="Q90" t="str">
        <x:f>IF(CaseLedger!$A90="","",CaseLedger!C90)</x:f>
      </x:c>
      <x:c r="R90" t="str">
        <x:f>IF(CaseLedger!$A90="","",CaseLedger!D90)</x:f>
      </x:c>
      <x:c r="S90" t="str">
        <x:f>IFERROR(IF(CaseLedger!$A90="","",CaseLedger!Y90),"")</x:f>
      </x:c>
      <x:c r="T90" t="str">
        <x:f>IFERROR(IF(CaseLedger!$A90="","",CaseLedger!Z90),"")</x:f>
      </x:c>
      <x:c r="U90" t="str">
        <x:f>IFERROR(IF(CaseLedger!$A90="","",CaseLedger!AA90),"")</x:f>
      </x:c>
      <x:c r="V90" t="str">
        <x:f>IFERROR(IF(CaseLedger!$A90="","",CaseLedger!AB90),"")</x:f>
      </x:c>
      <x:c r="W90" t="str">
        <x:f>IFERROR(IF(CaseLedger!$A90="","",CaseLedger!AC90),"")</x:f>
      </x:c>
      <x:c r="X90" t="str">
        <x:f>IFERROR(IF(CaseLedger!$A90="","",CaseLedger!AD90),"")</x:f>
      </x:c>
      <x:c r="Y90" t="str">
        <x:f>IFERROR(IF(CaseLedger!$A90="","",CaseLedger!AE90),"")</x:f>
      </x:c>
      <x:c r="Z90" t="str">
        <x:f>IFERROR(IF(CaseLedger!$A90="","",CaseLedger!AF90),"")</x:f>
      </x:c>
      <x:c r="AA90" t="str">
        <x:f>IFERROR(IF(CaseLedger!$A90="","",CaseLedger!AG90),"")</x:f>
      </x:c>
      <x:c r="AB90" t="str">
        <x:f>IFERROR(IF(CaseLedger!$A90="","",CaseLedger!AH90),"")</x:f>
      </x:c>
      <x:c r="AC90" t="str">
        <x:f>IFERROR(IF(CaseLedger!$A90="","",CaseLedger!AI90),"")</x:f>
      </x:c>
    </x:row>
    <x:row r="91">
      <x:c r="A91" t="str">
        <x:f>IF(CaseLedger!$A91="","",CaseLedger!A91)</x:f>
      </x:c>
      <x:c r="B91" t="str">
        <x:f>IF(CaseLedger!$A91="","",CaseLedger!I91)</x:f>
      </x:c>
      <x:c r="C91" t="str">
        <x:f>IF(CaseLedger!$A91="","",CaseLedger!J91)</x:f>
      </x:c>
      <x:c r="D91" t="str">
        <x:f>IF(CaseLedger!$A91="","",CaseLedger!K91)</x:f>
      </x:c>
      <x:c r="E91" t="str">
        <x:f>IF(CaseLedger!$A91="","",CaseLedger!L91)</x:f>
      </x:c>
      <x:c r="F91" t="str">
        <x:f>IF(CaseLedger!$A91="","",CaseLedger!P91)</x:f>
      </x:c>
      <x:c r="G91" t="str">
        <x:f>IF(CaseLedger!$A91="","",CaseLedger!F91)</x:f>
      </x:c>
      <x:c r="H91" t="str">
        <x:f>IF(CaseLedger!$A91="","",CaseLedger!Q91)</x:f>
      </x:c>
      <x:c r="I91" t="str">
        <x:f>IF(CaseLedger!$A91="","",CaseLedger!R91)</x:f>
      </x:c>
      <x:c r="J91" t="str">
        <x:f>IF(CaseLedger!$A91="","",CaseLedger!S91)</x:f>
      </x:c>
      <x:c r="K91" t="str">
        <x:f>IF(CaseLedger!$A91="","",CaseLedger!T91)</x:f>
      </x:c>
      <x:c r="L91" t="str">
        <x:f>IF(CaseLedger!$A91="","",CaseLedger!U91)</x:f>
      </x:c>
      <x:c r="M91" t="str">
        <x:f>IF(CaseLedger!$A91="","",CaseLedger!V91)</x:f>
      </x:c>
      <x:c r="N91" t="str">
        <x:f>IF(CaseLedger!$A91="","",CaseLedger!W91)</x:f>
      </x:c>
      <x:c r="O91" t="str">
        <x:f>IF(CaseLedger!$A91="","",CaseLedger!X91)</x:f>
      </x:c>
      <x:c r="P91" t="str">
        <x:f>IF(CaseLedger!$A91="","",CaseLedger!E91)</x:f>
      </x:c>
      <x:c r="Q91" t="str">
        <x:f>IF(CaseLedger!$A91="","",CaseLedger!C91)</x:f>
      </x:c>
      <x:c r="R91" t="str">
        <x:f>IF(CaseLedger!$A91="","",CaseLedger!D91)</x:f>
      </x:c>
      <x:c r="S91" t="str">
        <x:f>IFERROR(IF(CaseLedger!$A91="","",CaseLedger!Y91),"")</x:f>
      </x:c>
      <x:c r="T91" t="str">
        <x:f>IFERROR(IF(CaseLedger!$A91="","",CaseLedger!Z91),"")</x:f>
      </x:c>
      <x:c r="U91" t="str">
        <x:f>IFERROR(IF(CaseLedger!$A91="","",CaseLedger!AA91),"")</x:f>
      </x:c>
      <x:c r="V91" t="str">
        <x:f>IFERROR(IF(CaseLedger!$A91="","",CaseLedger!AB91),"")</x:f>
      </x:c>
      <x:c r="W91" t="str">
        <x:f>IFERROR(IF(CaseLedger!$A91="","",CaseLedger!AC91),"")</x:f>
      </x:c>
      <x:c r="X91" t="str">
        <x:f>IFERROR(IF(CaseLedger!$A91="","",CaseLedger!AD91),"")</x:f>
      </x:c>
      <x:c r="Y91" t="str">
        <x:f>IFERROR(IF(CaseLedger!$A91="","",CaseLedger!AE91),"")</x:f>
      </x:c>
      <x:c r="Z91" t="str">
        <x:f>IFERROR(IF(CaseLedger!$A91="","",CaseLedger!AF91),"")</x:f>
      </x:c>
      <x:c r="AA91" t="str">
        <x:f>IFERROR(IF(CaseLedger!$A91="","",CaseLedger!AG91),"")</x:f>
      </x:c>
      <x:c r="AB91" t="str">
        <x:f>IFERROR(IF(CaseLedger!$A91="","",CaseLedger!AH91),"")</x:f>
      </x:c>
      <x:c r="AC91" t="str">
        <x:f>IFERROR(IF(CaseLedger!$A91="","",CaseLedger!AI91),"")</x:f>
      </x:c>
    </x:row>
    <x:row r="92">
      <x:c r="A92" t="str">
        <x:f>IF(CaseLedger!$A92="","",CaseLedger!A92)</x:f>
      </x:c>
      <x:c r="B92" t="str">
        <x:f>IF(CaseLedger!$A92="","",CaseLedger!I92)</x:f>
      </x:c>
      <x:c r="C92" t="str">
        <x:f>IF(CaseLedger!$A92="","",CaseLedger!J92)</x:f>
      </x:c>
      <x:c r="D92" t="str">
        <x:f>IF(CaseLedger!$A92="","",CaseLedger!K92)</x:f>
      </x:c>
      <x:c r="E92" t="str">
        <x:f>IF(CaseLedger!$A92="","",CaseLedger!L92)</x:f>
      </x:c>
      <x:c r="F92" t="str">
        <x:f>IF(CaseLedger!$A92="","",CaseLedger!P92)</x:f>
      </x:c>
      <x:c r="G92" t="str">
        <x:f>IF(CaseLedger!$A92="","",CaseLedger!F92)</x:f>
      </x:c>
      <x:c r="H92" t="str">
        <x:f>IF(CaseLedger!$A92="","",CaseLedger!Q92)</x:f>
      </x:c>
      <x:c r="I92" t="str">
        <x:f>IF(CaseLedger!$A92="","",CaseLedger!R92)</x:f>
      </x:c>
      <x:c r="J92" t="str">
        <x:f>IF(CaseLedger!$A92="","",CaseLedger!S92)</x:f>
      </x:c>
      <x:c r="K92" t="str">
        <x:f>IF(CaseLedger!$A92="","",CaseLedger!T92)</x:f>
      </x:c>
      <x:c r="L92" t="str">
        <x:f>IF(CaseLedger!$A92="","",CaseLedger!U92)</x:f>
      </x:c>
      <x:c r="M92" t="str">
        <x:f>IF(CaseLedger!$A92="","",CaseLedger!V92)</x:f>
      </x:c>
      <x:c r="N92" t="str">
        <x:f>IF(CaseLedger!$A92="","",CaseLedger!W92)</x:f>
      </x:c>
      <x:c r="O92" t="str">
        <x:f>IF(CaseLedger!$A92="","",CaseLedger!X92)</x:f>
      </x:c>
      <x:c r="P92" t="str">
        <x:f>IF(CaseLedger!$A92="","",CaseLedger!E92)</x:f>
      </x:c>
      <x:c r="Q92" t="str">
        <x:f>IF(CaseLedger!$A92="","",CaseLedger!C92)</x:f>
      </x:c>
      <x:c r="R92" t="str">
        <x:f>IF(CaseLedger!$A92="","",CaseLedger!D92)</x:f>
      </x:c>
      <x:c r="S92" t="str">
        <x:f>IFERROR(IF(CaseLedger!$A92="","",CaseLedger!Y92),"")</x:f>
      </x:c>
      <x:c r="T92" t="str">
        <x:f>IFERROR(IF(CaseLedger!$A92="","",CaseLedger!Z92),"")</x:f>
      </x:c>
      <x:c r="U92" t="str">
        <x:f>IFERROR(IF(CaseLedger!$A92="","",CaseLedger!AA92),"")</x:f>
      </x:c>
      <x:c r="V92" t="str">
        <x:f>IFERROR(IF(CaseLedger!$A92="","",CaseLedger!AB92),"")</x:f>
      </x:c>
      <x:c r="W92" t="str">
        <x:f>IFERROR(IF(CaseLedger!$A92="","",CaseLedger!AC92),"")</x:f>
      </x:c>
      <x:c r="X92" t="str">
        <x:f>IFERROR(IF(CaseLedger!$A92="","",CaseLedger!AD92),"")</x:f>
      </x:c>
      <x:c r="Y92" t="str">
        <x:f>IFERROR(IF(CaseLedger!$A92="","",CaseLedger!AE92),"")</x:f>
      </x:c>
      <x:c r="Z92" t="str">
        <x:f>IFERROR(IF(CaseLedger!$A92="","",CaseLedger!AF92),"")</x:f>
      </x:c>
      <x:c r="AA92" t="str">
        <x:f>IFERROR(IF(CaseLedger!$A92="","",CaseLedger!AG92),"")</x:f>
      </x:c>
      <x:c r="AB92" t="str">
        <x:f>IFERROR(IF(CaseLedger!$A92="","",CaseLedger!AH92),"")</x:f>
      </x:c>
      <x:c r="AC92" t="str">
        <x:f>IFERROR(IF(CaseLedger!$A92="","",CaseLedger!AI92),"")</x:f>
      </x:c>
    </x:row>
    <x:row r="93">
      <x:c r="A93" t="str">
        <x:f>IF(CaseLedger!$A93="","",CaseLedger!A93)</x:f>
      </x:c>
      <x:c r="B93" t="str">
        <x:f>IF(CaseLedger!$A93="","",CaseLedger!I93)</x:f>
      </x:c>
      <x:c r="C93" t="str">
        <x:f>IF(CaseLedger!$A93="","",CaseLedger!J93)</x:f>
      </x:c>
      <x:c r="D93" t="str">
        <x:f>IF(CaseLedger!$A93="","",CaseLedger!K93)</x:f>
      </x:c>
      <x:c r="E93" t="str">
        <x:f>IF(CaseLedger!$A93="","",CaseLedger!L93)</x:f>
      </x:c>
      <x:c r="F93" t="str">
        <x:f>IF(CaseLedger!$A93="","",CaseLedger!P93)</x:f>
      </x:c>
      <x:c r="G93" t="str">
        <x:f>IF(CaseLedger!$A93="","",CaseLedger!F93)</x:f>
      </x:c>
      <x:c r="H93" t="str">
        <x:f>IF(CaseLedger!$A93="","",CaseLedger!Q93)</x:f>
      </x:c>
      <x:c r="I93" t="str">
        <x:f>IF(CaseLedger!$A93="","",CaseLedger!R93)</x:f>
      </x:c>
      <x:c r="J93" t="str">
        <x:f>IF(CaseLedger!$A93="","",CaseLedger!S93)</x:f>
      </x:c>
      <x:c r="K93" t="str">
        <x:f>IF(CaseLedger!$A93="","",CaseLedger!T93)</x:f>
      </x:c>
      <x:c r="L93" t="str">
        <x:f>IF(CaseLedger!$A93="","",CaseLedger!U93)</x:f>
      </x:c>
      <x:c r="M93" t="str">
        <x:f>IF(CaseLedger!$A93="","",CaseLedger!V93)</x:f>
      </x:c>
      <x:c r="N93" t="str">
        <x:f>IF(CaseLedger!$A93="","",CaseLedger!W93)</x:f>
      </x:c>
      <x:c r="O93" t="str">
        <x:f>IF(CaseLedger!$A93="","",CaseLedger!X93)</x:f>
      </x:c>
      <x:c r="P93" t="str">
        <x:f>IF(CaseLedger!$A93="","",CaseLedger!E93)</x:f>
      </x:c>
      <x:c r="Q93" t="str">
        <x:f>IF(CaseLedger!$A93="","",CaseLedger!C93)</x:f>
      </x:c>
      <x:c r="R93" t="str">
        <x:f>IF(CaseLedger!$A93="","",CaseLedger!D93)</x:f>
      </x:c>
      <x:c r="S93" t="str">
        <x:f>IFERROR(IF(CaseLedger!$A93="","",CaseLedger!Y93),"")</x:f>
      </x:c>
      <x:c r="T93" t="str">
        <x:f>IFERROR(IF(CaseLedger!$A93="","",CaseLedger!Z93),"")</x:f>
      </x:c>
      <x:c r="U93" t="str">
        <x:f>IFERROR(IF(CaseLedger!$A93="","",CaseLedger!AA93),"")</x:f>
      </x:c>
      <x:c r="V93" t="str">
        <x:f>IFERROR(IF(CaseLedger!$A93="","",CaseLedger!AB93),"")</x:f>
      </x:c>
      <x:c r="W93" t="str">
        <x:f>IFERROR(IF(CaseLedger!$A93="","",CaseLedger!AC93),"")</x:f>
      </x:c>
      <x:c r="X93" t="str">
        <x:f>IFERROR(IF(CaseLedger!$A93="","",CaseLedger!AD93),"")</x:f>
      </x:c>
      <x:c r="Y93" t="str">
        <x:f>IFERROR(IF(CaseLedger!$A93="","",CaseLedger!AE93),"")</x:f>
      </x:c>
      <x:c r="Z93" t="str">
        <x:f>IFERROR(IF(CaseLedger!$A93="","",CaseLedger!AF93),"")</x:f>
      </x:c>
      <x:c r="AA93" t="str">
        <x:f>IFERROR(IF(CaseLedger!$A93="","",CaseLedger!AG93),"")</x:f>
      </x:c>
      <x:c r="AB93" t="str">
        <x:f>IFERROR(IF(CaseLedger!$A93="","",CaseLedger!AH93),"")</x:f>
      </x:c>
      <x:c r="AC93" t="str">
        <x:f>IFERROR(IF(CaseLedger!$A93="","",CaseLedger!AI93),"")</x:f>
      </x:c>
    </x:row>
    <x:row r="94">
      <x:c r="A94" t="str">
        <x:f>IF(CaseLedger!$A94="","",CaseLedger!A94)</x:f>
      </x:c>
      <x:c r="B94" t="str">
        <x:f>IF(CaseLedger!$A94="","",CaseLedger!I94)</x:f>
      </x:c>
      <x:c r="C94" t="str">
        <x:f>IF(CaseLedger!$A94="","",CaseLedger!J94)</x:f>
      </x:c>
      <x:c r="D94" t="str">
        <x:f>IF(CaseLedger!$A94="","",CaseLedger!K94)</x:f>
      </x:c>
      <x:c r="E94" t="str">
        <x:f>IF(CaseLedger!$A94="","",CaseLedger!L94)</x:f>
      </x:c>
      <x:c r="F94" t="str">
        <x:f>IF(CaseLedger!$A94="","",CaseLedger!P94)</x:f>
      </x:c>
      <x:c r="G94" t="str">
        <x:f>IF(CaseLedger!$A94="","",CaseLedger!F94)</x:f>
      </x:c>
      <x:c r="H94" t="str">
        <x:f>IF(CaseLedger!$A94="","",CaseLedger!Q94)</x:f>
      </x:c>
      <x:c r="I94" t="str">
        <x:f>IF(CaseLedger!$A94="","",CaseLedger!R94)</x:f>
      </x:c>
      <x:c r="J94" t="str">
        <x:f>IF(CaseLedger!$A94="","",CaseLedger!S94)</x:f>
      </x:c>
      <x:c r="K94" t="str">
        <x:f>IF(CaseLedger!$A94="","",CaseLedger!T94)</x:f>
      </x:c>
      <x:c r="L94" t="str">
        <x:f>IF(CaseLedger!$A94="","",CaseLedger!U94)</x:f>
      </x:c>
      <x:c r="M94" t="str">
        <x:f>IF(CaseLedger!$A94="","",CaseLedger!V94)</x:f>
      </x:c>
      <x:c r="N94" t="str">
        <x:f>IF(CaseLedger!$A94="","",CaseLedger!W94)</x:f>
      </x:c>
      <x:c r="O94" t="str">
        <x:f>IF(CaseLedger!$A94="","",CaseLedger!X94)</x:f>
      </x:c>
      <x:c r="P94" t="str">
        <x:f>IF(CaseLedger!$A94="","",CaseLedger!E94)</x:f>
      </x:c>
      <x:c r="Q94" t="str">
        <x:f>IF(CaseLedger!$A94="","",CaseLedger!C94)</x:f>
      </x:c>
      <x:c r="R94" t="str">
        <x:f>IF(CaseLedger!$A94="","",CaseLedger!D94)</x:f>
      </x:c>
      <x:c r="S94" t="str">
        <x:f>IFERROR(IF(CaseLedger!$A94="","",CaseLedger!Y94),"")</x:f>
      </x:c>
      <x:c r="T94" t="str">
        <x:f>IFERROR(IF(CaseLedger!$A94="","",CaseLedger!Z94),"")</x:f>
      </x:c>
      <x:c r="U94" t="str">
        <x:f>IFERROR(IF(CaseLedger!$A94="","",CaseLedger!AA94),"")</x:f>
      </x:c>
      <x:c r="V94" t="str">
        <x:f>IFERROR(IF(CaseLedger!$A94="","",CaseLedger!AB94),"")</x:f>
      </x:c>
      <x:c r="W94" t="str">
        <x:f>IFERROR(IF(CaseLedger!$A94="","",CaseLedger!AC94),"")</x:f>
      </x:c>
      <x:c r="X94" t="str">
        <x:f>IFERROR(IF(CaseLedger!$A94="","",CaseLedger!AD94),"")</x:f>
      </x:c>
      <x:c r="Y94" t="str">
        <x:f>IFERROR(IF(CaseLedger!$A94="","",CaseLedger!AE94),"")</x:f>
      </x:c>
      <x:c r="Z94" t="str">
        <x:f>IFERROR(IF(CaseLedger!$A94="","",CaseLedger!AF94),"")</x:f>
      </x:c>
      <x:c r="AA94" t="str">
        <x:f>IFERROR(IF(CaseLedger!$A94="","",CaseLedger!AG94),"")</x:f>
      </x:c>
      <x:c r="AB94" t="str">
        <x:f>IFERROR(IF(CaseLedger!$A94="","",CaseLedger!AH94),"")</x:f>
      </x:c>
      <x:c r="AC94" t="str">
        <x:f>IFERROR(IF(CaseLedger!$A94="","",CaseLedger!AI94),"")</x:f>
      </x:c>
    </x:row>
    <x:row r="95">
      <x:c r="A95" t="str">
        <x:f>IF(CaseLedger!$A95="","",CaseLedger!A95)</x:f>
      </x:c>
      <x:c r="B95" t="str">
        <x:f>IF(CaseLedger!$A95="","",CaseLedger!I95)</x:f>
      </x:c>
      <x:c r="C95" t="str">
        <x:f>IF(CaseLedger!$A95="","",CaseLedger!J95)</x:f>
      </x:c>
      <x:c r="D95" t="str">
        <x:f>IF(CaseLedger!$A95="","",CaseLedger!K95)</x:f>
      </x:c>
      <x:c r="E95" t="str">
        <x:f>IF(CaseLedger!$A95="","",CaseLedger!L95)</x:f>
      </x:c>
      <x:c r="F95" t="str">
        <x:f>IF(CaseLedger!$A95="","",CaseLedger!P95)</x:f>
      </x:c>
      <x:c r="G95" t="str">
        <x:f>IF(CaseLedger!$A95="","",CaseLedger!F95)</x:f>
      </x:c>
      <x:c r="H95" t="str">
        <x:f>IF(CaseLedger!$A95="","",CaseLedger!Q95)</x:f>
      </x:c>
      <x:c r="I95" t="str">
        <x:f>IF(CaseLedger!$A95="","",CaseLedger!R95)</x:f>
      </x:c>
      <x:c r="J95" t="str">
        <x:f>IF(CaseLedger!$A95="","",CaseLedger!S95)</x:f>
      </x:c>
      <x:c r="K95" t="str">
        <x:f>IF(CaseLedger!$A95="","",CaseLedger!T95)</x:f>
      </x:c>
      <x:c r="L95" t="str">
        <x:f>IF(CaseLedger!$A95="","",CaseLedger!U95)</x:f>
      </x:c>
      <x:c r="M95" t="str">
        <x:f>IF(CaseLedger!$A95="","",CaseLedger!V95)</x:f>
      </x:c>
      <x:c r="N95" t="str">
        <x:f>IF(CaseLedger!$A95="","",CaseLedger!W95)</x:f>
      </x:c>
      <x:c r="O95" t="str">
        <x:f>IF(CaseLedger!$A95="","",CaseLedger!X95)</x:f>
      </x:c>
      <x:c r="P95" t="str">
        <x:f>IF(CaseLedger!$A95="","",CaseLedger!E95)</x:f>
      </x:c>
      <x:c r="Q95" t="str">
        <x:f>IF(CaseLedger!$A95="","",CaseLedger!C95)</x:f>
      </x:c>
      <x:c r="R95" t="str">
        <x:f>IF(CaseLedger!$A95="","",CaseLedger!D95)</x:f>
      </x:c>
      <x:c r="S95" t="str">
        <x:f>IFERROR(IF(CaseLedger!$A95="","",CaseLedger!Y95),"")</x:f>
      </x:c>
      <x:c r="T95" t="str">
        <x:f>IFERROR(IF(CaseLedger!$A95="","",CaseLedger!Z95),"")</x:f>
      </x:c>
      <x:c r="U95" t="str">
        <x:f>IFERROR(IF(CaseLedger!$A95="","",CaseLedger!AA95),"")</x:f>
      </x:c>
      <x:c r="V95" t="str">
        <x:f>IFERROR(IF(CaseLedger!$A95="","",CaseLedger!AB95),"")</x:f>
      </x:c>
      <x:c r="W95" t="str">
        <x:f>IFERROR(IF(CaseLedger!$A95="","",CaseLedger!AC95),"")</x:f>
      </x:c>
      <x:c r="X95" t="str">
        <x:f>IFERROR(IF(CaseLedger!$A95="","",CaseLedger!AD95),"")</x:f>
      </x:c>
      <x:c r="Y95" t="str">
        <x:f>IFERROR(IF(CaseLedger!$A95="","",CaseLedger!AE95),"")</x:f>
      </x:c>
      <x:c r="Z95" t="str">
        <x:f>IFERROR(IF(CaseLedger!$A95="","",CaseLedger!AF95),"")</x:f>
      </x:c>
      <x:c r="AA95" t="str">
        <x:f>IFERROR(IF(CaseLedger!$A95="","",CaseLedger!AG95),"")</x:f>
      </x:c>
      <x:c r="AB95" t="str">
        <x:f>IFERROR(IF(CaseLedger!$A95="","",CaseLedger!AH95),"")</x:f>
      </x:c>
      <x:c r="AC95" t="str">
        <x:f>IFERROR(IF(CaseLedger!$A95="","",CaseLedger!AI95),"")</x:f>
      </x:c>
    </x:row>
    <x:row r="96">
      <x:c r="A96" t="str">
        <x:f>IF(CaseLedger!$A96="","",CaseLedger!A96)</x:f>
      </x:c>
      <x:c r="B96" t="str">
        <x:f>IF(CaseLedger!$A96="","",CaseLedger!I96)</x:f>
      </x:c>
      <x:c r="C96" t="str">
        <x:f>IF(CaseLedger!$A96="","",CaseLedger!J96)</x:f>
      </x:c>
      <x:c r="D96" t="str">
        <x:f>IF(CaseLedger!$A96="","",CaseLedger!K96)</x:f>
      </x:c>
      <x:c r="E96" t="str">
        <x:f>IF(CaseLedger!$A96="","",CaseLedger!L96)</x:f>
      </x:c>
      <x:c r="F96" t="str">
        <x:f>IF(CaseLedger!$A96="","",CaseLedger!P96)</x:f>
      </x:c>
      <x:c r="G96" t="str">
        <x:f>IF(CaseLedger!$A96="","",CaseLedger!F96)</x:f>
      </x:c>
      <x:c r="H96" t="str">
        <x:f>IF(CaseLedger!$A96="","",CaseLedger!Q96)</x:f>
      </x:c>
      <x:c r="I96" t="str">
        <x:f>IF(CaseLedger!$A96="","",CaseLedger!R96)</x:f>
      </x:c>
      <x:c r="J96" t="str">
        <x:f>IF(CaseLedger!$A96="","",CaseLedger!S96)</x:f>
      </x:c>
      <x:c r="K96" t="str">
        <x:f>IF(CaseLedger!$A96="","",CaseLedger!T96)</x:f>
      </x:c>
      <x:c r="L96" t="str">
        <x:f>IF(CaseLedger!$A96="","",CaseLedger!U96)</x:f>
      </x:c>
      <x:c r="M96" t="str">
        <x:f>IF(CaseLedger!$A96="","",CaseLedger!V96)</x:f>
      </x:c>
      <x:c r="N96" t="str">
        <x:f>IF(CaseLedger!$A96="","",CaseLedger!W96)</x:f>
      </x:c>
      <x:c r="O96" t="str">
        <x:f>IF(CaseLedger!$A96="","",CaseLedger!X96)</x:f>
      </x:c>
      <x:c r="P96" t="str">
        <x:f>IF(CaseLedger!$A96="","",CaseLedger!E96)</x:f>
      </x:c>
      <x:c r="Q96" t="str">
        <x:f>IF(CaseLedger!$A96="","",CaseLedger!C96)</x:f>
      </x:c>
      <x:c r="R96" t="str">
        <x:f>IF(CaseLedger!$A96="","",CaseLedger!D96)</x:f>
      </x:c>
      <x:c r="S96" t="str">
        <x:f>IFERROR(IF(CaseLedger!$A96="","",CaseLedger!Y96),"")</x:f>
      </x:c>
      <x:c r="T96" t="str">
        <x:f>IFERROR(IF(CaseLedger!$A96="","",CaseLedger!Z96),"")</x:f>
      </x:c>
      <x:c r="U96" t="str">
        <x:f>IFERROR(IF(CaseLedger!$A96="","",CaseLedger!AA96),"")</x:f>
      </x:c>
      <x:c r="V96" t="str">
        <x:f>IFERROR(IF(CaseLedger!$A96="","",CaseLedger!AB96),"")</x:f>
      </x:c>
      <x:c r="W96" t="str">
        <x:f>IFERROR(IF(CaseLedger!$A96="","",CaseLedger!AC96),"")</x:f>
      </x:c>
      <x:c r="X96" t="str">
        <x:f>IFERROR(IF(CaseLedger!$A96="","",CaseLedger!AD96),"")</x:f>
      </x:c>
      <x:c r="Y96" t="str">
        <x:f>IFERROR(IF(CaseLedger!$A96="","",CaseLedger!AE96),"")</x:f>
      </x:c>
      <x:c r="Z96" t="str">
        <x:f>IFERROR(IF(CaseLedger!$A96="","",CaseLedger!AF96),"")</x:f>
      </x:c>
      <x:c r="AA96" t="str">
        <x:f>IFERROR(IF(CaseLedger!$A96="","",CaseLedger!AG96),"")</x:f>
      </x:c>
      <x:c r="AB96" t="str">
        <x:f>IFERROR(IF(CaseLedger!$A96="","",CaseLedger!AH96),"")</x:f>
      </x:c>
      <x:c r="AC96" t="str">
        <x:f>IFERROR(IF(CaseLedger!$A96="","",CaseLedger!AI96),"")</x:f>
      </x:c>
    </x:row>
    <x:row r="97">
      <x:c r="A97" t="str">
        <x:f>IF(CaseLedger!$A97="","",CaseLedger!A97)</x:f>
      </x:c>
      <x:c r="B97" t="str">
        <x:f>IF(CaseLedger!$A97="","",CaseLedger!I97)</x:f>
      </x:c>
      <x:c r="C97" t="str">
        <x:f>IF(CaseLedger!$A97="","",CaseLedger!J97)</x:f>
      </x:c>
      <x:c r="D97" t="str">
        <x:f>IF(CaseLedger!$A97="","",CaseLedger!K97)</x:f>
      </x:c>
      <x:c r="E97" t="str">
        <x:f>IF(CaseLedger!$A97="","",CaseLedger!L97)</x:f>
      </x:c>
      <x:c r="F97" t="str">
        <x:f>IF(CaseLedger!$A97="","",CaseLedger!P97)</x:f>
      </x:c>
      <x:c r="G97" t="str">
        <x:f>IF(CaseLedger!$A97="","",CaseLedger!F97)</x:f>
      </x:c>
      <x:c r="H97" t="str">
        <x:f>IF(CaseLedger!$A97="","",CaseLedger!Q97)</x:f>
      </x:c>
      <x:c r="I97" t="str">
        <x:f>IF(CaseLedger!$A97="","",CaseLedger!R97)</x:f>
      </x:c>
      <x:c r="J97" t="str">
        <x:f>IF(CaseLedger!$A97="","",CaseLedger!S97)</x:f>
      </x:c>
      <x:c r="K97" t="str">
        <x:f>IF(CaseLedger!$A97="","",CaseLedger!T97)</x:f>
      </x:c>
      <x:c r="L97" t="str">
        <x:f>IF(CaseLedger!$A97="","",CaseLedger!U97)</x:f>
      </x:c>
      <x:c r="M97" t="str">
        <x:f>IF(CaseLedger!$A97="","",CaseLedger!V97)</x:f>
      </x:c>
      <x:c r="N97" t="str">
        <x:f>IF(CaseLedger!$A97="","",CaseLedger!W97)</x:f>
      </x:c>
      <x:c r="O97" t="str">
        <x:f>IF(CaseLedger!$A97="","",CaseLedger!X97)</x:f>
      </x:c>
      <x:c r="P97" t="str">
        <x:f>IF(CaseLedger!$A97="","",CaseLedger!E97)</x:f>
      </x:c>
      <x:c r="Q97" t="str">
        <x:f>IF(CaseLedger!$A97="","",CaseLedger!C97)</x:f>
      </x:c>
      <x:c r="R97" t="str">
        <x:f>IF(CaseLedger!$A97="","",CaseLedger!D97)</x:f>
      </x:c>
      <x:c r="S97" t="str">
        <x:f>IFERROR(IF(CaseLedger!$A97="","",CaseLedger!Y97),"")</x:f>
      </x:c>
      <x:c r="T97" t="str">
        <x:f>IFERROR(IF(CaseLedger!$A97="","",CaseLedger!Z97),"")</x:f>
      </x:c>
      <x:c r="U97" t="str">
        <x:f>IFERROR(IF(CaseLedger!$A97="","",CaseLedger!AA97),"")</x:f>
      </x:c>
      <x:c r="V97" t="str">
        <x:f>IFERROR(IF(CaseLedger!$A97="","",CaseLedger!AB97),"")</x:f>
      </x:c>
      <x:c r="W97" t="str">
        <x:f>IFERROR(IF(CaseLedger!$A97="","",CaseLedger!AC97),"")</x:f>
      </x:c>
      <x:c r="X97" t="str">
        <x:f>IFERROR(IF(CaseLedger!$A97="","",CaseLedger!AD97),"")</x:f>
      </x:c>
      <x:c r="Y97" t="str">
        <x:f>IFERROR(IF(CaseLedger!$A97="","",CaseLedger!AE97),"")</x:f>
      </x:c>
      <x:c r="Z97" t="str">
        <x:f>IFERROR(IF(CaseLedger!$A97="","",CaseLedger!AF97),"")</x:f>
      </x:c>
      <x:c r="AA97" t="str">
        <x:f>IFERROR(IF(CaseLedger!$A97="","",CaseLedger!AG97),"")</x:f>
      </x:c>
      <x:c r="AB97" t="str">
        <x:f>IFERROR(IF(CaseLedger!$A97="","",CaseLedger!AH97),"")</x:f>
      </x:c>
      <x:c r="AC97" t="str">
        <x:f>IFERROR(IF(CaseLedger!$A97="","",CaseLedger!AI97),"")</x:f>
      </x:c>
    </x:row>
    <x:row r="98">
      <x:c r="A98" t="str">
        <x:f>IF(CaseLedger!$A98="","",CaseLedger!A98)</x:f>
      </x:c>
      <x:c r="B98" t="str">
        <x:f>IF(CaseLedger!$A98="","",CaseLedger!I98)</x:f>
      </x:c>
      <x:c r="C98" t="str">
        <x:f>IF(CaseLedger!$A98="","",CaseLedger!J98)</x:f>
      </x:c>
      <x:c r="D98" t="str">
        <x:f>IF(CaseLedger!$A98="","",CaseLedger!K98)</x:f>
      </x:c>
      <x:c r="E98" t="str">
        <x:f>IF(CaseLedger!$A98="","",CaseLedger!L98)</x:f>
      </x:c>
      <x:c r="F98" t="str">
        <x:f>IF(CaseLedger!$A98="","",CaseLedger!P98)</x:f>
      </x:c>
      <x:c r="G98" t="str">
        <x:f>IF(CaseLedger!$A98="","",CaseLedger!F98)</x:f>
      </x:c>
      <x:c r="H98" t="str">
        <x:f>IF(CaseLedger!$A98="","",CaseLedger!Q98)</x:f>
      </x:c>
      <x:c r="I98" t="str">
        <x:f>IF(CaseLedger!$A98="","",CaseLedger!R98)</x:f>
      </x:c>
      <x:c r="J98" t="str">
        <x:f>IF(CaseLedger!$A98="","",CaseLedger!S98)</x:f>
      </x:c>
      <x:c r="K98" t="str">
        <x:f>IF(CaseLedger!$A98="","",CaseLedger!T98)</x:f>
      </x:c>
      <x:c r="L98" t="str">
        <x:f>IF(CaseLedger!$A98="","",CaseLedger!U98)</x:f>
      </x:c>
      <x:c r="M98" t="str">
        <x:f>IF(CaseLedger!$A98="","",CaseLedger!V98)</x:f>
      </x:c>
      <x:c r="N98" t="str">
        <x:f>IF(CaseLedger!$A98="","",CaseLedger!W98)</x:f>
      </x:c>
      <x:c r="O98" t="str">
        <x:f>IF(CaseLedger!$A98="","",CaseLedger!X98)</x:f>
      </x:c>
      <x:c r="P98" t="str">
        <x:f>IF(CaseLedger!$A98="","",CaseLedger!E98)</x:f>
      </x:c>
      <x:c r="Q98" t="str">
        <x:f>IF(CaseLedger!$A98="","",CaseLedger!C98)</x:f>
      </x:c>
      <x:c r="R98" t="str">
        <x:f>IF(CaseLedger!$A98="","",CaseLedger!D98)</x:f>
      </x:c>
      <x:c r="S98" t="str">
        <x:f>IFERROR(IF(CaseLedger!$A98="","",CaseLedger!Y98),"")</x:f>
      </x:c>
      <x:c r="T98" t="str">
        <x:f>IFERROR(IF(CaseLedger!$A98="","",CaseLedger!Z98),"")</x:f>
      </x:c>
      <x:c r="U98" t="str">
        <x:f>IFERROR(IF(CaseLedger!$A98="","",CaseLedger!AA98),"")</x:f>
      </x:c>
      <x:c r="V98" t="str">
        <x:f>IFERROR(IF(CaseLedger!$A98="","",CaseLedger!AB98),"")</x:f>
      </x:c>
      <x:c r="W98" t="str">
        <x:f>IFERROR(IF(CaseLedger!$A98="","",CaseLedger!AC98),"")</x:f>
      </x:c>
      <x:c r="X98" t="str">
        <x:f>IFERROR(IF(CaseLedger!$A98="","",CaseLedger!AD98),"")</x:f>
      </x:c>
      <x:c r="Y98" t="str">
        <x:f>IFERROR(IF(CaseLedger!$A98="","",CaseLedger!AE98),"")</x:f>
      </x:c>
      <x:c r="Z98" t="str">
        <x:f>IFERROR(IF(CaseLedger!$A98="","",CaseLedger!AF98),"")</x:f>
      </x:c>
      <x:c r="AA98" t="str">
        <x:f>IFERROR(IF(CaseLedger!$A98="","",CaseLedger!AG98),"")</x:f>
      </x:c>
      <x:c r="AB98" t="str">
        <x:f>IFERROR(IF(CaseLedger!$A98="","",CaseLedger!AH98),"")</x:f>
      </x:c>
      <x:c r="AC98" t="str">
        <x:f>IFERROR(IF(CaseLedger!$A98="","",CaseLedger!AI98),"")</x:f>
      </x:c>
    </x:row>
    <x:row r="99">
      <x:c r="A99" t="str">
        <x:f>IF(CaseLedger!$A99="","",CaseLedger!A99)</x:f>
      </x:c>
      <x:c r="B99" t="str">
        <x:f>IF(CaseLedger!$A99="","",CaseLedger!I99)</x:f>
      </x:c>
      <x:c r="C99" t="str">
        <x:f>IF(CaseLedger!$A99="","",CaseLedger!J99)</x:f>
      </x:c>
      <x:c r="D99" t="str">
        <x:f>IF(CaseLedger!$A99="","",CaseLedger!K99)</x:f>
      </x:c>
      <x:c r="E99" t="str">
        <x:f>IF(CaseLedger!$A99="","",CaseLedger!L99)</x:f>
      </x:c>
      <x:c r="F99" t="str">
        <x:f>IF(CaseLedger!$A99="","",CaseLedger!P99)</x:f>
      </x:c>
      <x:c r="G99" t="str">
        <x:f>IF(CaseLedger!$A99="","",CaseLedger!F99)</x:f>
      </x:c>
      <x:c r="H99" t="str">
        <x:f>IF(CaseLedger!$A99="","",CaseLedger!Q99)</x:f>
      </x:c>
      <x:c r="I99" t="str">
        <x:f>IF(CaseLedger!$A99="","",CaseLedger!R99)</x:f>
      </x:c>
      <x:c r="J99" t="str">
        <x:f>IF(CaseLedger!$A99="","",CaseLedger!S99)</x:f>
      </x:c>
      <x:c r="K99" t="str">
        <x:f>IF(CaseLedger!$A99="","",CaseLedger!T99)</x:f>
      </x:c>
      <x:c r="L99" t="str">
        <x:f>IF(CaseLedger!$A99="","",CaseLedger!U99)</x:f>
      </x:c>
      <x:c r="M99" t="str">
        <x:f>IF(CaseLedger!$A99="","",CaseLedger!V99)</x:f>
      </x:c>
      <x:c r="N99" t="str">
        <x:f>IF(CaseLedger!$A99="","",CaseLedger!W99)</x:f>
      </x:c>
      <x:c r="O99" t="str">
        <x:f>IF(CaseLedger!$A99="","",CaseLedger!X99)</x:f>
      </x:c>
      <x:c r="P99" t="str">
        <x:f>IF(CaseLedger!$A99="","",CaseLedger!E99)</x:f>
      </x:c>
      <x:c r="Q99" t="str">
        <x:f>IF(CaseLedger!$A99="","",CaseLedger!C99)</x:f>
      </x:c>
      <x:c r="R99" t="str">
        <x:f>IF(CaseLedger!$A99="","",CaseLedger!D99)</x:f>
      </x:c>
      <x:c r="S99" t="str">
        <x:f>IFERROR(IF(CaseLedger!$A99="","",CaseLedger!Y99),"")</x:f>
      </x:c>
      <x:c r="T99" t="str">
        <x:f>IFERROR(IF(CaseLedger!$A99="","",CaseLedger!Z99),"")</x:f>
      </x:c>
      <x:c r="U99" t="str">
        <x:f>IFERROR(IF(CaseLedger!$A99="","",CaseLedger!AA99),"")</x:f>
      </x:c>
      <x:c r="V99" t="str">
        <x:f>IFERROR(IF(CaseLedger!$A99="","",CaseLedger!AB99),"")</x:f>
      </x:c>
      <x:c r="W99" t="str">
        <x:f>IFERROR(IF(CaseLedger!$A99="","",CaseLedger!AC99),"")</x:f>
      </x:c>
      <x:c r="X99" t="str">
        <x:f>IFERROR(IF(CaseLedger!$A99="","",CaseLedger!AD99),"")</x:f>
      </x:c>
      <x:c r="Y99" t="str">
        <x:f>IFERROR(IF(CaseLedger!$A99="","",CaseLedger!AE99),"")</x:f>
      </x:c>
      <x:c r="Z99" t="str">
        <x:f>IFERROR(IF(CaseLedger!$A99="","",CaseLedger!AF99),"")</x:f>
      </x:c>
      <x:c r="AA99" t="str">
        <x:f>IFERROR(IF(CaseLedger!$A99="","",CaseLedger!AG99),"")</x:f>
      </x:c>
      <x:c r="AB99" t="str">
        <x:f>IFERROR(IF(CaseLedger!$A99="","",CaseLedger!AH99),"")</x:f>
      </x:c>
      <x:c r="AC99" t="str">
        <x:f>IFERROR(IF(CaseLedger!$A99="","",CaseLedger!AI99),"")</x:f>
      </x:c>
    </x:row>
    <x:row r="100">
      <x:c r="A100" t="str">
        <x:f>IF(CaseLedger!$A100="","",CaseLedger!A100)</x:f>
      </x:c>
      <x:c r="B100" t="str">
        <x:f>IF(CaseLedger!$A100="","",CaseLedger!I100)</x:f>
      </x:c>
      <x:c r="C100" t="str">
        <x:f>IF(CaseLedger!$A100="","",CaseLedger!J100)</x:f>
      </x:c>
      <x:c r="D100" t="str">
        <x:f>IF(CaseLedger!$A100="","",CaseLedger!K100)</x:f>
      </x:c>
      <x:c r="E100" t="str">
        <x:f>IF(CaseLedger!$A100="","",CaseLedger!L100)</x:f>
      </x:c>
      <x:c r="F100" t="str">
        <x:f>IF(CaseLedger!$A100="","",CaseLedger!P100)</x:f>
      </x:c>
      <x:c r="G100" t="str">
        <x:f>IF(CaseLedger!$A100="","",CaseLedger!F100)</x:f>
      </x:c>
      <x:c r="H100" t="str">
        <x:f>IF(CaseLedger!$A100="","",CaseLedger!Q100)</x:f>
      </x:c>
      <x:c r="I100" t="str">
        <x:f>IF(CaseLedger!$A100="","",CaseLedger!R100)</x:f>
      </x:c>
      <x:c r="J100" t="str">
        <x:f>IF(CaseLedger!$A100="","",CaseLedger!S100)</x:f>
      </x:c>
      <x:c r="K100" t="str">
        <x:f>IF(CaseLedger!$A100="","",CaseLedger!T100)</x:f>
      </x:c>
      <x:c r="L100" t="str">
        <x:f>IF(CaseLedger!$A100="","",CaseLedger!U100)</x:f>
      </x:c>
      <x:c r="M100" t="str">
        <x:f>IF(CaseLedger!$A100="","",CaseLedger!V100)</x:f>
      </x:c>
      <x:c r="N100" t="str">
        <x:f>IF(CaseLedger!$A100="","",CaseLedger!W100)</x:f>
      </x:c>
      <x:c r="O100" t="str">
        <x:f>IF(CaseLedger!$A100="","",CaseLedger!X100)</x:f>
      </x:c>
      <x:c r="P100" t="str">
        <x:f>IF(CaseLedger!$A100="","",CaseLedger!E100)</x:f>
      </x:c>
      <x:c r="Q100" t="str">
        <x:f>IF(CaseLedger!$A100="","",CaseLedger!C100)</x:f>
      </x:c>
      <x:c r="R100" t="str">
        <x:f>IF(CaseLedger!$A100="","",CaseLedger!D100)</x:f>
      </x:c>
      <x:c r="S100" t="str">
        <x:f>IFERROR(IF(CaseLedger!$A100="","",CaseLedger!Y100),"")</x:f>
      </x:c>
      <x:c r="T100" t="str">
        <x:f>IFERROR(IF(CaseLedger!$A100="","",CaseLedger!Z100),"")</x:f>
      </x:c>
      <x:c r="U100" t="str">
        <x:f>IFERROR(IF(CaseLedger!$A100="","",CaseLedger!AA100),"")</x:f>
      </x:c>
      <x:c r="V100" t="str">
        <x:f>IFERROR(IF(CaseLedger!$A100="","",CaseLedger!AB100),"")</x:f>
      </x:c>
      <x:c r="W100" t="str">
        <x:f>IFERROR(IF(CaseLedger!$A100="","",CaseLedger!AC100),"")</x:f>
      </x:c>
      <x:c r="X100" t="str">
        <x:f>IFERROR(IF(CaseLedger!$A100="","",CaseLedger!AD100),"")</x:f>
      </x:c>
      <x:c r="Y100" t="str">
        <x:f>IFERROR(IF(CaseLedger!$A100="","",CaseLedger!AE100),"")</x:f>
      </x:c>
      <x:c r="Z100" t="str">
        <x:f>IFERROR(IF(CaseLedger!$A100="","",CaseLedger!AF100),"")</x:f>
      </x:c>
      <x:c r="AA100" t="str">
        <x:f>IFERROR(IF(CaseLedger!$A100="","",CaseLedger!AG100),"")</x:f>
      </x:c>
      <x:c r="AB100" t="str">
        <x:f>IFERROR(IF(CaseLedger!$A100="","",CaseLedger!AH100),"")</x:f>
      </x:c>
      <x:c r="AC100" t="str">
        <x:f>IFERROR(IF(CaseLedger!$A100="","",CaseLedger!AI100),"")</x:f>
      </x:c>
    </x:row>
    <x:row r="101">
      <x:c r="A101" t="str">
        <x:f>IF(CaseLedger!$A101="","",CaseLedger!A101)</x:f>
      </x:c>
      <x:c r="B101" t="str">
        <x:f>IF(CaseLedger!$A101="","",CaseLedger!I101)</x:f>
      </x:c>
      <x:c r="C101" t="str">
        <x:f>IF(CaseLedger!$A101="","",CaseLedger!J101)</x:f>
      </x:c>
      <x:c r="D101" t="str">
        <x:f>IF(CaseLedger!$A101="","",CaseLedger!K101)</x:f>
      </x:c>
      <x:c r="E101" t="str">
        <x:f>IF(CaseLedger!$A101="","",CaseLedger!L101)</x:f>
      </x:c>
      <x:c r="F101" t="str">
        <x:f>IF(CaseLedger!$A101="","",CaseLedger!P101)</x:f>
      </x:c>
      <x:c r="G101" t="str">
        <x:f>IF(CaseLedger!$A101="","",CaseLedger!F101)</x:f>
      </x:c>
      <x:c r="H101" t="str">
        <x:f>IF(CaseLedger!$A101="","",CaseLedger!Q101)</x:f>
      </x:c>
      <x:c r="I101" t="str">
        <x:f>IF(CaseLedger!$A101="","",CaseLedger!R101)</x:f>
      </x:c>
      <x:c r="J101" t="str">
        <x:f>IF(CaseLedger!$A101="","",CaseLedger!S101)</x:f>
      </x:c>
      <x:c r="K101" t="str">
        <x:f>IF(CaseLedger!$A101="","",CaseLedger!T101)</x:f>
      </x:c>
      <x:c r="L101" t="str">
        <x:f>IF(CaseLedger!$A101="","",CaseLedger!U101)</x:f>
      </x:c>
      <x:c r="M101" t="str">
        <x:f>IF(CaseLedger!$A101="","",CaseLedger!V101)</x:f>
      </x:c>
      <x:c r="N101" t="str">
        <x:f>IF(CaseLedger!$A101="","",CaseLedger!W101)</x:f>
      </x:c>
      <x:c r="O101" t="str">
        <x:f>IF(CaseLedger!$A101="","",CaseLedger!X101)</x:f>
      </x:c>
      <x:c r="P101" t="str">
        <x:f>IF(CaseLedger!$A101="","",CaseLedger!E101)</x:f>
      </x:c>
      <x:c r="Q101" t="str">
        <x:f>IF(CaseLedger!$A101="","",CaseLedger!C101)</x:f>
      </x:c>
      <x:c r="R101" t="str">
        <x:f>IF(CaseLedger!$A101="","",CaseLedger!D101)</x:f>
      </x:c>
      <x:c r="S101" t="str">
        <x:f>IFERROR(IF(CaseLedger!$A101="","",CaseLedger!Y101),"")</x:f>
      </x:c>
      <x:c r="T101" t="str">
        <x:f>IFERROR(IF(CaseLedger!$A101="","",CaseLedger!Z101),"")</x:f>
      </x:c>
      <x:c r="U101" t="str">
        <x:f>IFERROR(IF(CaseLedger!$A101="","",CaseLedger!AA101),"")</x:f>
      </x:c>
      <x:c r="V101" t="str">
        <x:f>IFERROR(IF(CaseLedger!$A101="","",CaseLedger!AB101),"")</x:f>
      </x:c>
      <x:c r="W101" t="str">
        <x:f>IFERROR(IF(CaseLedger!$A101="","",CaseLedger!AC101),"")</x:f>
      </x:c>
      <x:c r="X101" t="str">
        <x:f>IFERROR(IF(CaseLedger!$A101="","",CaseLedger!AD101),"")</x:f>
      </x:c>
      <x:c r="Y101" t="str">
        <x:f>IFERROR(IF(CaseLedger!$A101="","",CaseLedger!AE101),"")</x:f>
      </x:c>
      <x:c r="Z101" t="str">
        <x:f>IFERROR(IF(CaseLedger!$A101="","",CaseLedger!AF101),"")</x:f>
      </x:c>
      <x:c r="AA101" t="str">
        <x:f>IFERROR(IF(CaseLedger!$A101="","",CaseLedger!AG101),"")</x:f>
      </x:c>
      <x:c r="AB101" t="str">
        <x:f>IFERROR(IF(CaseLedger!$A101="","",CaseLedger!AH101),"")</x:f>
      </x:c>
      <x:c r="AC101" t="str">
        <x:f>IFERROR(IF(CaseLedger!$A101="","",CaseLedger!AI101),"")</x:f>
      </x:c>
    </x:row>
    <x:row r="102">
      <x:c r="A102" t="str">
        <x:f>IF(CaseLedger!$A102="","",CaseLedger!A102)</x:f>
      </x:c>
      <x:c r="B102" t="str">
        <x:f>IF(CaseLedger!$A102="","",CaseLedger!I102)</x:f>
      </x:c>
      <x:c r="C102" t="str">
        <x:f>IF(CaseLedger!$A102="","",CaseLedger!J102)</x:f>
      </x:c>
      <x:c r="D102" t="str">
        <x:f>IF(CaseLedger!$A102="","",CaseLedger!K102)</x:f>
      </x:c>
      <x:c r="E102" t="str">
        <x:f>IF(CaseLedger!$A102="","",CaseLedger!L102)</x:f>
      </x:c>
      <x:c r="F102" t="str">
        <x:f>IF(CaseLedger!$A102="","",CaseLedger!P102)</x:f>
      </x:c>
      <x:c r="G102" t="str">
        <x:f>IF(CaseLedger!$A102="","",CaseLedger!F102)</x:f>
      </x:c>
      <x:c r="H102" t="str">
        <x:f>IF(CaseLedger!$A102="","",CaseLedger!Q102)</x:f>
      </x:c>
      <x:c r="I102" t="str">
        <x:f>IF(CaseLedger!$A102="","",CaseLedger!R102)</x:f>
      </x:c>
      <x:c r="J102" t="str">
        <x:f>IF(CaseLedger!$A102="","",CaseLedger!S102)</x:f>
      </x:c>
      <x:c r="K102" t="str">
        <x:f>IF(CaseLedger!$A102="","",CaseLedger!T102)</x:f>
      </x:c>
      <x:c r="L102" t="str">
        <x:f>IF(CaseLedger!$A102="","",CaseLedger!U102)</x:f>
      </x:c>
      <x:c r="M102" t="str">
        <x:f>IF(CaseLedger!$A102="","",CaseLedger!V102)</x:f>
      </x:c>
      <x:c r="N102" t="str">
        <x:f>IF(CaseLedger!$A102="","",CaseLedger!W102)</x:f>
      </x:c>
      <x:c r="O102" t="str">
        <x:f>IF(CaseLedger!$A102="","",CaseLedger!X102)</x:f>
      </x:c>
      <x:c r="P102" t="str">
        <x:f>IF(CaseLedger!$A102="","",CaseLedger!E102)</x:f>
      </x:c>
      <x:c r="Q102" t="str">
        <x:f>IF(CaseLedger!$A102="","",CaseLedger!C102)</x:f>
      </x:c>
      <x:c r="R102" t="str">
        <x:f>IF(CaseLedger!$A102="","",CaseLedger!D102)</x:f>
      </x:c>
      <x:c r="S102" t="str">
        <x:f>IFERROR(IF(CaseLedger!$A102="","",CaseLedger!Y102),"")</x:f>
      </x:c>
      <x:c r="T102" t="str">
        <x:f>IFERROR(IF(CaseLedger!$A102="","",CaseLedger!Z102),"")</x:f>
      </x:c>
      <x:c r="U102" t="str">
        <x:f>IFERROR(IF(CaseLedger!$A102="","",CaseLedger!AA102),"")</x:f>
      </x:c>
      <x:c r="V102" t="str">
        <x:f>IFERROR(IF(CaseLedger!$A102="","",CaseLedger!AB102),"")</x:f>
      </x:c>
      <x:c r="W102" t="str">
        <x:f>IFERROR(IF(CaseLedger!$A102="","",CaseLedger!AC102),"")</x:f>
      </x:c>
      <x:c r="X102" t="str">
        <x:f>IFERROR(IF(CaseLedger!$A102="","",CaseLedger!AD102),"")</x:f>
      </x:c>
      <x:c r="Y102" t="str">
        <x:f>IFERROR(IF(CaseLedger!$A102="","",CaseLedger!AE102),"")</x:f>
      </x:c>
      <x:c r="Z102" t="str">
        <x:f>IFERROR(IF(CaseLedger!$A102="","",CaseLedger!AF102),"")</x:f>
      </x:c>
      <x:c r="AA102" t="str">
        <x:f>IFERROR(IF(CaseLedger!$A102="","",CaseLedger!AG102),"")</x:f>
      </x:c>
      <x:c r="AB102" t="str">
        <x:f>IFERROR(IF(CaseLedger!$A102="","",CaseLedger!AH102),"")</x:f>
      </x:c>
      <x:c r="AC102" t="str">
        <x:f>IFERROR(IF(CaseLedger!$A102="","",CaseLedger!AI102),"")</x:f>
      </x:c>
    </x:row>
    <x:row r="103">
      <x:c r="A103" t="str">
        <x:f>IF(CaseLedger!$A103="","",CaseLedger!A103)</x:f>
      </x:c>
      <x:c r="B103" t="str">
        <x:f>IF(CaseLedger!$A103="","",CaseLedger!I103)</x:f>
      </x:c>
      <x:c r="C103" t="str">
        <x:f>IF(CaseLedger!$A103="","",CaseLedger!J103)</x:f>
      </x:c>
      <x:c r="D103" t="str">
        <x:f>IF(CaseLedger!$A103="","",CaseLedger!K103)</x:f>
      </x:c>
      <x:c r="E103" t="str">
        <x:f>IF(CaseLedger!$A103="","",CaseLedger!L103)</x:f>
      </x:c>
      <x:c r="F103" t="str">
        <x:f>IF(CaseLedger!$A103="","",CaseLedger!P103)</x:f>
      </x:c>
      <x:c r="G103" t="str">
        <x:f>IF(CaseLedger!$A103="","",CaseLedger!F103)</x:f>
      </x:c>
      <x:c r="H103" t="str">
        <x:f>IF(CaseLedger!$A103="","",CaseLedger!Q103)</x:f>
      </x:c>
      <x:c r="I103" t="str">
        <x:f>IF(CaseLedger!$A103="","",CaseLedger!R103)</x:f>
      </x:c>
      <x:c r="J103" t="str">
        <x:f>IF(CaseLedger!$A103="","",CaseLedger!S103)</x:f>
      </x:c>
      <x:c r="K103" t="str">
        <x:f>IF(CaseLedger!$A103="","",CaseLedger!T103)</x:f>
      </x:c>
      <x:c r="L103" t="str">
        <x:f>IF(CaseLedger!$A103="","",CaseLedger!U103)</x:f>
      </x:c>
      <x:c r="M103" t="str">
        <x:f>IF(CaseLedger!$A103="","",CaseLedger!V103)</x:f>
      </x:c>
      <x:c r="N103" t="str">
        <x:f>IF(CaseLedger!$A103="","",CaseLedger!W103)</x:f>
      </x:c>
      <x:c r="O103" t="str">
        <x:f>IF(CaseLedger!$A103="","",CaseLedger!X103)</x:f>
      </x:c>
      <x:c r="P103" t="str">
        <x:f>IF(CaseLedger!$A103="","",CaseLedger!E103)</x:f>
      </x:c>
      <x:c r="Q103" t="str">
        <x:f>IF(CaseLedger!$A103="","",CaseLedger!C103)</x:f>
      </x:c>
      <x:c r="R103" t="str">
        <x:f>IF(CaseLedger!$A103="","",CaseLedger!D103)</x:f>
      </x:c>
      <x:c r="S103" t="str">
        <x:f>IFERROR(IF(CaseLedger!$A103="","",CaseLedger!Y103),"")</x:f>
      </x:c>
      <x:c r="T103" t="str">
        <x:f>IFERROR(IF(CaseLedger!$A103="","",CaseLedger!Z103),"")</x:f>
      </x:c>
      <x:c r="U103" t="str">
        <x:f>IFERROR(IF(CaseLedger!$A103="","",CaseLedger!AA103),"")</x:f>
      </x:c>
      <x:c r="V103" t="str">
        <x:f>IFERROR(IF(CaseLedger!$A103="","",CaseLedger!AB103),"")</x:f>
      </x:c>
      <x:c r="W103" t="str">
        <x:f>IFERROR(IF(CaseLedger!$A103="","",CaseLedger!AC103),"")</x:f>
      </x:c>
      <x:c r="X103" t="str">
        <x:f>IFERROR(IF(CaseLedger!$A103="","",CaseLedger!AD103),"")</x:f>
      </x:c>
      <x:c r="Y103" t="str">
        <x:f>IFERROR(IF(CaseLedger!$A103="","",CaseLedger!AE103),"")</x:f>
      </x:c>
      <x:c r="Z103" t="str">
        <x:f>IFERROR(IF(CaseLedger!$A103="","",CaseLedger!AF103),"")</x:f>
      </x:c>
      <x:c r="AA103" t="str">
        <x:f>IFERROR(IF(CaseLedger!$A103="","",CaseLedger!AG103),"")</x:f>
      </x:c>
      <x:c r="AB103" t="str">
        <x:f>IFERROR(IF(CaseLedger!$A103="","",CaseLedger!AH103),"")</x:f>
      </x:c>
      <x:c r="AC103" t="str">
        <x:f>IFERROR(IF(CaseLedger!$A103="","",CaseLedger!AI103),"")</x:f>
      </x:c>
    </x:row>
    <x:row r="104">
      <x:c r="A104" t="str">
        <x:f>IF(CaseLedger!$A104="","",CaseLedger!A104)</x:f>
      </x:c>
      <x:c r="B104" t="str">
        <x:f>IF(CaseLedger!$A104="","",CaseLedger!I104)</x:f>
      </x:c>
      <x:c r="C104" t="str">
        <x:f>IF(CaseLedger!$A104="","",CaseLedger!J104)</x:f>
      </x:c>
      <x:c r="D104" t="str">
        <x:f>IF(CaseLedger!$A104="","",CaseLedger!K104)</x:f>
      </x:c>
      <x:c r="E104" t="str">
        <x:f>IF(CaseLedger!$A104="","",CaseLedger!L104)</x:f>
      </x:c>
      <x:c r="F104" t="str">
        <x:f>IF(CaseLedger!$A104="","",CaseLedger!P104)</x:f>
      </x:c>
      <x:c r="G104" t="str">
        <x:f>IF(CaseLedger!$A104="","",CaseLedger!F104)</x:f>
      </x:c>
      <x:c r="H104" t="str">
        <x:f>IF(CaseLedger!$A104="","",CaseLedger!Q104)</x:f>
      </x:c>
      <x:c r="I104" t="str">
        <x:f>IF(CaseLedger!$A104="","",CaseLedger!R104)</x:f>
      </x:c>
      <x:c r="J104" t="str">
        <x:f>IF(CaseLedger!$A104="","",CaseLedger!S104)</x:f>
      </x:c>
      <x:c r="K104" t="str">
        <x:f>IF(CaseLedger!$A104="","",CaseLedger!T104)</x:f>
      </x:c>
      <x:c r="L104" t="str">
        <x:f>IF(CaseLedger!$A104="","",CaseLedger!U104)</x:f>
      </x:c>
      <x:c r="M104" t="str">
        <x:f>IF(CaseLedger!$A104="","",CaseLedger!V104)</x:f>
      </x:c>
      <x:c r="N104" t="str">
        <x:f>IF(CaseLedger!$A104="","",CaseLedger!W104)</x:f>
      </x:c>
      <x:c r="O104" t="str">
        <x:f>IF(CaseLedger!$A104="","",CaseLedger!X104)</x:f>
      </x:c>
      <x:c r="P104" t="str">
        <x:f>IF(CaseLedger!$A104="","",CaseLedger!E104)</x:f>
      </x:c>
      <x:c r="Q104" t="str">
        <x:f>IF(CaseLedger!$A104="","",CaseLedger!C104)</x:f>
      </x:c>
      <x:c r="R104" t="str">
        <x:f>IF(CaseLedger!$A104="","",CaseLedger!D104)</x:f>
      </x:c>
      <x:c r="S104" t="str">
        <x:f>IFERROR(IF(CaseLedger!$A104="","",CaseLedger!Y104),"")</x:f>
      </x:c>
      <x:c r="T104" t="str">
        <x:f>IFERROR(IF(CaseLedger!$A104="","",CaseLedger!Z104),"")</x:f>
      </x:c>
      <x:c r="U104" t="str">
        <x:f>IFERROR(IF(CaseLedger!$A104="","",CaseLedger!AA104),"")</x:f>
      </x:c>
      <x:c r="V104" t="str">
        <x:f>IFERROR(IF(CaseLedger!$A104="","",CaseLedger!AB104),"")</x:f>
      </x:c>
      <x:c r="W104" t="str">
        <x:f>IFERROR(IF(CaseLedger!$A104="","",CaseLedger!AC104),"")</x:f>
      </x:c>
      <x:c r="X104" t="str">
        <x:f>IFERROR(IF(CaseLedger!$A104="","",CaseLedger!AD104),"")</x:f>
      </x:c>
      <x:c r="Y104" t="str">
        <x:f>IFERROR(IF(CaseLedger!$A104="","",CaseLedger!AE104),"")</x:f>
      </x:c>
      <x:c r="Z104" t="str">
        <x:f>IFERROR(IF(CaseLedger!$A104="","",CaseLedger!AF104),"")</x:f>
      </x:c>
      <x:c r="AA104" t="str">
        <x:f>IFERROR(IF(CaseLedger!$A104="","",CaseLedger!AG104),"")</x:f>
      </x:c>
      <x:c r="AB104" t="str">
        <x:f>IFERROR(IF(CaseLedger!$A104="","",CaseLedger!AH104),"")</x:f>
      </x:c>
      <x:c r="AC104" t="str">
        <x:f>IFERROR(IF(CaseLedger!$A104="","",CaseLedger!AI104),"")</x:f>
      </x:c>
    </x:row>
    <x:row r="105">
      <x:c r="A105" t="str">
        <x:f>IF(CaseLedger!$A105="","",CaseLedger!A105)</x:f>
      </x:c>
      <x:c r="B105" t="str">
        <x:f>IF(CaseLedger!$A105="","",CaseLedger!I105)</x:f>
      </x:c>
      <x:c r="C105" t="str">
        <x:f>IF(CaseLedger!$A105="","",CaseLedger!J105)</x:f>
      </x:c>
      <x:c r="D105" t="str">
        <x:f>IF(CaseLedger!$A105="","",CaseLedger!K105)</x:f>
      </x:c>
      <x:c r="E105" t="str">
        <x:f>IF(CaseLedger!$A105="","",CaseLedger!L105)</x:f>
      </x:c>
      <x:c r="F105" t="str">
        <x:f>IF(CaseLedger!$A105="","",CaseLedger!P105)</x:f>
      </x:c>
      <x:c r="G105" t="str">
        <x:f>IF(CaseLedger!$A105="","",CaseLedger!F105)</x:f>
      </x:c>
      <x:c r="H105" t="str">
        <x:f>IF(CaseLedger!$A105="","",CaseLedger!Q105)</x:f>
      </x:c>
      <x:c r="I105" t="str">
        <x:f>IF(CaseLedger!$A105="","",CaseLedger!R105)</x:f>
      </x:c>
      <x:c r="J105" t="str">
        <x:f>IF(CaseLedger!$A105="","",CaseLedger!S105)</x:f>
      </x:c>
      <x:c r="K105" t="str">
        <x:f>IF(CaseLedger!$A105="","",CaseLedger!T105)</x:f>
      </x:c>
      <x:c r="L105" t="str">
        <x:f>IF(CaseLedger!$A105="","",CaseLedger!U105)</x:f>
      </x:c>
      <x:c r="M105" t="str">
        <x:f>IF(CaseLedger!$A105="","",CaseLedger!V105)</x:f>
      </x:c>
      <x:c r="N105" t="str">
        <x:f>IF(CaseLedger!$A105="","",CaseLedger!W105)</x:f>
      </x:c>
      <x:c r="O105" t="str">
        <x:f>IF(CaseLedger!$A105="","",CaseLedger!X105)</x:f>
      </x:c>
      <x:c r="P105" t="str">
        <x:f>IF(CaseLedger!$A105="","",CaseLedger!E105)</x:f>
      </x:c>
      <x:c r="Q105" t="str">
        <x:f>IF(CaseLedger!$A105="","",CaseLedger!C105)</x:f>
      </x:c>
      <x:c r="R105" t="str">
        <x:f>IF(CaseLedger!$A105="","",CaseLedger!D105)</x:f>
      </x:c>
      <x:c r="S105" t="str">
        <x:f>IFERROR(IF(CaseLedger!$A105="","",CaseLedger!Y105),"")</x:f>
      </x:c>
      <x:c r="T105" t="str">
        <x:f>IFERROR(IF(CaseLedger!$A105="","",CaseLedger!Z105),"")</x:f>
      </x:c>
      <x:c r="U105" t="str">
        <x:f>IFERROR(IF(CaseLedger!$A105="","",CaseLedger!AA105),"")</x:f>
      </x:c>
      <x:c r="V105" t="str">
        <x:f>IFERROR(IF(CaseLedger!$A105="","",CaseLedger!AB105),"")</x:f>
      </x:c>
      <x:c r="W105" t="str">
        <x:f>IFERROR(IF(CaseLedger!$A105="","",CaseLedger!AC105),"")</x:f>
      </x:c>
      <x:c r="X105" t="str">
        <x:f>IFERROR(IF(CaseLedger!$A105="","",CaseLedger!AD105),"")</x:f>
      </x:c>
      <x:c r="Y105" t="str">
        <x:f>IFERROR(IF(CaseLedger!$A105="","",CaseLedger!AE105),"")</x:f>
      </x:c>
      <x:c r="Z105" t="str">
        <x:f>IFERROR(IF(CaseLedger!$A105="","",CaseLedger!AF105),"")</x:f>
      </x:c>
      <x:c r="AA105" t="str">
        <x:f>IFERROR(IF(CaseLedger!$A105="","",CaseLedger!AG105),"")</x:f>
      </x:c>
      <x:c r="AB105" t="str">
        <x:f>IFERROR(IF(CaseLedger!$A105="","",CaseLedger!AH105),"")</x:f>
      </x:c>
      <x:c r="AC105" t="str">
        <x:f>IFERROR(IF(CaseLedger!$A105="","",CaseLedger!AI105),"")</x:f>
      </x:c>
    </x:row>
    <x:row r="106">
      <x:c r="A106" t="str">
        <x:f>IF(CaseLedger!$A106="","",CaseLedger!A106)</x:f>
      </x:c>
      <x:c r="B106" t="str">
        <x:f>IF(CaseLedger!$A106="","",CaseLedger!I106)</x:f>
      </x:c>
      <x:c r="C106" t="str">
        <x:f>IF(CaseLedger!$A106="","",CaseLedger!J106)</x:f>
      </x:c>
      <x:c r="D106" t="str">
        <x:f>IF(CaseLedger!$A106="","",CaseLedger!K106)</x:f>
      </x:c>
      <x:c r="E106" t="str">
        <x:f>IF(CaseLedger!$A106="","",CaseLedger!L106)</x:f>
      </x:c>
      <x:c r="F106" t="str">
        <x:f>IF(CaseLedger!$A106="","",CaseLedger!P106)</x:f>
      </x:c>
      <x:c r="G106" t="str">
        <x:f>IF(CaseLedger!$A106="","",CaseLedger!F106)</x:f>
      </x:c>
      <x:c r="H106" t="str">
        <x:f>IF(CaseLedger!$A106="","",CaseLedger!Q106)</x:f>
      </x:c>
      <x:c r="I106" t="str">
        <x:f>IF(CaseLedger!$A106="","",CaseLedger!R106)</x:f>
      </x:c>
      <x:c r="J106" t="str">
        <x:f>IF(CaseLedger!$A106="","",CaseLedger!S106)</x:f>
      </x:c>
      <x:c r="K106" t="str">
        <x:f>IF(CaseLedger!$A106="","",CaseLedger!T106)</x:f>
      </x:c>
      <x:c r="L106" t="str">
        <x:f>IF(CaseLedger!$A106="","",CaseLedger!U106)</x:f>
      </x:c>
      <x:c r="M106" t="str">
        <x:f>IF(CaseLedger!$A106="","",CaseLedger!V106)</x:f>
      </x:c>
      <x:c r="N106" t="str">
        <x:f>IF(CaseLedger!$A106="","",CaseLedger!W106)</x:f>
      </x:c>
      <x:c r="O106" t="str">
        <x:f>IF(CaseLedger!$A106="","",CaseLedger!X106)</x:f>
      </x:c>
      <x:c r="P106" t="str">
        <x:f>IF(CaseLedger!$A106="","",CaseLedger!E106)</x:f>
      </x:c>
      <x:c r="Q106" t="str">
        <x:f>IF(CaseLedger!$A106="","",CaseLedger!C106)</x:f>
      </x:c>
      <x:c r="R106" t="str">
        <x:f>IF(CaseLedger!$A106="","",CaseLedger!D106)</x:f>
      </x:c>
      <x:c r="S106" t="str">
        <x:f>IFERROR(IF(CaseLedger!$A106="","",CaseLedger!Y106),"")</x:f>
      </x:c>
      <x:c r="T106" t="str">
        <x:f>IFERROR(IF(CaseLedger!$A106="","",CaseLedger!Z106),"")</x:f>
      </x:c>
      <x:c r="U106" t="str">
        <x:f>IFERROR(IF(CaseLedger!$A106="","",CaseLedger!AA106),"")</x:f>
      </x:c>
      <x:c r="V106" t="str">
        <x:f>IFERROR(IF(CaseLedger!$A106="","",CaseLedger!AB106),"")</x:f>
      </x:c>
      <x:c r="W106" t="str">
        <x:f>IFERROR(IF(CaseLedger!$A106="","",CaseLedger!AC106),"")</x:f>
      </x:c>
      <x:c r="X106" t="str">
        <x:f>IFERROR(IF(CaseLedger!$A106="","",CaseLedger!AD106),"")</x:f>
      </x:c>
      <x:c r="Y106" t="str">
        <x:f>IFERROR(IF(CaseLedger!$A106="","",CaseLedger!AE106),"")</x:f>
      </x:c>
      <x:c r="Z106" t="str">
        <x:f>IFERROR(IF(CaseLedger!$A106="","",CaseLedger!AF106),"")</x:f>
      </x:c>
      <x:c r="AA106" t="str">
        <x:f>IFERROR(IF(CaseLedger!$A106="","",CaseLedger!AG106),"")</x:f>
      </x:c>
      <x:c r="AB106" t="str">
        <x:f>IFERROR(IF(CaseLedger!$A106="","",CaseLedger!AH106),"")</x:f>
      </x:c>
      <x:c r="AC106" t="str">
        <x:f>IFERROR(IF(CaseLedger!$A106="","",CaseLedger!AI106),"")</x:f>
      </x:c>
    </x:row>
    <x:row r="107">
      <x:c r="A107" t="str">
        <x:f>IF(CaseLedger!$A107="","",CaseLedger!A107)</x:f>
      </x:c>
      <x:c r="B107" t="str">
        <x:f>IF(CaseLedger!$A107="","",CaseLedger!I107)</x:f>
      </x:c>
      <x:c r="C107" t="str">
        <x:f>IF(CaseLedger!$A107="","",CaseLedger!J107)</x:f>
      </x:c>
      <x:c r="D107" t="str">
        <x:f>IF(CaseLedger!$A107="","",CaseLedger!K107)</x:f>
      </x:c>
      <x:c r="E107" t="str">
        <x:f>IF(CaseLedger!$A107="","",CaseLedger!L107)</x:f>
      </x:c>
      <x:c r="F107" t="str">
        <x:f>IF(CaseLedger!$A107="","",CaseLedger!P107)</x:f>
      </x:c>
      <x:c r="G107" t="str">
        <x:f>IF(CaseLedger!$A107="","",CaseLedger!F107)</x:f>
      </x:c>
      <x:c r="H107" t="str">
        <x:f>IF(CaseLedger!$A107="","",CaseLedger!Q107)</x:f>
      </x:c>
      <x:c r="I107" t="str">
        <x:f>IF(CaseLedger!$A107="","",CaseLedger!R107)</x:f>
      </x:c>
      <x:c r="J107" t="str">
        <x:f>IF(CaseLedger!$A107="","",CaseLedger!S107)</x:f>
      </x:c>
      <x:c r="K107" t="str">
        <x:f>IF(CaseLedger!$A107="","",CaseLedger!T107)</x:f>
      </x:c>
      <x:c r="L107" t="str">
        <x:f>IF(CaseLedger!$A107="","",CaseLedger!U107)</x:f>
      </x:c>
      <x:c r="M107" t="str">
        <x:f>IF(CaseLedger!$A107="","",CaseLedger!V107)</x:f>
      </x:c>
      <x:c r="N107" t="str">
        <x:f>IF(CaseLedger!$A107="","",CaseLedger!W107)</x:f>
      </x:c>
      <x:c r="O107" t="str">
        <x:f>IF(CaseLedger!$A107="","",CaseLedger!X107)</x:f>
      </x:c>
      <x:c r="P107" t="str">
        <x:f>IF(CaseLedger!$A107="","",CaseLedger!E107)</x:f>
      </x:c>
      <x:c r="Q107" t="str">
        <x:f>IF(CaseLedger!$A107="","",CaseLedger!C107)</x:f>
      </x:c>
      <x:c r="R107" t="str">
        <x:f>IF(CaseLedger!$A107="","",CaseLedger!D107)</x:f>
      </x:c>
      <x:c r="S107" t="str">
        <x:f>IFERROR(IF(CaseLedger!$A107="","",CaseLedger!Y107),"")</x:f>
      </x:c>
      <x:c r="T107" t="str">
        <x:f>IFERROR(IF(CaseLedger!$A107="","",CaseLedger!Z107),"")</x:f>
      </x:c>
      <x:c r="U107" t="str">
        <x:f>IFERROR(IF(CaseLedger!$A107="","",CaseLedger!AA107),"")</x:f>
      </x:c>
      <x:c r="V107" t="str">
        <x:f>IFERROR(IF(CaseLedger!$A107="","",CaseLedger!AB107),"")</x:f>
      </x:c>
      <x:c r="W107" t="str">
        <x:f>IFERROR(IF(CaseLedger!$A107="","",CaseLedger!AC107),"")</x:f>
      </x:c>
      <x:c r="X107" t="str">
        <x:f>IFERROR(IF(CaseLedger!$A107="","",CaseLedger!AD107),"")</x:f>
      </x:c>
      <x:c r="Y107" t="str">
        <x:f>IFERROR(IF(CaseLedger!$A107="","",CaseLedger!AE107),"")</x:f>
      </x:c>
      <x:c r="Z107" t="str">
        <x:f>IFERROR(IF(CaseLedger!$A107="","",CaseLedger!AF107),"")</x:f>
      </x:c>
      <x:c r="AA107" t="str">
        <x:f>IFERROR(IF(CaseLedger!$A107="","",CaseLedger!AG107),"")</x:f>
      </x:c>
      <x:c r="AB107" t="str">
        <x:f>IFERROR(IF(CaseLedger!$A107="","",CaseLedger!AH107),"")</x:f>
      </x:c>
      <x:c r="AC107" t="str">
        <x:f>IFERROR(IF(CaseLedger!$A107="","",CaseLedger!AI107),"")</x:f>
      </x:c>
    </x:row>
    <x:row r="108">
      <x:c r="A108" t="str">
        <x:f>IF(CaseLedger!$A108="","",CaseLedger!A108)</x:f>
      </x:c>
      <x:c r="B108" t="str">
        <x:f>IF(CaseLedger!$A108="","",CaseLedger!I108)</x:f>
      </x:c>
      <x:c r="C108" t="str">
        <x:f>IF(CaseLedger!$A108="","",CaseLedger!J108)</x:f>
      </x:c>
      <x:c r="D108" t="str">
        <x:f>IF(CaseLedger!$A108="","",CaseLedger!K108)</x:f>
      </x:c>
      <x:c r="E108" t="str">
        <x:f>IF(CaseLedger!$A108="","",CaseLedger!L108)</x:f>
      </x:c>
      <x:c r="F108" t="str">
        <x:f>IF(CaseLedger!$A108="","",CaseLedger!P108)</x:f>
      </x:c>
      <x:c r="G108" t="str">
        <x:f>IF(CaseLedger!$A108="","",CaseLedger!F108)</x:f>
      </x:c>
      <x:c r="H108" t="str">
        <x:f>IF(CaseLedger!$A108="","",CaseLedger!Q108)</x:f>
      </x:c>
      <x:c r="I108" t="str">
        <x:f>IF(CaseLedger!$A108="","",CaseLedger!R108)</x:f>
      </x:c>
      <x:c r="J108" t="str">
        <x:f>IF(CaseLedger!$A108="","",CaseLedger!S108)</x:f>
      </x:c>
      <x:c r="K108" t="str">
        <x:f>IF(CaseLedger!$A108="","",CaseLedger!T108)</x:f>
      </x:c>
      <x:c r="L108" t="str">
        <x:f>IF(CaseLedger!$A108="","",CaseLedger!U108)</x:f>
      </x:c>
      <x:c r="M108" t="str">
        <x:f>IF(CaseLedger!$A108="","",CaseLedger!V108)</x:f>
      </x:c>
      <x:c r="N108" t="str">
        <x:f>IF(CaseLedger!$A108="","",CaseLedger!W108)</x:f>
      </x:c>
      <x:c r="O108" t="str">
        <x:f>IF(CaseLedger!$A108="","",CaseLedger!X108)</x:f>
      </x:c>
      <x:c r="P108" t="str">
        <x:f>IF(CaseLedger!$A108="","",CaseLedger!E108)</x:f>
      </x:c>
      <x:c r="Q108" t="str">
        <x:f>IF(CaseLedger!$A108="","",CaseLedger!C108)</x:f>
      </x:c>
      <x:c r="R108" t="str">
        <x:f>IF(CaseLedger!$A108="","",CaseLedger!D108)</x:f>
      </x:c>
      <x:c r="S108" t="str">
        <x:f>IFERROR(IF(CaseLedger!$A108="","",CaseLedger!Y108),"")</x:f>
      </x:c>
      <x:c r="T108" t="str">
        <x:f>IFERROR(IF(CaseLedger!$A108="","",CaseLedger!Z108),"")</x:f>
      </x:c>
      <x:c r="U108" t="str">
        <x:f>IFERROR(IF(CaseLedger!$A108="","",CaseLedger!AA108),"")</x:f>
      </x:c>
      <x:c r="V108" t="str">
        <x:f>IFERROR(IF(CaseLedger!$A108="","",CaseLedger!AB108),"")</x:f>
      </x:c>
      <x:c r="W108" t="str">
        <x:f>IFERROR(IF(CaseLedger!$A108="","",CaseLedger!AC108),"")</x:f>
      </x:c>
      <x:c r="X108" t="str">
        <x:f>IFERROR(IF(CaseLedger!$A108="","",CaseLedger!AD108),"")</x:f>
      </x:c>
      <x:c r="Y108" t="str">
        <x:f>IFERROR(IF(CaseLedger!$A108="","",CaseLedger!AE108),"")</x:f>
      </x:c>
      <x:c r="Z108" t="str">
        <x:f>IFERROR(IF(CaseLedger!$A108="","",CaseLedger!AF108),"")</x:f>
      </x:c>
      <x:c r="AA108" t="str">
        <x:f>IFERROR(IF(CaseLedger!$A108="","",CaseLedger!AG108),"")</x:f>
      </x:c>
      <x:c r="AB108" t="str">
        <x:f>IFERROR(IF(CaseLedger!$A108="","",CaseLedger!AH108),"")</x:f>
      </x:c>
      <x:c r="AC108" t="str">
        <x:f>IFERROR(IF(CaseLedger!$A108="","",CaseLedger!AI108),"")</x:f>
      </x:c>
    </x:row>
    <x:row r="109">
      <x:c r="A109" t="str">
        <x:f>IF(CaseLedger!$A109="","",CaseLedger!A109)</x:f>
      </x:c>
      <x:c r="B109" t="str">
        <x:f>IF(CaseLedger!$A109="","",CaseLedger!I109)</x:f>
      </x:c>
      <x:c r="C109" t="str">
        <x:f>IF(CaseLedger!$A109="","",CaseLedger!J109)</x:f>
      </x:c>
      <x:c r="D109" t="str">
        <x:f>IF(CaseLedger!$A109="","",CaseLedger!K109)</x:f>
      </x:c>
      <x:c r="E109" t="str">
        <x:f>IF(CaseLedger!$A109="","",CaseLedger!L109)</x:f>
      </x:c>
      <x:c r="F109" t="str">
        <x:f>IF(CaseLedger!$A109="","",CaseLedger!P109)</x:f>
      </x:c>
      <x:c r="G109" t="str">
        <x:f>IF(CaseLedger!$A109="","",CaseLedger!F109)</x:f>
      </x:c>
      <x:c r="H109" t="str">
        <x:f>IF(CaseLedger!$A109="","",CaseLedger!Q109)</x:f>
      </x:c>
      <x:c r="I109" t="str">
        <x:f>IF(CaseLedger!$A109="","",CaseLedger!R109)</x:f>
      </x:c>
      <x:c r="J109" t="str">
        <x:f>IF(CaseLedger!$A109="","",CaseLedger!S109)</x:f>
      </x:c>
      <x:c r="K109" t="str">
        <x:f>IF(CaseLedger!$A109="","",CaseLedger!T109)</x:f>
      </x:c>
      <x:c r="L109" t="str">
        <x:f>IF(CaseLedger!$A109="","",CaseLedger!U109)</x:f>
      </x:c>
      <x:c r="M109" t="str">
        <x:f>IF(CaseLedger!$A109="","",CaseLedger!V109)</x:f>
      </x:c>
      <x:c r="N109" t="str">
        <x:f>IF(CaseLedger!$A109="","",CaseLedger!W109)</x:f>
      </x:c>
      <x:c r="O109" t="str">
        <x:f>IF(CaseLedger!$A109="","",CaseLedger!X109)</x:f>
      </x:c>
      <x:c r="P109" t="str">
        <x:f>IF(CaseLedger!$A109="","",CaseLedger!E109)</x:f>
      </x:c>
      <x:c r="Q109" t="str">
        <x:f>IF(CaseLedger!$A109="","",CaseLedger!C109)</x:f>
      </x:c>
      <x:c r="R109" t="str">
        <x:f>IF(CaseLedger!$A109="","",CaseLedger!D109)</x:f>
      </x:c>
      <x:c r="S109" t="str">
        <x:f>IFERROR(IF(CaseLedger!$A109="","",CaseLedger!Y109),"")</x:f>
      </x:c>
      <x:c r="T109" t="str">
        <x:f>IFERROR(IF(CaseLedger!$A109="","",CaseLedger!Z109),"")</x:f>
      </x:c>
      <x:c r="U109" t="str">
        <x:f>IFERROR(IF(CaseLedger!$A109="","",CaseLedger!AA109),"")</x:f>
      </x:c>
      <x:c r="V109" t="str">
        <x:f>IFERROR(IF(CaseLedger!$A109="","",CaseLedger!AB109),"")</x:f>
      </x:c>
      <x:c r="W109" t="str">
        <x:f>IFERROR(IF(CaseLedger!$A109="","",CaseLedger!AC109),"")</x:f>
      </x:c>
      <x:c r="X109" t="str">
        <x:f>IFERROR(IF(CaseLedger!$A109="","",CaseLedger!AD109),"")</x:f>
      </x:c>
      <x:c r="Y109" t="str">
        <x:f>IFERROR(IF(CaseLedger!$A109="","",CaseLedger!AE109),"")</x:f>
      </x:c>
      <x:c r="Z109" t="str">
        <x:f>IFERROR(IF(CaseLedger!$A109="","",CaseLedger!AF109),"")</x:f>
      </x:c>
      <x:c r="AA109" t="str">
        <x:f>IFERROR(IF(CaseLedger!$A109="","",CaseLedger!AG109),"")</x:f>
      </x:c>
      <x:c r="AB109" t="str">
        <x:f>IFERROR(IF(CaseLedger!$A109="","",CaseLedger!AH109),"")</x:f>
      </x:c>
      <x:c r="AC109" t="str">
        <x:f>IFERROR(IF(CaseLedger!$A109="","",CaseLedger!AI109),"")</x:f>
      </x:c>
    </x:row>
    <x:row r="110">
      <x:c r="A110" t="str">
        <x:f>IF(CaseLedger!$A110="","",CaseLedger!A110)</x:f>
      </x:c>
      <x:c r="B110" t="str">
        <x:f>IF(CaseLedger!$A110="","",CaseLedger!I110)</x:f>
      </x:c>
      <x:c r="C110" t="str">
        <x:f>IF(CaseLedger!$A110="","",CaseLedger!J110)</x:f>
      </x:c>
      <x:c r="D110" t="str">
        <x:f>IF(CaseLedger!$A110="","",CaseLedger!K110)</x:f>
      </x:c>
      <x:c r="E110" t="str">
        <x:f>IF(CaseLedger!$A110="","",CaseLedger!L110)</x:f>
      </x:c>
      <x:c r="F110" t="str">
        <x:f>IF(CaseLedger!$A110="","",CaseLedger!P110)</x:f>
      </x:c>
      <x:c r="G110" t="str">
        <x:f>IF(CaseLedger!$A110="","",CaseLedger!F110)</x:f>
      </x:c>
      <x:c r="H110" t="str">
        <x:f>IF(CaseLedger!$A110="","",CaseLedger!Q110)</x:f>
      </x:c>
      <x:c r="I110" t="str">
        <x:f>IF(CaseLedger!$A110="","",CaseLedger!R110)</x:f>
      </x:c>
      <x:c r="J110" t="str">
        <x:f>IF(CaseLedger!$A110="","",CaseLedger!S110)</x:f>
      </x:c>
      <x:c r="K110" t="str">
        <x:f>IF(CaseLedger!$A110="","",CaseLedger!T110)</x:f>
      </x:c>
      <x:c r="L110" t="str">
        <x:f>IF(CaseLedger!$A110="","",CaseLedger!U110)</x:f>
      </x:c>
      <x:c r="M110" t="str">
        <x:f>IF(CaseLedger!$A110="","",CaseLedger!V110)</x:f>
      </x:c>
      <x:c r="N110" t="str">
        <x:f>IF(CaseLedger!$A110="","",CaseLedger!W110)</x:f>
      </x:c>
      <x:c r="O110" t="str">
        <x:f>IF(CaseLedger!$A110="","",CaseLedger!X110)</x:f>
      </x:c>
      <x:c r="P110" t="str">
        <x:f>IF(CaseLedger!$A110="","",CaseLedger!E110)</x:f>
      </x:c>
      <x:c r="Q110" t="str">
        <x:f>IF(CaseLedger!$A110="","",CaseLedger!C110)</x:f>
      </x:c>
      <x:c r="R110" t="str">
        <x:f>IF(CaseLedger!$A110="","",CaseLedger!D110)</x:f>
      </x:c>
      <x:c r="S110" t="str">
        <x:f>IFERROR(IF(CaseLedger!$A110="","",CaseLedger!Y110),"")</x:f>
      </x:c>
      <x:c r="T110" t="str">
        <x:f>IFERROR(IF(CaseLedger!$A110="","",CaseLedger!Z110),"")</x:f>
      </x:c>
      <x:c r="U110" t="str">
        <x:f>IFERROR(IF(CaseLedger!$A110="","",CaseLedger!AA110),"")</x:f>
      </x:c>
      <x:c r="V110" t="str">
        <x:f>IFERROR(IF(CaseLedger!$A110="","",CaseLedger!AB110),"")</x:f>
      </x:c>
      <x:c r="W110" t="str">
        <x:f>IFERROR(IF(CaseLedger!$A110="","",CaseLedger!AC110),"")</x:f>
      </x:c>
      <x:c r="X110" t="str">
        <x:f>IFERROR(IF(CaseLedger!$A110="","",CaseLedger!AD110),"")</x:f>
      </x:c>
      <x:c r="Y110" t="str">
        <x:f>IFERROR(IF(CaseLedger!$A110="","",CaseLedger!AE110),"")</x:f>
      </x:c>
      <x:c r="Z110" t="str">
        <x:f>IFERROR(IF(CaseLedger!$A110="","",CaseLedger!AF110),"")</x:f>
      </x:c>
      <x:c r="AA110" t="str">
        <x:f>IFERROR(IF(CaseLedger!$A110="","",CaseLedger!AG110),"")</x:f>
      </x:c>
      <x:c r="AB110" t="str">
        <x:f>IFERROR(IF(CaseLedger!$A110="","",CaseLedger!AH110),"")</x:f>
      </x:c>
      <x:c r="AC110" t="str">
        <x:f>IFERROR(IF(CaseLedger!$A110="","",CaseLedger!AI110),"")</x:f>
      </x:c>
    </x:row>
    <x:row r="111">
      <x:c r="A111" t="str">
        <x:f>IF(CaseLedger!$A111="","",CaseLedger!A111)</x:f>
      </x:c>
      <x:c r="B111" t="str">
        <x:f>IF(CaseLedger!$A111="","",CaseLedger!I111)</x:f>
      </x:c>
      <x:c r="C111" t="str">
        <x:f>IF(CaseLedger!$A111="","",CaseLedger!J111)</x:f>
      </x:c>
      <x:c r="D111" t="str">
        <x:f>IF(CaseLedger!$A111="","",CaseLedger!K111)</x:f>
      </x:c>
      <x:c r="E111" t="str">
        <x:f>IF(CaseLedger!$A111="","",CaseLedger!L111)</x:f>
      </x:c>
      <x:c r="F111" t="str">
        <x:f>IF(CaseLedger!$A111="","",CaseLedger!P111)</x:f>
      </x:c>
      <x:c r="G111" t="str">
        <x:f>IF(CaseLedger!$A111="","",CaseLedger!F111)</x:f>
      </x:c>
      <x:c r="H111" t="str">
        <x:f>IF(CaseLedger!$A111="","",CaseLedger!Q111)</x:f>
      </x:c>
      <x:c r="I111" t="str">
        <x:f>IF(CaseLedger!$A111="","",CaseLedger!R111)</x:f>
      </x:c>
      <x:c r="J111" t="str">
        <x:f>IF(CaseLedger!$A111="","",CaseLedger!S111)</x:f>
      </x:c>
      <x:c r="K111" t="str">
        <x:f>IF(CaseLedger!$A111="","",CaseLedger!T111)</x:f>
      </x:c>
      <x:c r="L111" t="str">
        <x:f>IF(CaseLedger!$A111="","",CaseLedger!U111)</x:f>
      </x:c>
      <x:c r="M111" t="str">
        <x:f>IF(CaseLedger!$A111="","",CaseLedger!V111)</x:f>
      </x:c>
      <x:c r="N111" t="str">
        <x:f>IF(CaseLedger!$A111="","",CaseLedger!W111)</x:f>
      </x:c>
      <x:c r="O111" t="str">
        <x:f>IF(CaseLedger!$A111="","",CaseLedger!X111)</x:f>
      </x:c>
      <x:c r="P111" t="str">
        <x:f>IF(CaseLedger!$A111="","",CaseLedger!E111)</x:f>
      </x:c>
      <x:c r="Q111" t="str">
        <x:f>IF(CaseLedger!$A111="","",CaseLedger!C111)</x:f>
      </x:c>
      <x:c r="R111" t="str">
        <x:f>IF(CaseLedger!$A111="","",CaseLedger!D111)</x:f>
      </x:c>
      <x:c r="S111" t="str">
        <x:f>IFERROR(IF(CaseLedger!$A111="","",CaseLedger!Y111),"")</x:f>
      </x:c>
      <x:c r="T111" t="str">
        <x:f>IFERROR(IF(CaseLedger!$A111="","",CaseLedger!Z111),"")</x:f>
      </x:c>
      <x:c r="U111" t="str">
        <x:f>IFERROR(IF(CaseLedger!$A111="","",CaseLedger!AA111),"")</x:f>
      </x:c>
      <x:c r="V111" t="str">
        <x:f>IFERROR(IF(CaseLedger!$A111="","",CaseLedger!AB111),"")</x:f>
      </x:c>
      <x:c r="W111" t="str">
        <x:f>IFERROR(IF(CaseLedger!$A111="","",CaseLedger!AC111),"")</x:f>
      </x:c>
      <x:c r="X111" t="str">
        <x:f>IFERROR(IF(CaseLedger!$A111="","",CaseLedger!AD111),"")</x:f>
      </x:c>
      <x:c r="Y111" t="str">
        <x:f>IFERROR(IF(CaseLedger!$A111="","",CaseLedger!AE111),"")</x:f>
      </x:c>
      <x:c r="Z111" t="str">
        <x:f>IFERROR(IF(CaseLedger!$A111="","",CaseLedger!AF111),"")</x:f>
      </x:c>
      <x:c r="AA111" t="str">
        <x:f>IFERROR(IF(CaseLedger!$A111="","",CaseLedger!AG111),"")</x:f>
      </x:c>
      <x:c r="AB111" t="str">
        <x:f>IFERROR(IF(CaseLedger!$A111="","",CaseLedger!AH111),"")</x:f>
      </x:c>
      <x:c r="AC111" t="str">
        <x:f>IFERROR(IF(CaseLedger!$A111="","",CaseLedger!AI111),"")</x:f>
      </x:c>
    </x:row>
    <x:row r="112">
      <x:c r="A112" t="str">
        <x:f>IF(CaseLedger!$A112="","",CaseLedger!A112)</x:f>
      </x:c>
      <x:c r="B112" t="str">
        <x:f>IF(CaseLedger!$A112="","",CaseLedger!I112)</x:f>
      </x:c>
      <x:c r="C112" t="str">
        <x:f>IF(CaseLedger!$A112="","",CaseLedger!J112)</x:f>
      </x:c>
      <x:c r="D112" t="str">
        <x:f>IF(CaseLedger!$A112="","",CaseLedger!K112)</x:f>
      </x:c>
      <x:c r="E112" t="str">
        <x:f>IF(CaseLedger!$A112="","",CaseLedger!L112)</x:f>
      </x:c>
      <x:c r="F112" t="str">
        <x:f>IF(CaseLedger!$A112="","",CaseLedger!P112)</x:f>
      </x:c>
      <x:c r="G112" t="str">
        <x:f>IF(CaseLedger!$A112="","",CaseLedger!F112)</x:f>
      </x:c>
      <x:c r="H112" t="str">
        <x:f>IF(CaseLedger!$A112="","",CaseLedger!Q112)</x:f>
      </x:c>
      <x:c r="I112" t="str">
        <x:f>IF(CaseLedger!$A112="","",CaseLedger!R112)</x:f>
      </x:c>
      <x:c r="J112" t="str">
        <x:f>IF(CaseLedger!$A112="","",CaseLedger!S112)</x:f>
      </x:c>
      <x:c r="K112" t="str">
        <x:f>IF(CaseLedger!$A112="","",CaseLedger!T112)</x:f>
      </x:c>
      <x:c r="L112" t="str">
        <x:f>IF(CaseLedger!$A112="","",CaseLedger!U112)</x:f>
      </x:c>
      <x:c r="M112" t="str">
        <x:f>IF(CaseLedger!$A112="","",CaseLedger!V112)</x:f>
      </x:c>
      <x:c r="N112" t="str">
        <x:f>IF(CaseLedger!$A112="","",CaseLedger!W112)</x:f>
      </x:c>
      <x:c r="O112" t="str">
        <x:f>IF(CaseLedger!$A112="","",CaseLedger!X112)</x:f>
      </x:c>
      <x:c r="P112" t="str">
        <x:f>IF(CaseLedger!$A112="","",CaseLedger!E112)</x:f>
      </x:c>
      <x:c r="Q112" t="str">
        <x:f>IF(CaseLedger!$A112="","",CaseLedger!C112)</x:f>
      </x:c>
      <x:c r="R112" t="str">
        <x:f>IF(CaseLedger!$A112="","",CaseLedger!D112)</x:f>
      </x:c>
      <x:c r="S112" t="str">
        <x:f>IFERROR(IF(CaseLedger!$A112="","",CaseLedger!Y112),"")</x:f>
      </x:c>
      <x:c r="T112" t="str">
        <x:f>IFERROR(IF(CaseLedger!$A112="","",CaseLedger!Z112),"")</x:f>
      </x:c>
      <x:c r="U112" t="str">
        <x:f>IFERROR(IF(CaseLedger!$A112="","",CaseLedger!AA112),"")</x:f>
      </x:c>
      <x:c r="V112" t="str">
        <x:f>IFERROR(IF(CaseLedger!$A112="","",CaseLedger!AB112),"")</x:f>
      </x:c>
      <x:c r="W112" t="str">
        <x:f>IFERROR(IF(CaseLedger!$A112="","",CaseLedger!AC112),"")</x:f>
      </x:c>
      <x:c r="X112" t="str">
        <x:f>IFERROR(IF(CaseLedger!$A112="","",CaseLedger!AD112),"")</x:f>
      </x:c>
      <x:c r="Y112" t="str">
        <x:f>IFERROR(IF(CaseLedger!$A112="","",CaseLedger!AE112),"")</x:f>
      </x:c>
      <x:c r="Z112" t="str">
        <x:f>IFERROR(IF(CaseLedger!$A112="","",CaseLedger!AF112),"")</x:f>
      </x:c>
      <x:c r="AA112" t="str">
        <x:f>IFERROR(IF(CaseLedger!$A112="","",CaseLedger!AG112),"")</x:f>
      </x:c>
      <x:c r="AB112" t="str">
        <x:f>IFERROR(IF(CaseLedger!$A112="","",CaseLedger!AH112),"")</x:f>
      </x:c>
      <x:c r="AC112" t="str">
        <x:f>IFERROR(IF(CaseLedger!$A112="","",CaseLedger!AI112),"")</x:f>
      </x:c>
    </x:row>
    <x:row r="113">
      <x:c r="A113" t="str">
        <x:f>IF(CaseLedger!$A113="","",CaseLedger!A113)</x:f>
      </x:c>
      <x:c r="B113" t="str">
        <x:f>IF(CaseLedger!$A113="","",CaseLedger!I113)</x:f>
      </x:c>
      <x:c r="C113" t="str">
        <x:f>IF(CaseLedger!$A113="","",CaseLedger!J113)</x:f>
      </x:c>
      <x:c r="D113" t="str">
        <x:f>IF(CaseLedger!$A113="","",CaseLedger!K113)</x:f>
      </x:c>
      <x:c r="E113" t="str">
        <x:f>IF(CaseLedger!$A113="","",CaseLedger!L113)</x:f>
      </x:c>
      <x:c r="F113" t="str">
        <x:f>IF(CaseLedger!$A113="","",CaseLedger!P113)</x:f>
      </x:c>
      <x:c r="G113" t="str">
        <x:f>IF(CaseLedger!$A113="","",CaseLedger!F113)</x:f>
      </x:c>
      <x:c r="H113" t="str">
        <x:f>IF(CaseLedger!$A113="","",CaseLedger!Q113)</x:f>
      </x:c>
      <x:c r="I113" t="str">
        <x:f>IF(CaseLedger!$A113="","",CaseLedger!R113)</x:f>
      </x:c>
      <x:c r="J113" t="str">
        <x:f>IF(CaseLedger!$A113="","",CaseLedger!S113)</x:f>
      </x:c>
      <x:c r="K113" t="str">
        <x:f>IF(CaseLedger!$A113="","",CaseLedger!T113)</x:f>
      </x:c>
      <x:c r="L113" t="str">
        <x:f>IF(CaseLedger!$A113="","",CaseLedger!U113)</x:f>
      </x:c>
      <x:c r="M113" t="str">
        <x:f>IF(CaseLedger!$A113="","",CaseLedger!V113)</x:f>
      </x:c>
      <x:c r="N113" t="str">
        <x:f>IF(CaseLedger!$A113="","",CaseLedger!W113)</x:f>
      </x:c>
      <x:c r="O113" t="str">
        <x:f>IF(CaseLedger!$A113="","",CaseLedger!X113)</x:f>
      </x:c>
      <x:c r="P113" t="str">
        <x:f>IF(CaseLedger!$A113="","",CaseLedger!E113)</x:f>
      </x:c>
      <x:c r="Q113" t="str">
        <x:f>IF(CaseLedger!$A113="","",CaseLedger!C113)</x:f>
      </x:c>
      <x:c r="R113" t="str">
        <x:f>IF(CaseLedger!$A113="","",CaseLedger!D113)</x:f>
      </x:c>
      <x:c r="S113" t="str">
        <x:f>IFERROR(IF(CaseLedger!$A113="","",CaseLedger!Y113),"")</x:f>
      </x:c>
      <x:c r="T113" t="str">
        <x:f>IFERROR(IF(CaseLedger!$A113="","",CaseLedger!Z113),"")</x:f>
      </x:c>
      <x:c r="U113" t="str">
        <x:f>IFERROR(IF(CaseLedger!$A113="","",CaseLedger!AA113),"")</x:f>
      </x:c>
      <x:c r="V113" t="str">
        <x:f>IFERROR(IF(CaseLedger!$A113="","",CaseLedger!AB113),"")</x:f>
      </x:c>
      <x:c r="W113" t="str">
        <x:f>IFERROR(IF(CaseLedger!$A113="","",CaseLedger!AC113),"")</x:f>
      </x:c>
      <x:c r="X113" t="str">
        <x:f>IFERROR(IF(CaseLedger!$A113="","",CaseLedger!AD113),"")</x:f>
      </x:c>
      <x:c r="Y113" t="str">
        <x:f>IFERROR(IF(CaseLedger!$A113="","",CaseLedger!AE113),"")</x:f>
      </x:c>
      <x:c r="Z113" t="str">
        <x:f>IFERROR(IF(CaseLedger!$A113="","",CaseLedger!AF113),"")</x:f>
      </x:c>
      <x:c r="AA113" t="str">
        <x:f>IFERROR(IF(CaseLedger!$A113="","",CaseLedger!AG113),"")</x:f>
      </x:c>
      <x:c r="AB113" t="str">
        <x:f>IFERROR(IF(CaseLedger!$A113="","",CaseLedger!AH113),"")</x:f>
      </x:c>
      <x:c r="AC113" t="str">
        <x:f>IFERROR(IF(CaseLedger!$A113="","",CaseLedger!AI113),"")</x:f>
      </x:c>
    </x:row>
    <x:row r="114">
      <x:c r="A114" t="str">
        <x:f>IF(CaseLedger!$A114="","",CaseLedger!A114)</x:f>
      </x:c>
      <x:c r="B114" t="str">
        <x:f>IF(CaseLedger!$A114="","",CaseLedger!I114)</x:f>
      </x:c>
      <x:c r="C114" t="str">
        <x:f>IF(CaseLedger!$A114="","",CaseLedger!J114)</x:f>
      </x:c>
      <x:c r="D114" t="str">
        <x:f>IF(CaseLedger!$A114="","",CaseLedger!K114)</x:f>
      </x:c>
      <x:c r="E114" t="str">
        <x:f>IF(CaseLedger!$A114="","",CaseLedger!L114)</x:f>
      </x:c>
      <x:c r="F114" t="str">
        <x:f>IF(CaseLedger!$A114="","",CaseLedger!P114)</x:f>
      </x:c>
      <x:c r="G114" t="str">
        <x:f>IF(CaseLedger!$A114="","",CaseLedger!F114)</x:f>
      </x:c>
      <x:c r="H114" t="str">
        <x:f>IF(CaseLedger!$A114="","",CaseLedger!Q114)</x:f>
      </x:c>
      <x:c r="I114" t="str">
        <x:f>IF(CaseLedger!$A114="","",CaseLedger!R114)</x:f>
      </x:c>
      <x:c r="J114" t="str">
        <x:f>IF(CaseLedger!$A114="","",CaseLedger!S114)</x:f>
      </x:c>
      <x:c r="K114" t="str">
        <x:f>IF(CaseLedger!$A114="","",CaseLedger!T114)</x:f>
      </x:c>
      <x:c r="L114" t="str">
        <x:f>IF(CaseLedger!$A114="","",CaseLedger!U114)</x:f>
      </x:c>
      <x:c r="M114" t="str">
        <x:f>IF(CaseLedger!$A114="","",CaseLedger!V114)</x:f>
      </x:c>
      <x:c r="N114" t="str">
        <x:f>IF(CaseLedger!$A114="","",CaseLedger!W114)</x:f>
      </x:c>
      <x:c r="O114" t="str">
        <x:f>IF(CaseLedger!$A114="","",CaseLedger!X114)</x:f>
      </x:c>
      <x:c r="P114" t="str">
        <x:f>IF(CaseLedger!$A114="","",CaseLedger!E114)</x:f>
      </x:c>
      <x:c r="Q114" t="str">
        <x:f>IF(CaseLedger!$A114="","",CaseLedger!C114)</x:f>
      </x:c>
      <x:c r="R114" t="str">
        <x:f>IF(CaseLedger!$A114="","",CaseLedger!D114)</x:f>
      </x:c>
      <x:c r="S114" t="str">
        <x:f>IFERROR(IF(CaseLedger!$A114="","",CaseLedger!Y114),"")</x:f>
      </x:c>
      <x:c r="T114" t="str">
        <x:f>IFERROR(IF(CaseLedger!$A114="","",CaseLedger!Z114),"")</x:f>
      </x:c>
      <x:c r="U114" t="str">
        <x:f>IFERROR(IF(CaseLedger!$A114="","",CaseLedger!AA114),"")</x:f>
      </x:c>
      <x:c r="V114" t="str">
        <x:f>IFERROR(IF(CaseLedger!$A114="","",CaseLedger!AB114),"")</x:f>
      </x:c>
      <x:c r="W114" t="str">
        <x:f>IFERROR(IF(CaseLedger!$A114="","",CaseLedger!AC114),"")</x:f>
      </x:c>
      <x:c r="X114" t="str">
        <x:f>IFERROR(IF(CaseLedger!$A114="","",CaseLedger!AD114),"")</x:f>
      </x:c>
      <x:c r="Y114" t="str">
        <x:f>IFERROR(IF(CaseLedger!$A114="","",CaseLedger!AE114),"")</x:f>
      </x:c>
      <x:c r="Z114" t="str">
        <x:f>IFERROR(IF(CaseLedger!$A114="","",CaseLedger!AF114),"")</x:f>
      </x:c>
      <x:c r="AA114" t="str">
        <x:f>IFERROR(IF(CaseLedger!$A114="","",CaseLedger!AG114),"")</x:f>
      </x:c>
      <x:c r="AB114" t="str">
        <x:f>IFERROR(IF(CaseLedger!$A114="","",CaseLedger!AH114),"")</x:f>
      </x:c>
      <x:c r="AC114" t="str">
        <x:f>IFERROR(IF(CaseLedger!$A114="","",CaseLedger!AI114),"")</x:f>
      </x:c>
    </x:row>
    <x:row r="115">
      <x:c r="A115" t="str">
        <x:f>IF(CaseLedger!$A115="","",CaseLedger!A115)</x:f>
      </x:c>
      <x:c r="B115" t="str">
        <x:f>IF(CaseLedger!$A115="","",CaseLedger!I115)</x:f>
      </x:c>
      <x:c r="C115" t="str">
        <x:f>IF(CaseLedger!$A115="","",CaseLedger!J115)</x:f>
      </x:c>
      <x:c r="D115" t="str">
        <x:f>IF(CaseLedger!$A115="","",CaseLedger!K115)</x:f>
      </x:c>
      <x:c r="E115" t="str">
        <x:f>IF(CaseLedger!$A115="","",CaseLedger!L115)</x:f>
      </x:c>
      <x:c r="F115" t="str">
        <x:f>IF(CaseLedger!$A115="","",CaseLedger!P115)</x:f>
      </x:c>
      <x:c r="G115" t="str">
        <x:f>IF(CaseLedger!$A115="","",CaseLedger!F115)</x:f>
      </x:c>
      <x:c r="H115" t="str">
        <x:f>IF(CaseLedger!$A115="","",CaseLedger!Q115)</x:f>
      </x:c>
      <x:c r="I115" t="str">
        <x:f>IF(CaseLedger!$A115="","",CaseLedger!R115)</x:f>
      </x:c>
      <x:c r="J115" t="str">
        <x:f>IF(CaseLedger!$A115="","",CaseLedger!S115)</x:f>
      </x:c>
      <x:c r="K115" t="str">
        <x:f>IF(CaseLedger!$A115="","",CaseLedger!T115)</x:f>
      </x:c>
      <x:c r="L115" t="str">
        <x:f>IF(CaseLedger!$A115="","",CaseLedger!U115)</x:f>
      </x:c>
      <x:c r="M115" t="str">
        <x:f>IF(CaseLedger!$A115="","",CaseLedger!V115)</x:f>
      </x:c>
      <x:c r="N115" t="str">
        <x:f>IF(CaseLedger!$A115="","",CaseLedger!W115)</x:f>
      </x:c>
      <x:c r="O115" t="str">
        <x:f>IF(CaseLedger!$A115="","",CaseLedger!X115)</x:f>
      </x:c>
      <x:c r="P115" t="str">
        <x:f>IF(CaseLedger!$A115="","",CaseLedger!E115)</x:f>
      </x:c>
      <x:c r="Q115" t="str">
        <x:f>IF(CaseLedger!$A115="","",CaseLedger!C115)</x:f>
      </x:c>
      <x:c r="R115" t="str">
        <x:f>IF(CaseLedger!$A115="","",CaseLedger!D115)</x:f>
      </x:c>
      <x:c r="S115" t="str">
        <x:f>IFERROR(IF(CaseLedger!$A115="","",CaseLedger!Y115),"")</x:f>
      </x:c>
      <x:c r="T115" t="str">
        <x:f>IFERROR(IF(CaseLedger!$A115="","",CaseLedger!Z115),"")</x:f>
      </x:c>
      <x:c r="U115" t="str">
        <x:f>IFERROR(IF(CaseLedger!$A115="","",CaseLedger!AA115),"")</x:f>
      </x:c>
      <x:c r="V115" t="str">
        <x:f>IFERROR(IF(CaseLedger!$A115="","",CaseLedger!AB115),"")</x:f>
      </x:c>
      <x:c r="W115" t="str">
        <x:f>IFERROR(IF(CaseLedger!$A115="","",CaseLedger!AC115),"")</x:f>
      </x:c>
      <x:c r="X115" t="str">
        <x:f>IFERROR(IF(CaseLedger!$A115="","",CaseLedger!AD115),"")</x:f>
      </x:c>
      <x:c r="Y115" t="str">
        <x:f>IFERROR(IF(CaseLedger!$A115="","",CaseLedger!AE115),"")</x:f>
      </x:c>
      <x:c r="Z115" t="str">
        <x:f>IFERROR(IF(CaseLedger!$A115="","",CaseLedger!AF115),"")</x:f>
      </x:c>
      <x:c r="AA115" t="str">
        <x:f>IFERROR(IF(CaseLedger!$A115="","",CaseLedger!AG115),"")</x:f>
      </x:c>
      <x:c r="AB115" t="str">
        <x:f>IFERROR(IF(CaseLedger!$A115="","",CaseLedger!AH115),"")</x:f>
      </x:c>
      <x:c r="AC115" t="str">
        <x:f>IFERROR(IF(CaseLedger!$A115="","",CaseLedger!AI115),"")</x:f>
      </x:c>
    </x:row>
    <x:row r="116">
      <x:c r="A116" t="str">
        <x:f>IF(CaseLedger!$A116="","",CaseLedger!A116)</x:f>
      </x:c>
      <x:c r="B116" t="str">
        <x:f>IF(CaseLedger!$A116="","",CaseLedger!I116)</x:f>
      </x:c>
      <x:c r="C116" t="str">
        <x:f>IF(CaseLedger!$A116="","",CaseLedger!J116)</x:f>
      </x:c>
      <x:c r="D116" t="str">
        <x:f>IF(CaseLedger!$A116="","",CaseLedger!K116)</x:f>
      </x:c>
      <x:c r="E116" t="str">
        <x:f>IF(CaseLedger!$A116="","",CaseLedger!L116)</x:f>
      </x:c>
      <x:c r="F116" t="str">
        <x:f>IF(CaseLedger!$A116="","",CaseLedger!P116)</x:f>
      </x:c>
      <x:c r="G116" t="str">
        <x:f>IF(CaseLedger!$A116="","",CaseLedger!F116)</x:f>
      </x:c>
      <x:c r="H116" t="str">
        <x:f>IF(CaseLedger!$A116="","",CaseLedger!Q116)</x:f>
      </x:c>
      <x:c r="I116" t="str">
        <x:f>IF(CaseLedger!$A116="","",CaseLedger!R116)</x:f>
      </x:c>
      <x:c r="J116" t="str">
        <x:f>IF(CaseLedger!$A116="","",CaseLedger!S116)</x:f>
      </x:c>
      <x:c r="K116" t="str">
        <x:f>IF(CaseLedger!$A116="","",CaseLedger!T116)</x:f>
      </x:c>
      <x:c r="L116" t="str">
        <x:f>IF(CaseLedger!$A116="","",CaseLedger!U116)</x:f>
      </x:c>
      <x:c r="M116" t="str">
        <x:f>IF(CaseLedger!$A116="","",CaseLedger!V116)</x:f>
      </x:c>
      <x:c r="N116" t="str">
        <x:f>IF(CaseLedger!$A116="","",CaseLedger!W116)</x:f>
      </x:c>
      <x:c r="O116" t="str">
        <x:f>IF(CaseLedger!$A116="","",CaseLedger!X116)</x:f>
      </x:c>
      <x:c r="P116" t="str">
        <x:f>IF(CaseLedger!$A116="","",CaseLedger!E116)</x:f>
      </x:c>
      <x:c r="Q116" t="str">
        <x:f>IF(CaseLedger!$A116="","",CaseLedger!C116)</x:f>
      </x:c>
      <x:c r="R116" t="str">
        <x:f>IF(CaseLedger!$A116="","",CaseLedger!D116)</x:f>
      </x:c>
      <x:c r="S116" t="str">
        <x:f>IFERROR(IF(CaseLedger!$A116="","",CaseLedger!Y116),"")</x:f>
      </x:c>
      <x:c r="T116" t="str">
        <x:f>IFERROR(IF(CaseLedger!$A116="","",CaseLedger!Z116),"")</x:f>
      </x:c>
      <x:c r="U116" t="str">
        <x:f>IFERROR(IF(CaseLedger!$A116="","",CaseLedger!AA116),"")</x:f>
      </x:c>
      <x:c r="V116" t="str">
        <x:f>IFERROR(IF(CaseLedger!$A116="","",CaseLedger!AB116),"")</x:f>
      </x:c>
      <x:c r="W116" t="str">
        <x:f>IFERROR(IF(CaseLedger!$A116="","",CaseLedger!AC116),"")</x:f>
      </x:c>
      <x:c r="X116" t="str">
        <x:f>IFERROR(IF(CaseLedger!$A116="","",CaseLedger!AD116),"")</x:f>
      </x:c>
      <x:c r="Y116" t="str">
        <x:f>IFERROR(IF(CaseLedger!$A116="","",CaseLedger!AE116),"")</x:f>
      </x:c>
      <x:c r="Z116" t="str">
        <x:f>IFERROR(IF(CaseLedger!$A116="","",CaseLedger!AF116),"")</x:f>
      </x:c>
      <x:c r="AA116" t="str">
        <x:f>IFERROR(IF(CaseLedger!$A116="","",CaseLedger!AG116),"")</x:f>
      </x:c>
      <x:c r="AB116" t="str">
        <x:f>IFERROR(IF(CaseLedger!$A116="","",CaseLedger!AH116),"")</x:f>
      </x:c>
      <x:c r="AC116" t="str">
        <x:f>IFERROR(IF(CaseLedger!$A116="","",CaseLedger!AI116),"")</x:f>
      </x:c>
    </x:row>
    <x:row r="117">
      <x:c r="A117" t="str">
        <x:f>IF(CaseLedger!$A117="","",CaseLedger!A117)</x:f>
      </x:c>
      <x:c r="B117" t="str">
        <x:f>IF(CaseLedger!$A117="","",CaseLedger!I117)</x:f>
      </x:c>
      <x:c r="C117" t="str">
        <x:f>IF(CaseLedger!$A117="","",CaseLedger!J117)</x:f>
      </x:c>
      <x:c r="D117" t="str">
        <x:f>IF(CaseLedger!$A117="","",CaseLedger!K117)</x:f>
      </x:c>
      <x:c r="E117" t="str">
        <x:f>IF(CaseLedger!$A117="","",CaseLedger!L117)</x:f>
      </x:c>
      <x:c r="F117" t="str">
        <x:f>IF(CaseLedger!$A117="","",CaseLedger!P117)</x:f>
      </x:c>
      <x:c r="G117" t="str">
        <x:f>IF(CaseLedger!$A117="","",CaseLedger!F117)</x:f>
      </x:c>
      <x:c r="H117" t="str">
        <x:f>IF(CaseLedger!$A117="","",CaseLedger!Q117)</x:f>
      </x:c>
      <x:c r="I117" t="str">
        <x:f>IF(CaseLedger!$A117="","",CaseLedger!R117)</x:f>
      </x:c>
      <x:c r="J117" t="str">
        <x:f>IF(CaseLedger!$A117="","",CaseLedger!S117)</x:f>
      </x:c>
      <x:c r="K117" t="str">
        <x:f>IF(CaseLedger!$A117="","",CaseLedger!T117)</x:f>
      </x:c>
      <x:c r="L117" t="str">
        <x:f>IF(CaseLedger!$A117="","",CaseLedger!U117)</x:f>
      </x:c>
      <x:c r="M117" t="str">
        <x:f>IF(CaseLedger!$A117="","",CaseLedger!V117)</x:f>
      </x:c>
      <x:c r="N117" t="str">
        <x:f>IF(CaseLedger!$A117="","",CaseLedger!W117)</x:f>
      </x:c>
      <x:c r="O117" t="str">
        <x:f>IF(CaseLedger!$A117="","",CaseLedger!X117)</x:f>
      </x:c>
      <x:c r="P117" t="str">
        <x:f>IF(CaseLedger!$A117="","",CaseLedger!E117)</x:f>
      </x:c>
      <x:c r="Q117" t="str">
        <x:f>IF(CaseLedger!$A117="","",CaseLedger!C117)</x:f>
      </x:c>
      <x:c r="R117" t="str">
        <x:f>IF(CaseLedger!$A117="","",CaseLedger!D117)</x:f>
      </x:c>
      <x:c r="S117" t="str">
        <x:f>IFERROR(IF(CaseLedger!$A117="","",CaseLedger!Y117),"")</x:f>
      </x:c>
      <x:c r="T117" t="str">
        <x:f>IFERROR(IF(CaseLedger!$A117="","",CaseLedger!Z117),"")</x:f>
      </x:c>
      <x:c r="U117" t="str">
        <x:f>IFERROR(IF(CaseLedger!$A117="","",CaseLedger!AA117),"")</x:f>
      </x:c>
      <x:c r="V117" t="str">
        <x:f>IFERROR(IF(CaseLedger!$A117="","",CaseLedger!AB117),"")</x:f>
      </x:c>
      <x:c r="W117" t="str">
        <x:f>IFERROR(IF(CaseLedger!$A117="","",CaseLedger!AC117),"")</x:f>
      </x:c>
      <x:c r="X117" t="str">
        <x:f>IFERROR(IF(CaseLedger!$A117="","",CaseLedger!AD117),"")</x:f>
      </x:c>
      <x:c r="Y117" t="str">
        <x:f>IFERROR(IF(CaseLedger!$A117="","",CaseLedger!AE117),"")</x:f>
      </x:c>
      <x:c r="Z117" t="str">
        <x:f>IFERROR(IF(CaseLedger!$A117="","",CaseLedger!AF117),"")</x:f>
      </x:c>
      <x:c r="AA117" t="str">
        <x:f>IFERROR(IF(CaseLedger!$A117="","",CaseLedger!AG117),"")</x:f>
      </x:c>
      <x:c r="AB117" t="str">
        <x:f>IFERROR(IF(CaseLedger!$A117="","",CaseLedger!AH117),"")</x:f>
      </x:c>
      <x:c r="AC117" t="str">
        <x:f>IFERROR(IF(CaseLedger!$A117="","",CaseLedger!AI117),"")</x:f>
      </x:c>
    </x:row>
    <x:row r="118">
      <x:c r="A118" t="str">
        <x:f>IF(CaseLedger!$A118="","",CaseLedger!A118)</x:f>
      </x:c>
      <x:c r="B118" t="str">
        <x:f>IF(CaseLedger!$A118="","",CaseLedger!I118)</x:f>
      </x:c>
      <x:c r="C118" t="str">
        <x:f>IF(CaseLedger!$A118="","",CaseLedger!J118)</x:f>
      </x:c>
      <x:c r="D118" t="str">
        <x:f>IF(CaseLedger!$A118="","",CaseLedger!K118)</x:f>
      </x:c>
      <x:c r="E118" t="str">
        <x:f>IF(CaseLedger!$A118="","",CaseLedger!L118)</x:f>
      </x:c>
      <x:c r="F118" t="str">
        <x:f>IF(CaseLedger!$A118="","",CaseLedger!P118)</x:f>
      </x:c>
      <x:c r="G118" t="str">
        <x:f>IF(CaseLedger!$A118="","",CaseLedger!F118)</x:f>
      </x:c>
      <x:c r="H118" t="str">
        <x:f>IF(CaseLedger!$A118="","",CaseLedger!Q118)</x:f>
      </x:c>
      <x:c r="I118" t="str">
        <x:f>IF(CaseLedger!$A118="","",CaseLedger!R118)</x:f>
      </x:c>
      <x:c r="J118" t="str">
        <x:f>IF(CaseLedger!$A118="","",CaseLedger!S118)</x:f>
      </x:c>
      <x:c r="K118" t="str">
        <x:f>IF(CaseLedger!$A118="","",CaseLedger!T118)</x:f>
      </x:c>
      <x:c r="L118" t="str">
        <x:f>IF(CaseLedger!$A118="","",CaseLedger!U118)</x:f>
      </x:c>
      <x:c r="M118" t="str">
        <x:f>IF(CaseLedger!$A118="","",CaseLedger!V118)</x:f>
      </x:c>
      <x:c r="N118" t="str">
        <x:f>IF(CaseLedger!$A118="","",CaseLedger!W118)</x:f>
      </x:c>
      <x:c r="O118" t="str">
        <x:f>IF(CaseLedger!$A118="","",CaseLedger!X118)</x:f>
      </x:c>
      <x:c r="P118" t="str">
        <x:f>IF(CaseLedger!$A118="","",CaseLedger!E118)</x:f>
      </x:c>
      <x:c r="Q118" t="str">
        <x:f>IF(CaseLedger!$A118="","",CaseLedger!C118)</x:f>
      </x:c>
      <x:c r="R118" t="str">
        <x:f>IF(CaseLedger!$A118="","",CaseLedger!D118)</x:f>
      </x:c>
      <x:c r="S118" t="str">
        <x:f>IFERROR(IF(CaseLedger!$A118="","",CaseLedger!Y118),"")</x:f>
      </x:c>
      <x:c r="T118" t="str">
        <x:f>IFERROR(IF(CaseLedger!$A118="","",CaseLedger!Z118),"")</x:f>
      </x:c>
      <x:c r="U118" t="str">
        <x:f>IFERROR(IF(CaseLedger!$A118="","",CaseLedger!AA118),"")</x:f>
      </x:c>
      <x:c r="V118" t="str">
        <x:f>IFERROR(IF(CaseLedger!$A118="","",CaseLedger!AB118),"")</x:f>
      </x:c>
      <x:c r="W118" t="str">
        <x:f>IFERROR(IF(CaseLedger!$A118="","",CaseLedger!AC118),"")</x:f>
      </x:c>
      <x:c r="X118" t="str">
        <x:f>IFERROR(IF(CaseLedger!$A118="","",CaseLedger!AD118),"")</x:f>
      </x:c>
      <x:c r="Y118" t="str">
        <x:f>IFERROR(IF(CaseLedger!$A118="","",CaseLedger!AE118),"")</x:f>
      </x:c>
      <x:c r="Z118" t="str">
        <x:f>IFERROR(IF(CaseLedger!$A118="","",CaseLedger!AF118),"")</x:f>
      </x:c>
      <x:c r="AA118" t="str">
        <x:f>IFERROR(IF(CaseLedger!$A118="","",CaseLedger!AG118),"")</x:f>
      </x:c>
      <x:c r="AB118" t="str">
        <x:f>IFERROR(IF(CaseLedger!$A118="","",CaseLedger!AH118),"")</x:f>
      </x:c>
      <x:c r="AC118" t="str">
        <x:f>IFERROR(IF(CaseLedger!$A118="","",CaseLedger!AI118),"")</x:f>
      </x:c>
    </x:row>
    <x:row r="119">
      <x:c r="A119" t="str">
        <x:f>IF(CaseLedger!$A119="","",CaseLedger!A119)</x:f>
      </x:c>
      <x:c r="B119" t="str">
        <x:f>IF(CaseLedger!$A119="","",CaseLedger!I119)</x:f>
      </x:c>
      <x:c r="C119" t="str">
        <x:f>IF(CaseLedger!$A119="","",CaseLedger!J119)</x:f>
      </x:c>
      <x:c r="D119" t="str">
        <x:f>IF(CaseLedger!$A119="","",CaseLedger!K119)</x:f>
      </x:c>
      <x:c r="E119" t="str">
        <x:f>IF(CaseLedger!$A119="","",CaseLedger!L119)</x:f>
      </x:c>
      <x:c r="F119" t="str">
        <x:f>IF(CaseLedger!$A119="","",CaseLedger!P119)</x:f>
      </x:c>
      <x:c r="G119" t="str">
        <x:f>IF(CaseLedger!$A119="","",CaseLedger!F119)</x:f>
      </x:c>
      <x:c r="H119" t="str">
        <x:f>IF(CaseLedger!$A119="","",CaseLedger!Q119)</x:f>
      </x:c>
      <x:c r="I119" t="str">
        <x:f>IF(CaseLedger!$A119="","",CaseLedger!R119)</x:f>
      </x:c>
      <x:c r="J119" t="str">
        <x:f>IF(CaseLedger!$A119="","",CaseLedger!S119)</x:f>
      </x:c>
      <x:c r="K119" t="str">
        <x:f>IF(CaseLedger!$A119="","",CaseLedger!T119)</x:f>
      </x:c>
      <x:c r="L119" t="str">
        <x:f>IF(CaseLedger!$A119="","",CaseLedger!U119)</x:f>
      </x:c>
      <x:c r="M119" t="str">
        <x:f>IF(CaseLedger!$A119="","",CaseLedger!V119)</x:f>
      </x:c>
      <x:c r="N119" t="str">
        <x:f>IF(CaseLedger!$A119="","",CaseLedger!W119)</x:f>
      </x:c>
      <x:c r="O119" t="str">
        <x:f>IF(CaseLedger!$A119="","",CaseLedger!X119)</x:f>
      </x:c>
      <x:c r="P119" t="str">
        <x:f>IF(CaseLedger!$A119="","",CaseLedger!E119)</x:f>
      </x:c>
      <x:c r="Q119" t="str">
        <x:f>IF(CaseLedger!$A119="","",CaseLedger!C119)</x:f>
      </x:c>
      <x:c r="R119" t="str">
        <x:f>IF(CaseLedger!$A119="","",CaseLedger!D119)</x:f>
      </x:c>
      <x:c r="S119" t="str">
        <x:f>IFERROR(IF(CaseLedger!$A119="","",CaseLedger!Y119),"")</x:f>
      </x:c>
      <x:c r="T119" t="str">
        <x:f>IFERROR(IF(CaseLedger!$A119="","",CaseLedger!Z119),"")</x:f>
      </x:c>
      <x:c r="U119" t="str">
        <x:f>IFERROR(IF(CaseLedger!$A119="","",CaseLedger!AA119),"")</x:f>
      </x:c>
      <x:c r="V119" t="str">
        <x:f>IFERROR(IF(CaseLedger!$A119="","",CaseLedger!AB119),"")</x:f>
      </x:c>
      <x:c r="W119" t="str">
        <x:f>IFERROR(IF(CaseLedger!$A119="","",CaseLedger!AC119),"")</x:f>
      </x:c>
      <x:c r="X119" t="str">
        <x:f>IFERROR(IF(CaseLedger!$A119="","",CaseLedger!AD119),"")</x:f>
      </x:c>
      <x:c r="Y119" t="str">
        <x:f>IFERROR(IF(CaseLedger!$A119="","",CaseLedger!AE119),"")</x:f>
      </x:c>
      <x:c r="Z119" t="str">
        <x:f>IFERROR(IF(CaseLedger!$A119="","",CaseLedger!AF119),"")</x:f>
      </x:c>
      <x:c r="AA119" t="str">
        <x:f>IFERROR(IF(CaseLedger!$A119="","",CaseLedger!AG119),"")</x:f>
      </x:c>
      <x:c r="AB119" t="str">
        <x:f>IFERROR(IF(CaseLedger!$A119="","",CaseLedger!AH119),"")</x:f>
      </x:c>
      <x:c r="AC119" t="str">
        <x:f>IFERROR(IF(CaseLedger!$A119="","",CaseLedger!AI119),"")</x:f>
      </x:c>
    </x:row>
    <x:row r="120">
      <x:c r="A120" t="str">
        <x:f>IF(CaseLedger!$A120="","",CaseLedger!A120)</x:f>
      </x:c>
      <x:c r="B120" t="str">
        <x:f>IF(CaseLedger!$A120="","",CaseLedger!I120)</x:f>
      </x:c>
      <x:c r="C120" t="str">
        <x:f>IF(CaseLedger!$A120="","",CaseLedger!J120)</x:f>
      </x:c>
      <x:c r="D120" t="str">
        <x:f>IF(CaseLedger!$A120="","",CaseLedger!K120)</x:f>
      </x:c>
      <x:c r="E120" t="str">
        <x:f>IF(CaseLedger!$A120="","",CaseLedger!L120)</x:f>
      </x:c>
      <x:c r="F120" t="str">
        <x:f>IF(CaseLedger!$A120="","",CaseLedger!P120)</x:f>
      </x:c>
      <x:c r="G120" t="str">
        <x:f>IF(CaseLedger!$A120="","",CaseLedger!F120)</x:f>
      </x:c>
      <x:c r="H120" t="str">
        <x:f>IF(CaseLedger!$A120="","",CaseLedger!Q120)</x:f>
      </x:c>
      <x:c r="I120" t="str">
        <x:f>IF(CaseLedger!$A120="","",CaseLedger!R120)</x:f>
      </x:c>
      <x:c r="J120" t="str">
        <x:f>IF(CaseLedger!$A120="","",CaseLedger!S120)</x:f>
      </x:c>
      <x:c r="K120" t="str">
        <x:f>IF(CaseLedger!$A120="","",CaseLedger!T120)</x:f>
      </x:c>
      <x:c r="L120" t="str">
        <x:f>IF(CaseLedger!$A120="","",CaseLedger!U120)</x:f>
      </x:c>
      <x:c r="M120" t="str">
        <x:f>IF(CaseLedger!$A120="","",CaseLedger!V120)</x:f>
      </x:c>
      <x:c r="N120" t="str">
        <x:f>IF(CaseLedger!$A120="","",CaseLedger!W120)</x:f>
      </x:c>
      <x:c r="O120" t="str">
        <x:f>IF(CaseLedger!$A120="","",CaseLedger!X120)</x:f>
      </x:c>
      <x:c r="P120" t="str">
        <x:f>IF(CaseLedger!$A120="","",CaseLedger!E120)</x:f>
      </x:c>
      <x:c r="Q120" t="str">
        <x:f>IF(CaseLedger!$A120="","",CaseLedger!C120)</x:f>
      </x:c>
      <x:c r="R120" t="str">
        <x:f>IF(CaseLedger!$A120="","",CaseLedger!D120)</x:f>
      </x:c>
      <x:c r="S120" t="str">
        <x:f>IFERROR(IF(CaseLedger!$A120="","",CaseLedger!Y120),"")</x:f>
      </x:c>
      <x:c r="T120" t="str">
        <x:f>IFERROR(IF(CaseLedger!$A120="","",CaseLedger!Z120),"")</x:f>
      </x:c>
      <x:c r="U120" t="str">
        <x:f>IFERROR(IF(CaseLedger!$A120="","",CaseLedger!AA120),"")</x:f>
      </x:c>
      <x:c r="V120" t="str">
        <x:f>IFERROR(IF(CaseLedger!$A120="","",CaseLedger!AB120),"")</x:f>
      </x:c>
      <x:c r="W120" t="str">
        <x:f>IFERROR(IF(CaseLedger!$A120="","",CaseLedger!AC120),"")</x:f>
      </x:c>
      <x:c r="X120" t="str">
        <x:f>IFERROR(IF(CaseLedger!$A120="","",CaseLedger!AD120),"")</x:f>
      </x:c>
      <x:c r="Y120" t="str">
        <x:f>IFERROR(IF(CaseLedger!$A120="","",CaseLedger!AE120),"")</x:f>
      </x:c>
      <x:c r="Z120" t="str">
        <x:f>IFERROR(IF(CaseLedger!$A120="","",CaseLedger!AF120),"")</x:f>
      </x:c>
      <x:c r="AA120" t="str">
        <x:f>IFERROR(IF(CaseLedger!$A120="","",CaseLedger!AG120),"")</x:f>
      </x:c>
      <x:c r="AB120" t="str">
        <x:f>IFERROR(IF(CaseLedger!$A120="","",CaseLedger!AH120),"")</x:f>
      </x:c>
      <x:c r="AC120" t="str">
        <x:f>IFERROR(IF(CaseLedger!$A120="","",CaseLedger!AI120),"")</x:f>
      </x:c>
    </x:row>
    <x:row r="121">
      <x:c r="A121" t="str">
        <x:f>IF(CaseLedger!$A121="","",CaseLedger!A121)</x:f>
      </x:c>
      <x:c r="B121" t="str">
        <x:f>IF(CaseLedger!$A121="","",CaseLedger!I121)</x:f>
      </x:c>
      <x:c r="C121" t="str">
        <x:f>IF(CaseLedger!$A121="","",CaseLedger!J121)</x:f>
      </x:c>
      <x:c r="D121" t="str">
        <x:f>IF(CaseLedger!$A121="","",CaseLedger!K121)</x:f>
      </x:c>
      <x:c r="E121" t="str">
        <x:f>IF(CaseLedger!$A121="","",CaseLedger!L121)</x:f>
      </x:c>
      <x:c r="F121" t="str">
        <x:f>IF(CaseLedger!$A121="","",CaseLedger!P121)</x:f>
      </x:c>
      <x:c r="G121" t="str">
        <x:f>IF(CaseLedger!$A121="","",CaseLedger!F121)</x:f>
      </x:c>
      <x:c r="H121" t="str">
        <x:f>IF(CaseLedger!$A121="","",CaseLedger!Q121)</x:f>
      </x:c>
      <x:c r="I121" t="str">
        <x:f>IF(CaseLedger!$A121="","",CaseLedger!R121)</x:f>
      </x:c>
      <x:c r="J121" t="str">
        <x:f>IF(CaseLedger!$A121="","",CaseLedger!S121)</x:f>
      </x:c>
      <x:c r="K121" t="str">
        <x:f>IF(CaseLedger!$A121="","",CaseLedger!T121)</x:f>
      </x:c>
      <x:c r="L121" t="str">
        <x:f>IF(CaseLedger!$A121="","",CaseLedger!U121)</x:f>
      </x:c>
      <x:c r="M121" t="str">
        <x:f>IF(CaseLedger!$A121="","",CaseLedger!V121)</x:f>
      </x:c>
      <x:c r="N121" t="str">
        <x:f>IF(CaseLedger!$A121="","",CaseLedger!W121)</x:f>
      </x:c>
      <x:c r="O121" t="str">
        <x:f>IF(CaseLedger!$A121="","",CaseLedger!X121)</x:f>
      </x:c>
      <x:c r="P121" t="str">
        <x:f>IF(CaseLedger!$A121="","",CaseLedger!E121)</x:f>
      </x:c>
      <x:c r="Q121" t="str">
        <x:f>IF(CaseLedger!$A121="","",CaseLedger!C121)</x:f>
      </x:c>
      <x:c r="R121" t="str">
        <x:f>IF(CaseLedger!$A121="","",CaseLedger!D121)</x:f>
      </x:c>
      <x:c r="S121" t="str">
        <x:f>IFERROR(IF(CaseLedger!$A121="","",CaseLedger!Y121),"")</x:f>
      </x:c>
      <x:c r="T121" t="str">
        <x:f>IFERROR(IF(CaseLedger!$A121="","",CaseLedger!Z121),"")</x:f>
      </x:c>
      <x:c r="U121" t="str">
        <x:f>IFERROR(IF(CaseLedger!$A121="","",CaseLedger!AA121),"")</x:f>
      </x:c>
      <x:c r="V121" t="str">
        <x:f>IFERROR(IF(CaseLedger!$A121="","",CaseLedger!AB121),"")</x:f>
      </x:c>
      <x:c r="W121" t="str">
        <x:f>IFERROR(IF(CaseLedger!$A121="","",CaseLedger!AC121),"")</x:f>
      </x:c>
      <x:c r="X121" t="str">
        <x:f>IFERROR(IF(CaseLedger!$A121="","",CaseLedger!AD121),"")</x:f>
      </x:c>
      <x:c r="Y121" t="str">
        <x:f>IFERROR(IF(CaseLedger!$A121="","",CaseLedger!AE121),"")</x:f>
      </x:c>
      <x:c r="Z121" t="str">
        <x:f>IFERROR(IF(CaseLedger!$A121="","",CaseLedger!AF121),"")</x:f>
      </x:c>
      <x:c r="AA121" t="str">
        <x:f>IFERROR(IF(CaseLedger!$A121="","",CaseLedger!AG121),"")</x:f>
      </x:c>
      <x:c r="AB121" t="str">
        <x:f>IFERROR(IF(CaseLedger!$A121="","",CaseLedger!AH121),"")</x:f>
      </x:c>
      <x:c r="AC121" t="str">
        <x:f>IFERROR(IF(CaseLedger!$A121="","",CaseLedger!AI121),"")</x:f>
      </x:c>
    </x:row>
    <x:row r="122">
      <x:c r="A122" t="str">
        <x:f>IF(CaseLedger!$A122="","",CaseLedger!A122)</x:f>
      </x:c>
      <x:c r="B122" t="str">
        <x:f>IF(CaseLedger!$A122="","",CaseLedger!I122)</x:f>
      </x:c>
      <x:c r="C122" t="str">
        <x:f>IF(CaseLedger!$A122="","",CaseLedger!J122)</x:f>
      </x:c>
      <x:c r="D122" t="str">
        <x:f>IF(CaseLedger!$A122="","",CaseLedger!K122)</x:f>
      </x:c>
      <x:c r="E122" t="str">
        <x:f>IF(CaseLedger!$A122="","",CaseLedger!L122)</x:f>
      </x:c>
      <x:c r="F122" t="str">
        <x:f>IF(CaseLedger!$A122="","",CaseLedger!P122)</x:f>
      </x:c>
      <x:c r="G122" t="str">
        <x:f>IF(CaseLedger!$A122="","",CaseLedger!F122)</x:f>
      </x:c>
      <x:c r="H122" t="str">
        <x:f>IF(CaseLedger!$A122="","",CaseLedger!Q122)</x:f>
      </x:c>
      <x:c r="I122" t="str">
        <x:f>IF(CaseLedger!$A122="","",CaseLedger!R122)</x:f>
      </x:c>
      <x:c r="J122" t="str">
        <x:f>IF(CaseLedger!$A122="","",CaseLedger!S122)</x:f>
      </x:c>
      <x:c r="K122" t="str">
        <x:f>IF(CaseLedger!$A122="","",CaseLedger!T122)</x:f>
      </x:c>
      <x:c r="L122" t="str">
        <x:f>IF(CaseLedger!$A122="","",CaseLedger!U122)</x:f>
      </x:c>
      <x:c r="M122" t="str">
        <x:f>IF(CaseLedger!$A122="","",CaseLedger!V122)</x:f>
      </x:c>
      <x:c r="N122" t="str">
        <x:f>IF(CaseLedger!$A122="","",CaseLedger!W122)</x:f>
      </x:c>
      <x:c r="O122" t="str">
        <x:f>IF(CaseLedger!$A122="","",CaseLedger!X122)</x:f>
      </x:c>
      <x:c r="P122" t="str">
        <x:f>IF(CaseLedger!$A122="","",CaseLedger!E122)</x:f>
      </x:c>
      <x:c r="Q122" t="str">
        <x:f>IF(CaseLedger!$A122="","",CaseLedger!C122)</x:f>
      </x:c>
      <x:c r="R122" t="str">
        <x:f>IF(CaseLedger!$A122="","",CaseLedger!D122)</x:f>
      </x:c>
      <x:c r="S122" t="str">
        <x:f>IFERROR(IF(CaseLedger!$A122="","",CaseLedger!Y122),"")</x:f>
      </x:c>
      <x:c r="T122" t="str">
        <x:f>IFERROR(IF(CaseLedger!$A122="","",CaseLedger!Z122),"")</x:f>
      </x:c>
      <x:c r="U122" t="str">
        <x:f>IFERROR(IF(CaseLedger!$A122="","",CaseLedger!AA122),"")</x:f>
      </x:c>
      <x:c r="V122" t="str">
        <x:f>IFERROR(IF(CaseLedger!$A122="","",CaseLedger!AB122),"")</x:f>
      </x:c>
      <x:c r="W122" t="str">
        <x:f>IFERROR(IF(CaseLedger!$A122="","",CaseLedger!AC122),"")</x:f>
      </x:c>
      <x:c r="X122" t="str">
        <x:f>IFERROR(IF(CaseLedger!$A122="","",CaseLedger!AD122),"")</x:f>
      </x:c>
      <x:c r="Y122" t="str">
        <x:f>IFERROR(IF(CaseLedger!$A122="","",CaseLedger!AE122),"")</x:f>
      </x:c>
      <x:c r="Z122" t="str">
        <x:f>IFERROR(IF(CaseLedger!$A122="","",CaseLedger!AF122),"")</x:f>
      </x:c>
      <x:c r="AA122" t="str">
        <x:f>IFERROR(IF(CaseLedger!$A122="","",CaseLedger!AG122),"")</x:f>
      </x:c>
      <x:c r="AB122" t="str">
        <x:f>IFERROR(IF(CaseLedger!$A122="","",CaseLedger!AH122),"")</x:f>
      </x:c>
      <x:c r="AC122" t="str">
        <x:f>IFERROR(IF(CaseLedger!$A122="","",CaseLedger!AI122),"")</x:f>
      </x:c>
    </x:row>
    <x:row r="123">
      <x:c r="A123" t="str">
        <x:f>IF(CaseLedger!$A123="","",CaseLedger!A123)</x:f>
      </x:c>
      <x:c r="B123" t="str">
        <x:f>IF(CaseLedger!$A123="","",CaseLedger!I123)</x:f>
      </x:c>
      <x:c r="C123" t="str">
        <x:f>IF(CaseLedger!$A123="","",CaseLedger!J123)</x:f>
      </x:c>
      <x:c r="D123" t="str">
        <x:f>IF(CaseLedger!$A123="","",CaseLedger!K123)</x:f>
      </x:c>
      <x:c r="E123" t="str">
        <x:f>IF(CaseLedger!$A123="","",CaseLedger!L123)</x:f>
      </x:c>
      <x:c r="F123" t="str">
        <x:f>IF(CaseLedger!$A123="","",CaseLedger!P123)</x:f>
      </x:c>
      <x:c r="G123" t="str">
        <x:f>IF(CaseLedger!$A123="","",CaseLedger!F123)</x:f>
      </x:c>
      <x:c r="H123" t="str">
        <x:f>IF(CaseLedger!$A123="","",CaseLedger!Q123)</x:f>
      </x:c>
      <x:c r="I123" t="str">
        <x:f>IF(CaseLedger!$A123="","",CaseLedger!R123)</x:f>
      </x:c>
      <x:c r="J123" t="str">
        <x:f>IF(CaseLedger!$A123="","",CaseLedger!S123)</x:f>
      </x:c>
      <x:c r="K123" t="str">
        <x:f>IF(CaseLedger!$A123="","",CaseLedger!T123)</x:f>
      </x:c>
      <x:c r="L123" t="str">
        <x:f>IF(CaseLedger!$A123="","",CaseLedger!U123)</x:f>
      </x:c>
      <x:c r="M123" t="str">
        <x:f>IF(CaseLedger!$A123="","",CaseLedger!V123)</x:f>
      </x:c>
      <x:c r="N123" t="str">
        <x:f>IF(CaseLedger!$A123="","",CaseLedger!W123)</x:f>
      </x:c>
      <x:c r="O123" t="str">
        <x:f>IF(CaseLedger!$A123="","",CaseLedger!X123)</x:f>
      </x:c>
      <x:c r="P123" t="str">
        <x:f>IF(CaseLedger!$A123="","",CaseLedger!E123)</x:f>
      </x:c>
      <x:c r="Q123" t="str">
        <x:f>IF(CaseLedger!$A123="","",CaseLedger!C123)</x:f>
      </x:c>
      <x:c r="R123" t="str">
        <x:f>IF(CaseLedger!$A123="","",CaseLedger!D123)</x:f>
      </x:c>
      <x:c r="S123" t="str">
        <x:f>IFERROR(IF(CaseLedger!$A123="","",CaseLedger!Y123),"")</x:f>
      </x:c>
      <x:c r="T123" t="str">
        <x:f>IFERROR(IF(CaseLedger!$A123="","",CaseLedger!Z123),"")</x:f>
      </x:c>
      <x:c r="U123" t="str">
        <x:f>IFERROR(IF(CaseLedger!$A123="","",CaseLedger!AA123),"")</x:f>
      </x:c>
      <x:c r="V123" t="str">
        <x:f>IFERROR(IF(CaseLedger!$A123="","",CaseLedger!AB123),"")</x:f>
      </x:c>
      <x:c r="W123" t="str">
        <x:f>IFERROR(IF(CaseLedger!$A123="","",CaseLedger!AC123),"")</x:f>
      </x:c>
      <x:c r="X123" t="str">
        <x:f>IFERROR(IF(CaseLedger!$A123="","",CaseLedger!AD123),"")</x:f>
      </x:c>
      <x:c r="Y123" t="str">
        <x:f>IFERROR(IF(CaseLedger!$A123="","",CaseLedger!AE123),"")</x:f>
      </x:c>
      <x:c r="Z123" t="str">
        <x:f>IFERROR(IF(CaseLedger!$A123="","",CaseLedger!AF123),"")</x:f>
      </x:c>
      <x:c r="AA123" t="str">
        <x:f>IFERROR(IF(CaseLedger!$A123="","",CaseLedger!AG123),"")</x:f>
      </x:c>
      <x:c r="AB123" t="str">
        <x:f>IFERROR(IF(CaseLedger!$A123="","",CaseLedger!AH123),"")</x:f>
      </x:c>
      <x:c r="AC123" t="str">
        <x:f>IFERROR(IF(CaseLedger!$A123="","",CaseLedger!AI123),"")</x:f>
      </x:c>
    </x:row>
    <x:row r="124">
      <x:c r="A124" t="str">
        <x:f>IF(CaseLedger!$A124="","",CaseLedger!A124)</x:f>
      </x:c>
      <x:c r="B124" t="str">
        <x:f>IF(CaseLedger!$A124="","",CaseLedger!I124)</x:f>
      </x:c>
      <x:c r="C124" t="str">
        <x:f>IF(CaseLedger!$A124="","",CaseLedger!J124)</x:f>
      </x:c>
      <x:c r="D124" t="str">
        <x:f>IF(CaseLedger!$A124="","",CaseLedger!K124)</x:f>
      </x:c>
      <x:c r="E124" t="str">
        <x:f>IF(CaseLedger!$A124="","",CaseLedger!L124)</x:f>
      </x:c>
      <x:c r="F124" t="str">
        <x:f>IF(CaseLedger!$A124="","",CaseLedger!P124)</x:f>
      </x:c>
      <x:c r="G124" t="str">
        <x:f>IF(CaseLedger!$A124="","",CaseLedger!F124)</x:f>
      </x:c>
      <x:c r="H124" t="str">
        <x:f>IF(CaseLedger!$A124="","",CaseLedger!Q124)</x:f>
      </x:c>
      <x:c r="I124" t="str">
        <x:f>IF(CaseLedger!$A124="","",CaseLedger!R124)</x:f>
      </x:c>
      <x:c r="J124" t="str">
        <x:f>IF(CaseLedger!$A124="","",CaseLedger!S124)</x:f>
      </x:c>
      <x:c r="K124" t="str">
        <x:f>IF(CaseLedger!$A124="","",CaseLedger!T124)</x:f>
      </x:c>
      <x:c r="L124" t="str">
        <x:f>IF(CaseLedger!$A124="","",CaseLedger!U124)</x:f>
      </x:c>
      <x:c r="M124" t="str">
        <x:f>IF(CaseLedger!$A124="","",CaseLedger!V124)</x:f>
      </x:c>
      <x:c r="N124" t="str">
        <x:f>IF(CaseLedger!$A124="","",CaseLedger!W124)</x:f>
      </x:c>
      <x:c r="O124" t="str">
        <x:f>IF(CaseLedger!$A124="","",CaseLedger!X124)</x:f>
      </x:c>
      <x:c r="P124" t="str">
        <x:f>IF(CaseLedger!$A124="","",CaseLedger!E124)</x:f>
      </x:c>
      <x:c r="Q124" t="str">
        <x:f>IF(CaseLedger!$A124="","",CaseLedger!C124)</x:f>
      </x:c>
      <x:c r="R124" t="str">
        <x:f>IF(CaseLedger!$A124="","",CaseLedger!D124)</x:f>
      </x:c>
      <x:c r="S124" t="str">
        <x:f>IFERROR(IF(CaseLedger!$A124="","",CaseLedger!Y124),"")</x:f>
      </x:c>
      <x:c r="T124" t="str">
        <x:f>IFERROR(IF(CaseLedger!$A124="","",CaseLedger!Z124),"")</x:f>
      </x:c>
      <x:c r="U124" t="str">
        <x:f>IFERROR(IF(CaseLedger!$A124="","",CaseLedger!AA124),"")</x:f>
      </x:c>
      <x:c r="V124" t="str">
        <x:f>IFERROR(IF(CaseLedger!$A124="","",CaseLedger!AB124),"")</x:f>
      </x:c>
      <x:c r="W124" t="str">
        <x:f>IFERROR(IF(CaseLedger!$A124="","",CaseLedger!AC124),"")</x:f>
      </x:c>
      <x:c r="X124" t="str">
        <x:f>IFERROR(IF(CaseLedger!$A124="","",CaseLedger!AD124),"")</x:f>
      </x:c>
      <x:c r="Y124" t="str">
        <x:f>IFERROR(IF(CaseLedger!$A124="","",CaseLedger!AE124),"")</x:f>
      </x:c>
      <x:c r="Z124" t="str">
        <x:f>IFERROR(IF(CaseLedger!$A124="","",CaseLedger!AF124),"")</x:f>
      </x:c>
      <x:c r="AA124" t="str">
        <x:f>IFERROR(IF(CaseLedger!$A124="","",CaseLedger!AG124),"")</x:f>
      </x:c>
      <x:c r="AB124" t="str">
        <x:f>IFERROR(IF(CaseLedger!$A124="","",CaseLedger!AH124),"")</x:f>
      </x:c>
      <x:c r="AC124" t="str">
        <x:f>IFERROR(IF(CaseLedger!$A124="","",CaseLedger!AI124),"")</x:f>
      </x:c>
    </x:row>
    <x:row r="125">
      <x:c r="A125" t="str">
        <x:f>IF(CaseLedger!$A125="","",CaseLedger!A125)</x:f>
      </x:c>
      <x:c r="B125" t="str">
        <x:f>IF(CaseLedger!$A125="","",CaseLedger!I125)</x:f>
      </x:c>
      <x:c r="C125" t="str">
        <x:f>IF(CaseLedger!$A125="","",CaseLedger!J125)</x:f>
      </x:c>
      <x:c r="D125" t="str">
        <x:f>IF(CaseLedger!$A125="","",CaseLedger!K125)</x:f>
      </x:c>
      <x:c r="E125" t="str">
        <x:f>IF(CaseLedger!$A125="","",CaseLedger!L125)</x:f>
      </x:c>
      <x:c r="F125" t="str">
        <x:f>IF(CaseLedger!$A125="","",CaseLedger!P125)</x:f>
      </x:c>
      <x:c r="G125" t="str">
        <x:f>IF(CaseLedger!$A125="","",CaseLedger!F125)</x:f>
      </x:c>
      <x:c r="H125" t="str">
        <x:f>IF(CaseLedger!$A125="","",CaseLedger!Q125)</x:f>
      </x:c>
      <x:c r="I125" t="str">
        <x:f>IF(CaseLedger!$A125="","",CaseLedger!R125)</x:f>
      </x:c>
      <x:c r="J125" t="str">
        <x:f>IF(CaseLedger!$A125="","",CaseLedger!S125)</x:f>
      </x:c>
      <x:c r="K125" t="str">
        <x:f>IF(CaseLedger!$A125="","",CaseLedger!T125)</x:f>
      </x:c>
      <x:c r="L125" t="str">
        <x:f>IF(CaseLedger!$A125="","",CaseLedger!U125)</x:f>
      </x:c>
      <x:c r="M125" t="str">
        <x:f>IF(CaseLedger!$A125="","",CaseLedger!V125)</x:f>
      </x:c>
      <x:c r="N125" t="str">
        <x:f>IF(CaseLedger!$A125="","",CaseLedger!W125)</x:f>
      </x:c>
      <x:c r="O125" t="str">
        <x:f>IF(CaseLedger!$A125="","",CaseLedger!X125)</x:f>
      </x:c>
      <x:c r="P125" t="str">
        <x:f>IF(CaseLedger!$A125="","",CaseLedger!E125)</x:f>
      </x:c>
      <x:c r="Q125" t="str">
        <x:f>IF(CaseLedger!$A125="","",CaseLedger!C125)</x:f>
      </x:c>
      <x:c r="R125" t="str">
        <x:f>IF(CaseLedger!$A125="","",CaseLedger!D125)</x:f>
      </x:c>
      <x:c r="S125" t="str">
        <x:f>IFERROR(IF(CaseLedger!$A125="","",CaseLedger!Y125),"")</x:f>
      </x:c>
      <x:c r="T125" t="str">
        <x:f>IFERROR(IF(CaseLedger!$A125="","",CaseLedger!Z125),"")</x:f>
      </x:c>
      <x:c r="U125" t="str">
        <x:f>IFERROR(IF(CaseLedger!$A125="","",CaseLedger!AA125),"")</x:f>
      </x:c>
      <x:c r="V125" t="str">
        <x:f>IFERROR(IF(CaseLedger!$A125="","",CaseLedger!AB125),"")</x:f>
      </x:c>
      <x:c r="W125" t="str">
        <x:f>IFERROR(IF(CaseLedger!$A125="","",CaseLedger!AC125),"")</x:f>
      </x:c>
      <x:c r="X125" t="str">
        <x:f>IFERROR(IF(CaseLedger!$A125="","",CaseLedger!AD125),"")</x:f>
      </x:c>
      <x:c r="Y125" t="str">
        <x:f>IFERROR(IF(CaseLedger!$A125="","",CaseLedger!AE125),"")</x:f>
      </x:c>
      <x:c r="Z125" t="str">
        <x:f>IFERROR(IF(CaseLedger!$A125="","",CaseLedger!AF125),"")</x:f>
      </x:c>
      <x:c r="AA125" t="str">
        <x:f>IFERROR(IF(CaseLedger!$A125="","",CaseLedger!AG125),"")</x:f>
      </x:c>
      <x:c r="AB125" t="str">
        <x:f>IFERROR(IF(CaseLedger!$A125="","",CaseLedger!AH125),"")</x:f>
      </x:c>
      <x:c r="AC125" t="str">
        <x:f>IFERROR(IF(CaseLedger!$A125="","",CaseLedger!AI125),"")</x:f>
      </x:c>
    </x:row>
    <x:row r="126">
      <x:c r="A126" t="str">
        <x:f>IF(CaseLedger!$A126="","",CaseLedger!A126)</x:f>
      </x:c>
      <x:c r="B126" t="str">
        <x:f>IF(CaseLedger!$A126="","",CaseLedger!I126)</x:f>
      </x:c>
      <x:c r="C126" t="str">
        <x:f>IF(CaseLedger!$A126="","",CaseLedger!J126)</x:f>
      </x:c>
      <x:c r="D126" t="str">
        <x:f>IF(CaseLedger!$A126="","",CaseLedger!K126)</x:f>
      </x:c>
      <x:c r="E126" t="str">
        <x:f>IF(CaseLedger!$A126="","",CaseLedger!L126)</x:f>
      </x:c>
      <x:c r="F126" t="str">
        <x:f>IF(CaseLedger!$A126="","",CaseLedger!P126)</x:f>
      </x:c>
      <x:c r="G126" t="str">
        <x:f>IF(CaseLedger!$A126="","",CaseLedger!F126)</x:f>
      </x:c>
      <x:c r="H126" t="str">
        <x:f>IF(CaseLedger!$A126="","",CaseLedger!Q126)</x:f>
      </x:c>
      <x:c r="I126" t="str">
        <x:f>IF(CaseLedger!$A126="","",CaseLedger!R126)</x:f>
      </x:c>
      <x:c r="J126" t="str">
        <x:f>IF(CaseLedger!$A126="","",CaseLedger!S126)</x:f>
      </x:c>
      <x:c r="K126" t="str">
        <x:f>IF(CaseLedger!$A126="","",CaseLedger!T126)</x:f>
      </x:c>
      <x:c r="L126" t="str">
        <x:f>IF(CaseLedger!$A126="","",CaseLedger!U126)</x:f>
      </x:c>
      <x:c r="M126" t="str">
        <x:f>IF(CaseLedger!$A126="","",CaseLedger!V126)</x:f>
      </x:c>
      <x:c r="N126" t="str">
        <x:f>IF(CaseLedger!$A126="","",CaseLedger!W126)</x:f>
      </x:c>
      <x:c r="O126" t="str">
        <x:f>IF(CaseLedger!$A126="","",CaseLedger!X126)</x:f>
      </x:c>
      <x:c r="P126" t="str">
        <x:f>IF(CaseLedger!$A126="","",CaseLedger!E126)</x:f>
      </x:c>
      <x:c r="Q126" t="str">
        <x:f>IF(CaseLedger!$A126="","",CaseLedger!C126)</x:f>
      </x:c>
      <x:c r="R126" t="str">
        <x:f>IF(CaseLedger!$A126="","",CaseLedger!D126)</x:f>
      </x:c>
      <x:c r="S126" t="str">
        <x:f>IFERROR(IF(CaseLedger!$A126="","",CaseLedger!Y126),"")</x:f>
      </x:c>
      <x:c r="T126" t="str">
        <x:f>IFERROR(IF(CaseLedger!$A126="","",CaseLedger!Z126),"")</x:f>
      </x:c>
      <x:c r="U126" t="str">
        <x:f>IFERROR(IF(CaseLedger!$A126="","",CaseLedger!AA126),"")</x:f>
      </x:c>
      <x:c r="V126" t="str">
        <x:f>IFERROR(IF(CaseLedger!$A126="","",CaseLedger!AB126),"")</x:f>
      </x:c>
      <x:c r="W126" t="str">
        <x:f>IFERROR(IF(CaseLedger!$A126="","",CaseLedger!AC126),"")</x:f>
      </x:c>
      <x:c r="X126" t="str">
        <x:f>IFERROR(IF(CaseLedger!$A126="","",CaseLedger!AD126),"")</x:f>
      </x:c>
      <x:c r="Y126" t="str">
        <x:f>IFERROR(IF(CaseLedger!$A126="","",CaseLedger!AE126),"")</x:f>
      </x:c>
      <x:c r="Z126" t="str">
        <x:f>IFERROR(IF(CaseLedger!$A126="","",CaseLedger!AF126),"")</x:f>
      </x:c>
      <x:c r="AA126" t="str">
        <x:f>IFERROR(IF(CaseLedger!$A126="","",CaseLedger!AG126),"")</x:f>
      </x:c>
      <x:c r="AB126" t="str">
        <x:f>IFERROR(IF(CaseLedger!$A126="","",CaseLedger!AH126),"")</x:f>
      </x:c>
      <x:c r="AC126" t="str">
        <x:f>IFERROR(IF(CaseLedger!$A126="","",CaseLedger!AI126),"")</x:f>
      </x:c>
    </x:row>
    <x:row r="127">
      <x:c r="A127" t="str">
        <x:f>IF(CaseLedger!$A127="","",CaseLedger!A127)</x:f>
      </x:c>
      <x:c r="B127" t="str">
        <x:f>IF(CaseLedger!$A127="","",CaseLedger!I127)</x:f>
      </x:c>
      <x:c r="C127" t="str">
        <x:f>IF(CaseLedger!$A127="","",CaseLedger!J127)</x:f>
      </x:c>
      <x:c r="D127" t="str">
        <x:f>IF(CaseLedger!$A127="","",CaseLedger!K127)</x:f>
      </x:c>
      <x:c r="E127" t="str">
        <x:f>IF(CaseLedger!$A127="","",CaseLedger!L127)</x:f>
      </x:c>
      <x:c r="F127" t="str">
        <x:f>IF(CaseLedger!$A127="","",CaseLedger!P127)</x:f>
      </x:c>
      <x:c r="G127" t="str">
        <x:f>IF(CaseLedger!$A127="","",CaseLedger!F127)</x:f>
      </x:c>
      <x:c r="H127" t="str">
        <x:f>IF(CaseLedger!$A127="","",CaseLedger!Q127)</x:f>
      </x:c>
      <x:c r="I127" t="str">
        <x:f>IF(CaseLedger!$A127="","",CaseLedger!R127)</x:f>
      </x:c>
      <x:c r="J127" t="str">
        <x:f>IF(CaseLedger!$A127="","",CaseLedger!S127)</x:f>
      </x:c>
      <x:c r="K127" t="str">
        <x:f>IF(CaseLedger!$A127="","",CaseLedger!T127)</x:f>
      </x:c>
      <x:c r="L127" t="str">
        <x:f>IF(CaseLedger!$A127="","",CaseLedger!U127)</x:f>
      </x:c>
      <x:c r="M127" t="str">
        <x:f>IF(CaseLedger!$A127="","",CaseLedger!V127)</x:f>
      </x:c>
      <x:c r="N127" t="str">
        <x:f>IF(CaseLedger!$A127="","",CaseLedger!W127)</x:f>
      </x:c>
      <x:c r="O127" t="str">
        <x:f>IF(CaseLedger!$A127="","",CaseLedger!X127)</x:f>
      </x:c>
      <x:c r="P127" t="str">
        <x:f>IF(CaseLedger!$A127="","",CaseLedger!E127)</x:f>
      </x:c>
      <x:c r="Q127" t="str">
        <x:f>IF(CaseLedger!$A127="","",CaseLedger!C127)</x:f>
      </x:c>
      <x:c r="R127" t="str">
        <x:f>IF(CaseLedger!$A127="","",CaseLedger!D127)</x:f>
      </x:c>
      <x:c r="S127" t="str">
        <x:f>IFERROR(IF(CaseLedger!$A127="","",CaseLedger!Y127),"")</x:f>
      </x:c>
      <x:c r="T127" t="str">
        <x:f>IFERROR(IF(CaseLedger!$A127="","",CaseLedger!Z127),"")</x:f>
      </x:c>
      <x:c r="U127" t="str">
        <x:f>IFERROR(IF(CaseLedger!$A127="","",CaseLedger!AA127),"")</x:f>
      </x:c>
      <x:c r="V127" t="str">
        <x:f>IFERROR(IF(CaseLedger!$A127="","",CaseLedger!AB127),"")</x:f>
      </x:c>
      <x:c r="W127" t="str">
        <x:f>IFERROR(IF(CaseLedger!$A127="","",CaseLedger!AC127),"")</x:f>
      </x:c>
      <x:c r="X127" t="str">
        <x:f>IFERROR(IF(CaseLedger!$A127="","",CaseLedger!AD127),"")</x:f>
      </x:c>
      <x:c r="Y127" t="str">
        <x:f>IFERROR(IF(CaseLedger!$A127="","",CaseLedger!AE127),"")</x:f>
      </x:c>
      <x:c r="Z127" t="str">
        <x:f>IFERROR(IF(CaseLedger!$A127="","",CaseLedger!AF127),"")</x:f>
      </x:c>
      <x:c r="AA127" t="str">
        <x:f>IFERROR(IF(CaseLedger!$A127="","",CaseLedger!AG127),"")</x:f>
      </x:c>
      <x:c r="AB127" t="str">
        <x:f>IFERROR(IF(CaseLedger!$A127="","",CaseLedger!AH127),"")</x:f>
      </x:c>
      <x:c r="AC127" t="str">
        <x:f>IFERROR(IF(CaseLedger!$A127="","",CaseLedger!AI127),"")</x:f>
      </x:c>
    </x:row>
    <x:row r="128">
      <x:c r="A128" t="str">
        <x:f>IF(CaseLedger!$A128="","",CaseLedger!A128)</x:f>
      </x:c>
      <x:c r="B128" t="str">
        <x:f>IF(CaseLedger!$A128="","",CaseLedger!I128)</x:f>
      </x:c>
      <x:c r="C128" t="str">
        <x:f>IF(CaseLedger!$A128="","",CaseLedger!J128)</x:f>
      </x:c>
      <x:c r="D128" t="str">
        <x:f>IF(CaseLedger!$A128="","",CaseLedger!K128)</x:f>
      </x:c>
      <x:c r="E128" t="str">
        <x:f>IF(CaseLedger!$A128="","",CaseLedger!L128)</x:f>
      </x:c>
      <x:c r="F128" t="str">
        <x:f>IF(CaseLedger!$A128="","",CaseLedger!P128)</x:f>
      </x:c>
      <x:c r="G128" t="str">
        <x:f>IF(CaseLedger!$A128="","",CaseLedger!F128)</x:f>
      </x:c>
      <x:c r="H128" t="str">
        <x:f>IF(CaseLedger!$A128="","",CaseLedger!Q128)</x:f>
      </x:c>
      <x:c r="I128" t="str">
        <x:f>IF(CaseLedger!$A128="","",CaseLedger!R128)</x:f>
      </x:c>
      <x:c r="J128" t="str">
        <x:f>IF(CaseLedger!$A128="","",CaseLedger!S128)</x:f>
      </x:c>
      <x:c r="K128" t="str">
        <x:f>IF(CaseLedger!$A128="","",CaseLedger!T128)</x:f>
      </x:c>
      <x:c r="L128" t="str">
        <x:f>IF(CaseLedger!$A128="","",CaseLedger!U128)</x:f>
      </x:c>
      <x:c r="M128" t="str">
        <x:f>IF(CaseLedger!$A128="","",CaseLedger!V128)</x:f>
      </x:c>
      <x:c r="N128" t="str">
        <x:f>IF(CaseLedger!$A128="","",CaseLedger!W128)</x:f>
      </x:c>
      <x:c r="O128" t="str">
        <x:f>IF(CaseLedger!$A128="","",CaseLedger!X128)</x:f>
      </x:c>
      <x:c r="P128" t="str">
        <x:f>IF(CaseLedger!$A128="","",CaseLedger!E128)</x:f>
      </x:c>
      <x:c r="Q128" t="str">
        <x:f>IF(CaseLedger!$A128="","",CaseLedger!C128)</x:f>
      </x:c>
      <x:c r="R128" t="str">
        <x:f>IF(CaseLedger!$A128="","",CaseLedger!D128)</x:f>
      </x:c>
      <x:c r="S128" t="str">
        <x:f>IFERROR(IF(CaseLedger!$A128="","",CaseLedger!Y128),"")</x:f>
      </x:c>
      <x:c r="T128" t="str">
        <x:f>IFERROR(IF(CaseLedger!$A128="","",CaseLedger!Z128),"")</x:f>
      </x:c>
      <x:c r="U128" t="str">
        <x:f>IFERROR(IF(CaseLedger!$A128="","",CaseLedger!AA128),"")</x:f>
      </x:c>
      <x:c r="V128" t="str">
        <x:f>IFERROR(IF(CaseLedger!$A128="","",CaseLedger!AB128),"")</x:f>
      </x:c>
      <x:c r="W128" t="str">
        <x:f>IFERROR(IF(CaseLedger!$A128="","",CaseLedger!AC128),"")</x:f>
      </x:c>
      <x:c r="X128" t="str">
        <x:f>IFERROR(IF(CaseLedger!$A128="","",CaseLedger!AD128),"")</x:f>
      </x:c>
      <x:c r="Y128" t="str">
        <x:f>IFERROR(IF(CaseLedger!$A128="","",CaseLedger!AE128),"")</x:f>
      </x:c>
      <x:c r="Z128" t="str">
        <x:f>IFERROR(IF(CaseLedger!$A128="","",CaseLedger!AF128),"")</x:f>
      </x:c>
      <x:c r="AA128" t="str">
        <x:f>IFERROR(IF(CaseLedger!$A128="","",CaseLedger!AG128),"")</x:f>
      </x:c>
      <x:c r="AB128" t="str">
        <x:f>IFERROR(IF(CaseLedger!$A128="","",CaseLedger!AH128),"")</x:f>
      </x:c>
      <x:c r="AC128" t="str">
        <x:f>IFERROR(IF(CaseLedger!$A128="","",CaseLedger!AI128),"")</x:f>
      </x:c>
    </x:row>
    <x:row r="129">
      <x:c r="A129" t="str">
        <x:f>IF(CaseLedger!$A129="","",CaseLedger!A129)</x:f>
      </x:c>
      <x:c r="B129" t="str">
        <x:f>IF(CaseLedger!$A129="","",CaseLedger!I129)</x:f>
      </x:c>
      <x:c r="C129" t="str">
        <x:f>IF(CaseLedger!$A129="","",CaseLedger!J129)</x:f>
      </x:c>
      <x:c r="D129" t="str">
        <x:f>IF(CaseLedger!$A129="","",CaseLedger!K129)</x:f>
      </x:c>
      <x:c r="E129" t="str">
        <x:f>IF(CaseLedger!$A129="","",CaseLedger!L129)</x:f>
      </x:c>
      <x:c r="F129" t="str">
        <x:f>IF(CaseLedger!$A129="","",CaseLedger!P129)</x:f>
      </x:c>
      <x:c r="G129" t="str">
        <x:f>IF(CaseLedger!$A129="","",CaseLedger!F129)</x:f>
      </x:c>
      <x:c r="H129" t="str">
        <x:f>IF(CaseLedger!$A129="","",CaseLedger!Q129)</x:f>
      </x:c>
      <x:c r="I129" t="str">
        <x:f>IF(CaseLedger!$A129="","",CaseLedger!R129)</x:f>
      </x:c>
      <x:c r="J129" t="str">
        <x:f>IF(CaseLedger!$A129="","",CaseLedger!S129)</x:f>
      </x:c>
      <x:c r="K129" t="str">
        <x:f>IF(CaseLedger!$A129="","",CaseLedger!T129)</x:f>
      </x:c>
      <x:c r="L129" t="str">
        <x:f>IF(CaseLedger!$A129="","",CaseLedger!U129)</x:f>
      </x:c>
      <x:c r="M129" t="str">
        <x:f>IF(CaseLedger!$A129="","",CaseLedger!V129)</x:f>
      </x:c>
      <x:c r="N129" t="str">
        <x:f>IF(CaseLedger!$A129="","",CaseLedger!W129)</x:f>
      </x:c>
      <x:c r="O129" t="str">
        <x:f>IF(CaseLedger!$A129="","",CaseLedger!X129)</x:f>
      </x:c>
      <x:c r="P129" t="str">
        <x:f>IF(CaseLedger!$A129="","",CaseLedger!E129)</x:f>
      </x:c>
      <x:c r="Q129" t="str">
        <x:f>IF(CaseLedger!$A129="","",CaseLedger!C129)</x:f>
      </x:c>
      <x:c r="R129" t="str">
        <x:f>IF(CaseLedger!$A129="","",CaseLedger!D129)</x:f>
      </x:c>
      <x:c r="S129" t="str">
        <x:f>IFERROR(IF(CaseLedger!$A129="","",CaseLedger!Y129),"")</x:f>
      </x:c>
      <x:c r="T129" t="str">
        <x:f>IFERROR(IF(CaseLedger!$A129="","",CaseLedger!Z129),"")</x:f>
      </x:c>
      <x:c r="U129" t="str">
        <x:f>IFERROR(IF(CaseLedger!$A129="","",CaseLedger!AA129),"")</x:f>
      </x:c>
      <x:c r="V129" t="str">
        <x:f>IFERROR(IF(CaseLedger!$A129="","",CaseLedger!AB129),"")</x:f>
      </x:c>
      <x:c r="W129" t="str">
        <x:f>IFERROR(IF(CaseLedger!$A129="","",CaseLedger!AC129),"")</x:f>
      </x:c>
      <x:c r="X129" t="str">
        <x:f>IFERROR(IF(CaseLedger!$A129="","",CaseLedger!AD129),"")</x:f>
      </x:c>
      <x:c r="Y129" t="str">
        <x:f>IFERROR(IF(CaseLedger!$A129="","",CaseLedger!AE129),"")</x:f>
      </x:c>
      <x:c r="Z129" t="str">
        <x:f>IFERROR(IF(CaseLedger!$A129="","",CaseLedger!AF129),"")</x:f>
      </x:c>
      <x:c r="AA129" t="str">
        <x:f>IFERROR(IF(CaseLedger!$A129="","",CaseLedger!AG129),"")</x:f>
      </x:c>
      <x:c r="AB129" t="str">
        <x:f>IFERROR(IF(CaseLedger!$A129="","",CaseLedger!AH129),"")</x:f>
      </x:c>
      <x:c r="AC129" t="str">
        <x:f>IFERROR(IF(CaseLedger!$A129="","",CaseLedger!AI129),"")</x:f>
      </x:c>
    </x:row>
    <x:row r="130">
      <x:c r="A130" t="str">
        <x:f>IF(CaseLedger!$A130="","",CaseLedger!A130)</x:f>
      </x:c>
      <x:c r="B130" t="str">
        <x:f>IF(CaseLedger!$A130="","",CaseLedger!I130)</x:f>
      </x:c>
      <x:c r="C130" t="str">
        <x:f>IF(CaseLedger!$A130="","",CaseLedger!J130)</x:f>
      </x:c>
      <x:c r="D130" t="str">
        <x:f>IF(CaseLedger!$A130="","",CaseLedger!K130)</x:f>
      </x:c>
      <x:c r="E130" t="str">
        <x:f>IF(CaseLedger!$A130="","",CaseLedger!L130)</x:f>
      </x:c>
      <x:c r="F130" t="str">
        <x:f>IF(CaseLedger!$A130="","",CaseLedger!P130)</x:f>
      </x:c>
      <x:c r="G130" t="str">
        <x:f>IF(CaseLedger!$A130="","",CaseLedger!F130)</x:f>
      </x:c>
      <x:c r="H130" t="str">
        <x:f>IF(CaseLedger!$A130="","",CaseLedger!Q130)</x:f>
      </x:c>
      <x:c r="I130" t="str">
        <x:f>IF(CaseLedger!$A130="","",CaseLedger!R130)</x:f>
      </x:c>
      <x:c r="J130" t="str">
        <x:f>IF(CaseLedger!$A130="","",CaseLedger!S130)</x:f>
      </x:c>
      <x:c r="K130" t="str">
        <x:f>IF(CaseLedger!$A130="","",CaseLedger!T130)</x:f>
      </x:c>
      <x:c r="L130" t="str">
        <x:f>IF(CaseLedger!$A130="","",CaseLedger!U130)</x:f>
      </x:c>
      <x:c r="M130" t="str">
        <x:f>IF(CaseLedger!$A130="","",CaseLedger!V130)</x:f>
      </x:c>
      <x:c r="N130" t="str">
        <x:f>IF(CaseLedger!$A130="","",CaseLedger!W130)</x:f>
      </x:c>
      <x:c r="O130" t="str">
        <x:f>IF(CaseLedger!$A130="","",CaseLedger!X130)</x:f>
      </x:c>
      <x:c r="P130" t="str">
        <x:f>IF(CaseLedger!$A130="","",CaseLedger!E130)</x:f>
      </x:c>
      <x:c r="Q130" t="str">
        <x:f>IF(CaseLedger!$A130="","",CaseLedger!C130)</x:f>
      </x:c>
      <x:c r="R130" t="str">
        <x:f>IF(CaseLedger!$A130="","",CaseLedger!D130)</x:f>
      </x:c>
      <x:c r="S130" t="str">
        <x:f>IFERROR(IF(CaseLedger!$A130="","",CaseLedger!Y130),"")</x:f>
      </x:c>
      <x:c r="T130" t="str">
        <x:f>IFERROR(IF(CaseLedger!$A130="","",CaseLedger!Z130),"")</x:f>
      </x:c>
      <x:c r="U130" t="str">
        <x:f>IFERROR(IF(CaseLedger!$A130="","",CaseLedger!AA130),"")</x:f>
      </x:c>
      <x:c r="V130" t="str">
        <x:f>IFERROR(IF(CaseLedger!$A130="","",CaseLedger!AB130),"")</x:f>
      </x:c>
      <x:c r="W130" t="str">
        <x:f>IFERROR(IF(CaseLedger!$A130="","",CaseLedger!AC130),"")</x:f>
      </x:c>
      <x:c r="X130" t="str">
        <x:f>IFERROR(IF(CaseLedger!$A130="","",CaseLedger!AD130),"")</x:f>
      </x:c>
      <x:c r="Y130" t="str">
        <x:f>IFERROR(IF(CaseLedger!$A130="","",CaseLedger!AE130),"")</x:f>
      </x:c>
      <x:c r="Z130" t="str">
        <x:f>IFERROR(IF(CaseLedger!$A130="","",CaseLedger!AF130),"")</x:f>
      </x:c>
      <x:c r="AA130" t="str">
        <x:f>IFERROR(IF(CaseLedger!$A130="","",CaseLedger!AG130),"")</x:f>
      </x:c>
      <x:c r="AB130" t="str">
        <x:f>IFERROR(IF(CaseLedger!$A130="","",CaseLedger!AH130),"")</x:f>
      </x:c>
      <x:c r="AC130" t="str">
        <x:f>IFERROR(IF(CaseLedger!$A130="","",CaseLedger!AI130),"")</x:f>
      </x:c>
    </x:row>
    <x:row r="131">
      <x:c r="A131" t="str">
        <x:f>IF(CaseLedger!$A131="","",CaseLedger!A131)</x:f>
      </x:c>
      <x:c r="B131" t="str">
        <x:f>IF(CaseLedger!$A131="","",CaseLedger!I131)</x:f>
      </x:c>
      <x:c r="C131" t="str">
        <x:f>IF(CaseLedger!$A131="","",CaseLedger!J131)</x:f>
      </x:c>
      <x:c r="D131" t="str">
        <x:f>IF(CaseLedger!$A131="","",CaseLedger!K131)</x:f>
      </x:c>
      <x:c r="E131" t="str">
        <x:f>IF(CaseLedger!$A131="","",CaseLedger!L131)</x:f>
      </x:c>
      <x:c r="F131" t="str">
        <x:f>IF(CaseLedger!$A131="","",CaseLedger!P131)</x:f>
      </x:c>
      <x:c r="G131" t="str">
        <x:f>IF(CaseLedger!$A131="","",CaseLedger!F131)</x:f>
      </x:c>
      <x:c r="H131" t="str">
        <x:f>IF(CaseLedger!$A131="","",CaseLedger!Q131)</x:f>
      </x:c>
      <x:c r="I131" t="str">
        <x:f>IF(CaseLedger!$A131="","",CaseLedger!R131)</x:f>
      </x:c>
      <x:c r="J131" t="str">
        <x:f>IF(CaseLedger!$A131="","",CaseLedger!S131)</x:f>
      </x:c>
      <x:c r="K131" t="str">
        <x:f>IF(CaseLedger!$A131="","",CaseLedger!T131)</x:f>
      </x:c>
      <x:c r="L131" t="str">
        <x:f>IF(CaseLedger!$A131="","",CaseLedger!U131)</x:f>
      </x:c>
      <x:c r="M131" t="str">
        <x:f>IF(CaseLedger!$A131="","",CaseLedger!V131)</x:f>
      </x:c>
      <x:c r="N131" t="str">
        <x:f>IF(CaseLedger!$A131="","",CaseLedger!W131)</x:f>
      </x:c>
      <x:c r="O131" t="str">
        <x:f>IF(CaseLedger!$A131="","",CaseLedger!X131)</x:f>
      </x:c>
      <x:c r="P131" t="str">
        <x:f>IF(CaseLedger!$A131="","",CaseLedger!E131)</x:f>
      </x:c>
      <x:c r="Q131" t="str">
        <x:f>IF(CaseLedger!$A131="","",CaseLedger!C131)</x:f>
      </x:c>
      <x:c r="R131" t="str">
        <x:f>IF(CaseLedger!$A131="","",CaseLedger!D131)</x:f>
      </x:c>
      <x:c r="S131" t="str">
        <x:f>IFERROR(IF(CaseLedger!$A131="","",CaseLedger!Y131),"")</x:f>
      </x:c>
      <x:c r="T131" t="str">
        <x:f>IFERROR(IF(CaseLedger!$A131="","",CaseLedger!Z131),"")</x:f>
      </x:c>
      <x:c r="U131" t="str">
        <x:f>IFERROR(IF(CaseLedger!$A131="","",CaseLedger!AA131),"")</x:f>
      </x:c>
      <x:c r="V131" t="str">
        <x:f>IFERROR(IF(CaseLedger!$A131="","",CaseLedger!AB131),"")</x:f>
      </x:c>
      <x:c r="W131" t="str">
        <x:f>IFERROR(IF(CaseLedger!$A131="","",CaseLedger!AC131),"")</x:f>
      </x:c>
      <x:c r="X131" t="str">
        <x:f>IFERROR(IF(CaseLedger!$A131="","",CaseLedger!AD131),"")</x:f>
      </x:c>
      <x:c r="Y131" t="str">
        <x:f>IFERROR(IF(CaseLedger!$A131="","",CaseLedger!AE131),"")</x:f>
      </x:c>
      <x:c r="Z131" t="str">
        <x:f>IFERROR(IF(CaseLedger!$A131="","",CaseLedger!AF131),"")</x:f>
      </x:c>
      <x:c r="AA131" t="str">
        <x:f>IFERROR(IF(CaseLedger!$A131="","",CaseLedger!AG131),"")</x:f>
      </x:c>
      <x:c r="AB131" t="str">
        <x:f>IFERROR(IF(CaseLedger!$A131="","",CaseLedger!AH131),"")</x:f>
      </x:c>
      <x:c r="AC131" t="str">
        <x:f>IFERROR(IF(CaseLedger!$A131="","",CaseLedger!AI131),"")</x:f>
      </x:c>
    </x:row>
    <x:row r="132">
      <x:c r="A132" t="str">
        <x:f>IF(CaseLedger!$A132="","",CaseLedger!A132)</x:f>
      </x:c>
      <x:c r="B132" t="str">
        <x:f>IF(CaseLedger!$A132="","",CaseLedger!I132)</x:f>
      </x:c>
      <x:c r="C132" t="str">
        <x:f>IF(CaseLedger!$A132="","",CaseLedger!J132)</x:f>
      </x:c>
      <x:c r="D132" t="str">
        <x:f>IF(CaseLedger!$A132="","",CaseLedger!K132)</x:f>
      </x:c>
      <x:c r="E132" t="str">
        <x:f>IF(CaseLedger!$A132="","",CaseLedger!L132)</x:f>
      </x:c>
      <x:c r="F132" t="str">
        <x:f>IF(CaseLedger!$A132="","",CaseLedger!P132)</x:f>
      </x:c>
      <x:c r="G132" t="str">
        <x:f>IF(CaseLedger!$A132="","",CaseLedger!F132)</x:f>
      </x:c>
      <x:c r="H132" t="str">
        <x:f>IF(CaseLedger!$A132="","",CaseLedger!Q132)</x:f>
      </x:c>
      <x:c r="I132" t="str">
        <x:f>IF(CaseLedger!$A132="","",CaseLedger!R132)</x:f>
      </x:c>
      <x:c r="J132" t="str">
        <x:f>IF(CaseLedger!$A132="","",CaseLedger!S132)</x:f>
      </x:c>
      <x:c r="K132" t="str">
        <x:f>IF(CaseLedger!$A132="","",CaseLedger!T132)</x:f>
      </x:c>
      <x:c r="L132" t="str">
        <x:f>IF(CaseLedger!$A132="","",CaseLedger!U132)</x:f>
      </x:c>
      <x:c r="M132" t="str">
        <x:f>IF(CaseLedger!$A132="","",CaseLedger!V132)</x:f>
      </x:c>
      <x:c r="N132" t="str">
        <x:f>IF(CaseLedger!$A132="","",CaseLedger!W132)</x:f>
      </x:c>
      <x:c r="O132" t="str">
        <x:f>IF(CaseLedger!$A132="","",CaseLedger!X132)</x:f>
      </x:c>
      <x:c r="P132" t="str">
        <x:f>IF(CaseLedger!$A132="","",CaseLedger!E132)</x:f>
      </x:c>
      <x:c r="Q132" t="str">
        <x:f>IF(CaseLedger!$A132="","",CaseLedger!C132)</x:f>
      </x:c>
      <x:c r="R132" t="str">
        <x:f>IF(CaseLedger!$A132="","",CaseLedger!D132)</x:f>
      </x:c>
      <x:c r="S132" t="str">
        <x:f>IFERROR(IF(CaseLedger!$A132="","",CaseLedger!Y132),"")</x:f>
      </x:c>
      <x:c r="T132" t="str">
        <x:f>IFERROR(IF(CaseLedger!$A132="","",CaseLedger!Z132),"")</x:f>
      </x:c>
      <x:c r="U132" t="str">
        <x:f>IFERROR(IF(CaseLedger!$A132="","",CaseLedger!AA132),"")</x:f>
      </x:c>
      <x:c r="V132" t="str">
        <x:f>IFERROR(IF(CaseLedger!$A132="","",CaseLedger!AB132),"")</x:f>
      </x:c>
      <x:c r="W132" t="str">
        <x:f>IFERROR(IF(CaseLedger!$A132="","",CaseLedger!AC132),"")</x:f>
      </x:c>
      <x:c r="X132" t="str">
        <x:f>IFERROR(IF(CaseLedger!$A132="","",CaseLedger!AD132),"")</x:f>
      </x:c>
      <x:c r="Y132" t="str">
        <x:f>IFERROR(IF(CaseLedger!$A132="","",CaseLedger!AE132),"")</x:f>
      </x:c>
      <x:c r="Z132" t="str">
        <x:f>IFERROR(IF(CaseLedger!$A132="","",CaseLedger!AF132),"")</x:f>
      </x:c>
      <x:c r="AA132" t="str">
        <x:f>IFERROR(IF(CaseLedger!$A132="","",CaseLedger!AG132),"")</x:f>
      </x:c>
      <x:c r="AB132" t="str">
        <x:f>IFERROR(IF(CaseLedger!$A132="","",CaseLedger!AH132),"")</x:f>
      </x:c>
      <x:c r="AC132" t="str">
        <x:f>IFERROR(IF(CaseLedger!$A132="","",CaseLedger!AI132),"")</x:f>
      </x:c>
    </x:row>
    <x:row r="133">
      <x:c r="A133" t="str">
        <x:f>IF(CaseLedger!$A133="","",CaseLedger!A133)</x:f>
      </x:c>
      <x:c r="B133" t="str">
        <x:f>IF(CaseLedger!$A133="","",CaseLedger!I133)</x:f>
      </x:c>
      <x:c r="C133" t="str">
        <x:f>IF(CaseLedger!$A133="","",CaseLedger!J133)</x:f>
      </x:c>
      <x:c r="D133" t="str">
        <x:f>IF(CaseLedger!$A133="","",CaseLedger!K133)</x:f>
      </x:c>
      <x:c r="E133" t="str">
        <x:f>IF(CaseLedger!$A133="","",CaseLedger!L133)</x:f>
      </x:c>
      <x:c r="F133" t="str">
        <x:f>IF(CaseLedger!$A133="","",CaseLedger!P133)</x:f>
      </x:c>
      <x:c r="G133" t="str">
        <x:f>IF(CaseLedger!$A133="","",CaseLedger!F133)</x:f>
      </x:c>
      <x:c r="H133" t="str">
        <x:f>IF(CaseLedger!$A133="","",CaseLedger!Q133)</x:f>
      </x:c>
      <x:c r="I133" t="str">
        <x:f>IF(CaseLedger!$A133="","",CaseLedger!R133)</x:f>
      </x:c>
      <x:c r="J133" t="str">
        <x:f>IF(CaseLedger!$A133="","",CaseLedger!S133)</x:f>
      </x:c>
      <x:c r="K133" t="str">
        <x:f>IF(CaseLedger!$A133="","",CaseLedger!T133)</x:f>
      </x:c>
      <x:c r="L133" t="str">
        <x:f>IF(CaseLedger!$A133="","",CaseLedger!U133)</x:f>
      </x:c>
      <x:c r="M133" t="str">
        <x:f>IF(CaseLedger!$A133="","",CaseLedger!V133)</x:f>
      </x:c>
      <x:c r="N133" t="str">
        <x:f>IF(CaseLedger!$A133="","",CaseLedger!W133)</x:f>
      </x:c>
      <x:c r="O133" t="str">
        <x:f>IF(CaseLedger!$A133="","",CaseLedger!X133)</x:f>
      </x:c>
      <x:c r="P133" t="str">
        <x:f>IF(CaseLedger!$A133="","",CaseLedger!E133)</x:f>
      </x:c>
      <x:c r="Q133" t="str">
        <x:f>IF(CaseLedger!$A133="","",CaseLedger!C133)</x:f>
      </x:c>
      <x:c r="R133" t="str">
        <x:f>IF(CaseLedger!$A133="","",CaseLedger!D133)</x:f>
      </x:c>
      <x:c r="S133" t="str">
        <x:f>IFERROR(IF(CaseLedger!$A133="","",CaseLedger!Y133),"")</x:f>
      </x:c>
      <x:c r="T133" t="str">
        <x:f>IFERROR(IF(CaseLedger!$A133="","",CaseLedger!Z133),"")</x:f>
      </x:c>
      <x:c r="U133" t="str">
        <x:f>IFERROR(IF(CaseLedger!$A133="","",CaseLedger!AA133),"")</x:f>
      </x:c>
      <x:c r="V133" t="str">
        <x:f>IFERROR(IF(CaseLedger!$A133="","",CaseLedger!AB133),"")</x:f>
      </x:c>
      <x:c r="W133" t="str">
        <x:f>IFERROR(IF(CaseLedger!$A133="","",CaseLedger!AC133),"")</x:f>
      </x:c>
      <x:c r="X133" t="str">
        <x:f>IFERROR(IF(CaseLedger!$A133="","",CaseLedger!AD133),"")</x:f>
      </x:c>
      <x:c r="Y133" t="str">
        <x:f>IFERROR(IF(CaseLedger!$A133="","",CaseLedger!AE133),"")</x:f>
      </x:c>
      <x:c r="Z133" t="str">
        <x:f>IFERROR(IF(CaseLedger!$A133="","",CaseLedger!AF133),"")</x:f>
      </x:c>
      <x:c r="AA133" t="str">
        <x:f>IFERROR(IF(CaseLedger!$A133="","",CaseLedger!AG133),"")</x:f>
      </x:c>
      <x:c r="AB133" t="str">
        <x:f>IFERROR(IF(CaseLedger!$A133="","",CaseLedger!AH133),"")</x:f>
      </x:c>
      <x:c r="AC133" t="str">
        <x:f>IFERROR(IF(CaseLedger!$A133="","",CaseLedger!AI133),"")</x:f>
      </x:c>
    </x:row>
    <x:row r="134">
      <x:c r="A134" t="str">
        <x:f>IF(CaseLedger!$A134="","",CaseLedger!A134)</x:f>
      </x:c>
      <x:c r="B134" t="str">
        <x:f>IF(CaseLedger!$A134="","",CaseLedger!I134)</x:f>
      </x:c>
      <x:c r="C134" t="str">
        <x:f>IF(CaseLedger!$A134="","",CaseLedger!J134)</x:f>
      </x:c>
      <x:c r="D134" t="str">
        <x:f>IF(CaseLedger!$A134="","",CaseLedger!K134)</x:f>
      </x:c>
      <x:c r="E134" t="str">
        <x:f>IF(CaseLedger!$A134="","",CaseLedger!L134)</x:f>
      </x:c>
      <x:c r="F134" t="str">
        <x:f>IF(CaseLedger!$A134="","",CaseLedger!P134)</x:f>
      </x:c>
      <x:c r="G134" t="str">
        <x:f>IF(CaseLedger!$A134="","",CaseLedger!F134)</x:f>
      </x:c>
      <x:c r="H134" t="str">
        <x:f>IF(CaseLedger!$A134="","",CaseLedger!Q134)</x:f>
      </x:c>
      <x:c r="I134" t="str">
        <x:f>IF(CaseLedger!$A134="","",CaseLedger!R134)</x:f>
      </x:c>
      <x:c r="J134" t="str">
        <x:f>IF(CaseLedger!$A134="","",CaseLedger!S134)</x:f>
      </x:c>
      <x:c r="K134" t="str">
        <x:f>IF(CaseLedger!$A134="","",CaseLedger!T134)</x:f>
      </x:c>
      <x:c r="L134" t="str">
        <x:f>IF(CaseLedger!$A134="","",CaseLedger!U134)</x:f>
      </x:c>
      <x:c r="M134" t="str">
        <x:f>IF(CaseLedger!$A134="","",CaseLedger!V134)</x:f>
      </x:c>
      <x:c r="N134" t="str">
        <x:f>IF(CaseLedger!$A134="","",CaseLedger!W134)</x:f>
      </x:c>
      <x:c r="O134" t="str">
        <x:f>IF(CaseLedger!$A134="","",CaseLedger!X134)</x:f>
      </x:c>
      <x:c r="P134" t="str">
        <x:f>IF(CaseLedger!$A134="","",CaseLedger!E134)</x:f>
      </x:c>
      <x:c r="Q134" t="str">
        <x:f>IF(CaseLedger!$A134="","",CaseLedger!C134)</x:f>
      </x:c>
      <x:c r="R134" t="str">
        <x:f>IF(CaseLedger!$A134="","",CaseLedger!D134)</x:f>
      </x:c>
      <x:c r="S134" t="str">
        <x:f>IFERROR(IF(CaseLedger!$A134="","",CaseLedger!Y134),"")</x:f>
      </x:c>
      <x:c r="T134" t="str">
        <x:f>IFERROR(IF(CaseLedger!$A134="","",CaseLedger!Z134),"")</x:f>
      </x:c>
      <x:c r="U134" t="str">
        <x:f>IFERROR(IF(CaseLedger!$A134="","",CaseLedger!AA134),"")</x:f>
      </x:c>
      <x:c r="V134" t="str">
        <x:f>IFERROR(IF(CaseLedger!$A134="","",CaseLedger!AB134),"")</x:f>
      </x:c>
      <x:c r="W134" t="str">
        <x:f>IFERROR(IF(CaseLedger!$A134="","",CaseLedger!AC134),"")</x:f>
      </x:c>
      <x:c r="X134" t="str">
        <x:f>IFERROR(IF(CaseLedger!$A134="","",CaseLedger!AD134),"")</x:f>
      </x:c>
      <x:c r="Y134" t="str">
        <x:f>IFERROR(IF(CaseLedger!$A134="","",CaseLedger!AE134),"")</x:f>
      </x:c>
      <x:c r="Z134" t="str">
        <x:f>IFERROR(IF(CaseLedger!$A134="","",CaseLedger!AF134),"")</x:f>
      </x:c>
      <x:c r="AA134" t="str">
        <x:f>IFERROR(IF(CaseLedger!$A134="","",CaseLedger!AG134),"")</x:f>
      </x:c>
      <x:c r="AB134" t="str">
        <x:f>IFERROR(IF(CaseLedger!$A134="","",CaseLedger!AH134),"")</x:f>
      </x:c>
      <x:c r="AC134" t="str">
        <x:f>IFERROR(IF(CaseLedger!$A134="","",CaseLedger!AI134),"")</x:f>
      </x:c>
    </x:row>
    <x:row r="135">
      <x:c r="A135" t="str">
        <x:f>IF(CaseLedger!$A135="","",CaseLedger!A135)</x:f>
      </x:c>
      <x:c r="B135" t="str">
        <x:f>IF(CaseLedger!$A135="","",CaseLedger!I135)</x:f>
      </x:c>
      <x:c r="C135" t="str">
        <x:f>IF(CaseLedger!$A135="","",CaseLedger!J135)</x:f>
      </x:c>
      <x:c r="D135" t="str">
        <x:f>IF(CaseLedger!$A135="","",CaseLedger!K135)</x:f>
      </x:c>
      <x:c r="E135" t="str">
        <x:f>IF(CaseLedger!$A135="","",CaseLedger!L135)</x:f>
      </x:c>
      <x:c r="F135" t="str">
        <x:f>IF(CaseLedger!$A135="","",CaseLedger!P135)</x:f>
      </x:c>
      <x:c r="G135" t="str">
        <x:f>IF(CaseLedger!$A135="","",CaseLedger!F135)</x:f>
      </x:c>
      <x:c r="H135" t="str">
        <x:f>IF(CaseLedger!$A135="","",CaseLedger!Q135)</x:f>
      </x:c>
      <x:c r="I135" t="str">
        <x:f>IF(CaseLedger!$A135="","",CaseLedger!R135)</x:f>
      </x:c>
      <x:c r="J135" t="str">
        <x:f>IF(CaseLedger!$A135="","",CaseLedger!S135)</x:f>
      </x:c>
      <x:c r="K135" t="str">
        <x:f>IF(CaseLedger!$A135="","",CaseLedger!T135)</x:f>
      </x:c>
      <x:c r="L135" t="str">
        <x:f>IF(CaseLedger!$A135="","",CaseLedger!U135)</x:f>
      </x:c>
      <x:c r="M135" t="str">
        <x:f>IF(CaseLedger!$A135="","",CaseLedger!V135)</x:f>
      </x:c>
      <x:c r="N135" t="str">
        <x:f>IF(CaseLedger!$A135="","",CaseLedger!W135)</x:f>
      </x:c>
      <x:c r="O135" t="str">
        <x:f>IF(CaseLedger!$A135="","",CaseLedger!X135)</x:f>
      </x:c>
      <x:c r="P135" t="str">
        <x:f>IF(CaseLedger!$A135="","",CaseLedger!E135)</x:f>
      </x:c>
      <x:c r="Q135" t="str">
        <x:f>IF(CaseLedger!$A135="","",CaseLedger!C135)</x:f>
      </x:c>
      <x:c r="R135" t="str">
        <x:f>IF(CaseLedger!$A135="","",CaseLedger!D135)</x:f>
      </x:c>
      <x:c r="S135" t="str">
        <x:f>IFERROR(IF(CaseLedger!$A135="","",CaseLedger!Y135),"")</x:f>
      </x:c>
      <x:c r="T135" t="str">
        <x:f>IFERROR(IF(CaseLedger!$A135="","",CaseLedger!Z135),"")</x:f>
      </x:c>
      <x:c r="U135" t="str">
        <x:f>IFERROR(IF(CaseLedger!$A135="","",CaseLedger!AA135),"")</x:f>
      </x:c>
      <x:c r="V135" t="str">
        <x:f>IFERROR(IF(CaseLedger!$A135="","",CaseLedger!AB135),"")</x:f>
      </x:c>
      <x:c r="W135" t="str">
        <x:f>IFERROR(IF(CaseLedger!$A135="","",CaseLedger!AC135),"")</x:f>
      </x:c>
      <x:c r="X135" t="str">
        <x:f>IFERROR(IF(CaseLedger!$A135="","",CaseLedger!AD135),"")</x:f>
      </x:c>
      <x:c r="Y135" t="str">
        <x:f>IFERROR(IF(CaseLedger!$A135="","",CaseLedger!AE135),"")</x:f>
      </x:c>
      <x:c r="Z135" t="str">
        <x:f>IFERROR(IF(CaseLedger!$A135="","",CaseLedger!AF135),"")</x:f>
      </x:c>
      <x:c r="AA135" t="str">
        <x:f>IFERROR(IF(CaseLedger!$A135="","",CaseLedger!AG135),"")</x:f>
      </x:c>
      <x:c r="AB135" t="str">
        <x:f>IFERROR(IF(CaseLedger!$A135="","",CaseLedger!AH135),"")</x:f>
      </x:c>
      <x:c r="AC135" t="str">
        <x:f>IFERROR(IF(CaseLedger!$A135="","",CaseLedger!AI135),"")</x:f>
      </x:c>
    </x:row>
    <x:row r="136">
      <x:c r="A136" t="str">
        <x:f>IF(CaseLedger!$A136="","",CaseLedger!A136)</x:f>
      </x:c>
      <x:c r="B136" t="str">
        <x:f>IF(CaseLedger!$A136="","",CaseLedger!I136)</x:f>
      </x:c>
      <x:c r="C136" t="str">
        <x:f>IF(CaseLedger!$A136="","",CaseLedger!J136)</x:f>
      </x:c>
      <x:c r="D136" t="str">
        <x:f>IF(CaseLedger!$A136="","",CaseLedger!K136)</x:f>
      </x:c>
      <x:c r="E136" t="str">
        <x:f>IF(CaseLedger!$A136="","",CaseLedger!L136)</x:f>
      </x:c>
      <x:c r="F136" t="str">
        <x:f>IF(CaseLedger!$A136="","",CaseLedger!P136)</x:f>
      </x:c>
      <x:c r="G136" t="str">
        <x:f>IF(CaseLedger!$A136="","",CaseLedger!F136)</x:f>
      </x:c>
      <x:c r="H136" t="str">
        <x:f>IF(CaseLedger!$A136="","",CaseLedger!Q136)</x:f>
      </x:c>
      <x:c r="I136" t="str">
        <x:f>IF(CaseLedger!$A136="","",CaseLedger!R136)</x:f>
      </x:c>
      <x:c r="J136" t="str">
        <x:f>IF(CaseLedger!$A136="","",CaseLedger!S136)</x:f>
      </x:c>
      <x:c r="K136" t="str">
        <x:f>IF(CaseLedger!$A136="","",CaseLedger!T136)</x:f>
      </x:c>
      <x:c r="L136" t="str">
        <x:f>IF(CaseLedger!$A136="","",CaseLedger!U136)</x:f>
      </x:c>
      <x:c r="M136" t="str">
        <x:f>IF(CaseLedger!$A136="","",CaseLedger!V136)</x:f>
      </x:c>
      <x:c r="N136" t="str">
        <x:f>IF(CaseLedger!$A136="","",CaseLedger!W136)</x:f>
      </x:c>
      <x:c r="O136" t="str">
        <x:f>IF(CaseLedger!$A136="","",CaseLedger!X136)</x:f>
      </x:c>
      <x:c r="P136" t="str">
        <x:f>IF(CaseLedger!$A136="","",CaseLedger!E136)</x:f>
      </x:c>
      <x:c r="Q136" t="str">
        <x:f>IF(CaseLedger!$A136="","",CaseLedger!C136)</x:f>
      </x:c>
      <x:c r="R136" t="str">
        <x:f>IF(CaseLedger!$A136="","",CaseLedger!D136)</x:f>
      </x:c>
      <x:c r="S136" t="str">
        <x:f>IFERROR(IF(CaseLedger!$A136="","",CaseLedger!Y136),"")</x:f>
      </x:c>
      <x:c r="T136" t="str">
        <x:f>IFERROR(IF(CaseLedger!$A136="","",CaseLedger!Z136),"")</x:f>
      </x:c>
      <x:c r="U136" t="str">
        <x:f>IFERROR(IF(CaseLedger!$A136="","",CaseLedger!AA136),"")</x:f>
      </x:c>
      <x:c r="V136" t="str">
        <x:f>IFERROR(IF(CaseLedger!$A136="","",CaseLedger!AB136),"")</x:f>
      </x:c>
      <x:c r="W136" t="str">
        <x:f>IFERROR(IF(CaseLedger!$A136="","",CaseLedger!AC136),"")</x:f>
      </x:c>
      <x:c r="X136" t="str">
        <x:f>IFERROR(IF(CaseLedger!$A136="","",CaseLedger!AD136),"")</x:f>
      </x:c>
      <x:c r="Y136" t="str">
        <x:f>IFERROR(IF(CaseLedger!$A136="","",CaseLedger!AE136),"")</x:f>
      </x:c>
      <x:c r="Z136" t="str">
        <x:f>IFERROR(IF(CaseLedger!$A136="","",CaseLedger!AF136),"")</x:f>
      </x:c>
      <x:c r="AA136" t="str">
        <x:f>IFERROR(IF(CaseLedger!$A136="","",CaseLedger!AG136),"")</x:f>
      </x:c>
      <x:c r="AB136" t="str">
        <x:f>IFERROR(IF(CaseLedger!$A136="","",CaseLedger!AH136),"")</x:f>
      </x:c>
      <x:c r="AC136" t="str">
        <x:f>IFERROR(IF(CaseLedger!$A136="","",CaseLedger!AI136),"")</x:f>
      </x:c>
    </x:row>
    <x:row r="137">
      <x:c r="A137" t="str">
        <x:f>IF(CaseLedger!$A137="","",CaseLedger!A137)</x:f>
      </x:c>
      <x:c r="B137" t="str">
        <x:f>IF(CaseLedger!$A137="","",CaseLedger!I137)</x:f>
      </x:c>
      <x:c r="C137" t="str">
        <x:f>IF(CaseLedger!$A137="","",CaseLedger!J137)</x:f>
      </x:c>
      <x:c r="D137" t="str">
        <x:f>IF(CaseLedger!$A137="","",CaseLedger!K137)</x:f>
      </x:c>
      <x:c r="E137" t="str">
        <x:f>IF(CaseLedger!$A137="","",CaseLedger!L137)</x:f>
      </x:c>
      <x:c r="F137" t="str">
        <x:f>IF(CaseLedger!$A137="","",CaseLedger!P137)</x:f>
      </x:c>
      <x:c r="G137" t="str">
        <x:f>IF(CaseLedger!$A137="","",CaseLedger!F137)</x:f>
      </x:c>
      <x:c r="H137" t="str">
        <x:f>IF(CaseLedger!$A137="","",CaseLedger!Q137)</x:f>
      </x:c>
      <x:c r="I137" t="str">
        <x:f>IF(CaseLedger!$A137="","",CaseLedger!R137)</x:f>
      </x:c>
      <x:c r="J137" t="str">
        <x:f>IF(CaseLedger!$A137="","",CaseLedger!S137)</x:f>
      </x:c>
      <x:c r="K137" t="str">
        <x:f>IF(CaseLedger!$A137="","",CaseLedger!T137)</x:f>
      </x:c>
      <x:c r="L137" t="str">
        <x:f>IF(CaseLedger!$A137="","",CaseLedger!U137)</x:f>
      </x:c>
      <x:c r="M137" t="str">
        <x:f>IF(CaseLedger!$A137="","",CaseLedger!V137)</x:f>
      </x:c>
      <x:c r="N137" t="str">
        <x:f>IF(CaseLedger!$A137="","",CaseLedger!W137)</x:f>
      </x:c>
      <x:c r="O137" t="str">
        <x:f>IF(CaseLedger!$A137="","",CaseLedger!X137)</x:f>
      </x:c>
      <x:c r="P137" t="str">
        <x:f>IF(CaseLedger!$A137="","",CaseLedger!E137)</x:f>
      </x:c>
      <x:c r="Q137" t="str">
        <x:f>IF(CaseLedger!$A137="","",CaseLedger!C137)</x:f>
      </x:c>
      <x:c r="R137" t="str">
        <x:f>IF(CaseLedger!$A137="","",CaseLedger!D137)</x:f>
      </x:c>
      <x:c r="S137" t="str">
        <x:f>IFERROR(IF(CaseLedger!$A137="","",CaseLedger!Y137),"")</x:f>
      </x:c>
      <x:c r="T137" t="str">
        <x:f>IFERROR(IF(CaseLedger!$A137="","",CaseLedger!Z137),"")</x:f>
      </x:c>
      <x:c r="U137" t="str">
        <x:f>IFERROR(IF(CaseLedger!$A137="","",CaseLedger!AA137),"")</x:f>
      </x:c>
      <x:c r="V137" t="str">
        <x:f>IFERROR(IF(CaseLedger!$A137="","",CaseLedger!AB137),"")</x:f>
      </x:c>
      <x:c r="W137" t="str">
        <x:f>IFERROR(IF(CaseLedger!$A137="","",CaseLedger!AC137),"")</x:f>
      </x:c>
      <x:c r="X137" t="str">
        <x:f>IFERROR(IF(CaseLedger!$A137="","",CaseLedger!AD137),"")</x:f>
      </x:c>
      <x:c r="Y137" t="str">
        <x:f>IFERROR(IF(CaseLedger!$A137="","",CaseLedger!AE137),"")</x:f>
      </x:c>
      <x:c r="Z137" t="str">
        <x:f>IFERROR(IF(CaseLedger!$A137="","",CaseLedger!AF137),"")</x:f>
      </x:c>
      <x:c r="AA137" t="str">
        <x:f>IFERROR(IF(CaseLedger!$A137="","",CaseLedger!AG137),"")</x:f>
      </x:c>
      <x:c r="AB137" t="str">
        <x:f>IFERROR(IF(CaseLedger!$A137="","",CaseLedger!AH137),"")</x:f>
      </x:c>
      <x:c r="AC137" t="str">
        <x:f>IFERROR(IF(CaseLedger!$A137="","",CaseLedger!AI137),"")</x:f>
      </x:c>
    </x:row>
    <x:row r="138">
      <x:c r="A138" t="str">
        <x:f>IF(CaseLedger!$A138="","",CaseLedger!A138)</x:f>
      </x:c>
      <x:c r="B138" t="str">
        <x:f>IF(CaseLedger!$A138="","",CaseLedger!I138)</x:f>
      </x:c>
      <x:c r="C138" t="str">
        <x:f>IF(CaseLedger!$A138="","",CaseLedger!J138)</x:f>
      </x:c>
      <x:c r="D138" t="str">
        <x:f>IF(CaseLedger!$A138="","",CaseLedger!K138)</x:f>
      </x:c>
      <x:c r="E138" t="str">
        <x:f>IF(CaseLedger!$A138="","",CaseLedger!L138)</x:f>
      </x:c>
      <x:c r="F138" t="str">
        <x:f>IF(CaseLedger!$A138="","",CaseLedger!P138)</x:f>
      </x:c>
      <x:c r="G138" t="str">
        <x:f>IF(CaseLedger!$A138="","",CaseLedger!F138)</x:f>
      </x:c>
      <x:c r="H138" t="str">
        <x:f>IF(CaseLedger!$A138="","",CaseLedger!Q138)</x:f>
      </x:c>
      <x:c r="I138" t="str">
        <x:f>IF(CaseLedger!$A138="","",CaseLedger!R138)</x:f>
      </x:c>
      <x:c r="J138" t="str">
        <x:f>IF(CaseLedger!$A138="","",CaseLedger!S138)</x:f>
      </x:c>
      <x:c r="K138" t="str">
        <x:f>IF(CaseLedger!$A138="","",CaseLedger!T138)</x:f>
      </x:c>
      <x:c r="L138" t="str">
        <x:f>IF(CaseLedger!$A138="","",CaseLedger!U138)</x:f>
      </x:c>
      <x:c r="M138" t="str">
        <x:f>IF(CaseLedger!$A138="","",CaseLedger!V138)</x:f>
      </x:c>
      <x:c r="N138" t="str">
        <x:f>IF(CaseLedger!$A138="","",CaseLedger!W138)</x:f>
      </x:c>
      <x:c r="O138" t="str">
        <x:f>IF(CaseLedger!$A138="","",CaseLedger!X138)</x:f>
      </x:c>
      <x:c r="P138" t="str">
        <x:f>IF(CaseLedger!$A138="","",CaseLedger!E138)</x:f>
      </x:c>
      <x:c r="Q138" t="str">
        <x:f>IF(CaseLedger!$A138="","",CaseLedger!C138)</x:f>
      </x:c>
      <x:c r="R138" t="str">
        <x:f>IF(CaseLedger!$A138="","",CaseLedger!D138)</x:f>
      </x:c>
      <x:c r="S138" t="str">
        <x:f>IFERROR(IF(CaseLedger!$A138="","",CaseLedger!Y138),"")</x:f>
      </x:c>
      <x:c r="T138" t="str">
        <x:f>IFERROR(IF(CaseLedger!$A138="","",CaseLedger!Z138),"")</x:f>
      </x:c>
      <x:c r="U138" t="str">
        <x:f>IFERROR(IF(CaseLedger!$A138="","",CaseLedger!AA138),"")</x:f>
      </x:c>
      <x:c r="V138" t="str">
        <x:f>IFERROR(IF(CaseLedger!$A138="","",CaseLedger!AB138),"")</x:f>
      </x:c>
      <x:c r="W138" t="str">
        <x:f>IFERROR(IF(CaseLedger!$A138="","",CaseLedger!AC138),"")</x:f>
      </x:c>
      <x:c r="X138" t="str">
        <x:f>IFERROR(IF(CaseLedger!$A138="","",CaseLedger!AD138),"")</x:f>
      </x:c>
      <x:c r="Y138" t="str">
        <x:f>IFERROR(IF(CaseLedger!$A138="","",CaseLedger!AE138),"")</x:f>
      </x:c>
      <x:c r="Z138" t="str">
        <x:f>IFERROR(IF(CaseLedger!$A138="","",CaseLedger!AF138),"")</x:f>
      </x:c>
      <x:c r="AA138" t="str">
        <x:f>IFERROR(IF(CaseLedger!$A138="","",CaseLedger!AG138),"")</x:f>
      </x:c>
      <x:c r="AB138" t="str">
        <x:f>IFERROR(IF(CaseLedger!$A138="","",CaseLedger!AH138),"")</x:f>
      </x:c>
      <x:c r="AC138" t="str">
        <x:f>IFERROR(IF(CaseLedger!$A138="","",CaseLedger!AI138),"")</x:f>
      </x:c>
    </x:row>
    <x:row r="139">
      <x:c r="A139" t="str">
        <x:f>IF(CaseLedger!$A139="","",CaseLedger!A139)</x:f>
      </x:c>
      <x:c r="B139" t="str">
        <x:f>IF(CaseLedger!$A139="","",CaseLedger!I139)</x:f>
      </x:c>
      <x:c r="C139" t="str">
        <x:f>IF(CaseLedger!$A139="","",CaseLedger!J139)</x:f>
      </x:c>
      <x:c r="D139" t="str">
        <x:f>IF(CaseLedger!$A139="","",CaseLedger!K139)</x:f>
      </x:c>
      <x:c r="E139" t="str">
        <x:f>IF(CaseLedger!$A139="","",CaseLedger!L139)</x:f>
      </x:c>
      <x:c r="F139" t="str">
        <x:f>IF(CaseLedger!$A139="","",CaseLedger!P139)</x:f>
      </x:c>
      <x:c r="G139" t="str">
        <x:f>IF(CaseLedger!$A139="","",CaseLedger!F139)</x:f>
      </x:c>
      <x:c r="H139" t="str">
        <x:f>IF(CaseLedger!$A139="","",CaseLedger!Q139)</x:f>
      </x:c>
      <x:c r="I139" t="str">
        <x:f>IF(CaseLedger!$A139="","",CaseLedger!R139)</x:f>
      </x:c>
      <x:c r="J139" t="str">
        <x:f>IF(CaseLedger!$A139="","",CaseLedger!S139)</x:f>
      </x:c>
      <x:c r="K139" t="str">
        <x:f>IF(CaseLedger!$A139="","",CaseLedger!T139)</x:f>
      </x:c>
      <x:c r="L139" t="str">
        <x:f>IF(CaseLedger!$A139="","",CaseLedger!U139)</x:f>
      </x:c>
      <x:c r="M139" t="str">
        <x:f>IF(CaseLedger!$A139="","",CaseLedger!V139)</x:f>
      </x:c>
      <x:c r="N139" t="str">
        <x:f>IF(CaseLedger!$A139="","",CaseLedger!W139)</x:f>
      </x:c>
      <x:c r="O139" t="str">
        <x:f>IF(CaseLedger!$A139="","",CaseLedger!X139)</x:f>
      </x:c>
      <x:c r="P139" t="str">
        <x:f>IF(CaseLedger!$A139="","",CaseLedger!E139)</x:f>
      </x:c>
      <x:c r="Q139" t="str">
        <x:f>IF(CaseLedger!$A139="","",CaseLedger!C139)</x:f>
      </x:c>
      <x:c r="R139" t="str">
        <x:f>IF(CaseLedger!$A139="","",CaseLedger!D139)</x:f>
      </x:c>
      <x:c r="S139" t="str">
        <x:f>IFERROR(IF(CaseLedger!$A139="","",CaseLedger!Y139),"")</x:f>
      </x:c>
      <x:c r="T139" t="str">
        <x:f>IFERROR(IF(CaseLedger!$A139="","",CaseLedger!Z139),"")</x:f>
      </x:c>
      <x:c r="U139" t="str">
        <x:f>IFERROR(IF(CaseLedger!$A139="","",CaseLedger!AA139),"")</x:f>
      </x:c>
      <x:c r="V139" t="str">
        <x:f>IFERROR(IF(CaseLedger!$A139="","",CaseLedger!AB139),"")</x:f>
      </x:c>
      <x:c r="W139" t="str">
        <x:f>IFERROR(IF(CaseLedger!$A139="","",CaseLedger!AC139),"")</x:f>
      </x:c>
      <x:c r="X139" t="str">
        <x:f>IFERROR(IF(CaseLedger!$A139="","",CaseLedger!AD139),"")</x:f>
      </x:c>
      <x:c r="Y139" t="str">
        <x:f>IFERROR(IF(CaseLedger!$A139="","",CaseLedger!AE139),"")</x:f>
      </x:c>
      <x:c r="Z139" t="str">
        <x:f>IFERROR(IF(CaseLedger!$A139="","",CaseLedger!AF139),"")</x:f>
      </x:c>
      <x:c r="AA139" t="str">
        <x:f>IFERROR(IF(CaseLedger!$A139="","",CaseLedger!AG139),"")</x:f>
      </x:c>
      <x:c r="AB139" t="str">
        <x:f>IFERROR(IF(CaseLedger!$A139="","",CaseLedger!AH139),"")</x:f>
      </x:c>
      <x:c r="AC139" t="str">
        <x:f>IFERROR(IF(CaseLedger!$A139="","",CaseLedger!AI139),"")</x:f>
      </x:c>
    </x:row>
    <x:row r="140">
      <x:c r="A140" t="str">
        <x:f>IF(CaseLedger!$A140="","",CaseLedger!A140)</x:f>
      </x:c>
      <x:c r="B140" t="str">
        <x:f>IF(CaseLedger!$A140="","",CaseLedger!I140)</x:f>
      </x:c>
      <x:c r="C140" t="str">
        <x:f>IF(CaseLedger!$A140="","",CaseLedger!J140)</x:f>
      </x:c>
      <x:c r="D140" t="str">
        <x:f>IF(CaseLedger!$A140="","",CaseLedger!K140)</x:f>
      </x:c>
      <x:c r="E140" t="str">
        <x:f>IF(CaseLedger!$A140="","",CaseLedger!L140)</x:f>
      </x:c>
      <x:c r="F140" t="str">
        <x:f>IF(CaseLedger!$A140="","",CaseLedger!P140)</x:f>
      </x:c>
      <x:c r="G140" t="str">
        <x:f>IF(CaseLedger!$A140="","",CaseLedger!F140)</x:f>
      </x:c>
      <x:c r="H140" t="str">
        <x:f>IF(CaseLedger!$A140="","",CaseLedger!Q140)</x:f>
      </x:c>
      <x:c r="I140" t="str">
        <x:f>IF(CaseLedger!$A140="","",CaseLedger!R140)</x:f>
      </x:c>
      <x:c r="J140" t="str">
        <x:f>IF(CaseLedger!$A140="","",CaseLedger!S140)</x:f>
      </x:c>
      <x:c r="K140" t="str">
        <x:f>IF(CaseLedger!$A140="","",CaseLedger!T140)</x:f>
      </x:c>
      <x:c r="L140" t="str">
        <x:f>IF(CaseLedger!$A140="","",CaseLedger!U140)</x:f>
      </x:c>
      <x:c r="M140" t="str">
        <x:f>IF(CaseLedger!$A140="","",CaseLedger!V140)</x:f>
      </x:c>
      <x:c r="N140" t="str">
        <x:f>IF(CaseLedger!$A140="","",CaseLedger!W140)</x:f>
      </x:c>
      <x:c r="O140" t="str">
        <x:f>IF(CaseLedger!$A140="","",CaseLedger!X140)</x:f>
      </x:c>
      <x:c r="P140" t="str">
        <x:f>IF(CaseLedger!$A140="","",CaseLedger!E140)</x:f>
      </x:c>
      <x:c r="Q140" t="str">
        <x:f>IF(CaseLedger!$A140="","",CaseLedger!C140)</x:f>
      </x:c>
      <x:c r="R140" t="str">
        <x:f>IF(CaseLedger!$A140="","",CaseLedger!D140)</x:f>
      </x:c>
      <x:c r="S140" t="str">
        <x:f>IFERROR(IF(CaseLedger!$A140="","",CaseLedger!Y140),"")</x:f>
      </x:c>
      <x:c r="T140" t="str">
        <x:f>IFERROR(IF(CaseLedger!$A140="","",CaseLedger!Z140),"")</x:f>
      </x:c>
      <x:c r="U140" t="str">
        <x:f>IFERROR(IF(CaseLedger!$A140="","",CaseLedger!AA140),"")</x:f>
      </x:c>
      <x:c r="V140" t="str">
        <x:f>IFERROR(IF(CaseLedger!$A140="","",CaseLedger!AB140),"")</x:f>
      </x:c>
      <x:c r="W140" t="str">
        <x:f>IFERROR(IF(CaseLedger!$A140="","",CaseLedger!AC140),"")</x:f>
      </x:c>
      <x:c r="X140" t="str">
        <x:f>IFERROR(IF(CaseLedger!$A140="","",CaseLedger!AD140),"")</x:f>
      </x:c>
      <x:c r="Y140" t="str">
        <x:f>IFERROR(IF(CaseLedger!$A140="","",CaseLedger!AE140),"")</x:f>
      </x:c>
      <x:c r="Z140" t="str">
        <x:f>IFERROR(IF(CaseLedger!$A140="","",CaseLedger!AF140),"")</x:f>
      </x:c>
      <x:c r="AA140" t="str">
        <x:f>IFERROR(IF(CaseLedger!$A140="","",CaseLedger!AG140),"")</x:f>
      </x:c>
      <x:c r="AB140" t="str">
        <x:f>IFERROR(IF(CaseLedger!$A140="","",CaseLedger!AH140),"")</x:f>
      </x:c>
      <x:c r="AC140" t="str">
        <x:f>IFERROR(IF(CaseLedger!$A140="","",CaseLedger!AI140),"")</x:f>
      </x:c>
    </x:row>
    <x:row r="141">
      <x:c r="A141" t="str">
        <x:f>IF(CaseLedger!$A141="","",CaseLedger!A141)</x:f>
      </x:c>
      <x:c r="B141" t="str">
        <x:f>IF(CaseLedger!$A141="","",CaseLedger!I141)</x:f>
      </x:c>
      <x:c r="C141" t="str">
        <x:f>IF(CaseLedger!$A141="","",CaseLedger!J141)</x:f>
      </x:c>
      <x:c r="D141" t="str">
        <x:f>IF(CaseLedger!$A141="","",CaseLedger!K141)</x:f>
      </x:c>
      <x:c r="E141" t="str">
        <x:f>IF(CaseLedger!$A141="","",CaseLedger!L141)</x:f>
      </x:c>
      <x:c r="F141" t="str">
        <x:f>IF(CaseLedger!$A141="","",CaseLedger!P141)</x:f>
      </x:c>
      <x:c r="G141" t="str">
        <x:f>IF(CaseLedger!$A141="","",CaseLedger!F141)</x:f>
      </x:c>
      <x:c r="H141" t="str">
        <x:f>IF(CaseLedger!$A141="","",CaseLedger!Q141)</x:f>
      </x:c>
      <x:c r="I141" t="str">
        <x:f>IF(CaseLedger!$A141="","",CaseLedger!R141)</x:f>
      </x:c>
      <x:c r="J141" t="str">
        <x:f>IF(CaseLedger!$A141="","",CaseLedger!S141)</x:f>
      </x:c>
      <x:c r="K141" t="str">
        <x:f>IF(CaseLedger!$A141="","",CaseLedger!T141)</x:f>
      </x:c>
      <x:c r="L141" t="str">
        <x:f>IF(CaseLedger!$A141="","",CaseLedger!U141)</x:f>
      </x:c>
      <x:c r="M141" t="str">
        <x:f>IF(CaseLedger!$A141="","",CaseLedger!V141)</x:f>
      </x:c>
      <x:c r="N141" t="str">
        <x:f>IF(CaseLedger!$A141="","",CaseLedger!W141)</x:f>
      </x:c>
      <x:c r="O141" t="str">
        <x:f>IF(CaseLedger!$A141="","",CaseLedger!X141)</x:f>
      </x:c>
      <x:c r="P141" t="str">
        <x:f>IF(CaseLedger!$A141="","",CaseLedger!E141)</x:f>
      </x:c>
      <x:c r="Q141" t="str">
        <x:f>IF(CaseLedger!$A141="","",CaseLedger!C141)</x:f>
      </x:c>
      <x:c r="R141" t="str">
        <x:f>IF(CaseLedger!$A141="","",CaseLedger!D141)</x:f>
      </x:c>
      <x:c r="S141" t="str">
        <x:f>IFERROR(IF(CaseLedger!$A141="","",CaseLedger!Y141),"")</x:f>
      </x:c>
      <x:c r="T141" t="str">
        <x:f>IFERROR(IF(CaseLedger!$A141="","",CaseLedger!Z141),"")</x:f>
      </x:c>
      <x:c r="U141" t="str">
        <x:f>IFERROR(IF(CaseLedger!$A141="","",CaseLedger!AA141),"")</x:f>
      </x:c>
      <x:c r="V141" t="str">
        <x:f>IFERROR(IF(CaseLedger!$A141="","",CaseLedger!AB141),"")</x:f>
      </x:c>
      <x:c r="W141" t="str">
        <x:f>IFERROR(IF(CaseLedger!$A141="","",CaseLedger!AC141),"")</x:f>
      </x:c>
      <x:c r="X141" t="str">
        <x:f>IFERROR(IF(CaseLedger!$A141="","",CaseLedger!AD141),"")</x:f>
      </x:c>
      <x:c r="Y141" t="str">
        <x:f>IFERROR(IF(CaseLedger!$A141="","",CaseLedger!AE141),"")</x:f>
      </x:c>
      <x:c r="Z141" t="str">
        <x:f>IFERROR(IF(CaseLedger!$A141="","",CaseLedger!AF141),"")</x:f>
      </x:c>
      <x:c r="AA141" t="str">
        <x:f>IFERROR(IF(CaseLedger!$A141="","",CaseLedger!AG141),"")</x:f>
      </x:c>
      <x:c r="AB141" t="str">
        <x:f>IFERROR(IF(CaseLedger!$A141="","",CaseLedger!AH141),"")</x:f>
      </x:c>
      <x:c r="AC141" t="str">
        <x:f>IFERROR(IF(CaseLedger!$A141="","",CaseLedger!AI141),"")</x:f>
      </x:c>
    </x:row>
    <x:row r="142">
      <x:c r="A142" t="str">
        <x:f>IF(CaseLedger!$A142="","",CaseLedger!A142)</x:f>
      </x:c>
      <x:c r="B142" t="str">
        <x:f>IF(CaseLedger!$A142="","",CaseLedger!I142)</x:f>
      </x:c>
      <x:c r="C142" t="str">
        <x:f>IF(CaseLedger!$A142="","",CaseLedger!J142)</x:f>
      </x:c>
      <x:c r="D142" t="str">
        <x:f>IF(CaseLedger!$A142="","",CaseLedger!K142)</x:f>
      </x:c>
      <x:c r="E142" t="str">
        <x:f>IF(CaseLedger!$A142="","",CaseLedger!L142)</x:f>
      </x:c>
      <x:c r="F142" t="str">
        <x:f>IF(CaseLedger!$A142="","",CaseLedger!P142)</x:f>
      </x:c>
      <x:c r="G142" t="str">
        <x:f>IF(CaseLedger!$A142="","",CaseLedger!F142)</x:f>
      </x:c>
      <x:c r="H142" t="str">
        <x:f>IF(CaseLedger!$A142="","",CaseLedger!Q142)</x:f>
      </x:c>
      <x:c r="I142" t="str">
        <x:f>IF(CaseLedger!$A142="","",CaseLedger!R142)</x:f>
      </x:c>
      <x:c r="J142" t="str">
        <x:f>IF(CaseLedger!$A142="","",CaseLedger!S142)</x:f>
      </x:c>
      <x:c r="K142" t="str">
        <x:f>IF(CaseLedger!$A142="","",CaseLedger!T142)</x:f>
      </x:c>
      <x:c r="L142" t="str">
        <x:f>IF(CaseLedger!$A142="","",CaseLedger!U142)</x:f>
      </x:c>
      <x:c r="M142" t="str">
        <x:f>IF(CaseLedger!$A142="","",CaseLedger!V142)</x:f>
      </x:c>
      <x:c r="N142" t="str">
        <x:f>IF(CaseLedger!$A142="","",CaseLedger!W142)</x:f>
      </x:c>
      <x:c r="O142" t="str">
        <x:f>IF(CaseLedger!$A142="","",CaseLedger!X142)</x:f>
      </x:c>
      <x:c r="P142" t="str">
        <x:f>IF(CaseLedger!$A142="","",CaseLedger!E142)</x:f>
      </x:c>
      <x:c r="Q142" t="str">
        <x:f>IF(CaseLedger!$A142="","",CaseLedger!C142)</x:f>
      </x:c>
      <x:c r="R142" t="str">
        <x:f>IF(CaseLedger!$A142="","",CaseLedger!D142)</x:f>
      </x:c>
      <x:c r="S142" t="str">
        <x:f>IFERROR(IF(CaseLedger!$A142="","",CaseLedger!Y142),"")</x:f>
      </x:c>
      <x:c r="T142" t="str">
        <x:f>IFERROR(IF(CaseLedger!$A142="","",CaseLedger!Z142),"")</x:f>
      </x:c>
      <x:c r="U142" t="str">
        <x:f>IFERROR(IF(CaseLedger!$A142="","",CaseLedger!AA142),"")</x:f>
      </x:c>
      <x:c r="V142" t="str">
        <x:f>IFERROR(IF(CaseLedger!$A142="","",CaseLedger!AB142),"")</x:f>
      </x:c>
      <x:c r="W142" t="str">
        <x:f>IFERROR(IF(CaseLedger!$A142="","",CaseLedger!AC142),"")</x:f>
      </x:c>
      <x:c r="X142" t="str">
        <x:f>IFERROR(IF(CaseLedger!$A142="","",CaseLedger!AD142),"")</x:f>
      </x:c>
      <x:c r="Y142" t="str">
        <x:f>IFERROR(IF(CaseLedger!$A142="","",CaseLedger!AE142),"")</x:f>
      </x:c>
      <x:c r="Z142" t="str">
        <x:f>IFERROR(IF(CaseLedger!$A142="","",CaseLedger!AF142),"")</x:f>
      </x:c>
      <x:c r="AA142" t="str">
        <x:f>IFERROR(IF(CaseLedger!$A142="","",CaseLedger!AG142),"")</x:f>
      </x:c>
      <x:c r="AB142" t="str">
        <x:f>IFERROR(IF(CaseLedger!$A142="","",CaseLedger!AH142),"")</x:f>
      </x:c>
      <x:c r="AC142" t="str">
        <x:f>IFERROR(IF(CaseLedger!$A142="","",CaseLedger!AI142),"")</x:f>
      </x:c>
    </x:row>
    <x:row r="143">
      <x:c r="A143" t="str">
        <x:f>IF(CaseLedger!$A143="","",CaseLedger!A143)</x:f>
      </x:c>
      <x:c r="B143" t="str">
        <x:f>IF(CaseLedger!$A143="","",CaseLedger!I143)</x:f>
      </x:c>
      <x:c r="C143" t="str">
        <x:f>IF(CaseLedger!$A143="","",CaseLedger!J143)</x:f>
      </x:c>
      <x:c r="D143" t="str">
        <x:f>IF(CaseLedger!$A143="","",CaseLedger!K143)</x:f>
      </x:c>
      <x:c r="E143" t="str">
        <x:f>IF(CaseLedger!$A143="","",CaseLedger!L143)</x:f>
      </x:c>
      <x:c r="F143" t="str">
        <x:f>IF(CaseLedger!$A143="","",CaseLedger!P143)</x:f>
      </x:c>
      <x:c r="G143" t="str">
        <x:f>IF(CaseLedger!$A143="","",CaseLedger!F143)</x:f>
      </x:c>
      <x:c r="H143" t="str">
        <x:f>IF(CaseLedger!$A143="","",CaseLedger!Q143)</x:f>
      </x:c>
      <x:c r="I143" t="str">
        <x:f>IF(CaseLedger!$A143="","",CaseLedger!R143)</x:f>
      </x:c>
      <x:c r="J143" t="str">
        <x:f>IF(CaseLedger!$A143="","",CaseLedger!S143)</x:f>
      </x:c>
      <x:c r="K143" t="str">
        <x:f>IF(CaseLedger!$A143="","",CaseLedger!T143)</x:f>
      </x:c>
      <x:c r="L143" t="str">
        <x:f>IF(CaseLedger!$A143="","",CaseLedger!U143)</x:f>
      </x:c>
      <x:c r="M143" t="str">
        <x:f>IF(CaseLedger!$A143="","",CaseLedger!V143)</x:f>
      </x:c>
      <x:c r="N143" t="str">
        <x:f>IF(CaseLedger!$A143="","",CaseLedger!W143)</x:f>
      </x:c>
      <x:c r="O143" t="str">
        <x:f>IF(CaseLedger!$A143="","",CaseLedger!X143)</x:f>
      </x:c>
      <x:c r="P143" t="str">
        <x:f>IF(CaseLedger!$A143="","",CaseLedger!E143)</x:f>
      </x:c>
      <x:c r="Q143" t="str">
        <x:f>IF(CaseLedger!$A143="","",CaseLedger!C143)</x:f>
      </x:c>
      <x:c r="R143" t="str">
        <x:f>IF(CaseLedger!$A143="","",CaseLedger!D143)</x:f>
      </x:c>
      <x:c r="S143" t="str">
        <x:f>IFERROR(IF(CaseLedger!$A143="","",CaseLedger!Y143),"")</x:f>
      </x:c>
      <x:c r="T143" t="str">
        <x:f>IFERROR(IF(CaseLedger!$A143="","",CaseLedger!Z143),"")</x:f>
      </x:c>
      <x:c r="U143" t="str">
        <x:f>IFERROR(IF(CaseLedger!$A143="","",CaseLedger!AA143),"")</x:f>
      </x:c>
      <x:c r="V143" t="str">
        <x:f>IFERROR(IF(CaseLedger!$A143="","",CaseLedger!AB143),"")</x:f>
      </x:c>
      <x:c r="W143" t="str">
        <x:f>IFERROR(IF(CaseLedger!$A143="","",CaseLedger!AC143),"")</x:f>
      </x:c>
      <x:c r="X143" t="str">
        <x:f>IFERROR(IF(CaseLedger!$A143="","",CaseLedger!AD143),"")</x:f>
      </x:c>
      <x:c r="Y143" t="str">
        <x:f>IFERROR(IF(CaseLedger!$A143="","",CaseLedger!AE143),"")</x:f>
      </x:c>
      <x:c r="Z143" t="str">
        <x:f>IFERROR(IF(CaseLedger!$A143="","",CaseLedger!AF143),"")</x:f>
      </x:c>
      <x:c r="AA143" t="str">
        <x:f>IFERROR(IF(CaseLedger!$A143="","",CaseLedger!AG143),"")</x:f>
      </x:c>
      <x:c r="AB143" t="str">
        <x:f>IFERROR(IF(CaseLedger!$A143="","",CaseLedger!AH143),"")</x:f>
      </x:c>
      <x:c r="AC143" t="str">
        <x:f>IFERROR(IF(CaseLedger!$A143="","",CaseLedger!AI143),"")</x:f>
      </x:c>
    </x:row>
    <x:row r="144">
      <x:c r="A144" t="str">
        <x:f>IF(CaseLedger!$A144="","",CaseLedger!A144)</x:f>
      </x:c>
      <x:c r="B144" t="str">
        <x:f>IF(CaseLedger!$A144="","",CaseLedger!I144)</x:f>
      </x:c>
      <x:c r="C144" t="str">
        <x:f>IF(CaseLedger!$A144="","",CaseLedger!J144)</x:f>
      </x:c>
      <x:c r="D144" t="str">
        <x:f>IF(CaseLedger!$A144="","",CaseLedger!K144)</x:f>
      </x:c>
      <x:c r="E144" t="str">
        <x:f>IF(CaseLedger!$A144="","",CaseLedger!L144)</x:f>
      </x:c>
      <x:c r="F144" t="str">
        <x:f>IF(CaseLedger!$A144="","",CaseLedger!P144)</x:f>
      </x:c>
      <x:c r="G144" t="str">
        <x:f>IF(CaseLedger!$A144="","",CaseLedger!F144)</x:f>
      </x:c>
      <x:c r="H144" t="str">
        <x:f>IF(CaseLedger!$A144="","",CaseLedger!Q144)</x:f>
      </x:c>
      <x:c r="I144" t="str">
        <x:f>IF(CaseLedger!$A144="","",CaseLedger!R144)</x:f>
      </x:c>
      <x:c r="J144" t="str">
        <x:f>IF(CaseLedger!$A144="","",CaseLedger!S144)</x:f>
      </x:c>
      <x:c r="K144" t="str">
        <x:f>IF(CaseLedger!$A144="","",CaseLedger!T144)</x:f>
      </x:c>
      <x:c r="L144" t="str">
        <x:f>IF(CaseLedger!$A144="","",CaseLedger!U144)</x:f>
      </x:c>
      <x:c r="M144" t="str">
        <x:f>IF(CaseLedger!$A144="","",CaseLedger!V144)</x:f>
      </x:c>
      <x:c r="N144" t="str">
        <x:f>IF(CaseLedger!$A144="","",CaseLedger!W144)</x:f>
      </x:c>
      <x:c r="O144" t="str">
        <x:f>IF(CaseLedger!$A144="","",CaseLedger!X144)</x:f>
      </x:c>
      <x:c r="P144" t="str">
        <x:f>IF(CaseLedger!$A144="","",CaseLedger!E144)</x:f>
      </x:c>
      <x:c r="Q144" t="str">
        <x:f>IF(CaseLedger!$A144="","",CaseLedger!C144)</x:f>
      </x:c>
      <x:c r="R144" t="str">
        <x:f>IF(CaseLedger!$A144="","",CaseLedger!D144)</x:f>
      </x:c>
      <x:c r="S144" t="str">
        <x:f>IFERROR(IF(CaseLedger!$A144="","",CaseLedger!Y144),"")</x:f>
      </x:c>
      <x:c r="T144" t="str">
        <x:f>IFERROR(IF(CaseLedger!$A144="","",CaseLedger!Z144),"")</x:f>
      </x:c>
      <x:c r="U144" t="str">
        <x:f>IFERROR(IF(CaseLedger!$A144="","",CaseLedger!AA144),"")</x:f>
      </x:c>
      <x:c r="V144" t="str">
        <x:f>IFERROR(IF(CaseLedger!$A144="","",CaseLedger!AB144),"")</x:f>
      </x:c>
      <x:c r="W144" t="str">
        <x:f>IFERROR(IF(CaseLedger!$A144="","",CaseLedger!AC144),"")</x:f>
      </x:c>
      <x:c r="X144" t="str">
        <x:f>IFERROR(IF(CaseLedger!$A144="","",CaseLedger!AD144),"")</x:f>
      </x:c>
      <x:c r="Y144" t="str">
        <x:f>IFERROR(IF(CaseLedger!$A144="","",CaseLedger!AE144),"")</x:f>
      </x:c>
      <x:c r="Z144" t="str">
        <x:f>IFERROR(IF(CaseLedger!$A144="","",CaseLedger!AF144),"")</x:f>
      </x:c>
      <x:c r="AA144" t="str">
        <x:f>IFERROR(IF(CaseLedger!$A144="","",CaseLedger!AG144),"")</x:f>
      </x:c>
      <x:c r="AB144" t="str">
        <x:f>IFERROR(IF(CaseLedger!$A144="","",CaseLedger!AH144),"")</x:f>
      </x:c>
      <x:c r="AC144" t="str">
        <x:f>IFERROR(IF(CaseLedger!$A144="","",CaseLedger!AI144),"")</x:f>
      </x:c>
    </x:row>
    <x:row r="145">
      <x:c r="A145" t="str">
        <x:f>IF(CaseLedger!$A145="","",CaseLedger!A145)</x:f>
      </x:c>
      <x:c r="B145" t="str">
        <x:f>IF(CaseLedger!$A145="","",CaseLedger!I145)</x:f>
      </x:c>
      <x:c r="C145" t="str">
        <x:f>IF(CaseLedger!$A145="","",CaseLedger!J145)</x:f>
      </x:c>
      <x:c r="D145" t="str">
        <x:f>IF(CaseLedger!$A145="","",CaseLedger!K145)</x:f>
      </x:c>
      <x:c r="E145" t="str">
        <x:f>IF(CaseLedger!$A145="","",CaseLedger!L145)</x:f>
      </x:c>
      <x:c r="F145" t="str">
        <x:f>IF(CaseLedger!$A145="","",CaseLedger!P145)</x:f>
      </x:c>
      <x:c r="G145" t="str">
        <x:f>IF(CaseLedger!$A145="","",CaseLedger!F145)</x:f>
      </x:c>
      <x:c r="H145" t="str">
        <x:f>IF(CaseLedger!$A145="","",CaseLedger!Q145)</x:f>
      </x:c>
      <x:c r="I145" t="str">
        <x:f>IF(CaseLedger!$A145="","",CaseLedger!R145)</x:f>
      </x:c>
      <x:c r="J145" t="str">
        <x:f>IF(CaseLedger!$A145="","",CaseLedger!S145)</x:f>
      </x:c>
      <x:c r="K145" t="str">
        <x:f>IF(CaseLedger!$A145="","",CaseLedger!T145)</x:f>
      </x:c>
      <x:c r="L145" t="str">
        <x:f>IF(CaseLedger!$A145="","",CaseLedger!U145)</x:f>
      </x:c>
      <x:c r="M145" t="str">
        <x:f>IF(CaseLedger!$A145="","",CaseLedger!V145)</x:f>
      </x:c>
      <x:c r="N145" t="str">
        <x:f>IF(CaseLedger!$A145="","",CaseLedger!W145)</x:f>
      </x:c>
      <x:c r="O145" t="str">
        <x:f>IF(CaseLedger!$A145="","",CaseLedger!X145)</x:f>
      </x:c>
      <x:c r="P145" t="str">
        <x:f>IF(CaseLedger!$A145="","",CaseLedger!E145)</x:f>
      </x:c>
      <x:c r="Q145" t="str">
        <x:f>IF(CaseLedger!$A145="","",CaseLedger!C145)</x:f>
      </x:c>
      <x:c r="R145" t="str">
        <x:f>IF(CaseLedger!$A145="","",CaseLedger!D145)</x:f>
      </x:c>
      <x:c r="S145" t="str">
        <x:f>IFERROR(IF(CaseLedger!$A145="","",CaseLedger!Y145),"")</x:f>
      </x:c>
      <x:c r="T145" t="str">
        <x:f>IFERROR(IF(CaseLedger!$A145="","",CaseLedger!Z145),"")</x:f>
      </x:c>
      <x:c r="U145" t="str">
        <x:f>IFERROR(IF(CaseLedger!$A145="","",CaseLedger!AA145),"")</x:f>
      </x:c>
      <x:c r="V145" t="str">
        <x:f>IFERROR(IF(CaseLedger!$A145="","",CaseLedger!AB145),"")</x:f>
      </x:c>
      <x:c r="W145" t="str">
        <x:f>IFERROR(IF(CaseLedger!$A145="","",CaseLedger!AC145),"")</x:f>
      </x:c>
      <x:c r="X145" t="str">
        <x:f>IFERROR(IF(CaseLedger!$A145="","",CaseLedger!AD145),"")</x:f>
      </x:c>
      <x:c r="Y145" t="str">
        <x:f>IFERROR(IF(CaseLedger!$A145="","",CaseLedger!AE145),"")</x:f>
      </x:c>
      <x:c r="Z145" t="str">
        <x:f>IFERROR(IF(CaseLedger!$A145="","",CaseLedger!AF145),"")</x:f>
      </x:c>
      <x:c r="AA145" t="str">
        <x:f>IFERROR(IF(CaseLedger!$A145="","",CaseLedger!AG145),"")</x:f>
      </x:c>
      <x:c r="AB145" t="str">
        <x:f>IFERROR(IF(CaseLedger!$A145="","",CaseLedger!AH145),"")</x:f>
      </x:c>
      <x:c r="AC145" t="str">
        <x:f>IFERROR(IF(CaseLedger!$A145="","",CaseLedger!AI145),"")</x:f>
      </x:c>
    </x:row>
    <x:row r="146">
      <x:c r="A146" t="str">
        <x:f>IF(CaseLedger!$A146="","",CaseLedger!A146)</x:f>
      </x:c>
      <x:c r="B146" t="str">
        <x:f>IF(CaseLedger!$A146="","",CaseLedger!I146)</x:f>
      </x:c>
      <x:c r="C146" t="str">
        <x:f>IF(CaseLedger!$A146="","",CaseLedger!J146)</x:f>
      </x:c>
      <x:c r="D146" t="str">
        <x:f>IF(CaseLedger!$A146="","",CaseLedger!K146)</x:f>
      </x:c>
      <x:c r="E146" t="str">
        <x:f>IF(CaseLedger!$A146="","",CaseLedger!L146)</x:f>
      </x:c>
      <x:c r="F146" t="str">
        <x:f>IF(CaseLedger!$A146="","",CaseLedger!P146)</x:f>
      </x:c>
      <x:c r="G146" t="str">
        <x:f>IF(CaseLedger!$A146="","",CaseLedger!F146)</x:f>
      </x:c>
      <x:c r="H146" t="str">
        <x:f>IF(CaseLedger!$A146="","",CaseLedger!Q146)</x:f>
      </x:c>
      <x:c r="I146" t="str">
        <x:f>IF(CaseLedger!$A146="","",CaseLedger!R146)</x:f>
      </x:c>
      <x:c r="J146" t="str">
        <x:f>IF(CaseLedger!$A146="","",CaseLedger!S146)</x:f>
      </x:c>
      <x:c r="K146" t="str">
        <x:f>IF(CaseLedger!$A146="","",CaseLedger!T146)</x:f>
      </x:c>
      <x:c r="L146" t="str">
        <x:f>IF(CaseLedger!$A146="","",CaseLedger!U146)</x:f>
      </x:c>
      <x:c r="M146" t="str">
        <x:f>IF(CaseLedger!$A146="","",CaseLedger!V146)</x:f>
      </x:c>
      <x:c r="N146" t="str">
        <x:f>IF(CaseLedger!$A146="","",CaseLedger!W146)</x:f>
      </x:c>
      <x:c r="O146" t="str">
        <x:f>IF(CaseLedger!$A146="","",CaseLedger!X146)</x:f>
      </x:c>
      <x:c r="P146" t="str">
        <x:f>IF(CaseLedger!$A146="","",CaseLedger!E146)</x:f>
      </x:c>
      <x:c r="Q146" t="str">
        <x:f>IF(CaseLedger!$A146="","",CaseLedger!C146)</x:f>
      </x:c>
      <x:c r="R146" t="str">
        <x:f>IF(CaseLedger!$A146="","",CaseLedger!D146)</x:f>
      </x:c>
      <x:c r="S146" t="str">
        <x:f>IFERROR(IF(CaseLedger!$A146="","",CaseLedger!Y146),"")</x:f>
      </x:c>
      <x:c r="T146" t="str">
        <x:f>IFERROR(IF(CaseLedger!$A146="","",CaseLedger!Z146),"")</x:f>
      </x:c>
      <x:c r="U146" t="str">
        <x:f>IFERROR(IF(CaseLedger!$A146="","",CaseLedger!AA146),"")</x:f>
      </x:c>
      <x:c r="V146" t="str">
        <x:f>IFERROR(IF(CaseLedger!$A146="","",CaseLedger!AB146),"")</x:f>
      </x:c>
      <x:c r="W146" t="str">
        <x:f>IFERROR(IF(CaseLedger!$A146="","",CaseLedger!AC146),"")</x:f>
      </x:c>
      <x:c r="X146" t="str">
        <x:f>IFERROR(IF(CaseLedger!$A146="","",CaseLedger!AD146),"")</x:f>
      </x:c>
      <x:c r="Y146" t="str">
        <x:f>IFERROR(IF(CaseLedger!$A146="","",CaseLedger!AE146),"")</x:f>
      </x:c>
      <x:c r="Z146" t="str">
        <x:f>IFERROR(IF(CaseLedger!$A146="","",CaseLedger!AF146),"")</x:f>
      </x:c>
      <x:c r="AA146" t="str">
        <x:f>IFERROR(IF(CaseLedger!$A146="","",CaseLedger!AG146),"")</x:f>
      </x:c>
      <x:c r="AB146" t="str">
        <x:f>IFERROR(IF(CaseLedger!$A146="","",CaseLedger!AH146),"")</x:f>
      </x:c>
      <x:c r="AC146" t="str">
        <x:f>IFERROR(IF(CaseLedger!$A146="","",CaseLedger!AI146),"")</x:f>
      </x:c>
    </x:row>
    <x:row r="147">
      <x:c r="A147" t="str">
        <x:f>IF(CaseLedger!$A147="","",CaseLedger!A147)</x:f>
      </x:c>
      <x:c r="B147" t="str">
        <x:f>IF(CaseLedger!$A147="","",CaseLedger!I147)</x:f>
      </x:c>
      <x:c r="C147" t="str">
        <x:f>IF(CaseLedger!$A147="","",CaseLedger!J147)</x:f>
      </x:c>
      <x:c r="D147" t="str">
        <x:f>IF(CaseLedger!$A147="","",CaseLedger!K147)</x:f>
      </x:c>
      <x:c r="E147" t="str">
        <x:f>IF(CaseLedger!$A147="","",CaseLedger!L147)</x:f>
      </x:c>
      <x:c r="F147" t="str">
        <x:f>IF(CaseLedger!$A147="","",CaseLedger!P147)</x:f>
      </x:c>
      <x:c r="G147" t="str">
        <x:f>IF(CaseLedger!$A147="","",CaseLedger!F147)</x:f>
      </x:c>
      <x:c r="H147" t="str">
        <x:f>IF(CaseLedger!$A147="","",CaseLedger!Q147)</x:f>
      </x:c>
      <x:c r="I147" t="str">
        <x:f>IF(CaseLedger!$A147="","",CaseLedger!R147)</x:f>
      </x:c>
      <x:c r="J147" t="str">
        <x:f>IF(CaseLedger!$A147="","",CaseLedger!S147)</x:f>
      </x:c>
      <x:c r="K147" t="str">
        <x:f>IF(CaseLedger!$A147="","",CaseLedger!T147)</x:f>
      </x:c>
      <x:c r="L147" t="str">
        <x:f>IF(CaseLedger!$A147="","",CaseLedger!U147)</x:f>
      </x:c>
      <x:c r="M147" t="str">
        <x:f>IF(CaseLedger!$A147="","",CaseLedger!V147)</x:f>
      </x:c>
      <x:c r="N147" t="str">
        <x:f>IF(CaseLedger!$A147="","",CaseLedger!W147)</x:f>
      </x:c>
      <x:c r="O147" t="str">
        <x:f>IF(CaseLedger!$A147="","",CaseLedger!X147)</x:f>
      </x:c>
      <x:c r="P147" t="str">
        <x:f>IF(CaseLedger!$A147="","",CaseLedger!E147)</x:f>
      </x:c>
      <x:c r="Q147" t="str">
        <x:f>IF(CaseLedger!$A147="","",CaseLedger!C147)</x:f>
      </x:c>
      <x:c r="R147" t="str">
        <x:f>IF(CaseLedger!$A147="","",CaseLedger!D147)</x:f>
      </x:c>
      <x:c r="S147" t="str">
        <x:f>IFERROR(IF(CaseLedger!$A147="","",CaseLedger!Y147),"")</x:f>
      </x:c>
      <x:c r="T147" t="str">
        <x:f>IFERROR(IF(CaseLedger!$A147="","",CaseLedger!Z147),"")</x:f>
      </x:c>
      <x:c r="U147" t="str">
        <x:f>IFERROR(IF(CaseLedger!$A147="","",CaseLedger!AA147),"")</x:f>
      </x:c>
      <x:c r="V147" t="str">
        <x:f>IFERROR(IF(CaseLedger!$A147="","",CaseLedger!AB147),"")</x:f>
      </x:c>
      <x:c r="W147" t="str">
        <x:f>IFERROR(IF(CaseLedger!$A147="","",CaseLedger!AC147),"")</x:f>
      </x:c>
      <x:c r="X147" t="str">
        <x:f>IFERROR(IF(CaseLedger!$A147="","",CaseLedger!AD147),"")</x:f>
      </x:c>
      <x:c r="Y147" t="str">
        <x:f>IFERROR(IF(CaseLedger!$A147="","",CaseLedger!AE147),"")</x:f>
      </x:c>
      <x:c r="Z147" t="str">
        <x:f>IFERROR(IF(CaseLedger!$A147="","",CaseLedger!AF147),"")</x:f>
      </x:c>
      <x:c r="AA147" t="str">
        <x:f>IFERROR(IF(CaseLedger!$A147="","",CaseLedger!AG147),"")</x:f>
      </x:c>
      <x:c r="AB147" t="str">
        <x:f>IFERROR(IF(CaseLedger!$A147="","",CaseLedger!AH147),"")</x:f>
      </x:c>
      <x:c r="AC147" t="str">
        <x:f>IFERROR(IF(CaseLedger!$A147="","",CaseLedger!AI147),"")</x:f>
      </x:c>
    </x:row>
    <x:row r="148">
      <x:c r="A148" t="str">
        <x:f>IF(CaseLedger!$A148="","",CaseLedger!A148)</x:f>
      </x:c>
      <x:c r="B148" t="str">
        <x:f>IF(CaseLedger!$A148="","",CaseLedger!I148)</x:f>
      </x:c>
      <x:c r="C148" t="str">
        <x:f>IF(CaseLedger!$A148="","",CaseLedger!J148)</x:f>
      </x:c>
      <x:c r="D148" t="str">
        <x:f>IF(CaseLedger!$A148="","",CaseLedger!K148)</x:f>
      </x:c>
      <x:c r="E148" t="str">
        <x:f>IF(CaseLedger!$A148="","",CaseLedger!L148)</x:f>
      </x:c>
      <x:c r="F148" t="str">
        <x:f>IF(CaseLedger!$A148="","",CaseLedger!P148)</x:f>
      </x:c>
      <x:c r="G148" t="str">
        <x:f>IF(CaseLedger!$A148="","",CaseLedger!F148)</x:f>
      </x:c>
      <x:c r="H148" t="str">
        <x:f>IF(CaseLedger!$A148="","",CaseLedger!Q148)</x:f>
      </x:c>
      <x:c r="I148" t="str">
        <x:f>IF(CaseLedger!$A148="","",CaseLedger!R148)</x:f>
      </x:c>
      <x:c r="J148" t="str">
        <x:f>IF(CaseLedger!$A148="","",CaseLedger!S148)</x:f>
      </x:c>
      <x:c r="K148" t="str">
        <x:f>IF(CaseLedger!$A148="","",CaseLedger!T148)</x:f>
      </x:c>
      <x:c r="L148" t="str">
        <x:f>IF(CaseLedger!$A148="","",CaseLedger!U148)</x:f>
      </x:c>
      <x:c r="M148" t="str">
        <x:f>IF(CaseLedger!$A148="","",CaseLedger!V148)</x:f>
      </x:c>
      <x:c r="N148" t="str">
        <x:f>IF(CaseLedger!$A148="","",CaseLedger!W148)</x:f>
      </x:c>
      <x:c r="O148" t="str">
        <x:f>IF(CaseLedger!$A148="","",CaseLedger!X148)</x:f>
      </x:c>
      <x:c r="P148" t="str">
        <x:f>IF(CaseLedger!$A148="","",CaseLedger!E148)</x:f>
      </x:c>
      <x:c r="Q148" t="str">
        <x:f>IF(CaseLedger!$A148="","",CaseLedger!C148)</x:f>
      </x:c>
      <x:c r="R148" t="str">
        <x:f>IF(CaseLedger!$A148="","",CaseLedger!D148)</x:f>
      </x:c>
      <x:c r="S148" t="str">
        <x:f>IFERROR(IF(CaseLedger!$A148="","",CaseLedger!Y148),"")</x:f>
      </x:c>
      <x:c r="T148" t="str">
        <x:f>IFERROR(IF(CaseLedger!$A148="","",CaseLedger!Z148),"")</x:f>
      </x:c>
      <x:c r="U148" t="str">
        <x:f>IFERROR(IF(CaseLedger!$A148="","",CaseLedger!AA148),"")</x:f>
      </x:c>
      <x:c r="V148" t="str">
        <x:f>IFERROR(IF(CaseLedger!$A148="","",CaseLedger!AB148),"")</x:f>
      </x:c>
      <x:c r="W148" t="str">
        <x:f>IFERROR(IF(CaseLedger!$A148="","",CaseLedger!AC148),"")</x:f>
      </x:c>
      <x:c r="X148" t="str">
        <x:f>IFERROR(IF(CaseLedger!$A148="","",CaseLedger!AD148),"")</x:f>
      </x:c>
      <x:c r="Y148" t="str">
        <x:f>IFERROR(IF(CaseLedger!$A148="","",CaseLedger!AE148),"")</x:f>
      </x:c>
      <x:c r="Z148" t="str">
        <x:f>IFERROR(IF(CaseLedger!$A148="","",CaseLedger!AF148),"")</x:f>
      </x:c>
      <x:c r="AA148" t="str">
        <x:f>IFERROR(IF(CaseLedger!$A148="","",CaseLedger!AG148),"")</x:f>
      </x:c>
      <x:c r="AB148" t="str">
        <x:f>IFERROR(IF(CaseLedger!$A148="","",CaseLedger!AH148),"")</x:f>
      </x:c>
      <x:c r="AC148" t="str">
        <x:f>IFERROR(IF(CaseLedger!$A148="","",CaseLedger!AI148),"")</x:f>
      </x:c>
    </x:row>
    <x:row r="149">
      <x:c r="A149" t="str">
        <x:f>IF(CaseLedger!$A149="","",CaseLedger!A149)</x:f>
      </x:c>
      <x:c r="B149" t="str">
        <x:f>IF(CaseLedger!$A149="","",CaseLedger!I149)</x:f>
      </x:c>
      <x:c r="C149" t="str">
        <x:f>IF(CaseLedger!$A149="","",CaseLedger!J149)</x:f>
      </x:c>
      <x:c r="D149" t="str">
        <x:f>IF(CaseLedger!$A149="","",CaseLedger!K149)</x:f>
      </x:c>
      <x:c r="E149" t="str">
        <x:f>IF(CaseLedger!$A149="","",CaseLedger!L149)</x:f>
      </x:c>
      <x:c r="F149" t="str">
        <x:f>IF(CaseLedger!$A149="","",CaseLedger!P149)</x:f>
      </x:c>
      <x:c r="G149" t="str">
        <x:f>IF(CaseLedger!$A149="","",CaseLedger!F149)</x:f>
      </x:c>
      <x:c r="H149" t="str">
        <x:f>IF(CaseLedger!$A149="","",CaseLedger!Q149)</x:f>
      </x:c>
      <x:c r="I149" t="str">
        <x:f>IF(CaseLedger!$A149="","",CaseLedger!R149)</x:f>
      </x:c>
      <x:c r="J149" t="str">
        <x:f>IF(CaseLedger!$A149="","",CaseLedger!S149)</x:f>
      </x:c>
      <x:c r="K149" t="str">
        <x:f>IF(CaseLedger!$A149="","",CaseLedger!T149)</x:f>
      </x:c>
      <x:c r="L149" t="str">
        <x:f>IF(CaseLedger!$A149="","",CaseLedger!U149)</x:f>
      </x:c>
      <x:c r="M149" t="str">
        <x:f>IF(CaseLedger!$A149="","",CaseLedger!V149)</x:f>
      </x:c>
      <x:c r="N149" t="str">
        <x:f>IF(CaseLedger!$A149="","",CaseLedger!W149)</x:f>
      </x:c>
      <x:c r="O149" t="str">
        <x:f>IF(CaseLedger!$A149="","",CaseLedger!X149)</x:f>
      </x:c>
      <x:c r="P149" t="str">
        <x:f>IF(CaseLedger!$A149="","",CaseLedger!E149)</x:f>
      </x:c>
      <x:c r="Q149" t="str">
        <x:f>IF(CaseLedger!$A149="","",CaseLedger!C149)</x:f>
      </x:c>
      <x:c r="R149" t="str">
        <x:f>IF(CaseLedger!$A149="","",CaseLedger!D149)</x:f>
      </x:c>
      <x:c r="S149" t="str">
        <x:f>IFERROR(IF(CaseLedger!$A149="","",CaseLedger!Y149),"")</x:f>
      </x:c>
      <x:c r="T149" t="str">
        <x:f>IFERROR(IF(CaseLedger!$A149="","",CaseLedger!Z149),"")</x:f>
      </x:c>
      <x:c r="U149" t="str">
        <x:f>IFERROR(IF(CaseLedger!$A149="","",CaseLedger!AA149),"")</x:f>
      </x:c>
      <x:c r="V149" t="str">
        <x:f>IFERROR(IF(CaseLedger!$A149="","",CaseLedger!AB149),"")</x:f>
      </x:c>
      <x:c r="W149" t="str">
        <x:f>IFERROR(IF(CaseLedger!$A149="","",CaseLedger!AC149),"")</x:f>
      </x:c>
      <x:c r="X149" t="str">
        <x:f>IFERROR(IF(CaseLedger!$A149="","",CaseLedger!AD149),"")</x:f>
      </x:c>
      <x:c r="Y149" t="str">
        <x:f>IFERROR(IF(CaseLedger!$A149="","",CaseLedger!AE149),"")</x:f>
      </x:c>
      <x:c r="Z149" t="str">
        <x:f>IFERROR(IF(CaseLedger!$A149="","",CaseLedger!AF149),"")</x:f>
      </x:c>
      <x:c r="AA149" t="str">
        <x:f>IFERROR(IF(CaseLedger!$A149="","",CaseLedger!AG149),"")</x:f>
      </x:c>
      <x:c r="AB149" t="str">
        <x:f>IFERROR(IF(CaseLedger!$A149="","",CaseLedger!AH149),"")</x:f>
      </x:c>
      <x:c r="AC149" t="str">
        <x:f>IFERROR(IF(CaseLedger!$A149="","",CaseLedger!AI149),"")</x:f>
      </x:c>
    </x:row>
    <x:row r="150">
      <x:c r="A150" t="str">
        <x:f>IF(CaseLedger!$A150="","",CaseLedger!A150)</x:f>
      </x:c>
      <x:c r="B150" t="str">
        <x:f>IF(CaseLedger!$A150="","",CaseLedger!I150)</x:f>
      </x:c>
      <x:c r="C150" t="str">
        <x:f>IF(CaseLedger!$A150="","",CaseLedger!J150)</x:f>
      </x:c>
      <x:c r="D150" t="str">
        <x:f>IF(CaseLedger!$A150="","",CaseLedger!K150)</x:f>
      </x:c>
      <x:c r="E150" t="str">
        <x:f>IF(CaseLedger!$A150="","",CaseLedger!L150)</x:f>
      </x:c>
      <x:c r="F150" t="str">
        <x:f>IF(CaseLedger!$A150="","",CaseLedger!P150)</x:f>
      </x:c>
      <x:c r="G150" t="str">
        <x:f>IF(CaseLedger!$A150="","",CaseLedger!F150)</x:f>
      </x:c>
      <x:c r="H150" t="str">
        <x:f>IF(CaseLedger!$A150="","",CaseLedger!Q150)</x:f>
      </x:c>
      <x:c r="I150" t="str">
        <x:f>IF(CaseLedger!$A150="","",CaseLedger!R150)</x:f>
      </x:c>
      <x:c r="J150" t="str">
        <x:f>IF(CaseLedger!$A150="","",CaseLedger!S150)</x:f>
      </x:c>
      <x:c r="K150" t="str">
        <x:f>IF(CaseLedger!$A150="","",CaseLedger!T150)</x:f>
      </x:c>
      <x:c r="L150" t="str">
        <x:f>IF(CaseLedger!$A150="","",CaseLedger!U150)</x:f>
      </x:c>
      <x:c r="M150" t="str">
        <x:f>IF(CaseLedger!$A150="","",CaseLedger!V150)</x:f>
      </x:c>
      <x:c r="N150" t="str">
        <x:f>IF(CaseLedger!$A150="","",CaseLedger!W150)</x:f>
      </x:c>
      <x:c r="O150" t="str">
        <x:f>IF(CaseLedger!$A150="","",CaseLedger!X150)</x:f>
      </x:c>
      <x:c r="P150" t="str">
        <x:f>IF(CaseLedger!$A150="","",CaseLedger!E150)</x:f>
      </x:c>
      <x:c r="Q150" t="str">
        <x:f>IF(CaseLedger!$A150="","",CaseLedger!C150)</x:f>
      </x:c>
      <x:c r="R150" t="str">
        <x:f>IF(CaseLedger!$A150="","",CaseLedger!D150)</x:f>
      </x:c>
      <x:c r="S150" t="str">
        <x:f>IFERROR(IF(CaseLedger!$A150="","",CaseLedger!Y150),"")</x:f>
      </x:c>
      <x:c r="T150" t="str">
        <x:f>IFERROR(IF(CaseLedger!$A150="","",CaseLedger!Z150),"")</x:f>
      </x:c>
      <x:c r="U150" t="str">
        <x:f>IFERROR(IF(CaseLedger!$A150="","",CaseLedger!AA150),"")</x:f>
      </x:c>
      <x:c r="V150" t="str">
        <x:f>IFERROR(IF(CaseLedger!$A150="","",CaseLedger!AB150),"")</x:f>
      </x:c>
      <x:c r="W150" t="str">
        <x:f>IFERROR(IF(CaseLedger!$A150="","",CaseLedger!AC150),"")</x:f>
      </x:c>
      <x:c r="X150" t="str">
        <x:f>IFERROR(IF(CaseLedger!$A150="","",CaseLedger!AD150),"")</x:f>
      </x:c>
      <x:c r="Y150" t="str">
        <x:f>IFERROR(IF(CaseLedger!$A150="","",CaseLedger!AE150),"")</x:f>
      </x:c>
      <x:c r="Z150" t="str">
        <x:f>IFERROR(IF(CaseLedger!$A150="","",CaseLedger!AF150),"")</x:f>
      </x:c>
      <x:c r="AA150" t="str">
        <x:f>IFERROR(IF(CaseLedger!$A150="","",CaseLedger!AG150),"")</x:f>
      </x:c>
      <x:c r="AB150" t="str">
        <x:f>IFERROR(IF(CaseLedger!$A150="","",CaseLedger!AH150),"")</x:f>
      </x:c>
      <x:c r="AC150" t="str">
        <x:f>IFERROR(IF(CaseLedger!$A150="","",CaseLedger!AI150),"")</x:f>
      </x:c>
    </x:row>
    <x:row r="151">
      <x:c r="A151" t="str">
        <x:f>IF(CaseLedger!$A151="","",CaseLedger!A151)</x:f>
      </x:c>
      <x:c r="B151" t="str">
        <x:f>IF(CaseLedger!$A151="","",CaseLedger!I151)</x:f>
      </x:c>
      <x:c r="C151" t="str">
        <x:f>IF(CaseLedger!$A151="","",CaseLedger!J151)</x:f>
      </x:c>
      <x:c r="D151" t="str">
        <x:f>IF(CaseLedger!$A151="","",CaseLedger!K151)</x:f>
      </x:c>
      <x:c r="E151" t="str">
        <x:f>IF(CaseLedger!$A151="","",CaseLedger!L151)</x:f>
      </x:c>
      <x:c r="F151" t="str">
        <x:f>IF(CaseLedger!$A151="","",CaseLedger!P151)</x:f>
      </x:c>
      <x:c r="G151" t="str">
        <x:f>IF(CaseLedger!$A151="","",CaseLedger!F151)</x:f>
      </x:c>
      <x:c r="H151" t="str">
        <x:f>IF(CaseLedger!$A151="","",CaseLedger!Q151)</x:f>
      </x:c>
      <x:c r="I151" t="str">
        <x:f>IF(CaseLedger!$A151="","",CaseLedger!R151)</x:f>
      </x:c>
      <x:c r="J151" t="str">
        <x:f>IF(CaseLedger!$A151="","",CaseLedger!S151)</x:f>
      </x:c>
      <x:c r="K151" t="str">
        <x:f>IF(CaseLedger!$A151="","",CaseLedger!T151)</x:f>
      </x:c>
      <x:c r="L151" t="str">
        <x:f>IF(CaseLedger!$A151="","",CaseLedger!U151)</x:f>
      </x:c>
      <x:c r="M151" t="str">
        <x:f>IF(CaseLedger!$A151="","",CaseLedger!V151)</x:f>
      </x:c>
      <x:c r="N151" t="str">
        <x:f>IF(CaseLedger!$A151="","",CaseLedger!W151)</x:f>
      </x:c>
      <x:c r="O151" t="str">
        <x:f>IF(CaseLedger!$A151="","",CaseLedger!X151)</x:f>
      </x:c>
      <x:c r="P151" t="str">
        <x:f>IF(CaseLedger!$A151="","",CaseLedger!E151)</x:f>
      </x:c>
      <x:c r="Q151" t="str">
        <x:f>IF(CaseLedger!$A151="","",CaseLedger!C151)</x:f>
      </x:c>
      <x:c r="R151" t="str">
        <x:f>IF(CaseLedger!$A151="","",CaseLedger!D151)</x:f>
      </x:c>
      <x:c r="S151" t="str">
        <x:f>IFERROR(IF(CaseLedger!$A151="","",CaseLedger!Y151),"")</x:f>
      </x:c>
      <x:c r="T151" t="str">
        <x:f>IFERROR(IF(CaseLedger!$A151="","",CaseLedger!Z151),"")</x:f>
      </x:c>
      <x:c r="U151" t="str">
        <x:f>IFERROR(IF(CaseLedger!$A151="","",CaseLedger!AA151),"")</x:f>
      </x:c>
      <x:c r="V151" t="str">
        <x:f>IFERROR(IF(CaseLedger!$A151="","",CaseLedger!AB151),"")</x:f>
      </x:c>
      <x:c r="W151" t="str">
        <x:f>IFERROR(IF(CaseLedger!$A151="","",CaseLedger!AC151),"")</x:f>
      </x:c>
      <x:c r="X151" t="str">
        <x:f>IFERROR(IF(CaseLedger!$A151="","",CaseLedger!AD151),"")</x:f>
      </x:c>
      <x:c r="Y151" t="str">
        <x:f>IFERROR(IF(CaseLedger!$A151="","",CaseLedger!AE151),"")</x:f>
      </x:c>
      <x:c r="Z151" t="str">
        <x:f>IFERROR(IF(CaseLedger!$A151="","",CaseLedger!AF151),"")</x:f>
      </x:c>
      <x:c r="AA151" t="str">
        <x:f>IFERROR(IF(CaseLedger!$A151="","",CaseLedger!AG151),"")</x:f>
      </x:c>
      <x:c r="AB151" t="str">
        <x:f>IFERROR(IF(CaseLedger!$A151="","",CaseLedger!AH151),"")</x:f>
      </x:c>
      <x:c r="AC151" t="str">
        <x:f>IFERROR(IF(CaseLedger!$A151="","",CaseLedger!AI151),"")</x:f>
      </x:c>
    </x:row>
    <x:row r="152">
      <x:c r="A152" t="str">
        <x:f>IF(CaseLedger!$A152="","",CaseLedger!A152)</x:f>
      </x:c>
      <x:c r="B152" t="str">
        <x:f>IF(CaseLedger!$A152="","",CaseLedger!I152)</x:f>
      </x:c>
      <x:c r="C152" t="str">
        <x:f>IF(CaseLedger!$A152="","",CaseLedger!J152)</x:f>
      </x:c>
      <x:c r="D152" t="str">
        <x:f>IF(CaseLedger!$A152="","",CaseLedger!K152)</x:f>
      </x:c>
      <x:c r="E152" t="str">
        <x:f>IF(CaseLedger!$A152="","",CaseLedger!L152)</x:f>
      </x:c>
      <x:c r="F152" t="str">
        <x:f>IF(CaseLedger!$A152="","",CaseLedger!P152)</x:f>
      </x:c>
      <x:c r="G152" t="str">
        <x:f>IF(CaseLedger!$A152="","",CaseLedger!F152)</x:f>
      </x:c>
      <x:c r="H152" t="str">
        <x:f>IF(CaseLedger!$A152="","",CaseLedger!Q152)</x:f>
      </x:c>
      <x:c r="I152" t="str">
        <x:f>IF(CaseLedger!$A152="","",CaseLedger!R152)</x:f>
      </x:c>
      <x:c r="J152" t="str">
        <x:f>IF(CaseLedger!$A152="","",CaseLedger!S152)</x:f>
      </x:c>
      <x:c r="K152" t="str">
        <x:f>IF(CaseLedger!$A152="","",CaseLedger!T152)</x:f>
      </x:c>
      <x:c r="L152" t="str">
        <x:f>IF(CaseLedger!$A152="","",CaseLedger!U152)</x:f>
      </x:c>
      <x:c r="M152" t="str">
        <x:f>IF(CaseLedger!$A152="","",CaseLedger!V152)</x:f>
      </x:c>
      <x:c r="N152" t="str">
        <x:f>IF(CaseLedger!$A152="","",CaseLedger!W152)</x:f>
      </x:c>
      <x:c r="O152" t="str">
        <x:f>IF(CaseLedger!$A152="","",CaseLedger!X152)</x:f>
      </x:c>
      <x:c r="P152" t="str">
        <x:f>IF(CaseLedger!$A152="","",CaseLedger!E152)</x:f>
      </x:c>
      <x:c r="Q152" t="str">
        <x:f>IF(CaseLedger!$A152="","",CaseLedger!C152)</x:f>
      </x:c>
      <x:c r="R152" t="str">
        <x:f>IF(CaseLedger!$A152="","",CaseLedger!D152)</x:f>
      </x:c>
      <x:c r="S152" t="str">
        <x:f>IFERROR(IF(CaseLedger!$A152="","",CaseLedger!Y152),"")</x:f>
      </x:c>
      <x:c r="T152" t="str">
        <x:f>IFERROR(IF(CaseLedger!$A152="","",CaseLedger!Z152),"")</x:f>
      </x:c>
      <x:c r="U152" t="str">
        <x:f>IFERROR(IF(CaseLedger!$A152="","",CaseLedger!AA152),"")</x:f>
      </x:c>
      <x:c r="V152" t="str">
        <x:f>IFERROR(IF(CaseLedger!$A152="","",CaseLedger!AB152),"")</x:f>
      </x:c>
      <x:c r="W152" t="str">
        <x:f>IFERROR(IF(CaseLedger!$A152="","",CaseLedger!AC152),"")</x:f>
      </x:c>
      <x:c r="X152" t="str">
        <x:f>IFERROR(IF(CaseLedger!$A152="","",CaseLedger!AD152),"")</x:f>
      </x:c>
      <x:c r="Y152" t="str">
        <x:f>IFERROR(IF(CaseLedger!$A152="","",CaseLedger!AE152),"")</x:f>
      </x:c>
      <x:c r="Z152" t="str">
        <x:f>IFERROR(IF(CaseLedger!$A152="","",CaseLedger!AF152),"")</x:f>
      </x:c>
      <x:c r="AA152" t="str">
        <x:f>IFERROR(IF(CaseLedger!$A152="","",CaseLedger!AG152),"")</x:f>
      </x:c>
      <x:c r="AB152" t="str">
        <x:f>IFERROR(IF(CaseLedger!$A152="","",CaseLedger!AH152),"")</x:f>
      </x:c>
      <x:c r="AC152" t="str">
        <x:f>IFERROR(IF(CaseLedger!$A152="","",CaseLedger!AI152),"")</x:f>
      </x:c>
    </x:row>
    <x:row r="153">
      <x:c r="A153" t="str">
        <x:f>IF(CaseLedger!$A153="","",CaseLedger!A153)</x:f>
      </x:c>
      <x:c r="B153" t="str">
        <x:f>IF(CaseLedger!$A153="","",CaseLedger!I153)</x:f>
      </x:c>
      <x:c r="C153" t="str">
        <x:f>IF(CaseLedger!$A153="","",CaseLedger!J153)</x:f>
      </x:c>
      <x:c r="D153" t="str">
        <x:f>IF(CaseLedger!$A153="","",CaseLedger!K153)</x:f>
      </x:c>
      <x:c r="E153" t="str">
        <x:f>IF(CaseLedger!$A153="","",CaseLedger!L153)</x:f>
      </x:c>
      <x:c r="F153" t="str">
        <x:f>IF(CaseLedger!$A153="","",CaseLedger!P153)</x:f>
      </x:c>
      <x:c r="G153" t="str">
        <x:f>IF(CaseLedger!$A153="","",CaseLedger!F153)</x:f>
      </x:c>
      <x:c r="H153" t="str">
        <x:f>IF(CaseLedger!$A153="","",CaseLedger!Q153)</x:f>
      </x:c>
      <x:c r="I153" t="str">
        <x:f>IF(CaseLedger!$A153="","",CaseLedger!R153)</x:f>
      </x:c>
      <x:c r="J153" t="str">
        <x:f>IF(CaseLedger!$A153="","",CaseLedger!S153)</x:f>
      </x:c>
      <x:c r="K153" t="str">
        <x:f>IF(CaseLedger!$A153="","",CaseLedger!T153)</x:f>
      </x:c>
      <x:c r="L153" t="str">
        <x:f>IF(CaseLedger!$A153="","",CaseLedger!U153)</x:f>
      </x:c>
      <x:c r="M153" t="str">
        <x:f>IF(CaseLedger!$A153="","",CaseLedger!V153)</x:f>
      </x:c>
      <x:c r="N153" t="str">
        <x:f>IF(CaseLedger!$A153="","",CaseLedger!W153)</x:f>
      </x:c>
      <x:c r="O153" t="str">
        <x:f>IF(CaseLedger!$A153="","",CaseLedger!X153)</x:f>
      </x:c>
      <x:c r="P153" t="str">
        <x:f>IF(CaseLedger!$A153="","",CaseLedger!E153)</x:f>
      </x:c>
      <x:c r="Q153" t="str">
        <x:f>IF(CaseLedger!$A153="","",CaseLedger!C153)</x:f>
      </x:c>
      <x:c r="R153" t="str">
        <x:f>IF(CaseLedger!$A153="","",CaseLedger!D153)</x:f>
      </x:c>
      <x:c r="S153" t="str">
        <x:f>IFERROR(IF(CaseLedger!$A153="","",CaseLedger!Y153),"")</x:f>
      </x:c>
      <x:c r="T153" t="str">
        <x:f>IFERROR(IF(CaseLedger!$A153="","",CaseLedger!Z153),"")</x:f>
      </x:c>
      <x:c r="U153" t="str">
        <x:f>IFERROR(IF(CaseLedger!$A153="","",CaseLedger!AA153),"")</x:f>
      </x:c>
      <x:c r="V153" t="str">
        <x:f>IFERROR(IF(CaseLedger!$A153="","",CaseLedger!AB153),"")</x:f>
      </x:c>
      <x:c r="W153" t="str">
        <x:f>IFERROR(IF(CaseLedger!$A153="","",CaseLedger!AC153),"")</x:f>
      </x:c>
      <x:c r="X153" t="str">
        <x:f>IFERROR(IF(CaseLedger!$A153="","",CaseLedger!AD153),"")</x:f>
      </x:c>
      <x:c r="Y153" t="str">
        <x:f>IFERROR(IF(CaseLedger!$A153="","",CaseLedger!AE153),"")</x:f>
      </x:c>
      <x:c r="Z153" t="str">
        <x:f>IFERROR(IF(CaseLedger!$A153="","",CaseLedger!AF153),"")</x:f>
      </x:c>
      <x:c r="AA153" t="str">
        <x:f>IFERROR(IF(CaseLedger!$A153="","",CaseLedger!AG153),"")</x:f>
      </x:c>
      <x:c r="AB153" t="str">
        <x:f>IFERROR(IF(CaseLedger!$A153="","",CaseLedger!AH153),"")</x:f>
      </x:c>
      <x:c r="AC153" t="str">
        <x:f>IFERROR(IF(CaseLedger!$A153="","",CaseLedger!AI153),"")</x:f>
      </x:c>
    </x:row>
    <x:row r="154">
      <x:c r="A154" t="str">
        <x:f>IF(CaseLedger!$A154="","",CaseLedger!A154)</x:f>
      </x:c>
      <x:c r="B154" t="str">
        <x:f>IF(CaseLedger!$A154="","",CaseLedger!I154)</x:f>
      </x:c>
      <x:c r="C154" t="str">
        <x:f>IF(CaseLedger!$A154="","",CaseLedger!J154)</x:f>
      </x:c>
      <x:c r="D154" t="str">
        <x:f>IF(CaseLedger!$A154="","",CaseLedger!K154)</x:f>
      </x:c>
      <x:c r="E154" t="str">
        <x:f>IF(CaseLedger!$A154="","",CaseLedger!L154)</x:f>
      </x:c>
      <x:c r="F154" t="str">
        <x:f>IF(CaseLedger!$A154="","",CaseLedger!P154)</x:f>
      </x:c>
      <x:c r="G154" t="str">
        <x:f>IF(CaseLedger!$A154="","",CaseLedger!F154)</x:f>
      </x:c>
      <x:c r="H154" t="str">
        <x:f>IF(CaseLedger!$A154="","",CaseLedger!Q154)</x:f>
      </x:c>
      <x:c r="I154" t="str">
        <x:f>IF(CaseLedger!$A154="","",CaseLedger!R154)</x:f>
      </x:c>
      <x:c r="J154" t="str">
        <x:f>IF(CaseLedger!$A154="","",CaseLedger!S154)</x:f>
      </x:c>
      <x:c r="K154" t="str">
        <x:f>IF(CaseLedger!$A154="","",CaseLedger!T154)</x:f>
      </x:c>
      <x:c r="L154" t="str">
        <x:f>IF(CaseLedger!$A154="","",CaseLedger!U154)</x:f>
      </x:c>
      <x:c r="M154" t="str">
        <x:f>IF(CaseLedger!$A154="","",CaseLedger!V154)</x:f>
      </x:c>
      <x:c r="N154" t="str">
        <x:f>IF(CaseLedger!$A154="","",CaseLedger!W154)</x:f>
      </x:c>
      <x:c r="O154" t="str">
        <x:f>IF(CaseLedger!$A154="","",CaseLedger!X154)</x:f>
      </x:c>
      <x:c r="P154" t="str">
        <x:f>IF(CaseLedger!$A154="","",CaseLedger!E154)</x:f>
      </x:c>
      <x:c r="Q154" t="str">
        <x:f>IF(CaseLedger!$A154="","",CaseLedger!C154)</x:f>
      </x:c>
      <x:c r="R154" t="str">
        <x:f>IF(CaseLedger!$A154="","",CaseLedger!D154)</x:f>
      </x:c>
      <x:c r="S154" t="str">
        <x:f>IFERROR(IF(CaseLedger!$A154="","",CaseLedger!Y154),"")</x:f>
      </x:c>
      <x:c r="T154" t="str">
        <x:f>IFERROR(IF(CaseLedger!$A154="","",CaseLedger!Z154),"")</x:f>
      </x:c>
      <x:c r="U154" t="str">
        <x:f>IFERROR(IF(CaseLedger!$A154="","",CaseLedger!AA154),"")</x:f>
      </x:c>
      <x:c r="V154" t="str">
        <x:f>IFERROR(IF(CaseLedger!$A154="","",CaseLedger!AB154),"")</x:f>
      </x:c>
      <x:c r="W154" t="str">
        <x:f>IFERROR(IF(CaseLedger!$A154="","",CaseLedger!AC154),"")</x:f>
      </x:c>
      <x:c r="X154" t="str">
        <x:f>IFERROR(IF(CaseLedger!$A154="","",CaseLedger!AD154),"")</x:f>
      </x:c>
      <x:c r="Y154" t="str">
        <x:f>IFERROR(IF(CaseLedger!$A154="","",CaseLedger!AE154),"")</x:f>
      </x:c>
      <x:c r="Z154" t="str">
        <x:f>IFERROR(IF(CaseLedger!$A154="","",CaseLedger!AF154),"")</x:f>
      </x:c>
      <x:c r="AA154" t="str">
        <x:f>IFERROR(IF(CaseLedger!$A154="","",CaseLedger!AG154),"")</x:f>
      </x:c>
      <x:c r="AB154" t="str">
        <x:f>IFERROR(IF(CaseLedger!$A154="","",CaseLedger!AH154),"")</x:f>
      </x:c>
      <x:c r="AC154" t="str">
        <x:f>IFERROR(IF(CaseLedger!$A154="","",CaseLedger!AI154),"")</x:f>
      </x:c>
    </x:row>
    <x:row r="155">
      <x:c r="A155" t="str">
        <x:f>IF(CaseLedger!$A155="","",CaseLedger!A155)</x:f>
      </x:c>
      <x:c r="B155" t="str">
        <x:f>IF(CaseLedger!$A155="","",CaseLedger!I155)</x:f>
      </x:c>
      <x:c r="C155" t="str">
        <x:f>IF(CaseLedger!$A155="","",CaseLedger!J155)</x:f>
      </x:c>
      <x:c r="D155" t="str">
        <x:f>IF(CaseLedger!$A155="","",CaseLedger!K155)</x:f>
      </x:c>
      <x:c r="E155" t="str">
        <x:f>IF(CaseLedger!$A155="","",CaseLedger!L155)</x:f>
      </x:c>
      <x:c r="F155" t="str">
        <x:f>IF(CaseLedger!$A155="","",CaseLedger!P155)</x:f>
      </x:c>
      <x:c r="G155" t="str">
        <x:f>IF(CaseLedger!$A155="","",CaseLedger!F155)</x:f>
      </x:c>
      <x:c r="H155" t="str">
        <x:f>IF(CaseLedger!$A155="","",CaseLedger!Q155)</x:f>
      </x:c>
      <x:c r="I155" t="str">
        <x:f>IF(CaseLedger!$A155="","",CaseLedger!R155)</x:f>
      </x:c>
      <x:c r="J155" t="str">
        <x:f>IF(CaseLedger!$A155="","",CaseLedger!S155)</x:f>
      </x:c>
      <x:c r="K155" t="str">
        <x:f>IF(CaseLedger!$A155="","",CaseLedger!T155)</x:f>
      </x:c>
      <x:c r="L155" t="str">
        <x:f>IF(CaseLedger!$A155="","",CaseLedger!U155)</x:f>
      </x:c>
      <x:c r="M155" t="str">
        <x:f>IF(CaseLedger!$A155="","",CaseLedger!V155)</x:f>
      </x:c>
      <x:c r="N155" t="str">
        <x:f>IF(CaseLedger!$A155="","",CaseLedger!W155)</x:f>
      </x:c>
      <x:c r="O155" t="str">
        <x:f>IF(CaseLedger!$A155="","",CaseLedger!X155)</x:f>
      </x:c>
      <x:c r="P155" t="str">
        <x:f>IF(CaseLedger!$A155="","",CaseLedger!E155)</x:f>
      </x:c>
      <x:c r="Q155" t="str">
        <x:f>IF(CaseLedger!$A155="","",CaseLedger!C155)</x:f>
      </x:c>
      <x:c r="R155" t="str">
        <x:f>IF(CaseLedger!$A155="","",CaseLedger!D155)</x:f>
      </x:c>
      <x:c r="S155" t="str">
        <x:f>IFERROR(IF(CaseLedger!$A155="","",CaseLedger!Y155),"")</x:f>
      </x:c>
      <x:c r="T155" t="str">
        <x:f>IFERROR(IF(CaseLedger!$A155="","",CaseLedger!Z155),"")</x:f>
      </x:c>
      <x:c r="U155" t="str">
        <x:f>IFERROR(IF(CaseLedger!$A155="","",CaseLedger!AA155),"")</x:f>
      </x:c>
      <x:c r="V155" t="str">
        <x:f>IFERROR(IF(CaseLedger!$A155="","",CaseLedger!AB155),"")</x:f>
      </x:c>
      <x:c r="W155" t="str">
        <x:f>IFERROR(IF(CaseLedger!$A155="","",CaseLedger!AC155),"")</x:f>
      </x:c>
      <x:c r="X155" t="str">
        <x:f>IFERROR(IF(CaseLedger!$A155="","",CaseLedger!AD155),"")</x:f>
      </x:c>
      <x:c r="Y155" t="str">
        <x:f>IFERROR(IF(CaseLedger!$A155="","",CaseLedger!AE155),"")</x:f>
      </x:c>
      <x:c r="Z155" t="str">
        <x:f>IFERROR(IF(CaseLedger!$A155="","",CaseLedger!AF155),"")</x:f>
      </x:c>
      <x:c r="AA155" t="str">
        <x:f>IFERROR(IF(CaseLedger!$A155="","",CaseLedger!AG155),"")</x:f>
      </x:c>
      <x:c r="AB155" t="str">
        <x:f>IFERROR(IF(CaseLedger!$A155="","",CaseLedger!AH155),"")</x:f>
      </x:c>
      <x:c r="AC155" t="str">
        <x:f>IFERROR(IF(CaseLedger!$A155="","",CaseLedger!AI155),"")</x:f>
      </x:c>
    </x:row>
    <x:row r="156">
      <x:c r="A156" t="str">
        <x:f>IF(CaseLedger!$A156="","",CaseLedger!A156)</x:f>
      </x:c>
      <x:c r="B156" t="str">
        <x:f>IF(CaseLedger!$A156="","",CaseLedger!I156)</x:f>
      </x:c>
      <x:c r="C156" t="str">
        <x:f>IF(CaseLedger!$A156="","",CaseLedger!J156)</x:f>
      </x:c>
      <x:c r="D156" t="str">
        <x:f>IF(CaseLedger!$A156="","",CaseLedger!K156)</x:f>
      </x:c>
      <x:c r="E156" t="str">
        <x:f>IF(CaseLedger!$A156="","",CaseLedger!L156)</x:f>
      </x:c>
      <x:c r="F156" t="str">
        <x:f>IF(CaseLedger!$A156="","",CaseLedger!P156)</x:f>
      </x:c>
      <x:c r="G156" t="str">
        <x:f>IF(CaseLedger!$A156="","",CaseLedger!F156)</x:f>
      </x:c>
      <x:c r="H156" t="str">
        <x:f>IF(CaseLedger!$A156="","",CaseLedger!Q156)</x:f>
      </x:c>
      <x:c r="I156" t="str">
        <x:f>IF(CaseLedger!$A156="","",CaseLedger!R156)</x:f>
      </x:c>
      <x:c r="J156" t="str">
        <x:f>IF(CaseLedger!$A156="","",CaseLedger!S156)</x:f>
      </x:c>
      <x:c r="K156" t="str">
        <x:f>IF(CaseLedger!$A156="","",CaseLedger!T156)</x:f>
      </x:c>
      <x:c r="L156" t="str">
        <x:f>IF(CaseLedger!$A156="","",CaseLedger!U156)</x:f>
      </x:c>
      <x:c r="M156" t="str">
        <x:f>IF(CaseLedger!$A156="","",CaseLedger!V156)</x:f>
      </x:c>
      <x:c r="N156" t="str">
        <x:f>IF(CaseLedger!$A156="","",CaseLedger!W156)</x:f>
      </x:c>
      <x:c r="O156" t="str">
        <x:f>IF(CaseLedger!$A156="","",CaseLedger!X156)</x:f>
      </x:c>
      <x:c r="P156" t="str">
        <x:f>IF(CaseLedger!$A156="","",CaseLedger!E156)</x:f>
      </x:c>
      <x:c r="Q156" t="str">
        <x:f>IF(CaseLedger!$A156="","",CaseLedger!C156)</x:f>
      </x:c>
      <x:c r="R156" t="str">
        <x:f>IF(CaseLedger!$A156="","",CaseLedger!D156)</x:f>
      </x:c>
      <x:c r="S156" t="str">
        <x:f>IFERROR(IF(CaseLedger!$A156="","",CaseLedger!Y156),"")</x:f>
      </x:c>
      <x:c r="T156" t="str">
        <x:f>IFERROR(IF(CaseLedger!$A156="","",CaseLedger!Z156),"")</x:f>
      </x:c>
      <x:c r="U156" t="str">
        <x:f>IFERROR(IF(CaseLedger!$A156="","",CaseLedger!AA156),"")</x:f>
      </x:c>
      <x:c r="V156" t="str">
        <x:f>IFERROR(IF(CaseLedger!$A156="","",CaseLedger!AB156),"")</x:f>
      </x:c>
      <x:c r="W156" t="str">
        <x:f>IFERROR(IF(CaseLedger!$A156="","",CaseLedger!AC156),"")</x:f>
      </x:c>
      <x:c r="X156" t="str">
        <x:f>IFERROR(IF(CaseLedger!$A156="","",CaseLedger!AD156),"")</x:f>
      </x:c>
      <x:c r="Y156" t="str">
        <x:f>IFERROR(IF(CaseLedger!$A156="","",CaseLedger!AE156),"")</x:f>
      </x:c>
      <x:c r="Z156" t="str">
        <x:f>IFERROR(IF(CaseLedger!$A156="","",CaseLedger!AF156),"")</x:f>
      </x:c>
      <x:c r="AA156" t="str">
        <x:f>IFERROR(IF(CaseLedger!$A156="","",CaseLedger!AG156),"")</x:f>
      </x:c>
      <x:c r="AB156" t="str">
        <x:f>IFERROR(IF(CaseLedger!$A156="","",CaseLedger!AH156),"")</x:f>
      </x:c>
      <x:c r="AC156" t="str">
        <x:f>IFERROR(IF(CaseLedger!$A156="","",CaseLedger!AI156),"")</x:f>
      </x:c>
    </x:row>
    <x:row r="157">
      <x:c r="A157" t="str">
        <x:f>IF(CaseLedger!$A157="","",CaseLedger!A157)</x:f>
      </x:c>
      <x:c r="B157" t="str">
        <x:f>IF(CaseLedger!$A157="","",CaseLedger!I157)</x:f>
      </x:c>
      <x:c r="C157" t="str">
        <x:f>IF(CaseLedger!$A157="","",CaseLedger!J157)</x:f>
      </x:c>
      <x:c r="D157" t="str">
        <x:f>IF(CaseLedger!$A157="","",CaseLedger!K157)</x:f>
      </x:c>
      <x:c r="E157" t="str">
        <x:f>IF(CaseLedger!$A157="","",CaseLedger!L157)</x:f>
      </x:c>
      <x:c r="F157" t="str">
        <x:f>IF(CaseLedger!$A157="","",CaseLedger!P157)</x:f>
      </x:c>
      <x:c r="G157" t="str">
        <x:f>IF(CaseLedger!$A157="","",CaseLedger!F157)</x:f>
      </x:c>
      <x:c r="H157" t="str">
        <x:f>IF(CaseLedger!$A157="","",CaseLedger!Q157)</x:f>
      </x:c>
      <x:c r="I157" t="str">
        <x:f>IF(CaseLedger!$A157="","",CaseLedger!R157)</x:f>
      </x:c>
      <x:c r="J157" t="str">
        <x:f>IF(CaseLedger!$A157="","",CaseLedger!S157)</x:f>
      </x:c>
      <x:c r="K157" t="str">
        <x:f>IF(CaseLedger!$A157="","",CaseLedger!T157)</x:f>
      </x:c>
      <x:c r="L157" t="str">
        <x:f>IF(CaseLedger!$A157="","",CaseLedger!U157)</x:f>
      </x:c>
      <x:c r="M157" t="str">
        <x:f>IF(CaseLedger!$A157="","",CaseLedger!V157)</x:f>
      </x:c>
      <x:c r="N157" t="str">
        <x:f>IF(CaseLedger!$A157="","",CaseLedger!W157)</x:f>
      </x:c>
      <x:c r="O157" t="str">
        <x:f>IF(CaseLedger!$A157="","",CaseLedger!X157)</x:f>
      </x:c>
      <x:c r="P157" t="str">
        <x:f>IF(CaseLedger!$A157="","",CaseLedger!E157)</x:f>
      </x:c>
      <x:c r="Q157" t="str">
        <x:f>IF(CaseLedger!$A157="","",CaseLedger!C157)</x:f>
      </x:c>
      <x:c r="R157" t="str">
        <x:f>IF(CaseLedger!$A157="","",CaseLedger!D157)</x:f>
      </x:c>
      <x:c r="S157" t="str">
        <x:f>IFERROR(IF(CaseLedger!$A157="","",CaseLedger!Y157),"")</x:f>
      </x:c>
      <x:c r="T157" t="str">
        <x:f>IFERROR(IF(CaseLedger!$A157="","",CaseLedger!Z157),"")</x:f>
      </x:c>
      <x:c r="U157" t="str">
        <x:f>IFERROR(IF(CaseLedger!$A157="","",CaseLedger!AA157),"")</x:f>
      </x:c>
      <x:c r="V157" t="str">
        <x:f>IFERROR(IF(CaseLedger!$A157="","",CaseLedger!AB157),"")</x:f>
      </x:c>
      <x:c r="W157" t="str">
        <x:f>IFERROR(IF(CaseLedger!$A157="","",CaseLedger!AC157),"")</x:f>
      </x:c>
      <x:c r="X157" t="str">
        <x:f>IFERROR(IF(CaseLedger!$A157="","",CaseLedger!AD157),"")</x:f>
      </x:c>
      <x:c r="Y157" t="str">
        <x:f>IFERROR(IF(CaseLedger!$A157="","",CaseLedger!AE157),"")</x:f>
      </x:c>
      <x:c r="Z157" t="str">
        <x:f>IFERROR(IF(CaseLedger!$A157="","",CaseLedger!AF157),"")</x:f>
      </x:c>
      <x:c r="AA157" t="str">
        <x:f>IFERROR(IF(CaseLedger!$A157="","",CaseLedger!AG157),"")</x:f>
      </x:c>
      <x:c r="AB157" t="str">
        <x:f>IFERROR(IF(CaseLedger!$A157="","",CaseLedger!AH157),"")</x:f>
      </x:c>
      <x:c r="AC157" t="str">
        <x:f>IFERROR(IF(CaseLedger!$A157="","",CaseLedger!AI157),"")</x:f>
      </x:c>
    </x:row>
    <x:row r="158">
      <x:c r="A158" t="str">
        <x:f>IF(CaseLedger!$A158="","",CaseLedger!A158)</x:f>
      </x:c>
      <x:c r="B158" t="str">
        <x:f>IF(CaseLedger!$A158="","",CaseLedger!I158)</x:f>
      </x:c>
      <x:c r="C158" t="str">
        <x:f>IF(CaseLedger!$A158="","",CaseLedger!J158)</x:f>
      </x:c>
      <x:c r="D158" t="str">
        <x:f>IF(CaseLedger!$A158="","",CaseLedger!K158)</x:f>
      </x:c>
      <x:c r="E158" t="str">
        <x:f>IF(CaseLedger!$A158="","",CaseLedger!L158)</x:f>
      </x:c>
      <x:c r="F158" t="str">
        <x:f>IF(CaseLedger!$A158="","",CaseLedger!P158)</x:f>
      </x:c>
      <x:c r="G158" t="str">
        <x:f>IF(CaseLedger!$A158="","",CaseLedger!F158)</x:f>
      </x:c>
      <x:c r="H158" t="str">
        <x:f>IF(CaseLedger!$A158="","",CaseLedger!Q158)</x:f>
      </x:c>
      <x:c r="I158" t="str">
        <x:f>IF(CaseLedger!$A158="","",CaseLedger!R158)</x:f>
      </x:c>
      <x:c r="J158" t="str">
        <x:f>IF(CaseLedger!$A158="","",CaseLedger!S158)</x:f>
      </x:c>
      <x:c r="K158" t="str">
        <x:f>IF(CaseLedger!$A158="","",CaseLedger!T158)</x:f>
      </x:c>
      <x:c r="L158" t="str">
        <x:f>IF(CaseLedger!$A158="","",CaseLedger!U158)</x:f>
      </x:c>
      <x:c r="M158" t="str">
        <x:f>IF(CaseLedger!$A158="","",CaseLedger!V158)</x:f>
      </x:c>
      <x:c r="N158" t="str">
        <x:f>IF(CaseLedger!$A158="","",CaseLedger!W158)</x:f>
      </x:c>
      <x:c r="O158" t="str">
        <x:f>IF(CaseLedger!$A158="","",CaseLedger!X158)</x:f>
      </x:c>
      <x:c r="P158" t="str">
        <x:f>IF(CaseLedger!$A158="","",CaseLedger!E158)</x:f>
      </x:c>
      <x:c r="Q158" t="str">
        <x:f>IF(CaseLedger!$A158="","",CaseLedger!C158)</x:f>
      </x:c>
      <x:c r="R158" t="str">
        <x:f>IF(CaseLedger!$A158="","",CaseLedger!D158)</x:f>
      </x:c>
      <x:c r="S158" t="str">
        <x:f>IFERROR(IF(CaseLedger!$A158="","",CaseLedger!Y158),"")</x:f>
      </x:c>
      <x:c r="T158" t="str">
        <x:f>IFERROR(IF(CaseLedger!$A158="","",CaseLedger!Z158),"")</x:f>
      </x:c>
      <x:c r="U158" t="str">
        <x:f>IFERROR(IF(CaseLedger!$A158="","",CaseLedger!AA158),"")</x:f>
      </x:c>
      <x:c r="V158" t="str">
        <x:f>IFERROR(IF(CaseLedger!$A158="","",CaseLedger!AB158),"")</x:f>
      </x:c>
      <x:c r="W158" t="str">
        <x:f>IFERROR(IF(CaseLedger!$A158="","",CaseLedger!AC158),"")</x:f>
      </x:c>
      <x:c r="X158" t="str">
        <x:f>IFERROR(IF(CaseLedger!$A158="","",CaseLedger!AD158),"")</x:f>
      </x:c>
      <x:c r="Y158" t="str">
        <x:f>IFERROR(IF(CaseLedger!$A158="","",CaseLedger!AE158),"")</x:f>
      </x:c>
      <x:c r="Z158" t="str">
        <x:f>IFERROR(IF(CaseLedger!$A158="","",CaseLedger!AF158),"")</x:f>
      </x:c>
      <x:c r="AA158" t="str">
        <x:f>IFERROR(IF(CaseLedger!$A158="","",CaseLedger!AG158),"")</x:f>
      </x:c>
      <x:c r="AB158" t="str">
        <x:f>IFERROR(IF(CaseLedger!$A158="","",CaseLedger!AH158),"")</x:f>
      </x:c>
      <x:c r="AC158" t="str">
        <x:f>IFERROR(IF(CaseLedger!$A158="","",CaseLedger!AI158),"")</x:f>
      </x:c>
    </x:row>
    <x:row r="159">
      <x:c r="A159" t="str">
        <x:f>IF(CaseLedger!$A159="","",CaseLedger!A159)</x:f>
      </x:c>
      <x:c r="B159" t="str">
        <x:f>IF(CaseLedger!$A159="","",CaseLedger!I159)</x:f>
      </x:c>
      <x:c r="C159" t="str">
        <x:f>IF(CaseLedger!$A159="","",CaseLedger!J159)</x:f>
      </x:c>
      <x:c r="D159" t="str">
        <x:f>IF(CaseLedger!$A159="","",CaseLedger!K159)</x:f>
      </x:c>
      <x:c r="E159" t="str">
        <x:f>IF(CaseLedger!$A159="","",CaseLedger!L159)</x:f>
      </x:c>
      <x:c r="F159" t="str">
        <x:f>IF(CaseLedger!$A159="","",CaseLedger!P159)</x:f>
      </x:c>
      <x:c r="G159" t="str">
        <x:f>IF(CaseLedger!$A159="","",CaseLedger!F159)</x:f>
      </x:c>
      <x:c r="H159" t="str">
        <x:f>IF(CaseLedger!$A159="","",CaseLedger!Q159)</x:f>
      </x:c>
      <x:c r="I159" t="str">
        <x:f>IF(CaseLedger!$A159="","",CaseLedger!R159)</x:f>
      </x:c>
      <x:c r="J159" t="str">
        <x:f>IF(CaseLedger!$A159="","",CaseLedger!S159)</x:f>
      </x:c>
      <x:c r="K159" t="str">
        <x:f>IF(CaseLedger!$A159="","",CaseLedger!T159)</x:f>
      </x:c>
      <x:c r="L159" t="str">
        <x:f>IF(CaseLedger!$A159="","",CaseLedger!U159)</x:f>
      </x:c>
      <x:c r="M159" t="str">
        <x:f>IF(CaseLedger!$A159="","",CaseLedger!V159)</x:f>
      </x:c>
      <x:c r="N159" t="str">
        <x:f>IF(CaseLedger!$A159="","",CaseLedger!W159)</x:f>
      </x:c>
      <x:c r="O159" t="str">
        <x:f>IF(CaseLedger!$A159="","",CaseLedger!X159)</x:f>
      </x:c>
      <x:c r="P159" t="str">
        <x:f>IF(CaseLedger!$A159="","",CaseLedger!E159)</x:f>
      </x:c>
      <x:c r="Q159" t="str">
        <x:f>IF(CaseLedger!$A159="","",CaseLedger!C159)</x:f>
      </x:c>
      <x:c r="R159" t="str">
        <x:f>IF(CaseLedger!$A159="","",CaseLedger!D159)</x:f>
      </x:c>
      <x:c r="S159" t="str">
        <x:f>IFERROR(IF(CaseLedger!$A159="","",CaseLedger!Y159),"")</x:f>
      </x:c>
      <x:c r="T159" t="str">
        <x:f>IFERROR(IF(CaseLedger!$A159="","",CaseLedger!Z159),"")</x:f>
      </x:c>
      <x:c r="U159" t="str">
        <x:f>IFERROR(IF(CaseLedger!$A159="","",CaseLedger!AA159),"")</x:f>
      </x:c>
      <x:c r="V159" t="str">
        <x:f>IFERROR(IF(CaseLedger!$A159="","",CaseLedger!AB159),"")</x:f>
      </x:c>
      <x:c r="W159" t="str">
        <x:f>IFERROR(IF(CaseLedger!$A159="","",CaseLedger!AC159),"")</x:f>
      </x:c>
      <x:c r="X159" t="str">
        <x:f>IFERROR(IF(CaseLedger!$A159="","",CaseLedger!AD159),"")</x:f>
      </x:c>
      <x:c r="Y159" t="str">
        <x:f>IFERROR(IF(CaseLedger!$A159="","",CaseLedger!AE159),"")</x:f>
      </x:c>
      <x:c r="Z159" t="str">
        <x:f>IFERROR(IF(CaseLedger!$A159="","",CaseLedger!AF159),"")</x:f>
      </x:c>
      <x:c r="AA159" t="str">
        <x:f>IFERROR(IF(CaseLedger!$A159="","",CaseLedger!AG159),"")</x:f>
      </x:c>
      <x:c r="AB159" t="str">
        <x:f>IFERROR(IF(CaseLedger!$A159="","",CaseLedger!AH159),"")</x:f>
      </x:c>
      <x:c r="AC159" t="str">
        <x:f>IFERROR(IF(CaseLedger!$A159="","",CaseLedger!AI159),"")</x:f>
      </x:c>
    </x:row>
    <x:row r="160">
      <x:c r="A160" t="str">
        <x:f>IF(CaseLedger!$A160="","",CaseLedger!A160)</x:f>
      </x:c>
      <x:c r="B160" t="str">
        <x:f>IF(CaseLedger!$A160="","",CaseLedger!I160)</x:f>
      </x:c>
      <x:c r="C160" t="str">
        <x:f>IF(CaseLedger!$A160="","",CaseLedger!J160)</x:f>
      </x:c>
      <x:c r="D160" t="str">
        <x:f>IF(CaseLedger!$A160="","",CaseLedger!K160)</x:f>
      </x:c>
      <x:c r="E160" t="str">
        <x:f>IF(CaseLedger!$A160="","",CaseLedger!L160)</x:f>
      </x:c>
      <x:c r="F160" t="str">
        <x:f>IF(CaseLedger!$A160="","",CaseLedger!P160)</x:f>
      </x:c>
      <x:c r="G160" t="str">
        <x:f>IF(CaseLedger!$A160="","",CaseLedger!F160)</x:f>
      </x:c>
      <x:c r="H160" t="str">
        <x:f>IF(CaseLedger!$A160="","",CaseLedger!Q160)</x:f>
      </x:c>
      <x:c r="I160" t="str">
        <x:f>IF(CaseLedger!$A160="","",CaseLedger!R160)</x:f>
      </x:c>
      <x:c r="J160" t="str">
        <x:f>IF(CaseLedger!$A160="","",CaseLedger!S160)</x:f>
      </x:c>
      <x:c r="K160" t="str">
        <x:f>IF(CaseLedger!$A160="","",CaseLedger!T160)</x:f>
      </x:c>
      <x:c r="L160" t="str">
        <x:f>IF(CaseLedger!$A160="","",CaseLedger!U160)</x:f>
      </x:c>
      <x:c r="M160" t="str">
        <x:f>IF(CaseLedger!$A160="","",CaseLedger!V160)</x:f>
      </x:c>
      <x:c r="N160" t="str">
        <x:f>IF(CaseLedger!$A160="","",CaseLedger!W160)</x:f>
      </x:c>
      <x:c r="O160" t="str">
        <x:f>IF(CaseLedger!$A160="","",CaseLedger!X160)</x:f>
      </x:c>
      <x:c r="P160" t="str">
        <x:f>IF(CaseLedger!$A160="","",CaseLedger!E160)</x:f>
      </x:c>
      <x:c r="Q160" t="str">
        <x:f>IF(CaseLedger!$A160="","",CaseLedger!C160)</x:f>
      </x:c>
      <x:c r="R160" t="str">
        <x:f>IF(CaseLedger!$A160="","",CaseLedger!D160)</x:f>
      </x:c>
      <x:c r="S160" t="str">
        <x:f>IFERROR(IF(CaseLedger!$A160="","",CaseLedger!Y160),"")</x:f>
      </x:c>
      <x:c r="T160" t="str">
        <x:f>IFERROR(IF(CaseLedger!$A160="","",CaseLedger!Z160),"")</x:f>
      </x:c>
      <x:c r="U160" t="str">
        <x:f>IFERROR(IF(CaseLedger!$A160="","",CaseLedger!AA160),"")</x:f>
      </x:c>
      <x:c r="V160" t="str">
        <x:f>IFERROR(IF(CaseLedger!$A160="","",CaseLedger!AB160),"")</x:f>
      </x:c>
      <x:c r="W160" t="str">
        <x:f>IFERROR(IF(CaseLedger!$A160="","",CaseLedger!AC160),"")</x:f>
      </x:c>
      <x:c r="X160" t="str">
        <x:f>IFERROR(IF(CaseLedger!$A160="","",CaseLedger!AD160),"")</x:f>
      </x:c>
      <x:c r="Y160" t="str">
        <x:f>IFERROR(IF(CaseLedger!$A160="","",CaseLedger!AE160),"")</x:f>
      </x:c>
      <x:c r="Z160" t="str">
        <x:f>IFERROR(IF(CaseLedger!$A160="","",CaseLedger!AF160),"")</x:f>
      </x:c>
      <x:c r="AA160" t="str">
        <x:f>IFERROR(IF(CaseLedger!$A160="","",CaseLedger!AG160),"")</x:f>
      </x:c>
      <x:c r="AB160" t="str">
        <x:f>IFERROR(IF(CaseLedger!$A160="","",CaseLedger!AH160),"")</x:f>
      </x:c>
      <x:c r="AC160" t="str">
        <x:f>IFERROR(IF(CaseLedger!$A160="","",CaseLedger!AI160),"")</x:f>
      </x:c>
    </x:row>
    <x:row r="161">
      <x:c r="A161" t="str">
        <x:f>IF(CaseLedger!$A161="","",CaseLedger!A161)</x:f>
      </x:c>
      <x:c r="B161" t="str">
        <x:f>IF(CaseLedger!$A161="","",CaseLedger!I161)</x:f>
      </x:c>
      <x:c r="C161" t="str">
        <x:f>IF(CaseLedger!$A161="","",CaseLedger!J161)</x:f>
      </x:c>
      <x:c r="D161" t="str">
        <x:f>IF(CaseLedger!$A161="","",CaseLedger!K161)</x:f>
      </x:c>
      <x:c r="E161" t="str">
        <x:f>IF(CaseLedger!$A161="","",CaseLedger!L161)</x:f>
      </x:c>
      <x:c r="F161" t="str">
        <x:f>IF(CaseLedger!$A161="","",CaseLedger!P161)</x:f>
      </x:c>
      <x:c r="G161" t="str">
        <x:f>IF(CaseLedger!$A161="","",CaseLedger!F161)</x:f>
      </x:c>
      <x:c r="H161" t="str">
        <x:f>IF(CaseLedger!$A161="","",CaseLedger!Q161)</x:f>
      </x:c>
      <x:c r="I161" t="str">
        <x:f>IF(CaseLedger!$A161="","",CaseLedger!R161)</x:f>
      </x:c>
      <x:c r="J161" t="str">
        <x:f>IF(CaseLedger!$A161="","",CaseLedger!S161)</x:f>
      </x:c>
      <x:c r="K161" t="str">
        <x:f>IF(CaseLedger!$A161="","",CaseLedger!T161)</x:f>
      </x:c>
      <x:c r="L161" t="str">
        <x:f>IF(CaseLedger!$A161="","",CaseLedger!U161)</x:f>
      </x:c>
      <x:c r="M161" t="str">
        <x:f>IF(CaseLedger!$A161="","",CaseLedger!V161)</x:f>
      </x:c>
      <x:c r="N161" t="str">
        <x:f>IF(CaseLedger!$A161="","",CaseLedger!W161)</x:f>
      </x:c>
      <x:c r="O161" t="str">
        <x:f>IF(CaseLedger!$A161="","",CaseLedger!X161)</x:f>
      </x:c>
      <x:c r="P161" t="str">
        <x:f>IF(CaseLedger!$A161="","",CaseLedger!E161)</x:f>
      </x:c>
      <x:c r="Q161" t="str">
        <x:f>IF(CaseLedger!$A161="","",CaseLedger!C161)</x:f>
      </x:c>
      <x:c r="R161" t="str">
        <x:f>IF(CaseLedger!$A161="","",CaseLedger!D161)</x:f>
      </x:c>
      <x:c r="S161" t="str">
        <x:f>IFERROR(IF(CaseLedger!$A161="","",CaseLedger!Y161),"")</x:f>
      </x:c>
      <x:c r="T161" t="str">
        <x:f>IFERROR(IF(CaseLedger!$A161="","",CaseLedger!Z161),"")</x:f>
      </x:c>
      <x:c r="U161" t="str">
        <x:f>IFERROR(IF(CaseLedger!$A161="","",CaseLedger!AA161),"")</x:f>
      </x:c>
      <x:c r="V161" t="str">
        <x:f>IFERROR(IF(CaseLedger!$A161="","",CaseLedger!AB161),"")</x:f>
      </x:c>
      <x:c r="W161" t="str">
        <x:f>IFERROR(IF(CaseLedger!$A161="","",CaseLedger!AC161),"")</x:f>
      </x:c>
      <x:c r="X161" t="str">
        <x:f>IFERROR(IF(CaseLedger!$A161="","",CaseLedger!AD161),"")</x:f>
      </x:c>
      <x:c r="Y161" t="str">
        <x:f>IFERROR(IF(CaseLedger!$A161="","",CaseLedger!AE161),"")</x:f>
      </x:c>
      <x:c r="Z161" t="str">
        <x:f>IFERROR(IF(CaseLedger!$A161="","",CaseLedger!AF161),"")</x:f>
      </x:c>
      <x:c r="AA161" t="str">
        <x:f>IFERROR(IF(CaseLedger!$A161="","",CaseLedger!AG161),"")</x:f>
      </x:c>
      <x:c r="AB161" t="str">
        <x:f>IFERROR(IF(CaseLedger!$A161="","",CaseLedger!AH161),"")</x:f>
      </x:c>
      <x:c r="AC161" t="str">
        <x:f>IFERROR(IF(CaseLedger!$A161="","",CaseLedger!AI161),"")</x:f>
      </x:c>
    </x:row>
    <x:row r="162">
      <x:c r="A162" t="str">
        <x:f>IF(CaseLedger!$A162="","",CaseLedger!A162)</x:f>
      </x:c>
      <x:c r="B162" t="str">
        <x:f>IF(CaseLedger!$A162="","",CaseLedger!I162)</x:f>
      </x:c>
      <x:c r="C162" t="str">
        <x:f>IF(CaseLedger!$A162="","",CaseLedger!J162)</x:f>
      </x:c>
      <x:c r="D162" t="str">
        <x:f>IF(CaseLedger!$A162="","",CaseLedger!K162)</x:f>
      </x:c>
      <x:c r="E162" t="str">
        <x:f>IF(CaseLedger!$A162="","",CaseLedger!L162)</x:f>
      </x:c>
      <x:c r="F162" t="str">
        <x:f>IF(CaseLedger!$A162="","",CaseLedger!P162)</x:f>
      </x:c>
      <x:c r="G162" t="str">
        <x:f>IF(CaseLedger!$A162="","",CaseLedger!F162)</x:f>
      </x:c>
      <x:c r="H162" t="str">
        <x:f>IF(CaseLedger!$A162="","",CaseLedger!Q162)</x:f>
      </x:c>
      <x:c r="I162" t="str">
        <x:f>IF(CaseLedger!$A162="","",CaseLedger!R162)</x:f>
      </x:c>
      <x:c r="J162" t="str">
        <x:f>IF(CaseLedger!$A162="","",CaseLedger!S162)</x:f>
      </x:c>
      <x:c r="K162" t="str">
        <x:f>IF(CaseLedger!$A162="","",CaseLedger!T162)</x:f>
      </x:c>
      <x:c r="L162" t="str">
        <x:f>IF(CaseLedger!$A162="","",CaseLedger!U162)</x:f>
      </x:c>
      <x:c r="M162" t="str">
        <x:f>IF(CaseLedger!$A162="","",CaseLedger!V162)</x:f>
      </x:c>
      <x:c r="N162" t="str">
        <x:f>IF(CaseLedger!$A162="","",CaseLedger!W162)</x:f>
      </x:c>
      <x:c r="O162" t="str">
        <x:f>IF(CaseLedger!$A162="","",CaseLedger!X162)</x:f>
      </x:c>
      <x:c r="P162" t="str">
        <x:f>IF(CaseLedger!$A162="","",CaseLedger!E162)</x:f>
      </x:c>
      <x:c r="Q162" t="str">
        <x:f>IF(CaseLedger!$A162="","",CaseLedger!C162)</x:f>
      </x:c>
      <x:c r="R162" t="str">
        <x:f>IF(CaseLedger!$A162="","",CaseLedger!D162)</x:f>
      </x:c>
      <x:c r="S162" t="str">
        <x:f>IFERROR(IF(CaseLedger!$A162="","",CaseLedger!Y162),"")</x:f>
      </x:c>
      <x:c r="T162" t="str">
        <x:f>IFERROR(IF(CaseLedger!$A162="","",CaseLedger!Z162),"")</x:f>
      </x:c>
      <x:c r="U162" t="str">
        <x:f>IFERROR(IF(CaseLedger!$A162="","",CaseLedger!AA162),"")</x:f>
      </x:c>
      <x:c r="V162" t="str">
        <x:f>IFERROR(IF(CaseLedger!$A162="","",CaseLedger!AB162),"")</x:f>
      </x:c>
      <x:c r="W162" t="str">
        <x:f>IFERROR(IF(CaseLedger!$A162="","",CaseLedger!AC162),"")</x:f>
      </x:c>
      <x:c r="X162" t="str">
        <x:f>IFERROR(IF(CaseLedger!$A162="","",CaseLedger!AD162),"")</x:f>
      </x:c>
      <x:c r="Y162" t="str">
        <x:f>IFERROR(IF(CaseLedger!$A162="","",CaseLedger!AE162),"")</x:f>
      </x:c>
      <x:c r="Z162" t="str">
        <x:f>IFERROR(IF(CaseLedger!$A162="","",CaseLedger!AF162),"")</x:f>
      </x:c>
      <x:c r="AA162" t="str">
        <x:f>IFERROR(IF(CaseLedger!$A162="","",CaseLedger!AG162),"")</x:f>
      </x:c>
      <x:c r="AB162" t="str">
        <x:f>IFERROR(IF(CaseLedger!$A162="","",CaseLedger!AH162),"")</x:f>
      </x:c>
      <x:c r="AC162" t="str">
        <x:f>IFERROR(IF(CaseLedger!$A162="","",CaseLedger!AI162),"")</x:f>
      </x:c>
    </x:row>
    <x:row r="163">
      <x:c r="A163" t="str">
        <x:f>IF(CaseLedger!$A163="","",CaseLedger!A163)</x:f>
      </x:c>
      <x:c r="B163" t="str">
        <x:f>IF(CaseLedger!$A163="","",CaseLedger!I163)</x:f>
      </x:c>
      <x:c r="C163" t="str">
        <x:f>IF(CaseLedger!$A163="","",CaseLedger!J163)</x:f>
      </x:c>
      <x:c r="D163" t="str">
        <x:f>IF(CaseLedger!$A163="","",CaseLedger!K163)</x:f>
      </x:c>
      <x:c r="E163" t="str">
        <x:f>IF(CaseLedger!$A163="","",CaseLedger!L163)</x:f>
      </x:c>
      <x:c r="F163" t="str">
        <x:f>IF(CaseLedger!$A163="","",CaseLedger!P163)</x:f>
      </x:c>
      <x:c r="G163" t="str">
        <x:f>IF(CaseLedger!$A163="","",CaseLedger!F163)</x:f>
      </x:c>
      <x:c r="H163" t="str">
        <x:f>IF(CaseLedger!$A163="","",CaseLedger!Q163)</x:f>
      </x:c>
      <x:c r="I163" t="str">
        <x:f>IF(CaseLedger!$A163="","",CaseLedger!R163)</x:f>
      </x:c>
      <x:c r="J163" t="str">
        <x:f>IF(CaseLedger!$A163="","",CaseLedger!S163)</x:f>
      </x:c>
      <x:c r="K163" t="str">
        <x:f>IF(CaseLedger!$A163="","",CaseLedger!T163)</x:f>
      </x:c>
      <x:c r="L163" t="str">
        <x:f>IF(CaseLedger!$A163="","",CaseLedger!U163)</x:f>
      </x:c>
      <x:c r="M163" t="str">
        <x:f>IF(CaseLedger!$A163="","",CaseLedger!V163)</x:f>
      </x:c>
      <x:c r="N163" t="str">
        <x:f>IF(CaseLedger!$A163="","",CaseLedger!W163)</x:f>
      </x:c>
      <x:c r="O163" t="str">
        <x:f>IF(CaseLedger!$A163="","",CaseLedger!X163)</x:f>
      </x:c>
      <x:c r="P163" t="str">
        <x:f>IF(CaseLedger!$A163="","",CaseLedger!E163)</x:f>
      </x:c>
      <x:c r="Q163" t="str">
        <x:f>IF(CaseLedger!$A163="","",CaseLedger!C163)</x:f>
      </x:c>
      <x:c r="R163" t="str">
        <x:f>IF(CaseLedger!$A163="","",CaseLedger!D163)</x:f>
      </x:c>
      <x:c r="S163" t="str">
        <x:f>IFERROR(IF(CaseLedger!$A163="","",CaseLedger!Y163),"")</x:f>
      </x:c>
      <x:c r="T163" t="str">
        <x:f>IFERROR(IF(CaseLedger!$A163="","",CaseLedger!Z163),"")</x:f>
      </x:c>
      <x:c r="U163" t="str">
        <x:f>IFERROR(IF(CaseLedger!$A163="","",CaseLedger!AA163),"")</x:f>
      </x:c>
      <x:c r="V163" t="str">
        <x:f>IFERROR(IF(CaseLedger!$A163="","",CaseLedger!AB163),"")</x:f>
      </x:c>
      <x:c r="W163" t="str">
        <x:f>IFERROR(IF(CaseLedger!$A163="","",CaseLedger!AC163),"")</x:f>
      </x:c>
      <x:c r="X163" t="str">
        <x:f>IFERROR(IF(CaseLedger!$A163="","",CaseLedger!AD163),"")</x:f>
      </x:c>
      <x:c r="Y163" t="str">
        <x:f>IFERROR(IF(CaseLedger!$A163="","",CaseLedger!AE163),"")</x:f>
      </x:c>
      <x:c r="Z163" t="str">
        <x:f>IFERROR(IF(CaseLedger!$A163="","",CaseLedger!AF163),"")</x:f>
      </x:c>
      <x:c r="AA163" t="str">
        <x:f>IFERROR(IF(CaseLedger!$A163="","",CaseLedger!AG163),"")</x:f>
      </x:c>
      <x:c r="AB163" t="str">
        <x:f>IFERROR(IF(CaseLedger!$A163="","",CaseLedger!AH163),"")</x:f>
      </x:c>
      <x:c r="AC163" t="str">
        <x:f>IFERROR(IF(CaseLedger!$A163="","",CaseLedger!AI163),"")</x:f>
      </x:c>
    </x:row>
    <x:row r="164">
      <x:c r="A164" t="str">
        <x:f>IF(CaseLedger!$A164="","",CaseLedger!A164)</x:f>
      </x:c>
      <x:c r="B164" t="str">
        <x:f>IF(CaseLedger!$A164="","",CaseLedger!I164)</x:f>
      </x:c>
      <x:c r="C164" t="str">
        <x:f>IF(CaseLedger!$A164="","",CaseLedger!J164)</x:f>
      </x:c>
      <x:c r="D164" t="str">
        <x:f>IF(CaseLedger!$A164="","",CaseLedger!K164)</x:f>
      </x:c>
      <x:c r="E164" t="str">
        <x:f>IF(CaseLedger!$A164="","",CaseLedger!L164)</x:f>
      </x:c>
      <x:c r="F164" t="str">
        <x:f>IF(CaseLedger!$A164="","",CaseLedger!P164)</x:f>
      </x:c>
      <x:c r="G164" t="str">
        <x:f>IF(CaseLedger!$A164="","",CaseLedger!F164)</x:f>
      </x:c>
      <x:c r="H164" t="str">
        <x:f>IF(CaseLedger!$A164="","",CaseLedger!Q164)</x:f>
      </x:c>
      <x:c r="I164" t="str">
        <x:f>IF(CaseLedger!$A164="","",CaseLedger!R164)</x:f>
      </x:c>
      <x:c r="J164" t="str">
        <x:f>IF(CaseLedger!$A164="","",CaseLedger!S164)</x:f>
      </x:c>
      <x:c r="K164" t="str">
        <x:f>IF(CaseLedger!$A164="","",CaseLedger!T164)</x:f>
      </x:c>
      <x:c r="L164" t="str">
        <x:f>IF(CaseLedger!$A164="","",CaseLedger!U164)</x:f>
      </x:c>
      <x:c r="M164" t="str">
        <x:f>IF(CaseLedger!$A164="","",CaseLedger!V164)</x:f>
      </x:c>
      <x:c r="N164" t="str">
        <x:f>IF(CaseLedger!$A164="","",CaseLedger!W164)</x:f>
      </x:c>
      <x:c r="O164" t="str">
        <x:f>IF(CaseLedger!$A164="","",CaseLedger!X164)</x:f>
      </x:c>
      <x:c r="P164" t="str">
        <x:f>IF(CaseLedger!$A164="","",CaseLedger!E164)</x:f>
      </x:c>
      <x:c r="Q164" t="str">
        <x:f>IF(CaseLedger!$A164="","",CaseLedger!C164)</x:f>
      </x:c>
      <x:c r="R164" t="str">
        <x:f>IF(CaseLedger!$A164="","",CaseLedger!D164)</x:f>
      </x:c>
      <x:c r="S164" t="str">
        <x:f>IFERROR(IF(CaseLedger!$A164="","",CaseLedger!Y164),"")</x:f>
      </x:c>
      <x:c r="T164" t="str">
        <x:f>IFERROR(IF(CaseLedger!$A164="","",CaseLedger!Z164),"")</x:f>
      </x:c>
      <x:c r="U164" t="str">
        <x:f>IFERROR(IF(CaseLedger!$A164="","",CaseLedger!AA164),"")</x:f>
      </x:c>
      <x:c r="V164" t="str">
        <x:f>IFERROR(IF(CaseLedger!$A164="","",CaseLedger!AB164),"")</x:f>
      </x:c>
      <x:c r="W164" t="str">
        <x:f>IFERROR(IF(CaseLedger!$A164="","",CaseLedger!AC164),"")</x:f>
      </x:c>
      <x:c r="X164" t="str">
        <x:f>IFERROR(IF(CaseLedger!$A164="","",CaseLedger!AD164),"")</x:f>
      </x:c>
      <x:c r="Y164" t="str">
        <x:f>IFERROR(IF(CaseLedger!$A164="","",CaseLedger!AE164),"")</x:f>
      </x:c>
      <x:c r="Z164" t="str">
        <x:f>IFERROR(IF(CaseLedger!$A164="","",CaseLedger!AF164),"")</x:f>
      </x:c>
      <x:c r="AA164" t="str">
        <x:f>IFERROR(IF(CaseLedger!$A164="","",CaseLedger!AG164),"")</x:f>
      </x:c>
      <x:c r="AB164" t="str">
        <x:f>IFERROR(IF(CaseLedger!$A164="","",CaseLedger!AH164),"")</x:f>
      </x:c>
      <x:c r="AC164" t="str">
        <x:f>IFERROR(IF(CaseLedger!$A164="","",CaseLedger!AI164),"")</x:f>
      </x:c>
    </x:row>
    <x:row r="165">
      <x:c r="A165" t="str">
        <x:f>IF(CaseLedger!$A165="","",CaseLedger!A165)</x:f>
      </x:c>
      <x:c r="B165" t="str">
        <x:f>IF(CaseLedger!$A165="","",CaseLedger!I165)</x:f>
      </x:c>
      <x:c r="C165" t="str">
        <x:f>IF(CaseLedger!$A165="","",CaseLedger!J165)</x:f>
      </x:c>
      <x:c r="D165" t="str">
        <x:f>IF(CaseLedger!$A165="","",CaseLedger!K165)</x:f>
      </x:c>
      <x:c r="E165" t="str">
        <x:f>IF(CaseLedger!$A165="","",CaseLedger!L165)</x:f>
      </x:c>
      <x:c r="F165" t="str">
        <x:f>IF(CaseLedger!$A165="","",CaseLedger!P165)</x:f>
      </x:c>
      <x:c r="G165" t="str">
        <x:f>IF(CaseLedger!$A165="","",CaseLedger!F165)</x:f>
      </x:c>
      <x:c r="H165" t="str">
        <x:f>IF(CaseLedger!$A165="","",CaseLedger!Q165)</x:f>
      </x:c>
      <x:c r="I165" t="str">
        <x:f>IF(CaseLedger!$A165="","",CaseLedger!R165)</x:f>
      </x:c>
      <x:c r="J165" t="str">
        <x:f>IF(CaseLedger!$A165="","",CaseLedger!S165)</x:f>
      </x:c>
      <x:c r="K165" t="str">
        <x:f>IF(CaseLedger!$A165="","",CaseLedger!T165)</x:f>
      </x:c>
      <x:c r="L165" t="str">
        <x:f>IF(CaseLedger!$A165="","",CaseLedger!U165)</x:f>
      </x:c>
      <x:c r="M165" t="str">
        <x:f>IF(CaseLedger!$A165="","",CaseLedger!V165)</x:f>
      </x:c>
      <x:c r="N165" t="str">
        <x:f>IF(CaseLedger!$A165="","",CaseLedger!W165)</x:f>
      </x:c>
      <x:c r="O165" t="str">
        <x:f>IF(CaseLedger!$A165="","",CaseLedger!X165)</x:f>
      </x:c>
      <x:c r="P165" t="str">
        <x:f>IF(CaseLedger!$A165="","",CaseLedger!E165)</x:f>
      </x:c>
      <x:c r="Q165" t="str">
        <x:f>IF(CaseLedger!$A165="","",CaseLedger!C165)</x:f>
      </x:c>
      <x:c r="R165" t="str">
        <x:f>IF(CaseLedger!$A165="","",CaseLedger!D165)</x:f>
      </x:c>
      <x:c r="S165" t="str">
        <x:f>IFERROR(IF(CaseLedger!$A165="","",CaseLedger!Y165),"")</x:f>
      </x:c>
      <x:c r="T165" t="str">
        <x:f>IFERROR(IF(CaseLedger!$A165="","",CaseLedger!Z165),"")</x:f>
      </x:c>
      <x:c r="U165" t="str">
        <x:f>IFERROR(IF(CaseLedger!$A165="","",CaseLedger!AA165),"")</x:f>
      </x:c>
      <x:c r="V165" t="str">
        <x:f>IFERROR(IF(CaseLedger!$A165="","",CaseLedger!AB165),"")</x:f>
      </x:c>
      <x:c r="W165" t="str">
        <x:f>IFERROR(IF(CaseLedger!$A165="","",CaseLedger!AC165),"")</x:f>
      </x:c>
      <x:c r="X165" t="str">
        <x:f>IFERROR(IF(CaseLedger!$A165="","",CaseLedger!AD165),"")</x:f>
      </x:c>
      <x:c r="Y165" t="str">
        <x:f>IFERROR(IF(CaseLedger!$A165="","",CaseLedger!AE165),"")</x:f>
      </x:c>
      <x:c r="Z165" t="str">
        <x:f>IFERROR(IF(CaseLedger!$A165="","",CaseLedger!AF165),"")</x:f>
      </x:c>
      <x:c r="AA165" t="str">
        <x:f>IFERROR(IF(CaseLedger!$A165="","",CaseLedger!AG165),"")</x:f>
      </x:c>
      <x:c r="AB165" t="str">
        <x:f>IFERROR(IF(CaseLedger!$A165="","",CaseLedger!AH165),"")</x:f>
      </x:c>
      <x:c r="AC165" t="str">
        <x:f>IFERROR(IF(CaseLedger!$A165="","",CaseLedger!AI165),"")</x:f>
      </x:c>
    </x:row>
    <x:row r="166">
      <x:c r="A166" t="str">
        <x:f>IF(CaseLedger!$A166="","",CaseLedger!A166)</x:f>
      </x:c>
      <x:c r="B166" t="str">
        <x:f>IF(CaseLedger!$A166="","",CaseLedger!I166)</x:f>
      </x:c>
      <x:c r="C166" t="str">
        <x:f>IF(CaseLedger!$A166="","",CaseLedger!J166)</x:f>
      </x:c>
      <x:c r="D166" t="str">
        <x:f>IF(CaseLedger!$A166="","",CaseLedger!K166)</x:f>
      </x:c>
      <x:c r="E166" t="str">
        <x:f>IF(CaseLedger!$A166="","",CaseLedger!L166)</x:f>
      </x:c>
      <x:c r="F166" t="str">
        <x:f>IF(CaseLedger!$A166="","",CaseLedger!P166)</x:f>
      </x:c>
      <x:c r="G166" t="str">
        <x:f>IF(CaseLedger!$A166="","",CaseLedger!F166)</x:f>
      </x:c>
      <x:c r="H166" t="str">
        <x:f>IF(CaseLedger!$A166="","",CaseLedger!Q166)</x:f>
      </x:c>
      <x:c r="I166" t="str">
        <x:f>IF(CaseLedger!$A166="","",CaseLedger!R166)</x:f>
      </x:c>
      <x:c r="J166" t="str">
        <x:f>IF(CaseLedger!$A166="","",CaseLedger!S166)</x:f>
      </x:c>
      <x:c r="K166" t="str">
        <x:f>IF(CaseLedger!$A166="","",CaseLedger!T166)</x:f>
      </x:c>
      <x:c r="L166" t="str">
        <x:f>IF(CaseLedger!$A166="","",CaseLedger!U166)</x:f>
      </x:c>
      <x:c r="M166" t="str">
        <x:f>IF(CaseLedger!$A166="","",CaseLedger!V166)</x:f>
      </x:c>
      <x:c r="N166" t="str">
        <x:f>IF(CaseLedger!$A166="","",CaseLedger!W166)</x:f>
      </x:c>
      <x:c r="O166" t="str">
        <x:f>IF(CaseLedger!$A166="","",CaseLedger!X166)</x:f>
      </x:c>
      <x:c r="P166" t="str">
        <x:f>IF(CaseLedger!$A166="","",CaseLedger!E166)</x:f>
      </x:c>
      <x:c r="Q166" t="str">
        <x:f>IF(CaseLedger!$A166="","",CaseLedger!C166)</x:f>
      </x:c>
      <x:c r="R166" t="str">
        <x:f>IF(CaseLedger!$A166="","",CaseLedger!D166)</x:f>
      </x:c>
      <x:c r="S166" t="str">
        <x:f>IFERROR(IF(CaseLedger!$A166="","",CaseLedger!Y166),"")</x:f>
      </x:c>
      <x:c r="T166" t="str">
        <x:f>IFERROR(IF(CaseLedger!$A166="","",CaseLedger!Z166),"")</x:f>
      </x:c>
      <x:c r="U166" t="str">
        <x:f>IFERROR(IF(CaseLedger!$A166="","",CaseLedger!AA166),"")</x:f>
      </x:c>
      <x:c r="V166" t="str">
        <x:f>IFERROR(IF(CaseLedger!$A166="","",CaseLedger!AB166),"")</x:f>
      </x:c>
      <x:c r="W166" t="str">
        <x:f>IFERROR(IF(CaseLedger!$A166="","",CaseLedger!AC166),"")</x:f>
      </x:c>
      <x:c r="X166" t="str">
        <x:f>IFERROR(IF(CaseLedger!$A166="","",CaseLedger!AD166),"")</x:f>
      </x:c>
      <x:c r="Y166" t="str">
        <x:f>IFERROR(IF(CaseLedger!$A166="","",CaseLedger!AE166),"")</x:f>
      </x:c>
      <x:c r="Z166" t="str">
        <x:f>IFERROR(IF(CaseLedger!$A166="","",CaseLedger!AF166),"")</x:f>
      </x:c>
      <x:c r="AA166" t="str">
        <x:f>IFERROR(IF(CaseLedger!$A166="","",CaseLedger!AG166),"")</x:f>
      </x:c>
      <x:c r="AB166" t="str">
        <x:f>IFERROR(IF(CaseLedger!$A166="","",CaseLedger!AH166),"")</x:f>
      </x:c>
      <x:c r="AC166" t="str">
        <x:f>IFERROR(IF(CaseLedger!$A166="","",CaseLedger!AI166),"")</x:f>
      </x:c>
    </x:row>
    <x:row r="167">
      <x:c r="A167" t="str">
        <x:f>IF(CaseLedger!$A167="","",CaseLedger!A167)</x:f>
      </x:c>
      <x:c r="B167" t="str">
        <x:f>IF(CaseLedger!$A167="","",CaseLedger!I167)</x:f>
      </x:c>
      <x:c r="C167" t="str">
        <x:f>IF(CaseLedger!$A167="","",CaseLedger!J167)</x:f>
      </x:c>
      <x:c r="D167" t="str">
        <x:f>IF(CaseLedger!$A167="","",CaseLedger!K167)</x:f>
      </x:c>
      <x:c r="E167" t="str">
        <x:f>IF(CaseLedger!$A167="","",CaseLedger!L167)</x:f>
      </x:c>
      <x:c r="F167" t="str">
        <x:f>IF(CaseLedger!$A167="","",CaseLedger!P167)</x:f>
      </x:c>
      <x:c r="G167" t="str">
        <x:f>IF(CaseLedger!$A167="","",CaseLedger!F167)</x:f>
      </x:c>
      <x:c r="H167" t="str">
        <x:f>IF(CaseLedger!$A167="","",CaseLedger!Q167)</x:f>
      </x:c>
      <x:c r="I167" t="str">
        <x:f>IF(CaseLedger!$A167="","",CaseLedger!R167)</x:f>
      </x:c>
      <x:c r="J167" t="str">
        <x:f>IF(CaseLedger!$A167="","",CaseLedger!S167)</x:f>
      </x:c>
      <x:c r="K167" t="str">
        <x:f>IF(CaseLedger!$A167="","",CaseLedger!T167)</x:f>
      </x:c>
      <x:c r="L167" t="str">
        <x:f>IF(CaseLedger!$A167="","",CaseLedger!U167)</x:f>
      </x:c>
      <x:c r="M167" t="str">
        <x:f>IF(CaseLedger!$A167="","",CaseLedger!V167)</x:f>
      </x:c>
      <x:c r="N167" t="str">
        <x:f>IF(CaseLedger!$A167="","",CaseLedger!W167)</x:f>
      </x:c>
      <x:c r="O167" t="str">
        <x:f>IF(CaseLedger!$A167="","",CaseLedger!X167)</x:f>
      </x:c>
      <x:c r="P167" t="str">
        <x:f>IF(CaseLedger!$A167="","",CaseLedger!E167)</x:f>
      </x:c>
      <x:c r="Q167" t="str">
        <x:f>IF(CaseLedger!$A167="","",CaseLedger!C167)</x:f>
      </x:c>
      <x:c r="R167" t="str">
        <x:f>IF(CaseLedger!$A167="","",CaseLedger!D167)</x:f>
      </x:c>
      <x:c r="S167" t="str">
        <x:f>IFERROR(IF(CaseLedger!$A167="","",CaseLedger!Y167),"")</x:f>
      </x:c>
      <x:c r="T167" t="str">
        <x:f>IFERROR(IF(CaseLedger!$A167="","",CaseLedger!Z167),"")</x:f>
      </x:c>
      <x:c r="U167" t="str">
        <x:f>IFERROR(IF(CaseLedger!$A167="","",CaseLedger!AA167),"")</x:f>
      </x:c>
      <x:c r="V167" t="str">
        <x:f>IFERROR(IF(CaseLedger!$A167="","",CaseLedger!AB167),"")</x:f>
      </x:c>
      <x:c r="W167" t="str">
        <x:f>IFERROR(IF(CaseLedger!$A167="","",CaseLedger!AC167),"")</x:f>
      </x:c>
      <x:c r="X167" t="str">
        <x:f>IFERROR(IF(CaseLedger!$A167="","",CaseLedger!AD167),"")</x:f>
      </x:c>
      <x:c r="Y167" t="str">
        <x:f>IFERROR(IF(CaseLedger!$A167="","",CaseLedger!AE167),"")</x:f>
      </x:c>
      <x:c r="Z167" t="str">
        <x:f>IFERROR(IF(CaseLedger!$A167="","",CaseLedger!AF167),"")</x:f>
      </x:c>
      <x:c r="AA167" t="str">
        <x:f>IFERROR(IF(CaseLedger!$A167="","",CaseLedger!AG167),"")</x:f>
      </x:c>
      <x:c r="AB167" t="str">
        <x:f>IFERROR(IF(CaseLedger!$A167="","",CaseLedger!AH167),"")</x:f>
      </x:c>
      <x:c r="AC167" t="str">
        <x:f>IFERROR(IF(CaseLedger!$A167="","",CaseLedger!AI167),"")</x:f>
      </x:c>
    </x:row>
    <x:row r="168">
      <x:c r="A168" t="str">
        <x:f>IF(CaseLedger!$A168="","",CaseLedger!A168)</x:f>
      </x:c>
      <x:c r="B168" t="str">
        <x:f>IF(CaseLedger!$A168="","",CaseLedger!I168)</x:f>
      </x:c>
      <x:c r="C168" t="str">
        <x:f>IF(CaseLedger!$A168="","",CaseLedger!J168)</x:f>
      </x:c>
      <x:c r="D168" t="str">
        <x:f>IF(CaseLedger!$A168="","",CaseLedger!K168)</x:f>
      </x:c>
      <x:c r="E168" t="str">
        <x:f>IF(CaseLedger!$A168="","",CaseLedger!L168)</x:f>
      </x:c>
      <x:c r="F168" t="str">
        <x:f>IF(CaseLedger!$A168="","",CaseLedger!P168)</x:f>
      </x:c>
      <x:c r="G168" t="str">
        <x:f>IF(CaseLedger!$A168="","",CaseLedger!F168)</x:f>
      </x:c>
      <x:c r="H168" t="str">
        <x:f>IF(CaseLedger!$A168="","",CaseLedger!Q168)</x:f>
      </x:c>
      <x:c r="I168" t="str">
        <x:f>IF(CaseLedger!$A168="","",CaseLedger!R168)</x:f>
      </x:c>
      <x:c r="J168" t="str">
        <x:f>IF(CaseLedger!$A168="","",CaseLedger!S168)</x:f>
      </x:c>
      <x:c r="K168" t="str">
        <x:f>IF(CaseLedger!$A168="","",CaseLedger!T168)</x:f>
      </x:c>
      <x:c r="L168" t="str">
        <x:f>IF(CaseLedger!$A168="","",CaseLedger!U168)</x:f>
      </x:c>
      <x:c r="M168" t="str">
        <x:f>IF(CaseLedger!$A168="","",CaseLedger!V168)</x:f>
      </x:c>
      <x:c r="N168" t="str">
        <x:f>IF(CaseLedger!$A168="","",CaseLedger!W168)</x:f>
      </x:c>
      <x:c r="O168" t="str">
        <x:f>IF(CaseLedger!$A168="","",CaseLedger!X168)</x:f>
      </x:c>
      <x:c r="P168" t="str">
        <x:f>IF(CaseLedger!$A168="","",CaseLedger!E168)</x:f>
      </x:c>
      <x:c r="Q168" t="str">
        <x:f>IF(CaseLedger!$A168="","",CaseLedger!C168)</x:f>
      </x:c>
      <x:c r="R168" t="str">
        <x:f>IF(CaseLedger!$A168="","",CaseLedger!D168)</x:f>
      </x:c>
      <x:c r="S168" t="str">
        <x:f>IFERROR(IF(CaseLedger!$A168="","",CaseLedger!Y168),"")</x:f>
      </x:c>
      <x:c r="T168" t="str">
        <x:f>IFERROR(IF(CaseLedger!$A168="","",CaseLedger!Z168),"")</x:f>
      </x:c>
      <x:c r="U168" t="str">
        <x:f>IFERROR(IF(CaseLedger!$A168="","",CaseLedger!AA168),"")</x:f>
      </x:c>
      <x:c r="V168" t="str">
        <x:f>IFERROR(IF(CaseLedger!$A168="","",CaseLedger!AB168),"")</x:f>
      </x:c>
      <x:c r="W168" t="str">
        <x:f>IFERROR(IF(CaseLedger!$A168="","",CaseLedger!AC168),"")</x:f>
      </x:c>
      <x:c r="X168" t="str">
        <x:f>IFERROR(IF(CaseLedger!$A168="","",CaseLedger!AD168),"")</x:f>
      </x:c>
      <x:c r="Y168" t="str">
        <x:f>IFERROR(IF(CaseLedger!$A168="","",CaseLedger!AE168),"")</x:f>
      </x:c>
      <x:c r="Z168" t="str">
        <x:f>IFERROR(IF(CaseLedger!$A168="","",CaseLedger!AF168),"")</x:f>
      </x:c>
      <x:c r="AA168" t="str">
        <x:f>IFERROR(IF(CaseLedger!$A168="","",CaseLedger!AG168),"")</x:f>
      </x:c>
      <x:c r="AB168" t="str">
        <x:f>IFERROR(IF(CaseLedger!$A168="","",CaseLedger!AH168),"")</x:f>
      </x:c>
      <x:c r="AC168" t="str">
        <x:f>IFERROR(IF(CaseLedger!$A168="","",CaseLedger!AI168),"")</x:f>
      </x:c>
    </x:row>
    <x:row r="169">
      <x:c r="A169" t="str">
        <x:f>IF(CaseLedger!$A169="","",CaseLedger!A169)</x:f>
      </x:c>
      <x:c r="B169" t="str">
        <x:f>IF(CaseLedger!$A169="","",CaseLedger!I169)</x:f>
      </x:c>
      <x:c r="C169" t="str">
        <x:f>IF(CaseLedger!$A169="","",CaseLedger!J169)</x:f>
      </x:c>
      <x:c r="D169" t="str">
        <x:f>IF(CaseLedger!$A169="","",CaseLedger!K169)</x:f>
      </x:c>
      <x:c r="E169" t="str">
        <x:f>IF(CaseLedger!$A169="","",CaseLedger!L169)</x:f>
      </x:c>
      <x:c r="F169" t="str">
        <x:f>IF(CaseLedger!$A169="","",CaseLedger!P169)</x:f>
      </x:c>
      <x:c r="G169" t="str">
        <x:f>IF(CaseLedger!$A169="","",CaseLedger!F169)</x:f>
      </x:c>
      <x:c r="H169" t="str">
        <x:f>IF(CaseLedger!$A169="","",CaseLedger!Q169)</x:f>
      </x:c>
      <x:c r="I169" t="str">
        <x:f>IF(CaseLedger!$A169="","",CaseLedger!R169)</x:f>
      </x:c>
      <x:c r="J169" t="str">
        <x:f>IF(CaseLedger!$A169="","",CaseLedger!S169)</x:f>
      </x:c>
      <x:c r="K169" t="str">
        <x:f>IF(CaseLedger!$A169="","",CaseLedger!T169)</x:f>
      </x:c>
      <x:c r="L169" t="str">
        <x:f>IF(CaseLedger!$A169="","",CaseLedger!U169)</x:f>
      </x:c>
      <x:c r="M169" t="str">
        <x:f>IF(CaseLedger!$A169="","",CaseLedger!V169)</x:f>
      </x:c>
      <x:c r="N169" t="str">
        <x:f>IF(CaseLedger!$A169="","",CaseLedger!W169)</x:f>
      </x:c>
      <x:c r="O169" t="str">
        <x:f>IF(CaseLedger!$A169="","",CaseLedger!X169)</x:f>
      </x:c>
      <x:c r="P169" t="str">
        <x:f>IF(CaseLedger!$A169="","",CaseLedger!E169)</x:f>
      </x:c>
      <x:c r="Q169" t="str">
        <x:f>IF(CaseLedger!$A169="","",CaseLedger!C169)</x:f>
      </x:c>
      <x:c r="R169" t="str">
        <x:f>IF(CaseLedger!$A169="","",CaseLedger!D169)</x:f>
      </x:c>
      <x:c r="S169" t="str">
        <x:f>IFERROR(IF(CaseLedger!$A169="","",CaseLedger!Y169),"")</x:f>
      </x:c>
      <x:c r="T169" t="str">
        <x:f>IFERROR(IF(CaseLedger!$A169="","",CaseLedger!Z169),"")</x:f>
      </x:c>
      <x:c r="U169" t="str">
        <x:f>IFERROR(IF(CaseLedger!$A169="","",CaseLedger!AA169),"")</x:f>
      </x:c>
      <x:c r="V169" t="str">
        <x:f>IFERROR(IF(CaseLedger!$A169="","",CaseLedger!AB169),"")</x:f>
      </x:c>
      <x:c r="W169" t="str">
        <x:f>IFERROR(IF(CaseLedger!$A169="","",CaseLedger!AC169),"")</x:f>
      </x:c>
      <x:c r="X169" t="str">
        <x:f>IFERROR(IF(CaseLedger!$A169="","",CaseLedger!AD169),"")</x:f>
      </x:c>
      <x:c r="Y169" t="str">
        <x:f>IFERROR(IF(CaseLedger!$A169="","",CaseLedger!AE169),"")</x:f>
      </x:c>
      <x:c r="Z169" t="str">
        <x:f>IFERROR(IF(CaseLedger!$A169="","",CaseLedger!AF169),"")</x:f>
      </x:c>
      <x:c r="AA169" t="str">
        <x:f>IFERROR(IF(CaseLedger!$A169="","",CaseLedger!AG169),"")</x:f>
      </x:c>
      <x:c r="AB169" t="str">
        <x:f>IFERROR(IF(CaseLedger!$A169="","",CaseLedger!AH169),"")</x:f>
      </x:c>
      <x:c r="AC169" t="str">
        <x:f>IFERROR(IF(CaseLedger!$A169="","",CaseLedger!AI169),"")</x:f>
      </x:c>
    </x:row>
    <x:row r="170">
      <x:c r="A170" t="str">
        <x:f>IF(CaseLedger!$A170="","",CaseLedger!A170)</x:f>
      </x:c>
      <x:c r="B170" t="str">
        <x:f>IF(CaseLedger!$A170="","",CaseLedger!I170)</x:f>
      </x:c>
      <x:c r="C170" t="str">
        <x:f>IF(CaseLedger!$A170="","",CaseLedger!J170)</x:f>
      </x:c>
      <x:c r="D170" t="str">
        <x:f>IF(CaseLedger!$A170="","",CaseLedger!K170)</x:f>
      </x:c>
      <x:c r="E170" t="str">
        <x:f>IF(CaseLedger!$A170="","",CaseLedger!L170)</x:f>
      </x:c>
      <x:c r="F170" t="str">
        <x:f>IF(CaseLedger!$A170="","",CaseLedger!P170)</x:f>
      </x:c>
      <x:c r="G170" t="str">
        <x:f>IF(CaseLedger!$A170="","",CaseLedger!F170)</x:f>
      </x:c>
      <x:c r="H170" t="str">
        <x:f>IF(CaseLedger!$A170="","",CaseLedger!Q170)</x:f>
      </x:c>
      <x:c r="I170" t="str">
        <x:f>IF(CaseLedger!$A170="","",CaseLedger!R170)</x:f>
      </x:c>
      <x:c r="J170" t="str">
        <x:f>IF(CaseLedger!$A170="","",CaseLedger!S170)</x:f>
      </x:c>
      <x:c r="K170" t="str">
        <x:f>IF(CaseLedger!$A170="","",CaseLedger!T170)</x:f>
      </x:c>
      <x:c r="L170" t="str">
        <x:f>IF(CaseLedger!$A170="","",CaseLedger!U170)</x:f>
      </x:c>
      <x:c r="M170" t="str">
        <x:f>IF(CaseLedger!$A170="","",CaseLedger!V170)</x:f>
      </x:c>
      <x:c r="N170" t="str">
        <x:f>IF(CaseLedger!$A170="","",CaseLedger!W170)</x:f>
      </x:c>
      <x:c r="O170" t="str">
        <x:f>IF(CaseLedger!$A170="","",CaseLedger!X170)</x:f>
      </x:c>
      <x:c r="P170" t="str">
        <x:f>IF(CaseLedger!$A170="","",CaseLedger!E170)</x:f>
      </x:c>
      <x:c r="Q170" t="str">
        <x:f>IF(CaseLedger!$A170="","",CaseLedger!C170)</x:f>
      </x:c>
      <x:c r="R170" t="str">
        <x:f>IF(CaseLedger!$A170="","",CaseLedger!D170)</x:f>
      </x:c>
      <x:c r="S170" t="str">
        <x:f>IFERROR(IF(CaseLedger!$A170="","",CaseLedger!Y170),"")</x:f>
      </x:c>
      <x:c r="T170" t="str">
        <x:f>IFERROR(IF(CaseLedger!$A170="","",CaseLedger!Z170),"")</x:f>
      </x:c>
      <x:c r="U170" t="str">
        <x:f>IFERROR(IF(CaseLedger!$A170="","",CaseLedger!AA170),"")</x:f>
      </x:c>
      <x:c r="V170" t="str">
        <x:f>IFERROR(IF(CaseLedger!$A170="","",CaseLedger!AB170),"")</x:f>
      </x:c>
      <x:c r="W170" t="str">
        <x:f>IFERROR(IF(CaseLedger!$A170="","",CaseLedger!AC170),"")</x:f>
      </x:c>
      <x:c r="X170" t="str">
        <x:f>IFERROR(IF(CaseLedger!$A170="","",CaseLedger!AD170),"")</x:f>
      </x:c>
      <x:c r="Y170" t="str">
        <x:f>IFERROR(IF(CaseLedger!$A170="","",CaseLedger!AE170),"")</x:f>
      </x:c>
      <x:c r="Z170" t="str">
        <x:f>IFERROR(IF(CaseLedger!$A170="","",CaseLedger!AF170),"")</x:f>
      </x:c>
      <x:c r="AA170" t="str">
        <x:f>IFERROR(IF(CaseLedger!$A170="","",CaseLedger!AG170),"")</x:f>
      </x:c>
      <x:c r="AB170" t="str">
        <x:f>IFERROR(IF(CaseLedger!$A170="","",CaseLedger!AH170),"")</x:f>
      </x:c>
      <x:c r="AC170" t="str">
        <x:f>IFERROR(IF(CaseLedger!$A170="","",CaseLedger!AI170),"")</x:f>
      </x:c>
    </x:row>
    <x:row r="171">
      <x:c r="A171" t="str">
        <x:f>IF(CaseLedger!$A171="","",CaseLedger!A171)</x:f>
      </x:c>
      <x:c r="B171" t="str">
        <x:f>IF(CaseLedger!$A171="","",CaseLedger!I171)</x:f>
      </x:c>
      <x:c r="C171" t="str">
        <x:f>IF(CaseLedger!$A171="","",CaseLedger!J171)</x:f>
      </x:c>
      <x:c r="D171" t="str">
        <x:f>IF(CaseLedger!$A171="","",CaseLedger!K171)</x:f>
      </x:c>
      <x:c r="E171" t="str">
        <x:f>IF(CaseLedger!$A171="","",CaseLedger!L171)</x:f>
      </x:c>
      <x:c r="F171" t="str">
        <x:f>IF(CaseLedger!$A171="","",CaseLedger!P171)</x:f>
      </x:c>
      <x:c r="G171" t="str">
        <x:f>IF(CaseLedger!$A171="","",CaseLedger!F171)</x:f>
      </x:c>
      <x:c r="H171" t="str">
        <x:f>IF(CaseLedger!$A171="","",CaseLedger!Q171)</x:f>
      </x:c>
      <x:c r="I171" t="str">
        <x:f>IF(CaseLedger!$A171="","",CaseLedger!R171)</x:f>
      </x:c>
      <x:c r="J171" t="str">
        <x:f>IF(CaseLedger!$A171="","",CaseLedger!S171)</x:f>
      </x:c>
      <x:c r="K171" t="str">
        <x:f>IF(CaseLedger!$A171="","",CaseLedger!T171)</x:f>
      </x:c>
      <x:c r="L171" t="str">
        <x:f>IF(CaseLedger!$A171="","",CaseLedger!U171)</x:f>
      </x:c>
      <x:c r="M171" t="str">
        <x:f>IF(CaseLedger!$A171="","",CaseLedger!V171)</x:f>
      </x:c>
      <x:c r="N171" t="str">
        <x:f>IF(CaseLedger!$A171="","",CaseLedger!W171)</x:f>
      </x:c>
      <x:c r="O171" t="str">
        <x:f>IF(CaseLedger!$A171="","",CaseLedger!X171)</x:f>
      </x:c>
      <x:c r="P171" t="str">
        <x:f>IF(CaseLedger!$A171="","",CaseLedger!E171)</x:f>
      </x:c>
      <x:c r="Q171" t="str">
        <x:f>IF(CaseLedger!$A171="","",CaseLedger!C171)</x:f>
      </x:c>
      <x:c r="R171" t="str">
        <x:f>IF(CaseLedger!$A171="","",CaseLedger!D171)</x:f>
      </x:c>
      <x:c r="S171" t="str">
        <x:f>IFERROR(IF(CaseLedger!$A171="","",CaseLedger!Y171),"")</x:f>
      </x:c>
      <x:c r="T171" t="str">
        <x:f>IFERROR(IF(CaseLedger!$A171="","",CaseLedger!Z171),"")</x:f>
      </x:c>
      <x:c r="U171" t="str">
        <x:f>IFERROR(IF(CaseLedger!$A171="","",CaseLedger!AA171),"")</x:f>
      </x:c>
      <x:c r="V171" t="str">
        <x:f>IFERROR(IF(CaseLedger!$A171="","",CaseLedger!AB171),"")</x:f>
      </x:c>
      <x:c r="W171" t="str">
        <x:f>IFERROR(IF(CaseLedger!$A171="","",CaseLedger!AC171),"")</x:f>
      </x:c>
      <x:c r="X171" t="str">
        <x:f>IFERROR(IF(CaseLedger!$A171="","",CaseLedger!AD171),"")</x:f>
      </x:c>
      <x:c r="Y171" t="str">
        <x:f>IFERROR(IF(CaseLedger!$A171="","",CaseLedger!AE171),"")</x:f>
      </x:c>
      <x:c r="Z171" t="str">
        <x:f>IFERROR(IF(CaseLedger!$A171="","",CaseLedger!AF171),"")</x:f>
      </x:c>
      <x:c r="AA171" t="str">
        <x:f>IFERROR(IF(CaseLedger!$A171="","",CaseLedger!AG171),"")</x:f>
      </x:c>
      <x:c r="AB171" t="str">
        <x:f>IFERROR(IF(CaseLedger!$A171="","",CaseLedger!AH171),"")</x:f>
      </x:c>
      <x:c r="AC171" t="str">
        <x:f>IFERROR(IF(CaseLedger!$A171="","",CaseLedger!AI171),"")</x:f>
      </x:c>
    </x:row>
    <x:row r="172">
      <x:c r="A172" t="str">
        <x:f>IF(CaseLedger!$A172="","",CaseLedger!A172)</x:f>
      </x:c>
      <x:c r="B172" t="str">
        <x:f>IF(CaseLedger!$A172="","",CaseLedger!I172)</x:f>
      </x:c>
      <x:c r="C172" t="str">
        <x:f>IF(CaseLedger!$A172="","",CaseLedger!J172)</x:f>
      </x:c>
      <x:c r="D172" t="str">
        <x:f>IF(CaseLedger!$A172="","",CaseLedger!K172)</x:f>
      </x:c>
      <x:c r="E172" t="str">
        <x:f>IF(CaseLedger!$A172="","",CaseLedger!L172)</x:f>
      </x:c>
      <x:c r="F172" t="str">
        <x:f>IF(CaseLedger!$A172="","",CaseLedger!P172)</x:f>
      </x:c>
      <x:c r="G172" t="str">
        <x:f>IF(CaseLedger!$A172="","",CaseLedger!F172)</x:f>
      </x:c>
      <x:c r="H172" t="str">
        <x:f>IF(CaseLedger!$A172="","",CaseLedger!Q172)</x:f>
      </x:c>
      <x:c r="I172" t="str">
        <x:f>IF(CaseLedger!$A172="","",CaseLedger!R172)</x:f>
      </x:c>
      <x:c r="J172" t="str">
        <x:f>IF(CaseLedger!$A172="","",CaseLedger!S172)</x:f>
      </x:c>
      <x:c r="K172" t="str">
        <x:f>IF(CaseLedger!$A172="","",CaseLedger!T172)</x:f>
      </x:c>
      <x:c r="L172" t="str">
        <x:f>IF(CaseLedger!$A172="","",CaseLedger!U172)</x:f>
      </x:c>
      <x:c r="M172" t="str">
        <x:f>IF(CaseLedger!$A172="","",CaseLedger!V172)</x:f>
      </x:c>
      <x:c r="N172" t="str">
        <x:f>IF(CaseLedger!$A172="","",CaseLedger!W172)</x:f>
      </x:c>
      <x:c r="O172" t="str">
        <x:f>IF(CaseLedger!$A172="","",CaseLedger!X172)</x:f>
      </x:c>
      <x:c r="P172" t="str">
        <x:f>IF(CaseLedger!$A172="","",CaseLedger!E172)</x:f>
      </x:c>
      <x:c r="Q172" t="str">
        <x:f>IF(CaseLedger!$A172="","",CaseLedger!C172)</x:f>
      </x:c>
      <x:c r="R172" t="str">
        <x:f>IF(CaseLedger!$A172="","",CaseLedger!D172)</x:f>
      </x:c>
      <x:c r="S172" t="str">
        <x:f>IFERROR(IF(CaseLedger!$A172="","",CaseLedger!Y172),"")</x:f>
      </x:c>
      <x:c r="T172" t="str">
        <x:f>IFERROR(IF(CaseLedger!$A172="","",CaseLedger!Z172),"")</x:f>
      </x:c>
      <x:c r="U172" t="str">
        <x:f>IFERROR(IF(CaseLedger!$A172="","",CaseLedger!AA172),"")</x:f>
      </x:c>
      <x:c r="V172" t="str">
        <x:f>IFERROR(IF(CaseLedger!$A172="","",CaseLedger!AB172),"")</x:f>
      </x:c>
      <x:c r="W172" t="str">
        <x:f>IFERROR(IF(CaseLedger!$A172="","",CaseLedger!AC172),"")</x:f>
      </x:c>
      <x:c r="X172" t="str">
        <x:f>IFERROR(IF(CaseLedger!$A172="","",CaseLedger!AD172),"")</x:f>
      </x:c>
      <x:c r="Y172" t="str">
        <x:f>IFERROR(IF(CaseLedger!$A172="","",CaseLedger!AE172),"")</x:f>
      </x:c>
      <x:c r="Z172" t="str">
        <x:f>IFERROR(IF(CaseLedger!$A172="","",CaseLedger!AF172),"")</x:f>
      </x:c>
      <x:c r="AA172" t="str">
        <x:f>IFERROR(IF(CaseLedger!$A172="","",CaseLedger!AG172),"")</x:f>
      </x:c>
      <x:c r="AB172" t="str">
        <x:f>IFERROR(IF(CaseLedger!$A172="","",CaseLedger!AH172),"")</x:f>
      </x:c>
      <x:c r="AC172" t="str">
        <x:f>IFERROR(IF(CaseLedger!$A172="","",CaseLedger!AI172),"")</x:f>
      </x:c>
    </x:row>
    <x:row r="173">
      <x:c r="A173" t="str">
        <x:f>IF(CaseLedger!$A173="","",CaseLedger!A173)</x:f>
      </x:c>
      <x:c r="B173" t="str">
        <x:f>IF(CaseLedger!$A173="","",CaseLedger!I173)</x:f>
      </x:c>
      <x:c r="C173" t="str">
        <x:f>IF(CaseLedger!$A173="","",CaseLedger!J173)</x:f>
      </x:c>
      <x:c r="D173" t="str">
        <x:f>IF(CaseLedger!$A173="","",CaseLedger!K173)</x:f>
      </x:c>
      <x:c r="E173" t="str">
        <x:f>IF(CaseLedger!$A173="","",CaseLedger!L173)</x:f>
      </x:c>
      <x:c r="F173" t="str">
        <x:f>IF(CaseLedger!$A173="","",CaseLedger!P173)</x:f>
      </x:c>
      <x:c r="G173" t="str">
        <x:f>IF(CaseLedger!$A173="","",CaseLedger!F173)</x:f>
      </x:c>
      <x:c r="H173" t="str">
        <x:f>IF(CaseLedger!$A173="","",CaseLedger!Q173)</x:f>
      </x:c>
      <x:c r="I173" t="str">
        <x:f>IF(CaseLedger!$A173="","",CaseLedger!R173)</x:f>
      </x:c>
      <x:c r="J173" t="str">
        <x:f>IF(CaseLedger!$A173="","",CaseLedger!S173)</x:f>
      </x:c>
      <x:c r="K173" t="str">
        <x:f>IF(CaseLedger!$A173="","",CaseLedger!T173)</x:f>
      </x:c>
      <x:c r="L173" t="str">
        <x:f>IF(CaseLedger!$A173="","",CaseLedger!U173)</x:f>
      </x:c>
      <x:c r="M173" t="str">
        <x:f>IF(CaseLedger!$A173="","",CaseLedger!V173)</x:f>
      </x:c>
      <x:c r="N173" t="str">
        <x:f>IF(CaseLedger!$A173="","",CaseLedger!W173)</x:f>
      </x:c>
      <x:c r="O173" t="str">
        <x:f>IF(CaseLedger!$A173="","",CaseLedger!X173)</x:f>
      </x:c>
      <x:c r="P173" t="str">
        <x:f>IF(CaseLedger!$A173="","",CaseLedger!E173)</x:f>
      </x:c>
      <x:c r="Q173" t="str">
        <x:f>IF(CaseLedger!$A173="","",CaseLedger!C173)</x:f>
      </x:c>
      <x:c r="R173" t="str">
        <x:f>IF(CaseLedger!$A173="","",CaseLedger!D173)</x:f>
      </x:c>
      <x:c r="S173" t="str">
        <x:f>IFERROR(IF(CaseLedger!$A173="","",CaseLedger!Y173),"")</x:f>
      </x:c>
      <x:c r="T173" t="str">
        <x:f>IFERROR(IF(CaseLedger!$A173="","",CaseLedger!Z173),"")</x:f>
      </x:c>
      <x:c r="U173" t="str">
        <x:f>IFERROR(IF(CaseLedger!$A173="","",CaseLedger!AA173),"")</x:f>
      </x:c>
      <x:c r="V173" t="str">
        <x:f>IFERROR(IF(CaseLedger!$A173="","",CaseLedger!AB173),"")</x:f>
      </x:c>
      <x:c r="W173" t="str">
        <x:f>IFERROR(IF(CaseLedger!$A173="","",CaseLedger!AC173),"")</x:f>
      </x:c>
      <x:c r="X173" t="str">
        <x:f>IFERROR(IF(CaseLedger!$A173="","",CaseLedger!AD173),"")</x:f>
      </x:c>
      <x:c r="Y173" t="str">
        <x:f>IFERROR(IF(CaseLedger!$A173="","",CaseLedger!AE173),"")</x:f>
      </x:c>
      <x:c r="Z173" t="str">
        <x:f>IFERROR(IF(CaseLedger!$A173="","",CaseLedger!AF173),"")</x:f>
      </x:c>
      <x:c r="AA173" t="str">
        <x:f>IFERROR(IF(CaseLedger!$A173="","",CaseLedger!AG173),"")</x:f>
      </x:c>
      <x:c r="AB173" t="str">
        <x:f>IFERROR(IF(CaseLedger!$A173="","",CaseLedger!AH173),"")</x:f>
      </x:c>
      <x:c r="AC173" t="str">
        <x:f>IFERROR(IF(CaseLedger!$A173="","",CaseLedger!AI173),"")</x:f>
      </x:c>
    </x:row>
    <x:row r="174">
      <x:c r="A174" t="str">
        <x:f>IF(CaseLedger!$A174="","",CaseLedger!A174)</x:f>
      </x:c>
      <x:c r="B174" t="str">
        <x:f>IF(CaseLedger!$A174="","",CaseLedger!I174)</x:f>
      </x:c>
      <x:c r="C174" t="str">
        <x:f>IF(CaseLedger!$A174="","",CaseLedger!J174)</x:f>
      </x:c>
      <x:c r="D174" t="str">
        <x:f>IF(CaseLedger!$A174="","",CaseLedger!K174)</x:f>
      </x:c>
      <x:c r="E174" t="str">
        <x:f>IF(CaseLedger!$A174="","",CaseLedger!L174)</x:f>
      </x:c>
      <x:c r="F174" t="str">
        <x:f>IF(CaseLedger!$A174="","",CaseLedger!P174)</x:f>
      </x:c>
      <x:c r="G174" t="str">
        <x:f>IF(CaseLedger!$A174="","",CaseLedger!F174)</x:f>
      </x:c>
      <x:c r="H174" t="str">
        <x:f>IF(CaseLedger!$A174="","",CaseLedger!Q174)</x:f>
      </x:c>
      <x:c r="I174" t="str">
        <x:f>IF(CaseLedger!$A174="","",CaseLedger!R174)</x:f>
      </x:c>
      <x:c r="J174" t="str">
        <x:f>IF(CaseLedger!$A174="","",CaseLedger!S174)</x:f>
      </x:c>
      <x:c r="K174" t="str">
        <x:f>IF(CaseLedger!$A174="","",CaseLedger!T174)</x:f>
      </x:c>
      <x:c r="L174" t="str">
        <x:f>IF(CaseLedger!$A174="","",CaseLedger!U174)</x:f>
      </x:c>
      <x:c r="M174" t="str">
        <x:f>IF(CaseLedger!$A174="","",CaseLedger!V174)</x:f>
      </x:c>
      <x:c r="N174" t="str">
        <x:f>IF(CaseLedger!$A174="","",CaseLedger!W174)</x:f>
      </x:c>
      <x:c r="O174" t="str">
        <x:f>IF(CaseLedger!$A174="","",CaseLedger!X174)</x:f>
      </x:c>
      <x:c r="P174" t="str">
        <x:f>IF(CaseLedger!$A174="","",CaseLedger!E174)</x:f>
      </x:c>
      <x:c r="Q174" t="str">
        <x:f>IF(CaseLedger!$A174="","",CaseLedger!C174)</x:f>
      </x:c>
      <x:c r="R174" t="str">
        <x:f>IF(CaseLedger!$A174="","",CaseLedger!D174)</x:f>
      </x:c>
      <x:c r="S174" t="str">
        <x:f>IFERROR(IF(CaseLedger!$A174="","",CaseLedger!Y174),"")</x:f>
      </x:c>
      <x:c r="T174" t="str">
        <x:f>IFERROR(IF(CaseLedger!$A174="","",CaseLedger!Z174),"")</x:f>
      </x:c>
      <x:c r="U174" t="str">
        <x:f>IFERROR(IF(CaseLedger!$A174="","",CaseLedger!AA174),"")</x:f>
      </x:c>
      <x:c r="V174" t="str">
        <x:f>IFERROR(IF(CaseLedger!$A174="","",CaseLedger!AB174),"")</x:f>
      </x:c>
      <x:c r="W174" t="str">
        <x:f>IFERROR(IF(CaseLedger!$A174="","",CaseLedger!AC174),"")</x:f>
      </x:c>
      <x:c r="X174" t="str">
        <x:f>IFERROR(IF(CaseLedger!$A174="","",CaseLedger!AD174),"")</x:f>
      </x:c>
      <x:c r="Y174" t="str">
        <x:f>IFERROR(IF(CaseLedger!$A174="","",CaseLedger!AE174),"")</x:f>
      </x:c>
      <x:c r="Z174" t="str">
        <x:f>IFERROR(IF(CaseLedger!$A174="","",CaseLedger!AF174),"")</x:f>
      </x:c>
      <x:c r="AA174" t="str">
        <x:f>IFERROR(IF(CaseLedger!$A174="","",CaseLedger!AG174),"")</x:f>
      </x:c>
      <x:c r="AB174" t="str">
        <x:f>IFERROR(IF(CaseLedger!$A174="","",CaseLedger!AH174),"")</x:f>
      </x:c>
      <x:c r="AC174" t="str">
        <x:f>IFERROR(IF(CaseLedger!$A174="","",CaseLedger!AI174),"")</x:f>
      </x:c>
    </x:row>
    <x:row r="175">
      <x:c r="A175" t="str">
        <x:f>IF(CaseLedger!$A175="","",CaseLedger!A175)</x:f>
      </x:c>
      <x:c r="B175" t="str">
        <x:f>IF(CaseLedger!$A175="","",CaseLedger!I175)</x:f>
      </x:c>
      <x:c r="C175" t="str">
        <x:f>IF(CaseLedger!$A175="","",CaseLedger!J175)</x:f>
      </x:c>
      <x:c r="D175" t="str">
        <x:f>IF(CaseLedger!$A175="","",CaseLedger!K175)</x:f>
      </x:c>
      <x:c r="E175" t="str">
        <x:f>IF(CaseLedger!$A175="","",CaseLedger!L175)</x:f>
      </x:c>
      <x:c r="F175" t="str">
        <x:f>IF(CaseLedger!$A175="","",CaseLedger!P175)</x:f>
      </x:c>
      <x:c r="G175" t="str">
        <x:f>IF(CaseLedger!$A175="","",CaseLedger!F175)</x:f>
      </x:c>
      <x:c r="H175" t="str">
        <x:f>IF(CaseLedger!$A175="","",CaseLedger!Q175)</x:f>
      </x:c>
      <x:c r="I175" t="str">
        <x:f>IF(CaseLedger!$A175="","",CaseLedger!R175)</x:f>
      </x:c>
      <x:c r="J175" t="str">
        <x:f>IF(CaseLedger!$A175="","",CaseLedger!S175)</x:f>
      </x:c>
      <x:c r="K175" t="str">
        <x:f>IF(CaseLedger!$A175="","",CaseLedger!T175)</x:f>
      </x:c>
      <x:c r="L175" t="str">
        <x:f>IF(CaseLedger!$A175="","",CaseLedger!U175)</x:f>
      </x:c>
      <x:c r="M175" t="str">
        <x:f>IF(CaseLedger!$A175="","",CaseLedger!V175)</x:f>
      </x:c>
      <x:c r="N175" t="str">
        <x:f>IF(CaseLedger!$A175="","",CaseLedger!W175)</x:f>
      </x:c>
      <x:c r="O175" t="str">
        <x:f>IF(CaseLedger!$A175="","",CaseLedger!X175)</x:f>
      </x:c>
      <x:c r="P175" t="str">
        <x:f>IF(CaseLedger!$A175="","",CaseLedger!E175)</x:f>
      </x:c>
      <x:c r="Q175" t="str">
        <x:f>IF(CaseLedger!$A175="","",CaseLedger!C175)</x:f>
      </x:c>
      <x:c r="R175" t="str">
        <x:f>IF(CaseLedger!$A175="","",CaseLedger!D175)</x:f>
      </x:c>
      <x:c r="S175" t="str">
        <x:f>IFERROR(IF(CaseLedger!$A175="","",CaseLedger!Y175),"")</x:f>
      </x:c>
      <x:c r="T175" t="str">
        <x:f>IFERROR(IF(CaseLedger!$A175="","",CaseLedger!Z175),"")</x:f>
      </x:c>
      <x:c r="U175" t="str">
        <x:f>IFERROR(IF(CaseLedger!$A175="","",CaseLedger!AA175),"")</x:f>
      </x:c>
      <x:c r="V175" t="str">
        <x:f>IFERROR(IF(CaseLedger!$A175="","",CaseLedger!AB175),"")</x:f>
      </x:c>
      <x:c r="W175" t="str">
        <x:f>IFERROR(IF(CaseLedger!$A175="","",CaseLedger!AC175),"")</x:f>
      </x:c>
      <x:c r="X175" t="str">
        <x:f>IFERROR(IF(CaseLedger!$A175="","",CaseLedger!AD175),"")</x:f>
      </x:c>
      <x:c r="Y175" t="str">
        <x:f>IFERROR(IF(CaseLedger!$A175="","",CaseLedger!AE175),"")</x:f>
      </x:c>
      <x:c r="Z175" t="str">
        <x:f>IFERROR(IF(CaseLedger!$A175="","",CaseLedger!AF175),"")</x:f>
      </x:c>
      <x:c r="AA175" t="str">
        <x:f>IFERROR(IF(CaseLedger!$A175="","",CaseLedger!AG175),"")</x:f>
      </x:c>
      <x:c r="AB175" t="str">
        <x:f>IFERROR(IF(CaseLedger!$A175="","",CaseLedger!AH175),"")</x:f>
      </x:c>
      <x:c r="AC175" t="str">
        <x:f>IFERROR(IF(CaseLedger!$A175="","",CaseLedger!AI175),"")</x:f>
      </x:c>
    </x:row>
    <x:row r="176">
      <x:c r="A176" t="str">
        <x:f>IF(CaseLedger!$A176="","",CaseLedger!A176)</x:f>
      </x:c>
      <x:c r="B176" t="str">
        <x:f>IF(CaseLedger!$A176="","",CaseLedger!I176)</x:f>
      </x:c>
      <x:c r="C176" t="str">
        <x:f>IF(CaseLedger!$A176="","",CaseLedger!J176)</x:f>
      </x:c>
      <x:c r="D176" t="str">
        <x:f>IF(CaseLedger!$A176="","",CaseLedger!K176)</x:f>
      </x:c>
      <x:c r="E176" t="str">
        <x:f>IF(CaseLedger!$A176="","",CaseLedger!L176)</x:f>
      </x:c>
      <x:c r="F176" t="str">
        <x:f>IF(CaseLedger!$A176="","",CaseLedger!P176)</x:f>
      </x:c>
      <x:c r="G176" t="str">
        <x:f>IF(CaseLedger!$A176="","",CaseLedger!F176)</x:f>
      </x:c>
      <x:c r="H176" t="str">
        <x:f>IF(CaseLedger!$A176="","",CaseLedger!Q176)</x:f>
      </x:c>
      <x:c r="I176" t="str">
        <x:f>IF(CaseLedger!$A176="","",CaseLedger!R176)</x:f>
      </x:c>
      <x:c r="J176" t="str">
        <x:f>IF(CaseLedger!$A176="","",CaseLedger!S176)</x:f>
      </x:c>
      <x:c r="K176" t="str">
        <x:f>IF(CaseLedger!$A176="","",CaseLedger!T176)</x:f>
      </x:c>
      <x:c r="L176" t="str">
        <x:f>IF(CaseLedger!$A176="","",CaseLedger!U176)</x:f>
      </x:c>
      <x:c r="M176" t="str">
        <x:f>IF(CaseLedger!$A176="","",CaseLedger!V176)</x:f>
      </x:c>
      <x:c r="N176" t="str">
        <x:f>IF(CaseLedger!$A176="","",CaseLedger!W176)</x:f>
      </x:c>
      <x:c r="O176" t="str">
        <x:f>IF(CaseLedger!$A176="","",CaseLedger!X176)</x:f>
      </x:c>
      <x:c r="P176" t="str">
        <x:f>IF(CaseLedger!$A176="","",CaseLedger!E176)</x:f>
      </x:c>
      <x:c r="Q176" t="str">
        <x:f>IF(CaseLedger!$A176="","",CaseLedger!C176)</x:f>
      </x:c>
      <x:c r="R176" t="str">
        <x:f>IF(CaseLedger!$A176="","",CaseLedger!D176)</x:f>
      </x:c>
      <x:c r="S176" t="str">
        <x:f>IFERROR(IF(CaseLedger!$A176="","",CaseLedger!Y176),"")</x:f>
      </x:c>
      <x:c r="T176" t="str">
        <x:f>IFERROR(IF(CaseLedger!$A176="","",CaseLedger!Z176),"")</x:f>
      </x:c>
      <x:c r="U176" t="str">
        <x:f>IFERROR(IF(CaseLedger!$A176="","",CaseLedger!AA176),"")</x:f>
      </x:c>
      <x:c r="V176" t="str">
        <x:f>IFERROR(IF(CaseLedger!$A176="","",CaseLedger!AB176),"")</x:f>
      </x:c>
      <x:c r="W176" t="str">
        <x:f>IFERROR(IF(CaseLedger!$A176="","",CaseLedger!AC176),"")</x:f>
      </x:c>
      <x:c r="X176" t="str">
        <x:f>IFERROR(IF(CaseLedger!$A176="","",CaseLedger!AD176),"")</x:f>
      </x:c>
      <x:c r="Y176" t="str">
        <x:f>IFERROR(IF(CaseLedger!$A176="","",CaseLedger!AE176),"")</x:f>
      </x:c>
      <x:c r="Z176" t="str">
        <x:f>IFERROR(IF(CaseLedger!$A176="","",CaseLedger!AF176),"")</x:f>
      </x:c>
      <x:c r="AA176" t="str">
        <x:f>IFERROR(IF(CaseLedger!$A176="","",CaseLedger!AG176),"")</x:f>
      </x:c>
      <x:c r="AB176" t="str">
        <x:f>IFERROR(IF(CaseLedger!$A176="","",CaseLedger!AH176),"")</x:f>
      </x:c>
      <x:c r="AC176" t="str">
        <x:f>IFERROR(IF(CaseLedger!$A176="","",CaseLedger!AI176),"")</x:f>
      </x:c>
    </x:row>
    <x:row r="177">
      <x:c r="A177" t="str">
        <x:f>IF(CaseLedger!$A177="","",CaseLedger!A177)</x:f>
      </x:c>
      <x:c r="B177" t="str">
        <x:f>IF(CaseLedger!$A177="","",CaseLedger!I177)</x:f>
      </x:c>
      <x:c r="C177" t="str">
        <x:f>IF(CaseLedger!$A177="","",CaseLedger!J177)</x:f>
      </x:c>
      <x:c r="D177" t="str">
        <x:f>IF(CaseLedger!$A177="","",CaseLedger!K177)</x:f>
      </x:c>
      <x:c r="E177" t="str">
        <x:f>IF(CaseLedger!$A177="","",CaseLedger!L177)</x:f>
      </x:c>
      <x:c r="F177" t="str">
        <x:f>IF(CaseLedger!$A177="","",CaseLedger!P177)</x:f>
      </x:c>
      <x:c r="G177" t="str">
        <x:f>IF(CaseLedger!$A177="","",CaseLedger!F177)</x:f>
      </x:c>
      <x:c r="H177" t="str">
        <x:f>IF(CaseLedger!$A177="","",CaseLedger!Q177)</x:f>
      </x:c>
      <x:c r="I177" t="str">
        <x:f>IF(CaseLedger!$A177="","",CaseLedger!R177)</x:f>
      </x:c>
      <x:c r="J177" t="str">
        <x:f>IF(CaseLedger!$A177="","",CaseLedger!S177)</x:f>
      </x:c>
      <x:c r="K177" t="str">
        <x:f>IF(CaseLedger!$A177="","",CaseLedger!T177)</x:f>
      </x:c>
      <x:c r="L177" t="str">
        <x:f>IF(CaseLedger!$A177="","",CaseLedger!U177)</x:f>
      </x:c>
      <x:c r="M177" t="str">
        <x:f>IF(CaseLedger!$A177="","",CaseLedger!V177)</x:f>
      </x:c>
      <x:c r="N177" t="str">
        <x:f>IF(CaseLedger!$A177="","",CaseLedger!W177)</x:f>
      </x:c>
      <x:c r="O177" t="str">
        <x:f>IF(CaseLedger!$A177="","",CaseLedger!X177)</x:f>
      </x:c>
      <x:c r="P177" t="str">
        <x:f>IF(CaseLedger!$A177="","",CaseLedger!E177)</x:f>
      </x:c>
      <x:c r="Q177" t="str">
        <x:f>IF(CaseLedger!$A177="","",CaseLedger!C177)</x:f>
      </x:c>
      <x:c r="R177" t="str">
        <x:f>IF(CaseLedger!$A177="","",CaseLedger!D177)</x:f>
      </x:c>
      <x:c r="S177" t="str">
        <x:f>IFERROR(IF(CaseLedger!$A177="","",CaseLedger!Y177),"")</x:f>
      </x:c>
      <x:c r="T177" t="str">
        <x:f>IFERROR(IF(CaseLedger!$A177="","",CaseLedger!Z177),"")</x:f>
      </x:c>
      <x:c r="U177" t="str">
        <x:f>IFERROR(IF(CaseLedger!$A177="","",CaseLedger!AA177),"")</x:f>
      </x:c>
      <x:c r="V177" t="str">
        <x:f>IFERROR(IF(CaseLedger!$A177="","",CaseLedger!AB177),"")</x:f>
      </x:c>
      <x:c r="W177" t="str">
        <x:f>IFERROR(IF(CaseLedger!$A177="","",CaseLedger!AC177),"")</x:f>
      </x:c>
      <x:c r="X177" t="str">
        <x:f>IFERROR(IF(CaseLedger!$A177="","",CaseLedger!AD177),"")</x:f>
      </x:c>
      <x:c r="Y177" t="str">
        <x:f>IFERROR(IF(CaseLedger!$A177="","",CaseLedger!AE177),"")</x:f>
      </x:c>
      <x:c r="Z177" t="str">
        <x:f>IFERROR(IF(CaseLedger!$A177="","",CaseLedger!AF177),"")</x:f>
      </x:c>
      <x:c r="AA177" t="str">
        <x:f>IFERROR(IF(CaseLedger!$A177="","",CaseLedger!AG177),"")</x:f>
      </x:c>
      <x:c r="AB177" t="str">
        <x:f>IFERROR(IF(CaseLedger!$A177="","",CaseLedger!AH177),"")</x:f>
      </x:c>
      <x:c r="AC177" t="str">
        <x:f>IFERROR(IF(CaseLedger!$A177="","",CaseLedger!AI177),"")</x:f>
      </x:c>
    </x:row>
    <x:row r="178">
      <x:c r="A178" t="str">
        <x:f>IF(CaseLedger!$A178="","",CaseLedger!A178)</x:f>
      </x:c>
      <x:c r="B178" t="str">
        <x:f>IF(CaseLedger!$A178="","",CaseLedger!I178)</x:f>
      </x:c>
      <x:c r="C178" t="str">
        <x:f>IF(CaseLedger!$A178="","",CaseLedger!J178)</x:f>
      </x:c>
      <x:c r="D178" t="str">
        <x:f>IF(CaseLedger!$A178="","",CaseLedger!K178)</x:f>
      </x:c>
      <x:c r="E178" t="str">
        <x:f>IF(CaseLedger!$A178="","",CaseLedger!L178)</x:f>
      </x:c>
      <x:c r="F178" t="str">
        <x:f>IF(CaseLedger!$A178="","",CaseLedger!P178)</x:f>
      </x:c>
      <x:c r="G178" t="str">
        <x:f>IF(CaseLedger!$A178="","",CaseLedger!F178)</x:f>
      </x:c>
      <x:c r="H178" t="str">
        <x:f>IF(CaseLedger!$A178="","",CaseLedger!Q178)</x:f>
      </x:c>
      <x:c r="I178" t="str">
        <x:f>IF(CaseLedger!$A178="","",CaseLedger!R178)</x:f>
      </x:c>
      <x:c r="J178" t="str">
        <x:f>IF(CaseLedger!$A178="","",CaseLedger!S178)</x:f>
      </x:c>
      <x:c r="K178" t="str">
        <x:f>IF(CaseLedger!$A178="","",CaseLedger!T178)</x:f>
      </x:c>
      <x:c r="L178" t="str">
        <x:f>IF(CaseLedger!$A178="","",CaseLedger!U178)</x:f>
      </x:c>
      <x:c r="M178" t="str">
        <x:f>IF(CaseLedger!$A178="","",CaseLedger!V178)</x:f>
      </x:c>
      <x:c r="N178" t="str">
        <x:f>IF(CaseLedger!$A178="","",CaseLedger!W178)</x:f>
      </x:c>
      <x:c r="O178" t="str">
        <x:f>IF(CaseLedger!$A178="","",CaseLedger!X178)</x:f>
      </x:c>
      <x:c r="P178" t="str">
        <x:f>IF(CaseLedger!$A178="","",CaseLedger!E178)</x:f>
      </x:c>
      <x:c r="Q178" t="str">
        <x:f>IF(CaseLedger!$A178="","",CaseLedger!C178)</x:f>
      </x:c>
      <x:c r="R178" t="str">
        <x:f>IF(CaseLedger!$A178="","",CaseLedger!D178)</x:f>
      </x:c>
      <x:c r="S178" t="str">
        <x:f>IFERROR(IF(CaseLedger!$A178="","",CaseLedger!Y178),"")</x:f>
      </x:c>
      <x:c r="T178" t="str">
        <x:f>IFERROR(IF(CaseLedger!$A178="","",CaseLedger!Z178),"")</x:f>
      </x:c>
      <x:c r="U178" t="str">
        <x:f>IFERROR(IF(CaseLedger!$A178="","",CaseLedger!AA178),"")</x:f>
      </x:c>
      <x:c r="V178" t="str">
        <x:f>IFERROR(IF(CaseLedger!$A178="","",CaseLedger!AB178),"")</x:f>
      </x:c>
      <x:c r="W178" t="str">
        <x:f>IFERROR(IF(CaseLedger!$A178="","",CaseLedger!AC178),"")</x:f>
      </x:c>
      <x:c r="X178" t="str">
        <x:f>IFERROR(IF(CaseLedger!$A178="","",CaseLedger!AD178),"")</x:f>
      </x:c>
      <x:c r="Y178" t="str">
        <x:f>IFERROR(IF(CaseLedger!$A178="","",CaseLedger!AE178),"")</x:f>
      </x:c>
      <x:c r="Z178" t="str">
        <x:f>IFERROR(IF(CaseLedger!$A178="","",CaseLedger!AF178),"")</x:f>
      </x:c>
      <x:c r="AA178" t="str">
        <x:f>IFERROR(IF(CaseLedger!$A178="","",CaseLedger!AG178),"")</x:f>
      </x:c>
      <x:c r="AB178" t="str">
        <x:f>IFERROR(IF(CaseLedger!$A178="","",CaseLedger!AH178),"")</x:f>
      </x:c>
      <x:c r="AC178" t="str">
        <x:f>IFERROR(IF(CaseLedger!$A178="","",CaseLedger!AI178),"")</x:f>
      </x:c>
    </x:row>
    <x:row r="179">
      <x:c r="A179" t="str">
        <x:f>IF(CaseLedger!$A179="","",CaseLedger!A179)</x:f>
      </x:c>
      <x:c r="B179" t="str">
        <x:f>IF(CaseLedger!$A179="","",CaseLedger!I179)</x:f>
      </x:c>
      <x:c r="C179" t="str">
        <x:f>IF(CaseLedger!$A179="","",CaseLedger!J179)</x:f>
      </x:c>
      <x:c r="D179" t="str">
        <x:f>IF(CaseLedger!$A179="","",CaseLedger!K179)</x:f>
      </x:c>
      <x:c r="E179" t="str">
        <x:f>IF(CaseLedger!$A179="","",CaseLedger!L179)</x:f>
      </x:c>
      <x:c r="F179" t="str">
        <x:f>IF(CaseLedger!$A179="","",CaseLedger!P179)</x:f>
      </x:c>
      <x:c r="G179" t="str">
        <x:f>IF(CaseLedger!$A179="","",CaseLedger!F179)</x:f>
      </x:c>
      <x:c r="H179" t="str">
        <x:f>IF(CaseLedger!$A179="","",CaseLedger!Q179)</x:f>
      </x:c>
      <x:c r="I179" t="str">
        <x:f>IF(CaseLedger!$A179="","",CaseLedger!R179)</x:f>
      </x:c>
      <x:c r="J179" t="str">
        <x:f>IF(CaseLedger!$A179="","",CaseLedger!S179)</x:f>
      </x:c>
      <x:c r="K179" t="str">
        <x:f>IF(CaseLedger!$A179="","",CaseLedger!T179)</x:f>
      </x:c>
      <x:c r="L179" t="str">
        <x:f>IF(CaseLedger!$A179="","",CaseLedger!U179)</x:f>
      </x:c>
      <x:c r="M179" t="str">
        <x:f>IF(CaseLedger!$A179="","",CaseLedger!V179)</x:f>
      </x:c>
      <x:c r="N179" t="str">
        <x:f>IF(CaseLedger!$A179="","",CaseLedger!W179)</x:f>
      </x:c>
      <x:c r="O179" t="str">
        <x:f>IF(CaseLedger!$A179="","",CaseLedger!X179)</x:f>
      </x:c>
      <x:c r="P179" t="str">
        <x:f>IF(CaseLedger!$A179="","",CaseLedger!E179)</x:f>
      </x:c>
      <x:c r="Q179" t="str">
        <x:f>IF(CaseLedger!$A179="","",CaseLedger!C179)</x:f>
      </x:c>
      <x:c r="R179" t="str">
        <x:f>IF(CaseLedger!$A179="","",CaseLedger!D179)</x:f>
      </x:c>
      <x:c r="S179" t="str">
        <x:f>IFERROR(IF(CaseLedger!$A179="","",CaseLedger!Y179),"")</x:f>
      </x:c>
      <x:c r="T179" t="str">
        <x:f>IFERROR(IF(CaseLedger!$A179="","",CaseLedger!Z179),"")</x:f>
      </x:c>
      <x:c r="U179" t="str">
        <x:f>IFERROR(IF(CaseLedger!$A179="","",CaseLedger!AA179),"")</x:f>
      </x:c>
      <x:c r="V179" t="str">
        <x:f>IFERROR(IF(CaseLedger!$A179="","",CaseLedger!AB179),"")</x:f>
      </x:c>
      <x:c r="W179" t="str">
        <x:f>IFERROR(IF(CaseLedger!$A179="","",CaseLedger!AC179),"")</x:f>
      </x:c>
      <x:c r="X179" t="str">
        <x:f>IFERROR(IF(CaseLedger!$A179="","",CaseLedger!AD179),"")</x:f>
      </x:c>
      <x:c r="Y179" t="str">
        <x:f>IFERROR(IF(CaseLedger!$A179="","",CaseLedger!AE179),"")</x:f>
      </x:c>
      <x:c r="Z179" t="str">
        <x:f>IFERROR(IF(CaseLedger!$A179="","",CaseLedger!AF179),"")</x:f>
      </x:c>
      <x:c r="AA179" t="str">
        <x:f>IFERROR(IF(CaseLedger!$A179="","",CaseLedger!AG179),"")</x:f>
      </x:c>
      <x:c r="AB179" t="str">
        <x:f>IFERROR(IF(CaseLedger!$A179="","",CaseLedger!AH179),"")</x:f>
      </x:c>
      <x:c r="AC179" t="str">
        <x:f>IFERROR(IF(CaseLedger!$A179="","",CaseLedger!AI179),"")</x:f>
      </x:c>
    </x:row>
    <x:row r="180">
      <x:c r="A180" t="str">
        <x:f>IF(CaseLedger!$A180="","",CaseLedger!A180)</x:f>
      </x:c>
      <x:c r="B180" t="str">
        <x:f>IF(CaseLedger!$A180="","",CaseLedger!I180)</x:f>
      </x:c>
      <x:c r="C180" t="str">
        <x:f>IF(CaseLedger!$A180="","",CaseLedger!J180)</x:f>
      </x:c>
      <x:c r="D180" t="str">
        <x:f>IF(CaseLedger!$A180="","",CaseLedger!K180)</x:f>
      </x:c>
      <x:c r="E180" t="str">
        <x:f>IF(CaseLedger!$A180="","",CaseLedger!L180)</x:f>
      </x:c>
      <x:c r="F180" t="str">
        <x:f>IF(CaseLedger!$A180="","",CaseLedger!P180)</x:f>
      </x:c>
      <x:c r="G180" t="str">
        <x:f>IF(CaseLedger!$A180="","",CaseLedger!F180)</x:f>
      </x:c>
      <x:c r="H180" t="str">
        <x:f>IF(CaseLedger!$A180="","",CaseLedger!Q180)</x:f>
      </x:c>
      <x:c r="I180" t="str">
        <x:f>IF(CaseLedger!$A180="","",CaseLedger!R180)</x:f>
      </x:c>
      <x:c r="J180" t="str">
        <x:f>IF(CaseLedger!$A180="","",CaseLedger!S180)</x:f>
      </x:c>
      <x:c r="K180" t="str">
        <x:f>IF(CaseLedger!$A180="","",CaseLedger!T180)</x:f>
      </x:c>
      <x:c r="L180" t="str">
        <x:f>IF(CaseLedger!$A180="","",CaseLedger!U180)</x:f>
      </x:c>
      <x:c r="M180" t="str">
        <x:f>IF(CaseLedger!$A180="","",CaseLedger!V180)</x:f>
      </x:c>
      <x:c r="N180" t="str">
        <x:f>IF(CaseLedger!$A180="","",CaseLedger!W180)</x:f>
      </x:c>
      <x:c r="O180" t="str">
        <x:f>IF(CaseLedger!$A180="","",CaseLedger!X180)</x:f>
      </x:c>
      <x:c r="P180" t="str">
        <x:f>IF(CaseLedger!$A180="","",CaseLedger!E180)</x:f>
      </x:c>
      <x:c r="Q180" t="str">
        <x:f>IF(CaseLedger!$A180="","",CaseLedger!C180)</x:f>
      </x:c>
      <x:c r="R180" t="str">
        <x:f>IF(CaseLedger!$A180="","",CaseLedger!D180)</x:f>
      </x:c>
      <x:c r="S180" t="str">
        <x:f>IFERROR(IF(CaseLedger!$A180="","",CaseLedger!Y180),"")</x:f>
      </x:c>
      <x:c r="T180" t="str">
        <x:f>IFERROR(IF(CaseLedger!$A180="","",CaseLedger!Z180),"")</x:f>
      </x:c>
      <x:c r="U180" t="str">
        <x:f>IFERROR(IF(CaseLedger!$A180="","",CaseLedger!AA180),"")</x:f>
      </x:c>
      <x:c r="V180" t="str">
        <x:f>IFERROR(IF(CaseLedger!$A180="","",CaseLedger!AB180),"")</x:f>
      </x:c>
      <x:c r="W180" t="str">
        <x:f>IFERROR(IF(CaseLedger!$A180="","",CaseLedger!AC180),"")</x:f>
      </x:c>
      <x:c r="X180" t="str">
        <x:f>IFERROR(IF(CaseLedger!$A180="","",CaseLedger!AD180),"")</x:f>
      </x:c>
      <x:c r="Y180" t="str">
        <x:f>IFERROR(IF(CaseLedger!$A180="","",CaseLedger!AE180),"")</x:f>
      </x:c>
      <x:c r="Z180" t="str">
        <x:f>IFERROR(IF(CaseLedger!$A180="","",CaseLedger!AF180),"")</x:f>
      </x:c>
      <x:c r="AA180" t="str">
        <x:f>IFERROR(IF(CaseLedger!$A180="","",CaseLedger!AG180),"")</x:f>
      </x:c>
      <x:c r="AB180" t="str">
        <x:f>IFERROR(IF(CaseLedger!$A180="","",CaseLedger!AH180),"")</x:f>
      </x:c>
      <x:c r="AC180" t="str">
        <x:f>IFERROR(IF(CaseLedger!$A180="","",CaseLedger!AI180),"")</x:f>
      </x:c>
    </x:row>
    <x:row r="181">
      <x:c r="A181" t="str">
        <x:f>IF(CaseLedger!$A181="","",CaseLedger!A181)</x:f>
      </x:c>
      <x:c r="B181" t="str">
        <x:f>IF(CaseLedger!$A181="","",CaseLedger!I181)</x:f>
      </x:c>
      <x:c r="C181" t="str">
        <x:f>IF(CaseLedger!$A181="","",CaseLedger!J181)</x:f>
      </x:c>
      <x:c r="D181" t="str">
        <x:f>IF(CaseLedger!$A181="","",CaseLedger!K181)</x:f>
      </x:c>
      <x:c r="E181" t="str">
        <x:f>IF(CaseLedger!$A181="","",CaseLedger!L181)</x:f>
      </x:c>
      <x:c r="F181" t="str">
        <x:f>IF(CaseLedger!$A181="","",CaseLedger!P181)</x:f>
      </x:c>
      <x:c r="G181" t="str">
        <x:f>IF(CaseLedger!$A181="","",CaseLedger!F181)</x:f>
      </x:c>
      <x:c r="H181" t="str">
        <x:f>IF(CaseLedger!$A181="","",CaseLedger!Q181)</x:f>
      </x:c>
      <x:c r="I181" t="str">
        <x:f>IF(CaseLedger!$A181="","",CaseLedger!R181)</x:f>
      </x:c>
      <x:c r="J181" t="str">
        <x:f>IF(CaseLedger!$A181="","",CaseLedger!S181)</x:f>
      </x:c>
      <x:c r="K181" t="str">
        <x:f>IF(CaseLedger!$A181="","",CaseLedger!T181)</x:f>
      </x:c>
      <x:c r="L181" t="str">
        <x:f>IF(CaseLedger!$A181="","",CaseLedger!U181)</x:f>
      </x:c>
      <x:c r="M181" t="str">
        <x:f>IF(CaseLedger!$A181="","",CaseLedger!V181)</x:f>
      </x:c>
      <x:c r="N181" t="str">
        <x:f>IF(CaseLedger!$A181="","",CaseLedger!W181)</x:f>
      </x:c>
      <x:c r="O181" t="str">
        <x:f>IF(CaseLedger!$A181="","",CaseLedger!X181)</x:f>
      </x:c>
      <x:c r="P181" t="str">
        <x:f>IF(CaseLedger!$A181="","",CaseLedger!E181)</x:f>
      </x:c>
      <x:c r="Q181" t="str">
        <x:f>IF(CaseLedger!$A181="","",CaseLedger!C181)</x:f>
      </x:c>
      <x:c r="R181" t="str">
        <x:f>IF(CaseLedger!$A181="","",CaseLedger!D181)</x:f>
      </x:c>
      <x:c r="S181" t="str">
        <x:f>IFERROR(IF(CaseLedger!$A181="","",CaseLedger!Y181),"")</x:f>
      </x:c>
      <x:c r="T181" t="str">
        <x:f>IFERROR(IF(CaseLedger!$A181="","",CaseLedger!Z181),"")</x:f>
      </x:c>
      <x:c r="U181" t="str">
        <x:f>IFERROR(IF(CaseLedger!$A181="","",CaseLedger!AA181),"")</x:f>
      </x:c>
      <x:c r="V181" t="str">
        <x:f>IFERROR(IF(CaseLedger!$A181="","",CaseLedger!AB181),"")</x:f>
      </x:c>
      <x:c r="W181" t="str">
        <x:f>IFERROR(IF(CaseLedger!$A181="","",CaseLedger!AC181),"")</x:f>
      </x:c>
      <x:c r="X181" t="str">
        <x:f>IFERROR(IF(CaseLedger!$A181="","",CaseLedger!AD181),"")</x:f>
      </x:c>
      <x:c r="Y181" t="str">
        <x:f>IFERROR(IF(CaseLedger!$A181="","",CaseLedger!AE181),"")</x:f>
      </x:c>
      <x:c r="Z181" t="str">
        <x:f>IFERROR(IF(CaseLedger!$A181="","",CaseLedger!AF181),"")</x:f>
      </x:c>
      <x:c r="AA181" t="str">
        <x:f>IFERROR(IF(CaseLedger!$A181="","",CaseLedger!AG181),"")</x:f>
      </x:c>
      <x:c r="AB181" t="str">
        <x:f>IFERROR(IF(CaseLedger!$A181="","",CaseLedger!AH181),"")</x:f>
      </x:c>
      <x:c r="AC181" t="str">
        <x:f>IFERROR(IF(CaseLedger!$A181="","",CaseLedger!AI181),"")</x:f>
      </x:c>
    </x:row>
    <x:row r="182">
      <x:c r="A182" t="str">
        <x:f>IF(CaseLedger!$A182="","",CaseLedger!A182)</x:f>
      </x:c>
      <x:c r="B182" t="str">
        <x:f>IF(CaseLedger!$A182="","",CaseLedger!I182)</x:f>
      </x:c>
      <x:c r="C182" t="str">
        <x:f>IF(CaseLedger!$A182="","",CaseLedger!J182)</x:f>
      </x:c>
      <x:c r="D182" t="str">
        <x:f>IF(CaseLedger!$A182="","",CaseLedger!K182)</x:f>
      </x:c>
      <x:c r="E182" t="str">
        <x:f>IF(CaseLedger!$A182="","",CaseLedger!L182)</x:f>
      </x:c>
      <x:c r="F182" t="str">
        <x:f>IF(CaseLedger!$A182="","",CaseLedger!P182)</x:f>
      </x:c>
      <x:c r="G182" t="str">
        <x:f>IF(CaseLedger!$A182="","",CaseLedger!F182)</x:f>
      </x:c>
      <x:c r="H182" t="str">
        <x:f>IF(CaseLedger!$A182="","",CaseLedger!Q182)</x:f>
      </x:c>
      <x:c r="I182" t="str">
        <x:f>IF(CaseLedger!$A182="","",CaseLedger!R182)</x:f>
      </x:c>
      <x:c r="J182" t="str">
        <x:f>IF(CaseLedger!$A182="","",CaseLedger!S182)</x:f>
      </x:c>
      <x:c r="K182" t="str">
        <x:f>IF(CaseLedger!$A182="","",CaseLedger!T182)</x:f>
      </x:c>
      <x:c r="L182" t="str">
        <x:f>IF(CaseLedger!$A182="","",CaseLedger!U182)</x:f>
      </x:c>
      <x:c r="M182" t="str">
        <x:f>IF(CaseLedger!$A182="","",CaseLedger!V182)</x:f>
      </x:c>
      <x:c r="N182" t="str">
        <x:f>IF(CaseLedger!$A182="","",CaseLedger!W182)</x:f>
      </x:c>
      <x:c r="O182" t="str">
        <x:f>IF(CaseLedger!$A182="","",CaseLedger!X182)</x:f>
      </x:c>
      <x:c r="P182" t="str">
        <x:f>IF(CaseLedger!$A182="","",CaseLedger!E182)</x:f>
      </x:c>
      <x:c r="Q182" t="str">
        <x:f>IF(CaseLedger!$A182="","",CaseLedger!C182)</x:f>
      </x:c>
      <x:c r="R182" t="str">
        <x:f>IF(CaseLedger!$A182="","",CaseLedger!D182)</x:f>
      </x:c>
      <x:c r="S182" t="str">
        <x:f>IFERROR(IF(CaseLedger!$A182="","",CaseLedger!Y182),"")</x:f>
      </x:c>
      <x:c r="T182" t="str">
        <x:f>IFERROR(IF(CaseLedger!$A182="","",CaseLedger!Z182),"")</x:f>
      </x:c>
      <x:c r="U182" t="str">
        <x:f>IFERROR(IF(CaseLedger!$A182="","",CaseLedger!AA182),"")</x:f>
      </x:c>
      <x:c r="V182" t="str">
        <x:f>IFERROR(IF(CaseLedger!$A182="","",CaseLedger!AB182),"")</x:f>
      </x:c>
      <x:c r="W182" t="str">
        <x:f>IFERROR(IF(CaseLedger!$A182="","",CaseLedger!AC182),"")</x:f>
      </x:c>
      <x:c r="X182" t="str">
        <x:f>IFERROR(IF(CaseLedger!$A182="","",CaseLedger!AD182),"")</x:f>
      </x:c>
      <x:c r="Y182" t="str">
        <x:f>IFERROR(IF(CaseLedger!$A182="","",CaseLedger!AE182),"")</x:f>
      </x:c>
      <x:c r="Z182" t="str">
        <x:f>IFERROR(IF(CaseLedger!$A182="","",CaseLedger!AF182),"")</x:f>
      </x:c>
      <x:c r="AA182" t="str">
        <x:f>IFERROR(IF(CaseLedger!$A182="","",CaseLedger!AG182),"")</x:f>
      </x:c>
      <x:c r="AB182" t="str">
        <x:f>IFERROR(IF(CaseLedger!$A182="","",CaseLedger!AH182),"")</x:f>
      </x:c>
      <x:c r="AC182" t="str">
        <x:f>IFERROR(IF(CaseLedger!$A182="","",CaseLedger!AI182),"")</x:f>
      </x:c>
    </x:row>
    <x:row r="183">
      <x:c r="A183" t="str">
        <x:f>IF(CaseLedger!$A183="","",CaseLedger!A183)</x:f>
      </x:c>
      <x:c r="B183" t="str">
        <x:f>IF(CaseLedger!$A183="","",CaseLedger!I183)</x:f>
      </x:c>
      <x:c r="C183" t="str">
        <x:f>IF(CaseLedger!$A183="","",CaseLedger!J183)</x:f>
      </x:c>
      <x:c r="D183" t="str">
        <x:f>IF(CaseLedger!$A183="","",CaseLedger!K183)</x:f>
      </x:c>
      <x:c r="E183" t="str">
        <x:f>IF(CaseLedger!$A183="","",CaseLedger!L183)</x:f>
      </x:c>
      <x:c r="F183" t="str">
        <x:f>IF(CaseLedger!$A183="","",CaseLedger!P183)</x:f>
      </x:c>
      <x:c r="G183" t="str">
        <x:f>IF(CaseLedger!$A183="","",CaseLedger!F183)</x:f>
      </x:c>
      <x:c r="H183" t="str">
        <x:f>IF(CaseLedger!$A183="","",CaseLedger!Q183)</x:f>
      </x:c>
      <x:c r="I183" t="str">
        <x:f>IF(CaseLedger!$A183="","",CaseLedger!R183)</x:f>
      </x:c>
      <x:c r="J183" t="str">
        <x:f>IF(CaseLedger!$A183="","",CaseLedger!S183)</x:f>
      </x:c>
      <x:c r="K183" t="str">
        <x:f>IF(CaseLedger!$A183="","",CaseLedger!T183)</x:f>
      </x:c>
      <x:c r="L183" t="str">
        <x:f>IF(CaseLedger!$A183="","",CaseLedger!U183)</x:f>
      </x:c>
      <x:c r="M183" t="str">
        <x:f>IF(CaseLedger!$A183="","",CaseLedger!V183)</x:f>
      </x:c>
      <x:c r="N183" t="str">
        <x:f>IF(CaseLedger!$A183="","",CaseLedger!W183)</x:f>
      </x:c>
      <x:c r="O183" t="str">
        <x:f>IF(CaseLedger!$A183="","",CaseLedger!X183)</x:f>
      </x:c>
      <x:c r="P183" t="str">
        <x:f>IF(CaseLedger!$A183="","",CaseLedger!E183)</x:f>
      </x:c>
      <x:c r="Q183" t="str">
        <x:f>IF(CaseLedger!$A183="","",CaseLedger!C183)</x:f>
      </x:c>
      <x:c r="R183" t="str">
        <x:f>IF(CaseLedger!$A183="","",CaseLedger!D183)</x:f>
      </x:c>
      <x:c r="S183" t="str">
        <x:f>IFERROR(IF(CaseLedger!$A183="","",CaseLedger!Y183),"")</x:f>
      </x:c>
      <x:c r="T183" t="str">
        <x:f>IFERROR(IF(CaseLedger!$A183="","",CaseLedger!Z183),"")</x:f>
      </x:c>
      <x:c r="U183" t="str">
        <x:f>IFERROR(IF(CaseLedger!$A183="","",CaseLedger!AA183),"")</x:f>
      </x:c>
      <x:c r="V183" t="str">
        <x:f>IFERROR(IF(CaseLedger!$A183="","",CaseLedger!AB183),"")</x:f>
      </x:c>
      <x:c r="W183" t="str">
        <x:f>IFERROR(IF(CaseLedger!$A183="","",CaseLedger!AC183),"")</x:f>
      </x:c>
      <x:c r="X183" t="str">
        <x:f>IFERROR(IF(CaseLedger!$A183="","",CaseLedger!AD183),"")</x:f>
      </x:c>
      <x:c r="Y183" t="str">
        <x:f>IFERROR(IF(CaseLedger!$A183="","",CaseLedger!AE183),"")</x:f>
      </x:c>
      <x:c r="Z183" t="str">
        <x:f>IFERROR(IF(CaseLedger!$A183="","",CaseLedger!AF183),"")</x:f>
      </x:c>
      <x:c r="AA183" t="str">
        <x:f>IFERROR(IF(CaseLedger!$A183="","",CaseLedger!AG183),"")</x:f>
      </x:c>
      <x:c r="AB183" t="str">
        <x:f>IFERROR(IF(CaseLedger!$A183="","",CaseLedger!AH183),"")</x:f>
      </x:c>
      <x:c r="AC183" t="str">
        <x:f>IFERROR(IF(CaseLedger!$A183="","",CaseLedger!AI183),"")</x:f>
      </x:c>
    </x:row>
    <x:row r="184">
      <x:c r="A184" t="str">
        <x:f>IF(CaseLedger!$A184="","",CaseLedger!A184)</x:f>
      </x:c>
      <x:c r="B184" t="str">
        <x:f>IF(CaseLedger!$A184="","",CaseLedger!I184)</x:f>
      </x:c>
      <x:c r="C184" t="str">
        <x:f>IF(CaseLedger!$A184="","",CaseLedger!J184)</x:f>
      </x:c>
      <x:c r="D184" t="str">
        <x:f>IF(CaseLedger!$A184="","",CaseLedger!K184)</x:f>
      </x:c>
      <x:c r="E184" t="str">
        <x:f>IF(CaseLedger!$A184="","",CaseLedger!L184)</x:f>
      </x:c>
      <x:c r="F184" t="str">
        <x:f>IF(CaseLedger!$A184="","",CaseLedger!P184)</x:f>
      </x:c>
      <x:c r="G184" t="str">
        <x:f>IF(CaseLedger!$A184="","",CaseLedger!F184)</x:f>
      </x:c>
      <x:c r="H184" t="str">
        <x:f>IF(CaseLedger!$A184="","",CaseLedger!Q184)</x:f>
      </x:c>
      <x:c r="I184" t="str">
        <x:f>IF(CaseLedger!$A184="","",CaseLedger!R184)</x:f>
      </x:c>
      <x:c r="J184" t="str">
        <x:f>IF(CaseLedger!$A184="","",CaseLedger!S184)</x:f>
      </x:c>
      <x:c r="K184" t="str">
        <x:f>IF(CaseLedger!$A184="","",CaseLedger!T184)</x:f>
      </x:c>
      <x:c r="L184" t="str">
        <x:f>IF(CaseLedger!$A184="","",CaseLedger!U184)</x:f>
      </x:c>
      <x:c r="M184" t="str">
        <x:f>IF(CaseLedger!$A184="","",CaseLedger!V184)</x:f>
      </x:c>
      <x:c r="N184" t="str">
        <x:f>IF(CaseLedger!$A184="","",CaseLedger!W184)</x:f>
      </x:c>
      <x:c r="O184" t="str">
        <x:f>IF(CaseLedger!$A184="","",CaseLedger!X184)</x:f>
      </x:c>
      <x:c r="P184" t="str">
        <x:f>IF(CaseLedger!$A184="","",CaseLedger!E184)</x:f>
      </x:c>
      <x:c r="Q184" t="str">
        <x:f>IF(CaseLedger!$A184="","",CaseLedger!C184)</x:f>
      </x:c>
      <x:c r="R184" t="str">
        <x:f>IF(CaseLedger!$A184="","",CaseLedger!D184)</x:f>
      </x:c>
      <x:c r="S184" t="str">
        <x:f>IFERROR(IF(CaseLedger!$A184="","",CaseLedger!Y184),"")</x:f>
      </x:c>
      <x:c r="T184" t="str">
        <x:f>IFERROR(IF(CaseLedger!$A184="","",CaseLedger!Z184),"")</x:f>
      </x:c>
      <x:c r="U184" t="str">
        <x:f>IFERROR(IF(CaseLedger!$A184="","",CaseLedger!AA184),"")</x:f>
      </x:c>
      <x:c r="V184" t="str">
        <x:f>IFERROR(IF(CaseLedger!$A184="","",CaseLedger!AB184),"")</x:f>
      </x:c>
      <x:c r="W184" t="str">
        <x:f>IFERROR(IF(CaseLedger!$A184="","",CaseLedger!AC184),"")</x:f>
      </x:c>
      <x:c r="X184" t="str">
        <x:f>IFERROR(IF(CaseLedger!$A184="","",CaseLedger!AD184),"")</x:f>
      </x:c>
      <x:c r="Y184" t="str">
        <x:f>IFERROR(IF(CaseLedger!$A184="","",CaseLedger!AE184),"")</x:f>
      </x:c>
      <x:c r="Z184" t="str">
        <x:f>IFERROR(IF(CaseLedger!$A184="","",CaseLedger!AF184),"")</x:f>
      </x:c>
      <x:c r="AA184" t="str">
        <x:f>IFERROR(IF(CaseLedger!$A184="","",CaseLedger!AG184),"")</x:f>
      </x:c>
      <x:c r="AB184" t="str">
        <x:f>IFERROR(IF(CaseLedger!$A184="","",CaseLedger!AH184),"")</x:f>
      </x:c>
      <x:c r="AC184" t="str">
        <x:f>IFERROR(IF(CaseLedger!$A184="","",CaseLedger!AI184),"")</x:f>
      </x:c>
    </x:row>
    <x:row r="185">
      <x:c r="A185" t="str">
        <x:f>IF(CaseLedger!$A185="","",CaseLedger!A185)</x:f>
      </x:c>
      <x:c r="B185" t="str">
        <x:f>IF(CaseLedger!$A185="","",CaseLedger!I185)</x:f>
      </x:c>
      <x:c r="C185" t="str">
        <x:f>IF(CaseLedger!$A185="","",CaseLedger!J185)</x:f>
      </x:c>
      <x:c r="D185" t="str">
        <x:f>IF(CaseLedger!$A185="","",CaseLedger!K185)</x:f>
      </x:c>
      <x:c r="E185" t="str">
        <x:f>IF(CaseLedger!$A185="","",CaseLedger!L185)</x:f>
      </x:c>
      <x:c r="F185" t="str">
        <x:f>IF(CaseLedger!$A185="","",CaseLedger!P185)</x:f>
      </x:c>
      <x:c r="G185" t="str">
        <x:f>IF(CaseLedger!$A185="","",CaseLedger!F185)</x:f>
      </x:c>
      <x:c r="H185" t="str">
        <x:f>IF(CaseLedger!$A185="","",CaseLedger!Q185)</x:f>
      </x:c>
      <x:c r="I185" t="str">
        <x:f>IF(CaseLedger!$A185="","",CaseLedger!R185)</x:f>
      </x:c>
      <x:c r="J185" t="str">
        <x:f>IF(CaseLedger!$A185="","",CaseLedger!S185)</x:f>
      </x:c>
      <x:c r="K185" t="str">
        <x:f>IF(CaseLedger!$A185="","",CaseLedger!T185)</x:f>
      </x:c>
      <x:c r="L185" t="str">
        <x:f>IF(CaseLedger!$A185="","",CaseLedger!U185)</x:f>
      </x:c>
      <x:c r="M185" t="str">
        <x:f>IF(CaseLedger!$A185="","",CaseLedger!V185)</x:f>
      </x:c>
      <x:c r="N185" t="str">
        <x:f>IF(CaseLedger!$A185="","",CaseLedger!W185)</x:f>
      </x:c>
      <x:c r="O185" t="str">
        <x:f>IF(CaseLedger!$A185="","",CaseLedger!X185)</x:f>
      </x:c>
      <x:c r="P185" t="str">
        <x:f>IF(CaseLedger!$A185="","",CaseLedger!E185)</x:f>
      </x:c>
      <x:c r="Q185" t="str">
        <x:f>IF(CaseLedger!$A185="","",CaseLedger!C185)</x:f>
      </x:c>
      <x:c r="R185" t="str">
        <x:f>IF(CaseLedger!$A185="","",CaseLedger!D185)</x:f>
      </x:c>
      <x:c r="S185" t="str">
        <x:f>IFERROR(IF(CaseLedger!$A185="","",CaseLedger!Y185),"")</x:f>
      </x:c>
      <x:c r="T185" t="str">
        <x:f>IFERROR(IF(CaseLedger!$A185="","",CaseLedger!Z185),"")</x:f>
      </x:c>
      <x:c r="U185" t="str">
        <x:f>IFERROR(IF(CaseLedger!$A185="","",CaseLedger!AA185),"")</x:f>
      </x:c>
      <x:c r="V185" t="str">
        <x:f>IFERROR(IF(CaseLedger!$A185="","",CaseLedger!AB185),"")</x:f>
      </x:c>
      <x:c r="W185" t="str">
        <x:f>IFERROR(IF(CaseLedger!$A185="","",CaseLedger!AC185),"")</x:f>
      </x:c>
      <x:c r="X185" t="str">
        <x:f>IFERROR(IF(CaseLedger!$A185="","",CaseLedger!AD185),"")</x:f>
      </x:c>
      <x:c r="Y185" t="str">
        <x:f>IFERROR(IF(CaseLedger!$A185="","",CaseLedger!AE185),"")</x:f>
      </x:c>
      <x:c r="Z185" t="str">
        <x:f>IFERROR(IF(CaseLedger!$A185="","",CaseLedger!AF185),"")</x:f>
      </x:c>
      <x:c r="AA185" t="str">
        <x:f>IFERROR(IF(CaseLedger!$A185="","",CaseLedger!AG185),"")</x:f>
      </x:c>
      <x:c r="AB185" t="str">
        <x:f>IFERROR(IF(CaseLedger!$A185="","",CaseLedger!AH185),"")</x:f>
      </x:c>
      <x:c r="AC185" t="str">
        <x:f>IFERROR(IF(CaseLedger!$A185="","",CaseLedger!AI185),"")</x:f>
      </x:c>
    </x:row>
    <x:row r="186">
      <x:c r="A186" t="str">
        <x:f>IF(CaseLedger!$A186="","",CaseLedger!A186)</x:f>
      </x:c>
      <x:c r="B186" t="str">
        <x:f>IF(CaseLedger!$A186="","",CaseLedger!I186)</x:f>
      </x:c>
      <x:c r="C186" t="str">
        <x:f>IF(CaseLedger!$A186="","",CaseLedger!J186)</x:f>
      </x:c>
      <x:c r="D186" t="str">
        <x:f>IF(CaseLedger!$A186="","",CaseLedger!K186)</x:f>
      </x:c>
      <x:c r="E186" t="str">
        <x:f>IF(CaseLedger!$A186="","",CaseLedger!L186)</x:f>
      </x:c>
      <x:c r="F186" t="str">
        <x:f>IF(CaseLedger!$A186="","",CaseLedger!P186)</x:f>
      </x:c>
      <x:c r="G186" t="str">
        <x:f>IF(CaseLedger!$A186="","",CaseLedger!F186)</x:f>
      </x:c>
      <x:c r="H186" t="str">
        <x:f>IF(CaseLedger!$A186="","",CaseLedger!Q186)</x:f>
      </x:c>
      <x:c r="I186" t="str">
        <x:f>IF(CaseLedger!$A186="","",CaseLedger!R186)</x:f>
      </x:c>
      <x:c r="J186" t="str">
        <x:f>IF(CaseLedger!$A186="","",CaseLedger!S186)</x:f>
      </x:c>
      <x:c r="K186" t="str">
        <x:f>IF(CaseLedger!$A186="","",CaseLedger!T186)</x:f>
      </x:c>
      <x:c r="L186" t="str">
        <x:f>IF(CaseLedger!$A186="","",CaseLedger!U186)</x:f>
      </x:c>
      <x:c r="M186" t="str">
        <x:f>IF(CaseLedger!$A186="","",CaseLedger!V186)</x:f>
      </x:c>
      <x:c r="N186" t="str">
        <x:f>IF(CaseLedger!$A186="","",CaseLedger!W186)</x:f>
      </x:c>
      <x:c r="O186" t="str">
        <x:f>IF(CaseLedger!$A186="","",CaseLedger!X186)</x:f>
      </x:c>
      <x:c r="P186" t="str">
        <x:f>IF(CaseLedger!$A186="","",CaseLedger!E186)</x:f>
      </x:c>
      <x:c r="Q186" t="str">
        <x:f>IF(CaseLedger!$A186="","",CaseLedger!C186)</x:f>
      </x:c>
      <x:c r="R186" t="str">
        <x:f>IF(CaseLedger!$A186="","",CaseLedger!D186)</x:f>
      </x:c>
      <x:c r="S186" t="str">
        <x:f>IFERROR(IF(CaseLedger!$A186="","",CaseLedger!Y186),"")</x:f>
      </x:c>
      <x:c r="T186" t="str">
        <x:f>IFERROR(IF(CaseLedger!$A186="","",CaseLedger!Z186),"")</x:f>
      </x:c>
      <x:c r="U186" t="str">
        <x:f>IFERROR(IF(CaseLedger!$A186="","",CaseLedger!AA186),"")</x:f>
      </x:c>
      <x:c r="V186" t="str">
        <x:f>IFERROR(IF(CaseLedger!$A186="","",CaseLedger!AB186),"")</x:f>
      </x:c>
      <x:c r="W186" t="str">
        <x:f>IFERROR(IF(CaseLedger!$A186="","",CaseLedger!AC186),"")</x:f>
      </x:c>
      <x:c r="X186" t="str">
        <x:f>IFERROR(IF(CaseLedger!$A186="","",CaseLedger!AD186),"")</x:f>
      </x:c>
      <x:c r="Y186" t="str">
        <x:f>IFERROR(IF(CaseLedger!$A186="","",CaseLedger!AE186),"")</x:f>
      </x:c>
      <x:c r="Z186" t="str">
        <x:f>IFERROR(IF(CaseLedger!$A186="","",CaseLedger!AF186),"")</x:f>
      </x:c>
      <x:c r="AA186" t="str">
        <x:f>IFERROR(IF(CaseLedger!$A186="","",CaseLedger!AG186),"")</x:f>
      </x:c>
      <x:c r="AB186" t="str">
        <x:f>IFERROR(IF(CaseLedger!$A186="","",CaseLedger!AH186),"")</x:f>
      </x:c>
      <x:c r="AC186" t="str">
        <x:f>IFERROR(IF(CaseLedger!$A186="","",CaseLedger!AI186),"")</x:f>
      </x:c>
    </x:row>
    <x:row r="187">
      <x:c r="A187" t="str">
        <x:f>IF(CaseLedger!$A187="","",CaseLedger!A187)</x:f>
      </x:c>
      <x:c r="B187" t="str">
        <x:f>IF(CaseLedger!$A187="","",CaseLedger!I187)</x:f>
      </x:c>
      <x:c r="C187" t="str">
        <x:f>IF(CaseLedger!$A187="","",CaseLedger!J187)</x:f>
      </x:c>
      <x:c r="D187" t="str">
        <x:f>IF(CaseLedger!$A187="","",CaseLedger!K187)</x:f>
      </x:c>
      <x:c r="E187" t="str">
        <x:f>IF(CaseLedger!$A187="","",CaseLedger!L187)</x:f>
      </x:c>
      <x:c r="F187" t="str">
        <x:f>IF(CaseLedger!$A187="","",CaseLedger!P187)</x:f>
      </x:c>
      <x:c r="G187" t="str">
        <x:f>IF(CaseLedger!$A187="","",CaseLedger!F187)</x:f>
      </x:c>
      <x:c r="H187" t="str">
        <x:f>IF(CaseLedger!$A187="","",CaseLedger!Q187)</x:f>
      </x:c>
      <x:c r="I187" t="str">
        <x:f>IF(CaseLedger!$A187="","",CaseLedger!R187)</x:f>
      </x:c>
      <x:c r="J187" t="str">
        <x:f>IF(CaseLedger!$A187="","",CaseLedger!S187)</x:f>
      </x:c>
      <x:c r="K187" t="str">
        <x:f>IF(CaseLedger!$A187="","",CaseLedger!T187)</x:f>
      </x:c>
      <x:c r="L187" t="str">
        <x:f>IF(CaseLedger!$A187="","",CaseLedger!U187)</x:f>
      </x:c>
      <x:c r="M187" t="str">
        <x:f>IF(CaseLedger!$A187="","",CaseLedger!V187)</x:f>
      </x:c>
      <x:c r="N187" t="str">
        <x:f>IF(CaseLedger!$A187="","",CaseLedger!W187)</x:f>
      </x:c>
      <x:c r="O187" t="str">
        <x:f>IF(CaseLedger!$A187="","",CaseLedger!X187)</x:f>
      </x:c>
      <x:c r="P187" t="str">
        <x:f>IF(CaseLedger!$A187="","",CaseLedger!E187)</x:f>
      </x:c>
      <x:c r="Q187" t="str">
        <x:f>IF(CaseLedger!$A187="","",CaseLedger!C187)</x:f>
      </x:c>
      <x:c r="R187" t="str">
        <x:f>IF(CaseLedger!$A187="","",CaseLedger!D187)</x:f>
      </x:c>
      <x:c r="S187" t="str">
        <x:f>IFERROR(IF(CaseLedger!$A187="","",CaseLedger!Y187),"")</x:f>
      </x:c>
      <x:c r="T187" t="str">
        <x:f>IFERROR(IF(CaseLedger!$A187="","",CaseLedger!Z187),"")</x:f>
      </x:c>
      <x:c r="U187" t="str">
        <x:f>IFERROR(IF(CaseLedger!$A187="","",CaseLedger!AA187),"")</x:f>
      </x:c>
      <x:c r="V187" t="str">
        <x:f>IFERROR(IF(CaseLedger!$A187="","",CaseLedger!AB187),"")</x:f>
      </x:c>
      <x:c r="W187" t="str">
        <x:f>IFERROR(IF(CaseLedger!$A187="","",CaseLedger!AC187),"")</x:f>
      </x:c>
      <x:c r="X187" t="str">
        <x:f>IFERROR(IF(CaseLedger!$A187="","",CaseLedger!AD187),"")</x:f>
      </x:c>
      <x:c r="Y187" t="str">
        <x:f>IFERROR(IF(CaseLedger!$A187="","",CaseLedger!AE187),"")</x:f>
      </x:c>
      <x:c r="Z187" t="str">
        <x:f>IFERROR(IF(CaseLedger!$A187="","",CaseLedger!AF187),"")</x:f>
      </x:c>
      <x:c r="AA187" t="str">
        <x:f>IFERROR(IF(CaseLedger!$A187="","",CaseLedger!AG187),"")</x:f>
      </x:c>
      <x:c r="AB187" t="str">
        <x:f>IFERROR(IF(CaseLedger!$A187="","",CaseLedger!AH187),"")</x:f>
      </x:c>
      <x:c r="AC187" t="str">
        <x:f>IFERROR(IF(CaseLedger!$A187="","",CaseLedger!AI187),"")</x:f>
      </x:c>
    </x:row>
    <x:row r="188">
      <x:c r="A188" t="str">
        <x:f>IF(CaseLedger!$A188="","",CaseLedger!A188)</x:f>
      </x:c>
      <x:c r="B188" t="str">
        <x:f>IF(CaseLedger!$A188="","",CaseLedger!I188)</x:f>
      </x:c>
      <x:c r="C188" t="str">
        <x:f>IF(CaseLedger!$A188="","",CaseLedger!J188)</x:f>
      </x:c>
      <x:c r="D188" t="str">
        <x:f>IF(CaseLedger!$A188="","",CaseLedger!K188)</x:f>
      </x:c>
      <x:c r="E188" t="str">
        <x:f>IF(CaseLedger!$A188="","",CaseLedger!L188)</x:f>
      </x:c>
      <x:c r="F188" t="str">
        <x:f>IF(CaseLedger!$A188="","",CaseLedger!P188)</x:f>
      </x:c>
      <x:c r="G188" t="str">
        <x:f>IF(CaseLedger!$A188="","",CaseLedger!F188)</x:f>
      </x:c>
      <x:c r="H188" t="str">
        <x:f>IF(CaseLedger!$A188="","",CaseLedger!Q188)</x:f>
      </x:c>
      <x:c r="I188" t="str">
        <x:f>IF(CaseLedger!$A188="","",CaseLedger!R188)</x:f>
      </x:c>
      <x:c r="J188" t="str">
        <x:f>IF(CaseLedger!$A188="","",CaseLedger!S188)</x:f>
      </x:c>
      <x:c r="K188" t="str">
        <x:f>IF(CaseLedger!$A188="","",CaseLedger!T188)</x:f>
      </x:c>
      <x:c r="L188" t="str">
        <x:f>IF(CaseLedger!$A188="","",CaseLedger!U188)</x:f>
      </x:c>
      <x:c r="M188" t="str">
        <x:f>IF(CaseLedger!$A188="","",CaseLedger!V188)</x:f>
      </x:c>
      <x:c r="N188" t="str">
        <x:f>IF(CaseLedger!$A188="","",CaseLedger!W188)</x:f>
      </x:c>
      <x:c r="O188" t="str">
        <x:f>IF(CaseLedger!$A188="","",CaseLedger!X188)</x:f>
      </x:c>
      <x:c r="P188" t="str">
        <x:f>IF(CaseLedger!$A188="","",CaseLedger!E188)</x:f>
      </x:c>
      <x:c r="Q188" t="str">
        <x:f>IF(CaseLedger!$A188="","",CaseLedger!C188)</x:f>
      </x:c>
      <x:c r="R188" t="str">
        <x:f>IF(CaseLedger!$A188="","",CaseLedger!D188)</x:f>
      </x:c>
      <x:c r="S188" t="str">
        <x:f>IFERROR(IF(CaseLedger!$A188="","",CaseLedger!Y188),"")</x:f>
      </x:c>
      <x:c r="T188" t="str">
        <x:f>IFERROR(IF(CaseLedger!$A188="","",CaseLedger!Z188),"")</x:f>
      </x:c>
      <x:c r="U188" t="str">
        <x:f>IFERROR(IF(CaseLedger!$A188="","",CaseLedger!AA188),"")</x:f>
      </x:c>
      <x:c r="V188" t="str">
        <x:f>IFERROR(IF(CaseLedger!$A188="","",CaseLedger!AB188),"")</x:f>
      </x:c>
      <x:c r="W188" t="str">
        <x:f>IFERROR(IF(CaseLedger!$A188="","",CaseLedger!AC188),"")</x:f>
      </x:c>
      <x:c r="X188" t="str">
        <x:f>IFERROR(IF(CaseLedger!$A188="","",CaseLedger!AD188),"")</x:f>
      </x:c>
      <x:c r="Y188" t="str">
        <x:f>IFERROR(IF(CaseLedger!$A188="","",CaseLedger!AE188),"")</x:f>
      </x:c>
      <x:c r="Z188" t="str">
        <x:f>IFERROR(IF(CaseLedger!$A188="","",CaseLedger!AF188),"")</x:f>
      </x:c>
      <x:c r="AA188" t="str">
        <x:f>IFERROR(IF(CaseLedger!$A188="","",CaseLedger!AG188),"")</x:f>
      </x:c>
      <x:c r="AB188" t="str">
        <x:f>IFERROR(IF(CaseLedger!$A188="","",CaseLedger!AH188),"")</x:f>
      </x:c>
      <x:c r="AC188" t="str">
        <x:f>IFERROR(IF(CaseLedger!$A188="","",CaseLedger!AI188),"")</x:f>
      </x:c>
    </x:row>
    <x:row r="189">
      <x:c r="A189" t="str">
        <x:f>IF(CaseLedger!$A189="","",CaseLedger!A189)</x:f>
      </x:c>
      <x:c r="B189" t="str">
        <x:f>IF(CaseLedger!$A189="","",CaseLedger!I189)</x:f>
      </x:c>
      <x:c r="C189" t="str">
        <x:f>IF(CaseLedger!$A189="","",CaseLedger!J189)</x:f>
      </x:c>
      <x:c r="D189" t="str">
        <x:f>IF(CaseLedger!$A189="","",CaseLedger!K189)</x:f>
      </x:c>
      <x:c r="E189" t="str">
        <x:f>IF(CaseLedger!$A189="","",CaseLedger!L189)</x:f>
      </x:c>
      <x:c r="F189" t="str">
        <x:f>IF(CaseLedger!$A189="","",CaseLedger!P189)</x:f>
      </x:c>
      <x:c r="G189" t="str">
        <x:f>IF(CaseLedger!$A189="","",CaseLedger!F189)</x:f>
      </x:c>
      <x:c r="H189" t="str">
        <x:f>IF(CaseLedger!$A189="","",CaseLedger!Q189)</x:f>
      </x:c>
      <x:c r="I189" t="str">
        <x:f>IF(CaseLedger!$A189="","",CaseLedger!R189)</x:f>
      </x:c>
      <x:c r="J189" t="str">
        <x:f>IF(CaseLedger!$A189="","",CaseLedger!S189)</x:f>
      </x:c>
      <x:c r="K189" t="str">
        <x:f>IF(CaseLedger!$A189="","",CaseLedger!T189)</x:f>
      </x:c>
      <x:c r="L189" t="str">
        <x:f>IF(CaseLedger!$A189="","",CaseLedger!U189)</x:f>
      </x:c>
      <x:c r="M189" t="str">
        <x:f>IF(CaseLedger!$A189="","",CaseLedger!V189)</x:f>
      </x:c>
      <x:c r="N189" t="str">
        <x:f>IF(CaseLedger!$A189="","",CaseLedger!W189)</x:f>
      </x:c>
      <x:c r="O189" t="str">
        <x:f>IF(CaseLedger!$A189="","",CaseLedger!X189)</x:f>
      </x:c>
      <x:c r="P189" t="str">
        <x:f>IF(CaseLedger!$A189="","",CaseLedger!E189)</x:f>
      </x:c>
      <x:c r="Q189" t="str">
        <x:f>IF(CaseLedger!$A189="","",CaseLedger!C189)</x:f>
      </x:c>
      <x:c r="R189" t="str">
        <x:f>IF(CaseLedger!$A189="","",CaseLedger!D189)</x:f>
      </x:c>
      <x:c r="S189" t="str">
        <x:f>IFERROR(IF(CaseLedger!$A189="","",CaseLedger!Y189),"")</x:f>
      </x:c>
      <x:c r="T189" t="str">
        <x:f>IFERROR(IF(CaseLedger!$A189="","",CaseLedger!Z189),"")</x:f>
      </x:c>
      <x:c r="U189" t="str">
        <x:f>IFERROR(IF(CaseLedger!$A189="","",CaseLedger!AA189),"")</x:f>
      </x:c>
      <x:c r="V189" t="str">
        <x:f>IFERROR(IF(CaseLedger!$A189="","",CaseLedger!AB189),"")</x:f>
      </x:c>
      <x:c r="W189" t="str">
        <x:f>IFERROR(IF(CaseLedger!$A189="","",CaseLedger!AC189),"")</x:f>
      </x:c>
      <x:c r="X189" t="str">
        <x:f>IFERROR(IF(CaseLedger!$A189="","",CaseLedger!AD189),"")</x:f>
      </x:c>
      <x:c r="Y189" t="str">
        <x:f>IFERROR(IF(CaseLedger!$A189="","",CaseLedger!AE189),"")</x:f>
      </x:c>
      <x:c r="Z189" t="str">
        <x:f>IFERROR(IF(CaseLedger!$A189="","",CaseLedger!AF189),"")</x:f>
      </x:c>
      <x:c r="AA189" t="str">
        <x:f>IFERROR(IF(CaseLedger!$A189="","",CaseLedger!AG189),"")</x:f>
      </x:c>
      <x:c r="AB189" t="str">
        <x:f>IFERROR(IF(CaseLedger!$A189="","",CaseLedger!AH189),"")</x:f>
      </x:c>
      <x:c r="AC189" t="str">
        <x:f>IFERROR(IF(CaseLedger!$A189="","",CaseLedger!AI189),"")</x:f>
      </x:c>
    </x:row>
    <x:row r="190">
      <x:c r="A190" t="str">
        <x:f>IF(CaseLedger!$A190="","",CaseLedger!A190)</x:f>
      </x:c>
      <x:c r="B190" t="str">
        <x:f>IF(CaseLedger!$A190="","",CaseLedger!I190)</x:f>
      </x:c>
      <x:c r="C190" t="str">
        <x:f>IF(CaseLedger!$A190="","",CaseLedger!J190)</x:f>
      </x:c>
      <x:c r="D190" t="str">
        <x:f>IF(CaseLedger!$A190="","",CaseLedger!K190)</x:f>
      </x:c>
      <x:c r="E190" t="str">
        <x:f>IF(CaseLedger!$A190="","",CaseLedger!L190)</x:f>
      </x:c>
      <x:c r="F190" t="str">
        <x:f>IF(CaseLedger!$A190="","",CaseLedger!P190)</x:f>
      </x:c>
      <x:c r="G190" t="str">
        <x:f>IF(CaseLedger!$A190="","",CaseLedger!F190)</x:f>
      </x:c>
      <x:c r="H190" t="str">
        <x:f>IF(CaseLedger!$A190="","",CaseLedger!Q190)</x:f>
      </x:c>
      <x:c r="I190" t="str">
        <x:f>IF(CaseLedger!$A190="","",CaseLedger!R190)</x:f>
      </x:c>
      <x:c r="J190" t="str">
        <x:f>IF(CaseLedger!$A190="","",CaseLedger!S190)</x:f>
      </x:c>
      <x:c r="K190" t="str">
        <x:f>IF(CaseLedger!$A190="","",CaseLedger!T190)</x:f>
      </x:c>
      <x:c r="L190" t="str">
        <x:f>IF(CaseLedger!$A190="","",CaseLedger!U190)</x:f>
      </x:c>
      <x:c r="M190" t="str">
        <x:f>IF(CaseLedger!$A190="","",CaseLedger!V190)</x:f>
      </x:c>
      <x:c r="N190" t="str">
        <x:f>IF(CaseLedger!$A190="","",CaseLedger!W190)</x:f>
      </x:c>
      <x:c r="O190" t="str">
        <x:f>IF(CaseLedger!$A190="","",CaseLedger!X190)</x:f>
      </x:c>
      <x:c r="P190" t="str">
        <x:f>IF(CaseLedger!$A190="","",CaseLedger!E190)</x:f>
      </x:c>
      <x:c r="Q190" t="str">
        <x:f>IF(CaseLedger!$A190="","",CaseLedger!C190)</x:f>
      </x:c>
      <x:c r="R190" t="str">
        <x:f>IF(CaseLedger!$A190="","",CaseLedger!D190)</x:f>
      </x:c>
      <x:c r="S190" t="str">
        <x:f>IFERROR(IF(CaseLedger!$A190="","",CaseLedger!Y190),"")</x:f>
      </x:c>
      <x:c r="T190" t="str">
        <x:f>IFERROR(IF(CaseLedger!$A190="","",CaseLedger!Z190),"")</x:f>
      </x:c>
      <x:c r="U190" t="str">
        <x:f>IFERROR(IF(CaseLedger!$A190="","",CaseLedger!AA190),"")</x:f>
      </x:c>
      <x:c r="V190" t="str">
        <x:f>IFERROR(IF(CaseLedger!$A190="","",CaseLedger!AB190),"")</x:f>
      </x:c>
      <x:c r="W190" t="str">
        <x:f>IFERROR(IF(CaseLedger!$A190="","",CaseLedger!AC190),"")</x:f>
      </x:c>
      <x:c r="X190" t="str">
        <x:f>IFERROR(IF(CaseLedger!$A190="","",CaseLedger!AD190),"")</x:f>
      </x:c>
      <x:c r="Y190" t="str">
        <x:f>IFERROR(IF(CaseLedger!$A190="","",CaseLedger!AE190),"")</x:f>
      </x:c>
      <x:c r="Z190" t="str">
        <x:f>IFERROR(IF(CaseLedger!$A190="","",CaseLedger!AF190),"")</x:f>
      </x:c>
      <x:c r="AA190" t="str">
        <x:f>IFERROR(IF(CaseLedger!$A190="","",CaseLedger!AG190),"")</x:f>
      </x:c>
      <x:c r="AB190" t="str">
        <x:f>IFERROR(IF(CaseLedger!$A190="","",CaseLedger!AH190),"")</x:f>
      </x:c>
      <x:c r="AC190" t="str">
        <x:f>IFERROR(IF(CaseLedger!$A190="","",CaseLedger!AI190),"")</x:f>
      </x:c>
    </x:row>
    <x:row r="191">
      <x:c r="A191" t="str">
        <x:f>IF(CaseLedger!$A191="","",CaseLedger!A191)</x:f>
      </x:c>
      <x:c r="B191" t="str">
        <x:f>IF(CaseLedger!$A191="","",CaseLedger!I191)</x:f>
      </x:c>
      <x:c r="C191" t="str">
        <x:f>IF(CaseLedger!$A191="","",CaseLedger!J191)</x:f>
      </x:c>
      <x:c r="D191" t="str">
        <x:f>IF(CaseLedger!$A191="","",CaseLedger!K191)</x:f>
      </x:c>
      <x:c r="E191" t="str">
        <x:f>IF(CaseLedger!$A191="","",CaseLedger!L191)</x:f>
      </x:c>
      <x:c r="F191" t="str">
        <x:f>IF(CaseLedger!$A191="","",CaseLedger!P191)</x:f>
      </x:c>
      <x:c r="G191" t="str">
        <x:f>IF(CaseLedger!$A191="","",CaseLedger!F191)</x:f>
      </x:c>
      <x:c r="H191" t="str">
        <x:f>IF(CaseLedger!$A191="","",CaseLedger!Q191)</x:f>
      </x:c>
      <x:c r="I191" t="str">
        <x:f>IF(CaseLedger!$A191="","",CaseLedger!R191)</x:f>
      </x:c>
      <x:c r="J191" t="str">
        <x:f>IF(CaseLedger!$A191="","",CaseLedger!S191)</x:f>
      </x:c>
      <x:c r="K191" t="str">
        <x:f>IF(CaseLedger!$A191="","",CaseLedger!T191)</x:f>
      </x:c>
      <x:c r="L191" t="str">
        <x:f>IF(CaseLedger!$A191="","",CaseLedger!U191)</x:f>
      </x:c>
      <x:c r="M191" t="str">
        <x:f>IF(CaseLedger!$A191="","",CaseLedger!V191)</x:f>
      </x:c>
      <x:c r="N191" t="str">
        <x:f>IF(CaseLedger!$A191="","",CaseLedger!W191)</x:f>
      </x:c>
      <x:c r="O191" t="str">
        <x:f>IF(CaseLedger!$A191="","",CaseLedger!X191)</x:f>
      </x:c>
      <x:c r="P191" t="str">
        <x:f>IF(CaseLedger!$A191="","",CaseLedger!E191)</x:f>
      </x:c>
      <x:c r="Q191" t="str">
        <x:f>IF(CaseLedger!$A191="","",CaseLedger!C191)</x:f>
      </x:c>
      <x:c r="R191" t="str">
        <x:f>IF(CaseLedger!$A191="","",CaseLedger!D191)</x:f>
      </x:c>
      <x:c r="S191" t="str">
        <x:f>IFERROR(IF(CaseLedger!$A191="","",CaseLedger!Y191),"")</x:f>
      </x:c>
      <x:c r="T191" t="str">
        <x:f>IFERROR(IF(CaseLedger!$A191="","",CaseLedger!Z191),"")</x:f>
      </x:c>
      <x:c r="U191" t="str">
        <x:f>IFERROR(IF(CaseLedger!$A191="","",CaseLedger!AA191),"")</x:f>
      </x:c>
      <x:c r="V191" t="str">
        <x:f>IFERROR(IF(CaseLedger!$A191="","",CaseLedger!AB191),"")</x:f>
      </x:c>
      <x:c r="W191" t="str">
        <x:f>IFERROR(IF(CaseLedger!$A191="","",CaseLedger!AC191),"")</x:f>
      </x:c>
      <x:c r="X191" t="str">
        <x:f>IFERROR(IF(CaseLedger!$A191="","",CaseLedger!AD191),"")</x:f>
      </x:c>
      <x:c r="Y191" t="str">
        <x:f>IFERROR(IF(CaseLedger!$A191="","",CaseLedger!AE191),"")</x:f>
      </x:c>
      <x:c r="Z191" t="str">
        <x:f>IFERROR(IF(CaseLedger!$A191="","",CaseLedger!AF191),"")</x:f>
      </x:c>
      <x:c r="AA191" t="str">
        <x:f>IFERROR(IF(CaseLedger!$A191="","",CaseLedger!AG191),"")</x:f>
      </x:c>
      <x:c r="AB191" t="str">
        <x:f>IFERROR(IF(CaseLedger!$A191="","",CaseLedger!AH191),"")</x:f>
      </x:c>
      <x:c r="AC191" t="str">
        <x:f>IFERROR(IF(CaseLedger!$A191="","",CaseLedger!AI191),"")</x:f>
      </x:c>
    </x:row>
    <x:row r="192">
      <x:c r="A192" t="str">
        <x:f>IF(CaseLedger!$A192="","",CaseLedger!A192)</x:f>
      </x:c>
      <x:c r="B192" t="str">
        <x:f>IF(CaseLedger!$A192="","",CaseLedger!I192)</x:f>
      </x:c>
      <x:c r="C192" t="str">
        <x:f>IF(CaseLedger!$A192="","",CaseLedger!J192)</x:f>
      </x:c>
      <x:c r="D192" t="str">
        <x:f>IF(CaseLedger!$A192="","",CaseLedger!K192)</x:f>
      </x:c>
      <x:c r="E192" t="str">
        <x:f>IF(CaseLedger!$A192="","",CaseLedger!L192)</x:f>
      </x:c>
      <x:c r="F192" t="str">
        <x:f>IF(CaseLedger!$A192="","",CaseLedger!P192)</x:f>
      </x:c>
      <x:c r="G192" t="str">
        <x:f>IF(CaseLedger!$A192="","",CaseLedger!F192)</x:f>
      </x:c>
      <x:c r="H192" t="str">
        <x:f>IF(CaseLedger!$A192="","",CaseLedger!Q192)</x:f>
      </x:c>
      <x:c r="I192" t="str">
        <x:f>IF(CaseLedger!$A192="","",CaseLedger!R192)</x:f>
      </x:c>
      <x:c r="J192" t="str">
        <x:f>IF(CaseLedger!$A192="","",CaseLedger!S192)</x:f>
      </x:c>
      <x:c r="K192" t="str">
        <x:f>IF(CaseLedger!$A192="","",CaseLedger!T192)</x:f>
      </x:c>
      <x:c r="L192" t="str">
        <x:f>IF(CaseLedger!$A192="","",CaseLedger!U192)</x:f>
      </x:c>
      <x:c r="M192" t="str">
        <x:f>IF(CaseLedger!$A192="","",CaseLedger!V192)</x:f>
      </x:c>
      <x:c r="N192" t="str">
        <x:f>IF(CaseLedger!$A192="","",CaseLedger!W192)</x:f>
      </x:c>
      <x:c r="O192" t="str">
        <x:f>IF(CaseLedger!$A192="","",CaseLedger!X192)</x:f>
      </x:c>
      <x:c r="P192" t="str">
        <x:f>IF(CaseLedger!$A192="","",CaseLedger!E192)</x:f>
      </x:c>
      <x:c r="Q192" t="str">
        <x:f>IF(CaseLedger!$A192="","",CaseLedger!C192)</x:f>
      </x:c>
      <x:c r="R192" t="str">
        <x:f>IF(CaseLedger!$A192="","",CaseLedger!D192)</x:f>
      </x:c>
      <x:c r="S192" t="str">
        <x:f>IFERROR(IF(CaseLedger!$A192="","",CaseLedger!Y192),"")</x:f>
      </x:c>
      <x:c r="T192" t="str">
        <x:f>IFERROR(IF(CaseLedger!$A192="","",CaseLedger!Z192),"")</x:f>
      </x:c>
      <x:c r="U192" t="str">
        <x:f>IFERROR(IF(CaseLedger!$A192="","",CaseLedger!AA192),"")</x:f>
      </x:c>
      <x:c r="V192" t="str">
        <x:f>IFERROR(IF(CaseLedger!$A192="","",CaseLedger!AB192),"")</x:f>
      </x:c>
      <x:c r="W192" t="str">
        <x:f>IFERROR(IF(CaseLedger!$A192="","",CaseLedger!AC192),"")</x:f>
      </x:c>
      <x:c r="X192" t="str">
        <x:f>IFERROR(IF(CaseLedger!$A192="","",CaseLedger!AD192),"")</x:f>
      </x:c>
      <x:c r="Y192" t="str">
        <x:f>IFERROR(IF(CaseLedger!$A192="","",CaseLedger!AE192),"")</x:f>
      </x:c>
      <x:c r="Z192" t="str">
        <x:f>IFERROR(IF(CaseLedger!$A192="","",CaseLedger!AF192),"")</x:f>
      </x:c>
      <x:c r="AA192" t="str">
        <x:f>IFERROR(IF(CaseLedger!$A192="","",CaseLedger!AG192),"")</x:f>
      </x:c>
      <x:c r="AB192" t="str">
        <x:f>IFERROR(IF(CaseLedger!$A192="","",CaseLedger!AH192),"")</x:f>
      </x:c>
      <x:c r="AC192" t="str">
        <x:f>IFERROR(IF(CaseLedger!$A192="","",CaseLedger!AI192),"")</x:f>
      </x:c>
    </x:row>
    <x:row r="193">
      <x:c r="A193" t="str">
        <x:f>IF(CaseLedger!$A193="","",CaseLedger!A193)</x:f>
      </x:c>
      <x:c r="B193" t="str">
        <x:f>IF(CaseLedger!$A193="","",CaseLedger!I193)</x:f>
      </x:c>
      <x:c r="C193" t="str">
        <x:f>IF(CaseLedger!$A193="","",CaseLedger!J193)</x:f>
      </x:c>
      <x:c r="D193" t="str">
        <x:f>IF(CaseLedger!$A193="","",CaseLedger!K193)</x:f>
      </x:c>
      <x:c r="E193" t="str">
        <x:f>IF(CaseLedger!$A193="","",CaseLedger!L193)</x:f>
      </x:c>
      <x:c r="F193" t="str">
        <x:f>IF(CaseLedger!$A193="","",CaseLedger!P193)</x:f>
      </x:c>
      <x:c r="G193" t="str">
        <x:f>IF(CaseLedger!$A193="","",CaseLedger!F193)</x:f>
      </x:c>
      <x:c r="H193" t="str">
        <x:f>IF(CaseLedger!$A193="","",CaseLedger!Q193)</x:f>
      </x:c>
      <x:c r="I193" t="str">
        <x:f>IF(CaseLedger!$A193="","",CaseLedger!R193)</x:f>
      </x:c>
      <x:c r="J193" t="str">
        <x:f>IF(CaseLedger!$A193="","",CaseLedger!S193)</x:f>
      </x:c>
      <x:c r="K193" t="str">
        <x:f>IF(CaseLedger!$A193="","",CaseLedger!T193)</x:f>
      </x:c>
      <x:c r="L193" t="str">
        <x:f>IF(CaseLedger!$A193="","",CaseLedger!U193)</x:f>
      </x:c>
      <x:c r="M193" t="str">
        <x:f>IF(CaseLedger!$A193="","",CaseLedger!V193)</x:f>
      </x:c>
      <x:c r="N193" t="str">
        <x:f>IF(CaseLedger!$A193="","",CaseLedger!W193)</x:f>
      </x:c>
      <x:c r="O193" t="str">
        <x:f>IF(CaseLedger!$A193="","",CaseLedger!X193)</x:f>
      </x:c>
      <x:c r="P193" t="str">
        <x:f>IF(CaseLedger!$A193="","",CaseLedger!E193)</x:f>
      </x:c>
      <x:c r="Q193" t="str">
        <x:f>IF(CaseLedger!$A193="","",CaseLedger!C193)</x:f>
      </x:c>
      <x:c r="R193" t="str">
        <x:f>IF(CaseLedger!$A193="","",CaseLedger!D193)</x:f>
      </x:c>
      <x:c r="S193" t="str">
        <x:f>IFERROR(IF(CaseLedger!$A193="","",CaseLedger!Y193),"")</x:f>
      </x:c>
      <x:c r="T193" t="str">
        <x:f>IFERROR(IF(CaseLedger!$A193="","",CaseLedger!Z193),"")</x:f>
      </x:c>
      <x:c r="U193" t="str">
        <x:f>IFERROR(IF(CaseLedger!$A193="","",CaseLedger!AA193),"")</x:f>
      </x:c>
      <x:c r="V193" t="str">
        <x:f>IFERROR(IF(CaseLedger!$A193="","",CaseLedger!AB193),"")</x:f>
      </x:c>
      <x:c r="W193" t="str">
        <x:f>IFERROR(IF(CaseLedger!$A193="","",CaseLedger!AC193),"")</x:f>
      </x:c>
      <x:c r="X193" t="str">
        <x:f>IFERROR(IF(CaseLedger!$A193="","",CaseLedger!AD193),"")</x:f>
      </x:c>
      <x:c r="Y193" t="str">
        <x:f>IFERROR(IF(CaseLedger!$A193="","",CaseLedger!AE193),"")</x:f>
      </x:c>
      <x:c r="Z193" t="str">
        <x:f>IFERROR(IF(CaseLedger!$A193="","",CaseLedger!AF193),"")</x:f>
      </x:c>
      <x:c r="AA193" t="str">
        <x:f>IFERROR(IF(CaseLedger!$A193="","",CaseLedger!AG193),"")</x:f>
      </x:c>
      <x:c r="AB193" t="str">
        <x:f>IFERROR(IF(CaseLedger!$A193="","",CaseLedger!AH193),"")</x:f>
      </x:c>
      <x:c r="AC193" t="str">
        <x:f>IFERROR(IF(CaseLedger!$A193="","",CaseLedger!AI193),"")</x:f>
      </x:c>
    </x:row>
    <x:row r="194">
      <x:c r="A194" t="str">
        <x:f>IF(CaseLedger!$A194="","",CaseLedger!A194)</x:f>
      </x:c>
      <x:c r="B194" t="str">
        <x:f>IF(CaseLedger!$A194="","",CaseLedger!I194)</x:f>
      </x:c>
      <x:c r="C194" t="str">
        <x:f>IF(CaseLedger!$A194="","",CaseLedger!J194)</x:f>
      </x:c>
      <x:c r="D194" t="str">
        <x:f>IF(CaseLedger!$A194="","",CaseLedger!K194)</x:f>
      </x:c>
      <x:c r="E194" t="str">
        <x:f>IF(CaseLedger!$A194="","",CaseLedger!L194)</x:f>
      </x:c>
      <x:c r="F194" t="str">
        <x:f>IF(CaseLedger!$A194="","",CaseLedger!P194)</x:f>
      </x:c>
      <x:c r="G194" t="str">
        <x:f>IF(CaseLedger!$A194="","",CaseLedger!F194)</x:f>
      </x:c>
      <x:c r="H194" t="str">
        <x:f>IF(CaseLedger!$A194="","",CaseLedger!Q194)</x:f>
      </x:c>
      <x:c r="I194" t="str">
        <x:f>IF(CaseLedger!$A194="","",CaseLedger!R194)</x:f>
      </x:c>
      <x:c r="J194" t="str">
        <x:f>IF(CaseLedger!$A194="","",CaseLedger!S194)</x:f>
      </x:c>
      <x:c r="K194" t="str">
        <x:f>IF(CaseLedger!$A194="","",CaseLedger!T194)</x:f>
      </x:c>
      <x:c r="L194" t="str">
        <x:f>IF(CaseLedger!$A194="","",CaseLedger!U194)</x:f>
      </x:c>
      <x:c r="M194" t="str">
        <x:f>IF(CaseLedger!$A194="","",CaseLedger!V194)</x:f>
      </x:c>
      <x:c r="N194" t="str">
        <x:f>IF(CaseLedger!$A194="","",CaseLedger!W194)</x:f>
      </x:c>
      <x:c r="O194" t="str">
        <x:f>IF(CaseLedger!$A194="","",CaseLedger!X194)</x:f>
      </x:c>
      <x:c r="P194" t="str">
        <x:f>IF(CaseLedger!$A194="","",CaseLedger!E194)</x:f>
      </x:c>
      <x:c r="Q194" t="str">
        <x:f>IF(CaseLedger!$A194="","",CaseLedger!C194)</x:f>
      </x:c>
      <x:c r="R194" t="str">
        <x:f>IF(CaseLedger!$A194="","",CaseLedger!D194)</x:f>
      </x:c>
      <x:c r="S194" t="str">
        <x:f>IFERROR(IF(CaseLedger!$A194="","",CaseLedger!Y194),"")</x:f>
      </x:c>
      <x:c r="T194" t="str">
        <x:f>IFERROR(IF(CaseLedger!$A194="","",CaseLedger!Z194),"")</x:f>
      </x:c>
      <x:c r="U194" t="str">
        <x:f>IFERROR(IF(CaseLedger!$A194="","",CaseLedger!AA194),"")</x:f>
      </x:c>
      <x:c r="V194" t="str">
        <x:f>IFERROR(IF(CaseLedger!$A194="","",CaseLedger!AB194),"")</x:f>
      </x:c>
      <x:c r="W194" t="str">
        <x:f>IFERROR(IF(CaseLedger!$A194="","",CaseLedger!AC194),"")</x:f>
      </x:c>
      <x:c r="X194" t="str">
        <x:f>IFERROR(IF(CaseLedger!$A194="","",CaseLedger!AD194),"")</x:f>
      </x:c>
      <x:c r="Y194" t="str">
        <x:f>IFERROR(IF(CaseLedger!$A194="","",CaseLedger!AE194),"")</x:f>
      </x:c>
      <x:c r="Z194" t="str">
        <x:f>IFERROR(IF(CaseLedger!$A194="","",CaseLedger!AF194),"")</x:f>
      </x:c>
      <x:c r="AA194" t="str">
        <x:f>IFERROR(IF(CaseLedger!$A194="","",CaseLedger!AG194),"")</x:f>
      </x:c>
      <x:c r="AB194" t="str">
        <x:f>IFERROR(IF(CaseLedger!$A194="","",CaseLedger!AH194),"")</x:f>
      </x:c>
      <x:c r="AC194" t="str">
        <x:f>IFERROR(IF(CaseLedger!$A194="","",CaseLedger!AI194),"")</x:f>
      </x:c>
    </x:row>
    <x:row r="195">
      <x:c r="A195" t="str">
        <x:f>IF(CaseLedger!$A195="","",CaseLedger!A195)</x:f>
      </x:c>
      <x:c r="B195" t="str">
        <x:f>IF(CaseLedger!$A195="","",CaseLedger!I195)</x:f>
      </x:c>
      <x:c r="C195" t="str">
        <x:f>IF(CaseLedger!$A195="","",CaseLedger!J195)</x:f>
      </x:c>
      <x:c r="D195" t="str">
        <x:f>IF(CaseLedger!$A195="","",CaseLedger!K195)</x:f>
      </x:c>
      <x:c r="E195" t="str">
        <x:f>IF(CaseLedger!$A195="","",CaseLedger!L195)</x:f>
      </x:c>
      <x:c r="F195" t="str">
        <x:f>IF(CaseLedger!$A195="","",CaseLedger!P195)</x:f>
      </x:c>
      <x:c r="G195" t="str">
        <x:f>IF(CaseLedger!$A195="","",CaseLedger!F195)</x:f>
      </x:c>
      <x:c r="H195" t="str">
        <x:f>IF(CaseLedger!$A195="","",CaseLedger!Q195)</x:f>
      </x:c>
      <x:c r="I195" t="str">
        <x:f>IF(CaseLedger!$A195="","",CaseLedger!R195)</x:f>
      </x:c>
      <x:c r="J195" t="str">
        <x:f>IF(CaseLedger!$A195="","",CaseLedger!S195)</x:f>
      </x:c>
      <x:c r="K195" t="str">
        <x:f>IF(CaseLedger!$A195="","",CaseLedger!T195)</x:f>
      </x:c>
      <x:c r="L195" t="str">
        <x:f>IF(CaseLedger!$A195="","",CaseLedger!U195)</x:f>
      </x:c>
      <x:c r="M195" t="str">
        <x:f>IF(CaseLedger!$A195="","",CaseLedger!V195)</x:f>
      </x:c>
      <x:c r="N195" t="str">
        <x:f>IF(CaseLedger!$A195="","",CaseLedger!W195)</x:f>
      </x:c>
      <x:c r="O195" t="str">
        <x:f>IF(CaseLedger!$A195="","",CaseLedger!X195)</x:f>
      </x:c>
      <x:c r="P195" t="str">
        <x:f>IF(CaseLedger!$A195="","",CaseLedger!E195)</x:f>
      </x:c>
      <x:c r="Q195" t="str">
        <x:f>IF(CaseLedger!$A195="","",CaseLedger!C195)</x:f>
      </x:c>
      <x:c r="R195" t="str">
        <x:f>IF(CaseLedger!$A195="","",CaseLedger!D195)</x:f>
      </x:c>
      <x:c r="S195" t="str">
        <x:f>IFERROR(IF(CaseLedger!$A195="","",CaseLedger!Y195),"")</x:f>
      </x:c>
      <x:c r="T195" t="str">
        <x:f>IFERROR(IF(CaseLedger!$A195="","",CaseLedger!Z195),"")</x:f>
      </x:c>
      <x:c r="U195" t="str">
        <x:f>IFERROR(IF(CaseLedger!$A195="","",CaseLedger!AA195),"")</x:f>
      </x:c>
      <x:c r="V195" t="str">
        <x:f>IFERROR(IF(CaseLedger!$A195="","",CaseLedger!AB195),"")</x:f>
      </x:c>
      <x:c r="W195" t="str">
        <x:f>IFERROR(IF(CaseLedger!$A195="","",CaseLedger!AC195),"")</x:f>
      </x:c>
      <x:c r="X195" t="str">
        <x:f>IFERROR(IF(CaseLedger!$A195="","",CaseLedger!AD195),"")</x:f>
      </x:c>
      <x:c r="Y195" t="str">
        <x:f>IFERROR(IF(CaseLedger!$A195="","",CaseLedger!AE195),"")</x:f>
      </x:c>
      <x:c r="Z195" t="str">
        <x:f>IFERROR(IF(CaseLedger!$A195="","",CaseLedger!AF195),"")</x:f>
      </x:c>
      <x:c r="AA195" t="str">
        <x:f>IFERROR(IF(CaseLedger!$A195="","",CaseLedger!AG195),"")</x:f>
      </x:c>
      <x:c r="AB195" t="str">
        <x:f>IFERROR(IF(CaseLedger!$A195="","",CaseLedger!AH195),"")</x:f>
      </x:c>
      <x:c r="AC195" t="str">
        <x:f>IFERROR(IF(CaseLedger!$A195="","",CaseLedger!AI195),"")</x:f>
      </x:c>
    </x:row>
    <x:row r="196">
      <x:c r="A196" t="str">
        <x:f>IF(CaseLedger!$A196="","",CaseLedger!A196)</x:f>
      </x:c>
      <x:c r="B196" t="str">
        <x:f>IF(CaseLedger!$A196="","",CaseLedger!I196)</x:f>
      </x:c>
      <x:c r="C196" t="str">
        <x:f>IF(CaseLedger!$A196="","",CaseLedger!J196)</x:f>
      </x:c>
      <x:c r="D196" t="str">
        <x:f>IF(CaseLedger!$A196="","",CaseLedger!K196)</x:f>
      </x:c>
      <x:c r="E196" t="str">
        <x:f>IF(CaseLedger!$A196="","",CaseLedger!L196)</x:f>
      </x:c>
      <x:c r="F196" t="str">
        <x:f>IF(CaseLedger!$A196="","",CaseLedger!P196)</x:f>
      </x:c>
      <x:c r="G196" t="str">
        <x:f>IF(CaseLedger!$A196="","",CaseLedger!F196)</x:f>
      </x:c>
      <x:c r="H196" t="str">
        <x:f>IF(CaseLedger!$A196="","",CaseLedger!Q196)</x:f>
      </x:c>
      <x:c r="I196" t="str">
        <x:f>IF(CaseLedger!$A196="","",CaseLedger!R196)</x:f>
      </x:c>
      <x:c r="J196" t="str">
        <x:f>IF(CaseLedger!$A196="","",CaseLedger!S196)</x:f>
      </x:c>
      <x:c r="K196" t="str">
        <x:f>IF(CaseLedger!$A196="","",CaseLedger!T196)</x:f>
      </x:c>
      <x:c r="L196" t="str">
        <x:f>IF(CaseLedger!$A196="","",CaseLedger!U196)</x:f>
      </x:c>
      <x:c r="M196" t="str">
        <x:f>IF(CaseLedger!$A196="","",CaseLedger!V196)</x:f>
      </x:c>
      <x:c r="N196" t="str">
        <x:f>IF(CaseLedger!$A196="","",CaseLedger!W196)</x:f>
      </x:c>
      <x:c r="O196" t="str">
        <x:f>IF(CaseLedger!$A196="","",CaseLedger!X196)</x:f>
      </x:c>
      <x:c r="P196" t="str">
        <x:f>IF(CaseLedger!$A196="","",CaseLedger!E196)</x:f>
      </x:c>
      <x:c r="Q196" t="str">
        <x:f>IF(CaseLedger!$A196="","",CaseLedger!C196)</x:f>
      </x:c>
      <x:c r="R196" t="str">
        <x:f>IF(CaseLedger!$A196="","",CaseLedger!D196)</x:f>
      </x:c>
      <x:c r="S196" t="str">
        <x:f>IFERROR(IF(CaseLedger!$A196="","",CaseLedger!Y196),"")</x:f>
      </x:c>
      <x:c r="T196" t="str">
        <x:f>IFERROR(IF(CaseLedger!$A196="","",CaseLedger!Z196),"")</x:f>
      </x:c>
      <x:c r="U196" t="str">
        <x:f>IFERROR(IF(CaseLedger!$A196="","",CaseLedger!AA196),"")</x:f>
      </x:c>
      <x:c r="V196" t="str">
        <x:f>IFERROR(IF(CaseLedger!$A196="","",CaseLedger!AB196),"")</x:f>
      </x:c>
      <x:c r="W196" t="str">
        <x:f>IFERROR(IF(CaseLedger!$A196="","",CaseLedger!AC196),"")</x:f>
      </x:c>
      <x:c r="X196" t="str">
        <x:f>IFERROR(IF(CaseLedger!$A196="","",CaseLedger!AD196),"")</x:f>
      </x:c>
      <x:c r="Y196" t="str">
        <x:f>IFERROR(IF(CaseLedger!$A196="","",CaseLedger!AE196),"")</x:f>
      </x:c>
      <x:c r="Z196" t="str">
        <x:f>IFERROR(IF(CaseLedger!$A196="","",CaseLedger!AF196),"")</x:f>
      </x:c>
      <x:c r="AA196" t="str">
        <x:f>IFERROR(IF(CaseLedger!$A196="","",CaseLedger!AG196),"")</x:f>
      </x:c>
      <x:c r="AB196" t="str">
        <x:f>IFERROR(IF(CaseLedger!$A196="","",CaseLedger!AH196),"")</x:f>
      </x:c>
      <x:c r="AC196" t="str">
        <x:f>IFERROR(IF(CaseLedger!$A196="","",CaseLedger!AI196),"")</x:f>
      </x:c>
    </x:row>
    <x:row r="197">
      <x:c r="A197" t="str">
        <x:f>IF(CaseLedger!$A197="","",CaseLedger!A197)</x:f>
      </x:c>
      <x:c r="B197" t="str">
        <x:f>IF(CaseLedger!$A197="","",CaseLedger!I197)</x:f>
      </x:c>
      <x:c r="C197" t="str">
        <x:f>IF(CaseLedger!$A197="","",CaseLedger!J197)</x:f>
      </x:c>
      <x:c r="D197" t="str">
        <x:f>IF(CaseLedger!$A197="","",CaseLedger!K197)</x:f>
      </x:c>
      <x:c r="E197" t="str">
        <x:f>IF(CaseLedger!$A197="","",CaseLedger!L197)</x:f>
      </x:c>
      <x:c r="F197" t="str">
        <x:f>IF(CaseLedger!$A197="","",CaseLedger!P197)</x:f>
      </x:c>
      <x:c r="G197" t="str">
        <x:f>IF(CaseLedger!$A197="","",CaseLedger!F197)</x:f>
      </x:c>
      <x:c r="H197" t="str">
        <x:f>IF(CaseLedger!$A197="","",CaseLedger!Q197)</x:f>
      </x:c>
      <x:c r="I197" t="str">
        <x:f>IF(CaseLedger!$A197="","",CaseLedger!R197)</x:f>
      </x:c>
      <x:c r="J197" t="str">
        <x:f>IF(CaseLedger!$A197="","",CaseLedger!S197)</x:f>
      </x:c>
      <x:c r="K197" t="str">
        <x:f>IF(CaseLedger!$A197="","",CaseLedger!T197)</x:f>
      </x:c>
      <x:c r="L197" t="str">
        <x:f>IF(CaseLedger!$A197="","",CaseLedger!U197)</x:f>
      </x:c>
      <x:c r="M197" t="str">
        <x:f>IF(CaseLedger!$A197="","",CaseLedger!V197)</x:f>
      </x:c>
      <x:c r="N197" t="str">
        <x:f>IF(CaseLedger!$A197="","",CaseLedger!W197)</x:f>
      </x:c>
      <x:c r="O197" t="str">
        <x:f>IF(CaseLedger!$A197="","",CaseLedger!X197)</x:f>
      </x:c>
      <x:c r="P197" t="str">
        <x:f>IF(CaseLedger!$A197="","",CaseLedger!E197)</x:f>
      </x:c>
      <x:c r="Q197" t="str">
        <x:f>IF(CaseLedger!$A197="","",CaseLedger!C197)</x:f>
      </x:c>
      <x:c r="R197" t="str">
        <x:f>IF(CaseLedger!$A197="","",CaseLedger!D197)</x:f>
      </x:c>
      <x:c r="S197" t="str">
        <x:f>IFERROR(IF(CaseLedger!$A197="","",CaseLedger!Y197),"")</x:f>
      </x:c>
      <x:c r="T197" t="str">
        <x:f>IFERROR(IF(CaseLedger!$A197="","",CaseLedger!Z197),"")</x:f>
      </x:c>
      <x:c r="U197" t="str">
        <x:f>IFERROR(IF(CaseLedger!$A197="","",CaseLedger!AA197),"")</x:f>
      </x:c>
      <x:c r="V197" t="str">
        <x:f>IFERROR(IF(CaseLedger!$A197="","",CaseLedger!AB197),"")</x:f>
      </x:c>
      <x:c r="W197" t="str">
        <x:f>IFERROR(IF(CaseLedger!$A197="","",CaseLedger!AC197),"")</x:f>
      </x:c>
      <x:c r="X197" t="str">
        <x:f>IFERROR(IF(CaseLedger!$A197="","",CaseLedger!AD197),"")</x:f>
      </x:c>
      <x:c r="Y197" t="str">
        <x:f>IFERROR(IF(CaseLedger!$A197="","",CaseLedger!AE197),"")</x:f>
      </x:c>
      <x:c r="Z197" t="str">
        <x:f>IFERROR(IF(CaseLedger!$A197="","",CaseLedger!AF197),"")</x:f>
      </x:c>
      <x:c r="AA197" t="str">
        <x:f>IFERROR(IF(CaseLedger!$A197="","",CaseLedger!AG197),"")</x:f>
      </x:c>
      <x:c r="AB197" t="str">
        <x:f>IFERROR(IF(CaseLedger!$A197="","",CaseLedger!AH197),"")</x:f>
      </x:c>
      <x:c r="AC197" t="str">
        <x:f>IFERROR(IF(CaseLedger!$A197="","",CaseLedger!AI197),"")</x:f>
      </x:c>
    </x:row>
    <x:row r="198">
      <x:c r="A198" t="str">
        <x:f>IF(CaseLedger!$A198="","",CaseLedger!A198)</x:f>
      </x:c>
      <x:c r="B198" t="str">
        <x:f>IF(CaseLedger!$A198="","",CaseLedger!I198)</x:f>
      </x:c>
      <x:c r="C198" t="str">
        <x:f>IF(CaseLedger!$A198="","",CaseLedger!J198)</x:f>
      </x:c>
      <x:c r="D198" t="str">
        <x:f>IF(CaseLedger!$A198="","",CaseLedger!K198)</x:f>
      </x:c>
      <x:c r="E198" t="str">
        <x:f>IF(CaseLedger!$A198="","",CaseLedger!L198)</x:f>
      </x:c>
      <x:c r="F198" t="str">
        <x:f>IF(CaseLedger!$A198="","",CaseLedger!P198)</x:f>
      </x:c>
      <x:c r="G198" t="str">
        <x:f>IF(CaseLedger!$A198="","",CaseLedger!F198)</x:f>
      </x:c>
      <x:c r="H198" t="str">
        <x:f>IF(CaseLedger!$A198="","",CaseLedger!Q198)</x:f>
      </x:c>
      <x:c r="I198" t="str">
        <x:f>IF(CaseLedger!$A198="","",CaseLedger!R198)</x:f>
      </x:c>
      <x:c r="J198" t="str">
        <x:f>IF(CaseLedger!$A198="","",CaseLedger!S198)</x:f>
      </x:c>
      <x:c r="K198" t="str">
        <x:f>IF(CaseLedger!$A198="","",CaseLedger!T198)</x:f>
      </x:c>
      <x:c r="L198" t="str">
        <x:f>IF(CaseLedger!$A198="","",CaseLedger!U198)</x:f>
      </x:c>
      <x:c r="M198" t="str">
        <x:f>IF(CaseLedger!$A198="","",CaseLedger!V198)</x:f>
      </x:c>
      <x:c r="N198" t="str">
        <x:f>IF(CaseLedger!$A198="","",CaseLedger!W198)</x:f>
      </x:c>
      <x:c r="O198" t="str">
        <x:f>IF(CaseLedger!$A198="","",CaseLedger!X198)</x:f>
      </x:c>
      <x:c r="P198" t="str">
        <x:f>IF(CaseLedger!$A198="","",CaseLedger!E198)</x:f>
      </x:c>
      <x:c r="Q198" t="str">
        <x:f>IF(CaseLedger!$A198="","",CaseLedger!C198)</x:f>
      </x:c>
      <x:c r="R198" t="str">
        <x:f>IF(CaseLedger!$A198="","",CaseLedger!D198)</x:f>
      </x:c>
      <x:c r="S198" t="str">
        <x:f>IFERROR(IF(CaseLedger!$A198="","",CaseLedger!Y198),"")</x:f>
      </x:c>
      <x:c r="T198" t="str">
        <x:f>IFERROR(IF(CaseLedger!$A198="","",CaseLedger!Z198),"")</x:f>
      </x:c>
      <x:c r="U198" t="str">
        <x:f>IFERROR(IF(CaseLedger!$A198="","",CaseLedger!AA198),"")</x:f>
      </x:c>
      <x:c r="V198" t="str">
        <x:f>IFERROR(IF(CaseLedger!$A198="","",CaseLedger!AB198),"")</x:f>
      </x:c>
      <x:c r="W198" t="str">
        <x:f>IFERROR(IF(CaseLedger!$A198="","",CaseLedger!AC198),"")</x:f>
      </x:c>
      <x:c r="X198" t="str">
        <x:f>IFERROR(IF(CaseLedger!$A198="","",CaseLedger!AD198),"")</x:f>
      </x:c>
      <x:c r="Y198" t="str">
        <x:f>IFERROR(IF(CaseLedger!$A198="","",CaseLedger!AE198),"")</x:f>
      </x:c>
      <x:c r="Z198" t="str">
        <x:f>IFERROR(IF(CaseLedger!$A198="","",CaseLedger!AF198),"")</x:f>
      </x:c>
      <x:c r="AA198" t="str">
        <x:f>IFERROR(IF(CaseLedger!$A198="","",CaseLedger!AG198),"")</x:f>
      </x:c>
      <x:c r="AB198" t="str">
        <x:f>IFERROR(IF(CaseLedger!$A198="","",CaseLedger!AH198),"")</x:f>
      </x:c>
      <x:c r="AC198" t="str">
        <x:f>IFERROR(IF(CaseLedger!$A198="","",CaseLedger!AI198),"")</x:f>
      </x:c>
    </x:row>
    <x:row r="199">
      <x:c r="A199" t="str">
        <x:f>IF(CaseLedger!$A199="","",CaseLedger!A199)</x:f>
      </x:c>
      <x:c r="B199" t="str">
        <x:f>IF(CaseLedger!$A199="","",CaseLedger!I199)</x:f>
      </x:c>
      <x:c r="C199" t="str">
        <x:f>IF(CaseLedger!$A199="","",CaseLedger!J199)</x:f>
      </x:c>
      <x:c r="D199" t="str">
        <x:f>IF(CaseLedger!$A199="","",CaseLedger!K199)</x:f>
      </x:c>
      <x:c r="E199" t="str">
        <x:f>IF(CaseLedger!$A199="","",CaseLedger!L199)</x:f>
      </x:c>
      <x:c r="F199" t="str">
        <x:f>IF(CaseLedger!$A199="","",CaseLedger!P199)</x:f>
      </x:c>
      <x:c r="G199" t="str">
        <x:f>IF(CaseLedger!$A199="","",CaseLedger!F199)</x:f>
      </x:c>
      <x:c r="H199" t="str">
        <x:f>IF(CaseLedger!$A199="","",CaseLedger!Q199)</x:f>
      </x:c>
      <x:c r="I199" t="str">
        <x:f>IF(CaseLedger!$A199="","",CaseLedger!R199)</x:f>
      </x:c>
      <x:c r="J199" t="str">
        <x:f>IF(CaseLedger!$A199="","",CaseLedger!S199)</x:f>
      </x:c>
      <x:c r="K199" t="str">
        <x:f>IF(CaseLedger!$A199="","",CaseLedger!T199)</x:f>
      </x:c>
      <x:c r="L199" t="str">
        <x:f>IF(CaseLedger!$A199="","",CaseLedger!U199)</x:f>
      </x:c>
      <x:c r="M199" t="str">
        <x:f>IF(CaseLedger!$A199="","",CaseLedger!V199)</x:f>
      </x:c>
      <x:c r="N199" t="str">
        <x:f>IF(CaseLedger!$A199="","",CaseLedger!W199)</x:f>
      </x:c>
      <x:c r="O199" t="str">
        <x:f>IF(CaseLedger!$A199="","",CaseLedger!X199)</x:f>
      </x:c>
      <x:c r="P199" t="str">
        <x:f>IF(CaseLedger!$A199="","",CaseLedger!E199)</x:f>
      </x:c>
      <x:c r="Q199" t="str">
        <x:f>IF(CaseLedger!$A199="","",CaseLedger!C199)</x:f>
      </x:c>
      <x:c r="R199" t="str">
        <x:f>IF(CaseLedger!$A199="","",CaseLedger!D199)</x:f>
      </x:c>
      <x:c r="S199" t="str">
        <x:f>IFERROR(IF(CaseLedger!$A199="","",CaseLedger!Y199),"")</x:f>
      </x:c>
      <x:c r="T199" t="str">
        <x:f>IFERROR(IF(CaseLedger!$A199="","",CaseLedger!Z199),"")</x:f>
      </x:c>
      <x:c r="U199" t="str">
        <x:f>IFERROR(IF(CaseLedger!$A199="","",CaseLedger!AA199),"")</x:f>
      </x:c>
      <x:c r="V199" t="str">
        <x:f>IFERROR(IF(CaseLedger!$A199="","",CaseLedger!AB199),"")</x:f>
      </x:c>
      <x:c r="W199" t="str">
        <x:f>IFERROR(IF(CaseLedger!$A199="","",CaseLedger!AC199),"")</x:f>
      </x:c>
      <x:c r="X199" t="str">
        <x:f>IFERROR(IF(CaseLedger!$A199="","",CaseLedger!AD199),"")</x:f>
      </x:c>
      <x:c r="Y199" t="str">
        <x:f>IFERROR(IF(CaseLedger!$A199="","",CaseLedger!AE199),"")</x:f>
      </x:c>
      <x:c r="Z199" t="str">
        <x:f>IFERROR(IF(CaseLedger!$A199="","",CaseLedger!AF199),"")</x:f>
      </x:c>
      <x:c r="AA199" t="str">
        <x:f>IFERROR(IF(CaseLedger!$A199="","",CaseLedger!AG199),"")</x:f>
      </x:c>
      <x:c r="AB199" t="str">
        <x:f>IFERROR(IF(CaseLedger!$A199="","",CaseLedger!AH199),"")</x:f>
      </x:c>
      <x:c r="AC199" t="str">
        <x:f>IFERROR(IF(CaseLedger!$A199="","",CaseLedger!AI199),"")</x:f>
      </x:c>
    </x:row>
    <x:row r="200">
      <x:c r="A200" t="str">
        <x:f>IF(CaseLedger!$A200="","",CaseLedger!A200)</x:f>
      </x:c>
      <x:c r="B200" t="str">
        <x:f>IF(CaseLedger!$A200="","",CaseLedger!I200)</x:f>
      </x:c>
      <x:c r="C200" t="str">
        <x:f>IF(CaseLedger!$A200="","",CaseLedger!J200)</x:f>
      </x:c>
      <x:c r="D200" t="str">
        <x:f>IF(CaseLedger!$A200="","",CaseLedger!K200)</x:f>
      </x:c>
      <x:c r="E200" t="str">
        <x:f>IF(CaseLedger!$A200="","",CaseLedger!L200)</x:f>
      </x:c>
      <x:c r="F200" t="str">
        <x:f>IF(CaseLedger!$A200="","",CaseLedger!P200)</x:f>
      </x:c>
      <x:c r="G200" t="str">
        <x:f>IF(CaseLedger!$A200="","",CaseLedger!F200)</x:f>
      </x:c>
      <x:c r="H200" t="str">
        <x:f>IF(CaseLedger!$A200="","",CaseLedger!Q200)</x:f>
      </x:c>
      <x:c r="I200" t="str">
        <x:f>IF(CaseLedger!$A200="","",CaseLedger!R200)</x:f>
      </x:c>
      <x:c r="J200" t="str">
        <x:f>IF(CaseLedger!$A200="","",CaseLedger!S200)</x:f>
      </x:c>
      <x:c r="K200" t="str">
        <x:f>IF(CaseLedger!$A200="","",CaseLedger!T200)</x:f>
      </x:c>
      <x:c r="L200" t="str">
        <x:f>IF(CaseLedger!$A200="","",CaseLedger!U200)</x:f>
      </x:c>
      <x:c r="M200" t="str">
        <x:f>IF(CaseLedger!$A200="","",CaseLedger!V200)</x:f>
      </x:c>
      <x:c r="N200" t="str">
        <x:f>IF(CaseLedger!$A200="","",CaseLedger!W200)</x:f>
      </x:c>
      <x:c r="O200" t="str">
        <x:f>IF(CaseLedger!$A200="","",CaseLedger!X200)</x:f>
      </x:c>
      <x:c r="P200" t="str">
        <x:f>IF(CaseLedger!$A200="","",CaseLedger!E200)</x:f>
      </x:c>
      <x:c r="Q200" t="str">
        <x:f>IF(CaseLedger!$A200="","",CaseLedger!C200)</x:f>
      </x:c>
      <x:c r="R200" t="str">
        <x:f>IF(CaseLedger!$A200="","",CaseLedger!D200)</x:f>
      </x:c>
      <x:c r="S200" t="str">
        <x:f>IFERROR(IF(CaseLedger!$A200="","",CaseLedger!Y200),"")</x:f>
      </x:c>
      <x:c r="T200" t="str">
        <x:f>IFERROR(IF(CaseLedger!$A200="","",CaseLedger!Z200),"")</x:f>
      </x:c>
      <x:c r="U200" t="str">
        <x:f>IFERROR(IF(CaseLedger!$A200="","",CaseLedger!AA200),"")</x:f>
      </x:c>
      <x:c r="V200" t="str">
        <x:f>IFERROR(IF(CaseLedger!$A200="","",CaseLedger!AB200),"")</x:f>
      </x:c>
      <x:c r="W200" t="str">
        <x:f>IFERROR(IF(CaseLedger!$A200="","",CaseLedger!AC200),"")</x:f>
      </x:c>
      <x:c r="X200" t="str">
        <x:f>IFERROR(IF(CaseLedger!$A200="","",CaseLedger!AD200),"")</x:f>
      </x:c>
      <x:c r="Y200" t="str">
        <x:f>IFERROR(IF(CaseLedger!$A200="","",CaseLedger!AE200),"")</x:f>
      </x:c>
      <x:c r="Z200" t="str">
        <x:f>IFERROR(IF(CaseLedger!$A200="","",CaseLedger!AF200),"")</x:f>
      </x:c>
      <x:c r="AA200" t="str">
        <x:f>IFERROR(IF(CaseLedger!$A200="","",CaseLedger!AG200),"")</x:f>
      </x:c>
      <x:c r="AB200" t="str">
        <x:f>IFERROR(IF(CaseLedger!$A200="","",CaseLedger!AH200),"")</x:f>
      </x:c>
      <x:c r="AC200" t="str">
        <x:f>IFERROR(IF(CaseLedger!$A200="","",CaseLedger!AI200),"")</x:f>
      </x:c>
    </x:row>
    <x:row r="201">
      <x:c r="A201" t="str">
        <x:f>IF(CaseLedger!$A201="","",CaseLedger!A201)</x:f>
      </x:c>
      <x:c r="B201" t="str">
        <x:f>IF(CaseLedger!$A201="","",CaseLedger!I201)</x:f>
      </x:c>
      <x:c r="C201" t="str">
        <x:f>IF(CaseLedger!$A201="","",CaseLedger!J201)</x:f>
      </x:c>
      <x:c r="D201" t="str">
        <x:f>IF(CaseLedger!$A201="","",CaseLedger!K201)</x:f>
      </x:c>
      <x:c r="E201" t="str">
        <x:f>IF(CaseLedger!$A201="","",CaseLedger!L201)</x:f>
      </x:c>
      <x:c r="F201" t="str">
        <x:f>IF(CaseLedger!$A201="","",CaseLedger!P201)</x:f>
      </x:c>
      <x:c r="G201" t="str">
        <x:f>IF(CaseLedger!$A201="","",CaseLedger!F201)</x:f>
      </x:c>
      <x:c r="H201" t="str">
        <x:f>IF(CaseLedger!$A201="","",CaseLedger!Q201)</x:f>
      </x:c>
      <x:c r="I201" t="str">
        <x:f>IF(CaseLedger!$A201="","",CaseLedger!R201)</x:f>
      </x:c>
      <x:c r="J201" t="str">
        <x:f>IF(CaseLedger!$A201="","",CaseLedger!S201)</x:f>
      </x:c>
      <x:c r="K201" t="str">
        <x:f>IF(CaseLedger!$A201="","",CaseLedger!T201)</x:f>
      </x:c>
      <x:c r="L201" t="str">
        <x:f>IF(CaseLedger!$A201="","",CaseLedger!U201)</x:f>
      </x:c>
      <x:c r="M201" t="str">
        <x:f>IF(CaseLedger!$A201="","",CaseLedger!V201)</x:f>
      </x:c>
      <x:c r="N201" t="str">
        <x:f>IF(CaseLedger!$A201="","",CaseLedger!W201)</x:f>
      </x:c>
      <x:c r="O201" t="str">
        <x:f>IF(CaseLedger!$A201="","",CaseLedger!X201)</x:f>
      </x:c>
      <x:c r="P201" t="str">
        <x:f>IF(CaseLedger!$A201="","",CaseLedger!E201)</x:f>
      </x:c>
      <x:c r="Q201" t="str">
        <x:f>IF(CaseLedger!$A201="","",CaseLedger!C201)</x:f>
      </x:c>
      <x:c r="R201" t="str">
        <x:f>IF(CaseLedger!$A201="","",CaseLedger!D201)</x:f>
      </x:c>
      <x:c r="S201" t="str">
        <x:f>IFERROR(IF(CaseLedger!$A201="","",CaseLedger!Y201),"")</x:f>
      </x:c>
      <x:c r="T201" t="str">
        <x:f>IFERROR(IF(CaseLedger!$A201="","",CaseLedger!Z201),"")</x:f>
      </x:c>
      <x:c r="U201" t="str">
        <x:f>IFERROR(IF(CaseLedger!$A201="","",CaseLedger!AA201),"")</x:f>
      </x:c>
      <x:c r="V201" t="str">
        <x:f>IFERROR(IF(CaseLedger!$A201="","",CaseLedger!AB201),"")</x:f>
      </x:c>
      <x:c r="W201" t="str">
        <x:f>IFERROR(IF(CaseLedger!$A201="","",CaseLedger!AC201),"")</x:f>
      </x:c>
      <x:c r="X201" t="str">
        <x:f>IFERROR(IF(CaseLedger!$A201="","",CaseLedger!AD201),"")</x:f>
      </x:c>
      <x:c r="Y201" t="str">
        <x:f>IFERROR(IF(CaseLedger!$A201="","",CaseLedger!AE201),"")</x:f>
      </x:c>
      <x:c r="Z201" t="str">
        <x:f>IFERROR(IF(CaseLedger!$A201="","",CaseLedger!AF201),"")</x:f>
      </x:c>
      <x:c r="AA201" t="str">
        <x:f>IFERROR(IF(CaseLedger!$A201="","",CaseLedger!AG201),"")</x:f>
      </x:c>
      <x:c r="AB201" t="str">
        <x:f>IFERROR(IF(CaseLedger!$A201="","",CaseLedger!AH201),"")</x:f>
      </x:c>
      <x:c r="AC201" t="str">
        <x:f>IFERROR(IF(CaseLedger!$A201="","",CaseLedger!AI201),"")</x:f>
      </x:c>
    </x:row>
    <x:row r="202">
      <x:c r="A202" t="str">
        <x:f>IF(CaseLedger!$A202="","",CaseLedger!A202)</x:f>
      </x:c>
      <x:c r="B202" t="str">
        <x:f>IF(CaseLedger!$A202="","",CaseLedger!I202)</x:f>
      </x:c>
      <x:c r="C202" t="str">
        <x:f>IF(CaseLedger!$A202="","",CaseLedger!J202)</x:f>
      </x:c>
      <x:c r="D202" t="str">
        <x:f>IF(CaseLedger!$A202="","",CaseLedger!K202)</x:f>
      </x:c>
      <x:c r="E202" t="str">
        <x:f>IF(CaseLedger!$A202="","",CaseLedger!L202)</x:f>
      </x:c>
      <x:c r="F202" t="str">
        <x:f>IF(CaseLedger!$A202="","",CaseLedger!P202)</x:f>
      </x:c>
      <x:c r="G202" t="str">
        <x:f>IF(CaseLedger!$A202="","",CaseLedger!F202)</x:f>
      </x:c>
      <x:c r="H202" t="str">
        <x:f>IF(CaseLedger!$A202="","",CaseLedger!Q202)</x:f>
      </x:c>
      <x:c r="I202" t="str">
        <x:f>IF(CaseLedger!$A202="","",CaseLedger!R202)</x:f>
      </x:c>
      <x:c r="J202" t="str">
        <x:f>IF(CaseLedger!$A202="","",CaseLedger!S202)</x:f>
      </x:c>
      <x:c r="K202" t="str">
        <x:f>IF(CaseLedger!$A202="","",CaseLedger!T202)</x:f>
      </x:c>
      <x:c r="L202" t="str">
        <x:f>IF(CaseLedger!$A202="","",CaseLedger!U202)</x:f>
      </x:c>
      <x:c r="M202" t="str">
        <x:f>IF(CaseLedger!$A202="","",CaseLedger!V202)</x:f>
      </x:c>
      <x:c r="N202" t="str">
        <x:f>IF(CaseLedger!$A202="","",CaseLedger!W202)</x:f>
      </x:c>
      <x:c r="O202" t="str">
        <x:f>IF(CaseLedger!$A202="","",CaseLedger!X202)</x:f>
      </x:c>
      <x:c r="P202" t="str">
        <x:f>IF(CaseLedger!$A202="","",CaseLedger!E202)</x:f>
      </x:c>
      <x:c r="Q202" t="str">
        <x:f>IF(CaseLedger!$A202="","",CaseLedger!C202)</x:f>
      </x:c>
      <x:c r="R202" t="str">
        <x:f>IF(CaseLedger!$A202="","",CaseLedger!D202)</x:f>
      </x:c>
      <x:c r="S202" t="str">
        <x:f>IFERROR(IF(CaseLedger!$A202="","",CaseLedger!Y202),"")</x:f>
      </x:c>
      <x:c r="T202" t="str">
        <x:f>IFERROR(IF(CaseLedger!$A202="","",CaseLedger!Z202),"")</x:f>
      </x:c>
      <x:c r="U202" t="str">
        <x:f>IFERROR(IF(CaseLedger!$A202="","",CaseLedger!AA202),"")</x:f>
      </x:c>
      <x:c r="V202" t="str">
        <x:f>IFERROR(IF(CaseLedger!$A202="","",CaseLedger!AB202),"")</x:f>
      </x:c>
      <x:c r="W202" t="str">
        <x:f>IFERROR(IF(CaseLedger!$A202="","",CaseLedger!AC202),"")</x:f>
      </x:c>
      <x:c r="X202" t="str">
        <x:f>IFERROR(IF(CaseLedger!$A202="","",CaseLedger!AD202),"")</x:f>
      </x:c>
      <x:c r="Y202" t="str">
        <x:f>IFERROR(IF(CaseLedger!$A202="","",CaseLedger!AE202),"")</x:f>
      </x:c>
      <x:c r="Z202" t="str">
        <x:f>IFERROR(IF(CaseLedger!$A202="","",CaseLedger!AF202),"")</x:f>
      </x:c>
      <x:c r="AA202" t="str">
        <x:f>IFERROR(IF(CaseLedger!$A202="","",CaseLedger!AG202),"")</x:f>
      </x:c>
      <x:c r="AB202" t="str">
        <x:f>IFERROR(IF(CaseLedger!$A202="","",CaseLedger!AH202),"")</x:f>
      </x:c>
      <x:c r="AC202" t="str">
        <x:f>IFERROR(IF(CaseLedger!$A202="","",CaseLedger!AI202),"")</x:f>
      </x:c>
    </x:row>
    <x:row r="203">
      <x:c r="A203" t="str">
        <x:f>IF(CaseLedger!$A203="","",CaseLedger!A203)</x:f>
      </x:c>
      <x:c r="B203" t="str">
        <x:f>IF(CaseLedger!$A203="","",CaseLedger!I203)</x:f>
      </x:c>
      <x:c r="C203" t="str">
        <x:f>IF(CaseLedger!$A203="","",CaseLedger!J203)</x:f>
      </x:c>
      <x:c r="D203" t="str">
        <x:f>IF(CaseLedger!$A203="","",CaseLedger!K203)</x:f>
      </x:c>
      <x:c r="E203" t="str">
        <x:f>IF(CaseLedger!$A203="","",CaseLedger!L203)</x:f>
      </x:c>
      <x:c r="F203" t="str">
        <x:f>IF(CaseLedger!$A203="","",CaseLedger!P203)</x:f>
      </x:c>
      <x:c r="G203" t="str">
        <x:f>IF(CaseLedger!$A203="","",CaseLedger!F203)</x:f>
      </x:c>
      <x:c r="H203" t="str">
        <x:f>IF(CaseLedger!$A203="","",CaseLedger!Q203)</x:f>
      </x:c>
      <x:c r="I203" t="str">
        <x:f>IF(CaseLedger!$A203="","",CaseLedger!R203)</x:f>
      </x:c>
      <x:c r="J203" t="str">
        <x:f>IF(CaseLedger!$A203="","",CaseLedger!S203)</x:f>
      </x:c>
      <x:c r="K203" t="str">
        <x:f>IF(CaseLedger!$A203="","",CaseLedger!T203)</x:f>
      </x:c>
      <x:c r="L203" t="str">
        <x:f>IF(CaseLedger!$A203="","",CaseLedger!U203)</x:f>
      </x:c>
      <x:c r="M203" t="str">
        <x:f>IF(CaseLedger!$A203="","",CaseLedger!V203)</x:f>
      </x:c>
      <x:c r="N203" t="str">
        <x:f>IF(CaseLedger!$A203="","",CaseLedger!W203)</x:f>
      </x:c>
      <x:c r="O203" t="str">
        <x:f>IF(CaseLedger!$A203="","",CaseLedger!X203)</x:f>
      </x:c>
      <x:c r="P203" t="str">
        <x:f>IF(CaseLedger!$A203="","",CaseLedger!E203)</x:f>
      </x:c>
      <x:c r="Q203" t="str">
        <x:f>IF(CaseLedger!$A203="","",CaseLedger!C203)</x:f>
      </x:c>
      <x:c r="R203" t="str">
        <x:f>IF(CaseLedger!$A203="","",CaseLedger!D203)</x:f>
      </x:c>
      <x:c r="S203" t="str">
        <x:f>IFERROR(IF(CaseLedger!$A203="","",CaseLedger!Y203),"")</x:f>
      </x:c>
      <x:c r="T203" t="str">
        <x:f>IFERROR(IF(CaseLedger!$A203="","",CaseLedger!Z203),"")</x:f>
      </x:c>
      <x:c r="U203" t="str">
        <x:f>IFERROR(IF(CaseLedger!$A203="","",CaseLedger!AA203),"")</x:f>
      </x:c>
      <x:c r="V203" t="str">
        <x:f>IFERROR(IF(CaseLedger!$A203="","",CaseLedger!AB203),"")</x:f>
      </x:c>
      <x:c r="W203" t="str">
        <x:f>IFERROR(IF(CaseLedger!$A203="","",CaseLedger!AC203),"")</x:f>
      </x:c>
      <x:c r="X203" t="str">
        <x:f>IFERROR(IF(CaseLedger!$A203="","",CaseLedger!AD203),"")</x:f>
      </x:c>
      <x:c r="Y203" t="str">
        <x:f>IFERROR(IF(CaseLedger!$A203="","",CaseLedger!AE203),"")</x:f>
      </x:c>
      <x:c r="Z203" t="str">
        <x:f>IFERROR(IF(CaseLedger!$A203="","",CaseLedger!AF203),"")</x:f>
      </x:c>
      <x:c r="AA203" t="str">
        <x:f>IFERROR(IF(CaseLedger!$A203="","",CaseLedger!AG203),"")</x:f>
      </x:c>
      <x:c r="AB203" t="str">
        <x:f>IFERROR(IF(CaseLedger!$A203="","",CaseLedger!AH203),"")</x:f>
      </x:c>
      <x:c r="AC203" t="str">
        <x:f>IFERROR(IF(CaseLedger!$A203="","",CaseLedger!AI203),"")</x:f>
      </x:c>
    </x:row>
    <x:row r="204">
      <x:c r="A204" t="str">
        <x:f>IF(CaseLedger!$A204="","",CaseLedger!A204)</x:f>
      </x:c>
      <x:c r="B204" t="str">
        <x:f>IF(CaseLedger!$A204="","",CaseLedger!I204)</x:f>
      </x:c>
      <x:c r="C204" t="str">
        <x:f>IF(CaseLedger!$A204="","",CaseLedger!J204)</x:f>
      </x:c>
      <x:c r="D204" t="str">
        <x:f>IF(CaseLedger!$A204="","",CaseLedger!K204)</x:f>
      </x:c>
      <x:c r="E204" t="str">
        <x:f>IF(CaseLedger!$A204="","",CaseLedger!L204)</x:f>
      </x:c>
      <x:c r="F204" t="str">
        <x:f>IF(CaseLedger!$A204="","",CaseLedger!P204)</x:f>
      </x:c>
      <x:c r="G204" t="str">
        <x:f>IF(CaseLedger!$A204="","",CaseLedger!F204)</x:f>
      </x:c>
      <x:c r="H204" t="str">
        <x:f>IF(CaseLedger!$A204="","",CaseLedger!Q204)</x:f>
      </x:c>
      <x:c r="I204" t="str">
        <x:f>IF(CaseLedger!$A204="","",CaseLedger!R204)</x:f>
      </x:c>
      <x:c r="J204" t="str">
        <x:f>IF(CaseLedger!$A204="","",CaseLedger!S204)</x:f>
      </x:c>
      <x:c r="K204" t="str">
        <x:f>IF(CaseLedger!$A204="","",CaseLedger!T204)</x:f>
      </x:c>
      <x:c r="L204" t="str">
        <x:f>IF(CaseLedger!$A204="","",CaseLedger!U204)</x:f>
      </x:c>
      <x:c r="M204" t="str">
        <x:f>IF(CaseLedger!$A204="","",CaseLedger!V204)</x:f>
      </x:c>
      <x:c r="N204" t="str">
        <x:f>IF(CaseLedger!$A204="","",CaseLedger!W204)</x:f>
      </x:c>
      <x:c r="O204" t="str">
        <x:f>IF(CaseLedger!$A204="","",CaseLedger!X204)</x:f>
      </x:c>
      <x:c r="P204" t="str">
        <x:f>IF(CaseLedger!$A204="","",CaseLedger!E204)</x:f>
      </x:c>
      <x:c r="Q204" t="str">
        <x:f>IF(CaseLedger!$A204="","",CaseLedger!C204)</x:f>
      </x:c>
      <x:c r="R204" t="str">
        <x:f>IF(CaseLedger!$A204="","",CaseLedger!D204)</x:f>
      </x:c>
      <x:c r="S204" t="str">
        <x:f>IFERROR(IF(CaseLedger!$A204="","",CaseLedger!Y204),"")</x:f>
      </x:c>
      <x:c r="T204" t="str">
        <x:f>IFERROR(IF(CaseLedger!$A204="","",CaseLedger!Z204),"")</x:f>
      </x:c>
      <x:c r="U204" t="str">
        <x:f>IFERROR(IF(CaseLedger!$A204="","",CaseLedger!AA204),"")</x:f>
      </x:c>
      <x:c r="V204" t="str">
        <x:f>IFERROR(IF(CaseLedger!$A204="","",CaseLedger!AB204),"")</x:f>
      </x:c>
      <x:c r="W204" t="str">
        <x:f>IFERROR(IF(CaseLedger!$A204="","",CaseLedger!AC204),"")</x:f>
      </x:c>
      <x:c r="X204" t="str">
        <x:f>IFERROR(IF(CaseLedger!$A204="","",CaseLedger!AD204),"")</x:f>
      </x:c>
      <x:c r="Y204" t="str">
        <x:f>IFERROR(IF(CaseLedger!$A204="","",CaseLedger!AE204),"")</x:f>
      </x:c>
      <x:c r="Z204" t="str">
        <x:f>IFERROR(IF(CaseLedger!$A204="","",CaseLedger!AF204),"")</x:f>
      </x:c>
      <x:c r="AA204" t="str">
        <x:f>IFERROR(IF(CaseLedger!$A204="","",CaseLedger!AG204),"")</x:f>
      </x:c>
      <x:c r="AB204" t="str">
        <x:f>IFERROR(IF(CaseLedger!$A204="","",CaseLedger!AH204),"")</x:f>
      </x:c>
      <x:c r="AC204" t="str">
        <x:f>IFERROR(IF(CaseLedger!$A204="","",CaseLedger!AI204),"")</x:f>
      </x:c>
    </x:row>
    <x:row r="205">
      <x:c r="A205" t="str">
        <x:f>IF(CaseLedger!$A205="","",CaseLedger!A205)</x:f>
      </x:c>
      <x:c r="B205" t="str">
        <x:f>IF(CaseLedger!$A205="","",CaseLedger!I205)</x:f>
      </x:c>
      <x:c r="C205" t="str">
        <x:f>IF(CaseLedger!$A205="","",CaseLedger!J205)</x:f>
      </x:c>
      <x:c r="D205" t="str">
        <x:f>IF(CaseLedger!$A205="","",CaseLedger!K205)</x:f>
      </x:c>
      <x:c r="E205" t="str">
        <x:f>IF(CaseLedger!$A205="","",CaseLedger!L205)</x:f>
      </x:c>
      <x:c r="F205" t="str">
        <x:f>IF(CaseLedger!$A205="","",CaseLedger!P205)</x:f>
      </x:c>
      <x:c r="G205" t="str">
        <x:f>IF(CaseLedger!$A205="","",CaseLedger!F205)</x:f>
      </x:c>
      <x:c r="H205" t="str">
        <x:f>IF(CaseLedger!$A205="","",CaseLedger!Q205)</x:f>
      </x:c>
      <x:c r="I205" t="str">
        <x:f>IF(CaseLedger!$A205="","",CaseLedger!R205)</x:f>
      </x:c>
      <x:c r="J205" t="str">
        <x:f>IF(CaseLedger!$A205="","",CaseLedger!S205)</x:f>
      </x:c>
      <x:c r="K205" t="str">
        <x:f>IF(CaseLedger!$A205="","",CaseLedger!T205)</x:f>
      </x:c>
      <x:c r="L205" t="str">
        <x:f>IF(CaseLedger!$A205="","",CaseLedger!U205)</x:f>
      </x:c>
      <x:c r="M205" t="str">
        <x:f>IF(CaseLedger!$A205="","",CaseLedger!V205)</x:f>
      </x:c>
      <x:c r="N205" t="str">
        <x:f>IF(CaseLedger!$A205="","",CaseLedger!W205)</x:f>
      </x:c>
      <x:c r="O205" t="str">
        <x:f>IF(CaseLedger!$A205="","",CaseLedger!X205)</x:f>
      </x:c>
      <x:c r="P205" t="str">
        <x:f>IF(CaseLedger!$A205="","",CaseLedger!E205)</x:f>
      </x:c>
      <x:c r="Q205" t="str">
        <x:f>IF(CaseLedger!$A205="","",CaseLedger!C205)</x:f>
      </x:c>
      <x:c r="R205" t="str">
        <x:f>IF(CaseLedger!$A205="","",CaseLedger!D205)</x:f>
      </x:c>
      <x:c r="S205" t="str">
        <x:f>IFERROR(IF(CaseLedger!$A205="","",CaseLedger!Y205),"")</x:f>
      </x:c>
      <x:c r="T205" t="str">
        <x:f>IFERROR(IF(CaseLedger!$A205="","",CaseLedger!Z205),"")</x:f>
      </x:c>
      <x:c r="U205" t="str">
        <x:f>IFERROR(IF(CaseLedger!$A205="","",CaseLedger!AA205),"")</x:f>
      </x:c>
      <x:c r="V205" t="str">
        <x:f>IFERROR(IF(CaseLedger!$A205="","",CaseLedger!AB205),"")</x:f>
      </x:c>
      <x:c r="W205" t="str">
        <x:f>IFERROR(IF(CaseLedger!$A205="","",CaseLedger!AC205),"")</x:f>
      </x:c>
      <x:c r="X205" t="str">
        <x:f>IFERROR(IF(CaseLedger!$A205="","",CaseLedger!AD205),"")</x:f>
      </x:c>
      <x:c r="Y205" t="str">
        <x:f>IFERROR(IF(CaseLedger!$A205="","",CaseLedger!AE205),"")</x:f>
      </x:c>
      <x:c r="Z205" t="str">
        <x:f>IFERROR(IF(CaseLedger!$A205="","",CaseLedger!AF205),"")</x:f>
      </x:c>
      <x:c r="AA205" t="str">
        <x:f>IFERROR(IF(CaseLedger!$A205="","",CaseLedger!AG205),"")</x:f>
      </x:c>
      <x:c r="AB205" t="str">
        <x:f>IFERROR(IF(CaseLedger!$A205="","",CaseLedger!AH205),"")</x:f>
      </x:c>
      <x:c r="AC205" t="str">
        <x:f>IFERROR(IF(CaseLedger!$A205="","",CaseLedger!AI205),"")</x:f>
      </x:c>
    </x:row>
    <x:row r="206">
      <x:c r="A206" t="str">
        <x:f>IF(CaseLedger!$A206="","",CaseLedger!A206)</x:f>
      </x:c>
      <x:c r="B206" t="str">
        <x:f>IF(CaseLedger!$A206="","",CaseLedger!I206)</x:f>
      </x:c>
      <x:c r="C206" t="str">
        <x:f>IF(CaseLedger!$A206="","",CaseLedger!J206)</x:f>
      </x:c>
      <x:c r="D206" t="str">
        <x:f>IF(CaseLedger!$A206="","",CaseLedger!K206)</x:f>
      </x:c>
      <x:c r="E206" t="str">
        <x:f>IF(CaseLedger!$A206="","",CaseLedger!L206)</x:f>
      </x:c>
      <x:c r="F206" t="str">
        <x:f>IF(CaseLedger!$A206="","",CaseLedger!P206)</x:f>
      </x:c>
      <x:c r="G206" t="str">
        <x:f>IF(CaseLedger!$A206="","",CaseLedger!F206)</x:f>
      </x:c>
      <x:c r="H206" t="str">
        <x:f>IF(CaseLedger!$A206="","",CaseLedger!Q206)</x:f>
      </x:c>
      <x:c r="I206" t="str">
        <x:f>IF(CaseLedger!$A206="","",CaseLedger!R206)</x:f>
      </x:c>
      <x:c r="J206" t="str">
        <x:f>IF(CaseLedger!$A206="","",CaseLedger!S206)</x:f>
      </x:c>
      <x:c r="K206" t="str">
        <x:f>IF(CaseLedger!$A206="","",CaseLedger!T206)</x:f>
      </x:c>
      <x:c r="L206" t="str">
        <x:f>IF(CaseLedger!$A206="","",CaseLedger!U206)</x:f>
      </x:c>
      <x:c r="M206" t="str">
        <x:f>IF(CaseLedger!$A206="","",CaseLedger!V206)</x:f>
      </x:c>
      <x:c r="N206" t="str">
        <x:f>IF(CaseLedger!$A206="","",CaseLedger!W206)</x:f>
      </x:c>
      <x:c r="O206" t="str">
        <x:f>IF(CaseLedger!$A206="","",CaseLedger!X206)</x:f>
      </x:c>
      <x:c r="P206" t="str">
        <x:f>IF(CaseLedger!$A206="","",CaseLedger!E206)</x:f>
      </x:c>
      <x:c r="Q206" t="str">
        <x:f>IF(CaseLedger!$A206="","",CaseLedger!C206)</x:f>
      </x:c>
      <x:c r="R206" t="str">
        <x:f>IF(CaseLedger!$A206="","",CaseLedger!D206)</x:f>
      </x:c>
      <x:c r="S206" t="str">
        <x:f>IFERROR(IF(CaseLedger!$A206="","",CaseLedger!Y206),"")</x:f>
      </x:c>
      <x:c r="T206" t="str">
        <x:f>IFERROR(IF(CaseLedger!$A206="","",CaseLedger!Z206),"")</x:f>
      </x:c>
      <x:c r="U206" t="str">
        <x:f>IFERROR(IF(CaseLedger!$A206="","",CaseLedger!AA206),"")</x:f>
      </x:c>
      <x:c r="V206" t="str">
        <x:f>IFERROR(IF(CaseLedger!$A206="","",CaseLedger!AB206),"")</x:f>
      </x:c>
      <x:c r="W206" t="str">
        <x:f>IFERROR(IF(CaseLedger!$A206="","",CaseLedger!AC206),"")</x:f>
      </x:c>
      <x:c r="X206" t="str">
        <x:f>IFERROR(IF(CaseLedger!$A206="","",CaseLedger!AD206),"")</x:f>
      </x:c>
      <x:c r="Y206" t="str">
        <x:f>IFERROR(IF(CaseLedger!$A206="","",CaseLedger!AE206),"")</x:f>
      </x:c>
      <x:c r="Z206" t="str">
        <x:f>IFERROR(IF(CaseLedger!$A206="","",CaseLedger!AF206),"")</x:f>
      </x:c>
      <x:c r="AA206" t="str">
        <x:f>IFERROR(IF(CaseLedger!$A206="","",CaseLedger!AG206),"")</x:f>
      </x:c>
      <x:c r="AB206" t="str">
        <x:f>IFERROR(IF(CaseLedger!$A206="","",CaseLedger!AH206),"")</x:f>
      </x:c>
      <x:c r="AC206" t="str">
        <x:f>IFERROR(IF(CaseLedger!$A206="","",CaseLedger!AI206),"")</x:f>
      </x:c>
    </x:row>
    <x:row r="207">
      <x:c r="A207" t="str">
        <x:f>IF(CaseLedger!$A207="","",CaseLedger!A207)</x:f>
      </x:c>
      <x:c r="B207" t="str">
        <x:f>IF(CaseLedger!$A207="","",CaseLedger!I207)</x:f>
      </x:c>
      <x:c r="C207" t="str">
        <x:f>IF(CaseLedger!$A207="","",CaseLedger!J207)</x:f>
      </x:c>
      <x:c r="D207" t="str">
        <x:f>IF(CaseLedger!$A207="","",CaseLedger!K207)</x:f>
      </x:c>
      <x:c r="E207" t="str">
        <x:f>IF(CaseLedger!$A207="","",CaseLedger!L207)</x:f>
      </x:c>
      <x:c r="F207" t="str">
        <x:f>IF(CaseLedger!$A207="","",CaseLedger!P207)</x:f>
      </x:c>
      <x:c r="G207" t="str">
        <x:f>IF(CaseLedger!$A207="","",CaseLedger!F207)</x:f>
      </x:c>
      <x:c r="H207" t="str">
        <x:f>IF(CaseLedger!$A207="","",CaseLedger!Q207)</x:f>
      </x:c>
      <x:c r="I207" t="str">
        <x:f>IF(CaseLedger!$A207="","",CaseLedger!R207)</x:f>
      </x:c>
      <x:c r="J207" t="str">
        <x:f>IF(CaseLedger!$A207="","",CaseLedger!S207)</x:f>
      </x:c>
      <x:c r="K207" t="str">
        <x:f>IF(CaseLedger!$A207="","",CaseLedger!T207)</x:f>
      </x:c>
      <x:c r="L207" t="str">
        <x:f>IF(CaseLedger!$A207="","",CaseLedger!U207)</x:f>
      </x:c>
      <x:c r="M207" t="str">
        <x:f>IF(CaseLedger!$A207="","",CaseLedger!V207)</x:f>
      </x:c>
      <x:c r="N207" t="str">
        <x:f>IF(CaseLedger!$A207="","",CaseLedger!W207)</x:f>
      </x:c>
      <x:c r="O207" t="str">
        <x:f>IF(CaseLedger!$A207="","",CaseLedger!X207)</x:f>
      </x:c>
      <x:c r="P207" t="str">
        <x:f>IF(CaseLedger!$A207="","",CaseLedger!E207)</x:f>
      </x:c>
      <x:c r="Q207" t="str">
        <x:f>IF(CaseLedger!$A207="","",CaseLedger!C207)</x:f>
      </x:c>
      <x:c r="R207" t="str">
        <x:f>IF(CaseLedger!$A207="","",CaseLedger!D207)</x:f>
      </x:c>
      <x:c r="S207" t="str">
        <x:f>IFERROR(IF(CaseLedger!$A207="","",CaseLedger!Y207),"")</x:f>
      </x:c>
      <x:c r="T207" t="str">
        <x:f>IFERROR(IF(CaseLedger!$A207="","",CaseLedger!Z207),"")</x:f>
      </x:c>
      <x:c r="U207" t="str">
        <x:f>IFERROR(IF(CaseLedger!$A207="","",CaseLedger!AA207),"")</x:f>
      </x:c>
      <x:c r="V207" t="str">
        <x:f>IFERROR(IF(CaseLedger!$A207="","",CaseLedger!AB207),"")</x:f>
      </x:c>
      <x:c r="W207" t="str">
        <x:f>IFERROR(IF(CaseLedger!$A207="","",CaseLedger!AC207),"")</x:f>
      </x:c>
      <x:c r="X207" t="str">
        <x:f>IFERROR(IF(CaseLedger!$A207="","",CaseLedger!AD207),"")</x:f>
      </x:c>
      <x:c r="Y207" t="str">
        <x:f>IFERROR(IF(CaseLedger!$A207="","",CaseLedger!AE207),"")</x:f>
      </x:c>
      <x:c r="Z207" t="str">
        <x:f>IFERROR(IF(CaseLedger!$A207="","",CaseLedger!AF207),"")</x:f>
      </x:c>
      <x:c r="AA207" t="str">
        <x:f>IFERROR(IF(CaseLedger!$A207="","",CaseLedger!AG207),"")</x:f>
      </x:c>
      <x:c r="AB207" t="str">
        <x:f>IFERROR(IF(CaseLedger!$A207="","",CaseLedger!AH207),"")</x:f>
      </x:c>
      <x:c r="AC207" t="str">
        <x:f>IFERROR(IF(CaseLedger!$A207="","",CaseLedger!AI207),"")</x:f>
      </x:c>
    </x:row>
    <x:row r="208">
      <x:c r="A208" t="str">
        <x:f>IF(CaseLedger!$A208="","",CaseLedger!A208)</x:f>
      </x:c>
      <x:c r="B208" t="str">
        <x:f>IF(CaseLedger!$A208="","",CaseLedger!I208)</x:f>
      </x:c>
      <x:c r="C208" t="str">
        <x:f>IF(CaseLedger!$A208="","",CaseLedger!J208)</x:f>
      </x:c>
      <x:c r="D208" t="str">
        <x:f>IF(CaseLedger!$A208="","",CaseLedger!K208)</x:f>
      </x:c>
      <x:c r="E208" t="str">
        <x:f>IF(CaseLedger!$A208="","",CaseLedger!L208)</x:f>
      </x:c>
      <x:c r="F208" t="str">
        <x:f>IF(CaseLedger!$A208="","",CaseLedger!P208)</x:f>
      </x:c>
      <x:c r="G208" t="str">
        <x:f>IF(CaseLedger!$A208="","",CaseLedger!F208)</x:f>
      </x:c>
      <x:c r="H208" t="str">
        <x:f>IF(CaseLedger!$A208="","",CaseLedger!Q208)</x:f>
      </x:c>
      <x:c r="I208" t="str">
        <x:f>IF(CaseLedger!$A208="","",CaseLedger!R208)</x:f>
      </x:c>
      <x:c r="J208" t="str">
        <x:f>IF(CaseLedger!$A208="","",CaseLedger!S208)</x:f>
      </x:c>
      <x:c r="K208" t="str">
        <x:f>IF(CaseLedger!$A208="","",CaseLedger!T208)</x:f>
      </x:c>
      <x:c r="L208" t="str">
        <x:f>IF(CaseLedger!$A208="","",CaseLedger!U208)</x:f>
      </x:c>
      <x:c r="M208" t="str">
        <x:f>IF(CaseLedger!$A208="","",CaseLedger!V208)</x:f>
      </x:c>
      <x:c r="N208" t="str">
        <x:f>IF(CaseLedger!$A208="","",CaseLedger!W208)</x:f>
      </x:c>
      <x:c r="O208" t="str">
        <x:f>IF(CaseLedger!$A208="","",CaseLedger!X208)</x:f>
      </x:c>
      <x:c r="P208" t="str">
        <x:f>IF(CaseLedger!$A208="","",CaseLedger!E208)</x:f>
      </x:c>
      <x:c r="Q208" t="str">
        <x:f>IF(CaseLedger!$A208="","",CaseLedger!C208)</x:f>
      </x:c>
      <x:c r="R208" t="str">
        <x:f>IF(CaseLedger!$A208="","",CaseLedger!D208)</x:f>
      </x:c>
      <x:c r="S208" t="str">
        <x:f>IFERROR(IF(CaseLedger!$A208="","",CaseLedger!Y208),"")</x:f>
      </x:c>
      <x:c r="T208" t="str">
        <x:f>IFERROR(IF(CaseLedger!$A208="","",CaseLedger!Z208),"")</x:f>
      </x:c>
      <x:c r="U208" t="str">
        <x:f>IFERROR(IF(CaseLedger!$A208="","",CaseLedger!AA208),"")</x:f>
      </x:c>
      <x:c r="V208" t="str">
        <x:f>IFERROR(IF(CaseLedger!$A208="","",CaseLedger!AB208),"")</x:f>
      </x:c>
      <x:c r="W208" t="str">
        <x:f>IFERROR(IF(CaseLedger!$A208="","",CaseLedger!AC208),"")</x:f>
      </x:c>
      <x:c r="X208" t="str">
        <x:f>IFERROR(IF(CaseLedger!$A208="","",CaseLedger!AD208),"")</x:f>
      </x:c>
      <x:c r="Y208" t="str">
        <x:f>IFERROR(IF(CaseLedger!$A208="","",CaseLedger!AE208),"")</x:f>
      </x:c>
      <x:c r="Z208" t="str">
        <x:f>IFERROR(IF(CaseLedger!$A208="","",CaseLedger!AF208),"")</x:f>
      </x:c>
      <x:c r="AA208" t="str">
        <x:f>IFERROR(IF(CaseLedger!$A208="","",CaseLedger!AG208),"")</x:f>
      </x:c>
      <x:c r="AB208" t="str">
        <x:f>IFERROR(IF(CaseLedger!$A208="","",CaseLedger!AH208),"")</x:f>
      </x:c>
      <x:c r="AC208" t="str">
        <x:f>IFERROR(IF(CaseLedger!$A208="","",CaseLedger!AI208),"")</x:f>
      </x:c>
    </x:row>
    <x:row r="209">
      <x:c r="A209" t="str">
        <x:f>IF(CaseLedger!$A209="","",CaseLedger!A209)</x:f>
      </x:c>
      <x:c r="B209" t="str">
        <x:f>IF(CaseLedger!$A209="","",CaseLedger!I209)</x:f>
      </x:c>
      <x:c r="C209" t="str">
        <x:f>IF(CaseLedger!$A209="","",CaseLedger!J209)</x:f>
      </x:c>
      <x:c r="D209" t="str">
        <x:f>IF(CaseLedger!$A209="","",CaseLedger!K209)</x:f>
      </x:c>
      <x:c r="E209" t="str">
        <x:f>IF(CaseLedger!$A209="","",CaseLedger!L209)</x:f>
      </x:c>
      <x:c r="F209" t="str">
        <x:f>IF(CaseLedger!$A209="","",CaseLedger!P209)</x:f>
      </x:c>
      <x:c r="G209" t="str">
        <x:f>IF(CaseLedger!$A209="","",CaseLedger!F209)</x:f>
      </x:c>
      <x:c r="H209" t="str">
        <x:f>IF(CaseLedger!$A209="","",CaseLedger!Q209)</x:f>
      </x:c>
      <x:c r="I209" t="str">
        <x:f>IF(CaseLedger!$A209="","",CaseLedger!R209)</x:f>
      </x:c>
      <x:c r="J209" t="str">
        <x:f>IF(CaseLedger!$A209="","",CaseLedger!S209)</x:f>
      </x:c>
      <x:c r="K209" t="str">
        <x:f>IF(CaseLedger!$A209="","",CaseLedger!T209)</x:f>
      </x:c>
      <x:c r="L209" t="str">
        <x:f>IF(CaseLedger!$A209="","",CaseLedger!U209)</x:f>
      </x:c>
      <x:c r="M209" t="str">
        <x:f>IF(CaseLedger!$A209="","",CaseLedger!V209)</x:f>
      </x:c>
      <x:c r="N209" t="str">
        <x:f>IF(CaseLedger!$A209="","",CaseLedger!W209)</x:f>
      </x:c>
      <x:c r="O209" t="str">
        <x:f>IF(CaseLedger!$A209="","",CaseLedger!X209)</x:f>
      </x:c>
      <x:c r="P209" t="str">
        <x:f>IF(CaseLedger!$A209="","",CaseLedger!E209)</x:f>
      </x:c>
      <x:c r="Q209" t="str">
        <x:f>IF(CaseLedger!$A209="","",CaseLedger!C209)</x:f>
      </x:c>
      <x:c r="R209" t="str">
        <x:f>IF(CaseLedger!$A209="","",CaseLedger!D209)</x:f>
      </x:c>
      <x:c r="S209" t="str">
        <x:f>IFERROR(IF(CaseLedger!$A209="","",CaseLedger!Y209),"")</x:f>
      </x:c>
      <x:c r="T209" t="str">
        <x:f>IFERROR(IF(CaseLedger!$A209="","",CaseLedger!Z209),"")</x:f>
      </x:c>
      <x:c r="U209" t="str">
        <x:f>IFERROR(IF(CaseLedger!$A209="","",CaseLedger!AA209),"")</x:f>
      </x:c>
      <x:c r="V209" t="str">
        <x:f>IFERROR(IF(CaseLedger!$A209="","",CaseLedger!AB209),"")</x:f>
      </x:c>
      <x:c r="W209" t="str">
        <x:f>IFERROR(IF(CaseLedger!$A209="","",CaseLedger!AC209),"")</x:f>
      </x:c>
      <x:c r="X209" t="str">
        <x:f>IFERROR(IF(CaseLedger!$A209="","",CaseLedger!AD209),"")</x:f>
      </x:c>
      <x:c r="Y209" t="str">
        <x:f>IFERROR(IF(CaseLedger!$A209="","",CaseLedger!AE209),"")</x:f>
      </x:c>
      <x:c r="Z209" t="str">
        <x:f>IFERROR(IF(CaseLedger!$A209="","",CaseLedger!AF209),"")</x:f>
      </x:c>
      <x:c r="AA209" t="str">
        <x:f>IFERROR(IF(CaseLedger!$A209="","",CaseLedger!AG209),"")</x:f>
      </x:c>
      <x:c r="AB209" t="str">
        <x:f>IFERROR(IF(CaseLedger!$A209="","",CaseLedger!AH209),"")</x:f>
      </x:c>
      <x:c r="AC209" t="str">
        <x:f>IFERROR(IF(CaseLedger!$A209="","",CaseLedger!AI209),"")</x:f>
      </x:c>
    </x:row>
    <x:row r="210">
      <x:c r="A210" t="str">
        <x:f>IF(CaseLedger!$A210="","",CaseLedger!A210)</x:f>
      </x:c>
      <x:c r="B210" t="str">
        <x:f>IF(CaseLedger!$A210="","",CaseLedger!I210)</x:f>
      </x:c>
      <x:c r="C210" t="str">
        <x:f>IF(CaseLedger!$A210="","",CaseLedger!J210)</x:f>
      </x:c>
      <x:c r="D210" t="str">
        <x:f>IF(CaseLedger!$A210="","",CaseLedger!K210)</x:f>
      </x:c>
      <x:c r="E210" t="str">
        <x:f>IF(CaseLedger!$A210="","",CaseLedger!L210)</x:f>
      </x:c>
      <x:c r="F210" t="str">
        <x:f>IF(CaseLedger!$A210="","",CaseLedger!P210)</x:f>
      </x:c>
      <x:c r="G210" t="str">
        <x:f>IF(CaseLedger!$A210="","",CaseLedger!F210)</x:f>
      </x:c>
      <x:c r="H210" t="str">
        <x:f>IF(CaseLedger!$A210="","",CaseLedger!Q210)</x:f>
      </x:c>
      <x:c r="I210" t="str">
        <x:f>IF(CaseLedger!$A210="","",CaseLedger!R210)</x:f>
      </x:c>
      <x:c r="J210" t="str">
        <x:f>IF(CaseLedger!$A210="","",CaseLedger!S210)</x:f>
      </x:c>
      <x:c r="K210" t="str">
        <x:f>IF(CaseLedger!$A210="","",CaseLedger!T210)</x:f>
      </x:c>
      <x:c r="L210" t="str">
        <x:f>IF(CaseLedger!$A210="","",CaseLedger!U210)</x:f>
      </x:c>
      <x:c r="M210" t="str">
        <x:f>IF(CaseLedger!$A210="","",CaseLedger!V210)</x:f>
      </x:c>
      <x:c r="N210" t="str">
        <x:f>IF(CaseLedger!$A210="","",CaseLedger!W210)</x:f>
      </x:c>
      <x:c r="O210" t="str">
        <x:f>IF(CaseLedger!$A210="","",CaseLedger!X210)</x:f>
      </x:c>
      <x:c r="P210" t="str">
        <x:f>IF(CaseLedger!$A210="","",CaseLedger!E210)</x:f>
      </x:c>
      <x:c r="Q210" t="str">
        <x:f>IF(CaseLedger!$A210="","",CaseLedger!C210)</x:f>
      </x:c>
      <x:c r="R210" t="str">
        <x:f>IF(CaseLedger!$A210="","",CaseLedger!D210)</x:f>
      </x:c>
      <x:c r="S210" t="str">
        <x:f>IFERROR(IF(CaseLedger!$A210="","",CaseLedger!Y210),"")</x:f>
      </x:c>
      <x:c r="T210" t="str">
        <x:f>IFERROR(IF(CaseLedger!$A210="","",CaseLedger!Z210),"")</x:f>
      </x:c>
      <x:c r="U210" t="str">
        <x:f>IFERROR(IF(CaseLedger!$A210="","",CaseLedger!AA210),"")</x:f>
      </x:c>
      <x:c r="V210" t="str">
        <x:f>IFERROR(IF(CaseLedger!$A210="","",CaseLedger!AB210),"")</x:f>
      </x:c>
      <x:c r="W210" t="str">
        <x:f>IFERROR(IF(CaseLedger!$A210="","",CaseLedger!AC210),"")</x:f>
      </x:c>
      <x:c r="X210" t="str">
        <x:f>IFERROR(IF(CaseLedger!$A210="","",CaseLedger!AD210),"")</x:f>
      </x:c>
      <x:c r="Y210" t="str">
        <x:f>IFERROR(IF(CaseLedger!$A210="","",CaseLedger!AE210),"")</x:f>
      </x:c>
      <x:c r="Z210" t="str">
        <x:f>IFERROR(IF(CaseLedger!$A210="","",CaseLedger!AF210),"")</x:f>
      </x:c>
      <x:c r="AA210" t="str">
        <x:f>IFERROR(IF(CaseLedger!$A210="","",CaseLedger!AG210),"")</x:f>
      </x:c>
      <x:c r="AB210" t="str">
        <x:f>IFERROR(IF(CaseLedger!$A210="","",CaseLedger!AH210),"")</x:f>
      </x:c>
      <x:c r="AC210" t="str">
        <x:f>IFERROR(IF(CaseLedger!$A210="","",CaseLedger!AI210),"")</x:f>
      </x:c>
    </x:row>
    <x:row r="211">
      <x:c r="A211" t="str">
        <x:f>IF(CaseLedger!$A211="","",CaseLedger!A211)</x:f>
      </x:c>
      <x:c r="B211" t="str">
        <x:f>IF(CaseLedger!$A211="","",CaseLedger!I211)</x:f>
      </x:c>
      <x:c r="C211" t="str">
        <x:f>IF(CaseLedger!$A211="","",CaseLedger!J211)</x:f>
      </x:c>
      <x:c r="D211" t="str">
        <x:f>IF(CaseLedger!$A211="","",CaseLedger!K211)</x:f>
      </x:c>
      <x:c r="E211" t="str">
        <x:f>IF(CaseLedger!$A211="","",CaseLedger!L211)</x:f>
      </x:c>
      <x:c r="F211" t="str">
        <x:f>IF(CaseLedger!$A211="","",CaseLedger!P211)</x:f>
      </x:c>
      <x:c r="G211" t="str">
        <x:f>IF(CaseLedger!$A211="","",CaseLedger!F211)</x:f>
      </x:c>
      <x:c r="H211" t="str">
        <x:f>IF(CaseLedger!$A211="","",CaseLedger!Q211)</x:f>
      </x:c>
      <x:c r="I211" t="str">
        <x:f>IF(CaseLedger!$A211="","",CaseLedger!R211)</x:f>
      </x:c>
      <x:c r="J211" t="str">
        <x:f>IF(CaseLedger!$A211="","",CaseLedger!S211)</x:f>
      </x:c>
      <x:c r="K211" t="str">
        <x:f>IF(CaseLedger!$A211="","",CaseLedger!T211)</x:f>
      </x:c>
      <x:c r="L211" t="str">
        <x:f>IF(CaseLedger!$A211="","",CaseLedger!U211)</x:f>
      </x:c>
      <x:c r="M211" t="str">
        <x:f>IF(CaseLedger!$A211="","",CaseLedger!V211)</x:f>
      </x:c>
      <x:c r="N211" t="str">
        <x:f>IF(CaseLedger!$A211="","",CaseLedger!W211)</x:f>
      </x:c>
      <x:c r="O211" t="str">
        <x:f>IF(CaseLedger!$A211="","",CaseLedger!X211)</x:f>
      </x:c>
      <x:c r="P211" t="str">
        <x:f>IF(CaseLedger!$A211="","",CaseLedger!E211)</x:f>
      </x:c>
      <x:c r="Q211" t="str">
        <x:f>IF(CaseLedger!$A211="","",CaseLedger!C211)</x:f>
      </x:c>
      <x:c r="R211" t="str">
        <x:f>IF(CaseLedger!$A211="","",CaseLedger!D211)</x:f>
      </x:c>
      <x:c r="S211" t="str">
        <x:f>IFERROR(IF(CaseLedger!$A211="","",CaseLedger!Y211),"")</x:f>
      </x:c>
      <x:c r="T211" t="str">
        <x:f>IFERROR(IF(CaseLedger!$A211="","",CaseLedger!Z211),"")</x:f>
      </x:c>
      <x:c r="U211" t="str">
        <x:f>IFERROR(IF(CaseLedger!$A211="","",CaseLedger!AA211),"")</x:f>
      </x:c>
      <x:c r="V211" t="str">
        <x:f>IFERROR(IF(CaseLedger!$A211="","",CaseLedger!AB211),"")</x:f>
      </x:c>
      <x:c r="W211" t="str">
        <x:f>IFERROR(IF(CaseLedger!$A211="","",CaseLedger!AC211),"")</x:f>
      </x:c>
      <x:c r="X211" t="str">
        <x:f>IFERROR(IF(CaseLedger!$A211="","",CaseLedger!AD211),"")</x:f>
      </x:c>
      <x:c r="Y211" t="str">
        <x:f>IFERROR(IF(CaseLedger!$A211="","",CaseLedger!AE211),"")</x:f>
      </x:c>
      <x:c r="Z211" t="str">
        <x:f>IFERROR(IF(CaseLedger!$A211="","",CaseLedger!AF211),"")</x:f>
      </x:c>
      <x:c r="AA211" t="str">
        <x:f>IFERROR(IF(CaseLedger!$A211="","",CaseLedger!AG211),"")</x:f>
      </x:c>
      <x:c r="AB211" t="str">
        <x:f>IFERROR(IF(CaseLedger!$A211="","",CaseLedger!AH211),"")</x:f>
      </x:c>
      <x:c r="AC211" t="str">
        <x:f>IFERROR(IF(CaseLedger!$A211="","",CaseLedger!AI211),"")</x:f>
      </x:c>
    </x:row>
    <x:row r="212">
      <x:c r="A212" t="str">
        <x:f>IF(CaseLedger!$A212="","",CaseLedger!A212)</x:f>
      </x:c>
      <x:c r="B212" t="str">
        <x:f>IF(CaseLedger!$A212="","",CaseLedger!I212)</x:f>
      </x:c>
      <x:c r="C212" t="str">
        <x:f>IF(CaseLedger!$A212="","",CaseLedger!J212)</x:f>
      </x:c>
      <x:c r="D212" t="str">
        <x:f>IF(CaseLedger!$A212="","",CaseLedger!K212)</x:f>
      </x:c>
      <x:c r="E212" t="str">
        <x:f>IF(CaseLedger!$A212="","",CaseLedger!L212)</x:f>
      </x:c>
      <x:c r="F212" t="str">
        <x:f>IF(CaseLedger!$A212="","",CaseLedger!P212)</x:f>
      </x:c>
      <x:c r="G212" t="str">
        <x:f>IF(CaseLedger!$A212="","",CaseLedger!F212)</x:f>
      </x:c>
      <x:c r="H212" t="str">
        <x:f>IF(CaseLedger!$A212="","",CaseLedger!Q212)</x:f>
      </x:c>
      <x:c r="I212" t="str">
        <x:f>IF(CaseLedger!$A212="","",CaseLedger!R212)</x:f>
      </x:c>
      <x:c r="J212" t="str">
        <x:f>IF(CaseLedger!$A212="","",CaseLedger!S212)</x:f>
      </x:c>
      <x:c r="K212" t="str">
        <x:f>IF(CaseLedger!$A212="","",CaseLedger!T212)</x:f>
      </x:c>
      <x:c r="L212" t="str">
        <x:f>IF(CaseLedger!$A212="","",CaseLedger!U212)</x:f>
      </x:c>
      <x:c r="M212" t="str">
        <x:f>IF(CaseLedger!$A212="","",CaseLedger!V212)</x:f>
      </x:c>
      <x:c r="N212" t="str">
        <x:f>IF(CaseLedger!$A212="","",CaseLedger!W212)</x:f>
      </x:c>
      <x:c r="O212" t="str">
        <x:f>IF(CaseLedger!$A212="","",CaseLedger!X212)</x:f>
      </x:c>
      <x:c r="P212" t="str">
        <x:f>IF(CaseLedger!$A212="","",CaseLedger!E212)</x:f>
      </x:c>
      <x:c r="Q212" t="str">
        <x:f>IF(CaseLedger!$A212="","",CaseLedger!C212)</x:f>
      </x:c>
      <x:c r="R212" t="str">
        <x:f>IF(CaseLedger!$A212="","",CaseLedger!D212)</x:f>
      </x:c>
      <x:c r="S212" t="str">
        <x:f>IFERROR(IF(CaseLedger!$A212="","",CaseLedger!Y212),"")</x:f>
      </x:c>
      <x:c r="T212" t="str">
        <x:f>IFERROR(IF(CaseLedger!$A212="","",CaseLedger!Z212),"")</x:f>
      </x:c>
      <x:c r="U212" t="str">
        <x:f>IFERROR(IF(CaseLedger!$A212="","",CaseLedger!AA212),"")</x:f>
      </x:c>
      <x:c r="V212" t="str">
        <x:f>IFERROR(IF(CaseLedger!$A212="","",CaseLedger!AB212),"")</x:f>
      </x:c>
      <x:c r="W212" t="str">
        <x:f>IFERROR(IF(CaseLedger!$A212="","",CaseLedger!AC212),"")</x:f>
      </x:c>
      <x:c r="X212" t="str">
        <x:f>IFERROR(IF(CaseLedger!$A212="","",CaseLedger!AD212),"")</x:f>
      </x:c>
      <x:c r="Y212" t="str">
        <x:f>IFERROR(IF(CaseLedger!$A212="","",CaseLedger!AE212),"")</x:f>
      </x:c>
      <x:c r="Z212" t="str">
        <x:f>IFERROR(IF(CaseLedger!$A212="","",CaseLedger!AF212),"")</x:f>
      </x:c>
      <x:c r="AA212" t="str">
        <x:f>IFERROR(IF(CaseLedger!$A212="","",CaseLedger!AG212),"")</x:f>
      </x:c>
      <x:c r="AB212" t="str">
        <x:f>IFERROR(IF(CaseLedger!$A212="","",CaseLedger!AH212),"")</x:f>
      </x:c>
      <x:c r="AC212" t="str">
        <x:f>IFERROR(IF(CaseLedger!$A212="","",CaseLedger!AI212),"")</x:f>
      </x:c>
    </x:row>
    <x:row r="213">
      <x:c r="A213" t="str">
        <x:f>IF(CaseLedger!$A213="","",CaseLedger!A213)</x:f>
      </x:c>
      <x:c r="B213" t="str">
        <x:f>IF(CaseLedger!$A213="","",CaseLedger!I213)</x:f>
      </x:c>
      <x:c r="C213" t="str">
        <x:f>IF(CaseLedger!$A213="","",CaseLedger!J213)</x:f>
      </x:c>
      <x:c r="D213" t="str">
        <x:f>IF(CaseLedger!$A213="","",CaseLedger!K213)</x:f>
      </x:c>
      <x:c r="E213" t="str">
        <x:f>IF(CaseLedger!$A213="","",CaseLedger!L213)</x:f>
      </x:c>
      <x:c r="F213" t="str">
        <x:f>IF(CaseLedger!$A213="","",CaseLedger!P213)</x:f>
      </x:c>
      <x:c r="G213" t="str">
        <x:f>IF(CaseLedger!$A213="","",CaseLedger!F213)</x:f>
      </x:c>
      <x:c r="H213" t="str">
        <x:f>IF(CaseLedger!$A213="","",CaseLedger!Q213)</x:f>
      </x:c>
      <x:c r="I213" t="str">
        <x:f>IF(CaseLedger!$A213="","",CaseLedger!R213)</x:f>
      </x:c>
      <x:c r="J213" t="str">
        <x:f>IF(CaseLedger!$A213="","",CaseLedger!S213)</x:f>
      </x:c>
      <x:c r="K213" t="str">
        <x:f>IF(CaseLedger!$A213="","",CaseLedger!T213)</x:f>
      </x:c>
      <x:c r="L213" t="str">
        <x:f>IF(CaseLedger!$A213="","",CaseLedger!U213)</x:f>
      </x:c>
      <x:c r="M213" t="str">
        <x:f>IF(CaseLedger!$A213="","",CaseLedger!V213)</x:f>
      </x:c>
      <x:c r="N213" t="str">
        <x:f>IF(CaseLedger!$A213="","",CaseLedger!W213)</x:f>
      </x:c>
      <x:c r="O213" t="str">
        <x:f>IF(CaseLedger!$A213="","",CaseLedger!X213)</x:f>
      </x:c>
      <x:c r="P213" t="str">
        <x:f>IF(CaseLedger!$A213="","",CaseLedger!E213)</x:f>
      </x:c>
      <x:c r="Q213" t="str">
        <x:f>IF(CaseLedger!$A213="","",CaseLedger!C213)</x:f>
      </x:c>
      <x:c r="R213" t="str">
        <x:f>IF(CaseLedger!$A213="","",CaseLedger!D213)</x:f>
      </x:c>
      <x:c r="S213" t="str">
        <x:f>IFERROR(IF(CaseLedger!$A213="","",CaseLedger!Y213),"")</x:f>
      </x:c>
      <x:c r="T213" t="str">
        <x:f>IFERROR(IF(CaseLedger!$A213="","",CaseLedger!Z213),"")</x:f>
      </x:c>
      <x:c r="U213" t="str">
        <x:f>IFERROR(IF(CaseLedger!$A213="","",CaseLedger!AA213),"")</x:f>
      </x:c>
      <x:c r="V213" t="str">
        <x:f>IFERROR(IF(CaseLedger!$A213="","",CaseLedger!AB213),"")</x:f>
      </x:c>
      <x:c r="W213" t="str">
        <x:f>IFERROR(IF(CaseLedger!$A213="","",CaseLedger!AC213),"")</x:f>
      </x:c>
      <x:c r="X213" t="str">
        <x:f>IFERROR(IF(CaseLedger!$A213="","",CaseLedger!AD213),"")</x:f>
      </x:c>
      <x:c r="Y213" t="str">
        <x:f>IFERROR(IF(CaseLedger!$A213="","",CaseLedger!AE213),"")</x:f>
      </x:c>
      <x:c r="Z213" t="str">
        <x:f>IFERROR(IF(CaseLedger!$A213="","",CaseLedger!AF213),"")</x:f>
      </x:c>
      <x:c r="AA213" t="str">
        <x:f>IFERROR(IF(CaseLedger!$A213="","",CaseLedger!AG213),"")</x:f>
      </x:c>
      <x:c r="AB213" t="str">
        <x:f>IFERROR(IF(CaseLedger!$A213="","",CaseLedger!AH213),"")</x:f>
      </x:c>
      <x:c r="AC213" t="str">
        <x:f>IFERROR(IF(CaseLedger!$A213="","",CaseLedger!AI213),"")</x:f>
      </x:c>
    </x:row>
    <x:row r="214">
      <x:c r="A214" t="str">
        <x:f>IF(CaseLedger!$A214="","",CaseLedger!A214)</x:f>
      </x:c>
      <x:c r="B214" t="str">
        <x:f>IF(CaseLedger!$A214="","",CaseLedger!I214)</x:f>
      </x:c>
      <x:c r="C214" t="str">
        <x:f>IF(CaseLedger!$A214="","",CaseLedger!J214)</x:f>
      </x:c>
      <x:c r="D214" t="str">
        <x:f>IF(CaseLedger!$A214="","",CaseLedger!K214)</x:f>
      </x:c>
      <x:c r="E214" t="str">
        <x:f>IF(CaseLedger!$A214="","",CaseLedger!L214)</x:f>
      </x:c>
      <x:c r="F214" t="str">
        <x:f>IF(CaseLedger!$A214="","",CaseLedger!P214)</x:f>
      </x:c>
      <x:c r="G214" t="str">
        <x:f>IF(CaseLedger!$A214="","",CaseLedger!F214)</x:f>
      </x:c>
      <x:c r="H214" t="str">
        <x:f>IF(CaseLedger!$A214="","",CaseLedger!Q214)</x:f>
      </x:c>
      <x:c r="I214" t="str">
        <x:f>IF(CaseLedger!$A214="","",CaseLedger!R214)</x:f>
      </x:c>
      <x:c r="J214" t="str">
        <x:f>IF(CaseLedger!$A214="","",CaseLedger!S214)</x:f>
      </x:c>
      <x:c r="K214" t="str">
        <x:f>IF(CaseLedger!$A214="","",CaseLedger!T214)</x:f>
      </x:c>
      <x:c r="L214" t="str">
        <x:f>IF(CaseLedger!$A214="","",CaseLedger!U214)</x:f>
      </x:c>
      <x:c r="M214" t="str">
        <x:f>IF(CaseLedger!$A214="","",CaseLedger!V214)</x:f>
      </x:c>
      <x:c r="N214" t="str">
        <x:f>IF(CaseLedger!$A214="","",CaseLedger!W214)</x:f>
      </x:c>
      <x:c r="O214" t="str">
        <x:f>IF(CaseLedger!$A214="","",CaseLedger!X214)</x:f>
      </x:c>
      <x:c r="P214" t="str">
        <x:f>IF(CaseLedger!$A214="","",CaseLedger!E214)</x:f>
      </x:c>
      <x:c r="Q214" t="str">
        <x:f>IF(CaseLedger!$A214="","",CaseLedger!C214)</x:f>
      </x:c>
      <x:c r="R214" t="str">
        <x:f>IF(CaseLedger!$A214="","",CaseLedger!D214)</x:f>
      </x:c>
      <x:c r="S214" t="str">
        <x:f>IFERROR(IF(CaseLedger!$A214="","",CaseLedger!Y214),"")</x:f>
      </x:c>
      <x:c r="T214" t="str">
        <x:f>IFERROR(IF(CaseLedger!$A214="","",CaseLedger!Z214),"")</x:f>
      </x:c>
      <x:c r="U214" t="str">
        <x:f>IFERROR(IF(CaseLedger!$A214="","",CaseLedger!AA214),"")</x:f>
      </x:c>
      <x:c r="V214" t="str">
        <x:f>IFERROR(IF(CaseLedger!$A214="","",CaseLedger!AB214),"")</x:f>
      </x:c>
      <x:c r="W214" t="str">
        <x:f>IFERROR(IF(CaseLedger!$A214="","",CaseLedger!AC214),"")</x:f>
      </x:c>
      <x:c r="X214" t="str">
        <x:f>IFERROR(IF(CaseLedger!$A214="","",CaseLedger!AD214),"")</x:f>
      </x:c>
      <x:c r="Y214" t="str">
        <x:f>IFERROR(IF(CaseLedger!$A214="","",CaseLedger!AE214),"")</x:f>
      </x:c>
      <x:c r="Z214" t="str">
        <x:f>IFERROR(IF(CaseLedger!$A214="","",CaseLedger!AF214),"")</x:f>
      </x:c>
      <x:c r="AA214" t="str">
        <x:f>IFERROR(IF(CaseLedger!$A214="","",CaseLedger!AG214),"")</x:f>
      </x:c>
      <x:c r="AB214" t="str">
        <x:f>IFERROR(IF(CaseLedger!$A214="","",CaseLedger!AH214),"")</x:f>
      </x:c>
      <x:c r="AC214" t="str">
        <x:f>IFERROR(IF(CaseLedger!$A214="","",CaseLedger!AI214),"")</x:f>
      </x:c>
    </x:row>
    <x:row r="215">
      <x:c r="A215" t="str">
        <x:f>IF(CaseLedger!$A215="","",CaseLedger!A215)</x:f>
      </x:c>
      <x:c r="B215" t="str">
        <x:f>IF(CaseLedger!$A215="","",CaseLedger!I215)</x:f>
      </x:c>
      <x:c r="C215" t="str">
        <x:f>IF(CaseLedger!$A215="","",CaseLedger!J215)</x:f>
      </x:c>
      <x:c r="D215" t="str">
        <x:f>IF(CaseLedger!$A215="","",CaseLedger!K215)</x:f>
      </x:c>
      <x:c r="E215" t="str">
        <x:f>IF(CaseLedger!$A215="","",CaseLedger!L215)</x:f>
      </x:c>
      <x:c r="F215" t="str">
        <x:f>IF(CaseLedger!$A215="","",CaseLedger!P215)</x:f>
      </x:c>
      <x:c r="G215" t="str">
        <x:f>IF(CaseLedger!$A215="","",CaseLedger!F215)</x:f>
      </x:c>
      <x:c r="H215" t="str">
        <x:f>IF(CaseLedger!$A215="","",CaseLedger!Q215)</x:f>
      </x:c>
      <x:c r="I215" t="str">
        <x:f>IF(CaseLedger!$A215="","",CaseLedger!R215)</x:f>
      </x:c>
      <x:c r="J215" t="str">
        <x:f>IF(CaseLedger!$A215="","",CaseLedger!S215)</x:f>
      </x:c>
      <x:c r="K215" t="str">
        <x:f>IF(CaseLedger!$A215="","",CaseLedger!T215)</x:f>
      </x:c>
      <x:c r="L215" t="str">
        <x:f>IF(CaseLedger!$A215="","",CaseLedger!U215)</x:f>
      </x:c>
      <x:c r="M215" t="str">
        <x:f>IF(CaseLedger!$A215="","",CaseLedger!V215)</x:f>
      </x:c>
      <x:c r="N215" t="str">
        <x:f>IF(CaseLedger!$A215="","",CaseLedger!W215)</x:f>
      </x:c>
      <x:c r="O215" t="str">
        <x:f>IF(CaseLedger!$A215="","",CaseLedger!X215)</x:f>
      </x:c>
      <x:c r="P215" t="str">
        <x:f>IF(CaseLedger!$A215="","",CaseLedger!E215)</x:f>
      </x:c>
      <x:c r="Q215" t="str">
        <x:f>IF(CaseLedger!$A215="","",CaseLedger!C215)</x:f>
      </x:c>
      <x:c r="R215" t="str">
        <x:f>IF(CaseLedger!$A215="","",CaseLedger!D215)</x:f>
      </x:c>
      <x:c r="S215" t="str">
        <x:f>IFERROR(IF(CaseLedger!$A215="","",CaseLedger!Y215),"")</x:f>
      </x:c>
      <x:c r="T215" t="str">
        <x:f>IFERROR(IF(CaseLedger!$A215="","",CaseLedger!Z215),"")</x:f>
      </x:c>
      <x:c r="U215" t="str">
        <x:f>IFERROR(IF(CaseLedger!$A215="","",CaseLedger!AA215),"")</x:f>
      </x:c>
      <x:c r="V215" t="str">
        <x:f>IFERROR(IF(CaseLedger!$A215="","",CaseLedger!AB215),"")</x:f>
      </x:c>
      <x:c r="W215" t="str">
        <x:f>IFERROR(IF(CaseLedger!$A215="","",CaseLedger!AC215),"")</x:f>
      </x:c>
      <x:c r="X215" t="str">
        <x:f>IFERROR(IF(CaseLedger!$A215="","",CaseLedger!AD215),"")</x:f>
      </x:c>
      <x:c r="Y215" t="str">
        <x:f>IFERROR(IF(CaseLedger!$A215="","",CaseLedger!AE215),"")</x:f>
      </x:c>
      <x:c r="Z215" t="str">
        <x:f>IFERROR(IF(CaseLedger!$A215="","",CaseLedger!AF215),"")</x:f>
      </x:c>
      <x:c r="AA215" t="str">
        <x:f>IFERROR(IF(CaseLedger!$A215="","",CaseLedger!AG215),"")</x:f>
      </x:c>
      <x:c r="AB215" t="str">
        <x:f>IFERROR(IF(CaseLedger!$A215="","",CaseLedger!AH215),"")</x:f>
      </x:c>
      <x:c r="AC215" t="str">
        <x:f>IFERROR(IF(CaseLedger!$A215="","",CaseLedger!AI215),"")</x:f>
      </x:c>
    </x:row>
    <x:row r="216">
      <x:c r="A216" t="str">
        <x:f>IF(CaseLedger!$A216="","",CaseLedger!A216)</x:f>
      </x:c>
      <x:c r="B216" t="str">
        <x:f>IF(CaseLedger!$A216="","",CaseLedger!I216)</x:f>
      </x:c>
      <x:c r="C216" t="str">
        <x:f>IF(CaseLedger!$A216="","",CaseLedger!J216)</x:f>
      </x:c>
      <x:c r="D216" t="str">
        <x:f>IF(CaseLedger!$A216="","",CaseLedger!K216)</x:f>
      </x:c>
      <x:c r="E216" t="str">
        <x:f>IF(CaseLedger!$A216="","",CaseLedger!L216)</x:f>
      </x:c>
      <x:c r="F216" t="str">
        <x:f>IF(CaseLedger!$A216="","",CaseLedger!P216)</x:f>
      </x:c>
      <x:c r="G216" t="str">
        <x:f>IF(CaseLedger!$A216="","",CaseLedger!F216)</x:f>
      </x:c>
      <x:c r="H216" t="str">
        <x:f>IF(CaseLedger!$A216="","",CaseLedger!Q216)</x:f>
      </x:c>
      <x:c r="I216" t="str">
        <x:f>IF(CaseLedger!$A216="","",CaseLedger!R216)</x:f>
      </x:c>
      <x:c r="J216" t="str">
        <x:f>IF(CaseLedger!$A216="","",CaseLedger!S216)</x:f>
      </x:c>
      <x:c r="K216" t="str">
        <x:f>IF(CaseLedger!$A216="","",CaseLedger!T216)</x:f>
      </x:c>
      <x:c r="L216" t="str">
        <x:f>IF(CaseLedger!$A216="","",CaseLedger!U216)</x:f>
      </x:c>
      <x:c r="M216" t="str">
        <x:f>IF(CaseLedger!$A216="","",CaseLedger!V216)</x:f>
      </x:c>
      <x:c r="N216" t="str">
        <x:f>IF(CaseLedger!$A216="","",CaseLedger!W216)</x:f>
      </x:c>
      <x:c r="O216" t="str">
        <x:f>IF(CaseLedger!$A216="","",CaseLedger!X216)</x:f>
      </x:c>
      <x:c r="P216" t="str">
        <x:f>IF(CaseLedger!$A216="","",CaseLedger!E216)</x:f>
      </x:c>
      <x:c r="Q216" t="str">
        <x:f>IF(CaseLedger!$A216="","",CaseLedger!C216)</x:f>
      </x:c>
      <x:c r="R216" t="str">
        <x:f>IF(CaseLedger!$A216="","",CaseLedger!D216)</x:f>
      </x:c>
      <x:c r="S216" t="str">
        <x:f>IFERROR(IF(CaseLedger!$A216="","",CaseLedger!Y216),"")</x:f>
      </x:c>
      <x:c r="T216" t="str">
        <x:f>IFERROR(IF(CaseLedger!$A216="","",CaseLedger!Z216),"")</x:f>
      </x:c>
      <x:c r="U216" t="str">
        <x:f>IFERROR(IF(CaseLedger!$A216="","",CaseLedger!AA216),"")</x:f>
      </x:c>
      <x:c r="V216" t="str">
        <x:f>IFERROR(IF(CaseLedger!$A216="","",CaseLedger!AB216),"")</x:f>
      </x:c>
      <x:c r="W216" t="str">
        <x:f>IFERROR(IF(CaseLedger!$A216="","",CaseLedger!AC216),"")</x:f>
      </x:c>
      <x:c r="X216" t="str">
        <x:f>IFERROR(IF(CaseLedger!$A216="","",CaseLedger!AD216),"")</x:f>
      </x:c>
      <x:c r="Y216" t="str">
        <x:f>IFERROR(IF(CaseLedger!$A216="","",CaseLedger!AE216),"")</x:f>
      </x:c>
      <x:c r="Z216" t="str">
        <x:f>IFERROR(IF(CaseLedger!$A216="","",CaseLedger!AF216),"")</x:f>
      </x:c>
      <x:c r="AA216" t="str">
        <x:f>IFERROR(IF(CaseLedger!$A216="","",CaseLedger!AG216),"")</x:f>
      </x:c>
      <x:c r="AB216" t="str">
        <x:f>IFERROR(IF(CaseLedger!$A216="","",CaseLedger!AH216),"")</x:f>
      </x:c>
      <x:c r="AC216" t="str">
        <x:f>IFERROR(IF(CaseLedger!$A216="","",CaseLedger!AI216),"")</x:f>
      </x:c>
    </x:row>
    <x:row r="217">
      <x:c r="A217" t="str">
        <x:f>IF(CaseLedger!$A217="","",CaseLedger!A217)</x:f>
      </x:c>
      <x:c r="B217" t="str">
        <x:f>IF(CaseLedger!$A217="","",CaseLedger!I217)</x:f>
      </x:c>
      <x:c r="C217" t="str">
        <x:f>IF(CaseLedger!$A217="","",CaseLedger!J217)</x:f>
      </x:c>
      <x:c r="D217" t="str">
        <x:f>IF(CaseLedger!$A217="","",CaseLedger!K217)</x:f>
      </x:c>
      <x:c r="E217" t="str">
        <x:f>IF(CaseLedger!$A217="","",CaseLedger!L217)</x:f>
      </x:c>
      <x:c r="F217" t="str">
        <x:f>IF(CaseLedger!$A217="","",CaseLedger!P217)</x:f>
      </x:c>
      <x:c r="G217" t="str">
        <x:f>IF(CaseLedger!$A217="","",CaseLedger!F217)</x:f>
      </x:c>
      <x:c r="H217" t="str">
        <x:f>IF(CaseLedger!$A217="","",CaseLedger!Q217)</x:f>
      </x:c>
      <x:c r="I217" t="str">
        <x:f>IF(CaseLedger!$A217="","",CaseLedger!R217)</x:f>
      </x:c>
      <x:c r="J217" t="str">
        <x:f>IF(CaseLedger!$A217="","",CaseLedger!S217)</x:f>
      </x:c>
      <x:c r="K217" t="str">
        <x:f>IF(CaseLedger!$A217="","",CaseLedger!T217)</x:f>
      </x:c>
      <x:c r="L217" t="str">
        <x:f>IF(CaseLedger!$A217="","",CaseLedger!U217)</x:f>
      </x:c>
      <x:c r="M217" t="str">
        <x:f>IF(CaseLedger!$A217="","",CaseLedger!V217)</x:f>
      </x:c>
      <x:c r="N217" t="str">
        <x:f>IF(CaseLedger!$A217="","",CaseLedger!W217)</x:f>
      </x:c>
      <x:c r="O217" t="str">
        <x:f>IF(CaseLedger!$A217="","",CaseLedger!X217)</x:f>
      </x:c>
      <x:c r="P217" t="str">
        <x:f>IF(CaseLedger!$A217="","",CaseLedger!E217)</x:f>
      </x:c>
      <x:c r="Q217" t="str">
        <x:f>IF(CaseLedger!$A217="","",CaseLedger!C217)</x:f>
      </x:c>
      <x:c r="R217" t="str">
        <x:f>IF(CaseLedger!$A217="","",CaseLedger!D217)</x:f>
      </x:c>
      <x:c r="S217" t="str">
        <x:f>IFERROR(IF(CaseLedger!$A217="","",CaseLedger!Y217),"")</x:f>
      </x:c>
      <x:c r="T217" t="str">
        <x:f>IFERROR(IF(CaseLedger!$A217="","",CaseLedger!Z217),"")</x:f>
      </x:c>
      <x:c r="U217" t="str">
        <x:f>IFERROR(IF(CaseLedger!$A217="","",CaseLedger!AA217),"")</x:f>
      </x:c>
      <x:c r="V217" t="str">
        <x:f>IFERROR(IF(CaseLedger!$A217="","",CaseLedger!AB217),"")</x:f>
      </x:c>
      <x:c r="W217" t="str">
        <x:f>IFERROR(IF(CaseLedger!$A217="","",CaseLedger!AC217),"")</x:f>
      </x:c>
      <x:c r="X217" t="str">
        <x:f>IFERROR(IF(CaseLedger!$A217="","",CaseLedger!AD217),"")</x:f>
      </x:c>
      <x:c r="Y217" t="str">
        <x:f>IFERROR(IF(CaseLedger!$A217="","",CaseLedger!AE217),"")</x:f>
      </x:c>
      <x:c r="Z217" t="str">
        <x:f>IFERROR(IF(CaseLedger!$A217="","",CaseLedger!AF217),"")</x:f>
      </x:c>
      <x:c r="AA217" t="str">
        <x:f>IFERROR(IF(CaseLedger!$A217="","",CaseLedger!AG217),"")</x:f>
      </x:c>
      <x:c r="AB217" t="str">
        <x:f>IFERROR(IF(CaseLedger!$A217="","",CaseLedger!AH217),"")</x:f>
      </x:c>
      <x:c r="AC217" t="str">
        <x:f>IFERROR(IF(CaseLedger!$A217="","",CaseLedger!AI217),"")</x:f>
      </x:c>
    </x:row>
    <x:row r="218">
      <x:c r="A218" t="str">
        <x:f>IF(CaseLedger!$A218="","",CaseLedger!A218)</x:f>
      </x:c>
      <x:c r="B218" t="str">
        <x:f>IF(CaseLedger!$A218="","",CaseLedger!I218)</x:f>
      </x:c>
      <x:c r="C218" t="str">
        <x:f>IF(CaseLedger!$A218="","",CaseLedger!J218)</x:f>
      </x:c>
      <x:c r="D218" t="str">
        <x:f>IF(CaseLedger!$A218="","",CaseLedger!K218)</x:f>
      </x:c>
      <x:c r="E218" t="str">
        <x:f>IF(CaseLedger!$A218="","",CaseLedger!L218)</x:f>
      </x:c>
      <x:c r="F218" t="str">
        <x:f>IF(CaseLedger!$A218="","",CaseLedger!P218)</x:f>
      </x:c>
      <x:c r="G218" t="str">
        <x:f>IF(CaseLedger!$A218="","",CaseLedger!F218)</x:f>
      </x:c>
      <x:c r="H218" t="str">
        <x:f>IF(CaseLedger!$A218="","",CaseLedger!Q218)</x:f>
      </x:c>
      <x:c r="I218" t="str">
        <x:f>IF(CaseLedger!$A218="","",CaseLedger!R218)</x:f>
      </x:c>
      <x:c r="J218" t="str">
        <x:f>IF(CaseLedger!$A218="","",CaseLedger!S218)</x:f>
      </x:c>
      <x:c r="K218" t="str">
        <x:f>IF(CaseLedger!$A218="","",CaseLedger!T218)</x:f>
      </x:c>
      <x:c r="L218" t="str">
        <x:f>IF(CaseLedger!$A218="","",CaseLedger!U218)</x:f>
      </x:c>
      <x:c r="M218" t="str">
        <x:f>IF(CaseLedger!$A218="","",CaseLedger!V218)</x:f>
      </x:c>
      <x:c r="N218" t="str">
        <x:f>IF(CaseLedger!$A218="","",CaseLedger!W218)</x:f>
      </x:c>
      <x:c r="O218" t="str">
        <x:f>IF(CaseLedger!$A218="","",CaseLedger!X218)</x:f>
      </x:c>
      <x:c r="P218" t="str">
        <x:f>IF(CaseLedger!$A218="","",CaseLedger!E218)</x:f>
      </x:c>
      <x:c r="Q218" t="str">
        <x:f>IF(CaseLedger!$A218="","",CaseLedger!C218)</x:f>
      </x:c>
      <x:c r="R218" t="str">
        <x:f>IF(CaseLedger!$A218="","",CaseLedger!D218)</x:f>
      </x:c>
      <x:c r="S218" t="str">
        <x:f>IFERROR(IF(CaseLedger!$A218="","",CaseLedger!Y218),"")</x:f>
      </x:c>
      <x:c r="T218" t="str">
        <x:f>IFERROR(IF(CaseLedger!$A218="","",CaseLedger!Z218),"")</x:f>
      </x:c>
      <x:c r="U218" t="str">
        <x:f>IFERROR(IF(CaseLedger!$A218="","",CaseLedger!AA218),"")</x:f>
      </x:c>
      <x:c r="V218" t="str">
        <x:f>IFERROR(IF(CaseLedger!$A218="","",CaseLedger!AB218),"")</x:f>
      </x:c>
      <x:c r="W218" t="str">
        <x:f>IFERROR(IF(CaseLedger!$A218="","",CaseLedger!AC218),"")</x:f>
      </x:c>
      <x:c r="X218" t="str">
        <x:f>IFERROR(IF(CaseLedger!$A218="","",CaseLedger!AD218),"")</x:f>
      </x:c>
      <x:c r="Y218" t="str">
        <x:f>IFERROR(IF(CaseLedger!$A218="","",CaseLedger!AE218),"")</x:f>
      </x:c>
      <x:c r="Z218" t="str">
        <x:f>IFERROR(IF(CaseLedger!$A218="","",CaseLedger!AF218),"")</x:f>
      </x:c>
      <x:c r="AA218" t="str">
        <x:f>IFERROR(IF(CaseLedger!$A218="","",CaseLedger!AG218),"")</x:f>
      </x:c>
      <x:c r="AB218" t="str">
        <x:f>IFERROR(IF(CaseLedger!$A218="","",CaseLedger!AH218),"")</x:f>
      </x:c>
      <x:c r="AC218" t="str">
        <x:f>IFERROR(IF(CaseLedger!$A218="","",CaseLedger!AI218),"")</x:f>
      </x:c>
    </x:row>
    <x:row r="219">
      <x:c r="A219" t="str">
        <x:f>IF(CaseLedger!$A219="","",CaseLedger!A219)</x:f>
      </x:c>
      <x:c r="B219" t="str">
        <x:f>IF(CaseLedger!$A219="","",CaseLedger!I219)</x:f>
      </x:c>
      <x:c r="C219" t="str">
        <x:f>IF(CaseLedger!$A219="","",CaseLedger!J219)</x:f>
      </x:c>
      <x:c r="D219" t="str">
        <x:f>IF(CaseLedger!$A219="","",CaseLedger!K219)</x:f>
      </x:c>
      <x:c r="E219" t="str">
        <x:f>IF(CaseLedger!$A219="","",CaseLedger!L219)</x:f>
      </x:c>
      <x:c r="F219" t="str">
        <x:f>IF(CaseLedger!$A219="","",CaseLedger!P219)</x:f>
      </x:c>
      <x:c r="G219" t="str">
        <x:f>IF(CaseLedger!$A219="","",CaseLedger!F219)</x:f>
      </x:c>
      <x:c r="H219" t="str">
        <x:f>IF(CaseLedger!$A219="","",CaseLedger!Q219)</x:f>
      </x:c>
      <x:c r="I219" t="str">
        <x:f>IF(CaseLedger!$A219="","",CaseLedger!R219)</x:f>
      </x:c>
      <x:c r="J219" t="str">
        <x:f>IF(CaseLedger!$A219="","",CaseLedger!S219)</x:f>
      </x:c>
      <x:c r="K219" t="str">
        <x:f>IF(CaseLedger!$A219="","",CaseLedger!T219)</x:f>
      </x:c>
      <x:c r="L219" t="str">
        <x:f>IF(CaseLedger!$A219="","",CaseLedger!U219)</x:f>
      </x:c>
      <x:c r="M219" t="str">
        <x:f>IF(CaseLedger!$A219="","",CaseLedger!V219)</x:f>
      </x:c>
      <x:c r="N219" t="str">
        <x:f>IF(CaseLedger!$A219="","",CaseLedger!W219)</x:f>
      </x:c>
      <x:c r="O219" t="str">
        <x:f>IF(CaseLedger!$A219="","",CaseLedger!X219)</x:f>
      </x:c>
      <x:c r="P219" t="str">
        <x:f>IF(CaseLedger!$A219="","",CaseLedger!E219)</x:f>
      </x:c>
      <x:c r="Q219" t="str">
        <x:f>IF(CaseLedger!$A219="","",CaseLedger!C219)</x:f>
      </x:c>
      <x:c r="R219" t="str">
        <x:f>IF(CaseLedger!$A219="","",CaseLedger!D219)</x:f>
      </x:c>
      <x:c r="S219" t="str">
        <x:f>IFERROR(IF(CaseLedger!$A219="","",CaseLedger!Y219),"")</x:f>
      </x:c>
      <x:c r="T219" t="str">
        <x:f>IFERROR(IF(CaseLedger!$A219="","",CaseLedger!Z219),"")</x:f>
      </x:c>
      <x:c r="U219" t="str">
        <x:f>IFERROR(IF(CaseLedger!$A219="","",CaseLedger!AA219),"")</x:f>
      </x:c>
      <x:c r="V219" t="str">
        <x:f>IFERROR(IF(CaseLedger!$A219="","",CaseLedger!AB219),"")</x:f>
      </x:c>
      <x:c r="W219" t="str">
        <x:f>IFERROR(IF(CaseLedger!$A219="","",CaseLedger!AC219),"")</x:f>
      </x:c>
      <x:c r="X219" t="str">
        <x:f>IFERROR(IF(CaseLedger!$A219="","",CaseLedger!AD219),"")</x:f>
      </x:c>
      <x:c r="Y219" t="str">
        <x:f>IFERROR(IF(CaseLedger!$A219="","",CaseLedger!AE219),"")</x:f>
      </x:c>
      <x:c r="Z219" t="str">
        <x:f>IFERROR(IF(CaseLedger!$A219="","",CaseLedger!AF219),"")</x:f>
      </x:c>
      <x:c r="AA219" t="str">
        <x:f>IFERROR(IF(CaseLedger!$A219="","",CaseLedger!AG219),"")</x:f>
      </x:c>
      <x:c r="AB219" t="str">
        <x:f>IFERROR(IF(CaseLedger!$A219="","",CaseLedger!AH219),"")</x:f>
      </x:c>
      <x:c r="AC219" t="str">
        <x:f>IFERROR(IF(CaseLedger!$A219="","",CaseLedger!AI219),"")</x:f>
      </x:c>
    </x:row>
    <x:row r="220">
      <x:c r="A220" t="str">
        <x:f>IF(CaseLedger!$A220="","",CaseLedger!A220)</x:f>
      </x:c>
      <x:c r="B220" t="str">
        <x:f>IF(CaseLedger!$A220="","",CaseLedger!I220)</x:f>
      </x:c>
      <x:c r="C220" t="str">
        <x:f>IF(CaseLedger!$A220="","",CaseLedger!J220)</x:f>
      </x:c>
      <x:c r="D220" t="str">
        <x:f>IF(CaseLedger!$A220="","",CaseLedger!K220)</x:f>
      </x:c>
      <x:c r="E220" t="str">
        <x:f>IF(CaseLedger!$A220="","",CaseLedger!L220)</x:f>
      </x:c>
      <x:c r="F220" t="str">
        <x:f>IF(CaseLedger!$A220="","",CaseLedger!P220)</x:f>
      </x:c>
      <x:c r="G220" t="str">
        <x:f>IF(CaseLedger!$A220="","",CaseLedger!F220)</x:f>
      </x:c>
      <x:c r="H220" t="str">
        <x:f>IF(CaseLedger!$A220="","",CaseLedger!Q220)</x:f>
      </x:c>
      <x:c r="I220" t="str">
        <x:f>IF(CaseLedger!$A220="","",CaseLedger!R220)</x:f>
      </x:c>
      <x:c r="J220" t="str">
        <x:f>IF(CaseLedger!$A220="","",CaseLedger!S220)</x:f>
      </x:c>
      <x:c r="K220" t="str">
        <x:f>IF(CaseLedger!$A220="","",CaseLedger!T220)</x:f>
      </x:c>
      <x:c r="L220" t="str">
        <x:f>IF(CaseLedger!$A220="","",CaseLedger!U220)</x:f>
      </x:c>
      <x:c r="M220" t="str">
        <x:f>IF(CaseLedger!$A220="","",CaseLedger!V220)</x:f>
      </x:c>
      <x:c r="N220" t="str">
        <x:f>IF(CaseLedger!$A220="","",CaseLedger!W220)</x:f>
      </x:c>
      <x:c r="O220" t="str">
        <x:f>IF(CaseLedger!$A220="","",CaseLedger!X220)</x:f>
      </x:c>
      <x:c r="P220" t="str">
        <x:f>IF(CaseLedger!$A220="","",CaseLedger!E220)</x:f>
      </x:c>
      <x:c r="Q220" t="str">
        <x:f>IF(CaseLedger!$A220="","",CaseLedger!C220)</x:f>
      </x:c>
      <x:c r="R220" t="str">
        <x:f>IF(CaseLedger!$A220="","",CaseLedger!D220)</x:f>
      </x:c>
      <x:c r="S220" t="str">
        <x:f>IFERROR(IF(CaseLedger!$A220="","",CaseLedger!Y220),"")</x:f>
      </x:c>
      <x:c r="T220" t="str">
        <x:f>IFERROR(IF(CaseLedger!$A220="","",CaseLedger!Z220),"")</x:f>
      </x:c>
      <x:c r="U220" t="str">
        <x:f>IFERROR(IF(CaseLedger!$A220="","",CaseLedger!AA220),"")</x:f>
      </x:c>
      <x:c r="V220" t="str">
        <x:f>IFERROR(IF(CaseLedger!$A220="","",CaseLedger!AB220),"")</x:f>
      </x:c>
      <x:c r="W220" t="str">
        <x:f>IFERROR(IF(CaseLedger!$A220="","",CaseLedger!AC220),"")</x:f>
      </x:c>
      <x:c r="X220" t="str">
        <x:f>IFERROR(IF(CaseLedger!$A220="","",CaseLedger!AD220),"")</x:f>
      </x:c>
      <x:c r="Y220" t="str">
        <x:f>IFERROR(IF(CaseLedger!$A220="","",CaseLedger!AE220),"")</x:f>
      </x:c>
      <x:c r="Z220" t="str">
        <x:f>IFERROR(IF(CaseLedger!$A220="","",CaseLedger!AF220),"")</x:f>
      </x:c>
      <x:c r="AA220" t="str">
        <x:f>IFERROR(IF(CaseLedger!$A220="","",CaseLedger!AG220),"")</x:f>
      </x:c>
      <x:c r="AB220" t="str">
        <x:f>IFERROR(IF(CaseLedger!$A220="","",CaseLedger!AH220),"")</x:f>
      </x:c>
      <x:c r="AC220" t="str">
        <x:f>IFERROR(IF(CaseLedger!$A220="","",CaseLedger!AI220),"")</x:f>
      </x:c>
    </x:row>
    <x:row r="221">
      <x:c r="A221" t="str">
        <x:f>IF(CaseLedger!$A221="","",CaseLedger!A221)</x:f>
      </x:c>
      <x:c r="B221" t="str">
        <x:f>IF(CaseLedger!$A221="","",CaseLedger!I221)</x:f>
      </x:c>
      <x:c r="C221" t="str">
        <x:f>IF(CaseLedger!$A221="","",CaseLedger!J221)</x:f>
      </x:c>
      <x:c r="D221" t="str">
        <x:f>IF(CaseLedger!$A221="","",CaseLedger!K221)</x:f>
      </x:c>
      <x:c r="E221" t="str">
        <x:f>IF(CaseLedger!$A221="","",CaseLedger!L221)</x:f>
      </x:c>
      <x:c r="F221" t="str">
        <x:f>IF(CaseLedger!$A221="","",CaseLedger!P221)</x:f>
      </x:c>
      <x:c r="G221" t="str">
        <x:f>IF(CaseLedger!$A221="","",CaseLedger!F221)</x:f>
      </x:c>
      <x:c r="H221" t="str">
        <x:f>IF(CaseLedger!$A221="","",CaseLedger!Q221)</x:f>
      </x:c>
      <x:c r="I221" t="str">
        <x:f>IF(CaseLedger!$A221="","",CaseLedger!R221)</x:f>
      </x:c>
      <x:c r="J221" t="str">
        <x:f>IF(CaseLedger!$A221="","",CaseLedger!S221)</x:f>
      </x:c>
      <x:c r="K221" t="str">
        <x:f>IF(CaseLedger!$A221="","",CaseLedger!T221)</x:f>
      </x:c>
      <x:c r="L221" t="str">
        <x:f>IF(CaseLedger!$A221="","",CaseLedger!U221)</x:f>
      </x:c>
      <x:c r="M221" t="str">
        <x:f>IF(CaseLedger!$A221="","",CaseLedger!V221)</x:f>
      </x:c>
      <x:c r="N221" t="str">
        <x:f>IF(CaseLedger!$A221="","",CaseLedger!W221)</x:f>
      </x:c>
      <x:c r="O221" t="str">
        <x:f>IF(CaseLedger!$A221="","",CaseLedger!X221)</x:f>
      </x:c>
      <x:c r="P221" t="str">
        <x:f>IF(CaseLedger!$A221="","",CaseLedger!E221)</x:f>
      </x:c>
      <x:c r="Q221" t="str">
        <x:f>IF(CaseLedger!$A221="","",CaseLedger!C221)</x:f>
      </x:c>
      <x:c r="R221" t="str">
        <x:f>IF(CaseLedger!$A221="","",CaseLedger!D221)</x:f>
      </x:c>
      <x:c r="S221" t="str">
        <x:f>IFERROR(IF(CaseLedger!$A221="","",CaseLedger!Y221),"")</x:f>
      </x:c>
      <x:c r="T221" t="str">
        <x:f>IFERROR(IF(CaseLedger!$A221="","",CaseLedger!Z221),"")</x:f>
      </x:c>
      <x:c r="U221" t="str">
        <x:f>IFERROR(IF(CaseLedger!$A221="","",CaseLedger!AA221),"")</x:f>
      </x:c>
      <x:c r="V221" t="str">
        <x:f>IFERROR(IF(CaseLedger!$A221="","",CaseLedger!AB221),"")</x:f>
      </x:c>
      <x:c r="W221" t="str">
        <x:f>IFERROR(IF(CaseLedger!$A221="","",CaseLedger!AC221),"")</x:f>
      </x:c>
      <x:c r="X221" t="str">
        <x:f>IFERROR(IF(CaseLedger!$A221="","",CaseLedger!AD221),"")</x:f>
      </x:c>
      <x:c r="Y221" t="str">
        <x:f>IFERROR(IF(CaseLedger!$A221="","",CaseLedger!AE221),"")</x:f>
      </x:c>
      <x:c r="Z221" t="str">
        <x:f>IFERROR(IF(CaseLedger!$A221="","",CaseLedger!AF221),"")</x:f>
      </x:c>
      <x:c r="AA221" t="str">
        <x:f>IFERROR(IF(CaseLedger!$A221="","",CaseLedger!AG221),"")</x:f>
      </x:c>
      <x:c r="AB221" t="str">
        <x:f>IFERROR(IF(CaseLedger!$A221="","",CaseLedger!AH221),"")</x:f>
      </x:c>
      <x:c r="AC221" t="str">
        <x:f>IFERROR(IF(CaseLedger!$A221="","",CaseLedger!AI221),"")</x:f>
      </x:c>
    </x:row>
    <x:row r="222">
      <x:c r="A222" t="str">
        <x:f>IF(CaseLedger!$A222="","",CaseLedger!A222)</x:f>
      </x:c>
      <x:c r="B222" t="str">
        <x:f>IF(CaseLedger!$A222="","",CaseLedger!I222)</x:f>
      </x:c>
      <x:c r="C222" t="str">
        <x:f>IF(CaseLedger!$A222="","",CaseLedger!J222)</x:f>
      </x:c>
      <x:c r="D222" t="str">
        <x:f>IF(CaseLedger!$A222="","",CaseLedger!K222)</x:f>
      </x:c>
      <x:c r="E222" t="str">
        <x:f>IF(CaseLedger!$A222="","",CaseLedger!L222)</x:f>
      </x:c>
      <x:c r="F222" t="str">
        <x:f>IF(CaseLedger!$A222="","",CaseLedger!P222)</x:f>
      </x:c>
      <x:c r="G222" t="str">
        <x:f>IF(CaseLedger!$A222="","",CaseLedger!F222)</x:f>
      </x:c>
      <x:c r="H222" t="str">
        <x:f>IF(CaseLedger!$A222="","",CaseLedger!Q222)</x:f>
      </x:c>
      <x:c r="I222" t="str">
        <x:f>IF(CaseLedger!$A222="","",CaseLedger!R222)</x:f>
      </x:c>
      <x:c r="J222" t="str">
        <x:f>IF(CaseLedger!$A222="","",CaseLedger!S222)</x:f>
      </x:c>
      <x:c r="K222" t="str">
        <x:f>IF(CaseLedger!$A222="","",CaseLedger!T222)</x:f>
      </x:c>
      <x:c r="L222" t="str">
        <x:f>IF(CaseLedger!$A222="","",CaseLedger!U222)</x:f>
      </x:c>
      <x:c r="M222" t="str">
        <x:f>IF(CaseLedger!$A222="","",CaseLedger!V222)</x:f>
      </x:c>
      <x:c r="N222" t="str">
        <x:f>IF(CaseLedger!$A222="","",CaseLedger!W222)</x:f>
      </x:c>
      <x:c r="O222" t="str">
        <x:f>IF(CaseLedger!$A222="","",CaseLedger!X222)</x:f>
      </x:c>
      <x:c r="P222" t="str">
        <x:f>IF(CaseLedger!$A222="","",CaseLedger!E222)</x:f>
      </x:c>
      <x:c r="Q222" t="str">
        <x:f>IF(CaseLedger!$A222="","",CaseLedger!C222)</x:f>
      </x:c>
      <x:c r="R222" t="str">
        <x:f>IF(CaseLedger!$A222="","",CaseLedger!D222)</x:f>
      </x:c>
      <x:c r="S222" t="str">
        <x:f>IFERROR(IF(CaseLedger!$A222="","",CaseLedger!Y222),"")</x:f>
      </x:c>
      <x:c r="T222" t="str">
        <x:f>IFERROR(IF(CaseLedger!$A222="","",CaseLedger!Z222),"")</x:f>
      </x:c>
      <x:c r="U222" t="str">
        <x:f>IFERROR(IF(CaseLedger!$A222="","",CaseLedger!AA222),"")</x:f>
      </x:c>
      <x:c r="V222" t="str">
        <x:f>IFERROR(IF(CaseLedger!$A222="","",CaseLedger!AB222),"")</x:f>
      </x:c>
      <x:c r="W222" t="str">
        <x:f>IFERROR(IF(CaseLedger!$A222="","",CaseLedger!AC222),"")</x:f>
      </x:c>
      <x:c r="X222" t="str">
        <x:f>IFERROR(IF(CaseLedger!$A222="","",CaseLedger!AD222),"")</x:f>
      </x:c>
      <x:c r="Y222" t="str">
        <x:f>IFERROR(IF(CaseLedger!$A222="","",CaseLedger!AE222),"")</x:f>
      </x:c>
      <x:c r="Z222" t="str">
        <x:f>IFERROR(IF(CaseLedger!$A222="","",CaseLedger!AF222),"")</x:f>
      </x:c>
      <x:c r="AA222" t="str">
        <x:f>IFERROR(IF(CaseLedger!$A222="","",CaseLedger!AG222),"")</x:f>
      </x:c>
      <x:c r="AB222" t="str">
        <x:f>IFERROR(IF(CaseLedger!$A222="","",CaseLedger!AH222),"")</x:f>
      </x:c>
      <x:c r="AC222" t="str">
        <x:f>IFERROR(IF(CaseLedger!$A222="","",CaseLedger!AI222),"")</x:f>
      </x:c>
    </x:row>
    <x:row r="223">
      <x:c r="A223" t="str">
        <x:f>IF(CaseLedger!$A223="","",CaseLedger!A223)</x:f>
      </x:c>
      <x:c r="B223" t="str">
        <x:f>IF(CaseLedger!$A223="","",CaseLedger!I223)</x:f>
      </x:c>
      <x:c r="C223" t="str">
        <x:f>IF(CaseLedger!$A223="","",CaseLedger!J223)</x:f>
      </x:c>
      <x:c r="D223" t="str">
        <x:f>IF(CaseLedger!$A223="","",CaseLedger!K223)</x:f>
      </x:c>
      <x:c r="E223" t="str">
        <x:f>IF(CaseLedger!$A223="","",CaseLedger!L223)</x:f>
      </x:c>
      <x:c r="F223" t="str">
        <x:f>IF(CaseLedger!$A223="","",CaseLedger!P223)</x:f>
      </x:c>
      <x:c r="G223" t="str">
        <x:f>IF(CaseLedger!$A223="","",CaseLedger!F223)</x:f>
      </x:c>
      <x:c r="H223" t="str">
        <x:f>IF(CaseLedger!$A223="","",CaseLedger!Q223)</x:f>
      </x:c>
      <x:c r="I223" t="str">
        <x:f>IF(CaseLedger!$A223="","",CaseLedger!R223)</x:f>
      </x:c>
      <x:c r="J223" t="str">
        <x:f>IF(CaseLedger!$A223="","",CaseLedger!S223)</x:f>
      </x:c>
      <x:c r="K223" t="str">
        <x:f>IF(CaseLedger!$A223="","",CaseLedger!T223)</x:f>
      </x:c>
      <x:c r="L223" t="str">
        <x:f>IF(CaseLedger!$A223="","",CaseLedger!U223)</x:f>
      </x:c>
      <x:c r="M223" t="str">
        <x:f>IF(CaseLedger!$A223="","",CaseLedger!V223)</x:f>
      </x:c>
      <x:c r="N223" t="str">
        <x:f>IF(CaseLedger!$A223="","",CaseLedger!W223)</x:f>
      </x:c>
      <x:c r="O223" t="str">
        <x:f>IF(CaseLedger!$A223="","",CaseLedger!X223)</x:f>
      </x:c>
      <x:c r="P223" t="str">
        <x:f>IF(CaseLedger!$A223="","",CaseLedger!E223)</x:f>
      </x:c>
      <x:c r="Q223" t="str">
        <x:f>IF(CaseLedger!$A223="","",CaseLedger!C223)</x:f>
      </x:c>
      <x:c r="R223" t="str">
        <x:f>IF(CaseLedger!$A223="","",CaseLedger!D223)</x:f>
      </x:c>
      <x:c r="S223" t="str">
        <x:f>IFERROR(IF(CaseLedger!$A223="","",CaseLedger!Y223),"")</x:f>
      </x:c>
      <x:c r="T223" t="str">
        <x:f>IFERROR(IF(CaseLedger!$A223="","",CaseLedger!Z223),"")</x:f>
      </x:c>
      <x:c r="U223" t="str">
        <x:f>IFERROR(IF(CaseLedger!$A223="","",CaseLedger!AA223),"")</x:f>
      </x:c>
      <x:c r="V223" t="str">
        <x:f>IFERROR(IF(CaseLedger!$A223="","",CaseLedger!AB223),"")</x:f>
      </x:c>
      <x:c r="W223" t="str">
        <x:f>IFERROR(IF(CaseLedger!$A223="","",CaseLedger!AC223),"")</x:f>
      </x:c>
      <x:c r="X223" t="str">
        <x:f>IFERROR(IF(CaseLedger!$A223="","",CaseLedger!AD223),"")</x:f>
      </x:c>
      <x:c r="Y223" t="str">
        <x:f>IFERROR(IF(CaseLedger!$A223="","",CaseLedger!AE223),"")</x:f>
      </x:c>
      <x:c r="Z223" t="str">
        <x:f>IFERROR(IF(CaseLedger!$A223="","",CaseLedger!AF223),"")</x:f>
      </x:c>
      <x:c r="AA223" t="str">
        <x:f>IFERROR(IF(CaseLedger!$A223="","",CaseLedger!AG223),"")</x:f>
      </x:c>
      <x:c r="AB223" t="str">
        <x:f>IFERROR(IF(CaseLedger!$A223="","",CaseLedger!AH223),"")</x:f>
      </x:c>
      <x:c r="AC223" t="str">
        <x:f>IFERROR(IF(CaseLedger!$A223="","",CaseLedger!AI223),"")</x:f>
      </x:c>
    </x:row>
    <x:row r="224">
      <x:c r="A224" t="str">
        <x:f>IF(CaseLedger!$A224="","",CaseLedger!A224)</x:f>
      </x:c>
      <x:c r="B224" t="str">
        <x:f>IF(CaseLedger!$A224="","",CaseLedger!I224)</x:f>
      </x:c>
      <x:c r="C224" t="str">
        <x:f>IF(CaseLedger!$A224="","",CaseLedger!J224)</x:f>
      </x:c>
      <x:c r="D224" t="str">
        <x:f>IF(CaseLedger!$A224="","",CaseLedger!K224)</x:f>
      </x:c>
      <x:c r="E224" t="str">
        <x:f>IF(CaseLedger!$A224="","",CaseLedger!L224)</x:f>
      </x:c>
      <x:c r="F224" t="str">
        <x:f>IF(CaseLedger!$A224="","",CaseLedger!P224)</x:f>
      </x:c>
      <x:c r="G224" t="str">
        <x:f>IF(CaseLedger!$A224="","",CaseLedger!F224)</x:f>
      </x:c>
      <x:c r="H224" t="str">
        <x:f>IF(CaseLedger!$A224="","",CaseLedger!Q224)</x:f>
      </x:c>
      <x:c r="I224" t="str">
        <x:f>IF(CaseLedger!$A224="","",CaseLedger!R224)</x:f>
      </x:c>
      <x:c r="J224" t="str">
        <x:f>IF(CaseLedger!$A224="","",CaseLedger!S224)</x:f>
      </x:c>
      <x:c r="K224" t="str">
        <x:f>IF(CaseLedger!$A224="","",CaseLedger!T224)</x:f>
      </x:c>
      <x:c r="L224" t="str">
        <x:f>IF(CaseLedger!$A224="","",CaseLedger!U224)</x:f>
      </x:c>
      <x:c r="M224" t="str">
        <x:f>IF(CaseLedger!$A224="","",CaseLedger!V224)</x:f>
      </x:c>
      <x:c r="N224" t="str">
        <x:f>IF(CaseLedger!$A224="","",CaseLedger!W224)</x:f>
      </x:c>
      <x:c r="O224" t="str">
        <x:f>IF(CaseLedger!$A224="","",CaseLedger!X224)</x:f>
      </x:c>
      <x:c r="P224" t="str">
        <x:f>IF(CaseLedger!$A224="","",CaseLedger!E224)</x:f>
      </x:c>
      <x:c r="Q224" t="str">
        <x:f>IF(CaseLedger!$A224="","",CaseLedger!C224)</x:f>
      </x:c>
      <x:c r="R224" t="str">
        <x:f>IF(CaseLedger!$A224="","",CaseLedger!D224)</x:f>
      </x:c>
      <x:c r="S224" t="str">
        <x:f>IFERROR(IF(CaseLedger!$A224="","",CaseLedger!Y224),"")</x:f>
      </x:c>
      <x:c r="T224" t="str">
        <x:f>IFERROR(IF(CaseLedger!$A224="","",CaseLedger!Z224),"")</x:f>
      </x:c>
      <x:c r="U224" t="str">
        <x:f>IFERROR(IF(CaseLedger!$A224="","",CaseLedger!AA224),"")</x:f>
      </x:c>
      <x:c r="V224" t="str">
        <x:f>IFERROR(IF(CaseLedger!$A224="","",CaseLedger!AB224),"")</x:f>
      </x:c>
      <x:c r="W224" t="str">
        <x:f>IFERROR(IF(CaseLedger!$A224="","",CaseLedger!AC224),"")</x:f>
      </x:c>
      <x:c r="X224" t="str">
        <x:f>IFERROR(IF(CaseLedger!$A224="","",CaseLedger!AD224),"")</x:f>
      </x:c>
      <x:c r="Y224" t="str">
        <x:f>IFERROR(IF(CaseLedger!$A224="","",CaseLedger!AE224),"")</x:f>
      </x:c>
      <x:c r="Z224" t="str">
        <x:f>IFERROR(IF(CaseLedger!$A224="","",CaseLedger!AF224),"")</x:f>
      </x:c>
      <x:c r="AA224" t="str">
        <x:f>IFERROR(IF(CaseLedger!$A224="","",CaseLedger!AG224),"")</x:f>
      </x:c>
      <x:c r="AB224" t="str">
        <x:f>IFERROR(IF(CaseLedger!$A224="","",CaseLedger!AH224),"")</x:f>
      </x:c>
      <x:c r="AC224" t="str">
        <x:f>IFERROR(IF(CaseLedger!$A224="","",CaseLedger!AI224),"")</x:f>
      </x:c>
    </x:row>
    <x:row r="225">
      <x:c r="A225" t="str">
        <x:f>IF(CaseLedger!$A225="","",CaseLedger!A225)</x:f>
      </x:c>
      <x:c r="B225" t="str">
        <x:f>IF(CaseLedger!$A225="","",CaseLedger!I225)</x:f>
      </x:c>
      <x:c r="C225" t="str">
        <x:f>IF(CaseLedger!$A225="","",CaseLedger!J225)</x:f>
      </x:c>
      <x:c r="D225" t="str">
        <x:f>IF(CaseLedger!$A225="","",CaseLedger!K225)</x:f>
      </x:c>
      <x:c r="E225" t="str">
        <x:f>IF(CaseLedger!$A225="","",CaseLedger!L225)</x:f>
      </x:c>
      <x:c r="F225" t="str">
        <x:f>IF(CaseLedger!$A225="","",CaseLedger!P225)</x:f>
      </x:c>
      <x:c r="G225" t="str">
        <x:f>IF(CaseLedger!$A225="","",CaseLedger!F225)</x:f>
      </x:c>
      <x:c r="H225" t="str">
        <x:f>IF(CaseLedger!$A225="","",CaseLedger!Q225)</x:f>
      </x:c>
      <x:c r="I225" t="str">
        <x:f>IF(CaseLedger!$A225="","",CaseLedger!R225)</x:f>
      </x:c>
      <x:c r="J225" t="str">
        <x:f>IF(CaseLedger!$A225="","",CaseLedger!S225)</x:f>
      </x:c>
      <x:c r="K225" t="str">
        <x:f>IF(CaseLedger!$A225="","",CaseLedger!T225)</x:f>
      </x:c>
      <x:c r="L225" t="str">
        <x:f>IF(CaseLedger!$A225="","",CaseLedger!U225)</x:f>
      </x:c>
      <x:c r="M225" t="str">
        <x:f>IF(CaseLedger!$A225="","",CaseLedger!V225)</x:f>
      </x:c>
      <x:c r="N225" t="str">
        <x:f>IF(CaseLedger!$A225="","",CaseLedger!W225)</x:f>
      </x:c>
      <x:c r="O225" t="str">
        <x:f>IF(CaseLedger!$A225="","",CaseLedger!X225)</x:f>
      </x:c>
      <x:c r="P225" t="str">
        <x:f>IF(CaseLedger!$A225="","",CaseLedger!E225)</x:f>
      </x:c>
      <x:c r="Q225" t="str">
        <x:f>IF(CaseLedger!$A225="","",CaseLedger!C225)</x:f>
      </x:c>
      <x:c r="R225" t="str">
        <x:f>IF(CaseLedger!$A225="","",CaseLedger!D225)</x:f>
      </x:c>
      <x:c r="S225" t="str">
        <x:f>IFERROR(IF(CaseLedger!$A225="","",CaseLedger!Y225),"")</x:f>
      </x:c>
      <x:c r="T225" t="str">
        <x:f>IFERROR(IF(CaseLedger!$A225="","",CaseLedger!Z225),"")</x:f>
      </x:c>
      <x:c r="U225" t="str">
        <x:f>IFERROR(IF(CaseLedger!$A225="","",CaseLedger!AA225),"")</x:f>
      </x:c>
      <x:c r="V225" t="str">
        <x:f>IFERROR(IF(CaseLedger!$A225="","",CaseLedger!AB225),"")</x:f>
      </x:c>
      <x:c r="W225" t="str">
        <x:f>IFERROR(IF(CaseLedger!$A225="","",CaseLedger!AC225),"")</x:f>
      </x:c>
      <x:c r="X225" t="str">
        <x:f>IFERROR(IF(CaseLedger!$A225="","",CaseLedger!AD225),"")</x:f>
      </x:c>
      <x:c r="Y225" t="str">
        <x:f>IFERROR(IF(CaseLedger!$A225="","",CaseLedger!AE225),"")</x:f>
      </x:c>
      <x:c r="Z225" t="str">
        <x:f>IFERROR(IF(CaseLedger!$A225="","",CaseLedger!AF225),"")</x:f>
      </x:c>
      <x:c r="AA225" t="str">
        <x:f>IFERROR(IF(CaseLedger!$A225="","",CaseLedger!AG225),"")</x:f>
      </x:c>
      <x:c r="AB225" t="str">
        <x:f>IFERROR(IF(CaseLedger!$A225="","",CaseLedger!AH225),"")</x:f>
      </x:c>
      <x:c r="AC225" t="str">
        <x:f>IFERROR(IF(CaseLedger!$A225="","",CaseLedger!AI225),"")</x:f>
      </x:c>
    </x:row>
    <x:row r="226">
      <x:c r="A226" t="str">
        <x:f>IF(CaseLedger!$A226="","",CaseLedger!A226)</x:f>
      </x:c>
      <x:c r="B226" t="str">
        <x:f>IF(CaseLedger!$A226="","",CaseLedger!I226)</x:f>
      </x:c>
      <x:c r="C226" t="str">
        <x:f>IF(CaseLedger!$A226="","",CaseLedger!J226)</x:f>
      </x:c>
      <x:c r="D226" t="str">
        <x:f>IF(CaseLedger!$A226="","",CaseLedger!K226)</x:f>
      </x:c>
      <x:c r="E226" t="str">
        <x:f>IF(CaseLedger!$A226="","",CaseLedger!L226)</x:f>
      </x:c>
      <x:c r="F226" t="str">
        <x:f>IF(CaseLedger!$A226="","",CaseLedger!P226)</x:f>
      </x:c>
      <x:c r="G226" t="str">
        <x:f>IF(CaseLedger!$A226="","",CaseLedger!F226)</x:f>
      </x:c>
      <x:c r="H226" t="str">
        <x:f>IF(CaseLedger!$A226="","",CaseLedger!Q226)</x:f>
      </x:c>
      <x:c r="I226" t="str">
        <x:f>IF(CaseLedger!$A226="","",CaseLedger!R226)</x:f>
      </x:c>
      <x:c r="J226" t="str">
        <x:f>IF(CaseLedger!$A226="","",CaseLedger!S226)</x:f>
      </x:c>
      <x:c r="K226" t="str">
        <x:f>IF(CaseLedger!$A226="","",CaseLedger!T226)</x:f>
      </x:c>
      <x:c r="L226" t="str">
        <x:f>IF(CaseLedger!$A226="","",CaseLedger!U226)</x:f>
      </x:c>
      <x:c r="M226" t="str">
        <x:f>IF(CaseLedger!$A226="","",CaseLedger!V226)</x:f>
      </x:c>
      <x:c r="N226" t="str">
        <x:f>IF(CaseLedger!$A226="","",CaseLedger!W226)</x:f>
      </x:c>
      <x:c r="O226" t="str">
        <x:f>IF(CaseLedger!$A226="","",CaseLedger!X226)</x:f>
      </x:c>
      <x:c r="P226" t="str">
        <x:f>IF(CaseLedger!$A226="","",CaseLedger!E226)</x:f>
      </x:c>
      <x:c r="Q226" t="str">
        <x:f>IF(CaseLedger!$A226="","",CaseLedger!C226)</x:f>
      </x:c>
      <x:c r="R226" t="str">
        <x:f>IF(CaseLedger!$A226="","",CaseLedger!D226)</x:f>
      </x:c>
      <x:c r="S226" t="str">
        <x:f>IFERROR(IF(CaseLedger!$A226="","",CaseLedger!Y226),"")</x:f>
      </x:c>
      <x:c r="T226" t="str">
        <x:f>IFERROR(IF(CaseLedger!$A226="","",CaseLedger!Z226),"")</x:f>
      </x:c>
      <x:c r="U226" t="str">
        <x:f>IFERROR(IF(CaseLedger!$A226="","",CaseLedger!AA226),"")</x:f>
      </x:c>
      <x:c r="V226" t="str">
        <x:f>IFERROR(IF(CaseLedger!$A226="","",CaseLedger!AB226),"")</x:f>
      </x:c>
      <x:c r="W226" t="str">
        <x:f>IFERROR(IF(CaseLedger!$A226="","",CaseLedger!AC226),"")</x:f>
      </x:c>
      <x:c r="X226" t="str">
        <x:f>IFERROR(IF(CaseLedger!$A226="","",CaseLedger!AD226),"")</x:f>
      </x:c>
      <x:c r="Y226" t="str">
        <x:f>IFERROR(IF(CaseLedger!$A226="","",CaseLedger!AE226),"")</x:f>
      </x:c>
      <x:c r="Z226" t="str">
        <x:f>IFERROR(IF(CaseLedger!$A226="","",CaseLedger!AF226),"")</x:f>
      </x:c>
      <x:c r="AA226" t="str">
        <x:f>IFERROR(IF(CaseLedger!$A226="","",CaseLedger!AG226),"")</x:f>
      </x:c>
      <x:c r="AB226" t="str">
        <x:f>IFERROR(IF(CaseLedger!$A226="","",CaseLedger!AH226),"")</x:f>
      </x:c>
      <x:c r="AC226" t="str">
        <x:f>IFERROR(IF(CaseLedger!$A226="","",CaseLedger!AI226),"")</x:f>
      </x:c>
    </x:row>
    <x:row r="227">
      <x:c r="A227" t="str">
        <x:f>IF(CaseLedger!$A227="","",CaseLedger!A227)</x:f>
      </x:c>
      <x:c r="B227" t="str">
        <x:f>IF(CaseLedger!$A227="","",CaseLedger!I227)</x:f>
      </x:c>
      <x:c r="C227" t="str">
        <x:f>IF(CaseLedger!$A227="","",CaseLedger!J227)</x:f>
      </x:c>
      <x:c r="D227" t="str">
        <x:f>IF(CaseLedger!$A227="","",CaseLedger!K227)</x:f>
      </x:c>
      <x:c r="E227" t="str">
        <x:f>IF(CaseLedger!$A227="","",CaseLedger!L227)</x:f>
      </x:c>
      <x:c r="F227" t="str">
        <x:f>IF(CaseLedger!$A227="","",CaseLedger!P227)</x:f>
      </x:c>
      <x:c r="G227" t="str">
        <x:f>IF(CaseLedger!$A227="","",CaseLedger!F227)</x:f>
      </x:c>
      <x:c r="H227" t="str">
        <x:f>IF(CaseLedger!$A227="","",CaseLedger!Q227)</x:f>
      </x:c>
      <x:c r="I227" t="str">
        <x:f>IF(CaseLedger!$A227="","",CaseLedger!R227)</x:f>
      </x:c>
      <x:c r="J227" t="str">
        <x:f>IF(CaseLedger!$A227="","",CaseLedger!S227)</x:f>
      </x:c>
      <x:c r="K227" t="str">
        <x:f>IF(CaseLedger!$A227="","",CaseLedger!T227)</x:f>
      </x:c>
      <x:c r="L227" t="str">
        <x:f>IF(CaseLedger!$A227="","",CaseLedger!U227)</x:f>
      </x:c>
      <x:c r="M227" t="str">
        <x:f>IF(CaseLedger!$A227="","",CaseLedger!V227)</x:f>
      </x:c>
      <x:c r="N227" t="str">
        <x:f>IF(CaseLedger!$A227="","",CaseLedger!W227)</x:f>
      </x:c>
      <x:c r="O227" t="str">
        <x:f>IF(CaseLedger!$A227="","",CaseLedger!X227)</x:f>
      </x:c>
      <x:c r="P227" t="str">
        <x:f>IF(CaseLedger!$A227="","",CaseLedger!E227)</x:f>
      </x:c>
      <x:c r="Q227" t="str">
        <x:f>IF(CaseLedger!$A227="","",CaseLedger!C227)</x:f>
      </x:c>
      <x:c r="R227" t="str">
        <x:f>IF(CaseLedger!$A227="","",CaseLedger!D227)</x:f>
      </x:c>
      <x:c r="S227" t="str">
        <x:f>IFERROR(IF(CaseLedger!$A227="","",CaseLedger!Y227),"")</x:f>
      </x:c>
      <x:c r="T227" t="str">
        <x:f>IFERROR(IF(CaseLedger!$A227="","",CaseLedger!Z227),"")</x:f>
      </x:c>
      <x:c r="U227" t="str">
        <x:f>IFERROR(IF(CaseLedger!$A227="","",CaseLedger!AA227),"")</x:f>
      </x:c>
      <x:c r="V227" t="str">
        <x:f>IFERROR(IF(CaseLedger!$A227="","",CaseLedger!AB227),"")</x:f>
      </x:c>
      <x:c r="W227" t="str">
        <x:f>IFERROR(IF(CaseLedger!$A227="","",CaseLedger!AC227),"")</x:f>
      </x:c>
      <x:c r="X227" t="str">
        <x:f>IFERROR(IF(CaseLedger!$A227="","",CaseLedger!AD227),"")</x:f>
      </x:c>
      <x:c r="Y227" t="str">
        <x:f>IFERROR(IF(CaseLedger!$A227="","",CaseLedger!AE227),"")</x:f>
      </x:c>
      <x:c r="Z227" t="str">
        <x:f>IFERROR(IF(CaseLedger!$A227="","",CaseLedger!AF227),"")</x:f>
      </x:c>
      <x:c r="AA227" t="str">
        <x:f>IFERROR(IF(CaseLedger!$A227="","",CaseLedger!AG227),"")</x:f>
      </x:c>
      <x:c r="AB227" t="str">
        <x:f>IFERROR(IF(CaseLedger!$A227="","",CaseLedger!AH227),"")</x:f>
      </x:c>
      <x:c r="AC227" t="str">
        <x:f>IFERROR(IF(CaseLedger!$A227="","",CaseLedger!AI227),"")</x:f>
      </x:c>
    </x:row>
    <x:row r="228">
      <x:c r="A228" t="str">
        <x:f>IF(CaseLedger!$A228="","",CaseLedger!A228)</x:f>
      </x:c>
      <x:c r="B228" t="str">
        <x:f>IF(CaseLedger!$A228="","",CaseLedger!I228)</x:f>
      </x:c>
      <x:c r="C228" t="str">
        <x:f>IF(CaseLedger!$A228="","",CaseLedger!J228)</x:f>
      </x:c>
      <x:c r="D228" t="str">
        <x:f>IF(CaseLedger!$A228="","",CaseLedger!K228)</x:f>
      </x:c>
      <x:c r="E228" t="str">
        <x:f>IF(CaseLedger!$A228="","",CaseLedger!L228)</x:f>
      </x:c>
      <x:c r="F228" t="str">
        <x:f>IF(CaseLedger!$A228="","",CaseLedger!P228)</x:f>
      </x:c>
      <x:c r="G228" t="str">
        <x:f>IF(CaseLedger!$A228="","",CaseLedger!F228)</x:f>
      </x:c>
      <x:c r="H228" t="str">
        <x:f>IF(CaseLedger!$A228="","",CaseLedger!Q228)</x:f>
      </x:c>
      <x:c r="I228" t="str">
        <x:f>IF(CaseLedger!$A228="","",CaseLedger!R228)</x:f>
      </x:c>
      <x:c r="J228" t="str">
        <x:f>IF(CaseLedger!$A228="","",CaseLedger!S228)</x:f>
      </x:c>
      <x:c r="K228" t="str">
        <x:f>IF(CaseLedger!$A228="","",CaseLedger!T228)</x:f>
      </x:c>
      <x:c r="L228" t="str">
        <x:f>IF(CaseLedger!$A228="","",CaseLedger!U228)</x:f>
      </x:c>
      <x:c r="M228" t="str">
        <x:f>IF(CaseLedger!$A228="","",CaseLedger!V228)</x:f>
      </x:c>
      <x:c r="N228" t="str">
        <x:f>IF(CaseLedger!$A228="","",CaseLedger!W228)</x:f>
      </x:c>
      <x:c r="O228" t="str">
        <x:f>IF(CaseLedger!$A228="","",CaseLedger!X228)</x:f>
      </x:c>
      <x:c r="P228" t="str">
        <x:f>IF(CaseLedger!$A228="","",CaseLedger!E228)</x:f>
      </x:c>
      <x:c r="Q228" t="str">
        <x:f>IF(CaseLedger!$A228="","",CaseLedger!C228)</x:f>
      </x:c>
      <x:c r="R228" t="str">
        <x:f>IF(CaseLedger!$A228="","",CaseLedger!D228)</x:f>
      </x:c>
      <x:c r="S228" t="str">
        <x:f>IFERROR(IF(CaseLedger!$A228="","",CaseLedger!Y228),"")</x:f>
      </x:c>
      <x:c r="T228" t="str">
        <x:f>IFERROR(IF(CaseLedger!$A228="","",CaseLedger!Z228),"")</x:f>
      </x:c>
      <x:c r="U228" t="str">
        <x:f>IFERROR(IF(CaseLedger!$A228="","",CaseLedger!AA228),"")</x:f>
      </x:c>
      <x:c r="V228" t="str">
        <x:f>IFERROR(IF(CaseLedger!$A228="","",CaseLedger!AB228),"")</x:f>
      </x:c>
      <x:c r="W228" t="str">
        <x:f>IFERROR(IF(CaseLedger!$A228="","",CaseLedger!AC228),"")</x:f>
      </x:c>
      <x:c r="X228" t="str">
        <x:f>IFERROR(IF(CaseLedger!$A228="","",CaseLedger!AD228),"")</x:f>
      </x:c>
      <x:c r="Y228" t="str">
        <x:f>IFERROR(IF(CaseLedger!$A228="","",CaseLedger!AE228),"")</x:f>
      </x:c>
      <x:c r="Z228" t="str">
        <x:f>IFERROR(IF(CaseLedger!$A228="","",CaseLedger!AF228),"")</x:f>
      </x:c>
      <x:c r="AA228" t="str">
        <x:f>IFERROR(IF(CaseLedger!$A228="","",CaseLedger!AG228),"")</x:f>
      </x:c>
      <x:c r="AB228" t="str">
        <x:f>IFERROR(IF(CaseLedger!$A228="","",CaseLedger!AH228),"")</x:f>
      </x:c>
      <x:c r="AC228" t="str">
        <x:f>IFERROR(IF(CaseLedger!$A228="","",CaseLedger!AI228),"")</x:f>
      </x:c>
    </x:row>
    <x:row r="229">
      <x:c r="A229" t="str">
        <x:f>IF(CaseLedger!$A229="","",CaseLedger!A229)</x:f>
      </x:c>
      <x:c r="B229" t="str">
        <x:f>IF(CaseLedger!$A229="","",CaseLedger!I229)</x:f>
      </x:c>
      <x:c r="C229" t="str">
        <x:f>IF(CaseLedger!$A229="","",CaseLedger!J229)</x:f>
      </x:c>
      <x:c r="D229" t="str">
        <x:f>IF(CaseLedger!$A229="","",CaseLedger!K229)</x:f>
      </x:c>
      <x:c r="E229" t="str">
        <x:f>IF(CaseLedger!$A229="","",CaseLedger!L229)</x:f>
      </x:c>
      <x:c r="F229" t="str">
        <x:f>IF(CaseLedger!$A229="","",CaseLedger!P229)</x:f>
      </x:c>
      <x:c r="G229" t="str">
        <x:f>IF(CaseLedger!$A229="","",CaseLedger!F229)</x:f>
      </x:c>
      <x:c r="H229" t="str">
        <x:f>IF(CaseLedger!$A229="","",CaseLedger!Q229)</x:f>
      </x:c>
      <x:c r="I229" t="str">
        <x:f>IF(CaseLedger!$A229="","",CaseLedger!R229)</x:f>
      </x:c>
      <x:c r="J229" t="str">
        <x:f>IF(CaseLedger!$A229="","",CaseLedger!S229)</x:f>
      </x:c>
      <x:c r="K229" t="str">
        <x:f>IF(CaseLedger!$A229="","",CaseLedger!T229)</x:f>
      </x:c>
      <x:c r="L229" t="str">
        <x:f>IF(CaseLedger!$A229="","",CaseLedger!U229)</x:f>
      </x:c>
      <x:c r="M229" t="str">
        <x:f>IF(CaseLedger!$A229="","",CaseLedger!V229)</x:f>
      </x:c>
      <x:c r="N229" t="str">
        <x:f>IF(CaseLedger!$A229="","",CaseLedger!W229)</x:f>
      </x:c>
      <x:c r="O229" t="str">
        <x:f>IF(CaseLedger!$A229="","",CaseLedger!X229)</x:f>
      </x:c>
      <x:c r="P229" t="str">
        <x:f>IF(CaseLedger!$A229="","",CaseLedger!E229)</x:f>
      </x:c>
      <x:c r="Q229" t="str">
        <x:f>IF(CaseLedger!$A229="","",CaseLedger!C229)</x:f>
      </x:c>
      <x:c r="R229" t="str">
        <x:f>IF(CaseLedger!$A229="","",CaseLedger!D229)</x:f>
      </x:c>
      <x:c r="S229" t="str">
        <x:f>IFERROR(IF(CaseLedger!$A229="","",CaseLedger!Y229),"")</x:f>
      </x:c>
      <x:c r="T229" t="str">
        <x:f>IFERROR(IF(CaseLedger!$A229="","",CaseLedger!Z229),"")</x:f>
      </x:c>
      <x:c r="U229" t="str">
        <x:f>IFERROR(IF(CaseLedger!$A229="","",CaseLedger!AA229),"")</x:f>
      </x:c>
      <x:c r="V229" t="str">
        <x:f>IFERROR(IF(CaseLedger!$A229="","",CaseLedger!AB229),"")</x:f>
      </x:c>
      <x:c r="W229" t="str">
        <x:f>IFERROR(IF(CaseLedger!$A229="","",CaseLedger!AC229),"")</x:f>
      </x:c>
      <x:c r="X229" t="str">
        <x:f>IFERROR(IF(CaseLedger!$A229="","",CaseLedger!AD229),"")</x:f>
      </x:c>
      <x:c r="Y229" t="str">
        <x:f>IFERROR(IF(CaseLedger!$A229="","",CaseLedger!AE229),"")</x:f>
      </x:c>
      <x:c r="Z229" t="str">
        <x:f>IFERROR(IF(CaseLedger!$A229="","",CaseLedger!AF229),"")</x:f>
      </x:c>
      <x:c r="AA229" t="str">
        <x:f>IFERROR(IF(CaseLedger!$A229="","",CaseLedger!AG229),"")</x:f>
      </x:c>
      <x:c r="AB229" t="str">
        <x:f>IFERROR(IF(CaseLedger!$A229="","",CaseLedger!AH229),"")</x:f>
      </x:c>
      <x:c r="AC229" t="str">
        <x:f>IFERROR(IF(CaseLedger!$A229="","",CaseLedger!AI229),"")</x:f>
      </x:c>
    </x:row>
    <x:row r="230">
      <x:c r="A230" t="str">
        <x:f>IF(CaseLedger!$A230="","",CaseLedger!A230)</x:f>
      </x:c>
      <x:c r="B230" t="str">
        <x:f>IF(CaseLedger!$A230="","",CaseLedger!I230)</x:f>
      </x:c>
      <x:c r="C230" t="str">
        <x:f>IF(CaseLedger!$A230="","",CaseLedger!J230)</x:f>
      </x:c>
      <x:c r="D230" t="str">
        <x:f>IF(CaseLedger!$A230="","",CaseLedger!K230)</x:f>
      </x:c>
      <x:c r="E230" t="str">
        <x:f>IF(CaseLedger!$A230="","",CaseLedger!L230)</x:f>
      </x:c>
      <x:c r="F230" t="str">
        <x:f>IF(CaseLedger!$A230="","",CaseLedger!P230)</x:f>
      </x:c>
      <x:c r="G230" t="str">
        <x:f>IF(CaseLedger!$A230="","",CaseLedger!F230)</x:f>
      </x:c>
      <x:c r="H230" t="str">
        <x:f>IF(CaseLedger!$A230="","",CaseLedger!Q230)</x:f>
      </x:c>
      <x:c r="I230" t="str">
        <x:f>IF(CaseLedger!$A230="","",CaseLedger!R230)</x:f>
      </x:c>
      <x:c r="J230" t="str">
        <x:f>IF(CaseLedger!$A230="","",CaseLedger!S230)</x:f>
      </x:c>
      <x:c r="K230" t="str">
        <x:f>IF(CaseLedger!$A230="","",CaseLedger!T230)</x:f>
      </x:c>
      <x:c r="L230" t="str">
        <x:f>IF(CaseLedger!$A230="","",CaseLedger!U230)</x:f>
      </x:c>
      <x:c r="M230" t="str">
        <x:f>IF(CaseLedger!$A230="","",CaseLedger!V230)</x:f>
      </x:c>
      <x:c r="N230" t="str">
        <x:f>IF(CaseLedger!$A230="","",CaseLedger!W230)</x:f>
      </x:c>
      <x:c r="O230" t="str">
        <x:f>IF(CaseLedger!$A230="","",CaseLedger!X230)</x:f>
      </x:c>
      <x:c r="P230" t="str">
        <x:f>IF(CaseLedger!$A230="","",CaseLedger!E230)</x:f>
      </x:c>
      <x:c r="Q230" t="str">
        <x:f>IF(CaseLedger!$A230="","",CaseLedger!C230)</x:f>
      </x:c>
      <x:c r="R230" t="str">
        <x:f>IF(CaseLedger!$A230="","",CaseLedger!D230)</x:f>
      </x:c>
      <x:c r="S230" t="str">
        <x:f>IFERROR(IF(CaseLedger!$A230="","",CaseLedger!Y230),"")</x:f>
      </x:c>
      <x:c r="T230" t="str">
        <x:f>IFERROR(IF(CaseLedger!$A230="","",CaseLedger!Z230),"")</x:f>
      </x:c>
      <x:c r="U230" t="str">
        <x:f>IFERROR(IF(CaseLedger!$A230="","",CaseLedger!AA230),"")</x:f>
      </x:c>
      <x:c r="V230" t="str">
        <x:f>IFERROR(IF(CaseLedger!$A230="","",CaseLedger!AB230),"")</x:f>
      </x:c>
      <x:c r="W230" t="str">
        <x:f>IFERROR(IF(CaseLedger!$A230="","",CaseLedger!AC230),"")</x:f>
      </x:c>
      <x:c r="X230" t="str">
        <x:f>IFERROR(IF(CaseLedger!$A230="","",CaseLedger!AD230),"")</x:f>
      </x:c>
      <x:c r="Y230" t="str">
        <x:f>IFERROR(IF(CaseLedger!$A230="","",CaseLedger!AE230),"")</x:f>
      </x:c>
      <x:c r="Z230" t="str">
        <x:f>IFERROR(IF(CaseLedger!$A230="","",CaseLedger!AF230),"")</x:f>
      </x:c>
      <x:c r="AA230" t="str">
        <x:f>IFERROR(IF(CaseLedger!$A230="","",CaseLedger!AG230),"")</x:f>
      </x:c>
      <x:c r="AB230" t="str">
        <x:f>IFERROR(IF(CaseLedger!$A230="","",CaseLedger!AH230),"")</x:f>
      </x:c>
      <x:c r="AC230" t="str">
        <x:f>IFERROR(IF(CaseLedger!$A230="","",CaseLedger!AI230),"")</x:f>
      </x:c>
    </x:row>
    <x:row r="231">
      <x:c r="A231" t="str">
        <x:f>IF(CaseLedger!$A231="","",CaseLedger!A231)</x:f>
      </x:c>
      <x:c r="B231" t="str">
        <x:f>IF(CaseLedger!$A231="","",CaseLedger!I231)</x:f>
      </x:c>
      <x:c r="C231" t="str">
        <x:f>IF(CaseLedger!$A231="","",CaseLedger!J231)</x:f>
      </x:c>
      <x:c r="D231" t="str">
        <x:f>IF(CaseLedger!$A231="","",CaseLedger!K231)</x:f>
      </x:c>
      <x:c r="E231" t="str">
        <x:f>IF(CaseLedger!$A231="","",CaseLedger!L231)</x:f>
      </x:c>
      <x:c r="F231" t="str">
        <x:f>IF(CaseLedger!$A231="","",CaseLedger!P231)</x:f>
      </x:c>
      <x:c r="G231" t="str">
        <x:f>IF(CaseLedger!$A231="","",CaseLedger!F231)</x:f>
      </x:c>
      <x:c r="H231" t="str">
        <x:f>IF(CaseLedger!$A231="","",CaseLedger!Q231)</x:f>
      </x:c>
      <x:c r="I231" t="str">
        <x:f>IF(CaseLedger!$A231="","",CaseLedger!R231)</x:f>
      </x:c>
      <x:c r="J231" t="str">
        <x:f>IF(CaseLedger!$A231="","",CaseLedger!S231)</x:f>
      </x:c>
      <x:c r="K231" t="str">
        <x:f>IF(CaseLedger!$A231="","",CaseLedger!T231)</x:f>
      </x:c>
      <x:c r="L231" t="str">
        <x:f>IF(CaseLedger!$A231="","",CaseLedger!U231)</x:f>
      </x:c>
      <x:c r="M231" t="str">
        <x:f>IF(CaseLedger!$A231="","",CaseLedger!V231)</x:f>
      </x:c>
      <x:c r="N231" t="str">
        <x:f>IF(CaseLedger!$A231="","",CaseLedger!W231)</x:f>
      </x:c>
      <x:c r="O231" t="str">
        <x:f>IF(CaseLedger!$A231="","",CaseLedger!X231)</x:f>
      </x:c>
      <x:c r="P231" t="str">
        <x:f>IF(CaseLedger!$A231="","",CaseLedger!E231)</x:f>
      </x:c>
      <x:c r="Q231" t="str">
        <x:f>IF(CaseLedger!$A231="","",CaseLedger!C231)</x:f>
      </x:c>
      <x:c r="R231" t="str">
        <x:f>IF(CaseLedger!$A231="","",CaseLedger!D231)</x:f>
      </x:c>
      <x:c r="S231" t="str">
        <x:f>IFERROR(IF(CaseLedger!$A231="","",CaseLedger!Y231),"")</x:f>
      </x:c>
      <x:c r="T231" t="str">
        <x:f>IFERROR(IF(CaseLedger!$A231="","",CaseLedger!Z231),"")</x:f>
      </x:c>
      <x:c r="U231" t="str">
        <x:f>IFERROR(IF(CaseLedger!$A231="","",CaseLedger!AA231),"")</x:f>
      </x:c>
      <x:c r="V231" t="str">
        <x:f>IFERROR(IF(CaseLedger!$A231="","",CaseLedger!AB231),"")</x:f>
      </x:c>
      <x:c r="W231" t="str">
        <x:f>IFERROR(IF(CaseLedger!$A231="","",CaseLedger!AC231),"")</x:f>
      </x:c>
      <x:c r="X231" t="str">
        <x:f>IFERROR(IF(CaseLedger!$A231="","",CaseLedger!AD231),"")</x:f>
      </x:c>
      <x:c r="Y231" t="str">
        <x:f>IFERROR(IF(CaseLedger!$A231="","",CaseLedger!AE231),"")</x:f>
      </x:c>
      <x:c r="Z231" t="str">
        <x:f>IFERROR(IF(CaseLedger!$A231="","",CaseLedger!AF231),"")</x:f>
      </x:c>
      <x:c r="AA231" t="str">
        <x:f>IFERROR(IF(CaseLedger!$A231="","",CaseLedger!AG231),"")</x:f>
      </x:c>
      <x:c r="AB231" t="str">
        <x:f>IFERROR(IF(CaseLedger!$A231="","",CaseLedger!AH231),"")</x:f>
      </x:c>
      <x:c r="AC231" t="str">
        <x:f>IFERROR(IF(CaseLedger!$A231="","",CaseLedger!AI231),"")</x:f>
      </x:c>
    </x:row>
    <x:row r="232">
      <x:c r="A232" t="str">
        <x:f>IF(CaseLedger!$A232="","",CaseLedger!A232)</x:f>
      </x:c>
      <x:c r="B232" t="str">
        <x:f>IF(CaseLedger!$A232="","",CaseLedger!I232)</x:f>
      </x:c>
      <x:c r="C232" t="str">
        <x:f>IF(CaseLedger!$A232="","",CaseLedger!J232)</x:f>
      </x:c>
      <x:c r="D232" t="str">
        <x:f>IF(CaseLedger!$A232="","",CaseLedger!K232)</x:f>
      </x:c>
      <x:c r="E232" t="str">
        <x:f>IF(CaseLedger!$A232="","",CaseLedger!L232)</x:f>
      </x:c>
      <x:c r="F232" t="str">
        <x:f>IF(CaseLedger!$A232="","",CaseLedger!P232)</x:f>
      </x:c>
      <x:c r="G232" t="str">
        <x:f>IF(CaseLedger!$A232="","",CaseLedger!F232)</x:f>
      </x:c>
      <x:c r="H232" t="str">
        <x:f>IF(CaseLedger!$A232="","",CaseLedger!Q232)</x:f>
      </x:c>
      <x:c r="I232" t="str">
        <x:f>IF(CaseLedger!$A232="","",CaseLedger!R232)</x:f>
      </x:c>
      <x:c r="J232" t="str">
        <x:f>IF(CaseLedger!$A232="","",CaseLedger!S232)</x:f>
      </x:c>
      <x:c r="K232" t="str">
        <x:f>IF(CaseLedger!$A232="","",CaseLedger!T232)</x:f>
      </x:c>
      <x:c r="L232" t="str">
        <x:f>IF(CaseLedger!$A232="","",CaseLedger!U232)</x:f>
      </x:c>
      <x:c r="M232" t="str">
        <x:f>IF(CaseLedger!$A232="","",CaseLedger!V232)</x:f>
      </x:c>
      <x:c r="N232" t="str">
        <x:f>IF(CaseLedger!$A232="","",CaseLedger!W232)</x:f>
      </x:c>
      <x:c r="O232" t="str">
        <x:f>IF(CaseLedger!$A232="","",CaseLedger!X232)</x:f>
      </x:c>
      <x:c r="P232" t="str">
        <x:f>IF(CaseLedger!$A232="","",CaseLedger!E232)</x:f>
      </x:c>
      <x:c r="Q232" t="str">
        <x:f>IF(CaseLedger!$A232="","",CaseLedger!C232)</x:f>
      </x:c>
      <x:c r="R232" t="str">
        <x:f>IF(CaseLedger!$A232="","",CaseLedger!D232)</x:f>
      </x:c>
      <x:c r="S232" t="str">
        <x:f>IFERROR(IF(CaseLedger!$A232="","",CaseLedger!Y232),"")</x:f>
      </x:c>
      <x:c r="T232" t="str">
        <x:f>IFERROR(IF(CaseLedger!$A232="","",CaseLedger!Z232),"")</x:f>
      </x:c>
      <x:c r="U232" t="str">
        <x:f>IFERROR(IF(CaseLedger!$A232="","",CaseLedger!AA232),"")</x:f>
      </x:c>
      <x:c r="V232" t="str">
        <x:f>IFERROR(IF(CaseLedger!$A232="","",CaseLedger!AB232),"")</x:f>
      </x:c>
      <x:c r="W232" t="str">
        <x:f>IFERROR(IF(CaseLedger!$A232="","",CaseLedger!AC232),"")</x:f>
      </x:c>
      <x:c r="X232" t="str">
        <x:f>IFERROR(IF(CaseLedger!$A232="","",CaseLedger!AD232),"")</x:f>
      </x:c>
      <x:c r="Y232" t="str">
        <x:f>IFERROR(IF(CaseLedger!$A232="","",CaseLedger!AE232),"")</x:f>
      </x:c>
      <x:c r="Z232" t="str">
        <x:f>IFERROR(IF(CaseLedger!$A232="","",CaseLedger!AF232),"")</x:f>
      </x:c>
      <x:c r="AA232" t="str">
        <x:f>IFERROR(IF(CaseLedger!$A232="","",CaseLedger!AG232),"")</x:f>
      </x:c>
      <x:c r="AB232" t="str">
        <x:f>IFERROR(IF(CaseLedger!$A232="","",CaseLedger!AH232),"")</x:f>
      </x:c>
      <x:c r="AC232" t="str">
        <x:f>IFERROR(IF(CaseLedger!$A232="","",CaseLedger!AI232),"")</x:f>
      </x:c>
    </x:row>
    <x:row r="233">
      <x:c r="A233" t="str">
        <x:f>IF(CaseLedger!$A233="","",CaseLedger!A233)</x:f>
      </x:c>
      <x:c r="B233" t="str">
        <x:f>IF(CaseLedger!$A233="","",CaseLedger!I233)</x:f>
      </x:c>
      <x:c r="C233" t="str">
        <x:f>IF(CaseLedger!$A233="","",CaseLedger!J233)</x:f>
      </x:c>
      <x:c r="D233" t="str">
        <x:f>IF(CaseLedger!$A233="","",CaseLedger!K233)</x:f>
      </x:c>
      <x:c r="E233" t="str">
        <x:f>IF(CaseLedger!$A233="","",CaseLedger!L233)</x:f>
      </x:c>
      <x:c r="F233" t="str">
        <x:f>IF(CaseLedger!$A233="","",CaseLedger!P233)</x:f>
      </x:c>
      <x:c r="G233" t="str">
        <x:f>IF(CaseLedger!$A233="","",CaseLedger!F233)</x:f>
      </x:c>
      <x:c r="H233" t="str">
        <x:f>IF(CaseLedger!$A233="","",CaseLedger!Q233)</x:f>
      </x:c>
      <x:c r="I233" t="str">
        <x:f>IF(CaseLedger!$A233="","",CaseLedger!R233)</x:f>
      </x:c>
      <x:c r="J233" t="str">
        <x:f>IF(CaseLedger!$A233="","",CaseLedger!S233)</x:f>
      </x:c>
      <x:c r="K233" t="str">
        <x:f>IF(CaseLedger!$A233="","",CaseLedger!T233)</x:f>
      </x:c>
      <x:c r="L233" t="str">
        <x:f>IF(CaseLedger!$A233="","",CaseLedger!U233)</x:f>
      </x:c>
      <x:c r="M233" t="str">
        <x:f>IF(CaseLedger!$A233="","",CaseLedger!V233)</x:f>
      </x:c>
      <x:c r="N233" t="str">
        <x:f>IF(CaseLedger!$A233="","",CaseLedger!W233)</x:f>
      </x:c>
      <x:c r="O233" t="str">
        <x:f>IF(CaseLedger!$A233="","",CaseLedger!X233)</x:f>
      </x:c>
      <x:c r="P233" t="str">
        <x:f>IF(CaseLedger!$A233="","",CaseLedger!E233)</x:f>
      </x:c>
      <x:c r="Q233" t="str">
        <x:f>IF(CaseLedger!$A233="","",CaseLedger!C233)</x:f>
      </x:c>
      <x:c r="R233" t="str">
        <x:f>IF(CaseLedger!$A233="","",CaseLedger!D233)</x:f>
      </x:c>
      <x:c r="S233" t="str">
        <x:f>IFERROR(IF(CaseLedger!$A233="","",CaseLedger!Y233),"")</x:f>
      </x:c>
      <x:c r="T233" t="str">
        <x:f>IFERROR(IF(CaseLedger!$A233="","",CaseLedger!Z233),"")</x:f>
      </x:c>
      <x:c r="U233" t="str">
        <x:f>IFERROR(IF(CaseLedger!$A233="","",CaseLedger!AA233),"")</x:f>
      </x:c>
      <x:c r="V233" t="str">
        <x:f>IFERROR(IF(CaseLedger!$A233="","",CaseLedger!AB233),"")</x:f>
      </x:c>
      <x:c r="W233" t="str">
        <x:f>IFERROR(IF(CaseLedger!$A233="","",CaseLedger!AC233),"")</x:f>
      </x:c>
      <x:c r="X233" t="str">
        <x:f>IFERROR(IF(CaseLedger!$A233="","",CaseLedger!AD233),"")</x:f>
      </x:c>
      <x:c r="Y233" t="str">
        <x:f>IFERROR(IF(CaseLedger!$A233="","",CaseLedger!AE233),"")</x:f>
      </x:c>
      <x:c r="Z233" t="str">
        <x:f>IFERROR(IF(CaseLedger!$A233="","",CaseLedger!AF233),"")</x:f>
      </x:c>
      <x:c r="AA233" t="str">
        <x:f>IFERROR(IF(CaseLedger!$A233="","",CaseLedger!AG233),"")</x:f>
      </x:c>
      <x:c r="AB233" t="str">
        <x:f>IFERROR(IF(CaseLedger!$A233="","",CaseLedger!AH233),"")</x:f>
      </x:c>
      <x:c r="AC233" t="str">
        <x:f>IFERROR(IF(CaseLedger!$A233="","",CaseLedger!AI233),"")</x:f>
      </x:c>
    </x:row>
    <x:row r="234">
      <x:c r="A234" t="str">
        <x:f>IF(CaseLedger!$A234="","",CaseLedger!A234)</x:f>
      </x:c>
      <x:c r="B234" t="str">
        <x:f>IF(CaseLedger!$A234="","",CaseLedger!I234)</x:f>
      </x:c>
      <x:c r="C234" t="str">
        <x:f>IF(CaseLedger!$A234="","",CaseLedger!J234)</x:f>
      </x:c>
      <x:c r="D234" t="str">
        <x:f>IF(CaseLedger!$A234="","",CaseLedger!K234)</x:f>
      </x:c>
      <x:c r="E234" t="str">
        <x:f>IF(CaseLedger!$A234="","",CaseLedger!L234)</x:f>
      </x:c>
      <x:c r="F234" t="str">
        <x:f>IF(CaseLedger!$A234="","",CaseLedger!P234)</x:f>
      </x:c>
      <x:c r="G234" t="str">
        <x:f>IF(CaseLedger!$A234="","",CaseLedger!F234)</x:f>
      </x:c>
      <x:c r="H234" t="str">
        <x:f>IF(CaseLedger!$A234="","",CaseLedger!Q234)</x:f>
      </x:c>
      <x:c r="I234" t="str">
        <x:f>IF(CaseLedger!$A234="","",CaseLedger!R234)</x:f>
      </x:c>
      <x:c r="J234" t="str">
        <x:f>IF(CaseLedger!$A234="","",CaseLedger!S234)</x:f>
      </x:c>
      <x:c r="K234" t="str">
        <x:f>IF(CaseLedger!$A234="","",CaseLedger!T234)</x:f>
      </x:c>
      <x:c r="L234" t="str">
        <x:f>IF(CaseLedger!$A234="","",CaseLedger!U234)</x:f>
      </x:c>
      <x:c r="M234" t="str">
        <x:f>IF(CaseLedger!$A234="","",CaseLedger!V234)</x:f>
      </x:c>
      <x:c r="N234" t="str">
        <x:f>IF(CaseLedger!$A234="","",CaseLedger!W234)</x:f>
      </x:c>
      <x:c r="O234" t="str">
        <x:f>IF(CaseLedger!$A234="","",CaseLedger!X234)</x:f>
      </x:c>
      <x:c r="P234" t="str">
        <x:f>IF(CaseLedger!$A234="","",CaseLedger!E234)</x:f>
      </x:c>
      <x:c r="Q234" t="str">
        <x:f>IF(CaseLedger!$A234="","",CaseLedger!C234)</x:f>
      </x:c>
      <x:c r="R234" t="str">
        <x:f>IF(CaseLedger!$A234="","",CaseLedger!D234)</x:f>
      </x:c>
      <x:c r="S234" t="str">
        <x:f>IFERROR(IF(CaseLedger!$A234="","",CaseLedger!Y234),"")</x:f>
      </x:c>
      <x:c r="T234" t="str">
        <x:f>IFERROR(IF(CaseLedger!$A234="","",CaseLedger!Z234),"")</x:f>
      </x:c>
      <x:c r="U234" t="str">
        <x:f>IFERROR(IF(CaseLedger!$A234="","",CaseLedger!AA234),"")</x:f>
      </x:c>
      <x:c r="V234" t="str">
        <x:f>IFERROR(IF(CaseLedger!$A234="","",CaseLedger!AB234),"")</x:f>
      </x:c>
      <x:c r="W234" t="str">
        <x:f>IFERROR(IF(CaseLedger!$A234="","",CaseLedger!AC234),"")</x:f>
      </x:c>
      <x:c r="X234" t="str">
        <x:f>IFERROR(IF(CaseLedger!$A234="","",CaseLedger!AD234),"")</x:f>
      </x:c>
      <x:c r="Y234" t="str">
        <x:f>IFERROR(IF(CaseLedger!$A234="","",CaseLedger!AE234),"")</x:f>
      </x:c>
      <x:c r="Z234" t="str">
        <x:f>IFERROR(IF(CaseLedger!$A234="","",CaseLedger!AF234),"")</x:f>
      </x:c>
      <x:c r="AA234" t="str">
        <x:f>IFERROR(IF(CaseLedger!$A234="","",CaseLedger!AG234),"")</x:f>
      </x:c>
      <x:c r="AB234" t="str">
        <x:f>IFERROR(IF(CaseLedger!$A234="","",CaseLedger!AH234),"")</x:f>
      </x:c>
      <x:c r="AC234" t="str">
        <x:f>IFERROR(IF(CaseLedger!$A234="","",CaseLedger!AI234),"")</x:f>
      </x:c>
    </x:row>
    <x:row r="235">
      <x:c r="A235" t="str">
        <x:f>IF(CaseLedger!$A235="","",CaseLedger!A235)</x:f>
      </x:c>
      <x:c r="B235" t="str">
        <x:f>IF(CaseLedger!$A235="","",CaseLedger!I235)</x:f>
      </x:c>
      <x:c r="C235" t="str">
        <x:f>IF(CaseLedger!$A235="","",CaseLedger!J235)</x:f>
      </x:c>
      <x:c r="D235" t="str">
        <x:f>IF(CaseLedger!$A235="","",CaseLedger!K235)</x:f>
      </x:c>
      <x:c r="E235" t="str">
        <x:f>IF(CaseLedger!$A235="","",CaseLedger!L235)</x:f>
      </x:c>
      <x:c r="F235" t="str">
        <x:f>IF(CaseLedger!$A235="","",CaseLedger!P235)</x:f>
      </x:c>
      <x:c r="G235" t="str">
        <x:f>IF(CaseLedger!$A235="","",CaseLedger!F235)</x:f>
      </x:c>
      <x:c r="H235" t="str">
        <x:f>IF(CaseLedger!$A235="","",CaseLedger!Q235)</x:f>
      </x:c>
      <x:c r="I235" t="str">
        <x:f>IF(CaseLedger!$A235="","",CaseLedger!R235)</x:f>
      </x:c>
      <x:c r="J235" t="str">
        <x:f>IF(CaseLedger!$A235="","",CaseLedger!S235)</x:f>
      </x:c>
      <x:c r="K235" t="str">
        <x:f>IF(CaseLedger!$A235="","",CaseLedger!T235)</x:f>
      </x:c>
      <x:c r="L235" t="str">
        <x:f>IF(CaseLedger!$A235="","",CaseLedger!U235)</x:f>
      </x:c>
      <x:c r="M235" t="str">
        <x:f>IF(CaseLedger!$A235="","",CaseLedger!V235)</x:f>
      </x:c>
      <x:c r="N235" t="str">
        <x:f>IF(CaseLedger!$A235="","",CaseLedger!W235)</x:f>
      </x:c>
      <x:c r="O235" t="str">
        <x:f>IF(CaseLedger!$A235="","",CaseLedger!X235)</x:f>
      </x:c>
      <x:c r="P235" t="str">
        <x:f>IF(CaseLedger!$A235="","",CaseLedger!E235)</x:f>
      </x:c>
      <x:c r="Q235" t="str">
        <x:f>IF(CaseLedger!$A235="","",CaseLedger!C235)</x:f>
      </x:c>
      <x:c r="R235" t="str">
        <x:f>IF(CaseLedger!$A235="","",CaseLedger!D235)</x:f>
      </x:c>
      <x:c r="S235" t="str">
        <x:f>IFERROR(IF(CaseLedger!$A235="","",CaseLedger!Y235),"")</x:f>
      </x:c>
      <x:c r="T235" t="str">
        <x:f>IFERROR(IF(CaseLedger!$A235="","",CaseLedger!Z235),"")</x:f>
      </x:c>
      <x:c r="U235" t="str">
        <x:f>IFERROR(IF(CaseLedger!$A235="","",CaseLedger!AA235),"")</x:f>
      </x:c>
      <x:c r="V235" t="str">
        <x:f>IFERROR(IF(CaseLedger!$A235="","",CaseLedger!AB235),"")</x:f>
      </x:c>
      <x:c r="W235" t="str">
        <x:f>IFERROR(IF(CaseLedger!$A235="","",CaseLedger!AC235),"")</x:f>
      </x:c>
      <x:c r="X235" t="str">
        <x:f>IFERROR(IF(CaseLedger!$A235="","",CaseLedger!AD235),"")</x:f>
      </x:c>
      <x:c r="Y235" t="str">
        <x:f>IFERROR(IF(CaseLedger!$A235="","",CaseLedger!AE235),"")</x:f>
      </x:c>
      <x:c r="Z235" t="str">
        <x:f>IFERROR(IF(CaseLedger!$A235="","",CaseLedger!AF235),"")</x:f>
      </x:c>
      <x:c r="AA235" t="str">
        <x:f>IFERROR(IF(CaseLedger!$A235="","",CaseLedger!AG235),"")</x:f>
      </x:c>
      <x:c r="AB235" t="str">
        <x:f>IFERROR(IF(CaseLedger!$A235="","",CaseLedger!AH235),"")</x:f>
      </x:c>
      <x:c r="AC235" t="str">
        <x:f>IFERROR(IF(CaseLedger!$A235="","",CaseLedger!AI235),"")</x:f>
      </x:c>
    </x:row>
    <x:row r="236">
      <x:c r="A236" t="str">
        <x:f>IF(CaseLedger!$A236="","",CaseLedger!A236)</x:f>
      </x:c>
      <x:c r="B236" t="str">
        <x:f>IF(CaseLedger!$A236="","",CaseLedger!I236)</x:f>
      </x:c>
      <x:c r="C236" t="str">
        <x:f>IF(CaseLedger!$A236="","",CaseLedger!J236)</x:f>
      </x:c>
      <x:c r="D236" t="str">
        <x:f>IF(CaseLedger!$A236="","",CaseLedger!K236)</x:f>
      </x:c>
      <x:c r="E236" t="str">
        <x:f>IF(CaseLedger!$A236="","",CaseLedger!L236)</x:f>
      </x:c>
      <x:c r="F236" t="str">
        <x:f>IF(CaseLedger!$A236="","",CaseLedger!P236)</x:f>
      </x:c>
      <x:c r="G236" t="str">
        <x:f>IF(CaseLedger!$A236="","",CaseLedger!F236)</x:f>
      </x:c>
      <x:c r="H236" t="str">
        <x:f>IF(CaseLedger!$A236="","",CaseLedger!Q236)</x:f>
      </x:c>
      <x:c r="I236" t="str">
        <x:f>IF(CaseLedger!$A236="","",CaseLedger!R236)</x:f>
      </x:c>
      <x:c r="J236" t="str">
        <x:f>IF(CaseLedger!$A236="","",CaseLedger!S236)</x:f>
      </x:c>
      <x:c r="K236" t="str">
        <x:f>IF(CaseLedger!$A236="","",CaseLedger!T236)</x:f>
      </x:c>
      <x:c r="L236" t="str">
        <x:f>IF(CaseLedger!$A236="","",CaseLedger!U236)</x:f>
      </x:c>
      <x:c r="M236" t="str">
        <x:f>IF(CaseLedger!$A236="","",CaseLedger!V236)</x:f>
      </x:c>
      <x:c r="N236" t="str">
        <x:f>IF(CaseLedger!$A236="","",CaseLedger!W236)</x:f>
      </x:c>
      <x:c r="O236" t="str">
        <x:f>IF(CaseLedger!$A236="","",CaseLedger!X236)</x:f>
      </x:c>
      <x:c r="P236" t="str">
        <x:f>IF(CaseLedger!$A236="","",CaseLedger!E236)</x:f>
      </x:c>
      <x:c r="Q236" t="str">
        <x:f>IF(CaseLedger!$A236="","",CaseLedger!C236)</x:f>
      </x:c>
      <x:c r="R236" t="str">
        <x:f>IF(CaseLedger!$A236="","",CaseLedger!D236)</x:f>
      </x:c>
      <x:c r="S236" t="str">
        <x:f>IFERROR(IF(CaseLedger!$A236="","",CaseLedger!Y236),"")</x:f>
      </x:c>
      <x:c r="T236" t="str">
        <x:f>IFERROR(IF(CaseLedger!$A236="","",CaseLedger!Z236),"")</x:f>
      </x:c>
      <x:c r="U236" t="str">
        <x:f>IFERROR(IF(CaseLedger!$A236="","",CaseLedger!AA236),"")</x:f>
      </x:c>
      <x:c r="V236" t="str">
        <x:f>IFERROR(IF(CaseLedger!$A236="","",CaseLedger!AB236),"")</x:f>
      </x:c>
      <x:c r="W236" t="str">
        <x:f>IFERROR(IF(CaseLedger!$A236="","",CaseLedger!AC236),"")</x:f>
      </x:c>
      <x:c r="X236" t="str">
        <x:f>IFERROR(IF(CaseLedger!$A236="","",CaseLedger!AD236),"")</x:f>
      </x:c>
      <x:c r="Y236" t="str">
        <x:f>IFERROR(IF(CaseLedger!$A236="","",CaseLedger!AE236),"")</x:f>
      </x:c>
      <x:c r="Z236" t="str">
        <x:f>IFERROR(IF(CaseLedger!$A236="","",CaseLedger!AF236),"")</x:f>
      </x:c>
      <x:c r="AA236" t="str">
        <x:f>IFERROR(IF(CaseLedger!$A236="","",CaseLedger!AG236),"")</x:f>
      </x:c>
      <x:c r="AB236" t="str">
        <x:f>IFERROR(IF(CaseLedger!$A236="","",CaseLedger!AH236),"")</x:f>
      </x:c>
      <x:c r="AC236" t="str">
        <x:f>IFERROR(IF(CaseLedger!$A236="","",CaseLedger!AI236),"")</x:f>
      </x:c>
    </x:row>
    <x:row r="237">
      <x:c r="A237" t="str">
        <x:f>IF(CaseLedger!$A237="","",CaseLedger!A237)</x:f>
      </x:c>
      <x:c r="B237" t="str">
        <x:f>IF(CaseLedger!$A237="","",CaseLedger!I237)</x:f>
      </x:c>
      <x:c r="C237" t="str">
        <x:f>IF(CaseLedger!$A237="","",CaseLedger!J237)</x:f>
      </x:c>
      <x:c r="D237" t="str">
        <x:f>IF(CaseLedger!$A237="","",CaseLedger!K237)</x:f>
      </x:c>
      <x:c r="E237" t="str">
        <x:f>IF(CaseLedger!$A237="","",CaseLedger!L237)</x:f>
      </x:c>
      <x:c r="F237" t="str">
        <x:f>IF(CaseLedger!$A237="","",CaseLedger!P237)</x:f>
      </x:c>
      <x:c r="G237" t="str">
        <x:f>IF(CaseLedger!$A237="","",CaseLedger!F237)</x:f>
      </x:c>
      <x:c r="H237" t="str">
        <x:f>IF(CaseLedger!$A237="","",CaseLedger!Q237)</x:f>
      </x:c>
      <x:c r="I237" t="str">
        <x:f>IF(CaseLedger!$A237="","",CaseLedger!R237)</x:f>
      </x:c>
      <x:c r="J237" t="str">
        <x:f>IF(CaseLedger!$A237="","",CaseLedger!S237)</x:f>
      </x:c>
      <x:c r="K237" t="str">
        <x:f>IF(CaseLedger!$A237="","",CaseLedger!T237)</x:f>
      </x:c>
      <x:c r="L237" t="str">
        <x:f>IF(CaseLedger!$A237="","",CaseLedger!U237)</x:f>
      </x:c>
      <x:c r="M237" t="str">
        <x:f>IF(CaseLedger!$A237="","",CaseLedger!V237)</x:f>
      </x:c>
      <x:c r="N237" t="str">
        <x:f>IF(CaseLedger!$A237="","",CaseLedger!W237)</x:f>
      </x:c>
      <x:c r="O237" t="str">
        <x:f>IF(CaseLedger!$A237="","",CaseLedger!X237)</x:f>
      </x:c>
      <x:c r="P237" t="str">
        <x:f>IF(CaseLedger!$A237="","",CaseLedger!E237)</x:f>
      </x:c>
      <x:c r="Q237" t="str">
        <x:f>IF(CaseLedger!$A237="","",CaseLedger!C237)</x:f>
      </x:c>
      <x:c r="R237" t="str">
        <x:f>IF(CaseLedger!$A237="","",CaseLedger!D237)</x:f>
      </x:c>
      <x:c r="S237" t="str">
        <x:f>IFERROR(IF(CaseLedger!$A237="","",CaseLedger!Y237),"")</x:f>
      </x:c>
      <x:c r="T237" t="str">
        <x:f>IFERROR(IF(CaseLedger!$A237="","",CaseLedger!Z237),"")</x:f>
      </x:c>
      <x:c r="U237" t="str">
        <x:f>IFERROR(IF(CaseLedger!$A237="","",CaseLedger!AA237),"")</x:f>
      </x:c>
      <x:c r="V237" t="str">
        <x:f>IFERROR(IF(CaseLedger!$A237="","",CaseLedger!AB237),"")</x:f>
      </x:c>
      <x:c r="W237" t="str">
        <x:f>IFERROR(IF(CaseLedger!$A237="","",CaseLedger!AC237),"")</x:f>
      </x:c>
      <x:c r="X237" t="str">
        <x:f>IFERROR(IF(CaseLedger!$A237="","",CaseLedger!AD237),"")</x:f>
      </x:c>
      <x:c r="Y237" t="str">
        <x:f>IFERROR(IF(CaseLedger!$A237="","",CaseLedger!AE237),"")</x:f>
      </x:c>
      <x:c r="Z237" t="str">
        <x:f>IFERROR(IF(CaseLedger!$A237="","",CaseLedger!AF237),"")</x:f>
      </x:c>
      <x:c r="AA237" t="str">
        <x:f>IFERROR(IF(CaseLedger!$A237="","",CaseLedger!AG237),"")</x:f>
      </x:c>
      <x:c r="AB237" t="str">
        <x:f>IFERROR(IF(CaseLedger!$A237="","",CaseLedger!AH237),"")</x:f>
      </x:c>
      <x:c r="AC237" t="str">
        <x:f>IFERROR(IF(CaseLedger!$A237="","",CaseLedger!AI237),"")</x:f>
      </x:c>
    </x:row>
    <x:row r="238">
      <x:c r="A238" t="str">
        <x:f>IF(CaseLedger!$A238="","",CaseLedger!A238)</x:f>
      </x:c>
      <x:c r="B238" t="str">
        <x:f>IF(CaseLedger!$A238="","",CaseLedger!I238)</x:f>
      </x:c>
      <x:c r="C238" t="str">
        <x:f>IF(CaseLedger!$A238="","",CaseLedger!J238)</x:f>
      </x:c>
      <x:c r="D238" t="str">
        <x:f>IF(CaseLedger!$A238="","",CaseLedger!K238)</x:f>
      </x:c>
      <x:c r="E238" t="str">
        <x:f>IF(CaseLedger!$A238="","",CaseLedger!L238)</x:f>
      </x:c>
      <x:c r="F238" t="str">
        <x:f>IF(CaseLedger!$A238="","",CaseLedger!P238)</x:f>
      </x:c>
      <x:c r="G238" t="str">
        <x:f>IF(CaseLedger!$A238="","",CaseLedger!F238)</x:f>
      </x:c>
      <x:c r="H238" t="str">
        <x:f>IF(CaseLedger!$A238="","",CaseLedger!Q238)</x:f>
      </x:c>
      <x:c r="I238" t="str">
        <x:f>IF(CaseLedger!$A238="","",CaseLedger!R238)</x:f>
      </x:c>
      <x:c r="J238" t="str">
        <x:f>IF(CaseLedger!$A238="","",CaseLedger!S238)</x:f>
      </x:c>
      <x:c r="K238" t="str">
        <x:f>IF(CaseLedger!$A238="","",CaseLedger!T238)</x:f>
      </x:c>
      <x:c r="L238" t="str">
        <x:f>IF(CaseLedger!$A238="","",CaseLedger!U238)</x:f>
      </x:c>
      <x:c r="M238" t="str">
        <x:f>IF(CaseLedger!$A238="","",CaseLedger!V238)</x:f>
      </x:c>
      <x:c r="N238" t="str">
        <x:f>IF(CaseLedger!$A238="","",CaseLedger!W238)</x:f>
      </x:c>
      <x:c r="O238" t="str">
        <x:f>IF(CaseLedger!$A238="","",CaseLedger!X238)</x:f>
      </x:c>
      <x:c r="P238" t="str">
        <x:f>IF(CaseLedger!$A238="","",CaseLedger!E238)</x:f>
      </x:c>
      <x:c r="Q238" t="str">
        <x:f>IF(CaseLedger!$A238="","",CaseLedger!C238)</x:f>
      </x:c>
      <x:c r="R238" t="str">
        <x:f>IF(CaseLedger!$A238="","",CaseLedger!D238)</x:f>
      </x:c>
      <x:c r="S238" t="str">
        <x:f>IFERROR(IF(CaseLedger!$A238="","",CaseLedger!Y238),"")</x:f>
      </x:c>
      <x:c r="T238" t="str">
        <x:f>IFERROR(IF(CaseLedger!$A238="","",CaseLedger!Z238),"")</x:f>
      </x:c>
      <x:c r="U238" t="str">
        <x:f>IFERROR(IF(CaseLedger!$A238="","",CaseLedger!AA238),"")</x:f>
      </x:c>
      <x:c r="V238" t="str">
        <x:f>IFERROR(IF(CaseLedger!$A238="","",CaseLedger!AB238),"")</x:f>
      </x:c>
      <x:c r="W238" t="str">
        <x:f>IFERROR(IF(CaseLedger!$A238="","",CaseLedger!AC238),"")</x:f>
      </x:c>
      <x:c r="X238" t="str">
        <x:f>IFERROR(IF(CaseLedger!$A238="","",CaseLedger!AD238),"")</x:f>
      </x:c>
      <x:c r="Y238" t="str">
        <x:f>IFERROR(IF(CaseLedger!$A238="","",CaseLedger!AE238),"")</x:f>
      </x:c>
      <x:c r="Z238" t="str">
        <x:f>IFERROR(IF(CaseLedger!$A238="","",CaseLedger!AF238),"")</x:f>
      </x:c>
      <x:c r="AA238" t="str">
        <x:f>IFERROR(IF(CaseLedger!$A238="","",CaseLedger!AG238),"")</x:f>
      </x:c>
      <x:c r="AB238" t="str">
        <x:f>IFERROR(IF(CaseLedger!$A238="","",CaseLedger!AH238),"")</x:f>
      </x:c>
      <x:c r="AC238" t="str">
        <x:f>IFERROR(IF(CaseLedger!$A238="","",CaseLedger!AI238),"")</x:f>
      </x:c>
    </x:row>
    <x:row r="239">
      <x:c r="A239" t="str">
        <x:f>IF(CaseLedger!$A239="","",CaseLedger!A239)</x:f>
      </x:c>
      <x:c r="B239" t="str">
        <x:f>IF(CaseLedger!$A239="","",CaseLedger!I239)</x:f>
      </x:c>
      <x:c r="C239" t="str">
        <x:f>IF(CaseLedger!$A239="","",CaseLedger!J239)</x:f>
      </x:c>
      <x:c r="D239" t="str">
        <x:f>IF(CaseLedger!$A239="","",CaseLedger!K239)</x:f>
      </x:c>
      <x:c r="E239" t="str">
        <x:f>IF(CaseLedger!$A239="","",CaseLedger!L239)</x:f>
      </x:c>
      <x:c r="F239" t="str">
        <x:f>IF(CaseLedger!$A239="","",CaseLedger!P239)</x:f>
      </x:c>
      <x:c r="G239" t="str">
        <x:f>IF(CaseLedger!$A239="","",CaseLedger!F239)</x:f>
      </x:c>
      <x:c r="H239" t="str">
        <x:f>IF(CaseLedger!$A239="","",CaseLedger!Q239)</x:f>
      </x:c>
      <x:c r="I239" t="str">
        <x:f>IF(CaseLedger!$A239="","",CaseLedger!R239)</x:f>
      </x:c>
      <x:c r="J239" t="str">
        <x:f>IF(CaseLedger!$A239="","",CaseLedger!S239)</x:f>
      </x:c>
      <x:c r="K239" t="str">
        <x:f>IF(CaseLedger!$A239="","",CaseLedger!T239)</x:f>
      </x:c>
      <x:c r="L239" t="str">
        <x:f>IF(CaseLedger!$A239="","",CaseLedger!U239)</x:f>
      </x:c>
      <x:c r="M239" t="str">
        <x:f>IF(CaseLedger!$A239="","",CaseLedger!V239)</x:f>
      </x:c>
      <x:c r="N239" t="str">
        <x:f>IF(CaseLedger!$A239="","",CaseLedger!W239)</x:f>
      </x:c>
      <x:c r="O239" t="str">
        <x:f>IF(CaseLedger!$A239="","",CaseLedger!X239)</x:f>
      </x:c>
      <x:c r="P239" t="str">
        <x:f>IF(CaseLedger!$A239="","",CaseLedger!E239)</x:f>
      </x:c>
      <x:c r="Q239" t="str">
        <x:f>IF(CaseLedger!$A239="","",CaseLedger!C239)</x:f>
      </x:c>
      <x:c r="R239" t="str">
        <x:f>IF(CaseLedger!$A239="","",CaseLedger!D239)</x:f>
      </x:c>
      <x:c r="S239" t="str">
        <x:f>IFERROR(IF(CaseLedger!$A239="","",CaseLedger!Y239),"")</x:f>
      </x:c>
      <x:c r="T239" t="str">
        <x:f>IFERROR(IF(CaseLedger!$A239="","",CaseLedger!Z239),"")</x:f>
      </x:c>
      <x:c r="U239" t="str">
        <x:f>IFERROR(IF(CaseLedger!$A239="","",CaseLedger!AA239),"")</x:f>
      </x:c>
      <x:c r="V239" t="str">
        <x:f>IFERROR(IF(CaseLedger!$A239="","",CaseLedger!AB239),"")</x:f>
      </x:c>
      <x:c r="W239" t="str">
        <x:f>IFERROR(IF(CaseLedger!$A239="","",CaseLedger!AC239),"")</x:f>
      </x:c>
      <x:c r="X239" t="str">
        <x:f>IFERROR(IF(CaseLedger!$A239="","",CaseLedger!AD239),"")</x:f>
      </x:c>
      <x:c r="Y239" t="str">
        <x:f>IFERROR(IF(CaseLedger!$A239="","",CaseLedger!AE239),"")</x:f>
      </x:c>
      <x:c r="Z239" t="str">
        <x:f>IFERROR(IF(CaseLedger!$A239="","",CaseLedger!AF239),"")</x:f>
      </x:c>
      <x:c r="AA239" t="str">
        <x:f>IFERROR(IF(CaseLedger!$A239="","",CaseLedger!AG239),"")</x:f>
      </x:c>
      <x:c r="AB239" t="str">
        <x:f>IFERROR(IF(CaseLedger!$A239="","",CaseLedger!AH239),"")</x:f>
      </x:c>
      <x:c r="AC239" t="str">
        <x:f>IFERROR(IF(CaseLedger!$A239="","",CaseLedger!AI239),"")</x:f>
      </x:c>
    </x:row>
    <x:row r="240">
      <x:c r="A240" t="str">
        <x:f>IF(CaseLedger!$A240="","",CaseLedger!A240)</x:f>
      </x:c>
      <x:c r="B240" t="str">
        <x:f>IF(CaseLedger!$A240="","",CaseLedger!I240)</x:f>
      </x:c>
      <x:c r="C240" t="str">
        <x:f>IF(CaseLedger!$A240="","",CaseLedger!J240)</x:f>
      </x:c>
      <x:c r="D240" t="str">
        <x:f>IF(CaseLedger!$A240="","",CaseLedger!K240)</x:f>
      </x:c>
      <x:c r="E240" t="str">
        <x:f>IF(CaseLedger!$A240="","",CaseLedger!L240)</x:f>
      </x:c>
      <x:c r="F240" t="str">
        <x:f>IF(CaseLedger!$A240="","",CaseLedger!P240)</x:f>
      </x:c>
      <x:c r="G240" t="str">
        <x:f>IF(CaseLedger!$A240="","",CaseLedger!F240)</x:f>
      </x:c>
      <x:c r="H240" t="str">
        <x:f>IF(CaseLedger!$A240="","",CaseLedger!Q240)</x:f>
      </x:c>
      <x:c r="I240" t="str">
        <x:f>IF(CaseLedger!$A240="","",CaseLedger!R240)</x:f>
      </x:c>
      <x:c r="J240" t="str">
        <x:f>IF(CaseLedger!$A240="","",CaseLedger!S240)</x:f>
      </x:c>
      <x:c r="K240" t="str">
        <x:f>IF(CaseLedger!$A240="","",CaseLedger!T240)</x:f>
      </x:c>
      <x:c r="L240" t="str">
        <x:f>IF(CaseLedger!$A240="","",CaseLedger!U240)</x:f>
      </x:c>
      <x:c r="M240" t="str">
        <x:f>IF(CaseLedger!$A240="","",CaseLedger!V240)</x:f>
      </x:c>
      <x:c r="N240" t="str">
        <x:f>IF(CaseLedger!$A240="","",CaseLedger!W240)</x:f>
      </x:c>
      <x:c r="O240" t="str">
        <x:f>IF(CaseLedger!$A240="","",CaseLedger!X240)</x:f>
      </x:c>
      <x:c r="P240" t="str">
        <x:f>IF(CaseLedger!$A240="","",CaseLedger!E240)</x:f>
      </x:c>
      <x:c r="Q240" t="str">
        <x:f>IF(CaseLedger!$A240="","",CaseLedger!C240)</x:f>
      </x:c>
      <x:c r="R240" t="str">
        <x:f>IF(CaseLedger!$A240="","",CaseLedger!D240)</x:f>
      </x:c>
      <x:c r="S240" t="str">
        <x:f>IFERROR(IF(CaseLedger!$A240="","",CaseLedger!Y240),"")</x:f>
      </x:c>
      <x:c r="T240" t="str">
        <x:f>IFERROR(IF(CaseLedger!$A240="","",CaseLedger!Z240),"")</x:f>
      </x:c>
      <x:c r="U240" t="str">
        <x:f>IFERROR(IF(CaseLedger!$A240="","",CaseLedger!AA240),"")</x:f>
      </x:c>
      <x:c r="V240" t="str">
        <x:f>IFERROR(IF(CaseLedger!$A240="","",CaseLedger!AB240),"")</x:f>
      </x:c>
      <x:c r="W240" t="str">
        <x:f>IFERROR(IF(CaseLedger!$A240="","",CaseLedger!AC240),"")</x:f>
      </x:c>
      <x:c r="X240" t="str">
        <x:f>IFERROR(IF(CaseLedger!$A240="","",CaseLedger!AD240),"")</x:f>
      </x:c>
      <x:c r="Y240" t="str">
        <x:f>IFERROR(IF(CaseLedger!$A240="","",CaseLedger!AE240),"")</x:f>
      </x:c>
      <x:c r="Z240" t="str">
        <x:f>IFERROR(IF(CaseLedger!$A240="","",CaseLedger!AF240),"")</x:f>
      </x:c>
      <x:c r="AA240" t="str">
        <x:f>IFERROR(IF(CaseLedger!$A240="","",CaseLedger!AG240),"")</x:f>
      </x:c>
      <x:c r="AB240" t="str">
        <x:f>IFERROR(IF(CaseLedger!$A240="","",CaseLedger!AH240),"")</x:f>
      </x:c>
      <x:c r="AC240" t="str">
        <x:f>IFERROR(IF(CaseLedger!$A240="","",CaseLedger!AI240),"")</x:f>
      </x:c>
    </x:row>
    <x:row r="241">
      <x:c r="A241" t="str">
        <x:f>IF(CaseLedger!$A241="","",CaseLedger!A241)</x:f>
      </x:c>
      <x:c r="B241" t="str">
        <x:f>IF(CaseLedger!$A241="","",CaseLedger!I241)</x:f>
      </x:c>
      <x:c r="C241" t="str">
        <x:f>IF(CaseLedger!$A241="","",CaseLedger!J241)</x:f>
      </x:c>
      <x:c r="D241" t="str">
        <x:f>IF(CaseLedger!$A241="","",CaseLedger!K241)</x:f>
      </x:c>
      <x:c r="E241" t="str">
        <x:f>IF(CaseLedger!$A241="","",CaseLedger!L241)</x:f>
      </x:c>
      <x:c r="F241" t="str">
        <x:f>IF(CaseLedger!$A241="","",CaseLedger!P241)</x:f>
      </x:c>
      <x:c r="G241" t="str">
        <x:f>IF(CaseLedger!$A241="","",CaseLedger!F241)</x:f>
      </x:c>
      <x:c r="H241" t="str">
        <x:f>IF(CaseLedger!$A241="","",CaseLedger!Q241)</x:f>
      </x:c>
      <x:c r="I241" t="str">
        <x:f>IF(CaseLedger!$A241="","",CaseLedger!R241)</x:f>
      </x:c>
      <x:c r="J241" t="str">
        <x:f>IF(CaseLedger!$A241="","",CaseLedger!S241)</x:f>
      </x:c>
      <x:c r="K241" t="str">
        <x:f>IF(CaseLedger!$A241="","",CaseLedger!T241)</x:f>
      </x:c>
      <x:c r="L241" t="str">
        <x:f>IF(CaseLedger!$A241="","",CaseLedger!U241)</x:f>
      </x:c>
      <x:c r="M241" t="str">
        <x:f>IF(CaseLedger!$A241="","",CaseLedger!V241)</x:f>
      </x:c>
      <x:c r="N241" t="str">
        <x:f>IF(CaseLedger!$A241="","",CaseLedger!W241)</x:f>
      </x:c>
      <x:c r="O241" t="str">
        <x:f>IF(CaseLedger!$A241="","",CaseLedger!X241)</x:f>
      </x:c>
      <x:c r="P241" t="str">
        <x:f>IF(CaseLedger!$A241="","",CaseLedger!E241)</x:f>
      </x:c>
      <x:c r="Q241" t="str">
        <x:f>IF(CaseLedger!$A241="","",CaseLedger!C241)</x:f>
      </x:c>
      <x:c r="R241" t="str">
        <x:f>IF(CaseLedger!$A241="","",CaseLedger!D241)</x:f>
      </x:c>
      <x:c r="S241" t="str">
        <x:f>IFERROR(IF(CaseLedger!$A241="","",CaseLedger!Y241),"")</x:f>
      </x:c>
      <x:c r="T241" t="str">
        <x:f>IFERROR(IF(CaseLedger!$A241="","",CaseLedger!Z241),"")</x:f>
      </x:c>
      <x:c r="U241" t="str">
        <x:f>IFERROR(IF(CaseLedger!$A241="","",CaseLedger!AA241),"")</x:f>
      </x:c>
      <x:c r="V241" t="str">
        <x:f>IFERROR(IF(CaseLedger!$A241="","",CaseLedger!AB241),"")</x:f>
      </x:c>
      <x:c r="W241" t="str">
        <x:f>IFERROR(IF(CaseLedger!$A241="","",CaseLedger!AC241),"")</x:f>
      </x:c>
      <x:c r="X241" t="str">
        <x:f>IFERROR(IF(CaseLedger!$A241="","",CaseLedger!AD241),"")</x:f>
      </x:c>
      <x:c r="Y241" t="str">
        <x:f>IFERROR(IF(CaseLedger!$A241="","",CaseLedger!AE241),"")</x:f>
      </x:c>
      <x:c r="Z241" t="str">
        <x:f>IFERROR(IF(CaseLedger!$A241="","",CaseLedger!AF241),"")</x:f>
      </x:c>
      <x:c r="AA241" t="str">
        <x:f>IFERROR(IF(CaseLedger!$A241="","",CaseLedger!AG241),"")</x:f>
      </x:c>
      <x:c r="AB241" t="str">
        <x:f>IFERROR(IF(CaseLedger!$A241="","",CaseLedger!AH241),"")</x:f>
      </x:c>
      <x:c r="AC241" t="str">
        <x:f>IFERROR(IF(CaseLedger!$A241="","",CaseLedger!AI241),"")</x:f>
      </x:c>
    </x:row>
    <x:row r="242">
      <x:c r="A242" t="str">
        <x:f>IF(CaseLedger!$A242="","",CaseLedger!A242)</x:f>
      </x:c>
      <x:c r="B242" t="str">
        <x:f>IF(CaseLedger!$A242="","",CaseLedger!I242)</x:f>
      </x:c>
      <x:c r="C242" t="str">
        <x:f>IF(CaseLedger!$A242="","",CaseLedger!J242)</x:f>
      </x:c>
      <x:c r="D242" t="str">
        <x:f>IF(CaseLedger!$A242="","",CaseLedger!K242)</x:f>
      </x:c>
      <x:c r="E242" t="str">
        <x:f>IF(CaseLedger!$A242="","",CaseLedger!L242)</x:f>
      </x:c>
      <x:c r="F242" t="str">
        <x:f>IF(CaseLedger!$A242="","",CaseLedger!P242)</x:f>
      </x:c>
      <x:c r="G242" t="str">
        <x:f>IF(CaseLedger!$A242="","",CaseLedger!F242)</x:f>
      </x:c>
      <x:c r="H242" t="str">
        <x:f>IF(CaseLedger!$A242="","",CaseLedger!Q242)</x:f>
      </x:c>
      <x:c r="I242" t="str">
        <x:f>IF(CaseLedger!$A242="","",CaseLedger!R242)</x:f>
      </x:c>
      <x:c r="J242" t="str">
        <x:f>IF(CaseLedger!$A242="","",CaseLedger!S242)</x:f>
      </x:c>
      <x:c r="K242" t="str">
        <x:f>IF(CaseLedger!$A242="","",CaseLedger!T242)</x:f>
      </x:c>
      <x:c r="L242" t="str">
        <x:f>IF(CaseLedger!$A242="","",CaseLedger!U242)</x:f>
      </x:c>
      <x:c r="M242" t="str">
        <x:f>IF(CaseLedger!$A242="","",CaseLedger!V242)</x:f>
      </x:c>
      <x:c r="N242" t="str">
        <x:f>IF(CaseLedger!$A242="","",CaseLedger!W242)</x:f>
      </x:c>
      <x:c r="O242" t="str">
        <x:f>IF(CaseLedger!$A242="","",CaseLedger!X242)</x:f>
      </x:c>
      <x:c r="P242" t="str">
        <x:f>IF(CaseLedger!$A242="","",CaseLedger!E242)</x:f>
      </x:c>
      <x:c r="Q242" t="str">
        <x:f>IF(CaseLedger!$A242="","",CaseLedger!C242)</x:f>
      </x:c>
      <x:c r="R242" t="str">
        <x:f>IF(CaseLedger!$A242="","",CaseLedger!D242)</x:f>
      </x:c>
      <x:c r="S242" t="str">
        <x:f>IFERROR(IF(CaseLedger!$A242="","",CaseLedger!Y242),"")</x:f>
      </x:c>
      <x:c r="T242" t="str">
        <x:f>IFERROR(IF(CaseLedger!$A242="","",CaseLedger!Z242),"")</x:f>
      </x:c>
      <x:c r="U242" t="str">
        <x:f>IFERROR(IF(CaseLedger!$A242="","",CaseLedger!AA242),"")</x:f>
      </x:c>
      <x:c r="V242" t="str">
        <x:f>IFERROR(IF(CaseLedger!$A242="","",CaseLedger!AB242),"")</x:f>
      </x:c>
      <x:c r="W242" t="str">
        <x:f>IFERROR(IF(CaseLedger!$A242="","",CaseLedger!AC242),"")</x:f>
      </x:c>
      <x:c r="X242" t="str">
        <x:f>IFERROR(IF(CaseLedger!$A242="","",CaseLedger!AD242),"")</x:f>
      </x:c>
      <x:c r="Y242" t="str">
        <x:f>IFERROR(IF(CaseLedger!$A242="","",CaseLedger!AE242),"")</x:f>
      </x:c>
      <x:c r="Z242" t="str">
        <x:f>IFERROR(IF(CaseLedger!$A242="","",CaseLedger!AF242),"")</x:f>
      </x:c>
      <x:c r="AA242" t="str">
        <x:f>IFERROR(IF(CaseLedger!$A242="","",CaseLedger!AG242),"")</x:f>
      </x:c>
      <x:c r="AB242" t="str">
        <x:f>IFERROR(IF(CaseLedger!$A242="","",CaseLedger!AH242),"")</x:f>
      </x:c>
      <x:c r="AC242" t="str">
        <x:f>IFERROR(IF(CaseLedger!$A242="","",CaseLedger!AI242),"")</x:f>
      </x:c>
    </x:row>
    <x:row r="243">
      <x:c r="A243" t="str">
        <x:f>IF(CaseLedger!$A243="","",CaseLedger!A243)</x:f>
      </x:c>
      <x:c r="B243" t="str">
        <x:f>IF(CaseLedger!$A243="","",CaseLedger!I243)</x:f>
      </x:c>
      <x:c r="C243" t="str">
        <x:f>IF(CaseLedger!$A243="","",CaseLedger!J243)</x:f>
      </x:c>
      <x:c r="D243" t="str">
        <x:f>IF(CaseLedger!$A243="","",CaseLedger!K243)</x:f>
      </x:c>
      <x:c r="E243" t="str">
        <x:f>IF(CaseLedger!$A243="","",CaseLedger!L243)</x:f>
      </x:c>
      <x:c r="F243" t="str">
        <x:f>IF(CaseLedger!$A243="","",CaseLedger!P243)</x:f>
      </x:c>
      <x:c r="G243" t="str">
        <x:f>IF(CaseLedger!$A243="","",CaseLedger!F243)</x:f>
      </x:c>
      <x:c r="H243" t="str">
        <x:f>IF(CaseLedger!$A243="","",CaseLedger!Q243)</x:f>
      </x:c>
      <x:c r="I243" t="str">
        <x:f>IF(CaseLedger!$A243="","",CaseLedger!R243)</x:f>
      </x:c>
      <x:c r="J243" t="str">
        <x:f>IF(CaseLedger!$A243="","",CaseLedger!S243)</x:f>
      </x:c>
      <x:c r="K243" t="str">
        <x:f>IF(CaseLedger!$A243="","",CaseLedger!T243)</x:f>
      </x:c>
      <x:c r="L243" t="str">
        <x:f>IF(CaseLedger!$A243="","",CaseLedger!U243)</x:f>
      </x:c>
      <x:c r="M243" t="str">
        <x:f>IF(CaseLedger!$A243="","",CaseLedger!V243)</x:f>
      </x:c>
      <x:c r="N243" t="str">
        <x:f>IF(CaseLedger!$A243="","",CaseLedger!W243)</x:f>
      </x:c>
      <x:c r="O243" t="str">
        <x:f>IF(CaseLedger!$A243="","",CaseLedger!X243)</x:f>
      </x:c>
      <x:c r="P243" t="str">
        <x:f>IF(CaseLedger!$A243="","",CaseLedger!E243)</x:f>
      </x:c>
      <x:c r="Q243" t="str">
        <x:f>IF(CaseLedger!$A243="","",CaseLedger!C243)</x:f>
      </x:c>
      <x:c r="R243" t="str">
        <x:f>IF(CaseLedger!$A243="","",CaseLedger!D243)</x:f>
      </x:c>
      <x:c r="S243" t="str">
        <x:f>IFERROR(IF(CaseLedger!$A243="","",CaseLedger!Y243),"")</x:f>
      </x:c>
      <x:c r="T243" t="str">
        <x:f>IFERROR(IF(CaseLedger!$A243="","",CaseLedger!Z243),"")</x:f>
      </x:c>
      <x:c r="U243" t="str">
        <x:f>IFERROR(IF(CaseLedger!$A243="","",CaseLedger!AA243),"")</x:f>
      </x:c>
      <x:c r="V243" t="str">
        <x:f>IFERROR(IF(CaseLedger!$A243="","",CaseLedger!AB243),"")</x:f>
      </x:c>
      <x:c r="W243" t="str">
        <x:f>IFERROR(IF(CaseLedger!$A243="","",CaseLedger!AC243),"")</x:f>
      </x:c>
      <x:c r="X243" t="str">
        <x:f>IFERROR(IF(CaseLedger!$A243="","",CaseLedger!AD243),"")</x:f>
      </x:c>
      <x:c r="Y243" t="str">
        <x:f>IFERROR(IF(CaseLedger!$A243="","",CaseLedger!AE243),"")</x:f>
      </x:c>
      <x:c r="Z243" t="str">
        <x:f>IFERROR(IF(CaseLedger!$A243="","",CaseLedger!AF243),"")</x:f>
      </x:c>
      <x:c r="AA243" t="str">
        <x:f>IFERROR(IF(CaseLedger!$A243="","",CaseLedger!AG243),"")</x:f>
      </x:c>
      <x:c r="AB243" t="str">
        <x:f>IFERROR(IF(CaseLedger!$A243="","",CaseLedger!AH243),"")</x:f>
      </x:c>
      <x:c r="AC243" t="str">
        <x:f>IFERROR(IF(CaseLedger!$A243="","",CaseLedger!AI243),"")</x:f>
      </x:c>
    </x:row>
    <x:row r="244">
      <x:c r="A244" t="str">
        <x:f>IF(CaseLedger!$A244="","",CaseLedger!A244)</x:f>
      </x:c>
      <x:c r="B244" t="str">
        <x:f>IF(CaseLedger!$A244="","",CaseLedger!I244)</x:f>
      </x:c>
      <x:c r="C244" t="str">
        <x:f>IF(CaseLedger!$A244="","",CaseLedger!J244)</x:f>
      </x:c>
      <x:c r="D244" t="str">
        <x:f>IF(CaseLedger!$A244="","",CaseLedger!K244)</x:f>
      </x:c>
      <x:c r="E244" t="str">
        <x:f>IF(CaseLedger!$A244="","",CaseLedger!L244)</x:f>
      </x:c>
      <x:c r="F244" t="str">
        <x:f>IF(CaseLedger!$A244="","",CaseLedger!P244)</x:f>
      </x:c>
      <x:c r="G244" t="str">
        <x:f>IF(CaseLedger!$A244="","",CaseLedger!F244)</x:f>
      </x:c>
      <x:c r="H244" t="str">
        <x:f>IF(CaseLedger!$A244="","",CaseLedger!Q244)</x:f>
      </x:c>
      <x:c r="I244" t="str">
        <x:f>IF(CaseLedger!$A244="","",CaseLedger!R244)</x:f>
      </x:c>
      <x:c r="J244" t="str">
        <x:f>IF(CaseLedger!$A244="","",CaseLedger!S244)</x:f>
      </x:c>
      <x:c r="K244" t="str">
        <x:f>IF(CaseLedger!$A244="","",CaseLedger!T244)</x:f>
      </x:c>
      <x:c r="L244" t="str">
        <x:f>IF(CaseLedger!$A244="","",CaseLedger!U244)</x:f>
      </x:c>
      <x:c r="M244" t="str">
        <x:f>IF(CaseLedger!$A244="","",CaseLedger!V244)</x:f>
      </x:c>
      <x:c r="N244" t="str">
        <x:f>IF(CaseLedger!$A244="","",CaseLedger!W244)</x:f>
      </x:c>
      <x:c r="O244" t="str">
        <x:f>IF(CaseLedger!$A244="","",CaseLedger!X244)</x:f>
      </x:c>
      <x:c r="P244" t="str">
        <x:f>IF(CaseLedger!$A244="","",CaseLedger!E244)</x:f>
      </x:c>
      <x:c r="Q244" t="str">
        <x:f>IF(CaseLedger!$A244="","",CaseLedger!C244)</x:f>
      </x:c>
      <x:c r="R244" t="str">
        <x:f>IF(CaseLedger!$A244="","",CaseLedger!D244)</x:f>
      </x:c>
      <x:c r="S244" t="str">
        <x:f>IFERROR(IF(CaseLedger!$A244="","",CaseLedger!Y244),"")</x:f>
      </x:c>
      <x:c r="T244" t="str">
        <x:f>IFERROR(IF(CaseLedger!$A244="","",CaseLedger!Z244),"")</x:f>
      </x:c>
      <x:c r="U244" t="str">
        <x:f>IFERROR(IF(CaseLedger!$A244="","",CaseLedger!AA244),"")</x:f>
      </x:c>
      <x:c r="V244" t="str">
        <x:f>IFERROR(IF(CaseLedger!$A244="","",CaseLedger!AB244),"")</x:f>
      </x:c>
      <x:c r="W244" t="str">
        <x:f>IFERROR(IF(CaseLedger!$A244="","",CaseLedger!AC244),"")</x:f>
      </x:c>
      <x:c r="X244" t="str">
        <x:f>IFERROR(IF(CaseLedger!$A244="","",CaseLedger!AD244),"")</x:f>
      </x:c>
      <x:c r="Y244" t="str">
        <x:f>IFERROR(IF(CaseLedger!$A244="","",CaseLedger!AE244),"")</x:f>
      </x:c>
      <x:c r="Z244" t="str">
        <x:f>IFERROR(IF(CaseLedger!$A244="","",CaseLedger!AF244),"")</x:f>
      </x:c>
      <x:c r="AA244" t="str">
        <x:f>IFERROR(IF(CaseLedger!$A244="","",CaseLedger!AG244),"")</x:f>
      </x:c>
      <x:c r="AB244" t="str">
        <x:f>IFERROR(IF(CaseLedger!$A244="","",CaseLedger!AH244),"")</x:f>
      </x:c>
      <x:c r="AC244" t="str">
        <x:f>IFERROR(IF(CaseLedger!$A244="","",CaseLedger!AI244),"")</x:f>
      </x:c>
    </x:row>
    <x:row r="245">
      <x:c r="A245" t="str">
        <x:f>IF(CaseLedger!$A245="","",CaseLedger!A245)</x:f>
      </x:c>
      <x:c r="B245" t="str">
        <x:f>IF(CaseLedger!$A245="","",CaseLedger!I245)</x:f>
      </x:c>
      <x:c r="C245" t="str">
        <x:f>IF(CaseLedger!$A245="","",CaseLedger!J245)</x:f>
      </x:c>
      <x:c r="D245" t="str">
        <x:f>IF(CaseLedger!$A245="","",CaseLedger!K245)</x:f>
      </x:c>
      <x:c r="E245" t="str">
        <x:f>IF(CaseLedger!$A245="","",CaseLedger!L245)</x:f>
      </x:c>
      <x:c r="F245" t="str">
        <x:f>IF(CaseLedger!$A245="","",CaseLedger!P245)</x:f>
      </x:c>
      <x:c r="G245" t="str">
        <x:f>IF(CaseLedger!$A245="","",CaseLedger!F245)</x:f>
      </x:c>
      <x:c r="H245" t="str">
        <x:f>IF(CaseLedger!$A245="","",CaseLedger!Q245)</x:f>
      </x:c>
      <x:c r="I245" t="str">
        <x:f>IF(CaseLedger!$A245="","",CaseLedger!R245)</x:f>
      </x:c>
      <x:c r="J245" t="str">
        <x:f>IF(CaseLedger!$A245="","",CaseLedger!S245)</x:f>
      </x:c>
      <x:c r="K245" t="str">
        <x:f>IF(CaseLedger!$A245="","",CaseLedger!T245)</x:f>
      </x:c>
      <x:c r="L245" t="str">
        <x:f>IF(CaseLedger!$A245="","",CaseLedger!U245)</x:f>
      </x:c>
      <x:c r="M245" t="str">
        <x:f>IF(CaseLedger!$A245="","",CaseLedger!V245)</x:f>
      </x:c>
      <x:c r="N245" t="str">
        <x:f>IF(CaseLedger!$A245="","",CaseLedger!W245)</x:f>
      </x:c>
      <x:c r="O245" t="str">
        <x:f>IF(CaseLedger!$A245="","",CaseLedger!X245)</x:f>
      </x:c>
      <x:c r="P245" t="str">
        <x:f>IF(CaseLedger!$A245="","",CaseLedger!E245)</x:f>
      </x:c>
      <x:c r="Q245" t="str">
        <x:f>IF(CaseLedger!$A245="","",CaseLedger!C245)</x:f>
      </x:c>
      <x:c r="R245" t="str">
        <x:f>IF(CaseLedger!$A245="","",CaseLedger!D245)</x:f>
      </x:c>
      <x:c r="S245" t="str">
        <x:f>IFERROR(IF(CaseLedger!$A245="","",CaseLedger!Y245),"")</x:f>
      </x:c>
      <x:c r="T245" t="str">
        <x:f>IFERROR(IF(CaseLedger!$A245="","",CaseLedger!Z245),"")</x:f>
      </x:c>
      <x:c r="U245" t="str">
        <x:f>IFERROR(IF(CaseLedger!$A245="","",CaseLedger!AA245),"")</x:f>
      </x:c>
      <x:c r="V245" t="str">
        <x:f>IFERROR(IF(CaseLedger!$A245="","",CaseLedger!AB245),"")</x:f>
      </x:c>
      <x:c r="W245" t="str">
        <x:f>IFERROR(IF(CaseLedger!$A245="","",CaseLedger!AC245),"")</x:f>
      </x:c>
      <x:c r="X245" t="str">
        <x:f>IFERROR(IF(CaseLedger!$A245="","",CaseLedger!AD245),"")</x:f>
      </x:c>
      <x:c r="Y245" t="str">
        <x:f>IFERROR(IF(CaseLedger!$A245="","",CaseLedger!AE245),"")</x:f>
      </x:c>
      <x:c r="Z245" t="str">
        <x:f>IFERROR(IF(CaseLedger!$A245="","",CaseLedger!AF245),"")</x:f>
      </x:c>
      <x:c r="AA245" t="str">
        <x:f>IFERROR(IF(CaseLedger!$A245="","",CaseLedger!AG245),"")</x:f>
      </x:c>
      <x:c r="AB245" t="str">
        <x:f>IFERROR(IF(CaseLedger!$A245="","",CaseLedger!AH245),"")</x:f>
      </x:c>
      <x:c r="AC245" t="str">
        <x:f>IFERROR(IF(CaseLedger!$A245="","",CaseLedger!AI245),"")</x:f>
      </x:c>
    </x:row>
    <x:row r="246">
      <x:c r="A246" t="str">
        <x:f>IF(CaseLedger!$A246="","",CaseLedger!A246)</x:f>
      </x:c>
      <x:c r="B246" t="str">
        <x:f>IF(CaseLedger!$A246="","",CaseLedger!I246)</x:f>
      </x:c>
      <x:c r="C246" t="str">
        <x:f>IF(CaseLedger!$A246="","",CaseLedger!J246)</x:f>
      </x:c>
      <x:c r="D246" t="str">
        <x:f>IF(CaseLedger!$A246="","",CaseLedger!K246)</x:f>
      </x:c>
      <x:c r="E246" t="str">
        <x:f>IF(CaseLedger!$A246="","",CaseLedger!L246)</x:f>
      </x:c>
      <x:c r="F246" t="str">
        <x:f>IF(CaseLedger!$A246="","",CaseLedger!P246)</x:f>
      </x:c>
      <x:c r="G246" t="str">
        <x:f>IF(CaseLedger!$A246="","",CaseLedger!F246)</x:f>
      </x:c>
      <x:c r="H246" t="str">
        <x:f>IF(CaseLedger!$A246="","",CaseLedger!Q246)</x:f>
      </x:c>
      <x:c r="I246" t="str">
        <x:f>IF(CaseLedger!$A246="","",CaseLedger!R246)</x:f>
      </x:c>
      <x:c r="J246" t="str">
        <x:f>IF(CaseLedger!$A246="","",CaseLedger!S246)</x:f>
      </x:c>
      <x:c r="K246" t="str">
        <x:f>IF(CaseLedger!$A246="","",CaseLedger!T246)</x:f>
      </x:c>
      <x:c r="L246" t="str">
        <x:f>IF(CaseLedger!$A246="","",CaseLedger!U246)</x:f>
      </x:c>
      <x:c r="M246" t="str">
        <x:f>IF(CaseLedger!$A246="","",CaseLedger!V246)</x:f>
      </x:c>
      <x:c r="N246" t="str">
        <x:f>IF(CaseLedger!$A246="","",CaseLedger!W246)</x:f>
      </x:c>
      <x:c r="O246" t="str">
        <x:f>IF(CaseLedger!$A246="","",CaseLedger!X246)</x:f>
      </x:c>
      <x:c r="P246" t="str">
        <x:f>IF(CaseLedger!$A246="","",CaseLedger!E246)</x:f>
      </x:c>
      <x:c r="Q246" t="str">
        <x:f>IF(CaseLedger!$A246="","",CaseLedger!C246)</x:f>
      </x:c>
      <x:c r="R246" t="str">
        <x:f>IF(CaseLedger!$A246="","",CaseLedger!D246)</x:f>
      </x:c>
      <x:c r="S246" t="str">
        <x:f>IFERROR(IF(CaseLedger!$A246="","",CaseLedger!Y246),"")</x:f>
      </x:c>
      <x:c r="T246" t="str">
        <x:f>IFERROR(IF(CaseLedger!$A246="","",CaseLedger!Z246),"")</x:f>
      </x:c>
      <x:c r="U246" t="str">
        <x:f>IFERROR(IF(CaseLedger!$A246="","",CaseLedger!AA246),"")</x:f>
      </x:c>
      <x:c r="V246" t="str">
        <x:f>IFERROR(IF(CaseLedger!$A246="","",CaseLedger!AB246),"")</x:f>
      </x:c>
      <x:c r="W246" t="str">
        <x:f>IFERROR(IF(CaseLedger!$A246="","",CaseLedger!AC246),"")</x:f>
      </x:c>
      <x:c r="X246" t="str">
        <x:f>IFERROR(IF(CaseLedger!$A246="","",CaseLedger!AD246),"")</x:f>
      </x:c>
      <x:c r="Y246" t="str">
        <x:f>IFERROR(IF(CaseLedger!$A246="","",CaseLedger!AE246),"")</x:f>
      </x:c>
      <x:c r="Z246" t="str">
        <x:f>IFERROR(IF(CaseLedger!$A246="","",CaseLedger!AF246),"")</x:f>
      </x:c>
      <x:c r="AA246" t="str">
        <x:f>IFERROR(IF(CaseLedger!$A246="","",CaseLedger!AG246),"")</x:f>
      </x:c>
      <x:c r="AB246" t="str">
        <x:f>IFERROR(IF(CaseLedger!$A246="","",CaseLedger!AH246),"")</x:f>
      </x:c>
      <x:c r="AC246" t="str">
        <x:f>IFERROR(IF(CaseLedger!$A246="","",CaseLedger!AI246),"")</x:f>
      </x:c>
    </x:row>
    <x:row r="247">
      <x:c r="A247" t="str">
        <x:f>IF(CaseLedger!$A247="","",CaseLedger!A247)</x:f>
      </x:c>
      <x:c r="B247" t="str">
        <x:f>IF(CaseLedger!$A247="","",CaseLedger!I247)</x:f>
      </x:c>
      <x:c r="C247" t="str">
        <x:f>IF(CaseLedger!$A247="","",CaseLedger!J247)</x:f>
      </x:c>
      <x:c r="D247" t="str">
        <x:f>IF(CaseLedger!$A247="","",CaseLedger!K247)</x:f>
      </x:c>
      <x:c r="E247" t="str">
        <x:f>IF(CaseLedger!$A247="","",CaseLedger!L247)</x:f>
      </x:c>
      <x:c r="F247" t="str">
        <x:f>IF(CaseLedger!$A247="","",CaseLedger!P247)</x:f>
      </x:c>
      <x:c r="G247" t="str">
        <x:f>IF(CaseLedger!$A247="","",CaseLedger!F247)</x:f>
      </x:c>
      <x:c r="H247" t="str">
        <x:f>IF(CaseLedger!$A247="","",CaseLedger!Q247)</x:f>
      </x:c>
      <x:c r="I247" t="str">
        <x:f>IF(CaseLedger!$A247="","",CaseLedger!R247)</x:f>
      </x:c>
      <x:c r="J247" t="str">
        <x:f>IF(CaseLedger!$A247="","",CaseLedger!S247)</x:f>
      </x:c>
      <x:c r="K247" t="str">
        <x:f>IF(CaseLedger!$A247="","",CaseLedger!T247)</x:f>
      </x:c>
      <x:c r="L247" t="str">
        <x:f>IF(CaseLedger!$A247="","",CaseLedger!U247)</x:f>
      </x:c>
      <x:c r="M247" t="str">
        <x:f>IF(CaseLedger!$A247="","",CaseLedger!V247)</x:f>
      </x:c>
      <x:c r="N247" t="str">
        <x:f>IF(CaseLedger!$A247="","",CaseLedger!W247)</x:f>
      </x:c>
      <x:c r="O247" t="str">
        <x:f>IF(CaseLedger!$A247="","",CaseLedger!X247)</x:f>
      </x:c>
      <x:c r="P247" t="str">
        <x:f>IF(CaseLedger!$A247="","",CaseLedger!E247)</x:f>
      </x:c>
      <x:c r="Q247" t="str">
        <x:f>IF(CaseLedger!$A247="","",CaseLedger!C247)</x:f>
      </x:c>
      <x:c r="R247" t="str">
        <x:f>IF(CaseLedger!$A247="","",CaseLedger!D247)</x:f>
      </x:c>
      <x:c r="S247" t="str">
        <x:f>IFERROR(IF(CaseLedger!$A247="","",CaseLedger!Y247),"")</x:f>
      </x:c>
      <x:c r="T247" t="str">
        <x:f>IFERROR(IF(CaseLedger!$A247="","",CaseLedger!Z247),"")</x:f>
      </x:c>
      <x:c r="U247" t="str">
        <x:f>IFERROR(IF(CaseLedger!$A247="","",CaseLedger!AA247),"")</x:f>
      </x:c>
      <x:c r="V247" t="str">
        <x:f>IFERROR(IF(CaseLedger!$A247="","",CaseLedger!AB247),"")</x:f>
      </x:c>
      <x:c r="W247" t="str">
        <x:f>IFERROR(IF(CaseLedger!$A247="","",CaseLedger!AC247),"")</x:f>
      </x:c>
      <x:c r="X247" t="str">
        <x:f>IFERROR(IF(CaseLedger!$A247="","",CaseLedger!AD247),"")</x:f>
      </x:c>
      <x:c r="Y247" t="str">
        <x:f>IFERROR(IF(CaseLedger!$A247="","",CaseLedger!AE247),"")</x:f>
      </x:c>
      <x:c r="Z247" t="str">
        <x:f>IFERROR(IF(CaseLedger!$A247="","",CaseLedger!AF247),"")</x:f>
      </x:c>
      <x:c r="AA247" t="str">
        <x:f>IFERROR(IF(CaseLedger!$A247="","",CaseLedger!AG247),"")</x:f>
      </x:c>
      <x:c r="AB247" t="str">
        <x:f>IFERROR(IF(CaseLedger!$A247="","",CaseLedger!AH247),"")</x:f>
      </x:c>
      <x:c r="AC247" t="str">
        <x:f>IFERROR(IF(CaseLedger!$A247="","",CaseLedger!AI247),"")</x:f>
      </x:c>
    </x:row>
    <x:row r="248">
      <x:c r="A248" t="str">
        <x:f>IF(CaseLedger!$A248="","",CaseLedger!A248)</x:f>
      </x:c>
      <x:c r="B248" t="str">
        <x:f>IF(CaseLedger!$A248="","",CaseLedger!I248)</x:f>
      </x:c>
      <x:c r="C248" t="str">
        <x:f>IF(CaseLedger!$A248="","",CaseLedger!J248)</x:f>
      </x:c>
      <x:c r="D248" t="str">
        <x:f>IF(CaseLedger!$A248="","",CaseLedger!K248)</x:f>
      </x:c>
      <x:c r="E248" t="str">
        <x:f>IF(CaseLedger!$A248="","",CaseLedger!L248)</x:f>
      </x:c>
      <x:c r="F248" t="str">
        <x:f>IF(CaseLedger!$A248="","",CaseLedger!P248)</x:f>
      </x:c>
      <x:c r="G248" t="str">
        <x:f>IF(CaseLedger!$A248="","",CaseLedger!F248)</x:f>
      </x:c>
      <x:c r="H248" t="str">
        <x:f>IF(CaseLedger!$A248="","",CaseLedger!Q248)</x:f>
      </x:c>
      <x:c r="I248" t="str">
        <x:f>IF(CaseLedger!$A248="","",CaseLedger!R248)</x:f>
      </x:c>
      <x:c r="J248" t="str">
        <x:f>IF(CaseLedger!$A248="","",CaseLedger!S248)</x:f>
      </x:c>
      <x:c r="K248" t="str">
        <x:f>IF(CaseLedger!$A248="","",CaseLedger!T248)</x:f>
      </x:c>
      <x:c r="L248" t="str">
        <x:f>IF(CaseLedger!$A248="","",CaseLedger!U248)</x:f>
      </x:c>
      <x:c r="M248" t="str">
        <x:f>IF(CaseLedger!$A248="","",CaseLedger!V248)</x:f>
      </x:c>
      <x:c r="N248" t="str">
        <x:f>IF(CaseLedger!$A248="","",CaseLedger!W248)</x:f>
      </x:c>
      <x:c r="O248" t="str">
        <x:f>IF(CaseLedger!$A248="","",CaseLedger!X248)</x:f>
      </x:c>
      <x:c r="P248" t="str">
        <x:f>IF(CaseLedger!$A248="","",CaseLedger!E248)</x:f>
      </x:c>
      <x:c r="Q248" t="str">
        <x:f>IF(CaseLedger!$A248="","",CaseLedger!C248)</x:f>
      </x:c>
      <x:c r="R248" t="str">
        <x:f>IF(CaseLedger!$A248="","",CaseLedger!D248)</x:f>
      </x:c>
      <x:c r="S248" t="str">
        <x:f>IFERROR(IF(CaseLedger!$A248="","",CaseLedger!Y248),"")</x:f>
      </x:c>
      <x:c r="T248" t="str">
        <x:f>IFERROR(IF(CaseLedger!$A248="","",CaseLedger!Z248),"")</x:f>
      </x:c>
      <x:c r="U248" t="str">
        <x:f>IFERROR(IF(CaseLedger!$A248="","",CaseLedger!AA248),"")</x:f>
      </x:c>
      <x:c r="V248" t="str">
        <x:f>IFERROR(IF(CaseLedger!$A248="","",CaseLedger!AB248),"")</x:f>
      </x:c>
      <x:c r="W248" t="str">
        <x:f>IFERROR(IF(CaseLedger!$A248="","",CaseLedger!AC248),"")</x:f>
      </x:c>
      <x:c r="X248" t="str">
        <x:f>IFERROR(IF(CaseLedger!$A248="","",CaseLedger!AD248),"")</x:f>
      </x:c>
      <x:c r="Y248" t="str">
        <x:f>IFERROR(IF(CaseLedger!$A248="","",CaseLedger!AE248),"")</x:f>
      </x:c>
      <x:c r="Z248" t="str">
        <x:f>IFERROR(IF(CaseLedger!$A248="","",CaseLedger!AF248),"")</x:f>
      </x:c>
      <x:c r="AA248" t="str">
        <x:f>IFERROR(IF(CaseLedger!$A248="","",CaseLedger!AG248),"")</x:f>
      </x:c>
      <x:c r="AB248" t="str">
        <x:f>IFERROR(IF(CaseLedger!$A248="","",CaseLedger!AH248),"")</x:f>
      </x:c>
      <x:c r="AC248" t="str">
        <x:f>IFERROR(IF(CaseLedger!$A248="","",CaseLedger!AI248),"")</x:f>
      </x:c>
    </x:row>
    <x:row r="249">
      <x:c r="A249" t="str">
        <x:f>IF(CaseLedger!$A249="","",CaseLedger!A249)</x:f>
      </x:c>
      <x:c r="B249" t="str">
        <x:f>IF(CaseLedger!$A249="","",CaseLedger!I249)</x:f>
      </x:c>
      <x:c r="C249" t="str">
        <x:f>IF(CaseLedger!$A249="","",CaseLedger!J249)</x:f>
      </x:c>
      <x:c r="D249" t="str">
        <x:f>IF(CaseLedger!$A249="","",CaseLedger!K249)</x:f>
      </x:c>
      <x:c r="E249" t="str">
        <x:f>IF(CaseLedger!$A249="","",CaseLedger!L249)</x:f>
      </x:c>
      <x:c r="F249" t="str">
        <x:f>IF(CaseLedger!$A249="","",CaseLedger!P249)</x:f>
      </x:c>
      <x:c r="G249" t="str">
        <x:f>IF(CaseLedger!$A249="","",CaseLedger!F249)</x:f>
      </x:c>
      <x:c r="H249" t="str">
        <x:f>IF(CaseLedger!$A249="","",CaseLedger!Q249)</x:f>
      </x:c>
      <x:c r="I249" t="str">
        <x:f>IF(CaseLedger!$A249="","",CaseLedger!R249)</x:f>
      </x:c>
      <x:c r="J249" t="str">
        <x:f>IF(CaseLedger!$A249="","",CaseLedger!S249)</x:f>
      </x:c>
      <x:c r="K249" t="str">
        <x:f>IF(CaseLedger!$A249="","",CaseLedger!T249)</x:f>
      </x:c>
      <x:c r="L249" t="str">
        <x:f>IF(CaseLedger!$A249="","",CaseLedger!U249)</x:f>
      </x:c>
      <x:c r="M249" t="str">
        <x:f>IF(CaseLedger!$A249="","",CaseLedger!V249)</x:f>
      </x:c>
      <x:c r="N249" t="str">
        <x:f>IF(CaseLedger!$A249="","",CaseLedger!W249)</x:f>
      </x:c>
      <x:c r="O249" t="str">
        <x:f>IF(CaseLedger!$A249="","",CaseLedger!X249)</x:f>
      </x:c>
      <x:c r="P249" t="str">
        <x:f>IF(CaseLedger!$A249="","",CaseLedger!E249)</x:f>
      </x:c>
      <x:c r="Q249" t="str">
        <x:f>IF(CaseLedger!$A249="","",CaseLedger!C249)</x:f>
      </x:c>
      <x:c r="R249" t="str">
        <x:f>IF(CaseLedger!$A249="","",CaseLedger!D249)</x:f>
      </x:c>
      <x:c r="S249" t="str">
        <x:f>IFERROR(IF(CaseLedger!$A249="","",CaseLedger!Y249),"")</x:f>
      </x:c>
      <x:c r="T249" t="str">
        <x:f>IFERROR(IF(CaseLedger!$A249="","",CaseLedger!Z249),"")</x:f>
      </x:c>
      <x:c r="U249" t="str">
        <x:f>IFERROR(IF(CaseLedger!$A249="","",CaseLedger!AA249),"")</x:f>
      </x:c>
      <x:c r="V249" t="str">
        <x:f>IFERROR(IF(CaseLedger!$A249="","",CaseLedger!AB249),"")</x:f>
      </x:c>
      <x:c r="W249" t="str">
        <x:f>IFERROR(IF(CaseLedger!$A249="","",CaseLedger!AC249),"")</x:f>
      </x:c>
      <x:c r="X249" t="str">
        <x:f>IFERROR(IF(CaseLedger!$A249="","",CaseLedger!AD249),"")</x:f>
      </x:c>
      <x:c r="Y249" t="str">
        <x:f>IFERROR(IF(CaseLedger!$A249="","",CaseLedger!AE249),"")</x:f>
      </x:c>
      <x:c r="Z249" t="str">
        <x:f>IFERROR(IF(CaseLedger!$A249="","",CaseLedger!AF249),"")</x:f>
      </x:c>
      <x:c r="AA249" t="str">
        <x:f>IFERROR(IF(CaseLedger!$A249="","",CaseLedger!AG249),"")</x:f>
      </x:c>
      <x:c r="AB249" t="str">
        <x:f>IFERROR(IF(CaseLedger!$A249="","",CaseLedger!AH249),"")</x:f>
      </x:c>
      <x:c r="AC249" t="str">
        <x:f>IFERROR(IF(CaseLedger!$A249="","",CaseLedger!AI249),"")</x:f>
      </x:c>
    </x:row>
    <x:row r="250">
      <x:c r="A250" t="str">
        <x:f>IF(CaseLedger!$A250="","",CaseLedger!A250)</x:f>
      </x:c>
      <x:c r="B250" t="str">
        <x:f>IF(CaseLedger!$A250="","",CaseLedger!I250)</x:f>
      </x:c>
      <x:c r="C250" t="str">
        <x:f>IF(CaseLedger!$A250="","",CaseLedger!J250)</x:f>
      </x:c>
      <x:c r="D250" t="str">
        <x:f>IF(CaseLedger!$A250="","",CaseLedger!K250)</x:f>
      </x:c>
      <x:c r="E250" t="str">
        <x:f>IF(CaseLedger!$A250="","",CaseLedger!L250)</x:f>
      </x:c>
      <x:c r="F250" t="str">
        <x:f>IF(CaseLedger!$A250="","",CaseLedger!P250)</x:f>
      </x:c>
      <x:c r="G250" t="str">
        <x:f>IF(CaseLedger!$A250="","",CaseLedger!F250)</x:f>
      </x:c>
      <x:c r="H250" t="str">
        <x:f>IF(CaseLedger!$A250="","",CaseLedger!Q250)</x:f>
      </x:c>
      <x:c r="I250" t="str">
        <x:f>IF(CaseLedger!$A250="","",CaseLedger!R250)</x:f>
      </x:c>
      <x:c r="J250" t="str">
        <x:f>IF(CaseLedger!$A250="","",CaseLedger!S250)</x:f>
      </x:c>
      <x:c r="K250" t="str">
        <x:f>IF(CaseLedger!$A250="","",CaseLedger!T250)</x:f>
      </x:c>
      <x:c r="L250" t="str">
        <x:f>IF(CaseLedger!$A250="","",CaseLedger!U250)</x:f>
      </x:c>
      <x:c r="M250" t="str">
        <x:f>IF(CaseLedger!$A250="","",CaseLedger!V250)</x:f>
      </x:c>
      <x:c r="N250" t="str">
        <x:f>IF(CaseLedger!$A250="","",CaseLedger!W250)</x:f>
      </x:c>
      <x:c r="O250" t="str">
        <x:f>IF(CaseLedger!$A250="","",CaseLedger!X250)</x:f>
      </x:c>
      <x:c r="P250" t="str">
        <x:f>IF(CaseLedger!$A250="","",CaseLedger!E250)</x:f>
      </x:c>
      <x:c r="Q250" t="str">
        <x:f>IF(CaseLedger!$A250="","",CaseLedger!C250)</x:f>
      </x:c>
      <x:c r="R250" t="str">
        <x:f>IF(CaseLedger!$A250="","",CaseLedger!D250)</x:f>
      </x:c>
      <x:c r="S250" t="str">
        <x:f>IFERROR(IF(CaseLedger!$A250="","",CaseLedger!Y250),"")</x:f>
      </x:c>
      <x:c r="T250" t="str">
        <x:f>IFERROR(IF(CaseLedger!$A250="","",CaseLedger!Z250),"")</x:f>
      </x:c>
      <x:c r="U250" t="str">
        <x:f>IFERROR(IF(CaseLedger!$A250="","",CaseLedger!AA250),"")</x:f>
      </x:c>
      <x:c r="V250" t="str">
        <x:f>IFERROR(IF(CaseLedger!$A250="","",CaseLedger!AB250),"")</x:f>
      </x:c>
      <x:c r="W250" t="str">
        <x:f>IFERROR(IF(CaseLedger!$A250="","",CaseLedger!AC250),"")</x:f>
      </x:c>
      <x:c r="X250" t="str">
        <x:f>IFERROR(IF(CaseLedger!$A250="","",CaseLedger!AD250),"")</x:f>
      </x:c>
      <x:c r="Y250" t="str">
        <x:f>IFERROR(IF(CaseLedger!$A250="","",CaseLedger!AE250),"")</x:f>
      </x:c>
      <x:c r="Z250" t="str">
        <x:f>IFERROR(IF(CaseLedger!$A250="","",CaseLedger!AF250),"")</x:f>
      </x:c>
      <x:c r="AA250" t="str">
        <x:f>IFERROR(IF(CaseLedger!$A250="","",CaseLedger!AG250),"")</x:f>
      </x:c>
      <x:c r="AB250" t="str">
        <x:f>IFERROR(IF(CaseLedger!$A250="","",CaseLedger!AH250),"")</x:f>
      </x:c>
      <x:c r="AC250" t="str">
        <x:f>IFERROR(IF(CaseLedger!$A250="","",CaseLedger!AI250),"")</x:f>
      </x:c>
    </x:row>
    <x:row r="251">
      <x:c r="A251" t="str">
        <x:f>IF(CaseLedger!$A251="","",CaseLedger!A251)</x:f>
      </x:c>
      <x:c r="B251" t="str">
        <x:f>IF(CaseLedger!$A251="","",CaseLedger!I251)</x:f>
      </x:c>
      <x:c r="C251" t="str">
        <x:f>IF(CaseLedger!$A251="","",CaseLedger!J251)</x:f>
      </x:c>
      <x:c r="D251" t="str">
        <x:f>IF(CaseLedger!$A251="","",CaseLedger!K251)</x:f>
      </x:c>
      <x:c r="E251" t="str">
        <x:f>IF(CaseLedger!$A251="","",CaseLedger!L251)</x:f>
      </x:c>
      <x:c r="F251" t="str">
        <x:f>IF(CaseLedger!$A251="","",CaseLedger!P251)</x:f>
      </x:c>
      <x:c r="G251" t="str">
        <x:f>IF(CaseLedger!$A251="","",CaseLedger!F251)</x:f>
      </x:c>
      <x:c r="H251" t="str">
        <x:f>IF(CaseLedger!$A251="","",CaseLedger!Q251)</x:f>
      </x:c>
      <x:c r="I251" t="str">
        <x:f>IF(CaseLedger!$A251="","",CaseLedger!R251)</x:f>
      </x:c>
      <x:c r="J251" t="str">
        <x:f>IF(CaseLedger!$A251="","",CaseLedger!S251)</x:f>
      </x:c>
      <x:c r="K251" t="str">
        <x:f>IF(CaseLedger!$A251="","",CaseLedger!T251)</x:f>
      </x:c>
      <x:c r="L251" t="str">
        <x:f>IF(CaseLedger!$A251="","",CaseLedger!U251)</x:f>
      </x:c>
      <x:c r="M251" t="str">
        <x:f>IF(CaseLedger!$A251="","",CaseLedger!V251)</x:f>
      </x:c>
      <x:c r="N251" t="str">
        <x:f>IF(CaseLedger!$A251="","",CaseLedger!W251)</x:f>
      </x:c>
      <x:c r="O251" t="str">
        <x:f>IF(CaseLedger!$A251="","",CaseLedger!X251)</x:f>
      </x:c>
      <x:c r="P251" t="str">
        <x:f>IF(CaseLedger!$A251="","",CaseLedger!E251)</x:f>
      </x:c>
      <x:c r="Q251" t="str">
        <x:f>IF(CaseLedger!$A251="","",CaseLedger!C251)</x:f>
      </x:c>
      <x:c r="R251" t="str">
        <x:f>IF(CaseLedger!$A251="","",CaseLedger!D251)</x:f>
      </x:c>
      <x:c r="S251" t="str">
        <x:f>IFERROR(IF(CaseLedger!$A251="","",CaseLedger!Y251),"")</x:f>
      </x:c>
      <x:c r="T251" t="str">
        <x:f>IFERROR(IF(CaseLedger!$A251="","",CaseLedger!Z251),"")</x:f>
      </x:c>
      <x:c r="U251" t="str">
        <x:f>IFERROR(IF(CaseLedger!$A251="","",CaseLedger!AA251),"")</x:f>
      </x:c>
      <x:c r="V251" t="str">
        <x:f>IFERROR(IF(CaseLedger!$A251="","",CaseLedger!AB251),"")</x:f>
      </x:c>
      <x:c r="W251" t="str">
        <x:f>IFERROR(IF(CaseLedger!$A251="","",CaseLedger!AC251),"")</x:f>
      </x:c>
      <x:c r="X251" t="str">
        <x:f>IFERROR(IF(CaseLedger!$A251="","",CaseLedger!AD251),"")</x:f>
      </x:c>
      <x:c r="Y251" t="str">
        <x:f>IFERROR(IF(CaseLedger!$A251="","",CaseLedger!AE251),"")</x:f>
      </x:c>
      <x:c r="Z251" t="str">
        <x:f>IFERROR(IF(CaseLedger!$A251="","",CaseLedger!AF251),"")</x:f>
      </x:c>
      <x:c r="AA251" t="str">
        <x:f>IFERROR(IF(CaseLedger!$A251="","",CaseLedger!AG251),"")</x:f>
      </x:c>
      <x:c r="AB251" t="str">
        <x:f>IFERROR(IF(CaseLedger!$A251="","",CaseLedger!AH251),"")</x:f>
      </x:c>
      <x:c r="AC251" t="str">
        <x:f>IFERROR(IF(CaseLedger!$A251="","",CaseLedger!AI251),"")</x:f>
      </x:c>
    </x:row>
    <x:row r="252">
      <x:c r="A252" t="str">
        <x:f>IF(CaseLedger!$A252="","",CaseLedger!A252)</x:f>
      </x:c>
      <x:c r="B252" t="str">
        <x:f>IF(CaseLedger!$A252="","",CaseLedger!I252)</x:f>
      </x:c>
      <x:c r="C252" t="str">
        <x:f>IF(CaseLedger!$A252="","",CaseLedger!J252)</x:f>
      </x:c>
      <x:c r="D252" t="str">
        <x:f>IF(CaseLedger!$A252="","",CaseLedger!K252)</x:f>
      </x:c>
      <x:c r="E252" t="str">
        <x:f>IF(CaseLedger!$A252="","",CaseLedger!L252)</x:f>
      </x:c>
      <x:c r="F252" t="str">
        <x:f>IF(CaseLedger!$A252="","",CaseLedger!P252)</x:f>
      </x:c>
      <x:c r="G252" t="str">
        <x:f>IF(CaseLedger!$A252="","",CaseLedger!F252)</x:f>
      </x:c>
      <x:c r="H252" t="str">
        <x:f>IF(CaseLedger!$A252="","",CaseLedger!Q252)</x:f>
      </x:c>
      <x:c r="I252" t="str">
        <x:f>IF(CaseLedger!$A252="","",CaseLedger!R252)</x:f>
      </x:c>
      <x:c r="J252" t="str">
        <x:f>IF(CaseLedger!$A252="","",CaseLedger!S252)</x:f>
      </x:c>
      <x:c r="K252" t="str">
        <x:f>IF(CaseLedger!$A252="","",CaseLedger!T252)</x:f>
      </x:c>
      <x:c r="L252" t="str">
        <x:f>IF(CaseLedger!$A252="","",CaseLedger!U252)</x:f>
      </x:c>
      <x:c r="M252" t="str">
        <x:f>IF(CaseLedger!$A252="","",CaseLedger!V252)</x:f>
      </x:c>
      <x:c r="N252" t="str">
        <x:f>IF(CaseLedger!$A252="","",CaseLedger!W252)</x:f>
      </x:c>
      <x:c r="O252" t="str">
        <x:f>IF(CaseLedger!$A252="","",CaseLedger!X252)</x:f>
      </x:c>
      <x:c r="P252" t="str">
        <x:f>IF(CaseLedger!$A252="","",CaseLedger!E252)</x:f>
      </x:c>
      <x:c r="Q252" t="str">
        <x:f>IF(CaseLedger!$A252="","",CaseLedger!C252)</x:f>
      </x:c>
      <x:c r="R252" t="str">
        <x:f>IF(CaseLedger!$A252="","",CaseLedger!D252)</x:f>
      </x:c>
      <x:c r="S252" t="str">
        <x:f>IFERROR(IF(CaseLedger!$A252="","",CaseLedger!Y252),"")</x:f>
      </x:c>
      <x:c r="T252" t="str">
        <x:f>IFERROR(IF(CaseLedger!$A252="","",CaseLedger!Z252),"")</x:f>
      </x:c>
      <x:c r="U252" t="str">
        <x:f>IFERROR(IF(CaseLedger!$A252="","",CaseLedger!AA252),"")</x:f>
      </x:c>
      <x:c r="V252" t="str">
        <x:f>IFERROR(IF(CaseLedger!$A252="","",CaseLedger!AB252),"")</x:f>
      </x:c>
      <x:c r="W252" t="str">
        <x:f>IFERROR(IF(CaseLedger!$A252="","",CaseLedger!AC252),"")</x:f>
      </x:c>
      <x:c r="X252" t="str">
        <x:f>IFERROR(IF(CaseLedger!$A252="","",CaseLedger!AD252),"")</x:f>
      </x:c>
      <x:c r="Y252" t="str">
        <x:f>IFERROR(IF(CaseLedger!$A252="","",CaseLedger!AE252),"")</x:f>
      </x:c>
      <x:c r="Z252" t="str">
        <x:f>IFERROR(IF(CaseLedger!$A252="","",CaseLedger!AF252),"")</x:f>
      </x:c>
      <x:c r="AA252" t="str">
        <x:f>IFERROR(IF(CaseLedger!$A252="","",CaseLedger!AG252),"")</x:f>
      </x:c>
      <x:c r="AB252" t="str">
        <x:f>IFERROR(IF(CaseLedger!$A252="","",CaseLedger!AH252),"")</x:f>
      </x:c>
      <x:c r="AC252" t="str">
        <x:f>IFERROR(IF(CaseLedger!$A252="","",CaseLedger!AI252),"")</x:f>
      </x:c>
    </x:row>
    <x:row r="253">
      <x:c r="A253" t="str">
        <x:f>IF(CaseLedger!$A253="","",CaseLedger!A253)</x:f>
      </x:c>
      <x:c r="B253" t="str">
        <x:f>IF(CaseLedger!$A253="","",CaseLedger!I253)</x:f>
      </x:c>
      <x:c r="C253" t="str">
        <x:f>IF(CaseLedger!$A253="","",CaseLedger!J253)</x:f>
      </x:c>
      <x:c r="D253" t="str">
        <x:f>IF(CaseLedger!$A253="","",CaseLedger!K253)</x:f>
      </x:c>
      <x:c r="E253" t="str">
        <x:f>IF(CaseLedger!$A253="","",CaseLedger!L253)</x:f>
      </x:c>
      <x:c r="F253" t="str">
        <x:f>IF(CaseLedger!$A253="","",CaseLedger!P253)</x:f>
      </x:c>
      <x:c r="G253" t="str">
        <x:f>IF(CaseLedger!$A253="","",CaseLedger!F253)</x:f>
      </x:c>
      <x:c r="H253" t="str">
        <x:f>IF(CaseLedger!$A253="","",CaseLedger!Q253)</x:f>
      </x:c>
      <x:c r="I253" t="str">
        <x:f>IF(CaseLedger!$A253="","",CaseLedger!R253)</x:f>
      </x:c>
      <x:c r="J253" t="str">
        <x:f>IF(CaseLedger!$A253="","",CaseLedger!S253)</x:f>
      </x:c>
      <x:c r="K253" t="str">
        <x:f>IF(CaseLedger!$A253="","",CaseLedger!T253)</x:f>
      </x:c>
      <x:c r="L253" t="str">
        <x:f>IF(CaseLedger!$A253="","",CaseLedger!U253)</x:f>
      </x:c>
      <x:c r="M253" t="str">
        <x:f>IF(CaseLedger!$A253="","",CaseLedger!V253)</x:f>
      </x:c>
      <x:c r="N253" t="str">
        <x:f>IF(CaseLedger!$A253="","",CaseLedger!W253)</x:f>
      </x:c>
      <x:c r="O253" t="str">
        <x:f>IF(CaseLedger!$A253="","",CaseLedger!X253)</x:f>
      </x:c>
      <x:c r="P253" t="str">
        <x:f>IF(CaseLedger!$A253="","",CaseLedger!E253)</x:f>
      </x:c>
      <x:c r="Q253" t="str">
        <x:f>IF(CaseLedger!$A253="","",CaseLedger!C253)</x:f>
      </x:c>
      <x:c r="R253" t="str">
        <x:f>IF(CaseLedger!$A253="","",CaseLedger!D253)</x:f>
      </x:c>
      <x:c r="S253" t="str">
        <x:f>IFERROR(IF(CaseLedger!$A253="","",CaseLedger!Y253),"")</x:f>
      </x:c>
      <x:c r="T253" t="str">
        <x:f>IFERROR(IF(CaseLedger!$A253="","",CaseLedger!Z253),"")</x:f>
      </x:c>
      <x:c r="U253" t="str">
        <x:f>IFERROR(IF(CaseLedger!$A253="","",CaseLedger!AA253),"")</x:f>
      </x:c>
      <x:c r="V253" t="str">
        <x:f>IFERROR(IF(CaseLedger!$A253="","",CaseLedger!AB253),"")</x:f>
      </x:c>
      <x:c r="W253" t="str">
        <x:f>IFERROR(IF(CaseLedger!$A253="","",CaseLedger!AC253),"")</x:f>
      </x:c>
      <x:c r="X253" t="str">
        <x:f>IFERROR(IF(CaseLedger!$A253="","",CaseLedger!AD253),"")</x:f>
      </x:c>
      <x:c r="Y253" t="str">
        <x:f>IFERROR(IF(CaseLedger!$A253="","",CaseLedger!AE253),"")</x:f>
      </x:c>
      <x:c r="Z253" t="str">
        <x:f>IFERROR(IF(CaseLedger!$A253="","",CaseLedger!AF253),"")</x:f>
      </x:c>
      <x:c r="AA253" t="str">
        <x:f>IFERROR(IF(CaseLedger!$A253="","",CaseLedger!AG253),"")</x:f>
      </x:c>
      <x:c r="AB253" t="str">
        <x:f>IFERROR(IF(CaseLedger!$A253="","",CaseLedger!AH253),"")</x:f>
      </x:c>
      <x:c r="AC253" t="str">
        <x:f>IFERROR(IF(CaseLedger!$A253="","",CaseLedger!AI253),"")</x:f>
      </x:c>
    </x:row>
    <x:row r="254">
      <x:c r="A254" t="str">
        <x:f>IF(CaseLedger!$A254="","",CaseLedger!A254)</x:f>
      </x:c>
      <x:c r="B254" t="str">
        <x:f>IF(CaseLedger!$A254="","",CaseLedger!I254)</x:f>
      </x:c>
      <x:c r="C254" t="str">
        <x:f>IF(CaseLedger!$A254="","",CaseLedger!J254)</x:f>
      </x:c>
      <x:c r="D254" t="str">
        <x:f>IF(CaseLedger!$A254="","",CaseLedger!K254)</x:f>
      </x:c>
      <x:c r="E254" t="str">
        <x:f>IF(CaseLedger!$A254="","",CaseLedger!L254)</x:f>
      </x:c>
      <x:c r="F254" t="str">
        <x:f>IF(CaseLedger!$A254="","",CaseLedger!P254)</x:f>
      </x:c>
      <x:c r="G254" t="str">
        <x:f>IF(CaseLedger!$A254="","",CaseLedger!F254)</x:f>
      </x:c>
      <x:c r="H254" t="str">
        <x:f>IF(CaseLedger!$A254="","",CaseLedger!Q254)</x:f>
      </x:c>
      <x:c r="I254" t="str">
        <x:f>IF(CaseLedger!$A254="","",CaseLedger!R254)</x:f>
      </x:c>
      <x:c r="J254" t="str">
        <x:f>IF(CaseLedger!$A254="","",CaseLedger!S254)</x:f>
      </x:c>
      <x:c r="K254" t="str">
        <x:f>IF(CaseLedger!$A254="","",CaseLedger!T254)</x:f>
      </x:c>
      <x:c r="L254" t="str">
        <x:f>IF(CaseLedger!$A254="","",CaseLedger!U254)</x:f>
      </x:c>
      <x:c r="M254" t="str">
        <x:f>IF(CaseLedger!$A254="","",CaseLedger!V254)</x:f>
      </x:c>
      <x:c r="N254" t="str">
        <x:f>IF(CaseLedger!$A254="","",CaseLedger!W254)</x:f>
      </x:c>
      <x:c r="O254" t="str">
        <x:f>IF(CaseLedger!$A254="","",CaseLedger!X254)</x:f>
      </x:c>
      <x:c r="P254" t="str">
        <x:f>IF(CaseLedger!$A254="","",CaseLedger!E254)</x:f>
      </x:c>
      <x:c r="Q254" t="str">
        <x:f>IF(CaseLedger!$A254="","",CaseLedger!C254)</x:f>
      </x:c>
      <x:c r="R254" t="str">
        <x:f>IF(CaseLedger!$A254="","",CaseLedger!D254)</x:f>
      </x:c>
      <x:c r="S254" t="str">
        <x:f>IFERROR(IF(CaseLedger!$A254="","",CaseLedger!Y254),"")</x:f>
      </x:c>
      <x:c r="T254" t="str">
        <x:f>IFERROR(IF(CaseLedger!$A254="","",CaseLedger!Z254),"")</x:f>
      </x:c>
      <x:c r="U254" t="str">
        <x:f>IFERROR(IF(CaseLedger!$A254="","",CaseLedger!AA254),"")</x:f>
      </x:c>
      <x:c r="V254" t="str">
        <x:f>IFERROR(IF(CaseLedger!$A254="","",CaseLedger!AB254),"")</x:f>
      </x:c>
      <x:c r="W254" t="str">
        <x:f>IFERROR(IF(CaseLedger!$A254="","",CaseLedger!AC254),"")</x:f>
      </x:c>
      <x:c r="X254" t="str">
        <x:f>IFERROR(IF(CaseLedger!$A254="","",CaseLedger!AD254),"")</x:f>
      </x:c>
      <x:c r="Y254" t="str">
        <x:f>IFERROR(IF(CaseLedger!$A254="","",CaseLedger!AE254),"")</x:f>
      </x:c>
      <x:c r="Z254" t="str">
        <x:f>IFERROR(IF(CaseLedger!$A254="","",CaseLedger!AF254),"")</x:f>
      </x:c>
      <x:c r="AA254" t="str">
        <x:f>IFERROR(IF(CaseLedger!$A254="","",CaseLedger!AG254),"")</x:f>
      </x:c>
      <x:c r="AB254" t="str">
        <x:f>IFERROR(IF(CaseLedger!$A254="","",CaseLedger!AH254),"")</x:f>
      </x:c>
      <x:c r="AC254" t="str">
        <x:f>IFERROR(IF(CaseLedger!$A254="","",CaseLedger!AI254),"")</x:f>
      </x:c>
    </x:row>
    <x:row r="255">
      <x:c r="A255" t="str">
        <x:f>IF(CaseLedger!$A255="","",CaseLedger!A255)</x:f>
      </x:c>
      <x:c r="B255" t="str">
        <x:f>IF(CaseLedger!$A255="","",CaseLedger!I255)</x:f>
      </x:c>
      <x:c r="C255" t="str">
        <x:f>IF(CaseLedger!$A255="","",CaseLedger!J255)</x:f>
      </x:c>
      <x:c r="D255" t="str">
        <x:f>IF(CaseLedger!$A255="","",CaseLedger!K255)</x:f>
      </x:c>
      <x:c r="E255" t="str">
        <x:f>IF(CaseLedger!$A255="","",CaseLedger!L255)</x:f>
      </x:c>
      <x:c r="F255" t="str">
        <x:f>IF(CaseLedger!$A255="","",CaseLedger!P255)</x:f>
      </x:c>
      <x:c r="G255" t="str">
        <x:f>IF(CaseLedger!$A255="","",CaseLedger!F255)</x:f>
      </x:c>
      <x:c r="H255" t="str">
        <x:f>IF(CaseLedger!$A255="","",CaseLedger!Q255)</x:f>
      </x:c>
      <x:c r="I255" t="str">
        <x:f>IF(CaseLedger!$A255="","",CaseLedger!R255)</x:f>
      </x:c>
      <x:c r="J255" t="str">
        <x:f>IF(CaseLedger!$A255="","",CaseLedger!S255)</x:f>
      </x:c>
      <x:c r="K255" t="str">
        <x:f>IF(CaseLedger!$A255="","",CaseLedger!T255)</x:f>
      </x:c>
      <x:c r="L255" t="str">
        <x:f>IF(CaseLedger!$A255="","",CaseLedger!U255)</x:f>
      </x:c>
      <x:c r="M255" t="str">
        <x:f>IF(CaseLedger!$A255="","",CaseLedger!V255)</x:f>
      </x:c>
      <x:c r="N255" t="str">
        <x:f>IF(CaseLedger!$A255="","",CaseLedger!W255)</x:f>
      </x:c>
      <x:c r="O255" t="str">
        <x:f>IF(CaseLedger!$A255="","",CaseLedger!X255)</x:f>
      </x:c>
      <x:c r="P255" t="str">
        <x:f>IF(CaseLedger!$A255="","",CaseLedger!E255)</x:f>
      </x:c>
      <x:c r="Q255" t="str">
        <x:f>IF(CaseLedger!$A255="","",CaseLedger!C255)</x:f>
      </x:c>
      <x:c r="R255" t="str">
        <x:f>IF(CaseLedger!$A255="","",CaseLedger!D255)</x:f>
      </x:c>
      <x:c r="S255" t="str">
        <x:f>IFERROR(IF(CaseLedger!$A255="","",CaseLedger!Y255),"")</x:f>
      </x:c>
      <x:c r="T255" t="str">
        <x:f>IFERROR(IF(CaseLedger!$A255="","",CaseLedger!Z255),"")</x:f>
      </x:c>
      <x:c r="U255" t="str">
        <x:f>IFERROR(IF(CaseLedger!$A255="","",CaseLedger!AA255),"")</x:f>
      </x:c>
      <x:c r="V255" t="str">
        <x:f>IFERROR(IF(CaseLedger!$A255="","",CaseLedger!AB255),"")</x:f>
      </x:c>
      <x:c r="W255" t="str">
        <x:f>IFERROR(IF(CaseLedger!$A255="","",CaseLedger!AC255),"")</x:f>
      </x:c>
      <x:c r="X255" t="str">
        <x:f>IFERROR(IF(CaseLedger!$A255="","",CaseLedger!AD255),"")</x:f>
      </x:c>
      <x:c r="Y255" t="str">
        <x:f>IFERROR(IF(CaseLedger!$A255="","",CaseLedger!AE255),"")</x:f>
      </x:c>
      <x:c r="Z255" t="str">
        <x:f>IFERROR(IF(CaseLedger!$A255="","",CaseLedger!AF255),"")</x:f>
      </x:c>
      <x:c r="AA255" t="str">
        <x:f>IFERROR(IF(CaseLedger!$A255="","",CaseLedger!AG255),"")</x:f>
      </x:c>
      <x:c r="AB255" t="str">
        <x:f>IFERROR(IF(CaseLedger!$A255="","",CaseLedger!AH255),"")</x:f>
      </x:c>
      <x:c r="AC255" t="str">
        <x:f>IFERROR(IF(CaseLedger!$A255="","",CaseLedger!AI255),"")</x:f>
      </x:c>
    </x:row>
    <x:row r="256">
      <x:c r="A256" t="str">
        <x:f>IF(CaseLedger!$A256="","",CaseLedger!A256)</x:f>
      </x:c>
      <x:c r="B256" t="str">
        <x:f>IF(CaseLedger!$A256="","",CaseLedger!I256)</x:f>
      </x:c>
      <x:c r="C256" t="str">
        <x:f>IF(CaseLedger!$A256="","",CaseLedger!J256)</x:f>
      </x:c>
      <x:c r="D256" t="str">
        <x:f>IF(CaseLedger!$A256="","",CaseLedger!K256)</x:f>
      </x:c>
      <x:c r="E256" t="str">
        <x:f>IF(CaseLedger!$A256="","",CaseLedger!L256)</x:f>
      </x:c>
      <x:c r="F256" t="str">
        <x:f>IF(CaseLedger!$A256="","",CaseLedger!P256)</x:f>
      </x:c>
      <x:c r="G256" t="str">
        <x:f>IF(CaseLedger!$A256="","",CaseLedger!F256)</x:f>
      </x:c>
      <x:c r="H256" t="str">
        <x:f>IF(CaseLedger!$A256="","",CaseLedger!Q256)</x:f>
      </x:c>
      <x:c r="I256" t="str">
        <x:f>IF(CaseLedger!$A256="","",CaseLedger!R256)</x:f>
      </x:c>
      <x:c r="J256" t="str">
        <x:f>IF(CaseLedger!$A256="","",CaseLedger!S256)</x:f>
      </x:c>
      <x:c r="K256" t="str">
        <x:f>IF(CaseLedger!$A256="","",CaseLedger!T256)</x:f>
      </x:c>
      <x:c r="L256" t="str">
        <x:f>IF(CaseLedger!$A256="","",CaseLedger!U256)</x:f>
      </x:c>
      <x:c r="M256" t="str">
        <x:f>IF(CaseLedger!$A256="","",CaseLedger!V256)</x:f>
      </x:c>
      <x:c r="N256" t="str">
        <x:f>IF(CaseLedger!$A256="","",CaseLedger!W256)</x:f>
      </x:c>
      <x:c r="O256" t="str">
        <x:f>IF(CaseLedger!$A256="","",CaseLedger!X256)</x:f>
      </x:c>
      <x:c r="P256" t="str">
        <x:f>IF(CaseLedger!$A256="","",CaseLedger!E256)</x:f>
      </x:c>
      <x:c r="Q256" t="str">
        <x:f>IF(CaseLedger!$A256="","",CaseLedger!C256)</x:f>
      </x:c>
      <x:c r="R256" t="str">
        <x:f>IF(CaseLedger!$A256="","",CaseLedger!D256)</x:f>
      </x:c>
      <x:c r="S256" t="str">
        <x:f>IFERROR(IF(CaseLedger!$A256="","",CaseLedger!Y256),"")</x:f>
      </x:c>
      <x:c r="T256" t="str">
        <x:f>IFERROR(IF(CaseLedger!$A256="","",CaseLedger!Z256),"")</x:f>
      </x:c>
      <x:c r="U256" t="str">
        <x:f>IFERROR(IF(CaseLedger!$A256="","",CaseLedger!AA256),"")</x:f>
      </x:c>
      <x:c r="V256" t="str">
        <x:f>IFERROR(IF(CaseLedger!$A256="","",CaseLedger!AB256),"")</x:f>
      </x:c>
      <x:c r="W256" t="str">
        <x:f>IFERROR(IF(CaseLedger!$A256="","",CaseLedger!AC256),"")</x:f>
      </x:c>
      <x:c r="X256" t="str">
        <x:f>IFERROR(IF(CaseLedger!$A256="","",CaseLedger!AD256),"")</x:f>
      </x:c>
      <x:c r="Y256" t="str">
        <x:f>IFERROR(IF(CaseLedger!$A256="","",CaseLedger!AE256),"")</x:f>
      </x:c>
      <x:c r="Z256" t="str">
        <x:f>IFERROR(IF(CaseLedger!$A256="","",CaseLedger!AF256),"")</x:f>
      </x:c>
      <x:c r="AA256" t="str">
        <x:f>IFERROR(IF(CaseLedger!$A256="","",CaseLedger!AG256),"")</x:f>
      </x:c>
      <x:c r="AB256" t="str">
        <x:f>IFERROR(IF(CaseLedger!$A256="","",CaseLedger!AH256),"")</x:f>
      </x:c>
      <x:c r="AC256" t="str">
        <x:f>IFERROR(IF(CaseLedger!$A256="","",CaseLedger!AI256),"")</x:f>
      </x:c>
    </x:row>
    <x:row r="257">
      <x:c r="A257" t="str">
        <x:f>IF(CaseLedger!$A257="","",CaseLedger!A257)</x:f>
      </x:c>
      <x:c r="B257" t="str">
        <x:f>IF(CaseLedger!$A257="","",CaseLedger!I257)</x:f>
      </x:c>
      <x:c r="C257" t="str">
        <x:f>IF(CaseLedger!$A257="","",CaseLedger!J257)</x:f>
      </x:c>
      <x:c r="D257" t="str">
        <x:f>IF(CaseLedger!$A257="","",CaseLedger!K257)</x:f>
      </x:c>
      <x:c r="E257" t="str">
        <x:f>IF(CaseLedger!$A257="","",CaseLedger!L257)</x:f>
      </x:c>
      <x:c r="F257" t="str">
        <x:f>IF(CaseLedger!$A257="","",CaseLedger!P257)</x:f>
      </x:c>
      <x:c r="G257" t="str">
        <x:f>IF(CaseLedger!$A257="","",CaseLedger!F257)</x:f>
      </x:c>
      <x:c r="H257" t="str">
        <x:f>IF(CaseLedger!$A257="","",CaseLedger!Q257)</x:f>
      </x:c>
      <x:c r="I257" t="str">
        <x:f>IF(CaseLedger!$A257="","",CaseLedger!R257)</x:f>
      </x:c>
      <x:c r="J257" t="str">
        <x:f>IF(CaseLedger!$A257="","",CaseLedger!S257)</x:f>
      </x:c>
      <x:c r="K257" t="str">
        <x:f>IF(CaseLedger!$A257="","",CaseLedger!T257)</x:f>
      </x:c>
      <x:c r="L257" t="str">
        <x:f>IF(CaseLedger!$A257="","",CaseLedger!U257)</x:f>
      </x:c>
      <x:c r="M257" t="str">
        <x:f>IF(CaseLedger!$A257="","",CaseLedger!V257)</x:f>
      </x:c>
      <x:c r="N257" t="str">
        <x:f>IF(CaseLedger!$A257="","",CaseLedger!W257)</x:f>
      </x:c>
      <x:c r="O257" t="str">
        <x:f>IF(CaseLedger!$A257="","",CaseLedger!X257)</x:f>
      </x:c>
      <x:c r="P257" t="str">
        <x:f>IF(CaseLedger!$A257="","",CaseLedger!E257)</x:f>
      </x:c>
      <x:c r="Q257" t="str">
        <x:f>IF(CaseLedger!$A257="","",CaseLedger!C257)</x:f>
      </x:c>
      <x:c r="R257" t="str">
        <x:f>IF(CaseLedger!$A257="","",CaseLedger!D257)</x:f>
      </x:c>
      <x:c r="S257" t="str">
        <x:f>IFERROR(IF(CaseLedger!$A257="","",CaseLedger!Y257),"")</x:f>
      </x:c>
      <x:c r="T257" t="str">
        <x:f>IFERROR(IF(CaseLedger!$A257="","",CaseLedger!Z257),"")</x:f>
      </x:c>
      <x:c r="U257" t="str">
        <x:f>IFERROR(IF(CaseLedger!$A257="","",CaseLedger!AA257),"")</x:f>
      </x:c>
      <x:c r="V257" t="str">
        <x:f>IFERROR(IF(CaseLedger!$A257="","",CaseLedger!AB257),"")</x:f>
      </x:c>
      <x:c r="W257" t="str">
        <x:f>IFERROR(IF(CaseLedger!$A257="","",CaseLedger!AC257),"")</x:f>
      </x:c>
      <x:c r="X257" t="str">
        <x:f>IFERROR(IF(CaseLedger!$A257="","",CaseLedger!AD257),"")</x:f>
      </x:c>
      <x:c r="Y257" t="str">
        <x:f>IFERROR(IF(CaseLedger!$A257="","",CaseLedger!AE257),"")</x:f>
      </x:c>
      <x:c r="Z257" t="str">
        <x:f>IFERROR(IF(CaseLedger!$A257="","",CaseLedger!AF257),"")</x:f>
      </x:c>
      <x:c r="AA257" t="str">
        <x:f>IFERROR(IF(CaseLedger!$A257="","",CaseLedger!AG257),"")</x:f>
      </x:c>
      <x:c r="AB257" t="str">
        <x:f>IFERROR(IF(CaseLedger!$A257="","",CaseLedger!AH257),"")</x:f>
      </x:c>
      <x:c r="AC257" t="str">
        <x:f>IFERROR(IF(CaseLedger!$A257="","",CaseLedger!AI257),"")</x:f>
      </x:c>
    </x:row>
    <x:row r="258">
      <x:c r="A258" t="str">
        <x:f>IF(CaseLedger!$A258="","",CaseLedger!A258)</x:f>
      </x:c>
      <x:c r="B258" t="str">
        <x:f>IF(CaseLedger!$A258="","",CaseLedger!I258)</x:f>
      </x:c>
      <x:c r="C258" t="str">
        <x:f>IF(CaseLedger!$A258="","",CaseLedger!J258)</x:f>
      </x:c>
      <x:c r="D258" t="str">
        <x:f>IF(CaseLedger!$A258="","",CaseLedger!K258)</x:f>
      </x:c>
      <x:c r="E258" t="str">
        <x:f>IF(CaseLedger!$A258="","",CaseLedger!L258)</x:f>
      </x:c>
      <x:c r="F258" t="str">
        <x:f>IF(CaseLedger!$A258="","",CaseLedger!P258)</x:f>
      </x:c>
      <x:c r="G258" t="str">
        <x:f>IF(CaseLedger!$A258="","",CaseLedger!F258)</x:f>
      </x:c>
      <x:c r="H258" t="str">
        <x:f>IF(CaseLedger!$A258="","",CaseLedger!Q258)</x:f>
      </x:c>
      <x:c r="I258" t="str">
        <x:f>IF(CaseLedger!$A258="","",CaseLedger!R258)</x:f>
      </x:c>
      <x:c r="J258" t="str">
        <x:f>IF(CaseLedger!$A258="","",CaseLedger!S258)</x:f>
      </x:c>
      <x:c r="K258" t="str">
        <x:f>IF(CaseLedger!$A258="","",CaseLedger!T258)</x:f>
      </x:c>
      <x:c r="L258" t="str">
        <x:f>IF(CaseLedger!$A258="","",CaseLedger!U258)</x:f>
      </x:c>
      <x:c r="M258" t="str">
        <x:f>IF(CaseLedger!$A258="","",CaseLedger!V258)</x:f>
      </x:c>
      <x:c r="N258" t="str">
        <x:f>IF(CaseLedger!$A258="","",CaseLedger!W258)</x:f>
      </x:c>
      <x:c r="O258" t="str">
        <x:f>IF(CaseLedger!$A258="","",CaseLedger!X258)</x:f>
      </x:c>
      <x:c r="P258" t="str">
        <x:f>IF(CaseLedger!$A258="","",CaseLedger!E258)</x:f>
      </x:c>
      <x:c r="Q258" t="str">
        <x:f>IF(CaseLedger!$A258="","",CaseLedger!C258)</x:f>
      </x:c>
      <x:c r="R258" t="str">
        <x:f>IF(CaseLedger!$A258="","",CaseLedger!D258)</x:f>
      </x:c>
      <x:c r="S258" t="str">
        <x:f>IFERROR(IF(CaseLedger!$A258="","",CaseLedger!Y258),"")</x:f>
      </x:c>
      <x:c r="T258" t="str">
        <x:f>IFERROR(IF(CaseLedger!$A258="","",CaseLedger!Z258),"")</x:f>
      </x:c>
      <x:c r="U258" t="str">
        <x:f>IFERROR(IF(CaseLedger!$A258="","",CaseLedger!AA258),"")</x:f>
      </x:c>
      <x:c r="V258" t="str">
        <x:f>IFERROR(IF(CaseLedger!$A258="","",CaseLedger!AB258),"")</x:f>
      </x:c>
      <x:c r="W258" t="str">
        <x:f>IFERROR(IF(CaseLedger!$A258="","",CaseLedger!AC258),"")</x:f>
      </x:c>
      <x:c r="X258" t="str">
        <x:f>IFERROR(IF(CaseLedger!$A258="","",CaseLedger!AD258),"")</x:f>
      </x:c>
      <x:c r="Y258" t="str">
        <x:f>IFERROR(IF(CaseLedger!$A258="","",CaseLedger!AE258),"")</x:f>
      </x:c>
      <x:c r="Z258" t="str">
        <x:f>IFERROR(IF(CaseLedger!$A258="","",CaseLedger!AF258),"")</x:f>
      </x:c>
      <x:c r="AA258" t="str">
        <x:f>IFERROR(IF(CaseLedger!$A258="","",CaseLedger!AG258),"")</x:f>
      </x:c>
      <x:c r="AB258" t="str">
        <x:f>IFERROR(IF(CaseLedger!$A258="","",CaseLedger!AH258),"")</x:f>
      </x:c>
      <x:c r="AC258" t="str">
        <x:f>IFERROR(IF(CaseLedger!$A258="","",CaseLedger!AI258),"")</x:f>
      </x:c>
    </x:row>
    <x:row r="259">
      <x:c r="A259" t="str">
        <x:f>IF(CaseLedger!$A259="","",CaseLedger!A259)</x:f>
      </x:c>
      <x:c r="B259" t="str">
        <x:f>IF(CaseLedger!$A259="","",CaseLedger!I259)</x:f>
      </x:c>
      <x:c r="C259" t="str">
        <x:f>IF(CaseLedger!$A259="","",CaseLedger!J259)</x:f>
      </x:c>
      <x:c r="D259" t="str">
        <x:f>IF(CaseLedger!$A259="","",CaseLedger!K259)</x:f>
      </x:c>
      <x:c r="E259" t="str">
        <x:f>IF(CaseLedger!$A259="","",CaseLedger!L259)</x:f>
      </x:c>
      <x:c r="F259" t="str">
        <x:f>IF(CaseLedger!$A259="","",CaseLedger!P259)</x:f>
      </x:c>
      <x:c r="G259" t="str">
        <x:f>IF(CaseLedger!$A259="","",CaseLedger!F259)</x:f>
      </x:c>
      <x:c r="H259" t="str">
        <x:f>IF(CaseLedger!$A259="","",CaseLedger!Q259)</x:f>
      </x:c>
      <x:c r="I259" t="str">
        <x:f>IF(CaseLedger!$A259="","",CaseLedger!R259)</x:f>
      </x:c>
      <x:c r="J259" t="str">
        <x:f>IF(CaseLedger!$A259="","",CaseLedger!S259)</x:f>
      </x:c>
      <x:c r="K259" t="str">
        <x:f>IF(CaseLedger!$A259="","",CaseLedger!T259)</x:f>
      </x:c>
      <x:c r="L259" t="str">
        <x:f>IF(CaseLedger!$A259="","",CaseLedger!U259)</x:f>
      </x:c>
      <x:c r="M259" t="str">
        <x:f>IF(CaseLedger!$A259="","",CaseLedger!V259)</x:f>
      </x:c>
      <x:c r="N259" t="str">
        <x:f>IF(CaseLedger!$A259="","",CaseLedger!W259)</x:f>
      </x:c>
      <x:c r="O259" t="str">
        <x:f>IF(CaseLedger!$A259="","",CaseLedger!X259)</x:f>
      </x:c>
      <x:c r="P259" t="str">
        <x:f>IF(CaseLedger!$A259="","",CaseLedger!E259)</x:f>
      </x:c>
      <x:c r="Q259" t="str">
        <x:f>IF(CaseLedger!$A259="","",CaseLedger!C259)</x:f>
      </x:c>
      <x:c r="R259" t="str">
        <x:f>IF(CaseLedger!$A259="","",CaseLedger!D259)</x:f>
      </x:c>
      <x:c r="S259" t="str">
        <x:f>IFERROR(IF(CaseLedger!$A259="","",CaseLedger!Y259),"")</x:f>
      </x:c>
      <x:c r="T259" t="str">
        <x:f>IFERROR(IF(CaseLedger!$A259="","",CaseLedger!Z259),"")</x:f>
      </x:c>
      <x:c r="U259" t="str">
        <x:f>IFERROR(IF(CaseLedger!$A259="","",CaseLedger!AA259),"")</x:f>
      </x:c>
      <x:c r="V259" t="str">
        <x:f>IFERROR(IF(CaseLedger!$A259="","",CaseLedger!AB259),"")</x:f>
      </x:c>
      <x:c r="W259" t="str">
        <x:f>IFERROR(IF(CaseLedger!$A259="","",CaseLedger!AC259),"")</x:f>
      </x:c>
      <x:c r="X259" t="str">
        <x:f>IFERROR(IF(CaseLedger!$A259="","",CaseLedger!AD259),"")</x:f>
      </x:c>
      <x:c r="Y259" t="str">
        <x:f>IFERROR(IF(CaseLedger!$A259="","",CaseLedger!AE259),"")</x:f>
      </x:c>
      <x:c r="Z259" t="str">
        <x:f>IFERROR(IF(CaseLedger!$A259="","",CaseLedger!AF259),"")</x:f>
      </x:c>
      <x:c r="AA259" t="str">
        <x:f>IFERROR(IF(CaseLedger!$A259="","",CaseLedger!AG259),"")</x:f>
      </x:c>
      <x:c r="AB259" t="str">
        <x:f>IFERROR(IF(CaseLedger!$A259="","",CaseLedger!AH259),"")</x:f>
      </x:c>
      <x:c r="AC259" t="str">
        <x:f>IFERROR(IF(CaseLedger!$A259="","",CaseLedger!AI259),"")</x:f>
      </x:c>
    </x:row>
    <x:row r="260">
      <x:c r="A260" t="str">
        <x:f>IF(CaseLedger!$A260="","",CaseLedger!A260)</x:f>
      </x:c>
      <x:c r="B260" t="str">
        <x:f>IF(CaseLedger!$A260="","",CaseLedger!I260)</x:f>
      </x:c>
      <x:c r="C260" t="str">
        <x:f>IF(CaseLedger!$A260="","",CaseLedger!J260)</x:f>
      </x:c>
      <x:c r="D260" t="str">
        <x:f>IF(CaseLedger!$A260="","",CaseLedger!K260)</x:f>
      </x:c>
      <x:c r="E260" t="str">
        <x:f>IF(CaseLedger!$A260="","",CaseLedger!L260)</x:f>
      </x:c>
      <x:c r="F260" t="str">
        <x:f>IF(CaseLedger!$A260="","",CaseLedger!P260)</x:f>
      </x:c>
      <x:c r="G260" t="str">
        <x:f>IF(CaseLedger!$A260="","",CaseLedger!F260)</x:f>
      </x:c>
      <x:c r="H260" t="str">
        <x:f>IF(CaseLedger!$A260="","",CaseLedger!Q260)</x:f>
      </x:c>
      <x:c r="I260" t="str">
        <x:f>IF(CaseLedger!$A260="","",CaseLedger!R260)</x:f>
      </x:c>
      <x:c r="J260" t="str">
        <x:f>IF(CaseLedger!$A260="","",CaseLedger!S260)</x:f>
      </x:c>
      <x:c r="K260" t="str">
        <x:f>IF(CaseLedger!$A260="","",CaseLedger!T260)</x:f>
      </x:c>
      <x:c r="L260" t="str">
        <x:f>IF(CaseLedger!$A260="","",CaseLedger!U260)</x:f>
      </x:c>
      <x:c r="M260" t="str">
        <x:f>IF(CaseLedger!$A260="","",CaseLedger!V260)</x:f>
      </x:c>
      <x:c r="N260" t="str">
        <x:f>IF(CaseLedger!$A260="","",CaseLedger!W260)</x:f>
      </x:c>
      <x:c r="O260" t="str">
        <x:f>IF(CaseLedger!$A260="","",CaseLedger!X260)</x:f>
      </x:c>
      <x:c r="P260" t="str">
        <x:f>IF(CaseLedger!$A260="","",CaseLedger!E260)</x:f>
      </x:c>
      <x:c r="Q260" t="str">
        <x:f>IF(CaseLedger!$A260="","",CaseLedger!C260)</x:f>
      </x:c>
      <x:c r="R260" t="str">
        <x:f>IF(CaseLedger!$A260="","",CaseLedger!D260)</x:f>
      </x:c>
      <x:c r="S260" t="str">
        <x:f>IFERROR(IF(CaseLedger!$A260="","",CaseLedger!Y260),"")</x:f>
      </x:c>
      <x:c r="T260" t="str">
        <x:f>IFERROR(IF(CaseLedger!$A260="","",CaseLedger!Z260),"")</x:f>
      </x:c>
      <x:c r="U260" t="str">
        <x:f>IFERROR(IF(CaseLedger!$A260="","",CaseLedger!AA260),"")</x:f>
      </x:c>
      <x:c r="V260" t="str">
        <x:f>IFERROR(IF(CaseLedger!$A260="","",CaseLedger!AB260),"")</x:f>
      </x:c>
      <x:c r="W260" t="str">
        <x:f>IFERROR(IF(CaseLedger!$A260="","",CaseLedger!AC260),"")</x:f>
      </x:c>
      <x:c r="X260" t="str">
        <x:f>IFERROR(IF(CaseLedger!$A260="","",CaseLedger!AD260),"")</x:f>
      </x:c>
      <x:c r="Y260" t="str">
        <x:f>IFERROR(IF(CaseLedger!$A260="","",CaseLedger!AE260),"")</x:f>
      </x:c>
      <x:c r="Z260" t="str">
        <x:f>IFERROR(IF(CaseLedger!$A260="","",CaseLedger!AF260),"")</x:f>
      </x:c>
      <x:c r="AA260" t="str">
        <x:f>IFERROR(IF(CaseLedger!$A260="","",CaseLedger!AG260),"")</x:f>
      </x:c>
      <x:c r="AB260" t="str">
        <x:f>IFERROR(IF(CaseLedger!$A260="","",CaseLedger!AH260),"")</x:f>
      </x:c>
      <x:c r="AC260" t="str">
        <x:f>IFERROR(IF(CaseLedger!$A260="","",CaseLedger!AI260),"")</x:f>
      </x:c>
    </x:row>
    <x:row r="261">
      <x:c r="A261" t="str">
        <x:f>IF(CaseLedger!$A261="","",CaseLedger!A261)</x:f>
      </x:c>
      <x:c r="B261" t="str">
        <x:f>IF(CaseLedger!$A261="","",CaseLedger!I261)</x:f>
      </x:c>
      <x:c r="C261" t="str">
        <x:f>IF(CaseLedger!$A261="","",CaseLedger!J261)</x:f>
      </x:c>
      <x:c r="D261" t="str">
        <x:f>IF(CaseLedger!$A261="","",CaseLedger!K261)</x:f>
      </x:c>
      <x:c r="E261" t="str">
        <x:f>IF(CaseLedger!$A261="","",CaseLedger!L261)</x:f>
      </x:c>
      <x:c r="F261" t="str">
        <x:f>IF(CaseLedger!$A261="","",CaseLedger!P261)</x:f>
      </x:c>
      <x:c r="G261" t="str">
        <x:f>IF(CaseLedger!$A261="","",CaseLedger!F261)</x:f>
      </x:c>
      <x:c r="H261" t="str">
        <x:f>IF(CaseLedger!$A261="","",CaseLedger!Q261)</x:f>
      </x:c>
      <x:c r="I261" t="str">
        <x:f>IF(CaseLedger!$A261="","",CaseLedger!R261)</x:f>
      </x:c>
      <x:c r="J261" t="str">
        <x:f>IF(CaseLedger!$A261="","",CaseLedger!S261)</x:f>
      </x:c>
      <x:c r="K261" t="str">
        <x:f>IF(CaseLedger!$A261="","",CaseLedger!T261)</x:f>
      </x:c>
      <x:c r="L261" t="str">
        <x:f>IF(CaseLedger!$A261="","",CaseLedger!U261)</x:f>
      </x:c>
      <x:c r="M261" t="str">
        <x:f>IF(CaseLedger!$A261="","",CaseLedger!V261)</x:f>
      </x:c>
      <x:c r="N261" t="str">
        <x:f>IF(CaseLedger!$A261="","",CaseLedger!W261)</x:f>
      </x:c>
      <x:c r="O261" t="str">
        <x:f>IF(CaseLedger!$A261="","",CaseLedger!X261)</x:f>
      </x:c>
      <x:c r="P261" t="str">
        <x:f>IF(CaseLedger!$A261="","",CaseLedger!E261)</x:f>
      </x:c>
      <x:c r="Q261" t="str">
        <x:f>IF(CaseLedger!$A261="","",CaseLedger!C261)</x:f>
      </x:c>
      <x:c r="R261" t="str">
        <x:f>IF(CaseLedger!$A261="","",CaseLedger!D261)</x:f>
      </x:c>
      <x:c r="S261" t="str">
        <x:f>IFERROR(IF(CaseLedger!$A261="","",CaseLedger!Y261),"")</x:f>
      </x:c>
      <x:c r="T261" t="str">
        <x:f>IFERROR(IF(CaseLedger!$A261="","",CaseLedger!Z261),"")</x:f>
      </x:c>
      <x:c r="U261" t="str">
        <x:f>IFERROR(IF(CaseLedger!$A261="","",CaseLedger!AA261),"")</x:f>
      </x:c>
      <x:c r="V261" t="str">
        <x:f>IFERROR(IF(CaseLedger!$A261="","",CaseLedger!AB261),"")</x:f>
      </x:c>
      <x:c r="W261" t="str">
        <x:f>IFERROR(IF(CaseLedger!$A261="","",CaseLedger!AC261),"")</x:f>
      </x:c>
      <x:c r="X261" t="str">
        <x:f>IFERROR(IF(CaseLedger!$A261="","",CaseLedger!AD261),"")</x:f>
      </x:c>
      <x:c r="Y261" t="str">
        <x:f>IFERROR(IF(CaseLedger!$A261="","",CaseLedger!AE261),"")</x:f>
      </x:c>
      <x:c r="Z261" t="str">
        <x:f>IFERROR(IF(CaseLedger!$A261="","",CaseLedger!AF261),"")</x:f>
      </x:c>
      <x:c r="AA261" t="str">
        <x:f>IFERROR(IF(CaseLedger!$A261="","",CaseLedger!AG261),"")</x:f>
      </x:c>
      <x:c r="AB261" t="str">
        <x:f>IFERROR(IF(CaseLedger!$A261="","",CaseLedger!AH261),"")</x:f>
      </x:c>
      <x:c r="AC261" t="str">
        <x:f>IFERROR(IF(CaseLedger!$A261="","",CaseLedger!AI261),"")</x:f>
      </x:c>
    </x:row>
    <x:row r="262">
      <x:c r="A262" t="str">
        <x:f>IF(CaseLedger!$A262="","",CaseLedger!A262)</x:f>
      </x:c>
      <x:c r="B262" t="str">
        <x:f>IF(CaseLedger!$A262="","",CaseLedger!I262)</x:f>
      </x:c>
      <x:c r="C262" t="str">
        <x:f>IF(CaseLedger!$A262="","",CaseLedger!J262)</x:f>
      </x:c>
      <x:c r="D262" t="str">
        <x:f>IF(CaseLedger!$A262="","",CaseLedger!K262)</x:f>
      </x:c>
      <x:c r="E262" t="str">
        <x:f>IF(CaseLedger!$A262="","",CaseLedger!L262)</x:f>
      </x:c>
      <x:c r="F262" t="str">
        <x:f>IF(CaseLedger!$A262="","",CaseLedger!P262)</x:f>
      </x:c>
      <x:c r="G262" t="str">
        <x:f>IF(CaseLedger!$A262="","",CaseLedger!F262)</x:f>
      </x:c>
      <x:c r="H262" t="str">
        <x:f>IF(CaseLedger!$A262="","",CaseLedger!Q262)</x:f>
      </x:c>
      <x:c r="I262" t="str">
        <x:f>IF(CaseLedger!$A262="","",CaseLedger!R262)</x:f>
      </x:c>
      <x:c r="J262" t="str">
        <x:f>IF(CaseLedger!$A262="","",CaseLedger!S262)</x:f>
      </x:c>
      <x:c r="K262" t="str">
        <x:f>IF(CaseLedger!$A262="","",CaseLedger!T262)</x:f>
      </x:c>
      <x:c r="L262" t="str">
        <x:f>IF(CaseLedger!$A262="","",CaseLedger!U262)</x:f>
      </x:c>
      <x:c r="M262" t="str">
        <x:f>IF(CaseLedger!$A262="","",CaseLedger!V262)</x:f>
      </x:c>
      <x:c r="N262" t="str">
        <x:f>IF(CaseLedger!$A262="","",CaseLedger!W262)</x:f>
      </x:c>
      <x:c r="O262" t="str">
        <x:f>IF(CaseLedger!$A262="","",CaseLedger!X262)</x:f>
      </x:c>
      <x:c r="P262" t="str">
        <x:f>IF(CaseLedger!$A262="","",CaseLedger!E262)</x:f>
      </x:c>
      <x:c r="Q262" t="str">
        <x:f>IF(CaseLedger!$A262="","",CaseLedger!C262)</x:f>
      </x:c>
      <x:c r="R262" t="str">
        <x:f>IF(CaseLedger!$A262="","",CaseLedger!D262)</x:f>
      </x:c>
      <x:c r="S262" t="str">
        <x:f>IFERROR(IF(CaseLedger!$A262="","",CaseLedger!Y262),"")</x:f>
      </x:c>
      <x:c r="T262" t="str">
        <x:f>IFERROR(IF(CaseLedger!$A262="","",CaseLedger!Z262),"")</x:f>
      </x:c>
      <x:c r="U262" t="str">
        <x:f>IFERROR(IF(CaseLedger!$A262="","",CaseLedger!AA262),"")</x:f>
      </x:c>
      <x:c r="V262" t="str">
        <x:f>IFERROR(IF(CaseLedger!$A262="","",CaseLedger!AB262),"")</x:f>
      </x:c>
      <x:c r="W262" t="str">
        <x:f>IFERROR(IF(CaseLedger!$A262="","",CaseLedger!AC262),"")</x:f>
      </x:c>
      <x:c r="X262" t="str">
        <x:f>IFERROR(IF(CaseLedger!$A262="","",CaseLedger!AD262),"")</x:f>
      </x:c>
      <x:c r="Y262" t="str">
        <x:f>IFERROR(IF(CaseLedger!$A262="","",CaseLedger!AE262),"")</x:f>
      </x:c>
      <x:c r="Z262" t="str">
        <x:f>IFERROR(IF(CaseLedger!$A262="","",CaseLedger!AF262),"")</x:f>
      </x:c>
      <x:c r="AA262" t="str">
        <x:f>IFERROR(IF(CaseLedger!$A262="","",CaseLedger!AG262),"")</x:f>
      </x:c>
      <x:c r="AB262" t="str">
        <x:f>IFERROR(IF(CaseLedger!$A262="","",CaseLedger!AH262),"")</x:f>
      </x:c>
      <x:c r="AC262" t="str">
        <x:f>IFERROR(IF(CaseLedger!$A262="","",CaseLedger!AI262),"")</x:f>
      </x:c>
    </x:row>
    <x:row r="263">
      <x:c r="A263" t="str">
        <x:f>IF(CaseLedger!$A263="","",CaseLedger!A263)</x:f>
      </x:c>
      <x:c r="B263" t="str">
        <x:f>IF(CaseLedger!$A263="","",CaseLedger!I263)</x:f>
      </x:c>
      <x:c r="C263" t="str">
        <x:f>IF(CaseLedger!$A263="","",CaseLedger!J263)</x:f>
      </x:c>
      <x:c r="D263" t="str">
        <x:f>IF(CaseLedger!$A263="","",CaseLedger!K263)</x:f>
      </x:c>
      <x:c r="E263" t="str">
        <x:f>IF(CaseLedger!$A263="","",CaseLedger!L263)</x:f>
      </x:c>
      <x:c r="F263" t="str">
        <x:f>IF(CaseLedger!$A263="","",CaseLedger!P263)</x:f>
      </x:c>
      <x:c r="G263" t="str">
        <x:f>IF(CaseLedger!$A263="","",CaseLedger!F263)</x:f>
      </x:c>
      <x:c r="H263" t="str">
        <x:f>IF(CaseLedger!$A263="","",CaseLedger!Q263)</x:f>
      </x:c>
      <x:c r="I263" t="str">
        <x:f>IF(CaseLedger!$A263="","",CaseLedger!R263)</x:f>
      </x:c>
      <x:c r="J263" t="str">
        <x:f>IF(CaseLedger!$A263="","",CaseLedger!S263)</x:f>
      </x:c>
      <x:c r="K263" t="str">
        <x:f>IF(CaseLedger!$A263="","",CaseLedger!T263)</x:f>
      </x:c>
      <x:c r="L263" t="str">
        <x:f>IF(CaseLedger!$A263="","",CaseLedger!U263)</x:f>
      </x:c>
      <x:c r="M263" t="str">
        <x:f>IF(CaseLedger!$A263="","",CaseLedger!V263)</x:f>
      </x:c>
      <x:c r="N263" t="str">
        <x:f>IF(CaseLedger!$A263="","",CaseLedger!W263)</x:f>
      </x:c>
      <x:c r="O263" t="str">
        <x:f>IF(CaseLedger!$A263="","",CaseLedger!X263)</x:f>
      </x:c>
      <x:c r="P263" t="str">
        <x:f>IF(CaseLedger!$A263="","",CaseLedger!E263)</x:f>
      </x:c>
      <x:c r="Q263" t="str">
        <x:f>IF(CaseLedger!$A263="","",CaseLedger!C263)</x:f>
      </x:c>
      <x:c r="R263" t="str">
        <x:f>IF(CaseLedger!$A263="","",CaseLedger!D263)</x:f>
      </x:c>
      <x:c r="S263" t="str">
        <x:f>IFERROR(IF(CaseLedger!$A263="","",CaseLedger!Y263),"")</x:f>
      </x:c>
      <x:c r="T263" t="str">
        <x:f>IFERROR(IF(CaseLedger!$A263="","",CaseLedger!Z263),"")</x:f>
      </x:c>
      <x:c r="U263" t="str">
        <x:f>IFERROR(IF(CaseLedger!$A263="","",CaseLedger!AA263),"")</x:f>
      </x:c>
      <x:c r="V263" t="str">
        <x:f>IFERROR(IF(CaseLedger!$A263="","",CaseLedger!AB263),"")</x:f>
      </x:c>
      <x:c r="W263" t="str">
        <x:f>IFERROR(IF(CaseLedger!$A263="","",CaseLedger!AC263),"")</x:f>
      </x:c>
      <x:c r="X263" t="str">
        <x:f>IFERROR(IF(CaseLedger!$A263="","",CaseLedger!AD263),"")</x:f>
      </x:c>
      <x:c r="Y263" t="str">
        <x:f>IFERROR(IF(CaseLedger!$A263="","",CaseLedger!AE263),"")</x:f>
      </x:c>
      <x:c r="Z263" t="str">
        <x:f>IFERROR(IF(CaseLedger!$A263="","",CaseLedger!AF263),"")</x:f>
      </x:c>
      <x:c r="AA263" t="str">
        <x:f>IFERROR(IF(CaseLedger!$A263="","",CaseLedger!AG263),"")</x:f>
      </x:c>
      <x:c r="AB263" t="str">
        <x:f>IFERROR(IF(CaseLedger!$A263="","",CaseLedger!AH263),"")</x:f>
      </x:c>
      <x:c r="AC263" t="str">
        <x:f>IFERROR(IF(CaseLedger!$A263="","",CaseLedger!AI263),"")</x:f>
      </x:c>
    </x:row>
    <x:row r="264">
      <x:c r="A264" t="str">
        <x:f>IF(CaseLedger!$A264="","",CaseLedger!A264)</x:f>
      </x:c>
      <x:c r="B264" t="str">
        <x:f>IF(CaseLedger!$A264="","",CaseLedger!I264)</x:f>
      </x:c>
      <x:c r="C264" t="str">
        <x:f>IF(CaseLedger!$A264="","",CaseLedger!J264)</x:f>
      </x:c>
      <x:c r="D264" t="str">
        <x:f>IF(CaseLedger!$A264="","",CaseLedger!K264)</x:f>
      </x:c>
      <x:c r="E264" t="str">
        <x:f>IF(CaseLedger!$A264="","",CaseLedger!L264)</x:f>
      </x:c>
      <x:c r="F264" t="str">
        <x:f>IF(CaseLedger!$A264="","",CaseLedger!P264)</x:f>
      </x:c>
      <x:c r="G264" t="str">
        <x:f>IF(CaseLedger!$A264="","",CaseLedger!F264)</x:f>
      </x:c>
      <x:c r="H264" t="str">
        <x:f>IF(CaseLedger!$A264="","",CaseLedger!Q264)</x:f>
      </x:c>
      <x:c r="I264" t="str">
        <x:f>IF(CaseLedger!$A264="","",CaseLedger!R264)</x:f>
      </x:c>
      <x:c r="J264" t="str">
        <x:f>IF(CaseLedger!$A264="","",CaseLedger!S264)</x:f>
      </x:c>
      <x:c r="K264" t="str">
        <x:f>IF(CaseLedger!$A264="","",CaseLedger!T264)</x:f>
      </x:c>
      <x:c r="L264" t="str">
        <x:f>IF(CaseLedger!$A264="","",CaseLedger!U264)</x:f>
      </x:c>
      <x:c r="M264" t="str">
        <x:f>IF(CaseLedger!$A264="","",CaseLedger!V264)</x:f>
      </x:c>
      <x:c r="N264" t="str">
        <x:f>IF(CaseLedger!$A264="","",CaseLedger!W264)</x:f>
      </x:c>
      <x:c r="O264" t="str">
        <x:f>IF(CaseLedger!$A264="","",CaseLedger!X264)</x:f>
      </x:c>
      <x:c r="P264" t="str">
        <x:f>IF(CaseLedger!$A264="","",CaseLedger!E264)</x:f>
      </x:c>
      <x:c r="Q264" t="str">
        <x:f>IF(CaseLedger!$A264="","",CaseLedger!C264)</x:f>
      </x:c>
      <x:c r="R264" t="str">
        <x:f>IF(CaseLedger!$A264="","",CaseLedger!D264)</x:f>
      </x:c>
      <x:c r="S264" t="str">
        <x:f>IFERROR(IF(CaseLedger!$A264="","",CaseLedger!Y264),"")</x:f>
      </x:c>
      <x:c r="T264" t="str">
        <x:f>IFERROR(IF(CaseLedger!$A264="","",CaseLedger!Z264),"")</x:f>
      </x:c>
      <x:c r="U264" t="str">
        <x:f>IFERROR(IF(CaseLedger!$A264="","",CaseLedger!AA264),"")</x:f>
      </x:c>
      <x:c r="V264" t="str">
        <x:f>IFERROR(IF(CaseLedger!$A264="","",CaseLedger!AB264),"")</x:f>
      </x:c>
      <x:c r="W264" t="str">
        <x:f>IFERROR(IF(CaseLedger!$A264="","",CaseLedger!AC264),"")</x:f>
      </x:c>
      <x:c r="X264" t="str">
        <x:f>IFERROR(IF(CaseLedger!$A264="","",CaseLedger!AD264),"")</x:f>
      </x:c>
      <x:c r="Y264" t="str">
        <x:f>IFERROR(IF(CaseLedger!$A264="","",CaseLedger!AE264),"")</x:f>
      </x:c>
      <x:c r="Z264" t="str">
        <x:f>IFERROR(IF(CaseLedger!$A264="","",CaseLedger!AF264),"")</x:f>
      </x:c>
      <x:c r="AA264" t="str">
        <x:f>IFERROR(IF(CaseLedger!$A264="","",CaseLedger!AG264),"")</x:f>
      </x:c>
      <x:c r="AB264" t="str">
        <x:f>IFERROR(IF(CaseLedger!$A264="","",CaseLedger!AH264),"")</x:f>
      </x:c>
      <x:c r="AC264" t="str">
        <x:f>IFERROR(IF(CaseLedger!$A264="","",CaseLedger!AI264),"")</x:f>
      </x:c>
    </x:row>
    <x:row r="265">
      <x:c r="A265" t="str">
        <x:f>IF(CaseLedger!$A265="","",CaseLedger!A265)</x:f>
      </x:c>
      <x:c r="B265" t="str">
        <x:f>IF(CaseLedger!$A265="","",CaseLedger!I265)</x:f>
      </x:c>
      <x:c r="C265" t="str">
        <x:f>IF(CaseLedger!$A265="","",CaseLedger!J265)</x:f>
      </x:c>
      <x:c r="D265" t="str">
        <x:f>IF(CaseLedger!$A265="","",CaseLedger!K265)</x:f>
      </x:c>
      <x:c r="E265" t="str">
        <x:f>IF(CaseLedger!$A265="","",CaseLedger!L265)</x:f>
      </x:c>
      <x:c r="F265" t="str">
        <x:f>IF(CaseLedger!$A265="","",CaseLedger!P265)</x:f>
      </x:c>
      <x:c r="G265" t="str">
        <x:f>IF(CaseLedger!$A265="","",CaseLedger!F265)</x:f>
      </x:c>
      <x:c r="H265" t="str">
        <x:f>IF(CaseLedger!$A265="","",CaseLedger!Q265)</x:f>
      </x:c>
      <x:c r="I265" t="str">
        <x:f>IF(CaseLedger!$A265="","",CaseLedger!R265)</x:f>
      </x:c>
      <x:c r="J265" t="str">
        <x:f>IF(CaseLedger!$A265="","",CaseLedger!S265)</x:f>
      </x:c>
      <x:c r="K265" t="str">
        <x:f>IF(CaseLedger!$A265="","",CaseLedger!T265)</x:f>
      </x:c>
      <x:c r="L265" t="str">
        <x:f>IF(CaseLedger!$A265="","",CaseLedger!U265)</x:f>
      </x:c>
      <x:c r="M265" t="str">
        <x:f>IF(CaseLedger!$A265="","",CaseLedger!V265)</x:f>
      </x:c>
      <x:c r="N265" t="str">
        <x:f>IF(CaseLedger!$A265="","",CaseLedger!W265)</x:f>
      </x:c>
      <x:c r="O265" t="str">
        <x:f>IF(CaseLedger!$A265="","",CaseLedger!X265)</x:f>
      </x:c>
      <x:c r="P265" t="str">
        <x:f>IF(CaseLedger!$A265="","",CaseLedger!E265)</x:f>
      </x:c>
      <x:c r="Q265" t="str">
        <x:f>IF(CaseLedger!$A265="","",CaseLedger!C265)</x:f>
      </x:c>
      <x:c r="R265" t="str">
        <x:f>IF(CaseLedger!$A265="","",CaseLedger!D265)</x:f>
      </x:c>
      <x:c r="S265" t="str">
        <x:f>IFERROR(IF(CaseLedger!$A265="","",CaseLedger!Y265),"")</x:f>
      </x:c>
      <x:c r="T265" t="str">
        <x:f>IFERROR(IF(CaseLedger!$A265="","",CaseLedger!Z265),"")</x:f>
      </x:c>
      <x:c r="U265" t="str">
        <x:f>IFERROR(IF(CaseLedger!$A265="","",CaseLedger!AA265),"")</x:f>
      </x:c>
      <x:c r="V265" t="str">
        <x:f>IFERROR(IF(CaseLedger!$A265="","",CaseLedger!AB265),"")</x:f>
      </x:c>
      <x:c r="W265" t="str">
        <x:f>IFERROR(IF(CaseLedger!$A265="","",CaseLedger!AC265),"")</x:f>
      </x:c>
      <x:c r="X265" t="str">
        <x:f>IFERROR(IF(CaseLedger!$A265="","",CaseLedger!AD265),"")</x:f>
      </x:c>
      <x:c r="Y265" t="str">
        <x:f>IFERROR(IF(CaseLedger!$A265="","",CaseLedger!AE265),"")</x:f>
      </x:c>
      <x:c r="Z265" t="str">
        <x:f>IFERROR(IF(CaseLedger!$A265="","",CaseLedger!AF265),"")</x:f>
      </x:c>
      <x:c r="AA265" t="str">
        <x:f>IFERROR(IF(CaseLedger!$A265="","",CaseLedger!AG265),"")</x:f>
      </x:c>
      <x:c r="AB265" t="str">
        <x:f>IFERROR(IF(CaseLedger!$A265="","",CaseLedger!AH265),"")</x:f>
      </x:c>
      <x:c r="AC265" t="str">
        <x:f>IFERROR(IF(CaseLedger!$A265="","",CaseLedger!AI265),"")</x:f>
      </x:c>
    </x:row>
    <x:row r="266">
      <x:c r="A266" t="str">
        <x:f>IF(CaseLedger!$A266="","",CaseLedger!A266)</x:f>
      </x:c>
      <x:c r="B266" t="str">
        <x:f>IF(CaseLedger!$A266="","",CaseLedger!I266)</x:f>
      </x:c>
      <x:c r="C266" t="str">
        <x:f>IF(CaseLedger!$A266="","",CaseLedger!J266)</x:f>
      </x:c>
      <x:c r="D266" t="str">
        <x:f>IF(CaseLedger!$A266="","",CaseLedger!K266)</x:f>
      </x:c>
      <x:c r="E266" t="str">
        <x:f>IF(CaseLedger!$A266="","",CaseLedger!L266)</x:f>
      </x:c>
      <x:c r="F266" t="str">
        <x:f>IF(CaseLedger!$A266="","",CaseLedger!P266)</x:f>
      </x:c>
      <x:c r="G266" t="str">
        <x:f>IF(CaseLedger!$A266="","",CaseLedger!F266)</x:f>
      </x:c>
      <x:c r="H266" t="str">
        <x:f>IF(CaseLedger!$A266="","",CaseLedger!Q266)</x:f>
      </x:c>
      <x:c r="I266" t="str">
        <x:f>IF(CaseLedger!$A266="","",CaseLedger!R266)</x:f>
      </x:c>
      <x:c r="J266" t="str">
        <x:f>IF(CaseLedger!$A266="","",CaseLedger!S266)</x:f>
      </x:c>
      <x:c r="K266" t="str">
        <x:f>IF(CaseLedger!$A266="","",CaseLedger!T266)</x:f>
      </x:c>
      <x:c r="L266" t="str">
        <x:f>IF(CaseLedger!$A266="","",CaseLedger!U266)</x:f>
      </x:c>
      <x:c r="M266" t="str">
        <x:f>IF(CaseLedger!$A266="","",CaseLedger!V266)</x:f>
      </x:c>
      <x:c r="N266" t="str">
        <x:f>IF(CaseLedger!$A266="","",CaseLedger!W266)</x:f>
      </x:c>
      <x:c r="O266" t="str">
        <x:f>IF(CaseLedger!$A266="","",CaseLedger!X266)</x:f>
      </x:c>
      <x:c r="P266" t="str">
        <x:f>IF(CaseLedger!$A266="","",CaseLedger!E266)</x:f>
      </x:c>
      <x:c r="Q266" t="str">
        <x:f>IF(CaseLedger!$A266="","",CaseLedger!C266)</x:f>
      </x:c>
      <x:c r="R266" t="str">
        <x:f>IF(CaseLedger!$A266="","",CaseLedger!D266)</x:f>
      </x:c>
      <x:c r="S266" t="str">
        <x:f>IFERROR(IF(CaseLedger!$A266="","",CaseLedger!Y266),"")</x:f>
      </x:c>
      <x:c r="T266" t="str">
        <x:f>IFERROR(IF(CaseLedger!$A266="","",CaseLedger!Z266),"")</x:f>
      </x:c>
      <x:c r="U266" t="str">
        <x:f>IFERROR(IF(CaseLedger!$A266="","",CaseLedger!AA266),"")</x:f>
      </x:c>
      <x:c r="V266" t="str">
        <x:f>IFERROR(IF(CaseLedger!$A266="","",CaseLedger!AB266),"")</x:f>
      </x:c>
      <x:c r="W266" t="str">
        <x:f>IFERROR(IF(CaseLedger!$A266="","",CaseLedger!AC266),"")</x:f>
      </x:c>
      <x:c r="X266" t="str">
        <x:f>IFERROR(IF(CaseLedger!$A266="","",CaseLedger!AD266),"")</x:f>
      </x:c>
      <x:c r="Y266" t="str">
        <x:f>IFERROR(IF(CaseLedger!$A266="","",CaseLedger!AE266),"")</x:f>
      </x:c>
      <x:c r="Z266" t="str">
        <x:f>IFERROR(IF(CaseLedger!$A266="","",CaseLedger!AF266),"")</x:f>
      </x:c>
      <x:c r="AA266" t="str">
        <x:f>IFERROR(IF(CaseLedger!$A266="","",CaseLedger!AG266),"")</x:f>
      </x:c>
      <x:c r="AB266" t="str">
        <x:f>IFERROR(IF(CaseLedger!$A266="","",CaseLedger!AH266),"")</x:f>
      </x:c>
      <x:c r="AC266" t="str">
        <x:f>IFERROR(IF(CaseLedger!$A266="","",CaseLedger!AI266),"")</x:f>
      </x:c>
    </x:row>
    <x:row r="267">
      <x:c r="A267" t="str">
        <x:f>IF(CaseLedger!$A267="","",CaseLedger!A267)</x:f>
      </x:c>
      <x:c r="B267" t="str">
        <x:f>IF(CaseLedger!$A267="","",CaseLedger!I267)</x:f>
      </x:c>
      <x:c r="C267" t="str">
        <x:f>IF(CaseLedger!$A267="","",CaseLedger!J267)</x:f>
      </x:c>
      <x:c r="D267" t="str">
        <x:f>IF(CaseLedger!$A267="","",CaseLedger!K267)</x:f>
      </x:c>
      <x:c r="E267" t="str">
        <x:f>IF(CaseLedger!$A267="","",CaseLedger!L267)</x:f>
      </x:c>
      <x:c r="F267" t="str">
        <x:f>IF(CaseLedger!$A267="","",CaseLedger!P267)</x:f>
      </x:c>
      <x:c r="G267" t="str">
        <x:f>IF(CaseLedger!$A267="","",CaseLedger!F267)</x:f>
      </x:c>
      <x:c r="H267" t="str">
        <x:f>IF(CaseLedger!$A267="","",CaseLedger!Q267)</x:f>
      </x:c>
      <x:c r="I267" t="str">
        <x:f>IF(CaseLedger!$A267="","",CaseLedger!R267)</x:f>
      </x:c>
      <x:c r="J267" t="str">
        <x:f>IF(CaseLedger!$A267="","",CaseLedger!S267)</x:f>
      </x:c>
      <x:c r="K267" t="str">
        <x:f>IF(CaseLedger!$A267="","",CaseLedger!T267)</x:f>
      </x:c>
      <x:c r="L267" t="str">
        <x:f>IF(CaseLedger!$A267="","",CaseLedger!U267)</x:f>
      </x:c>
      <x:c r="M267" t="str">
        <x:f>IF(CaseLedger!$A267="","",CaseLedger!V267)</x:f>
      </x:c>
      <x:c r="N267" t="str">
        <x:f>IF(CaseLedger!$A267="","",CaseLedger!W267)</x:f>
      </x:c>
      <x:c r="O267" t="str">
        <x:f>IF(CaseLedger!$A267="","",CaseLedger!X267)</x:f>
      </x:c>
      <x:c r="P267" t="str">
        <x:f>IF(CaseLedger!$A267="","",CaseLedger!E267)</x:f>
      </x:c>
      <x:c r="Q267" t="str">
        <x:f>IF(CaseLedger!$A267="","",CaseLedger!C267)</x:f>
      </x:c>
      <x:c r="R267" t="str">
        <x:f>IF(CaseLedger!$A267="","",CaseLedger!D267)</x:f>
      </x:c>
      <x:c r="S267" t="str">
        <x:f>IFERROR(IF(CaseLedger!$A267="","",CaseLedger!Y267),"")</x:f>
      </x:c>
      <x:c r="T267" t="str">
        <x:f>IFERROR(IF(CaseLedger!$A267="","",CaseLedger!Z267),"")</x:f>
      </x:c>
      <x:c r="U267" t="str">
        <x:f>IFERROR(IF(CaseLedger!$A267="","",CaseLedger!AA267),"")</x:f>
      </x:c>
      <x:c r="V267" t="str">
        <x:f>IFERROR(IF(CaseLedger!$A267="","",CaseLedger!AB267),"")</x:f>
      </x:c>
      <x:c r="W267" t="str">
        <x:f>IFERROR(IF(CaseLedger!$A267="","",CaseLedger!AC267),"")</x:f>
      </x:c>
      <x:c r="X267" t="str">
        <x:f>IFERROR(IF(CaseLedger!$A267="","",CaseLedger!AD267),"")</x:f>
      </x:c>
      <x:c r="Y267" t="str">
        <x:f>IFERROR(IF(CaseLedger!$A267="","",CaseLedger!AE267),"")</x:f>
      </x:c>
      <x:c r="Z267" t="str">
        <x:f>IFERROR(IF(CaseLedger!$A267="","",CaseLedger!AF267),"")</x:f>
      </x:c>
      <x:c r="AA267" t="str">
        <x:f>IFERROR(IF(CaseLedger!$A267="","",CaseLedger!AG267),"")</x:f>
      </x:c>
      <x:c r="AB267" t="str">
        <x:f>IFERROR(IF(CaseLedger!$A267="","",CaseLedger!AH267),"")</x:f>
      </x:c>
      <x:c r="AC267" t="str">
        <x:f>IFERROR(IF(CaseLedger!$A267="","",CaseLedger!AI267),"")</x:f>
      </x:c>
    </x:row>
    <x:row r="268">
      <x:c r="A268" t="str">
        <x:f>IF(CaseLedger!$A268="","",CaseLedger!A268)</x:f>
      </x:c>
      <x:c r="B268" t="str">
        <x:f>IF(CaseLedger!$A268="","",CaseLedger!I268)</x:f>
      </x:c>
      <x:c r="C268" t="str">
        <x:f>IF(CaseLedger!$A268="","",CaseLedger!J268)</x:f>
      </x:c>
      <x:c r="D268" t="str">
        <x:f>IF(CaseLedger!$A268="","",CaseLedger!K268)</x:f>
      </x:c>
      <x:c r="E268" t="str">
        <x:f>IF(CaseLedger!$A268="","",CaseLedger!L268)</x:f>
      </x:c>
      <x:c r="F268" t="str">
        <x:f>IF(CaseLedger!$A268="","",CaseLedger!P268)</x:f>
      </x:c>
      <x:c r="G268" t="str">
        <x:f>IF(CaseLedger!$A268="","",CaseLedger!F268)</x:f>
      </x:c>
      <x:c r="H268" t="str">
        <x:f>IF(CaseLedger!$A268="","",CaseLedger!Q268)</x:f>
      </x:c>
      <x:c r="I268" t="str">
        <x:f>IF(CaseLedger!$A268="","",CaseLedger!R268)</x:f>
      </x:c>
      <x:c r="J268" t="str">
        <x:f>IF(CaseLedger!$A268="","",CaseLedger!S268)</x:f>
      </x:c>
      <x:c r="K268" t="str">
        <x:f>IF(CaseLedger!$A268="","",CaseLedger!T268)</x:f>
      </x:c>
      <x:c r="L268" t="str">
        <x:f>IF(CaseLedger!$A268="","",CaseLedger!U268)</x:f>
      </x:c>
      <x:c r="M268" t="str">
        <x:f>IF(CaseLedger!$A268="","",CaseLedger!V268)</x:f>
      </x:c>
      <x:c r="N268" t="str">
        <x:f>IF(CaseLedger!$A268="","",CaseLedger!W268)</x:f>
      </x:c>
      <x:c r="O268" t="str">
        <x:f>IF(CaseLedger!$A268="","",CaseLedger!X268)</x:f>
      </x:c>
      <x:c r="P268" t="str">
        <x:f>IF(CaseLedger!$A268="","",CaseLedger!E268)</x:f>
      </x:c>
      <x:c r="Q268" t="str">
        <x:f>IF(CaseLedger!$A268="","",CaseLedger!C268)</x:f>
      </x:c>
      <x:c r="R268" t="str">
        <x:f>IF(CaseLedger!$A268="","",CaseLedger!D268)</x:f>
      </x:c>
      <x:c r="S268" t="str">
        <x:f>IFERROR(IF(CaseLedger!$A268="","",CaseLedger!Y268),"")</x:f>
      </x:c>
      <x:c r="T268" t="str">
        <x:f>IFERROR(IF(CaseLedger!$A268="","",CaseLedger!Z268),"")</x:f>
      </x:c>
      <x:c r="U268" t="str">
        <x:f>IFERROR(IF(CaseLedger!$A268="","",CaseLedger!AA268),"")</x:f>
      </x:c>
      <x:c r="V268" t="str">
        <x:f>IFERROR(IF(CaseLedger!$A268="","",CaseLedger!AB268),"")</x:f>
      </x:c>
      <x:c r="W268" t="str">
        <x:f>IFERROR(IF(CaseLedger!$A268="","",CaseLedger!AC268),"")</x:f>
      </x:c>
      <x:c r="X268" t="str">
        <x:f>IFERROR(IF(CaseLedger!$A268="","",CaseLedger!AD268),"")</x:f>
      </x:c>
      <x:c r="Y268" t="str">
        <x:f>IFERROR(IF(CaseLedger!$A268="","",CaseLedger!AE268),"")</x:f>
      </x:c>
      <x:c r="Z268" t="str">
        <x:f>IFERROR(IF(CaseLedger!$A268="","",CaseLedger!AF268),"")</x:f>
      </x:c>
      <x:c r="AA268" t="str">
        <x:f>IFERROR(IF(CaseLedger!$A268="","",CaseLedger!AG268),"")</x:f>
      </x:c>
      <x:c r="AB268" t="str">
        <x:f>IFERROR(IF(CaseLedger!$A268="","",CaseLedger!AH268),"")</x:f>
      </x:c>
      <x:c r="AC268" t="str">
        <x:f>IFERROR(IF(CaseLedger!$A268="","",CaseLedger!AI268),"")</x:f>
      </x:c>
    </x:row>
    <x:row r="269">
      <x:c r="A269" t="str">
        <x:f>IF(CaseLedger!$A269="","",CaseLedger!A269)</x:f>
      </x:c>
      <x:c r="B269" t="str">
        <x:f>IF(CaseLedger!$A269="","",CaseLedger!I269)</x:f>
      </x:c>
      <x:c r="C269" t="str">
        <x:f>IF(CaseLedger!$A269="","",CaseLedger!J269)</x:f>
      </x:c>
      <x:c r="D269" t="str">
        <x:f>IF(CaseLedger!$A269="","",CaseLedger!K269)</x:f>
      </x:c>
      <x:c r="E269" t="str">
        <x:f>IF(CaseLedger!$A269="","",CaseLedger!L269)</x:f>
      </x:c>
      <x:c r="F269" t="str">
        <x:f>IF(CaseLedger!$A269="","",CaseLedger!P269)</x:f>
      </x:c>
      <x:c r="G269" t="str">
        <x:f>IF(CaseLedger!$A269="","",CaseLedger!F269)</x:f>
      </x:c>
      <x:c r="H269" t="str">
        <x:f>IF(CaseLedger!$A269="","",CaseLedger!Q269)</x:f>
      </x:c>
      <x:c r="I269" t="str">
        <x:f>IF(CaseLedger!$A269="","",CaseLedger!R269)</x:f>
      </x:c>
      <x:c r="J269" t="str">
        <x:f>IF(CaseLedger!$A269="","",CaseLedger!S269)</x:f>
      </x:c>
      <x:c r="K269" t="str">
        <x:f>IF(CaseLedger!$A269="","",CaseLedger!T269)</x:f>
      </x:c>
      <x:c r="L269" t="str">
        <x:f>IF(CaseLedger!$A269="","",CaseLedger!U269)</x:f>
      </x:c>
      <x:c r="M269" t="str">
        <x:f>IF(CaseLedger!$A269="","",CaseLedger!V269)</x:f>
      </x:c>
      <x:c r="N269" t="str">
        <x:f>IF(CaseLedger!$A269="","",CaseLedger!W269)</x:f>
      </x:c>
      <x:c r="O269" t="str">
        <x:f>IF(CaseLedger!$A269="","",CaseLedger!X269)</x:f>
      </x:c>
      <x:c r="P269" t="str">
        <x:f>IF(CaseLedger!$A269="","",CaseLedger!E269)</x:f>
      </x:c>
      <x:c r="Q269" t="str">
        <x:f>IF(CaseLedger!$A269="","",CaseLedger!C269)</x:f>
      </x:c>
      <x:c r="R269" t="str">
        <x:f>IF(CaseLedger!$A269="","",CaseLedger!D269)</x:f>
      </x:c>
      <x:c r="S269" t="str">
        <x:f>IFERROR(IF(CaseLedger!$A269="","",CaseLedger!Y269),"")</x:f>
      </x:c>
      <x:c r="T269" t="str">
        <x:f>IFERROR(IF(CaseLedger!$A269="","",CaseLedger!Z269),"")</x:f>
      </x:c>
      <x:c r="U269" t="str">
        <x:f>IFERROR(IF(CaseLedger!$A269="","",CaseLedger!AA269),"")</x:f>
      </x:c>
      <x:c r="V269" t="str">
        <x:f>IFERROR(IF(CaseLedger!$A269="","",CaseLedger!AB269),"")</x:f>
      </x:c>
      <x:c r="W269" t="str">
        <x:f>IFERROR(IF(CaseLedger!$A269="","",CaseLedger!AC269),"")</x:f>
      </x:c>
      <x:c r="X269" t="str">
        <x:f>IFERROR(IF(CaseLedger!$A269="","",CaseLedger!AD269),"")</x:f>
      </x:c>
      <x:c r="Y269" t="str">
        <x:f>IFERROR(IF(CaseLedger!$A269="","",CaseLedger!AE269),"")</x:f>
      </x:c>
      <x:c r="Z269" t="str">
        <x:f>IFERROR(IF(CaseLedger!$A269="","",CaseLedger!AF269),"")</x:f>
      </x:c>
      <x:c r="AA269" t="str">
        <x:f>IFERROR(IF(CaseLedger!$A269="","",CaseLedger!AG269),"")</x:f>
      </x:c>
      <x:c r="AB269" t="str">
        <x:f>IFERROR(IF(CaseLedger!$A269="","",CaseLedger!AH269),"")</x:f>
      </x:c>
      <x:c r="AC269" t="str">
        <x:f>IFERROR(IF(CaseLedger!$A269="","",CaseLedger!AI269),"")</x:f>
      </x:c>
    </x:row>
    <x:row r="270">
      <x:c r="A270" t="str">
        <x:f>IF(CaseLedger!$A270="","",CaseLedger!A270)</x:f>
      </x:c>
      <x:c r="B270" t="str">
        <x:f>IF(CaseLedger!$A270="","",CaseLedger!I270)</x:f>
      </x:c>
      <x:c r="C270" t="str">
        <x:f>IF(CaseLedger!$A270="","",CaseLedger!J270)</x:f>
      </x:c>
      <x:c r="D270" t="str">
        <x:f>IF(CaseLedger!$A270="","",CaseLedger!K270)</x:f>
      </x:c>
      <x:c r="E270" t="str">
        <x:f>IF(CaseLedger!$A270="","",CaseLedger!L270)</x:f>
      </x:c>
      <x:c r="F270" t="str">
        <x:f>IF(CaseLedger!$A270="","",CaseLedger!P270)</x:f>
      </x:c>
      <x:c r="G270" t="str">
        <x:f>IF(CaseLedger!$A270="","",CaseLedger!F270)</x:f>
      </x:c>
      <x:c r="H270" t="str">
        <x:f>IF(CaseLedger!$A270="","",CaseLedger!Q270)</x:f>
      </x:c>
      <x:c r="I270" t="str">
        <x:f>IF(CaseLedger!$A270="","",CaseLedger!R270)</x:f>
      </x:c>
      <x:c r="J270" t="str">
        <x:f>IF(CaseLedger!$A270="","",CaseLedger!S270)</x:f>
      </x:c>
      <x:c r="K270" t="str">
        <x:f>IF(CaseLedger!$A270="","",CaseLedger!T270)</x:f>
      </x:c>
      <x:c r="L270" t="str">
        <x:f>IF(CaseLedger!$A270="","",CaseLedger!U270)</x:f>
      </x:c>
      <x:c r="M270" t="str">
        <x:f>IF(CaseLedger!$A270="","",CaseLedger!V270)</x:f>
      </x:c>
      <x:c r="N270" t="str">
        <x:f>IF(CaseLedger!$A270="","",CaseLedger!W270)</x:f>
      </x:c>
      <x:c r="O270" t="str">
        <x:f>IF(CaseLedger!$A270="","",CaseLedger!X270)</x:f>
      </x:c>
      <x:c r="P270" t="str">
        <x:f>IF(CaseLedger!$A270="","",CaseLedger!E270)</x:f>
      </x:c>
      <x:c r="Q270" t="str">
        <x:f>IF(CaseLedger!$A270="","",CaseLedger!C270)</x:f>
      </x:c>
      <x:c r="R270" t="str">
        <x:f>IF(CaseLedger!$A270="","",CaseLedger!D270)</x:f>
      </x:c>
      <x:c r="S270" t="str">
        <x:f>IFERROR(IF(CaseLedger!$A270="","",CaseLedger!Y270),"")</x:f>
      </x:c>
      <x:c r="T270" t="str">
        <x:f>IFERROR(IF(CaseLedger!$A270="","",CaseLedger!Z270),"")</x:f>
      </x:c>
      <x:c r="U270" t="str">
        <x:f>IFERROR(IF(CaseLedger!$A270="","",CaseLedger!AA270),"")</x:f>
      </x:c>
      <x:c r="V270" t="str">
        <x:f>IFERROR(IF(CaseLedger!$A270="","",CaseLedger!AB270),"")</x:f>
      </x:c>
      <x:c r="W270" t="str">
        <x:f>IFERROR(IF(CaseLedger!$A270="","",CaseLedger!AC270),"")</x:f>
      </x:c>
      <x:c r="X270" t="str">
        <x:f>IFERROR(IF(CaseLedger!$A270="","",CaseLedger!AD270),"")</x:f>
      </x:c>
      <x:c r="Y270" t="str">
        <x:f>IFERROR(IF(CaseLedger!$A270="","",CaseLedger!AE270),"")</x:f>
      </x:c>
      <x:c r="Z270" t="str">
        <x:f>IFERROR(IF(CaseLedger!$A270="","",CaseLedger!AF270),"")</x:f>
      </x:c>
      <x:c r="AA270" t="str">
        <x:f>IFERROR(IF(CaseLedger!$A270="","",CaseLedger!AG270),"")</x:f>
      </x:c>
      <x:c r="AB270" t="str">
        <x:f>IFERROR(IF(CaseLedger!$A270="","",CaseLedger!AH270),"")</x:f>
      </x:c>
      <x:c r="AC270" t="str">
        <x:f>IFERROR(IF(CaseLedger!$A270="","",CaseLedger!AI270),"")</x:f>
      </x:c>
    </x:row>
    <x:row r="271">
      <x:c r="A271" t="str">
        <x:f>IF(CaseLedger!$A271="","",CaseLedger!A271)</x:f>
      </x:c>
      <x:c r="B271" t="str">
        <x:f>IF(CaseLedger!$A271="","",CaseLedger!I271)</x:f>
      </x:c>
      <x:c r="C271" t="str">
        <x:f>IF(CaseLedger!$A271="","",CaseLedger!J271)</x:f>
      </x:c>
      <x:c r="D271" t="str">
        <x:f>IF(CaseLedger!$A271="","",CaseLedger!K271)</x:f>
      </x:c>
      <x:c r="E271" t="str">
        <x:f>IF(CaseLedger!$A271="","",CaseLedger!L271)</x:f>
      </x:c>
      <x:c r="F271" t="str">
        <x:f>IF(CaseLedger!$A271="","",CaseLedger!P271)</x:f>
      </x:c>
      <x:c r="G271" t="str">
        <x:f>IF(CaseLedger!$A271="","",CaseLedger!F271)</x:f>
      </x:c>
      <x:c r="H271" t="str">
        <x:f>IF(CaseLedger!$A271="","",CaseLedger!Q271)</x:f>
      </x:c>
      <x:c r="I271" t="str">
        <x:f>IF(CaseLedger!$A271="","",CaseLedger!R271)</x:f>
      </x:c>
      <x:c r="J271" t="str">
        <x:f>IF(CaseLedger!$A271="","",CaseLedger!S271)</x:f>
      </x:c>
      <x:c r="K271" t="str">
        <x:f>IF(CaseLedger!$A271="","",CaseLedger!T271)</x:f>
      </x:c>
      <x:c r="L271" t="str">
        <x:f>IF(CaseLedger!$A271="","",CaseLedger!U271)</x:f>
      </x:c>
      <x:c r="M271" t="str">
        <x:f>IF(CaseLedger!$A271="","",CaseLedger!V271)</x:f>
      </x:c>
      <x:c r="N271" t="str">
        <x:f>IF(CaseLedger!$A271="","",CaseLedger!W271)</x:f>
      </x:c>
      <x:c r="O271" t="str">
        <x:f>IF(CaseLedger!$A271="","",CaseLedger!X271)</x:f>
      </x:c>
      <x:c r="P271" t="str">
        <x:f>IF(CaseLedger!$A271="","",CaseLedger!E271)</x:f>
      </x:c>
      <x:c r="Q271" t="str">
        <x:f>IF(CaseLedger!$A271="","",CaseLedger!C271)</x:f>
      </x:c>
      <x:c r="R271" t="str">
        <x:f>IF(CaseLedger!$A271="","",CaseLedger!D271)</x:f>
      </x:c>
      <x:c r="S271" t="str">
        <x:f>IFERROR(IF(CaseLedger!$A271="","",CaseLedger!Y271),"")</x:f>
      </x:c>
      <x:c r="T271" t="str">
        <x:f>IFERROR(IF(CaseLedger!$A271="","",CaseLedger!Z271),"")</x:f>
      </x:c>
      <x:c r="U271" t="str">
        <x:f>IFERROR(IF(CaseLedger!$A271="","",CaseLedger!AA271),"")</x:f>
      </x:c>
      <x:c r="V271" t="str">
        <x:f>IFERROR(IF(CaseLedger!$A271="","",CaseLedger!AB271),"")</x:f>
      </x:c>
      <x:c r="W271" t="str">
        <x:f>IFERROR(IF(CaseLedger!$A271="","",CaseLedger!AC271),"")</x:f>
      </x:c>
      <x:c r="X271" t="str">
        <x:f>IFERROR(IF(CaseLedger!$A271="","",CaseLedger!AD271),"")</x:f>
      </x:c>
      <x:c r="Y271" t="str">
        <x:f>IFERROR(IF(CaseLedger!$A271="","",CaseLedger!AE271),"")</x:f>
      </x:c>
      <x:c r="Z271" t="str">
        <x:f>IFERROR(IF(CaseLedger!$A271="","",CaseLedger!AF271),"")</x:f>
      </x:c>
      <x:c r="AA271" t="str">
        <x:f>IFERROR(IF(CaseLedger!$A271="","",CaseLedger!AG271),"")</x:f>
      </x:c>
      <x:c r="AB271" t="str">
        <x:f>IFERROR(IF(CaseLedger!$A271="","",CaseLedger!AH271),"")</x:f>
      </x:c>
      <x:c r="AC271" t="str">
        <x:f>IFERROR(IF(CaseLedger!$A271="","",CaseLedger!AI271),"")</x:f>
      </x:c>
    </x:row>
    <x:row r="272">
      <x:c r="A272" t="str">
        <x:f>IF(CaseLedger!$A272="","",CaseLedger!A272)</x:f>
      </x:c>
      <x:c r="B272" t="str">
        <x:f>IF(CaseLedger!$A272="","",CaseLedger!I272)</x:f>
      </x:c>
      <x:c r="C272" t="str">
        <x:f>IF(CaseLedger!$A272="","",CaseLedger!J272)</x:f>
      </x:c>
      <x:c r="D272" t="str">
        <x:f>IF(CaseLedger!$A272="","",CaseLedger!K272)</x:f>
      </x:c>
      <x:c r="E272" t="str">
        <x:f>IF(CaseLedger!$A272="","",CaseLedger!L272)</x:f>
      </x:c>
      <x:c r="F272" t="str">
        <x:f>IF(CaseLedger!$A272="","",CaseLedger!P272)</x:f>
      </x:c>
      <x:c r="G272" t="str">
        <x:f>IF(CaseLedger!$A272="","",CaseLedger!F272)</x:f>
      </x:c>
      <x:c r="H272" t="str">
        <x:f>IF(CaseLedger!$A272="","",CaseLedger!Q272)</x:f>
      </x:c>
      <x:c r="I272" t="str">
        <x:f>IF(CaseLedger!$A272="","",CaseLedger!R272)</x:f>
      </x:c>
      <x:c r="J272" t="str">
        <x:f>IF(CaseLedger!$A272="","",CaseLedger!S272)</x:f>
      </x:c>
      <x:c r="K272" t="str">
        <x:f>IF(CaseLedger!$A272="","",CaseLedger!T272)</x:f>
      </x:c>
      <x:c r="L272" t="str">
        <x:f>IF(CaseLedger!$A272="","",CaseLedger!U272)</x:f>
      </x:c>
      <x:c r="M272" t="str">
        <x:f>IF(CaseLedger!$A272="","",CaseLedger!V272)</x:f>
      </x:c>
      <x:c r="N272" t="str">
        <x:f>IF(CaseLedger!$A272="","",CaseLedger!W272)</x:f>
      </x:c>
      <x:c r="O272" t="str">
        <x:f>IF(CaseLedger!$A272="","",CaseLedger!X272)</x:f>
      </x:c>
      <x:c r="P272" t="str">
        <x:f>IF(CaseLedger!$A272="","",CaseLedger!E272)</x:f>
      </x:c>
      <x:c r="Q272" t="str">
        <x:f>IF(CaseLedger!$A272="","",CaseLedger!C272)</x:f>
      </x:c>
      <x:c r="R272" t="str">
        <x:f>IF(CaseLedger!$A272="","",CaseLedger!D272)</x:f>
      </x:c>
      <x:c r="S272" t="str">
        <x:f>IFERROR(IF(CaseLedger!$A272="","",CaseLedger!Y272),"")</x:f>
      </x:c>
      <x:c r="T272" t="str">
        <x:f>IFERROR(IF(CaseLedger!$A272="","",CaseLedger!Z272),"")</x:f>
      </x:c>
      <x:c r="U272" t="str">
        <x:f>IFERROR(IF(CaseLedger!$A272="","",CaseLedger!AA272),"")</x:f>
      </x:c>
      <x:c r="V272" t="str">
        <x:f>IFERROR(IF(CaseLedger!$A272="","",CaseLedger!AB272),"")</x:f>
      </x:c>
      <x:c r="W272" t="str">
        <x:f>IFERROR(IF(CaseLedger!$A272="","",CaseLedger!AC272),"")</x:f>
      </x:c>
      <x:c r="X272" t="str">
        <x:f>IFERROR(IF(CaseLedger!$A272="","",CaseLedger!AD272),"")</x:f>
      </x:c>
      <x:c r="Y272" t="str">
        <x:f>IFERROR(IF(CaseLedger!$A272="","",CaseLedger!AE272),"")</x:f>
      </x:c>
      <x:c r="Z272" t="str">
        <x:f>IFERROR(IF(CaseLedger!$A272="","",CaseLedger!AF272),"")</x:f>
      </x:c>
      <x:c r="AA272" t="str">
        <x:f>IFERROR(IF(CaseLedger!$A272="","",CaseLedger!AG272),"")</x:f>
      </x:c>
      <x:c r="AB272" t="str">
        <x:f>IFERROR(IF(CaseLedger!$A272="","",CaseLedger!AH272),"")</x:f>
      </x:c>
      <x:c r="AC272" t="str">
        <x:f>IFERROR(IF(CaseLedger!$A272="","",CaseLedger!AI272),"")</x:f>
      </x:c>
    </x:row>
    <x:row r="273">
      <x:c r="A273" t="str">
        <x:f>IF(CaseLedger!$A273="","",CaseLedger!A273)</x:f>
      </x:c>
      <x:c r="B273" t="str">
        <x:f>IF(CaseLedger!$A273="","",CaseLedger!I273)</x:f>
      </x:c>
      <x:c r="C273" t="str">
        <x:f>IF(CaseLedger!$A273="","",CaseLedger!J273)</x:f>
      </x:c>
      <x:c r="D273" t="str">
        <x:f>IF(CaseLedger!$A273="","",CaseLedger!K273)</x:f>
      </x:c>
      <x:c r="E273" t="str">
        <x:f>IF(CaseLedger!$A273="","",CaseLedger!L273)</x:f>
      </x:c>
      <x:c r="F273" t="str">
        <x:f>IF(CaseLedger!$A273="","",CaseLedger!P273)</x:f>
      </x:c>
      <x:c r="G273" t="str">
        <x:f>IF(CaseLedger!$A273="","",CaseLedger!F273)</x:f>
      </x:c>
      <x:c r="H273" t="str">
        <x:f>IF(CaseLedger!$A273="","",CaseLedger!Q273)</x:f>
      </x:c>
      <x:c r="I273" t="str">
        <x:f>IF(CaseLedger!$A273="","",CaseLedger!R273)</x:f>
      </x:c>
      <x:c r="J273" t="str">
        <x:f>IF(CaseLedger!$A273="","",CaseLedger!S273)</x:f>
      </x:c>
      <x:c r="K273" t="str">
        <x:f>IF(CaseLedger!$A273="","",CaseLedger!T273)</x:f>
      </x:c>
      <x:c r="L273" t="str">
        <x:f>IF(CaseLedger!$A273="","",CaseLedger!U273)</x:f>
      </x:c>
      <x:c r="M273" t="str">
        <x:f>IF(CaseLedger!$A273="","",CaseLedger!V273)</x:f>
      </x:c>
      <x:c r="N273" t="str">
        <x:f>IF(CaseLedger!$A273="","",CaseLedger!W273)</x:f>
      </x:c>
      <x:c r="O273" t="str">
        <x:f>IF(CaseLedger!$A273="","",CaseLedger!X273)</x:f>
      </x:c>
      <x:c r="P273" t="str">
        <x:f>IF(CaseLedger!$A273="","",CaseLedger!E273)</x:f>
      </x:c>
      <x:c r="Q273" t="str">
        <x:f>IF(CaseLedger!$A273="","",CaseLedger!C273)</x:f>
      </x:c>
      <x:c r="R273" t="str">
        <x:f>IF(CaseLedger!$A273="","",CaseLedger!D273)</x:f>
      </x:c>
      <x:c r="S273" t="str">
        <x:f>IFERROR(IF(CaseLedger!$A273="","",CaseLedger!Y273),"")</x:f>
      </x:c>
      <x:c r="T273" t="str">
        <x:f>IFERROR(IF(CaseLedger!$A273="","",CaseLedger!Z273),"")</x:f>
      </x:c>
      <x:c r="U273" t="str">
        <x:f>IFERROR(IF(CaseLedger!$A273="","",CaseLedger!AA273),"")</x:f>
      </x:c>
      <x:c r="V273" t="str">
        <x:f>IFERROR(IF(CaseLedger!$A273="","",CaseLedger!AB273),"")</x:f>
      </x:c>
      <x:c r="W273" t="str">
        <x:f>IFERROR(IF(CaseLedger!$A273="","",CaseLedger!AC273),"")</x:f>
      </x:c>
      <x:c r="X273" t="str">
        <x:f>IFERROR(IF(CaseLedger!$A273="","",CaseLedger!AD273),"")</x:f>
      </x:c>
      <x:c r="Y273" t="str">
        <x:f>IFERROR(IF(CaseLedger!$A273="","",CaseLedger!AE273),"")</x:f>
      </x:c>
      <x:c r="Z273" t="str">
        <x:f>IFERROR(IF(CaseLedger!$A273="","",CaseLedger!AF273),"")</x:f>
      </x:c>
      <x:c r="AA273" t="str">
        <x:f>IFERROR(IF(CaseLedger!$A273="","",CaseLedger!AG273),"")</x:f>
      </x:c>
      <x:c r="AB273" t="str">
        <x:f>IFERROR(IF(CaseLedger!$A273="","",CaseLedger!AH273),"")</x:f>
      </x:c>
      <x:c r="AC273" t="str">
        <x:f>IFERROR(IF(CaseLedger!$A273="","",CaseLedger!AI273),"")</x:f>
      </x:c>
    </x:row>
    <x:row r="274">
      <x:c r="A274" t="str">
        <x:f>IF(CaseLedger!$A274="","",CaseLedger!A274)</x:f>
      </x:c>
      <x:c r="B274" t="str">
        <x:f>IF(CaseLedger!$A274="","",CaseLedger!I274)</x:f>
      </x:c>
      <x:c r="C274" t="str">
        <x:f>IF(CaseLedger!$A274="","",CaseLedger!J274)</x:f>
      </x:c>
      <x:c r="D274" t="str">
        <x:f>IF(CaseLedger!$A274="","",CaseLedger!K274)</x:f>
      </x:c>
      <x:c r="E274" t="str">
        <x:f>IF(CaseLedger!$A274="","",CaseLedger!L274)</x:f>
      </x:c>
      <x:c r="F274" t="str">
        <x:f>IF(CaseLedger!$A274="","",CaseLedger!P274)</x:f>
      </x:c>
      <x:c r="G274" t="str">
        <x:f>IF(CaseLedger!$A274="","",CaseLedger!F274)</x:f>
      </x:c>
      <x:c r="H274" t="str">
        <x:f>IF(CaseLedger!$A274="","",CaseLedger!Q274)</x:f>
      </x:c>
      <x:c r="I274" t="str">
        <x:f>IF(CaseLedger!$A274="","",CaseLedger!R274)</x:f>
      </x:c>
      <x:c r="J274" t="str">
        <x:f>IF(CaseLedger!$A274="","",CaseLedger!S274)</x:f>
      </x:c>
      <x:c r="K274" t="str">
        <x:f>IF(CaseLedger!$A274="","",CaseLedger!T274)</x:f>
      </x:c>
      <x:c r="L274" t="str">
        <x:f>IF(CaseLedger!$A274="","",CaseLedger!U274)</x:f>
      </x:c>
      <x:c r="M274" t="str">
        <x:f>IF(CaseLedger!$A274="","",CaseLedger!V274)</x:f>
      </x:c>
      <x:c r="N274" t="str">
        <x:f>IF(CaseLedger!$A274="","",CaseLedger!W274)</x:f>
      </x:c>
      <x:c r="O274" t="str">
        <x:f>IF(CaseLedger!$A274="","",CaseLedger!X274)</x:f>
      </x:c>
      <x:c r="P274" t="str">
        <x:f>IF(CaseLedger!$A274="","",CaseLedger!E274)</x:f>
      </x:c>
      <x:c r="Q274" t="str">
        <x:f>IF(CaseLedger!$A274="","",CaseLedger!C274)</x:f>
      </x:c>
      <x:c r="R274" t="str">
        <x:f>IF(CaseLedger!$A274="","",CaseLedger!D274)</x:f>
      </x:c>
      <x:c r="S274" t="str">
        <x:f>IFERROR(IF(CaseLedger!$A274="","",CaseLedger!Y274),"")</x:f>
      </x:c>
      <x:c r="T274" t="str">
        <x:f>IFERROR(IF(CaseLedger!$A274="","",CaseLedger!Z274),"")</x:f>
      </x:c>
      <x:c r="U274" t="str">
        <x:f>IFERROR(IF(CaseLedger!$A274="","",CaseLedger!AA274),"")</x:f>
      </x:c>
      <x:c r="V274" t="str">
        <x:f>IFERROR(IF(CaseLedger!$A274="","",CaseLedger!AB274),"")</x:f>
      </x:c>
      <x:c r="W274" t="str">
        <x:f>IFERROR(IF(CaseLedger!$A274="","",CaseLedger!AC274),"")</x:f>
      </x:c>
      <x:c r="X274" t="str">
        <x:f>IFERROR(IF(CaseLedger!$A274="","",CaseLedger!AD274),"")</x:f>
      </x:c>
      <x:c r="Y274" t="str">
        <x:f>IFERROR(IF(CaseLedger!$A274="","",CaseLedger!AE274),"")</x:f>
      </x:c>
      <x:c r="Z274" t="str">
        <x:f>IFERROR(IF(CaseLedger!$A274="","",CaseLedger!AF274),"")</x:f>
      </x:c>
      <x:c r="AA274" t="str">
        <x:f>IFERROR(IF(CaseLedger!$A274="","",CaseLedger!AG274),"")</x:f>
      </x:c>
      <x:c r="AB274" t="str">
        <x:f>IFERROR(IF(CaseLedger!$A274="","",CaseLedger!AH274),"")</x:f>
      </x:c>
      <x:c r="AC274" t="str">
        <x:f>IFERROR(IF(CaseLedger!$A274="","",CaseLedger!AI274),"")</x:f>
      </x:c>
    </x:row>
    <x:row r="275">
      <x:c r="A275" t="str">
        <x:f>IF(CaseLedger!$A275="","",CaseLedger!A275)</x:f>
      </x:c>
      <x:c r="B275" t="str">
        <x:f>IF(CaseLedger!$A275="","",CaseLedger!I275)</x:f>
      </x:c>
      <x:c r="C275" t="str">
        <x:f>IF(CaseLedger!$A275="","",CaseLedger!J275)</x:f>
      </x:c>
      <x:c r="D275" t="str">
        <x:f>IF(CaseLedger!$A275="","",CaseLedger!K275)</x:f>
      </x:c>
      <x:c r="E275" t="str">
        <x:f>IF(CaseLedger!$A275="","",CaseLedger!L275)</x:f>
      </x:c>
      <x:c r="F275" t="str">
        <x:f>IF(CaseLedger!$A275="","",CaseLedger!P275)</x:f>
      </x:c>
      <x:c r="G275" t="str">
        <x:f>IF(CaseLedger!$A275="","",CaseLedger!F275)</x:f>
      </x:c>
      <x:c r="H275" t="str">
        <x:f>IF(CaseLedger!$A275="","",CaseLedger!Q275)</x:f>
      </x:c>
      <x:c r="I275" t="str">
        <x:f>IF(CaseLedger!$A275="","",CaseLedger!R275)</x:f>
      </x:c>
      <x:c r="J275" t="str">
        <x:f>IF(CaseLedger!$A275="","",CaseLedger!S275)</x:f>
      </x:c>
      <x:c r="K275" t="str">
        <x:f>IF(CaseLedger!$A275="","",CaseLedger!T275)</x:f>
      </x:c>
      <x:c r="L275" t="str">
        <x:f>IF(CaseLedger!$A275="","",CaseLedger!U275)</x:f>
      </x:c>
      <x:c r="M275" t="str">
        <x:f>IF(CaseLedger!$A275="","",CaseLedger!V275)</x:f>
      </x:c>
      <x:c r="N275" t="str">
        <x:f>IF(CaseLedger!$A275="","",CaseLedger!W275)</x:f>
      </x:c>
      <x:c r="O275" t="str">
        <x:f>IF(CaseLedger!$A275="","",CaseLedger!X275)</x:f>
      </x:c>
      <x:c r="P275" t="str">
        <x:f>IF(CaseLedger!$A275="","",CaseLedger!E275)</x:f>
      </x:c>
      <x:c r="Q275" t="str">
        <x:f>IF(CaseLedger!$A275="","",CaseLedger!C275)</x:f>
      </x:c>
      <x:c r="R275" t="str">
        <x:f>IF(CaseLedger!$A275="","",CaseLedger!D275)</x:f>
      </x:c>
      <x:c r="S275" t="str">
        <x:f>IFERROR(IF(CaseLedger!$A275="","",CaseLedger!Y275),"")</x:f>
      </x:c>
      <x:c r="T275" t="str">
        <x:f>IFERROR(IF(CaseLedger!$A275="","",CaseLedger!Z275),"")</x:f>
      </x:c>
      <x:c r="U275" t="str">
        <x:f>IFERROR(IF(CaseLedger!$A275="","",CaseLedger!AA275),"")</x:f>
      </x:c>
      <x:c r="V275" t="str">
        <x:f>IFERROR(IF(CaseLedger!$A275="","",CaseLedger!AB275),"")</x:f>
      </x:c>
      <x:c r="W275" t="str">
        <x:f>IFERROR(IF(CaseLedger!$A275="","",CaseLedger!AC275),"")</x:f>
      </x:c>
      <x:c r="X275" t="str">
        <x:f>IFERROR(IF(CaseLedger!$A275="","",CaseLedger!AD275),"")</x:f>
      </x:c>
      <x:c r="Y275" t="str">
        <x:f>IFERROR(IF(CaseLedger!$A275="","",CaseLedger!AE275),"")</x:f>
      </x:c>
      <x:c r="Z275" t="str">
        <x:f>IFERROR(IF(CaseLedger!$A275="","",CaseLedger!AF275),"")</x:f>
      </x:c>
      <x:c r="AA275" t="str">
        <x:f>IFERROR(IF(CaseLedger!$A275="","",CaseLedger!AG275),"")</x:f>
      </x:c>
      <x:c r="AB275" t="str">
        <x:f>IFERROR(IF(CaseLedger!$A275="","",CaseLedger!AH275),"")</x:f>
      </x:c>
      <x:c r="AC275" t="str">
        <x:f>IFERROR(IF(CaseLedger!$A275="","",CaseLedger!AI275),"")</x:f>
      </x:c>
    </x:row>
    <x:row r="276">
      <x:c r="A276" t="str">
        <x:f>IF(CaseLedger!$A276="","",CaseLedger!A276)</x:f>
      </x:c>
      <x:c r="B276" t="str">
        <x:f>IF(CaseLedger!$A276="","",CaseLedger!I276)</x:f>
      </x:c>
      <x:c r="C276" t="str">
        <x:f>IF(CaseLedger!$A276="","",CaseLedger!J276)</x:f>
      </x:c>
      <x:c r="D276" t="str">
        <x:f>IF(CaseLedger!$A276="","",CaseLedger!K276)</x:f>
      </x:c>
      <x:c r="E276" t="str">
        <x:f>IF(CaseLedger!$A276="","",CaseLedger!L276)</x:f>
      </x:c>
      <x:c r="F276" t="str">
        <x:f>IF(CaseLedger!$A276="","",CaseLedger!P276)</x:f>
      </x:c>
      <x:c r="G276" t="str">
        <x:f>IF(CaseLedger!$A276="","",CaseLedger!F276)</x:f>
      </x:c>
      <x:c r="H276" t="str">
        <x:f>IF(CaseLedger!$A276="","",CaseLedger!Q276)</x:f>
      </x:c>
      <x:c r="I276" t="str">
        <x:f>IF(CaseLedger!$A276="","",CaseLedger!R276)</x:f>
      </x:c>
      <x:c r="J276" t="str">
        <x:f>IF(CaseLedger!$A276="","",CaseLedger!S276)</x:f>
      </x:c>
      <x:c r="K276" t="str">
        <x:f>IF(CaseLedger!$A276="","",CaseLedger!T276)</x:f>
      </x:c>
      <x:c r="L276" t="str">
        <x:f>IF(CaseLedger!$A276="","",CaseLedger!U276)</x:f>
      </x:c>
      <x:c r="M276" t="str">
        <x:f>IF(CaseLedger!$A276="","",CaseLedger!V276)</x:f>
      </x:c>
      <x:c r="N276" t="str">
        <x:f>IF(CaseLedger!$A276="","",CaseLedger!W276)</x:f>
      </x:c>
      <x:c r="O276" t="str">
        <x:f>IF(CaseLedger!$A276="","",CaseLedger!X276)</x:f>
      </x:c>
      <x:c r="P276" t="str">
        <x:f>IF(CaseLedger!$A276="","",CaseLedger!E276)</x:f>
      </x:c>
      <x:c r="Q276" t="str">
        <x:f>IF(CaseLedger!$A276="","",CaseLedger!C276)</x:f>
      </x:c>
      <x:c r="R276" t="str">
        <x:f>IF(CaseLedger!$A276="","",CaseLedger!D276)</x:f>
      </x:c>
      <x:c r="S276" t="str">
        <x:f>IFERROR(IF(CaseLedger!$A276="","",CaseLedger!Y276),"")</x:f>
      </x:c>
      <x:c r="T276" t="str">
        <x:f>IFERROR(IF(CaseLedger!$A276="","",CaseLedger!Z276),"")</x:f>
      </x:c>
      <x:c r="U276" t="str">
        <x:f>IFERROR(IF(CaseLedger!$A276="","",CaseLedger!AA276),"")</x:f>
      </x:c>
      <x:c r="V276" t="str">
        <x:f>IFERROR(IF(CaseLedger!$A276="","",CaseLedger!AB276),"")</x:f>
      </x:c>
      <x:c r="W276" t="str">
        <x:f>IFERROR(IF(CaseLedger!$A276="","",CaseLedger!AC276),"")</x:f>
      </x:c>
      <x:c r="X276" t="str">
        <x:f>IFERROR(IF(CaseLedger!$A276="","",CaseLedger!AD276),"")</x:f>
      </x:c>
      <x:c r="Y276" t="str">
        <x:f>IFERROR(IF(CaseLedger!$A276="","",CaseLedger!AE276),"")</x:f>
      </x:c>
      <x:c r="Z276" t="str">
        <x:f>IFERROR(IF(CaseLedger!$A276="","",CaseLedger!AF276),"")</x:f>
      </x:c>
      <x:c r="AA276" t="str">
        <x:f>IFERROR(IF(CaseLedger!$A276="","",CaseLedger!AG276),"")</x:f>
      </x:c>
      <x:c r="AB276" t="str">
        <x:f>IFERROR(IF(CaseLedger!$A276="","",CaseLedger!AH276),"")</x:f>
      </x:c>
      <x:c r="AC276" t="str">
        <x:f>IFERROR(IF(CaseLedger!$A276="","",CaseLedger!AI276),"")</x:f>
      </x:c>
    </x:row>
    <x:row r="277">
      <x:c r="A277" t="str">
        <x:f>IF(CaseLedger!$A277="","",CaseLedger!A277)</x:f>
      </x:c>
      <x:c r="B277" t="str">
        <x:f>IF(CaseLedger!$A277="","",CaseLedger!I277)</x:f>
      </x:c>
      <x:c r="C277" t="str">
        <x:f>IF(CaseLedger!$A277="","",CaseLedger!J277)</x:f>
      </x:c>
      <x:c r="D277" t="str">
        <x:f>IF(CaseLedger!$A277="","",CaseLedger!K277)</x:f>
      </x:c>
      <x:c r="E277" t="str">
        <x:f>IF(CaseLedger!$A277="","",CaseLedger!L277)</x:f>
      </x:c>
      <x:c r="F277" t="str">
        <x:f>IF(CaseLedger!$A277="","",CaseLedger!P277)</x:f>
      </x:c>
      <x:c r="G277" t="str">
        <x:f>IF(CaseLedger!$A277="","",CaseLedger!F277)</x:f>
      </x:c>
      <x:c r="H277" t="str">
        <x:f>IF(CaseLedger!$A277="","",CaseLedger!Q277)</x:f>
      </x:c>
      <x:c r="I277" t="str">
        <x:f>IF(CaseLedger!$A277="","",CaseLedger!R277)</x:f>
      </x:c>
      <x:c r="J277" t="str">
        <x:f>IF(CaseLedger!$A277="","",CaseLedger!S277)</x:f>
      </x:c>
      <x:c r="K277" t="str">
        <x:f>IF(CaseLedger!$A277="","",CaseLedger!T277)</x:f>
      </x:c>
      <x:c r="L277" t="str">
        <x:f>IF(CaseLedger!$A277="","",CaseLedger!U277)</x:f>
      </x:c>
      <x:c r="M277" t="str">
        <x:f>IF(CaseLedger!$A277="","",CaseLedger!V277)</x:f>
      </x:c>
      <x:c r="N277" t="str">
        <x:f>IF(CaseLedger!$A277="","",CaseLedger!W277)</x:f>
      </x:c>
      <x:c r="O277" t="str">
        <x:f>IF(CaseLedger!$A277="","",CaseLedger!X277)</x:f>
      </x:c>
      <x:c r="P277" t="str">
        <x:f>IF(CaseLedger!$A277="","",CaseLedger!E277)</x:f>
      </x:c>
      <x:c r="Q277" t="str">
        <x:f>IF(CaseLedger!$A277="","",CaseLedger!C277)</x:f>
      </x:c>
      <x:c r="R277" t="str">
        <x:f>IF(CaseLedger!$A277="","",CaseLedger!D277)</x:f>
      </x:c>
      <x:c r="S277" t="str">
        <x:f>IFERROR(IF(CaseLedger!$A277="","",CaseLedger!Y277),"")</x:f>
      </x:c>
      <x:c r="T277" t="str">
        <x:f>IFERROR(IF(CaseLedger!$A277="","",CaseLedger!Z277),"")</x:f>
      </x:c>
      <x:c r="U277" t="str">
        <x:f>IFERROR(IF(CaseLedger!$A277="","",CaseLedger!AA277),"")</x:f>
      </x:c>
      <x:c r="V277" t="str">
        <x:f>IFERROR(IF(CaseLedger!$A277="","",CaseLedger!AB277),"")</x:f>
      </x:c>
      <x:c r="W277" t="str">
        <x:f>IFERROR(IF(CaseLedger!$A277="","",CaseLedger!AC277),"")</x:f>
      </x:c>
      <x:c r="X277" t="str">
        <x:f>IFERROR(IF(CaseLedger!$A277="","",CaseLedger!AD277),"")</x:f>
      </x:c>
      <x:c r="Y277" t="str">
        <x:f>IFERROR(IF(CaseLedger!$A277="","",CaseLedger!AE277),"")</x:f>
      </x:c>
      <x:c r="Z277" t="str">
        <x:f>IFERROR(IF(CaseLedger!$A277="","",CaseLedger!AF277),"")</x:f>
      </x:c>
      <x:c r="AA277" t="str">
        <x:f>IFERROR(IF(CaseLedger!$A277="","",CaseLedger!AG277),"")</x:f>
      </x:c>
      <x:c r="AB277" t="str">
        <x:f>IFERROR(IF(CaseLedger!$A277="","",CaseLedger!AH277),"")</x:f>
      </x:c>
      <x:c r="AC277" t="str">
        <x:f>IFERROR(IF(CaseLedger!$A277="","",CaseLedger!AI277),"")</x:f>
      </x:c>
    </x:row>
    <x:row r="278">
      <x:c r="A278" t="str">
        <x:f>IF(CaseLedger!$A278="","",CaseLedger!A278)</x:f>
      </x:c>
      <x:c r="B278" t="str">
        <x:f>IF(CaseLedger!$A278="","",CaseLedger!I278)</x:f>
      </x:c>
      <x:c r="C278" t="str">
        <x:f>IF(CaseLedger!$A278="","",CaseLedger!J278)</x:f>
      </x:c>
      <x:c r="D278" t="str">
        <x:f>IF(CaseLedger!$A278="","",CaseLedger!K278)</x:f>
      </x:c>
      <x:c r="E278" t="str">
        <x:f>IF(CaseLedger!$A278="","",CaseLedger!L278)</x:f>
      </x:c>
      <x:c r="F278" t="str">
        <x:f>IF(CaseLedger!$A278="","",CaseLedger!P278)</x:f>
      </x:c>
      <x:c r="G278" t="str">
        <x:f>IF(CaseLedger!$A278="","",CaseLedger!F278)</x:f>
      </x:c>
      <x:c r="H278" t="str">
        <x:f>IF(CaseLedger!$A278="","",CaseLedger!Q278)</x:f>
      </x:c>
      <x:c r="I278" t="str">
        <x:f>IF(CaseLedger!$A278="","",CaseLedger!R278)</x:f>
      </x:c>
      <x:c r="J278" t="str">
        <x:f>IF(CaseLedger!$A278="","",CaseLedger!S278)</x:f>
      </x:c>
      <x:c r="K278" t="str">
        <x:f>IF(CaseLedger!$A278="","",CaseLedger!T278)</x:f>
      </x:c>
      <x:c r="L278" t="str">
        <x:f>IF(CaseLedger!$A278="","",CaseLedger!U278)</x:f>
      </x:c>
      <x:c r="M278" t="str">
        <x:f>IF(CaseLedger!$A278="","",CaseLedger!V278)</x:f>
      </x:c>
      <x:c r="N278" t="str">
        <x:f>IF(CaseLedger!$A278="","",CaseLedger!W278)</x:f>
      </x:c>
      <x:c r="O278" t="str">
        <x:f>IF(CaseLedger!$A278="","",CaseLedger!X278)</x:f>
      </x:c>
      <x:c r="P278" t="str">
        <x:f>IF(CaseLedger!$A278="","",CaseLedger!E278)</x:f>
      </x:c>
      <x:c r="Q278" t="str">
        <x:f>IF(CaseLedger!$A278="","",CaseLedger!C278)</x:f>
      </x:c>
      <x:c r="R278" t="str">
        <x:f>IF(CaseLedger!$A278="","",CaseLedger!D278)</x:f>
      </x:c>
      <x:c r="S278" t="str">
        <x:f>IFERROR(IF(CaseLedger!$A278="","",CaseLedger!Y278),"")</x:f>
      </x:c>
      <x:c r="T278" t="str">
        <x:f>IFERROR(IF(CaseLedger!$A278="","",CaseLedger!Z278),"")</x:f>
      </x:c>
      <x:c r="U278" t="str">
        <x:f>IFERROR(IF(CaseLedger!$A278="","",CaseLedger!AA278),"")</x:f>
      </x:c>
      <x:c r="V278" t="str">
        <x:f>IFERROR(IF(CaseLedger!$A278="","",CaseLedger!AB278),"")</x:f>
      </x:c>
      <x:c r="W278" t="str">
        <x:f>IFERROR(IF(CaseLedger!$A278="","",CaseLedger!AC278),"")</x:f>
      </x:c>
      <x:c r="X278" t="str">
        <x:f>IFERROR(IF(CaseLedger!$A278="","",CaseLedger!AD278),"")</x:f>
      </x:c>
      <x:c r="Y278" t="str">
        <x:f>IFERROR(IF(CaseLedger!$A278="","",CaseLedger!AE278),"")</x:f>
      </x:c>
      <x:c r="Z278" t="str">
        <x:f>IFERROR(IF(CaseLedger!$A278="","",CaseLedger!AF278),"")</x:f>
      </x:c>
      <x:c r="AA278" t="str">
        <x:f>IFERROR(IF(CaseLedger!$A278="","",CaseLedger!AG278),"")</x:f>
      </x:c>
      <x:c r="AB278" t="str">
        <x:f>IFERROR(IF(CaseLedger!$A278="","",CaseLedger!AH278),"")</x:f>
      </x:c>
      <x:c r="AC278" t="str">
        <x:f>IFERROR(IF(CaseLedger!$A278="","",CaseLedger!AI278),"")</x:f>
      </x:c>
    </x:row>
    <x:row r="279">
      <x:c r="A279" t="str">
        <x:f>IF(CaseLedger!$A279="","",CaseLedger!A279)</x:f>
      </x:c>
      <x:c r="B279" t="str">
        <x:f>IF(CaseLedger!$A279="","",CaseLedger!I279)</x:f>
      </x:c>
      <x:c r="C279" t="str">
        <x:f>IF(CaseLedger!$A279="","",CaseLedger!J279)</x:f>
      </x:c>
      <x:c r="D279" t="str">
        <x:f>IF(CaseLedger!$A279="","",CaseLedger!K279)</x:f>
      </x:c>
      <x:c r="E279" t="str">
        <x:f>IF(CaseLedger!$A279="","",CaseLedger!L279)</x:f>
      </x:c>
      <x:c r="F279" t="str">
        <x:f>IF(CaseLedger!$A279="","",CaseLedger!P279)</x:f>
      </x:c>
      <x:c r="G279" t="str">
        <x:f>IF(CaseLedger!$A279="","",CaseLedger!F279)</x:f>
      </x:c>
      <x:c r="H279" t="str">
        <x:f>IF(CaseLedger!$A279="","",CaseLedger!Q279)</x:f>
      </x:c>
      <x:c r="I279" t="str">
        <x:f>IF(CaseLedger!$A279="","",CaseLedger!R279)</x:f>
      </x:c>
      <x:c r="J279" t="str">
        <x:f>IF(CaseLedger!$A279="","",CaseLedger!S279)</x:f>
      </x:c>
      <x:c r="K279" t="str">
        <x:f>IF(CaseLedger!$A279="","",CaseLedger!T279)</x:f>
      </x:c>
      <x:c r="L279" t="str">
        <x:f>IF(CaseLedger!$A279="","",CaseLedger!U279)</x:f>
      </x:c>
      <x:c r="M279" t="str">
        <x:f>IF(CaseLedger!$A279="","",CaseLedger!V279)</x:f>
      </x:c>
      <x:c r="N279" t="str">
        <x:f>IF(CaseLedger!$A279="","",CaseLedger!W279)</x:f>
      </x:c>
      <x:c r="O279" t="str">
        <x:f>IF(CaseLedger!$A279="","",CaseLedger!X279)</x:f>
      </x:c>
      <x:c r="P279" t="str">
        <x:f>IF(CaseLedger!$A279="","",CaseLedger!E279)</x:f>
      </x:c>
      <x:c r="Q279" t="str">
        <x:f>IF(CaseLedger!$A279="","",CaseLedger!C279)</x:f>
      </x:c>
      <x:c r="R279" t="str">
        <x:f>IF(CaseLedger!$A279="","",CaseLedger!D279)</x:f>
      </x:c>
      <x:c r="S279" t="str">
        <x:f>IFERROR(IF(CaseLedger!$A279="","",CaseLedger!Y279),"")</x:f>
      </x:c>
      <x:c r="T279" t="str">
        <x:f>IFERROR(IF(CaseLedger!$A279="","",CaseLedger!Z279),"")</x:f>
      </x:c>
      <x:c r="U279" t="str">
        <x:f>IFERROR(IF(CaseLedger!$A279="","",CaseLedger!AA279),"")</x:f>
      </x:c>
      <x:c r="V279" t="str">
        <x:f>IFERROR(IF(CaseLedger!$A279="","",CaseLedger!AB279),"")</x:f>
      </x:c>
      <x:c r="W279" t="str">
        <x:f>IFERROR(IF(CaseLedger!$A279="","",CaseLedger!AC279),"")</x:f>
      </x:c>
      <x:c r="X279" t="str">
        <x:f>IFERROR(IF(CaseLedger!$A279="","",CaseLedger!AD279),"")</x:f>
      </x:c>
      <x:c r="Y279" t="str">
        <x:f>IFERROR(IF(CaseLedger!$A279="","",CaseLedger!AE279),"")</x:f>
      </x:c>
      <x:c r="Z279" t="str">
        <x:f>IFERROR(IF(CaseLedger!$A279="","",CaseLedger!AF279),"")</x:f>
      </x:c>
      <x:c r="AA279" t="str">
        <x:f>IFERROR(IF(CaseLedger!$A279="","",CaseLedger!AG279),"")</x:f>
      </x:c>
      <x:c r="AB279" t="str">
        <x:f>IFERROR(IF(CaseLedger!$A279="","",CaseLedger!AH279),"")</x:f>
      </x:c>
      <x:c r="AC279" t="str">
        <x:f>IFERROR(IF(CaseLedger!$A279="","",CaseLedger!AI279),"")</x:f>
      </x:c>
    </x:row>
    <x:row r="280">
      <x:c r="A280" t="str">
        <x:f>IF(CaseLedger!$A280="","",CaseLedger!A280)</x:f>
      </x:c>
      <x:c r="B280" t="str">
        <x:f>IF(CaseLedger!$A280="","",CaseLedger!I280)</x:f>
      </x:c>
      <x:c r="C280" t="str">
        <x:f>IF(CaseLedger!$A280="","",CaseLedger!J280)</x:f>
      </x:c>
      <x:c r="D280" t="str">
        <x:f>IF(CaseLedger!$A280="","",CaseLedger!K280)</x:f>
      </x:c>
      <x:c r="E280" t="str">
        <x:f>IF(CaseLedger!$A280="","",CaseLedger!L280)</x:f>
      </x:c>
      <x:c r="F280" t="str">
        <x:f>IF(CaseLedger!$A280="","",CaseLedger!P280)</x:f>
      </x:c>
      <x:c r="G280" t="str">
        <x:f>IF(CaseLedger!$A280="","",CaseLedger!F280)</x:f>
      </x:c>
      <x:c r="H280" t="str">
        <x:f>IF(CaseLedger!$A280="","",CaseLedger!Q280)</x:f>
      </x:c>
      <x:c r="I280" t="str">
        <x:f>IF(CaseLedger!$A280="","",CaseLedger!R280)</x:f>
      </x:c>
      <x:c r="J280" t="str">
        <x:f>IF(CaseLedger!$A280="","",CaseLedger!S280)</x:f>
      </x:c>
      <x:c r="K280" t="str">
        <x:f>IF(CaseLedger!$A280="","",CaseLedger!T280)</x:f>
      </x:c>
      <x:c r="L280" t="str">
        <x:f>IF(CaseLedger!$A280="","",CaseLedger!U280)</x:f>
      </x:c>
      <x:c r="M280" t="str">
        <x:f>IF(CaseLedger!$A280="","",CaseLedger!V280)</x:f>
      </x:c>
      <x:c r="N280" t="str">
        <x:f>IF(CaseLedger!$A280="","",CaseLedger!W280)</x:f>
      </x:c>
      <x:c r="O280" t="str">
        <x:f>IF(CaseLedger!$A280="","",CaseLedger!X280)</x:f>
      </x:c>
      <x:c r="P280" t="str">
        <x:f>IF(CaseLedger!$A280="","",CaseLedger!E280)</x:f>
      </x:c>
      <x:c r="Q280" t="str">
        <x:f>IF(CaseLedger!$A280="","",CaseLedger!C280)</x:f>
      </x:c>
      <x:c r="R280" t="str">
        <x:f>IF(CaseLedger!$A280="","",CaseLedger!D280)</x:f>
      </x:c>
      <x:c r="S280" t="str">
        <x:f>IFERROR(IF(CaseLedger!$A280="","",CaseLedger!Y280),"")</x:f>
      </x:c>
      <x:c r="T280" t="str">
        <x:f>IFERROR(IF(CaseLedger!$A280="","",CaseLedger!Z280),"")</x:f>
      </x:c>
      <x:c r="U280" t="str">
        <x:f>IFERROR(IF(CaseLedger!$A280="","",CaseLedger!AA280),"")</x:f>
      </x:c>
      <x:c r="V280" t="str">
        <x:f>IFERROR(IF(CaseLedger!$A280="","",CaseLedger!AB280),"")</x:f>
      </x:c>
      <x:c r="W280" t="str">
        <x:f>IFERROR(IF(CaseLedger!$A280="","",CaseLedger!AC280),"")</x:f>
      </x:c>
      <x:c r="X280" t="str">
        <x:f>IFERROR(IF(CaseLedger!$A280="","",CaseLedger!AD280),"")</x:f>
      </x:c>
      <x:c r="Y280" t="str">
        <x:f>IFERROR(IF(CaseLedger!$A280="","",CaseLedger!AE280),"")</x:f>
      </x:c>
      <x:c r="Z280" t="str">
        <x:f>IFERROR(IF(CaseLedger!$A280="","",CaseLedger!AF280),"")</x:f>
      </x:c>
      <x:c r="AA280" t="str">
        <x:f>IFERROR(IF(CaseLedger!$A280="","",CaseLedger!AG280),"")</x:f>
      </x:c>
      <x:c r="AB280" t="str">
        <x:f>IFERROR(IF(CaseLedger!$A280="","",CaseLedger!AH280),"")</x:f>
      </x:c>
      <x:c r="AC280" t="str">
        <x:f>IFERROR(IF(CaseLedger!$A280="","",CaseLedger!AI280),"")</x:f>
      </x:c>
    </x:row>
    <x:row r="281">
      <x:c r="A281" t="str">
        <x:f>IF(CaseLedger!$A281="","",CaseLedger!A281)</x:f>
      </x:c>
      <x:c r="B281" t="str">
        <x:f>IF(CaseLedger!$A281="","",CaseLedger!I281)</x:f>
      </x:c>
      <x:c r="C281" t="str">
        <x:f>IF(CaseLedger!$A281="","",CaseLedger!J281)</x:f>
      </x:c>
      <x:c r="D281" t="str">
        <x:f>IF(CaseLedger!$A281="","",CaseLedger!K281)</x:f>
      </x:c>
      <x:c r="E281" t="str">
        <x:f>IF(CaseLedger!$A281="","",CaseLedger!L281)</x:f>
      </x:c>
      <x:c r="F281" t="str">
        <x:f>IF(CaseLedger!$A281="","",CaseLedger!P281)</x:f>
      </x:c>
      <x:c r="G281" t="str">
        <x:f>IF(CaseLedger!$A281="","",CaseLedger!F281)</x:f>
      </x:c>
      <x:c r="H281" t="str">
        <x:f>IF(CaseLedger!$A281="","",CaseLedger!Q281)</x:f>
      </x:c>
      <x:c r="I281" t="str">
        <x:f>IF(CaseLedger!$A281="","",CaseLedger!R281)</x:f>
      </x:c>
      <x:c r="J281" t="str">
        <x:f>IF(CaseLedger!$A281="","",CaseLedger!S281)</x:f>
      </x:c>
      <x:c r="K281" t="str">
        <x:f>IF(CaseLedger!$A281="","",CaseLedger!T281)</x:f>
      </x:c>
      <x:c r="L281" t="str">
        <x:f>IF(CaseLedger!$A281="","",CaseLedger!U281)</x:f>
      </x:c>
      <x:c r="M281" t="str">
        <x:f>IF(CaseLedger!$A281="","",CaseLedger!V281)</x:f>
      </x:c>
      <x:c r="N281" t="str">
        <x:f>IF(CaseLedger!$A281="","",CaseLedger!W281)</x:f>
      </x:c>
      <x:c r="O281" t="str">
        <x:f>IF(CaseLedger!$A281="","",CaseLedger!X281)</x:f>
      </x:c>
      <x:c r="P281" t="str">
        <x:f>IF(CaseLedger!$A281="","",CaseLedger!E281)</x:f>
      </x:c>
      <x:c r="Q281" t="str">
        <x:f>IF(CaseLedger!$A281="","",CaseLedger!C281)</x:f>
      </x:c>
      <x:c r="R281" t="str">
        <x:f>IF(CaseLedger!$A281="","",CaseLedger!D281)</x:f>
      </x:c>
      <x:c r="S281" t="str">
        <x:f>IFERROR(IF(CaseLedger!$A281="","",CaseLedger!Y281),"")</x:f>
      </x:c>
      <x:c r="T281" t="str">
        <x:f>IFERROR(IF(CaseLedger!$A281="","",CaseLedger!Z281),"")</x:f>
      </x:c>
      <x:c r="U281" t="str">
        <x:f>IFERROR(IF(CaseLedger!$A281="","",CaseLedger!AA281),"")</x:f>
      </x:c>
      <x:c r="V281" t="str">
        <x:f>IFERROR(IF(CaseLedger!$A281="","",CaseLedger!AB281),"")</x:f>
      </x:c>
      <x:c r="W281" t="str">
        <x:f>IFERROR(IF(CaseLedger!$A281="","",CaseLedger!AC281),"")</x:f>
      </x:c>
      <x:c r="X281" t="str">
        <x:f>IFERROR(IF(CaseLedger!$A281="","",CaseLedger!AD281),"")</x:f>
      </x:c>
      <x:c r="Y281" t="str">
        <x:f>IFERROR(IF(CaseLedger!$A281="","",CaseLedger!AE281),"")</x:f>
      </x:c>
      <x:c r="Z281" t="str">
        <x:f>IFERROR(IF(CaseLedger!$A281="","",CaseLedger!AF281),"")</x:f>
      </x:c>
      <x:c r="AA281" t="str">
        <x:f>IFERROR(IF(CaseLedger!$A281="","",CaseLedger!AG281),"")</x:f>
      </x:c>
      <x:c r="AB281" t="str">
        <x:f>IFERROR(IF(CaseLedger!$A281="","",CaseLedger!AH281),"")</x:f>
      </x:c>
      <x:c r="AC281" t="str">
        <x:f>IFERROR(IF(CaseLedger!$A281="","",CaseLedger!AI281),"")</x:f>
      </x:c>
    </x:row>
    <x:row r="282">
      <x:c r="A282" t="str">
        <x:f>IF(CaseLedger!$A282="","",CaseLedger!A282)</x:f>
      </x:c>
      <x:c r="B282" t="str">
        <x:f>IF(CaseLedger!$A282="","",CaseLedger!I282)</x:f>
      </x:c>
      <x:c r="C282" t="str">
        <x:f>IF(CaseLedger!$A282="","",CaseLedger!J282)</x:f>
      </x:c>
      <x:c r="D282" t="str">
        <x:f>IF(CaseLedger!$A282="","",CaseLedger!K282)</x:f>
      </x:c>
      <x:c r="E282" t="str">
        <x:f>IF(CaseLedger!$A282="","",CaseLedger!L282)</x:f>
      </x:c>
      <x:c r="F282" t="str">
        <x:f>IF(CaseLedger!$A282="","",CaseLedger!P282)</x:f>
      </x:c>
      <x:c r="G282" t="str">
        <x:f>IF(CaseLedger!$A282="","",CaseLedger!F282)</x:f>
      </x:c>
      <x:c r="H282" t="str">
        <x:f>IF(CaseLedger!$A282="","",CaseLedger!Q282)</x:f>
      </x:c>
      <x:c r="I282" t="str">
        <x:f>IF(CaseLedger!$A282="","",CaseLedger!R282)</x:f>
      </x:c>
      <x:c r="J282" t="str">
        <x:f>IF(CaseLedger!$A282="","",CaseLedger!S282)</x:f>
      </x:c>
      <x:c r="K282" t="str">
        <x:f>IF(CaseLedger!$A282="","",CaseLedger!T282)</x:f>
      </x:c>
      <x:c r="L282" t="str">
        <x:f>IF(CaseLedger!$A282="","",CaseLedger!U282)</x:f>
      </x:c>
      <x:c r="M282" t="str">
        <x:f>IF(CaseLedger!$A282="","",CaseLedger!V282)</x:f>
      </x:c>
      <x:c r="N282" t="str">
        <x:f>IF(CaseLedger!$A282="","",CaseLedger!W282)</x:f>
      </x:c>
      <x:c r="O282" t="str">
        <x:f>IF(CaseLedger!$A282="","",CaseLedger!X282)</x:f>
      </x:c>
      <x:c r="P282" t="str">
        <x:f>IF(CaseLedger!$A282="","",CaseLedger!E282)</x:f>
      </x:c>
      <x:c r="Q282" t="str">
        <x:f>IF(CaseLedger!$A282="","",CaseLedger!C282)</x:f>
      </x:c>
      <x:c r="R282" t="str">
        <x:f>IF(CaseLedger!$A282="","",CaseLedger!D282)</x:f>
      </x:c>
      <x:c r="S282" t="str">
        <x:f>IFERROR(IF(CaseLedger!$A282="","",CaseLedger!Y282),"")</x:f>
      </x:c>
      <x:c r="T282" t="str">
        <x:f>IFERROR(IF(CaseLedger!$A282="","",CaseLedger!Z282),"")</x:f>
      </x:c>
      <x:c r="U282" t="str">
        <x:f>IFERROR(IF(CaseLedger!$A282="","",CaseLedger!AA282),"")</x:f>
      </x:c>
      <x:c r="V282" t="str">
        <x:f>IFERROR(IF(CaseLedger!$A282="","",CaseLedger!AB282),"")</x:f>
      </x:c>
      <x:c r="W282" t="str">
        <x:f>IFERROR(IF(CaseLedger!$A282="","",CaseLedger!AC282),"")</x:f>
      </x:c>
      <x:c r="X282" t="str">
        <x:f>IFERROR(IF(CaseLedger!$A282="","",CaseLedger!AD282),"")</x:f>
      </x:c>
      <x:c r="Y282" t="str">
        <x:f>IFERROR(IF(CaseLedger!$A282="","",CaseLedger!AE282),"")</x:f>
      </x:c>
      <x:c r="Z282" t="str">
        <x:f>IFERROR(IF(CaseLedger!$A282="","",CaseLedger!AF282),"")</x:f>
      </x:c>
      <x:c r="AA282" t="str">
        <x:f>IFERROR(IF(CaseLedger!$A282="","",CaseLedger!AG282),"")</x:f>
      </x:c>
      <x:c r="AB282" t="str">
        <x:f>IFERROR(IF(CaseLedger!$A282="","",CaseLedger!AH282),"")</x:f>
      </x:c>
      <x:c r="AC282" t="str">
        <x:f>IFERROR(IF(CaseLedger!$A282="","",CaseLedger!AI282),"")</x:f>
      </x:c>
    </x:row>
    <x:row r="283">
      <x:c r="A283" t="str">
        <x:f>IF(CaseLedger!$A283="","",CaseLedger!A283)</x:f>
      </x:c>
      <x:c r="B283" t="str">
        <x:f>IF(CaseLedger!$A283="","",CaseLedger!I283)</x:f>
      </x:c>
      <x:c r="C283" t="str">
        <x:f>IF(CaseLedger!$A283="","",CaseLedger!J283)</x:f>
      </x:c>
      <x:c r="D283" t="str">
        <x:f>IF(CaseLedger!$A283="","",CaseLedger!K283)</x:f>
      </x:c>
      <x:c r="E283" t="str">
        <x:f>IF(CaseLedger!$A283="","",CaseLedger!L283)</x:f>
      </x:c>
      <x:c r="F283" t="str">
        <x:f>IF(CaseLedger!$A283="","",CaseLedger!P283)</x:f>
      </x:c>
      <x:c r="G283" t="str">
        <x:f>IF(CaseLedger!$A283="","",CaseLedger!F283)</x:f>
      </x:c>
      <x:c r="H283" t="str">
        <x:f>IF(CaseLedger!$A283="","",CaseLedger!Q283)</x:f>
      </x:c>
      <x:c r="I283" t="str">
        <x:f>IF(CaseLedger!$A283="","",CaseLedger!R283)</x:f>
      </x:c>
      <x:c r="J283" t="str">
        <x:f>IF(CaseLedger!$A283="","",CaseLedger!S283)</x:f>
      </x:c>
      <x:c r="K283" t="str">
        <x:f>IF(CaseLedger!$A283="","",CaseLedger!T283)</x:f>
      </x:c>
      <x:c r="L283" t="str">
        <x:f>IF(CaseLedger!$A283="","",CaseLedger!U283)</x:f>
      </x:c>
      <x:c r="M283" t="str">
        <x:f>IF(CaseLedger!$A283="","",CaseLedger!V283)</x:f>
      </x:c>
      <x:c r="N283" t="str">
        <x:f>IF(CaseLedger!$A283="","",CaseLedger!W283)</x:f>
      </x:c>
      <x:c r="O283" t="str">
        <x:f>IF(CaseLedger!$A283="","",CaseLedger!X283)</x:f>
      </x:c>
      <x:c r="P283" t="str">
        <x:f>IF(CaseLedger!$A283="","",CaseLedger!E283)</x:f>
      </x:c>
      <x:c r="Q283" t="str">
        <x:f>IF(CaseLedger!$A283="","",CaseLedger!C283)</x:f>
      </x:c>
      <x:c r="R283" t="str">
        <x:f>IF(CaseLedger!$A283="","",CaseLedger!D283)</x:f>
      </x:c>
      <x:c r="S283" t="str">
        <x:f>IFERROR(IF(CaseLedger!$A283="","",CaseLedger!Y283),"")</x:f>
      </x:c>
      <x:c r="T283" t="str">
        <x:f>IFERROR(IF(CaseLedger!$A283="","",CaseLedger!Z283),"")</x:f>
      </x:c>
      <x:c r="U283" t="str">
        <x:f>IFERROR(IF(CaseLedger!$A283="","",CaseLedger!AA283),"")</x:f>
      </x:c>
      <x:c r="V283" t="str">
        <x:f>IFERROR(IF(CaseLedger!$A283="","",CaseLedger!AB283),"")</x:f>
      </x:c>
      <x:c r="W283" t="str">
        <x:f>IFERROR(IF(CaseLedger!$A283="","",CaseLedger!AC283),"")</x:f>
      </x:c>
      <x:c r="X283" t="str">
        <x:f>IFERROR(IF(CaseLedger!$A283="","",CaseLedger!AD283),"")</x:f>
      </x:c>
      <x:c r="Y283" t="str">
        <x:f>IFERROR(IF(CaseLedger!$A283="","",CaseLedger!AE283),"")</x:f>
      </x:c>
      <x:c r="Z283" t="str">
        <x:f>IFERROR(IF(CaseLedger!$A283="","",CaseLedger!AF283),"")</x:f>
      </x:c>
      <x:c r="AA283" t="str">
        <x:f>IFERROR(IF(CaseLedger!$A283="","",CaseLedger!AG283),"")</x:f>
      </x:c>
      <x:c r="AB283" t="str">
        <x:f>IFERROR(IF(CaseLedger!$A283="","",CaseLedger!AH283),"")</x:f>
      </x:c>
      <x:c r="AC283" t="str">
        <x:f>IFERROR(IF(CaseLedger!$A283="","",CaseLedger!AI283),"")</x:f>
      </x:c>
    </x:row>
    <x:row r="284">
      <x:c r="A284" t="str">
        <x:f>IF(CaseLedger!$A284="","",CaseLedger!A284)</x:f>
      </x:c>
      <x:c r="B284" t="str">
        <x:f>IF(CaseLedger!$A284="","",CaseLedger!I284)</x:f>
      </x:c>
      <x:c r="C284" t="str">
        <x:f>IF(CaseLedger!$A284="","",CaseLedger!J284)</x:f>
      </x:c>
      <x:c r="D284" t="str">
        <x:f>IF(CaseLedger!$A284="","",CaseLedger!K284)</x:f>
      </x:c>
      <x:c r="E284" t="str">
        <x:f>IF(CaseLedger!$A284="","",CaseLedger!L284)</x:f>
      </x:c>
      <x:c r="F284" t="str">
        <x:f>IF(CaseLedger!$A284="","",CaseLedger!P284)</x:f>
      </x:c>
      <x:c r="G284" t="str">
        <x:f>IF(CaseLedger!$A284="","",CaseLedger!F284)</x:f>
      </x:c>
      <x:c r="H284" t="str">
        <x:f>IF(CaseLedger!$A284="","",CaseLedger!Q284)</x:f>
      </x:c>
      <x:c r="I284" t="str">
        <x:f>IF(CaseLedger!$A284="","",CaseLedger!R284)</x:f>
      </x:c>
      <x:c r="J284" t="str">
        <x:f>IF(CaseLedger!$A284="","",CaseLedger!S284)</x:f>
      </x:c>
      <x:c r="K284" t="str">
        <x:f>IF(CaseLedger!$A284="","",CaseLedger!T284)</x:f>
      </x:c>
      <x:c r="L284" t="str">
        <x:f>IF(CaseLedger!$A284="","",CaseLedger!U284)</x:f>
      </x:c>
      <x:c r="M284" t="str">
        <x:f>IF(CaseLedger!$A284="","",CaseLedger!V284)</x:f>
      </x:c>
      <x:c r="N284" t="str">
        <x:f>IF(CaseLedger!$A284="","",CaseLedger!W284)</x:f>
      </x:c>
      <x:c r="O284" t="str">
        <x:f>IF(CaseLedger!$A284="","",CaseLedger!X284)</x:f>
      </x:c>
      <x:c r="P284" t="str">
        <x:f>IF(CaseLedger!$A284="","",CaseLedger!E284)</x:f>
      </x:c>
      <x:c r="Q284" t="str">
        <x:f>IF(CaseLedger!$A284="","",CaseLedger!C284)</x:f>
      </x:c>
      <x:c r="R284" t="str">
        <x:f>IF(CaseLedger!$A284="","",CaseLedger!D284)</x:f>
      </x:c>
      <x:c r="S284" t="str">
        <x:f>IFERROR(IF(CaseLedger!$A284="","",CaseLedger!Y284),"")</x:f>
      </x:c>
      <x:c r="T284" t="str">
        <x:f>IFERROR(IF(CaseLedger!$A284="","",CaseLedger!Z284),"")</x:f>
      </x:c>
      <x:c r="U284" t="str">
        <x:f>IFERROR(IF(CaseLedger!$A284="","",CaseLedger!AA284),"")</x:f>
      </x:c>
      <x:c r="V284" t="str">
        <x:f>IFERROR(IF(CaseLedger!$A284="","",CaseLedger!AB284),"")</x:f>
      </x:c>
      <x:c r="W284" t="str">
        <x:f>IFERROR(IF(CaseLedger!$A284="","",CaseLedger!AC284),"")</x:f>
      </x:c>
      <x:c r="X284" t="str">
        <x:f>IFERROR(IF(CaseLedger!$A284="","",CaseLedger!AD284),"")</x:f>
      </x:c>
      <x:c r="Y284" t="str">
        <x:f>IFERROR(IF(CaseLedger!$A284="","",CaseLedger!AE284),"")</x:f>
      </x:c>
      <x:c r="Z284" t="str">
        <x:f>IFERROR(IF(CaseLedger!$A284="","",CaseLedger!AF284),"")</x:f>
      </x:c>
      <x:c r="AA284" t="str">
        <x:f>IFERROR(IF(CaseLedger!$A284="","",CaseLedger!AG284),"")</x:f>
      </x:c>
      <x:c r="AB284" t="str">
        <x:f>IFERROR(IF(CaseLedger!$A284="","",CaseLedger!AH284),"")</x:f>
      </x:c>
      <x:c r="AC284" t="str">
        <x:f>IFERROR(IF(CaseLedger!$A284="","",CaseLedger!AI284),"")</x:f>
      </x:c>
    </x:row>
    <x:row r="285">
      <x:c r="A285" t="str">
        <x:f>IF(CaseLedger!$A285="","",CaseLedger!A285)</x:f>
      </x:c>
      <x:c r="B285" t="str">
        <x:f>IF(CaseLedger!$A285="","",CaseLedger!I285)</x:f>
      </x:c>
      <x:c r="C285" t="str">
        <x:f>IF(CaseLedger!$A285="","",CaseLedger!J285)</x:f>
      </x:c>
      <x:c r="D285" t="str">
        <x:f>IF(CaseLedger!$A285="","",CaseLedger!K285)</x:f>
      </x:c>
      <x:c r="E285" t="str">
        <x:f>IF(CaseLedger!$A285="","",CaseLedger!L285)</x:f>
      </x:c>
      <x:c r="F285" t="str">
        <x:f>IF(CaseLedger!$A285="","",CaseLedger!P285)</x:f>
      </x:c>
      <x:c r="G285" t="str">
        <x:f>IF(CaseLedger!$A285="","",CaseLedger!F285)</x:f>
      </x:c>
      <x:c r="H285" t="str">
        <x:f>IF(CaseLedger!$A285="","",CaseLedger!Q285)</x:f>
      </x:c>
      <x:c r="I285" t="str">
        <x:f>IF(CaseLedger!$A285="","",CaseLedger!R285)</x:f>
      </x:c>
      <x:c r="J285" t="str">
        <x:f>IF(CaseLedger!$A285="","",CaseLedger!S285)</x:f>
      </x:c>
      <x:c r="K285" t="str">
        <x:f>IF(CaseLedger!$A285="","",CaseLedger!T285)</x:f>
      </x:c>
      <x:c r="L285" t="str">
        <x:f>IF(CaseLedger!$A285="","",CaseLedger!U285)</x:f>
      </x:c>
      <x:c r="M285" t="str">
        <x:f>IF(CaseLedger!$A285="","",CaseLedger!V285)</x:f>
      </x:c>
      <x:c r="N285" t="str">
        <x:f>IF(CaseLedger!$A285="","",CaseLedger!W285)</x:f>
      </x:c>
      <x:c r="O285" t="str">
        <x:f>IF(CaseLedger!$A285="","",CaseLedger!X285)</x:f>
      </x:c>
      <x:c r="P285" t="str">
        <x:f>IF(CaseLedger!$A285="","",CaseLedger!E285)</x:f>
      </x:c>
      <x:c r="Q285" t="str">
        <x:f>IF(CaseLedger!$A285="","",CaseLedger!C285)</x:f>
      </x:c>
      <x:c r="R285" t="str">
        <x:f>IF(CaseLedger!$A285="","",CaseLedger!D285)</x:f>
      </x:c>
      <x:c r="S285" t="str">
        <x:f>IFERROR(IF(CaseLedger!$A285="","",CaseLedger!Y285),"")</x:f>
      </x:c>
      <x:c r="T285" t="str">
        <x:f>IFERROR(IF(CaseLedger!$A285="","",CaseLedger!Z285),"")</x:f>
      </x:c>
      <x:c r="U285" t="str">
        <x:f>IFERROR(IF(CaseLedger!$A285="","",CaseLedger!AA285),"")</x:f>
      </x:c>
      <x:c r="V285" t="str">
        <x:f>IFERROR(IF(CaseLedger!$A285="","",CaseLedger!AB285),"")</x:f>
      </x:c>
      <x:c r="W285" t="str">
        <x:f>IFERROR(IF(CaseLedger!$A285="","",CaseLedger!AC285),"")</x:f>
      </x:c>
      <x:c r="X285" t="str">
        <x:f>IFERROR(IF(CaseLedger!$A285="","",CaseLedger!AD285),"")</x:f>
      </x:c>
      <x:c r="Y285" t="str">
        <x:f>IFERROR(IF(CaseLedger!$A285="","",CaseLedger!AE285),"")</x:f>
      </x:c>
      <x:c r="Z285" t="str">
        <x:f>IFERROR(IF(CaseLedger!$A285="","",CaseLedger!AF285),"")</x:f>
      </x:c>
      <x:c r="AA285" t="str">
        <x:f>IFERROR(IF(CaseLedger!$A285="","",CaseLedger!AG285),"")</x:f>
      </x:c>
      <x:c r="AB285" t="str">
        <x:f>IFERROR(IF(CaseLedger!$A285="","",CaseLedger!AH285),"")</x:f>
      </x:c>
      <x:c r="AC285" t="str">
        <x:f>IFERROR(IF(CaseLedger!$A285="","",CaseLedger!AI285),"")</x:f>
      </x:c>
    </x:row>
    <x:row r="286">
      <x:c r="A286" t="str">
        <x:f>IF(CaseLedger!$A286="","",CaseLedger!A286)</x:f>
      </x:c>
      <x:c r="B286" t="str">
        <x:f>IF(CaseLedger!$A286="","",CaseLedger!I286)</x:f>
      </x:c>
      <x:c r="C286" t="str">
        <x:f>IF(CaseLedger!$A286="","",CaseLedger!J286)</x:f>
      </x:c>
      <x:c r="D286" t="str">
        <x:f>IF(CaseLedger!$A286="","",CaseLedger!K286)</x:f>
      </x:c>
      <x:c r="E286" t="str">
        <x:f>IF(CaseLedger!$A286="","",CaseLedger!L286)</x:f>
      </x:c>
      <x:c r="F286" t="str">
        <x:f>IF(CaseLedger!$A286="","",CaseLedger!P286)</x:f>
      </x:c>
      <x:c r="G286" t="str">
        <x:f>IF(CaseLedger!$A286="","",CaseLedger!F286)</x:f>
      </x:c>
      <x:c r="H286" t="str">
        <x:f>IF(CaseLedger!$A286="","",CaseLedger!Q286)</x:f>
      </x:c>
      <x:c r="I286" t="str">
        <x:f>IF(CaseLedger!$A286="","",CaseLedger!R286)</x:f>
      </x:c>
      <x:c r="J286" t="str">
        <x:f>IF(CaseLedger!$A286="","",CaseLedger!S286)</x:f>
      </x:c>
      <x:c r="K286" t="str">
        <x:f>IF(CaseLedger!$A286="","",CaseLedger!T286)</x:f>
      </x:c>
      <x:c r="L286" t="str">
        <x:f>IF(CaseLedger!$A286="","",CaseLedger!U286)</x:f>
      </x:c>
      <x:c r="M286" t="str">
        <x:f>IF(CaseLedger!$A286="","",CaseLedger!V286)</x:f>
      </x:c>
      <x:c r="N286" t="str">
        <x:f>IF(CaseLedger!$A286="","",CaseLedger!W286)</x:f>
      </x:c>
      <x:c r="O286" t="str">
        <x:f>IF(CaseLedger!$A286="","",CaseLedger!X286)</x:f>
      </x:c>
      <x:c r="P286" t="str">
        <x:f>IF(CaseLedger!$A286="","",CaseLedger!E286)</x:f>
      </x:c>
      <x:c r="Q286" t="str">
        <x:f>IF(CaseLedger!$A286="","",CaseLedger!C286)</x:f>
      </x:c>
      <x:c r="R286" t="str">
        <x:f>IF(CaseLedger!$A286="","",CaseLedger!D286)</x:f>
      </x:c>
      <x:c r="S286" t="str">
        <x:f>IFERROR(IF(CaseLedger!$A286="","",CaseLedger!Y286),"")</x:f>
      </x:c>
      <x:c r="T286" t="str">
        <x:f>IFERROR(IF(CaseLedger!$A286="","",CaseLedger!Z286),"")</x:f>
      </x:c>
      <x:c r="U286" t="str">
        <x:f>IFERROR(IF(CaseLedger!$A286="","",CaseLedger!AA286),"")</x:f>
      </x:c>
      <x:c r="V286" t="str">
        <x:f>IFERROR(IF(CaseLedger!$A286="","",CaseLedger!AB286),"")</x:f>
      </x:c>
      <x:c r="W286" t="str">
        <x:f>IFERROR(IF(CaseLedger!$A286="","",CaseLedger!AC286),"")</x:f>
      </x:c>
      <x:c r="X286" t="str">
        <x:f>IFERROR(IF(CaseLedger!$A286="","",CaseLedger!AD286),"")</x:f>
      </x:c>
      <x:c r="Y286" t="str">
        <x:f>IFERROR(IF(CaseLedger!$A286="","",CaseLedger!AE286),"")</x:f>
      </x:c>
      <x:c r="Z286" t="str">
        <x:f>IFERROR(IF(CaseLedger!$A286="","",CaseLedger!AF286),"")</x:f>
      </x:c>
      <x:c r="AA286" t="str">
        <x:f>IFERROR(IF(CaseLedger!$A286="","",CaseLedger!AG286),"")</x:f>
      </x:c>
      <x:c r="AB286" t="str">
        <x:f>IFERROR(IF(CaseLedger!$A286="","",CaseLedger!AH286),"")</x:f>
      </x:c>
      <x:c r="AC286" t="str">
        <x:f>IFERROR(IF(CaseLedger!$A286="","",CaseLedger!AI286),"")</x:f>
      </x:c>
    </x:row>
    <x:row r="287">
      <x:c r="A287" t="str">
        <x:f>IF(CaseLedger!$A287="","",CaseLedger!A287)</x:f>
      </x:c>
      <x:c r="B287" t="str">
        <x:f>IF(CaseLedger!$A287="","",CaseLedger!I287)</x:f>
      </x:c>
      <x:c r="C287" t="str">
        <x:f>IF(CaseLedger!$A287="","",CaseLedger!J287)</x:f>
      </x:c>
      <x:c r="D287" t="str">
        <x:f>IF(CaseLedger!$A287="","",CaseLedger!K287)</x:f>
      </x:c>
      <x:c r="E287" t="str">
        <x:f>IF(CaseLedger!$A287="","",CaseLedger!L287)</x:f>
      </x:c>
      <x:c r="F287" t="str">
        <x:f>IF(CaseLedger!$A287="","",CaseLedger!P287)</x:f>
      </x:c>
      <x:c r="G287" t="str">
        <x:f>IF(CaseLedger!$A287="","",CaseLedger!F287)</x:f>
      </x:c>
      <x:c r="H287" t="str">
        <x:f>IF(CaseLedger!$A287="","",CaseLedger!Q287)</x:f>
      </x:c>
      <x:c r="I287" t="str">
        <x:f>IF(CaseLedger!$A287="","",CaseLedger!R287)</x:f>
      </x:c>
      <x:c r="J287" t="str">
        <x:f>IF(CaseLedger!$A287="","",CaseLedger!S287)</x:f>
      </x:c>
      <x:c r="K287" t="str">
        <x:f>IF(CaseLedger!$A287="","",CaseLedger!T287)</x:f>
      </x:c>
      <x:c r="L287" t="str">
        <x:f>IF(CaseLedger!$A287="","",CaseLedger!U287)</x:f>
      </x:c>
      <x:c r="M287" t="str">
        <x:f>IF(CaseLedger!$A287="","",CaseLedger!V287)</x:f>
      </x:c>
      <x:c r="N287" t="str">
        <x:f>IF(CaseLedger!$A287="","",CaseLedger!W287)</x:f>
      </x:c>
      <x:c r="O287" t="str">
        <x:f>IF(CaseLedger!$A287="","",CaseLedger!X287)</x:f>
      </x:c>
      <x:c r="P287" t="str">
        <x:f>IF(CaseLedger!$A287="","",CaseLedger!E287)</x:f>
      </x:c>
      <x:c r="Q287" t="str">
        <x:f>IF(CaseLedger!$A287="","",CaseLedger!C287)</x:f>
      </x:c>
      <x:c r="R287" t="str">
        <x:f>IF(CaseLedger!$A287="","",CaseLedger!D287)</x:f>
      </x:c>
      <x:c r="S287" t="str">
        <x:f>IFERROR(IF(CaseLedger!$A287="","",CaseLedger!Y287),"")</x:f>
      </x:c>
      <x:c r="T287" t="str">
        <x:f>IFERROR(IF(CaseLedger!$A287="","",CaseLedger!Z287),"")</x:f>
      </x:c>
      <x:c r="U287" t="str">
        <x:f>IFERROR(IF(CaseLedger!$A287="","",CaseLedger!AA287),"")</x:f>
      </x:c>
      <x:c r="V287" t="str">
        <x:f>IFERROR(IF(CaseLedger!$A287="","",CaseLedger!AB287),"")</x:f>
      </x:c>
      <x:c r="W287" t="str">
        <x:f>IFERROR(IF(CaseLedger!$A287="","",CaseLedger!AC287),"")</x:f>
      </x:c>
      <x:c r="X287" t="str">
        <x:f>IFERROR(IF(CaseLedger!$A287="","",CaseLedger!AD287),"")</x:f>
      </x:c>
      <x:c r="Y287" t="str">
        <x:f>IFERROR(IF(CaseLedger!$A287="","",CaseLedger!AE287),"")</x:f>
      </x:c>
      <x:c r="Z287" t="str">
        <x:f>IFERROR(IF(CaseLedger!$A287="","",CaseLedger!AF287),"")</x:f>
      </x:c>
      <x:c r="AA287" t="str">
        <x:f>IFERROR(IF(CaseLedger!$A287="","",CaseLedger!AG287),"")</x:f>
      </x:c>
      <x:c r="AB287" t="str">
        <x:f>IFERROR(IF(CaseLedger!$A287="","",CaseLedger!AH287),"")</x:f>
      </x:c>
      <x:c r="AC287" t="str">
        <x:f>IFERROR(IF(CaseLedger!$A287="","",CaseLedger!AI287),"")</x:f>
      </x:c>
    </x:row>
    <x:row r="288">
      <x:c r="A288" t="str">
        <x:f>IF(CaseLedger!$A288="","",CaseLedger!A288)</x:f>
      </x:c>
      <x:c r="B288" t="str">
        <x:f>IF(CaseLedger!$A288="","",CaseLedger!I288)</x:f>
      </x:c>
      <x:c r="C288" t="str">
        <x:f>IF(CaseLedger!$A288="","",CaseLedger!J288)</x:f>
      </x:c>
      <x:c r="D288" t="str">
        <x:f>IF(CaseLedger!$A288="","",CaseLedger!K288)</x:f>
      </x:c>
      <x:c r="E288" t="str">
        <x:f>IF(CaseLedger!$A288="","",CaseLedger!L288)</x:f>
      </x:c>
      <x:c r="F288" t="str">
        <x:f>IF(CaseLedger!$A288="","",CaseLedger!P288)</x:f>
      </x:c>
      <x:c r="G288" t="str">
        <x:f>IF(CaseLedger!$A288="","",CaseLedger!F288)</x:f>
      </x:c>
      <x:c r="H288" t="str">
        <x:f>IF(CaseLedger!$A288="","",CaseLedger!Q288)</x:f>
      </x:c>
      <x:c r="I288" t="str">
        <x:f>IF(CaseLedger!$A288="","",CaseLedger!R288)</x:f>
      </x:c>
      <x:c r="J288" t="str">
        <x:f>IF(CaseLedger!$A288="","",CaseLedger!S288)</x:f>
      </x:c>
      <x:c r="K288" t="str">
        <x:f>IF(CaseLedger!$A288="","",CaseLedger!T288)</x:f>
      </x:c>
      <x:c r="L288" t="str">
        <x:f>IF(CaseLedger!$A288="","",CaseLedger!U288)</x:f>
      </x:c>
      <x:c r="M288" t="str">
        <x:f>IF(CaseLedger!$A288="","",CaseLedger!V288)</x:f>
      </x:c>
      <x:c r="N288" t="str">
        <x:f>IF(CaseLedger!$A288="","",CaseLedger!W288)</x:f>
      </x:c>
      <x:c r="O288" t="str">
        <x:f>IF(CaseLedger!$A288="","",CaseLedger!X288)</x:f>
      </x:c>
      <x:c r="P288" t="str">
        <x:f>IF(CaseLedger!$A288="","",CaseLedger!E288)</x:f>
      </x:c>
      <x:c r="Q288" t="str">
        <x:f>IF(CaseLedger!$A288="","",CaseLedger!C288)</x:f>
      </x:c>
      <x:c r="R288" t="str">
        <x:f>IF(CaseLedger!$A288="","",CaseLedger!D288)</x:f>
      </x:c>
      <x:c r="S288" t="str">
        <x:f>IFERROR(IF(CaseLedger!$A288="","",CaseLedger!Y288),"")</x:f>
      </x:c>
      <x:c r="T288" t="str">
        <x:f>IFERROR(IF(CaseLedger!$A288="","",CaseLedger!Z288),"")</x:f>
      </x:c>
      <x:c r="U288" t="str">
        <x:f>IFERROR(IF(CaseLedger!$A288="","",CaseLedger!AA288),"")</x:f>
      </x:c>
      <x:c r="V288" t="str">
        <x:f>IFERROR(IF(CaseLedger!$A288="","",CaseLedger!AB288),"")</x:f>
      </x:c>
      <x:c r="W288" t="str">
        <x:f>IFERROR(IF(CaseLedger!$A288="","",CaseLedger!AC288),"")</x:f>
      </x:c>
      <x:c r="X288" t="str">
        <x:f>IFERROR(IF(CaseLedger!$A288="","",CaseLedger!AD288),"")</x:f>
      </x:c>
      <x:c r="Y288" t="str">
        <x:f>IFERROR(IF(CaseLedger!$A288="","",CaseLedger!AE288),"")</x:f>
      </x:c>
      <x:c r="Z288" t="str">
        <x:f>IFERROR(IF(CaseLedger!$A288="","",CaseLedger!AF288),"")</x:f>
      </x:c>
      <x:c r="AA288" t="str">
        <x:f>IFERROR(IF(CaseLedger!$A288="","",CaseLedger!AG288),"")</x:f>
      </x:c>
      <x:c r="AB288" t="str">
        <x:f>IFERROR(IF(CaseLedger!$A288="","",CaseLedger!AH288),"")</x:f>
      </x:c>
      <x:c r="AC288" t="str">
        <x:f>IFERROR(IF(CaseLedger!$A288="","",CaseLedger!AI288),"")</x:f>
      </x:c>
    </x:row>
    <x:row r="289">
      <x:c r="A289" t="str">
        <x:f>IF(CaseLedger!$A289="","",CaseLedger!A289)</x:f>
      </x:c>
      <x:c r="B289" t="str">
        <x:f>IF(CaseLedger!$A289="","",CaseLedger!I289)</x:f>
      </x:c>
      <x:c r="C289" t="str">
        <x:f>IF(CaseLedger!$A289="","",CaseLedger!J289)</x:f>
      </x:c>
      <x:c r="D289" t="str">
        <x:f>IF(CaseLedger!$A289="","",CaseLedger!K289)</x:f>
      </x:c>
      <x:c r="E289" t="str">
        <x:f>IF(CaseLedger!$A289="","",CaseLedger!L289)</x:f>
      </x:c>
      <x:c r="F289" t="str">
        <x:f>IF(CaseLedger!$A289="","",CaseLedger!P289)</x:f>
      </x:c>
      <x:c r="G289" t="str">
        <x:f>IF(CaseLedger!$A289="","",CaseLedger!F289)</x:f>
      </x:c>
      <x:c r="H289" t="str">
        <x:f>IF(CaseLedger!$A289="","",CaseLedger!Q289)</x:f>
      </x:c>
      <x:c r="I289" t="str">
        <x:f>IF(CaseLedger!$A289="","",CaseLedger!R289)</x:f>
      </x:c>
      <x:c r="J289" t="str">
        <x:f>IF(CaseLedger!$A289="","",CaseLedger!S289)</x:f>
      </x:c>
      <x:c r="K289" t="str">
        <x:f>IF(CaseLedger!$A289="","",CaseLedger!T289)</x:f>
      </x:c>
      <x:c r="L289" t="str">
        <x:f>IF(CaseLedger!$A289="","",CaseLedger!U289)</x:f>
      </x:c>
      <x:c r="M289" t="str">
        <x:f>IF(CaseLedger!$A289="","",CaseLedger!V289)</x:f>
      </x:c>
      <x:c r="N289" t="str">
        <x:f>IF(CaseLedger!$A289="","",CaseLedger!W289)</x:f>
      </x:c>
      <x:c r="O289" t="str">
        <x:f>IF(CaseLedger!$A289="","",CaseLedger!X289)</x:f>
      </x:c>
      <x:c r="P289" t="str">
        <x:f>IF(CaseLedger!$A289="","",CaseLedger!E289)</x:f>
      </x:c>
      <x:c r="Q289" t="str">
        <x:f>IF(CaseLedger!$A289="","",CaseLedger!C289)</x:f>
      </x:c>
      <x:c r="R289" t="str">
        <x:f>IF(CaseLedger!$A289="","",CaseLedger!D289)</x:f>
      </x:c>
      <x:c r="S289" t="str">
        <x:f>IFERROR(IF(CaseLedger!$A289="","",CaseLedger!Y289),"")</x:f>
      </x:c>
      <x:c r="T289" t="str">
        <x:f>IFERROR(IF(CaseLedger!$A289="","",CaseLedger!Z289),"")</x:f>
      </x:c>
      <x:c r="U289" t="str">
        <x:f>IFERROR(IF(CaseLedger!$A289="","",CaseLedger!AA289),"")</x:f>
      </x:c>
      <x:c r="V289" t="str">
        <x:f>IFERROR(IF(CaseLedger!$A289="","",CaseLedger!AB289),"")</x:f>
      </x:c>
      <x:c r="W289" t="str">
        <x:f>IFERROR(IF(CaseLedger!$A289="","",CaseLedger!AC289),"")</x:f>
      </x:c>
      <x:c r="X289" t="str">
        <x:f>IFERROR(IF(CaseLedger!$A289="","",CaseLedger!AD289),"")</x:f>
      </x:c>
      <x:c r="Y289" t="str">
        <x:f>IFERROR(IF(CaseLedger!$A289="","",CaseLedger!AE289),"")</x:f>
      </x:c>
      <x:c r="Z289" t="str">
        <x:f>IFERROR(IF(CaseLedger!$A289="","",CaseLedger!AF289),"")</x:f>
      </x:c>
      <x:c r="AA289" t="str">
        <x:f>IFERROR(IF(CaseLedger!$A289="","",CaseLedger!AG289),"")</x:f>
      </x:c>
      <x:c r="AB289" t="str">
        <x:f>IFERROR(IF(CaseLedger!$A289="","",CaseLedger!AH289),"")</x:f>
      </x:c>
      <x:c r="AC289" t="str">
        <x:f>IFERROR(IF(CaseLedger!$A289="","",CaseLedger!AI289),"")</x:f>
      </x:c>
    </x:row>
    <x:row r="290">
      <x:c r="A290" t="str">
        <x:f>IF(CaseLedger!$A290="","",CaseLedger!A290)</x:f>
      </x:c>
      <x:c r="B290" t="str">
        <x:f>IF(CaseLedger!$A290="","",CaseLedger!I290)</x:f>
      </x:c>
      <x:c r="C290" t="str">
        <x:f>IF(CaseLedger!$A290="","",CaseLedger!J290)</x:f>
      </x:c>
      <x:c r="D290" t="str">
        <x:f>IF(CaseLedger!$A290="","",CaseLedger!K290)</x:f>
      </x:c>
      <x:c r="E290" t="str">
        <x:f>IF(CaseLedger!$A290="","",CaseLedger!L290)</x:f>
      </x:c>
      <x:c r="F290" t="str">
        <x:f>IF(CaseLedger!$A290="","",CaseLedger!P290)</x:f>
      </x:c>
      <x:c r="G290" t="str">
        <x:f>IF(CaseLedger!$A290="","",CaseLedger!F290)</x:f>
      </x:c>
      <x:c r="H290" t="str">
        <x:f>IF(CaseLedger!$A290="","",CaseLedger!Q290)</x:f>
      </x:c>
      <x:c r="I290" t="str">
        <x:f>IF(CaseLedger!$A290="","",CaseLedger!R290)</x:f>
      </x:c>
      <x:c r="J290" t="str">
        <x:f>IF(CaseLedger!$A290="","",CaseLedger!S290)</x:f>
      </x:c>
      <x:c r="K290" t="str">
        <x:f>IF(CaseLedger!$A290="","",CaseLedger!T290)</x:f>
      </x:c>
      <x:c r="L290" t="str">
        <x:f>IF(CaseLedger!$A290="","",CaseLedger!U290)</x:f>
      </x:c>
      <x:c r="M290" t="str">
        <x:f>IF(CaseLedger!$A290="","",CaseLedger!V290)</x:f>
      </x:c>
      <x:c r="N290" t="str">
        <x:f>IF(CaseLedger!$A290="","",CaseLedger!W290)</x:f>
      </x:c>
      <x:c r="O290" t="str">
        <x:f>IF(CaseLedger!$A290="","",CaseLedger!X290)</x:f>
      </x:c>
      <x:c r="P290" t="str">
        <x:f>IF(CaseLedger!$A290="","",CaseLedger!E290)</x:f>
      </x:c>
      <x:c r="Q290" t="str">
        <x:f>IF(CaseLedger!$A290="","",CaseLedger!C290)</x:f>
      </x:c>
      <x:c r="R290" t="str">
        <x:f>IF(CaseLedger!$A290="","",CaseLedger!D290)</x:f>
      </x:c>
      <x:c r="S290" t="str">
        <x:f>IFERROR(IF(CaseLedger!$A290="","",CaseLedger!Y290),"")</x:f>
      </x:c>
      <x:c r="T290" t="str">
        <x:f>IFERROR(IF(CaseLedger!$A290="","",CaseLedger!Z290),"")</x:f>
      </x:c>
      <x:c r="U290" t="str">
        <x:f>IFERROR(IF(CaseLedger!$A290="","",CaseLedger!AA290),"")</x:f>
      </x:c>
      <x:c r="V290" t="str">
        <x:f>IFERROR(IF(CaseLedger!$A290="","",CaseLedger!AB290),"")</x:f>
      </x:c>
      <x:c r="W290" t="str">
        <x:f>IFERROR(IF(CaseLedger!$A290="","",CaseLedger!AC290),"")</x:f>
      </x:c>
      <x:c r="X290" t="str">
        <x:f>IFERROR(IF(CaseLedger!$A290="","",CaseLedger!AD290),"")</x:f>
      </x:c>
      <x:c r="Y290" t="str">
        <x:f>IFERROR(IF(CaseLedger!$A290="","",CaseLedger!AE290),"")</x:f>
      </x:c>
      <x:c r="Z290" t="str">
        <x:f>IFERROR(IF(CaseLedger!$A290="","",CaseLedger!AF290),"")</x:f>
      </x:c>
      <x:c r="AA290" t="str">
        <x:f>IFERROR(IF(CaseLedger!$A290="","",CaseLedger!AG290),"")</x:f>
      </x:c>
      <x:c r="AB290" t="str">
        <x:f>IFERROR(IF(CaseLedger!$A290="","",CaseLedger!AH290),"")</x:f>
      </x:c>
      <x:c r="AC290" t="str">
        <x:f>IFERROR(IF(CaseLedger!$A290="","",CaseLedger!AI290),"")</x:f>
      </x:c>
    </x:row>
    <x:row r="291">
      <x:c r="A291" t="str">
        <x:f>IF(CaseLedger!$A291="","",CaseLedger!A291)</x:f>
      </x:c>
      <x:c r="B291" t="str">
        <x:f>IF(CaseLedger!$A291="","",CaseLedger!I291)</x:f>
      </x:c>
      <x:c r="C291" t="str">
        <x:f>IF(CaseLedger!$A291="","",CaseLedger!J291)</x:f>
      </x:c>
      <x:c r="D291" t="str">
        <x:f>IF(CaseLedger!$A291="","",CaseLedger!K291)</x:f>
      </x:c>
      <x:c r="E291" t="str">
        <x:f>IF(CaseLedger!$A291="","",CaseLedger!L291)</x:f>
      </x:c>
      <x:c r="F291" t="str">
        <x:f>IF(CaseLedger!$A291="","",CaseLedger!P291)</x:f>
      </x:c>
      <x:c r="G291" t="str">
        <x:f>IF(CaseLedger!$A291="","",CaseLedger!F291)</x:f>
      </x:c>
      <x:c r="H291" t="str">
        <x:f>IF(CaseLedger!$A291="","",CaseLedger!Q291)</x:f>
      </x:c>
      <x:c r="I291" t="str">
        <x:f>IF(CaseLedger!$A291="","",CaseLedger!R291)</x:f>
      </x:c>
      <x:c r="J291" t="str">
        <x:f>IF(CaseLedger!$A291="","",CaseLedger!S291)</x:f>
      </x:c>
      <x:c r="K291" t="str">
        <x:f>IF(CaseLedger!$A291="","",CaseLedger!T291)</x:f>
      </x:c>
      <x:c r="L291" t="str">
        <x:f>IF(CaseLedger!$A291="","",CaseLedger!U291)</x:f>
      </x:c>
      <x:c r="M291" t="str">
        <x:f>IF(CaseLedger!$A291="","",CaseLedger!V291)</x:f>
      </x:c>
      <x:c r="N291" t="str">
        <x:f>IF(CaseLedger!$A291="","",CaseLedger!W291)</x:f>
      </x:c>
      <x:c r="O291" t="str">
        <x:f>IF(CaseLedger!$A291="","",CaseLedger!X291)</x:f>
      </x:c>
      <x:c r="P291" t="str">
        <x:f>IF(CaseLedger!$A291="","",CaseLedger!E291)</x:f>
      </x:c>
      <x:c r="Q291" t="str">
        <x:f>IF(CaseLedger!$A291="","",CaseLedger!C291)</x:f>
      </x:c>
      <x:c r="R291" t="str">
        <x:f>IF(CaseLedger!$A291="","",CaseLedger!D291)</x:f>
      </x:c>
      <x:c r="S291" t="str">
        <x:f>IFERROR(IF(CaseLedger!$A291="","",CaseLedger!Y291),"")</x:f>
      </x:c>
      <x:c r="T291" t="str">
        <x:f>IFERROR(IF(CaseLedger!$A291="","",CaseLedger!Z291),"")</x:f>
      </x:c>
      <x:c r="U291" t="str">
        <x:f>IFERROR(IF(CaseLedger!$A291="","",CaseLedger!AA291),"")</x:f>
      </x:c>
      <x:c r="V291" t="str">
        <x:f>IFERROR(IF(CaseLedger!$A291="","",CaseLedger!AB291),"")</x:f>
      </x:c>
      <x:c r="W291" t="str">
        <x:f>IFERROR(IF(CaseLedger!$A291="","",CaseLedger!AC291),"")</x:f>
      </x:c>
      <x:c r="X291" t="str">
        <x:f>IFERROR(IF(CaseLedger!$A291="","",CaseLedger!AD291),"")</x:f>
      </x:c>
      <x:c r="Y291" t="str">
        <x:f>IFERROR(IF(CaseLedger!$A291="","",CaseLedger!AE291),"")</x:f>
      </x:c>
      <x:c r="Z291" t="str">
        <x:f>IFERROR(IF(CaseLedger!$A291="","",CaseLedger!AF291),"")</x:f>
      </x:c>
      <x:c r="AA291" t="str">
        <x:f>IFERROR(IF(CaseLedger!$A291="","",CaseLedger!AG291),"")</x:f>
      </x:c>
      <x:c r="AB291" t="str">
        <x:f>IFERROR(IF(CaseLedger!$A291="","",CaseLedger!AH291),"")</x:f>
      </x:c>
      <x:c r="AC291" t="str">
        <x:f>IFERROR(IF(CaseLedger!$A291="","",CaseLedger!AI291),"")</x:f>
      </x:c>
    </x:row>
    <x:row r="292">
      <x:c r="A292" t="str">
        <x:f>IF(CaseLedger!$A292="","",CaseLedger!A292)</x:f>
      </x:c>
      <x:c r="B292" t="str">
        <x:f>IF(CaseLedger!$A292="","",CaseLedger!I292)</x:f>
      </x:c>
      <x:c r="C292" t="str">
        <x:f>IF(CaseLedger!$A292="","",CaseLedger!J292)</x:f>
      </x:c>
      <x:c r="D292" t="str">
        <x:f>IF(CaseLedger!$A292="","",CaseLedger!K292)</x:f>
      </x:c>
      <x:c r="E292" t="str">
        <x:f>IF(CaseLedger!$A292="","",CaseLedger!L292)</x:f>
      </x:c>
      <x:c r="F292" t="str">
        <x:f>IF(CaseLedger!$A292="","",CaseLedger!P292)</x:f>
      </x:c>
      <x:c r="G292" t="str">
        <x:f>IF(CaseLedger!$A292="","",CaseLedger!F292)</x:f>
      </x:c>
      <x:c r="H292" t="str">
        <x:f>IF(CaseLedger!$A292="","",CaseLedger!Q292)</x:f>
      </x:c>
      <x:c r="I292" t="str">
        <x:f>IF(CaseLedger!$A292="","",CaseLedger!R292)</x:f>
      </x:c>
      <x:c r="J292" t="str">
        <x:f>IF(CaseLedger!$A292="","",CaseLedger!S292)</x:f>
      </x:c>
      <x:c r="K292" t="str">
        <x:f>IF(CaseLedger!$A292="","",CaseLedger!T292)</x:f>
      </x:c>
      <x:c r="L292" t="str">
        <x:f>IF(CaseLedger!$A292="","",CaseLedger!U292)</x:f>
      </x:c>
      <x:c r="M292" t="str">
        <x:f>IF(CaseLedger!$A292="","",CaseLedger!V292)</x:f>
      </x:c>
      <x:c r="N292" t="str">
        <x:f>IF(CaseLedger!$A292="","",CaseLedger!W292)</x:f>
      </x:c>
      <x:c r="O292" t="str">
        <x:f>IF(CaseLedger!$A292="","",CaseLedger!X292)</x:f>
      </x:c>
      <x:c r="P292" t="str">
        <x:f>IF(CaseLedger!$A292="","",CaseLedger!E292)</x:f>
      </x:c>
      <x:c r="Q292" t="str">
        <x:f>IF(CaseLedger!$A292="","",CaseLedger!C292)</x:f>
      </x:c>
      <x:c r="R292" t="str">
        <x:f>IF(CaseLedger!$A292="","",CaseLedger!D292)</x:f>
      </x:c>
      <x:c r="S292" t="str">
        <x:f>IFERROR(IF(CaseLedger!$A292="","",CaseLedger!Y292),"")</x:f>
      </x:c>
      <x:c r="T292" t="str">
        <x:f>IFERROR(IF(CaseLedger!$A292="","",CaseLedger!Z292),"")</x:f>
      </x:c>
      <x:c r="U292" t="str">
        <x:f>IFERROR(IF(CaseLedger!$A292="","",CaseLedger!AA292),"")</x:f>
      </x:c>
      <x:c r="V292" t="str">
        <x:f>IFERROR(IF(CaseLedger!$A292="","",CaseLedger!AB292),"")</x:f>
      </x:c>
      <x:c r="W292" t="str">
        <x:f>IFERROR(IF(CaseLedger!$A292="","",CaseLedger!AC292),"")</x:f>
      </x:c>
      <x:c r="X292" t="str">
        <x:f>IFERROR(IF(CaseLedger!$A292="","",CaseLedger!AD292),"")</x:f>
      </x:c>
      <x:c r="Y292" t="str">
        <x:f>IFERROR(IF(CaseLedger!$A292="","",CaseLedger!AE292),"")</x:f>
      </x:c>
      <x:c r="Z292" t="str">
        <x:f>IFERROR(IF(CaseLedger!$A292="","",CaseLedger!AF292),"")</x:f>
      </x:c>
      <x:c r="AA292" t="str">
        <x:f>IFERROR(IF(CaseLedger!$A292="","",CaseLedger!AG292),"")</x:f>
      </x:c>
      <x:c r="AB292" t="str">
        <x:f>IFERROR(IF(CaseLedger!$A292="","",CaseLedger!AH292),"")</x:f>
      </x:c>
      <x:c r="AC292" t="str">
        <x:f>IFERROR(IF(CaseLedger!$A292="","",CaseLedger!AI292),"")</x:f>
      </x:c>
    </x:row>
    <x:row r="293">
      <x:c r="A293" t="str">
        <x:f>IF(CaseLedger!$A293="","",CaseLedger!A293)</x:f>
      </x:c>
      <x:c r="B293" t="str">
        <x:f>IF(CaseLedger!$A293="","",CaseLedger!I293)</x:f>
      </x:c>
      <x:c r="C293" t="str">
        <x:f>IF(CaseLedger!$A293="","",CaseLedger!J293)</x:f>
      </x:c>
      <x:c r="D293" t="str">
        <x:f>IF(CaseLedger!$A293="","",CaseLedger!K293)</x:f>
      </x:c>
      <x:c r="E293" t="str">
        <x:f>IF(CaseLedger!$A293="","",CaseLedger!L293)</x:f>
      </x:c>
      <x:c r="F293" t="str">
        <x:f>IF(CaseLedger!$A293="","",CaseLedger!P293)</x:f>
      </x:c>
      <x:c r="G293" t="str">
        <x:f>IF(CaseLedger!$A293="","",CaseLedger!F293)</x:f>
      </x:c>
      <x:c r="H293" t="str">
        <x:f>IF(CaseLedger!$A293="","",CaseLedger!Q293)</x:f>
      </x:c>
      <x:c r="I293" t="str">
        <x:f>IF(CaseLedger!$A293="","",CaseLedger!R293)</x:f>
      </x:c>
      <x:c r="J293" t="str">
        <x:f>IF(CaseLedger!$A293="","",CaseLedger!S293)</x:f>
      </x:c>
      <x:c r="K293" t="str">
        <x:f>IF(CaseLedger!$A293="","",CaseLedger!T293)</x:f>
      </x:c>
      <x:c r="L293" t="str">
        <x:f>IF(CaseLedger!$A293="","",CaseLedger!U293)</x:f>
      </x:c>
      <x:c r="M293" t="str">
        <x:f>IF(CaseLedger!$A293="","",CaseLedger!V293)</x:f>
      </x:c>
      <x:c r="N293" t="str">
        <x:f>IF(CaseLedger!$A293="","",CaseLedger!W293)</x:f>
      </x:c>
      <x:c r="O293" t="str">
        <x:f>IF(CaseLedger!$A293="","",CaseLedger!X293)</x:f>
      </x:c>
      <x:c r="P293" t="str">
        <x:f>IF(CaseLedger!$A293="","",CaseLedger!E293)</x:f>
      </x:c>
      <x:c r="Q293" t="str">
        <x:f>IF(CaseLedger!$A293="","",CaseLedger!C293)</x:f>
      </x:c>
      <x:c r="R293" t="str">
        <x:f>IF(CaseLedger!$A293="","",CaseLedger!D293)</x:f>
      </x:c>
      <x:c r="S293" t="str">
        <x:f>IFERROR(IF(CaseLedger!$A293="","",CaseLedger!Y293),"")</x:f>
      </x:c>
      <x:c r="T293" t="str">
        <x:f>IFERROR(IF(CaseLedger!$A293="","",CaseLedger!Z293),"")</x:f>
      </x:c>
      <x:c r="U293" t="str">
        <x:f>IFERROR(IF(CaseLedger!$A293="","",CaseLedger!AA293),"")</x:f>
      </x:c>
      <x:c r="V293" t="str">
        <x:f>IFERROR(IF(CaseLedger!$A293="","",CaseLedger!AB293),"")</x:f>
      </x:c>
      <x:c r="W293" t="str">
        <x:f>IFERROR(IF(CaseLedger!$A293="","",CaseLedger!AC293),"")</x:f>
      </x:c>
      <x:c r="X293" t="str">
        <x:f>IFERROR(IF(CaseLedger!$A293="","",CaseLedger!AD293),"")</x:f>
      </x:c>
      <x:c r="Y293" t="str">
        <x:f>IFERROR(IF(CaseLedger!$A293="","",CaseLedger!AE293),"")</x:f>
      </x:c>
      <x:c r="Z293" t="str">
        <x:f>IFERROR(IF(CaseLedger!$A293="","",CaseLedger!AF293),"")</x:f>
      </x:c>
      <x:c r="AA293" t="str">
        <x:f>IFERROR(IF(CaseLedger!$A293="","",CaseLedger!AG293),"")</x:f>
      </x:c>
      <x:c r="AB293" t="str">
        <x:f>IFERROR(IF(CaseLedger!$A293="","",CaseLedger!AH293),"")</x:f>
      </x:c>
      <x:c r="AC293" t="str">
        <x:f>IFERROR(IF(CaseLedger!$A293="","",CaseLedger!AI293),"")</x:f>
      </x:c>
    </x:row>
    <x:row r="294">
      <x:c r="A294" t="str">
        <x:f>IF(CaseLedger!$A294="","",CaseLedger!A294)</x:f>
      </x:c>
      <x:c r="B294" t="str">
        <x:f>IF(CaseLedger!$A294="","",CaseLedger!I294)</x:f>
      </x:c>
      <x:c r="C294" t="str">
        <x:f>IF(CaseLedger!$A294="","",CaseLedger!J294)</x:f>
      </x:c>
      <x:c r="D294" t="str">
        <x:f>IF(CaseLedger!$A294="","",CaseLedger!K294)</x:f>
      </x:c>
      <x:c r="E294" t="str">
        <x:f>IF(CaseLedger!$A294="","",CaseLedger!L294)</x:f>
      </x:c>
      <x:c r="F294" t="str">
        <x:f>IF(CaseLedger!$A294="","",CaseLedger!P294)</x:f>
      </x:c>
      <x:c r="G294" t="str">
        <x:f>IF(CaseLedger!$A294="","",CaseLedger!F294)</x:f>
      </x:c>
      <x:c r="H294" t="str">
        <x:f>IF(CaseLedger!$A294="","",CaseLedger!Q294)</x:f>
      </x:c>
      <x:c r="I294" t="str">
        <x:f>IF(CaseLedger!$A294="","",CaseLedger!R294)</x:f>
      </x:c>
      <x:c r="J294" t="str">
        <x:f>IF(CaseLedger!$A294="","",CaseLedger!S294)</x:f>
      </x:c>
      <x:c r="K294" t="str">
        <x:f>IF(CaseLedger!$A294="","",CaseLedger!T294)</x:f>
      </x:c>
      <x:c r="L294" t="str">
        <x:f>IF(CaseLedger!$A294="","",CaseLedger!U294)</x:f>
      </x:c>
      <x:c r="M294" t="str">
        <x:f>IF(CaseLedger!$A294="","",CaseLedger!V294)</x:f>
      </x:c>
      <x:c r="N294" t="str">
        <x:f>IF(CaseLedger!$A294="","",CaseLedger!W294)</x:f>
      </x:c>
      <x:c r="O294" t="str">
        <x:f>IF(CaseLedger!$A294="","",CaseLedger!X294)</x:f>
      </x:c>
      <x:c r="P294" t="str">
        <x:f>IF(CaseLedger!$A294="","",CaseLedger!E294)</x:f>
      </x:c>
      <x:c r="Q294" t="str">
        <x:f>IF(CaseLedger!$A294="","",CaseLedger!C294)</x:f>
      </x:c>
      <x:c r="R294" t="str">
        <x:f>IF(CaseLedger!$A294="","",CaseLedger!D294)</x:f>
      </x:c>
      <x:c r="S294" t="str">
        <x:f>IFERROR(IF(CaseLedger!$A294="","",CaseLedger!Y294),"")</x:f>
      </x:c>
      <x:c r="T294" t="str">
        <x:f>IFERROR(IF(CaseLedger!$A294="","",CaseLedger!Z294),"")</x:f>
      </x:c>
      <x:c r="U294" t="str">
        <x:f>IFERROR(IF(CaseLedger!$A294="","",CaseLedger!AA294),"")</x:f>
      </x:c>
      <x:c r="V294" t="str">
        <x:f>IFERROR(IF(CaseLedger!$A294="","",CaseLedger!AB294),"")</x:f>
      </x:c>
      <x:c r="W294" t="str">
        <x:f>IFERROR(IF(CaseLedger!$A294="","",CaseLedger!AC294),"")</x:f>
      </x:c>
      <x:c r="X294" t="str">
        <x:f>IFERROR(IF(CaseLedger!$A294="","",CaseLedger!AD294),"")</x:f>
      </x:c>
      <x:c r="Y294" t="str">
        <x:f>IFERROR(IF(CaseLedger!$A294="","",CaseLedger!AE294),"")</x:f>
      </x:c>
      <x:c r="Z294" t="str">
        <x:f>IFERROR(IF(CaseLedger!$A294="","",CaseLedger!AF294),"")</x:f>
      </x:c>
      <x:c r="AA294" t="str">
        <x:f>IFERROR(IF(CaseLedger!$A294="","",CaseLedger!AG294),"")</x:f>
      </x:c>
      <x:c r="AB294" t="str">
        <x:f>IFERROR(IF(CaseLedger!$A294="","",CaseLedger!AH294),"")</x:f>
      </x:c>
      <x:c r="AC294" t="str">
        <x:f>IFERROR(IF(CaseLedger!$A294="","",CaseLedger!AI294),"")</x:f>
      </x:c>
    </x:row>
    <x:row r="295">
      <x:c r="A295" t="str">
        <x:f>IF(CaseLedger!$A295="","",CaseLedger!A295)</x:f>
      </x:c>
      <x:c r="B295" t="str">
        <x:f>IF(CaseLedger!$A295="","",CaseLedger!I295)</x:f>
      </x:c>
      <x:c r="C295" t="str">
        <x:f>IF(CaseLedger!$A295="","",CaseLedger!J295)</x:f>
      </x:c>
      <x:c r="D295" t="str">
        <x:f>IF(CaseLedger!$A295="","",CaseLedger!K295)</x:f>
      </x:c>
      <x:c r="E295" t="str">
        <x:f>IF(CaseLedger!$A295="","",CaseLedger!L295)</x:f>
      </x:c>
      <x:c r="F295" t="str">
        <x:f>IF(CaseLedger!$A295="","",CaseLedger!P295)</x:f>
      </x:c>
      <x:c r="G295" t="str">
        <x:f>IF(CaseLedger!$A295="","",CaseLedger!F295)</x:f>
      </x:c>
      <x:c r="H295" t="str">
        <x:f>IF(CaseLedger!$A295="","",CaseLedger!Q295)</x:f>
      </x:c>
      <x:c r="I295" t="str">
        <x:f>IF(CaseLedger!$A295="","",CaseLedger!R295)</x:f>
      </x:c>
      <x:c r="J295" t="str">
        <x:f>IF(CaseLedger!$A295="","",CaseLedger!S295)</x:f>
      </x:c>
      <x:c r="K295" t="str">
        <x:f>IF(CaseLedger!$A295="","",CaseLedger!T295)</x:f>
      </x:c>
      <x:c r="L295" t="str">
        <x:f>IF(CaseLedger!$A295="","",CaseLedger!U295)</x:f>
      </x:c>
      <x:c r="M295" t="str">
        <x:f>IF(CaseLedger!$A295="","",CaseLedger!V295)</x:f>
      </x:c>
      <x:c r="N295" t="str">
        <x:f>IF(CaseLedger!$A295="","",CaseLedger!W295)</x:f>
      </x:c>
      <x:c r="O295" t="str">
        <x:f>IF(CaseLedger!$A295="","",CaseLedger!X295)</x:f>
      </x:c>
      <x:c r="P295" t="str">
        <x:f>IF(CaseLedger!$A295="","",CaseLedger!E295)</x:f>
      </x:c>
      <x:c r="Q295" t="str">
        <x:f>IF(CaseLedger!$A295="","",CaseLedger!C295)</x:f>
      </x:c>
      <x:c r="R295" t="str">
        <x:f>IF(CaseLedger!$A295="","",CaseLedger!D295)</x:f>
      </x:c>
      <x:c r="S295" t="str">
        <x:f>IFERROR(IF(CaseLedger!$A295="","",CaseLedger!Y295),"")</x:f>
      </x:c>
      <x:c r="T295" t="str">
        <x:f>IFERROR(IF(CaseLedger!$A295="","",CaseLedger!Z295),"")</x:f>
      </x:c>
      <x:c r="U295" t="str">
        <x:f>IFERROR(IF(CaseLedger!$A295="","",CaseLedger!AA295),"")</x:f>
      </x:c>
      <x:c r="V295" t="str">
        <x:f>IFERROR(IF(CaseLedger!$A295="","",CaseLedger!AB295),"")</x:f>
      </x:c>
      <x:c r="W295" t="str">
        <x:f>IFERROR(IF(CaseLedger!$A295="","",CaseLedger!AC295),"")</x:f>
      </x:c>
      <x:c r="X295" t="str">
        <x:f>IFERROR(IF(CaseLedger!$A295="","",CaseLedger!AD295),"")</x:f>
      </x:c>
      <x:c r="Y295" t="str">
        <x:f>IFERROR(IF(CaseLedger!$A295="","",CaseLedger!AE295),"")</x:f>
      </x:c>
      <x:c r="Z295" t="str">
        <x:f>IFERROR(IF(CaseLedger!$A295="","",CaseLedger!AF295),"")</x:f>
      </x:c>
      <x:c r="AA295" t="str">
        <x:f>IFERROR(IF(CaseLedger!$A295="","",CaseLedger!AG295),"")</x:f>
      </x:c>
      <x:c r="AB295" t="str">
        <x:f>IFERROR(IF(CaseLedger!$A295="","",CaseLedger!AH295),"")</x:f>
      </x:c>
      <x:c r="AC295" t="str">
        <x:f>IFERROR(IF(CaseLedger!$A295="","",CaseLedger!AI295),"")</x:f>
      </x:c>
    </x:row>
    <x:row r="296">
      <x:c r="A296" t="str">
        <x:f>IF(CaseLedger!$A296="","",CaseLedger!A296)</x:f>
      </x:c>
      <x:c r="B296" t="str">
        <x:f>IF(CaseLedger!$A296="","",CaseLedger!I296)</x:f>
      </x:c>
      <x:c r="C296" t="str">
        <x:f>IF(CaseLedger!$A296="","",CaseLedger!J296)</x:f>
      </x:c>
      <x:c r="D296" t="str">
        <x:f>IF(CaseLedger!$A296="","",CaseLedger!K296)</x:f>
      </x:c>
      <x:c r="E296" t="str">
        <x:f>IF(CaseLedger!$A296="","",CaseLedger!L296)</x:f>
      </x:c>
      <x:c r="F296" t="str">
        <x:f>IF(CaseLedger!$A296="","",CaseLedger!P296)</x:f>
      </x:c>
      <x:c r="G296" t="str">
        <x:f>IF(CaseLedger!$A296="","",CaseLedger!F296)</x:f>
      </x:c>
      <x:c r="H296" t="str">
        <x:f>IF(CaseLedger!$A296="","",CaseLedger!Q296)</x:f>
      </x:c>
      <x:c r="I296" t="str">
        <x:f>IF(CaseLedger!$A296="","",CaseLedger!R296)</x:f>
      </x:c>
      <x:c r="J296" t="str">
        <x:f>IF(CaseLedger!$A296="","",CaseLedger!S296)</x:f>
      </x:c>
      <x:c r="K296" t="str">
        <x:f>IF(CaseLedger!$A296="","",CaseLedger!T296)</x:f>
      </x:c>
      <x:c r="L296" t="str">
        <x:f>IF(CaseLedger!$A296="","",CaseLedger!U296)</x:f>
      </x:c>
      <x:c r="M296" t="str">
        <x:f>IF(CaseLedger!$A296="","",CaseLedger!V296)</x:f>
      </x:c>
      <x:c r="N296" t="str">
        <x:f>IF(CaseLedger!$A296="","",CaseLedger!W296)</x:f>
      </x:c>
      <x:c r="O296" t="str">
        <x:f>IF(CaseLedger!$A296="","",CaseLedger!X296)</x:f>
      </x:c>
      <x:c r="P296" t="str">
        <x:f>IF(CaseLedger!$A296="","",CaseLedger!E296)</x:f>
      </x:c>
      <x:c r="Q296" t="str">
        <x:f>IF(CaseLedger!$A296="","",CaseLedger!C296)</x:f>
      </x:c>
      <x:c r="R296" t="str">
        <x:f>IF(CaseLedger!$A296="","",CaseLedger!D296)</x:f>
      </x:c>
      <x:c r="S296" t="str">
        <x:f>IFERROR(IF(CaseLedger!$A296="","",CaseLedger!Y296),"")</x:f>
      </x:c>
      <x:c r="T296" t="str">
        <x:f>IFERROR(IF(CaseLedger!$A296="","",CaseLedger!Z296),"")</x:f>
      </x:c>
      <x:c r="U296" t="str">
        <x:f>IFERROR(IF(CaseLedger!$A296="","",CaseLedger!AA296),"")</x:f>
      </x:c>
      <x:c r="V296" t="str">
        <x:f>IFERROR(IF(CaseLedger!$A296="","",CaseLedger!AB296),"")</x:f>
      </x:c>
      <x:c r="W296" t="str">
        <x:f>IFERROR(IF(CaseLedger!$A296="","",CaseLedger!AC296),"")</x:f>
      </x:c>
      <x:c r="X296" t="str">
        <x:f>IFERROR(IF(CaseLedger!$A296="","",CaseLedger!AD296),"")</x:f>
      </x:c>
      <x:c r="Y296" t="str">
        <x:f>IFERROR(IF(CaseLedger!$A296="","",CaseLedger!AE296),"")</x:f>
      </x:c>
      <x:c r="Z296" t="str">
        <x:f>IFERROR(IF(CaseLedger!$A296="","",CaseLedger!AF296),"")</x:f>
      </x:c>
      <x:c r="AA296" t="str">
        <x:f>IFERROR(IF(CaseLedger!$A296="","",CaseLedger!AG296),"")</x:f>
      </x:c>
      <x:c r="AB296" t="str">
        <x:f>IFERROR(IF(CaseLedger!$A296="","",CaseLedger!AH296),"")</x:f>
      </x:c>
      <x:c r="AC296" t="str">
        <x:f>IFERROR(IF(CaseLedger!$A296="","",CaseLedger!AI296),"")</x:f>
      </x:c>
    </x:row>
    <x:row r="297">
      <x:c r="A297" t="str">
        <x:f>IF(CaseLedger!$A297="","",CaseLedger!A297)</x:f>
      </x:c>
      <x:c r="B297" t="str">
        <x:f>IF(CaseLedger!$A297="","",CaseLedger!I297)</x:f>
      </x:c>
      <x:c r="C297" t="str">
        <x:f>IF(CaseLedger!$A297="","",CaseLedger!J297)</x:f>
      </x:c>
      <x:c r="D297" t="str">
        <x:f>IF(CaseLedger!$A297="","",CaseLedger!K297)</x:f>
      </x:c>
      <x:c r="E297" t="str">
        <x:f>IF(CaseLedger!$A297="","",CaseLedger!L297)</x:f>
      </x:c>
      <x:c r="F297" t="str">
        <x:f>IF(CaseLedger!$A297="","",CaseLedger!P297)</x:f>
      </x:c>
      <x:c r="G297" t="str">
        <x:f>IF(CaseLedger!$A297="","",CaseLedger!F297)</x:f>
      </x:c>
      <x:c r="H297" t="str">
        <x:f>IF(CaseLedger!$A297="","",CaseLedger!Q297)</x:f>
      </x:c>
      <x:c r="I297" t="str">
        <x:f>IF(CaseLedger!$A297="","",CaseLedger!R297)</x:f>
      </x:c>
      <x:c r="J297" t="str">
        <x:f>IF(CaseLedger!$A297="","",CaseLedger!S297)</x:f>
      </x:c>
      <x:c r="K297" t="str">
        <x:f>IF(CaseLedger!$A297="","",CaseLedger!T297)</x:f>
      </x:c>
      <x:c r="L297" t="str">
        <x:f>IF(CaseLedger!$A297="","",CaseLedger!U297)</x:f>
      </x:c>
      <x:c r="M297" t="str">
        <x:f>IF(CaseLedger!$A297="","",CaseLedger!V297)</x:f>
      </x:c>
      <x:c r="N297" t="str">
        <x:f>IF(CaseLedger!$A297="","",CaseLedger!W297)</x:f>
      </x:c>
      <x:c r="O297" t="str">
        <x:f>IF(CaseLedger!$A297="","",CaseLedger!X297)</x:f>
      </x:c>
      <x:c r="P297" t="str">
        <x:f>IF(CaseLedger!$A297="","",CaseLedger!E297)</x:f>
      </x:c>
      <x:c r="Q297" t="str">
        <x:f>IF(CaseLedger!$A297="","",CaseLedger!C297)</x:f>
      </x:c>
      <x:c r="R297" t="str">
        <x:f>IF(CaseLedger!$A297="","",CaseLedger!D297)</x:f>
      </x:c>
      <x:c r="S297" t="str">
        <x:f>IFERROR(IF(CaseLedger!$A297="","",CaseLedger!Y297),"")</x:f>
      </x:c>
      <x:c r="T297" t="str">
        <x:f>IFERROR(IF(CaseLedger!$A297="","",CaseLedger!Z297),"")</x:f>
      </x:c>
      <x:c r="U297" t="str">
        <x:f>IFERROR(IF(CaseLedger!$A297="","",CaseLedger!AA297),"")</x:f>
      </x:c>
      <x:c r="V297" t="str">
        <x:f>IFERROR(IF(CaseLedger!$A297="","",CaseLedger!AB297),"")</x:f>
      </x:c>
      <x:c r="W297" t="str">
        <x:f>IFERROR(IF(CaseLedger!$A297="","",CaseLedger!AC297),"")</x:f>
      </x:c>
      <x:c r="X297" t="str">
        <x:f>IFERROR(IF(CaseLedger!$A297="","",CaseLedger!AD297),"")</x:f>
      </x:c>
      <x:c r="Y297" t="str">
        <x:f>IFERROR(IF(CaseLedger!$A297="","",CaseLedger!AE297),"")</x:f>
      </x:c>
      <x:c r="Z297" t="str">
        <x:f>IFERROR(IF(CaseLedger!$A297="","",CaseLedger!AF297),"")</x:f>
      </x:c>
      <x:c r="AA297" t="str">
        <x:f>IFERROR(IF(CaseLedger!$A297="","",CaseLedger!AG297),"")</x:f>
      </x:c>
      <x:c r="AB297" t="str">
        <x:f>IFERROR(IF(CaseLedger!$A297="","",CaseLedger!AH297),"")</x:f>
      </x:c>
      <x:c r="AC297" t="str">
        <x:f>IFERROR(IF(CaseLedger!$A297="","",CaseLedger!AI297),"")</x:f>
      </x:c>
    </x:row>
    <x:row r="298">
      <x:c r="A298" t="str">
        <x:f>IF(CaseLedger!$A298="","",CaseLedger!A298)</x:f>
      </x:c>
      <x:c r="B298" t="str">
        <x:f>IF(CaseLedger!$A298="","",CaseLedger!I298)</x:f>
      </x:c>
      <x:c r="C298" t="str">
        <x:f>IF(CaseLedger!$A298="","",CaseLedger!J298)</x:f>
      </x:c>
      <x:c r="D298" t="str">
        <x:f>IF(CaseLedger!$A298="","",CaseLedger!K298)</x:f>
      </x:c>
      <x:c r="E298" t="str">
        <x:f>IF(CaseLedger!$A298="","",CaseLedger!L298)</x:f>
      </x:c>
      <x:c r="F298" t="str">
        <x:f>IF(CaseLedger!$A298="","",CaseLedger!P298)</x:f>
      </x:c>
      <x:c r="G298" t="str">
        <x:f>IF(CaseLedger!$A298="","",CaseLedger!F298)</x:f>
      </x:c>
      <x:c r="H298" t="str">
        <x:f>IF(CaseLedger!$A298="","",CaseLedger!Q298)</x:f>
      </x:c>
      <x:c r="I298" t="str">
        <x:f>IF(CaseLedger!$A298="","",CaseLedger!R298)</x:f>
      </x:c>
      <x:c r="J298" t="str">
        <x:f>IF(CaseLedger!$A298="","",CaseLedger!S298)</x:f>
      </x:c>
      <x:c r="K298" t="str">
        <x:f>IF(CaseLedger!$A298="","",CaseLedger!T298)</x:f>
      </x:c>
      <x:c r="L298" t="str">
        <x:f>IF(CaseLedger!$A298="","",CaseLedger!U298)</x:f>
      </x:c>
      <x:c r="M298" t="str">
        <x:f>IF(CaseLedger!$A298="","",CaseLedger!V298)</x:f>
      </x:c>
      <x:c r="N298" t="str">
        <x:f>IF(CaseLedger!$A298="","",CaseLedger!W298)</x:f>
      </x:c>
      <x:c r="O298" t="str">
        <x:f>IF(CaseLedger!$A298="","",CaseLedger!X298)</x:f>
      </x:c>
      <x:c r="P298" t="str">
        <x:f>IF(CaseLedger!$A298="","",CaseLedger!E298)</x:f>
      </x:c>
      <x:c r="Q298" t="str">
        <x:f>IF(CaseLedger!$A298="","",CaseLedger!C298)</x:f>
      </x:c>
      <x:c r="R298" t="str">
        <x:f>IF(CaseLedger!$A298="","",CaseLedger!D298)</x:f>
      </x:c>
      <x:c r="S298" t="str">
        <x:f>IFERROR(IF(CaseLedger!$A298="","",CaseLedger!Y298),"")</x:f>
      </x:c>
      <x:c r="T298" t="str">
        <x:f>IFERROR(IF(CaseLedger!$A298="","",CaseLedger!Z298),"")</x:f>
      </x:c>
      <x:c r="U298" t="str">
        <x:f>IFERROR(IF(CaseLedger!$A298="","",CaseLedger!AA298),"")</x:f>
      </x:c>
      <x:c r="V298" t="str">
        <x:f>IFERROR(IF(CaseLedger!$A298="","",CaseLedger!AB298),"")</x:f>
      </x:c>
      <x:c r="W298" t="str">
        <x:f>IFERROR(IF(CaseLedger!$A298="","",CaseLedger!AC298),"")</x:f>
      </x:c>
      <x:c r="X298" t="str">
        <x:f>IFERROR(IF(CaseLedger!$A298="","",CaseLedger!AD298),"")</x:f>
      </x:c>
      <x:c r="Y298" t="str">
        <x:f>IFERROR(IF(CaseLedger!$A298="","",CaseLedger!AE298),"")</x:f>
      </x:c>
      <x:c r="Z298" t="str">
        <x:f>IFERROR(IF(CaseLedger!$A298="","",CaseLedger!AF298),"")</x:f>
      </x:c>
      <x:c r="AA298" t="str">
        <x:f>IFERROR(IF(CaseLedger!$A298="","",CaseLedger!AG298),"")</x:f>
      </x:c>
      <x:c r="AB298" t="str">
        <x:f>IFERROR(IF(CaseLedger!$A298="","",CaseLedger!AH298),"")</x:f>
      </x:c>
      <x:c r="AC298" t="str">
        <x:f>IFERROR(IF(CaseLedger!$A298="","",CaseLedger!AI298),"")</x:f>
      </x:c>
    </x:row>
    <x:row r="299">
      <x:c r="A299" t="str">
        <x:f>IF(CaseLedger!$A299="","",CaseLedger!A299)</x:f>
      </x:c>
      <x:c r="B299" t="str">
        <x:f>IF(CaseLedger!$A299="","",CaseLedger!I299)</x:f>
      </x:c>
      <x:c r="C299" t="str">
        <x:f>IF(CaseLedger!$A299="","",CaseLedger!J299)</x:f>
      </x:c>
      <x:c r="D299" t="str">
        <x:f>IF(CaseLedger!$A299="","",CaseLedger!K299)</x:f>
      </x:c>
      <x:c r="E299" t="str">
        <x:f>IF(CaseLedger!$A299="","",CaseLedger!L299)</x:f>
      </x:c>
      <x:c r="F299" t="str">
        <x:f>IF(CaseLedger!$A299="","",CaseLedger!P299)</x:f>
      </x:c>
      <x:c r="G299" t="str">
        <x:f>IF(CaseLedger!$A299="","",CaseLedger!F299)</x:f>
      </x:c>
      <x:c r="H299" t="str">
        <x:f>IF(CaseLedger!$A299="","",CaseLedger!Q299)</x:f>
      </x:c>
      <x:c r="I299" t="str">
        <x:f>IF(CaseLedger!$A299="","",CaseLedger!R299)</x:f>
      </x:c>
      <x:c r="J299" t="str">
        <x:f>IF(CaseLedger!$A299="","",CaseLedger!S299)</x:f>
      </x:c>
      <x:c r="K299" t="str">
        <x:f>IF(CaseLedger!$A299="","",CaseLedger!T299)</x:f>
      </x:c>
      <x:c r="L299" t="str">
        <x:f>IF(CaseLedger!$A299="","",CaseLedger!U299)</x:f>
      </x:c>
      <x:c r="M299" t="str">
        <x:f>IF(CaseLedger!$A299="","",CaseLedger!V299)</x:f>
      </x:c>
      <x:c r="N299" t="str">
        <x:f>IF(CaseLedger!$A299="","",CaseLedger!W299)</x:f>
      </x:c>
      <x:c r="O299" t="str">
        <x:f>IF(CaseLedger!$A299="","",CaseLedger!X299)</x:f>
      </x:c>
      <x:c r="P299" t="str">
        <x:f>IF(CaseLedger!$A299="","",CaseLedger!E299)</x:f>
      </x:c>
      <x:c r="Q299" t="str">
        <x:f>IF(CaseLedger!$A299="","",CaseLedger!C299)</x:f>
      </x:c>
      <x:c r="R299" t="str">
        <x:f>IF(CaseLedger!$A299="","",CaseLedger!D299)</x:f>
      </x:c>
      <x:c r="S299" t="str">
        <x:f>IFERROR(IF(CaseLedger!$A299="","",CaseLedger!Y299),"")</x:f>
      </x:c>
      <x:c r="T299" t="str">
        <x:f>IFERROR(IF(CaseLedger!$A299="","",CaseLedger!Z299),"")</x:f>
      </x:c>
      <x:c r="U299" t="str">
        <x:f>IFERROR(IF(CaseLedger!$A299="","",CaseLedger!AA299),"")</x:f>
      </x:c>
      <x:c r="V299" t="str">
        <x:f>IFERROR(IF(CaseLedger!$A299="","",CaseLedger!AB299),"")</x:f>
      </x:c>
      <x:c r="W299" t="str">
        <x:f>IFERROR(IF(CaseLedger!$A299="","",CaseLedger!AC299),"")</x:f>
      </x:c>
      <x:c r="X299" t="str">
        <x:f>IFERROR(IF(CaseLedger!$A299="","",CaseLedger!AD299),"")</x:f>
      </x:c>
      <x:c r="Y299" t="str">
        <x:f>IFERROR(IF(CaseLedger!$A299="","",CaseLedger!AE299),"")</x:f>
      </x:c>
      <x:c r="Z299" t="str">
        <x:f>IFERROR(IF(CaseLedger!$A299="","",CaseLedger!AF299),"")</x:f>
      </x:c>
      <x:c r="AA299" t="str">
        <x:f>IFERROR(IF(CaseLedger!$A299="","",CaseLedger!AG299),"")</x:f>
      </x:c>
      <x:c r="AB299" t="str">
        <x:f>IFERROR(IF(CaseLedger!$A299="","",CaseLedger!AH299),"")</x:f>
      </x:c>
      <x:c r="AC299" t="str">
        <x:f>IFERROR(IF(CaseLedger!$A299="","",CaseLedger!AI299),"")</x:f>
      </x:c>
    </x:row>
    <x:row r="300">
      <x:c r="A300" t="str">
        <x:f>IF(CaseLedger!$A300="","",CaseLedger!A300)</x:f>
      </x:c>
      <x:c r="B300" t="str">
        <x:f>IF(CaseLedger!$A300="","",CaseLedger!I300)</x:f>
      </x:c>
      <x:c r="C300" t="str">
        <x:f>IF(CaseLedger!$A300="","",CaseLedger!J300)</x:f>
      </x:c>
      <x:c r="D300" t="str">
        <x:f>IF(CaseLedger!$A300="","",CaseLedger!K300)</x:f>
      </x:c>
      <x:c r="E300" t="str">
        <x:f>IF(CaseLedger!$A300="","",CaseLedger!L300)</x:f>
      </x:c>
      <x:c r="F300" t="str">
        <x:f>IF(CaseLedger!$A300="","",CaseLedger!P300)</x:f>
      </x:c>
      <x:c r="G300" t="str">
        <x:f>IF(CaseLedger!$A300="","",CaseLedger!F300)</x:f>
      </x:c>
      <x:c r="H300" t="str">
        <x:f>IF(CaseLedger!$A300="","",CaseLedger!Q300)</x:f>
      </x:c>
      <x:c r="I300" t="str">
        <x:f>IF(CaseLedger!$A300="","",CaseLedger!R300)</x:f>
      </x:c>
      <x:c r="J300" t="str">
        <x:f>IF(CaseLedger!$A300="","",CaseLedger!S300)</x:f>
      </x:c>
      <x:c r="K300" t="str">
        <x:f>IF(CaseLedger!$A300="","",CaseLedger!T300)</x:f>
      </x:c>
      <x:c r="L300" t="str">
        <x:f>IF(CaseLedger!$A300="","",CaseLedger!U300)</x:f>
      </x:c>
      <x:c r="M300" t="str">
        <x:f>IF(CaseLedger!$A300="","",CaseLedger!V300)</x:f>
      </x:c>
      <x:c r="N300" t="str">
        <x:f>IF(CaseLedger!$A300="","",CaseLedger!W300)</x:f>
      </x:c>
      <x:c r="O300" t="str">
        <x:f>IF(CaseLedger!$A300="","",CaseLedger!X300)</x:f>
      </x:c>
      <x:c r="P300" t="str">
        <x:f>IF(CaseLedger!$A300="","",CaseLedger!E300)</x:f>
      </x:c>
      <x:c r="Q300" t="str">
        <x:f>IF(CaseLedger!$A300="","",CaseLedger!C300)</x:f>
      </x:c>
      <x:c r="R300" t="str">
        <x:f>IF(CaseLedger!$A300="","",CaseLedger!D300)</x:f>
      </x:c>
      <x:c r="S300" t="str">
        <x:f>IFERROR(IF(CaseLedger!$A300="","",CaseLedger!Y300),"")</x:f>
      </x:c>
      <x:c r="T300" t="str">
        <x:f>IFERROR(IF(CaseLedger!$A300="","",CaseLedger!Z300),"")</x:f>
      </x:c>
      <x:c r="U300" t="str">
        <x:f>IFERROR(IF(CaseLedger!$A300="","",CaseLedger!AA300),"")</x:f>
      </x:c>
      <x:c r="V300" t="str">
        <x:f>IFERROR(IF(CaseLedger!$A300="","",CaseLedger!AB300),"")</x:f>
      </x:c>
      <x:c r="W300" t="str">
        <x:f>IFERROR(IF(CaseLedger!$A300="","",CaseLedger!AC300),"")</x:f>
      </x:c>
      <x:c r="X300" t="str">
        <x:f>IFERROR(IF(CaseLedger!$A300="","",CaseLedger!AD300),"")</x:f>
      </x:c>
      <x:c r="Y300" t="str">
        <x:f>IFERROR(IF(CaseLedger!$A300="","",CaseLedger!AE300),"")</x:f>
      </x:c>
      <x:c r="Z300" t="str">
        <x:f>IFERROR(IF(CaseLedger!$A300="","",CaseLedger!AF300),"")</x:f>
      </x:c>
      <x:c r="AA300" t="str">
        <x:f>IFERROR(IF(CaseLedger!$A300="","",CaseLedger!AG300),"")</x:f>
      </x:c>
      <x:c r="AB300" t="str">
        <x:f>IFERROR(IF(CaseLedger!$A300="","",CaseLedger!AH300),"")</x:f>
      </x:c>
      <x:c r="AC300" t="str">
        <x:f>IFERROR(IF(CaseLedger!$A300="","",CaseLedger!AI300),"")</x:f>
      </x:c>
    </x:row>
    <x:row r="301">
      <x:c r="A301" t="str">
        <x:f>IF(CaseLedger!$A301="","",CaseLedger!A301)</x:f>
      </x:c>
      <x:c r="B301" t="str">
        <x:f>IF(CaseLedger!$A301="","",CaseLedger!I301)</x:f>
      </x:c>
      <x:c r="C301" t="str">
        <x:f>IF(CaseLedger!$A301="","",CaseLedger!J301)</x:f>
      </x:c>
      <x:c r="D301" t="str">
        <x:f>IF(CaseLedger!$A301="","",CaseLedger!K301)</x:f>
      </x:c>
      <x:c r="E301" t="str">
        <x:f>IF(CaseLedger!$A301="","",CaseLedger!L301)</x:f>
      </x:c>
      <x:c r="F301" t="str">
        <x:f>IF(CaseLedger!$A301="","",CaseLedger!P301)</x:f>
      </x:c>
      <x:c r="G301" t="str">
        <x:f>IF(CaseLedger!$A301="","",CaseLedger!F301)</x:f>
      </x:c>
      <x:c r="H301" t="str">
        <x:f>IF(CaseLedger!$A301="","",CaseLedger!Q301)</x:f>
      </x:c>
      <x:c r="I301" t="str">
        <x:f>IF(CaseLedger!$A301="","",CaseLedger!R301)</x:f>
      </x:c>
      <x:c r="J301" t="str">
        <x:f>IF(CaseLedger!$A301="","",CaseLedger!S301)</x:f>
      </x:c>
      <x:c r="K301" t="str">
        <x:f>IF(CaseLedger!$A301="","",CaseLedger!T301)</x:f>
      </x:c>
      <x:c r="L301" t="str">
        <x:f>IF(CaseLedger!$A301="","",CaseLedger!U301)</x:f>
      </x:c>
      <x:c r="M301" t="str">
        <x:f>IF(CaseLedger!$A301="","",CaseLedger!V301)</x:f>
      </x:c>
      <x:c r="N301" t="str">
        <x:f>IF(CaseLedger!$A301="","",CaseLedger!W301)</x:f>
      </x:c>
      <x:c r="O301" t="str">
        <x:f>IF(CaseLedger!$A301="","",CaseLedger!X301)</x:f>
      </x:c>
      <x:c r="P301" t="str">
        <x:f>IF(CaseLedger!$A301="","",CaseLedger!E301)</x:f>
      </x:c>
      <x:c r="Q301" t="str">
        <x:f>IF(CaseLedger!$A301="","",CaseLedger!C301)</x:f>
      </x:c>
      <x:c r="R301" t="str">
        <x:f>IF(CaseLedger!$A301="","",CaseLedger!D301)</x:f>
      </x:c>
      <x:c r="S301" t="str">
        <x:f>IFERROR(IF(CaseLedger!$A301="","",CaseLedger!Y301),"")</x:f>
      </x:c>
      <x:c r="T301" t="str">
        <x:f>IFERROR(IF(CaseLedger!$A301="","",CaseLedger!Z301),"")</x:f>
      </x:c>
      <x:c r="U301" t="str">
        <x:f>IFERROR(IF(CaseLedger!$A301="","",CaseLedger!AA301),"")</x:f>
      </x:c>
      <x:c r="V301" t="str">
        <x:f>IFERROR(IF(CaseLedger!$A301="","",CaseLedger!AB301),"")</x:f>
      </x:c>
      <x:c r="W301" t="str">
        <x:f>IFERROR(IF(CaseLedger!$A301="","",CaseLedger!AC301),"")</x:f>
      </x:c>
      <x:c r="X301" t="str">
        <x:f>IFERROR(IF(CaseLedger!$A301="","",CaseLedger!AD301),"")</x:f>
      </x:c>
      <x:c r="Y301" t="str">
        <x:f>IFERROR(IF(CaseLedger!$A301="","",CaseLedger!AE301),"")</x:f>
      </x:c>
      <x:c r="Z301" t="str">
        <x:f>IFERROR(IF(CaseLedger!$A301="","",CaseLedger!AF301),"")</x:f>
      </x:c>
      <x:c r="AA301" t="str">
        <x:f>IFERROR(IF(CaseLedger!$A301="","",CaseLedger!AG301),"")</x:f>
      </x:c>
      <x:c r="AB301" t="str">
        <x:f>IFERROR(IF(CaseLedger!$A301="","",CaseLedger!AH301),"")</x:f>
      </x:c>
      <x:c r="AC301" t="str">
        <x:f>IFERROR(IF(CaseLedger!$A301="","",CaseLedger!AI301),"")</x:f>
      </x:c>
    </x:row>
    <x:row r="302">
      <x:c r="A302" t="str">
        <x:f>IF(CaseLedger!$A302="","",CaseLedger!A302)</x:f>
      </x:c>
      <x:c r="B302" t="str">
        <x:f>IF(CaseLedger!$A302="","",CaseLedger!I302)</x:f>
      </x:c>
      <x:c r="C302" t="str">
        <x:f>IF(CaseLedger!$A302="","",CaseLedger!J302)</x:f>
      </x:c>
      <x:c r="D302" t="str">
        <x:f>IF(CaseLedger!$A302="","",CaseLedger!K302)</x:f>
      </x:c>
      <x:c r="E302" t="str">
        <x:f>IF(CaseLedger!$A302="","",CaseLedger!L302)</x:f>
      </x:c>
      <x:c r="F302" t="str">
        <x:f>IF(CaseLedger!$A302="","",CaseLedger!P302)</x:f>
      </x:c>
      <x:c r="G302" t="str">
        <x:f>IF(CaseLedger!$A302="","",CaseLedger!F302)</x:f>
      </x:c>
      <x:c r="H302" t="str">
        <x:f>IF(CaseLedger!$A302="","",CaseLedger!Q302)</x:f>
      </x:c>
      <x:c r="I302" t="str">
        <x:f>IF(CaseLedger!$A302="","",CaseLedger!R302)</x:f>
      </x:c>
      <x:c r="J302" t="str">
        <x:f>IF(CaseLedger!$A302="","",CaseLedger!S302)</x:f>
      </x:c>
      <x:c r="K302" t="str">
        <x:f>IF(CaseLedger!$A302="","",CaseLedger!T302)</x:f>
      </x:c>
      <x:c r="L302" t="str">
        <x:f>IF(CaseLedger!$A302="","",CaseLedger!U302)</x:f>
      </x:c>
      <x:c r="M302" t="str">
        <x:f>IF(CaseLedger!$A302="","",CaseLedger!V302)</x:f>
      </x:c>
      <x:c r="N302" t="str">
        <x:f>IF(CaseLedger!$A302="","",CaseLedger!W302)</x:f>
      </x:c>
      <x:c r="O302" t="str">
        <x:f>IF(CaseLedger!$A302="","",CaseLedger!X302)</x:f>
      </x:c>
      <x:c r="P302" t="str">
        <x:f>IF(CaseLedger!$A302="","",CaseLedger!E302)</x:f>
      </x:c>
      <x:c r="Q302" t="str">
        <x:f>IF(CaseLedger!$A302="","",CaseLedger!C302)</x:f>
      </x:c>
      <x:c r="R302" t="str">
        <x:f>IF(CaseLedger!$A302="","",CaseLedger!D302)</x:f>
      </x:c>
      <x:c r="S302" t="str">
        <x:f>IFERROR(IF(CaseLedger!$A302="","",CaseLedger!Y302),"")</x:f>
      </x:c>
      <x:c r="T302" t="str">
        <x:f>IFERROR(IF(CaseLedger!$A302="","",CaseLedger!Z302),"")</x:f>
      </x:c>
      <x:c r="U302" t="str">
        <x:f>IFERROR(IF(CaseLedger!$A302="","",CaseLedger!AA302),"")</x:f>
      </x:c>
      <x:c r="V302" t="str">
        <x:f>IFERROR(IF(CaseLedger!$A302="","",CaseLedger!AB302),"")</x:f>
      </x:c>
      <x:c r="W302" t="str">
        <x:f>IFERROR(IF(CaseLedger!$A302="","",CaseLedger!AC302),"")</x:f>
      </x:c>
      <x:c r="X302" t="str">
        <x:f>IFERROR(IF(CaseLedger!$A302="","",CaseLedger!AD302),"")</x:f>
      </x:c>
      <x:c r="Y302" t="str">
        <x:f>IFERROR(IF(CaseLedger!$A302="","",CaseLedger!AE302),"")</x:f>
      </x:c>
      <x:c r="Z302" t="str">
        <x:f>IFERROR(IF(CaseLedger!$A302="","",CaseLedger!AF302),"")</x:f>
      </x:c>
      <x:c r="AA302" t="str">
        <x:f>IFERROR(IF(CaseLedger!$A302="","",CaseLedger!AG302),"")</x:f>
      </x:c>
      <x:c r="AB302" t="str">
        <x:f>IFERROR(IF(CaseLedger!$A302="","",CaseLedger!AH302),"")</x:f>
      </x:c>
      <x:c r="AC302" t="str">
        <x:f>IFERROR(IF(CaseLedger!$A302="","",CaseLedger!AI302),"")</x:f>
      </x:c>
    </x:row>
    <x:row r="303">
      <x:c r="A303" t="str">
        <x:f>IF(CaseLedger!$A303="","",CaseLedger!A303)</x:f>
      </x:c>
      <x:c r="B303" t="str">
        <x:f>IF(CaseLedger!$A303="","",CaseLedger!I303)</x:f>
      </x:c>
      <x:c r="C303" t="str">
        <x:f>IF(CaseLedger!$A303="","",CaseLedger!J303)</x:f>
      </x:c>
      <x:c r="D303" t="str">
        <x:f>IF(CaseLedger!$A303="","",CaseLedger!K303)</x:f>
      </x:c>
      <x:c r="E303" t="str">
        <x:f>IF(CaseLedger!$A303="","",CaseLedger!L303)</x:f>
      </x:c>
      <x:c r="F303" t="str">
        <x:f>IF(CaseLedger!$A303="","",CaseLedger!P303)</x:f>
      </x:c>
      <x:c r="G303" t="str">
        <x:f>IF(CaseLedger!$A303="","",CaseLedger!F303)</x:f>
      </x:c>
      <x:c r="H303" t="str">
        <x:f>IF(CaseLedger!$A303="","",CaseLedger!Q303)</x:f>
      </x:c>
      <x:c r="I303" t="str">
        <x:f>IF(CaseLedger!$A303="","",CaseLedger!R303)</x:f>
      </x:c>
      <x:c r="J303" t="str">
        <x:f>IF(CaseLedger!$A303="","",CaseLedger!S303)</x:f>
      </x:c>
      <x:c r="K303" t="str">
        <x:f>IF(CaseLedger!$A303="","",CaseLedger!T303)</x:f>
      </x:c>
      <x:c r="L303" t="str">
        <x:f>IF(CaseLedger!$A303="","",CaseLedger!U303)</x:f>
      </x:c>
      <x:c r="M303" t="str">
        <x:f>IF(CaseLedger!$A303="","",CaseLedger!V303)</x:f>
      </x:c>
      <x:c r="N303" t="str">
        <x:f>IF(CaseLedger!$A303="","",CaseLedger!W303)</x:f>
      </x:c>
      <x:c r="O303" t="str">
        <x:f>IF(CaseLedger!$A303="","",CaseLedger!X303)</x:f>
      </x:c>
      <x:c r="P303" t="str">
        <x:f>IF(CaseLedger!$A303="","",CaseLedger!E303)</x:f>
      </x:c>
      <x:c r="Q303" t="str">
        <x:f>IF(CaseLedger!$A303="","",CaseLedger!C303)</x:f>
      </x:c>
      <x:c r="R303" t="str">
        <x:f>IF(CaseLedger!$A303="","",CaseLedger!D303)</x:f>
      </x:c>
      <x:c r="S303" t="str">
        <x:f>IFERROR(IF(CaseLedger!$A303="","",CaseLedger!Y303),"")</x:f>
      </x:c>
      <x:c r="T303" t="str">
        <x:f>IFERROR(IF(CaseLedger!$A303="","",CaseLedger!Z303),"")</x:f>
      </x:c>
      <x:c r="U303" t="str">
        <x:f>IFERROR(IF(CaseLedger!$A303="","",CaseLedger!AA303),"")</x:f>
      </x:c>
      <x:c r="V303" t="str">
        <x:f>IFERROR(IF(CaseLedger!$A303="","",CaseLedger!AB303),"")</x:f>
      </x:c>
      <x:c r="W303" t="str">
        <x:f>IFERROR(IF(CaseLedger!$A303="","",CaseLedger!AC303),"")</x:f>
      </x:c>
      <x:c r="X303" t="str">
        <x:f>IFERROR(IF(CaseLedger!$A303="","",CaseLedger!AD303),"")</x:f>
      </x:c>
      <x:c r="Y303" t="str">
        <x:f>IFERROR(IF(CaseLedger!$A303="","",CaseLedger!AE303),"")</x:f>
      </x:c>
      <x:c r="Z303" t="str">
        <x:f>IFERROR(IF(CaseLedger!$A303="","",CaseLedger!AF303),"")</x:f>
      </x:c>
      <x:c r="AA303" t="str">
        <x:f>IFERROR(IF(CaseLedger!$A303="","",CaseLedger!AG303),"")</x:f>
      </x:c>
      <x:c r="AB303" t="str">
        <x:f>IFERROR(IF(CaseLedger!$A303="","",CaseLedger!AH303),"")</x:f>
      </x:c>
      <x:c r="AC303" t="str">
        <x:f>IFERROR(IF(CaseLedger!$A303="","",CaseLedger!AI303),"")</x:f>
      </x:c>
    </x:row>
    <x:row r="304">
      <x:c r="A304" t="str">
        <x:f>IF(CaseLedger!$A304="","",CaseLedger!A304)</x:f>
      </x:c>
      <x:c r="B304" t="str">
        <x:f>IF(CaseLedger!$A304="","",CaseLedger!I304)</x:f>
      </x:c>
      <x:c r="C304" t="str">
        <x:f>IF(CaseLedger!$A304="","",CaseLedger!J304)</x:f>
      </x:c>
      <x:c r="D304" t="str">
        <x:f>IF(CaseLedger!$A304="","",CaseLedger!K304)</x:f>
      </x:c>
      <x:c r="E304" t="str">
        <x:f>IF(CaseLedger!$A304="","",CaseLedger!L304)</x:f>
      </x:c>
      <x:c r="F304" t="str">
        <x:f>IF(CaseLedger!$A304="","",CaseLedger!P304)</x:f>
      </x:c>
      <x:c r="G304" t="str">
        <x:f>IF(CaseLedger!$A304="","",CaseLedger!F304)</x:f>
      </x:c>
      <x:c r="H304" t="str">
        <x:f>IF(CaseLedger!$A304="","",CaseLedger!Q304)</x:f>
      </x:c>
      <x:c r="I304" t="str">
        <x:f>IF(CaseLedger!$A304="","",CaseLedger!R304)</x:f>
      </x:c>
      <x:c r="J304" t="str">
        <x:f>IF(CaseLedger!$A304="","",CaseLedger!S304)</x:f>
      </x:c>
      <x:c r="K304" t="str">
        <x:f>IF(CaseLedger!$A304="","",CaseLedger!T304)</x:f>
      </x:c>
      <x:c r="L304" t="str">
        <x:f>IF(CaseLedger!$A304="","",CaseLedger!U304)</x:f>
      </x:c>
      <x:c r="M304" t="str">
        <x:f>IF(CaseLedger!$A304="","",CaseLedger!V304)</x:f>
      </x:c>
      <x:c r="N304" t="str">
        <x:f>IF(CaseLedger!$A304="","",CaseLedger!W304)</x:f>
      </x:c>
      <x:c r="O304" t="str">
        <x:f>IF(CaseLedger!$A304="","",CaseLedger!X304)</x:f>
      </x:c>
      <x:c r="P304" t="str">
        <x:f>IF(CaseLedger!$A304="","",CaseLedger!E304)</x:f>
      </x:c>
      <x:c r="Q304" t="str">
        <x:f>IF(CaseLedger!$A304="","",CaseLedger!C304)</x:f>
      </x:c>
      <x:c r="R304" t="str">
        <x:f>IF(CaseLedger!$A304="","",CaseLedger!D304)</x:f>
      </x:c>
      <x:c r="S304" t="str">
        <x:f>IFERROR(IF(CaseLedger!$A304="","",CaseLedger!Y304),"")</x:f>
      </x:c>
      <x:c r="T304" t="str">
        <x:f>IFERROR(IF(CaseLedger!$A304="","",CaseLedger!Z304),"")</x:f>
      </x:c>
      <x:c r="U304" t="str">
        <x:f>IFERROR(IF(CaseLedger!$A304="","",CaseLedger!AA304),"")</x:f>
      </x:c>
      <x:c r="V304" t="str">
        <x:f>IFERROR(IF(CaseLedger!$A304="","",CaseLedger!AB304),"")</x:f>
      </x:c>
      <x:c r="W304" t="str">
        <x:f>IFERROR(IF(CaseLedger!$A304="","",CaseLedger!AC304),"")</x:f>
      </x:c>
      <x:c r="X304" t="str">
        <x:f>IFERROR(IF(CaseLedger!$A304="","",CaseLedger!AD304),"")</x:f>
      </x:c>
      <x:c r="Y304" t="str">
        <x:f>IFERROR(IF(CaseLedger!$A304="","",CaseLedger!AE304),"")</x:f>
      </x:c>
      <x:c r="Z304" t="str">
        <x:f>IFERROR(IF(CaseLedger!$A304="","",CaseLedger!AF304),"")</x:f>
      </x:c>
      <x:c r="AA304" t="str">
        <x:f>IFERROR(IF(CaseLedger!$A304="","",CaseLedger!AG304),"")</x:f>
      </x:c>
      <x:c r="AB304" t="str">
        <x:f>IFERROR(IF(CaseLedger!$A304="","",CaseLedger!AH304),"")</x:f>
      </x:c>
      <x:c r="AC304" t="str">
        <x:f>IFERROR(IF(CaseLedger!$A304="","",CaseLedger!AI304),"")</x:f>
      </x:c>
    </x:row>
    <x:row r="305">
      <x:c r="A305" t="str">
        <x:f>IF(CaseLedger!$A305="","",CaseLedger!A305)</x:f>
      </x:c>
      <x:c r="B305" t="str">
        <x:f>IF(CaseLedger!$A305="","",CaseLedger!I305)</x:f>
      </x:c>
      <x:c r="C305" t="str">
        <x:f>IF(CaseLedger!$A305="","",CaseLedger!J305)</x:f>
      </x:c>
      <x:c r="D305" t="str">
        <x:f>IF(CaseLedger!$A305="","",CaseLedger!K305)</x:f>
      </x:c>
      <x:c r="E305" t="str">
        <x:f>IF(CaseLedger!$A305="","",CaseLedger!L305)</x:f>
      </x:c>
      <x:c r="F305" t="str">
        <x:f>IF(CaseLedger!$A305="","",CaseLedger!P305)</x:f>
      </x:c>
      <x:c r="G305" t="str">
        <x:f>IF(CaseLedger!$A305="","",CaseLedger!F305)</x:f>
      </x:c>
      <x:c r="H305" t="str">
        <x:f>IF(CaseLedger!$A305="","",CaseLedger!Q305)</x:f>
      </x:c>
      <x:c r="I305" t="str">
        <x:f>IF(CaseLedger!$A305="","",CaseLedger!R305)</x:f>
      </x:c>
      <x:c r="J305" t="str">
        <x:f>IF(CaseLedger!$A305="","",CaseLedger!S305)</x:f>
      </x:c>
      <x:c r="K305" t="str">
        <x:f>IF(CaseLedger!$A305="","",CaseLedger!T305)</x:f>
      </x:c>
      <x:c r="L305" t="str">
        <x:f>IF(CaseLedger!$A305="","",CaseLedger!U305)</x:f>
      </x:c>
      <x:c r="M305" t="str">
        <x:f>IF(CaseLedger!$A305="","",CaseLedger!V305)</x:f>
      </x:c>
      <x:c r="N305" t="str">
        <x:f>IF(CaseLedger!$A305="","",CaseLedger!W305)</x:f>
      </x:c>
      <x:c r="O305" t="str">
        <x:f>IF(CaseLedger!$A305="","",CaseLedger!X305)</x:f>
      </x:c>
      <x:c r="P305" t="str">
        <x:f>IF(CaseLedger!$A305="","",CaseLedger!E305)</x:f>
      </x:c>
      <x:c r="Q305" t="str">
        <x:f>IF(CaseLedger!$A305="","",CaseLedger!C305)</x:f>
      </x:c>
      <x:c r="R305" t="str">
        <x:f>IF(CaseLedger!$A305="","",CaseLedger!D305)</x:f>
      </x:c>
      <x:c r="S305" t="str">
        <x:f>IFERROR(IF(CaseLedger!$A305="","",CaseLedger!Y305),"")</x:f>
      </x:c>
      <x:c r="T305" t="str">
        <x:f>IFERROR(IF(CaseLedger!$A305="","",CaseLedger!Z305),"")</x:f>
      </x:c>
      <x:c r="U305" t="str">
        <x:f>IFERROR(IF(CaseLedger!$A305="","",CaseLedger!AA305),"")</x:f>
      </x:c>
      <x:c r="V305" t="str">
        <x:f>IFERROR(IF(CaseLedger!$A305="","",CaseLedger!AB305),"")</x:f>
      </x:c>
      <x:c r="W305" t="str">
        <x:f>IFERROR(IF(CaseLedger!$A305="","",CaseLedger!AC305),"")</x:f>
      </x:c>
      <x:c r="X305" t="str">
        <x:f>IFERROR(IF(CaseLedger!$A305="","",CaseLedger!AD305),"")</x:f>
      </x:c>
      <x:c r="Y305" t="str">
        <x:f>IFERROR(IF(CaseLedger!$A305="","",CaseLedger!AE305),"")</x:f>
      </x:c>
      <x:c r="Z305" t="str">
        <x:f>IFERROR(IF(CaseLedger!$A305="","",CaseLedger!AF305),"")</x:f>
      </x:c>
      <x:c r="AA305" t="str">
        <x:f>IFERROR(IF(CaseLedger!$A305="","",CaseLedger!AG305),"")</x:f>
      </x:c>
      <x:c r="AB305" t="str">
        <x:f>IFERROR(IF(CaseLedger!$A305="","",CaseLedger!AH305),"")</x:f>
      </x:c>
      <x:c r="AC305" t="str">
        <x:f>IFERROR(IF(CaseLedger!$A305="","",CaseLedger!AI305),"")</x:f>
      </x:c>
    </x:row>
    <x:row r="306">
      <x:c r="A306" t="str">
        <x:f>IF(CaseLedger!$A306="","",CaseLedger!A306)</x:f>
      </x:c>
      <x:c r="B306" t="str">
        <x:f>IF(CaseLedger!$A306="","",CaseLedger!I306)</x:f>
      </x:c>
      <x:c r="C306" t="str">
        <x:f>IF(CaseLedger!$A306="","",CaseLedger!J306)</x:f>
      </x:c>
      <x:c r="D306" t="str">
        <x:f>IF(CaseLedger!$A306="","",CaseLedger!K306)</x:f>
      </x:c>
      <x:c r="E306" t="str">
        <x:f>IF(CaseLedger!$A306="","",CaseLedger!L306)</x:f>
      </x:c>
      <x:c r="F306" t="str">
        <x:f>IF(CaseLedger!$A306="","",CaseLedger!P306)</x:f>
      </x:c>
      <x:c r="G306" t="str">
        <x:f>IF(CaseLedger!$A306="","",CaseLedger!F306)</x:f>
      </x:c>
      <x:c r="H306" t="str">
        <x:f>IF(CaseLedger!$A306="","",CaseLedger!Q306)</x:f>
      </x:c>
      <x:c r="I306" t="str">
        <x:f>IF(CaseLedger!$A306="","",CaseLedger!R306)</x:f>
      </x:c>
      <x:c r="J306" t="str">
        <x:f>IF(CaseLedger!$A306="","",CaseLedger!S306)</x:f>
      </x:c>
      <x:c r="K306" t="str">
        <x:f>IF(CaseLedger!$A306="","",CaseLedger!T306)</x:f>
      </x:c>
      <x:c r="L306" t="str">
        <x:f>IF(CaseLedger!$A306="","",CaseLedger!U306)</x:f>
      </x:c>
      <x:c r="M306" t="str">
        <x:f>IF(CaseLedger!$A306="","",CaseLedger!V306)</x:f>
      </x:c>
      <x:c r="N306" t="str">
        <x:f>IF(CaseLedger!$A306="","",CaseLedger!W306)</x:f>
      </x:c>
      <x:c r="O306" t="str">
        <x:f>IF(CaseLedger!$A306="","",CaseLedger!X306)</x:f>
      </x:c>
      <x:c r="P306" t="str">
        <x:f>IF(CaseLedger!$A306="","",CaseLedger!E306)</x:f>
      </x:c>
      <x:c r="Q306" t="str">
        <x:f>IF(CaseLedger!$A306="","",CaseLedger!C306)</x:f>
      </x:c>
      <x:c r="R306" t="str">
        <x:f>IF(CaseLedger!$A306="","",CaseLedger!D306)</x:f>
      </x:c>
      <x:c r="S306" t="str">
        <x:f>IFERROR(IF(CaseLedger!$A306="","",CaseLedger!Y306),"")</x:f>
      </x:c>
      <x:c r="T306" t="str">
        <x:f>IFERROR(IF(CaseLedger!$A306="","",CaseLedger!Z306),"")</x:f>
      </x:c>
      <x:c r="U306" t="str">
        <x:f>IFERROR(IF(CaseLedger!$A306="","",CaseLedger!AA306),"")</x:f>
      </x:c>
      <x:c r="V306" t="str">
        <x:f>IFERROR(IF(CaseLedger!$A306="","",CaseLedger!AB306),"")</x:f>
      </x:c>
      <x:c r="W306" t="str">
        <x:f>IFERROR(IF(CaseLedger!$A306="","",CaseLedger!AC306),"")</x:f>
      </x:c>
      <x:c r="X306" t="str">
        <x:f>IFERROR(IF(CaseLedger!$A306="","",CaseLedger!AD306),"")</x:f>
      </x:c>
      <x:c r="Y306" t="str">
        <x:f>IFERROR(IF(CaseLedger!$A306="","",CaseLedger!AE306),"")</x:f>
      </x:c>
      <x:c r="Z306" t="str">
        <x:f>IFERROR(IF(CaseLedger!$A306="","",CaseLedger!AF306),"")</x:f>
      </x:c>
      <x:c r="AA306" t="str">
        <x:f>IFERROR(IF(CaseLedger!$A306="","",CaseLedger!AG306),"")</x:f>
      </x:c>
      <x:c r="AB306" t="str">
        <x:f>IFERROR(IF(CaseLedger!$A306="","",CaseLedger!AH306),"")</x:f>
      </x:c>
      <x:c r="AC306" t="str">
        <x:f>IFERROR(IF(CaseLedger!$A306="","",CaseLedger!AI306),"")</x:f>
      </x:c>
    </x:row>
    <x:row r="307">
      <x:c r="A307" t="str">
        <x:f>IF(CaseLedger!$A307="","",CaseLedger!A307)</x:f>
      </x:c>
      <x:c r="B307" t="str">
        <x:f>IF(CaseLedger!$A307="","",CaseLedger!I307)</x:f>
      </x:c>
      <x:c r="C307" t="str">
        <x:f>IF(CaseLedger!$A307="","",CaseLedger!J307)</x:f>
      </x:c>
      <x:c r="D307" t="str">
        <x:f>IF(CaseLedger!$A307="","",CaseLedger!K307)</x:f>
      </x:c>
      <x:c r="E307" t="str">
        <x:f>IF(CaseLedger!$A307="","",CaseLedger!L307)</x:f>
      </x:c>
      <x:c r="F307" t="str">
        <x:f>IF(CaseLedger!$A307="","",CaseLedger!P307)</x:f>
      </x:c>
      <x:c r="G307" t="str">
        <x:f>IF(CaseLedger!$A307="","",CaseLedger!F307)</x:f>
      </x:c>
      <x:c r="H307" t="str">
        <x:f>IF(CaseLedger!$A307="","",CaseLedger!Q307)</x:f>
      </x:c>
      <x:c r="I307" t="str">
        <x:f>IF(CaseLedger!$A307="","",CaseLedger!R307)</x:f>
      </x:c>
      <x:c r="J307" t="str">
        <x:f>IF(CaseLedger!$A307="","",CaseLedger!S307)</x:f>
      </x:c>
      <x:c r="K307" t="str">
        <x:f>IF(CaseLedger!$A307="","",CaseLedger!T307)</x:f>
      </x:c>
      <x:c r="L307" t="str">
        <x:f>IF(CaseLedger!$A307="","",CaseLedger!U307)</x:f>
      </x:c>
      <x:c r="M307" t="str">
        <x:f>IF(CaseLedger!$A307="","",CaseLedger!V307)</x:f>
      </x:c>
      <x:c r="N307" t="str">
        <x:f>IF(CaseLedger!$A307="","",CaseLedger!W307)</x:f>
      </x:c>
      <x:c r="O307" t="str">
        <x:f>IF(CaseLedger!$A307="","",CaseLedger!X307)</x:f>
      </x:c>
      <x:c r="P307" t="str">
        <x:f>IF(CaseLedger!$A307="","",CaseLedger!E307)</x:f>
      </x:c>
      <x:c r="Q307" t="str">
        <x:f>IF(CaseLedger!$A307="","",CaseLedger!C307)</x:f>
      </x:c>
      <x:c r="R307" t="str">
        <x:f>IF(CaseLedger!$A307="","",CaseLedger!D307)</x:f>
      </x:c>
      <x:c r="S307" t="str">
        <x:f>IFERROR(IF(CaseLedger!$A307="","",CaseLedger!Y307),"")</x:f>
      </x:c>
      <x:c r="T307" t="str">
        <x:f>IFERROR(IF(CaseLedger!$A307="","",CaseLedger!Z307),"")</x:f>
      </x:c>
      <x:c r="U307" t="str">
        <x:f>IFERROR(IF(CaseLedger!$A307="","",CaseLedger!AA307),"")</x:f>
      </x:c>
      <x:c r="V307" t="str">
        <x:f>IFERROR(IF(CaseLedger!$A307="","",CaseLedger!AB307),"")</x:f>
      </x:c>
      <x:c r="W307" t="str">
        <x:f>IFERROR(IF(CaseLedger!$A307="","",CaseLedger!AC307),"")</x:f>
      </x:c>
      <x:c r="X307" t="str">
        <x:f>IFERROR(IF(CaseLedger!$A307="","",CaseLedger!AD307),"")</x:f>
      </x:c>
      <x:c r="Y307" t="str">
        <x:f>IFERROR(IF(CaseLedger!$A307="","",CaseLedger!AE307),"")</x:f>
      </x:c>
      <x:c r="Z307" t="str">
        <x:f>IFERROR(IF(CaseLedger!$A307="","",CaseLedger!AF307),"")</x:f>
      </x:c>
      <x:c r="AA307" t="str">
        <x:f>IFERROR(IF(CaseLedger!$A307="","",CaseLedger!AG307),"")</x:f>
      </x:c>
      <x:c r="AB307" t="str">
        <x:f>IFERROR(IF(CaseLedger!$A307="","",CaseLedger!AH307),"")</x:f>
      </x:c>
      <x:c r="AC307" t="str">
        <x:f>IFERROR(IF(CaseLedger!$A307="","",CaseLedger!AI307),"")</x:f>
      </x:c>
    </x:row>
    <x:row r="308">
      <x:c r="A308" t="str">
        <x:f>IF(CaseLedger!$A308="","",CaseLedger!A308)</x:f>
      </x:c>
      <x:c r="B308" t="str">
        <x:f>IF(CaseLedger!$A308="","",CaseLedger!I308)</x:f>
      </x:c>
      <x:c r="C308" t="str">
        <x:f>IF(CaseLedger!$A308="","",CaseLedger!J308)</x:f>
      </x:c>
      <x:c r="D308" t="str">
        <x:f>IF(CaseLedger!$A308="","",CaseLedger!K308)</x:f>
      </x:c>
      <x:c r="E308" t="str">
        <x:f>IF(CaseLedger!$A308="","",CaseLedger!L308)</x:f>
      </x:c>
      <x:c r="F308" t="str">
        <x:f>IF(CaseLedger!$A308="","",CaseLedger!P308)</x:f>
      </x:c>
      <x:c r="G308" t="str">
        <x:f>IF(CaseLedger!$A308="","",CaseLedger!F308)</x:f>
      </x:c>
      <x:c r="H308" t="str">
        <x:f>IF(CaseLedger!$A308="","",CaseLedger!Q308)</x:f>
      </x:c>
      <x:c r="I308" t="str">
        <x:f>IF(CaseLedger!$A308="","",CaseLedger!R308)</x:f>
      </x:c>
      <x:c r="J308" t="str">
        <x:f>IF(CaseLedger!$A308="","",CaseLedger!S308)</x:f>
      </x:c>
      <x:c r="K308" t="str">
        <x:f>IF(CaseLedger!$A308="","",CaseLedger!T308)</x:f>
      </x:c>
      <x:c r="L308" t="str">
        <x:f>IF(CaseLedger!$A308="","",CaseLedger!U308)</x:f>
      </x:c>
      <x:c r="M308" t="str">
        <x:f>IF(CaseLedger!$A308="","",CaseLedger!V308)</x:f>
      </x:c>
      <x:c r="N308" t="str">
        <x:f>IF(CaseLedger!$A308="","",CaseLedger!W308)</x:f>
      </x:c>
      <x:c r="O308" t="str">
        <x:f>IF(CaseLedger!$A308="","",CaseLedger!X308)</x:f>
      </x:c>
      <x:c r="P308" t="str">
        <x:f>IF(CaseLedger!$A308="","",CaseLedger!E308)</x:f>
      </x:c>
      <x:c r="Q308" t="str">
        <x:f>IF(CaseLedger!$A308="","",CaseLedger!C308)</x:f>
      </x:c>
      <x:c r="R308" t="str">
        <x:f>IF(CaseLedger!$A308="","",CaseLedger!D308)</x:f>
      </x:c>
      <x:c r="S308" t="str">
        <x:f>IFERROR(IF(CaseLedger!$A308="","",CaseLedger!Y308),"")</x:f>
      </x:c>
      <x:c r="T308" t="str">
        <x:f>IFERROR(IF(CaseLedger!$A308="","",CaseLedger!Z308),"")</x:f>
      </x:c>
      <x:c r="U308" t="str">
        <x:f>IFERROR(IF(CaseLedger!$A308="","",CaseLedger!AA308),"")</x:f>
      </x:c>
      <x:c r="V308" t="str">
        <x:f>IFERROR(IF(CaseLedger!$A308="","",CaseLedger!AB308),"")</x:f>
      </x:c>
      <x:c r="W308" t="str">
        <x:f>IFERROR(IF(CaseLedger!$A308="","",CaseLedger!AC308),"")</x:f>
      </x:c>
      <x:c r="X308" t="str">
        <x:f>IFERROR(IF(CaseLedger!$A308="","",CaseLedger!AD308),"")</x:f>
      </x:c>
      <x:c r="Y308" t="str">
        <x:f>IFERROR(IF(CaseLedger!$A308="","",CaseLedger!AE308),"")</x:f>
      </x:c>
      <x:c r="Z308" t="str">
        <x:f>IFERROR(IF(CaseLedger!$A308="","",CaseLedger!AF308),"")</x:f>
      </x:c>
      <x:c r="AA308" t="str">
        <x:f>IFERROR(IF(CaseLedger!$A308="","",CaseLedger!AG308),"")</x:f>
      </x:c>
      <x:c r="AB308" t="str">
        <x:f>IFERROR(IF(CaseLedger!$A308="","",CaseLedger!AH308),"")</x:f>
      </x:c>
      <x:c r="AC308" t="str">
        <x:f>IFERROR(IF(CaseLedger!$A308="","",CaseLedger!AI308),"")</x:f>
      </x:c>
    </x:row>
    <x:row r="309">
      <x:c r="A309" t="str">
        <x:f>IF(CaseLedger!$A309="","",CaseLedger!A309)</x:f>
      </x:c>
      <x:c r="B309" t="str">
        <x:f>IF(CaseLedger!$A309="","",CaseLedger!I309)</x:f>
      </x:c>
      <x:c r="C309" t="str">
        <x:f>IF(CaseLedger!$A309="","",CaseLedger!J309)</x:f>
      </x:c>
      <x:c r="D309" t="str">
        <x:f>IF(CaseLedger!$A309="","",CaseLedger!K309)</x:f>
      </x:c>
      <x:c r="E309" t="str">
        <x:f>IF(CaseLedger!$A309="","",CaseLedger!L309)</x:f>
      </x:c>
      <x:c r="F309" t="str">
        <x:f>IF(CaseLedger!$A309="","",CaseLedger!P309)</x:f>
      </x:c>
      <x:c r="G309" t="str">
        <x:f>IF(CaseLedger!$A309="","",CaseLedger!F309)</x:f>
      </x:c>
      <x:c r="H309" t="str">
        <x:f>IF(CaseLedger!$A309="","",CaseLedger!Q309)</x:f>
      </x:c>
      <x:c r="I309" t="str">
        <x:f>IF(CaseLedger!$A309="","",CaseLedger!R309)</x:f>
      </x:c>
      <x:c r="J309" t="str">
        <x:f>IF(CaseLedger!$A309="","",CaseLedger!S309)</x:f>
      </x:c>
      <x:c r="K309" t="str">
        <x:f>IF(CaseLedger!$A309="","",CaseLedger!T309)</x:f>
      </x:c>
      <x:c r="L309" t="str">
        <x:f>IF(CaseLedger!$A309="","",CaseLedger!U309)</x:f>
      </x:c>
      <x:c r="M309" t="str">
        <x:f>IF(CaseLedger!$A309="","",CaseLedger!V309)</x:f>
      </x:c>
      <x:c r="N309" t="str">
        <x:f>IF(CaseLedger!$A309="","",CaseLedger!W309)</x:f>
      </x:c>
      <x:c r="O309" t="str">
        <x:f>IF(CaseLedger!$A309="","",CaseLedger!X309)</x:f>
      </x:c>
      <x:c r="P309" t="str">
        <x:f>IF(CaseLedger!$A309="","",CaseLedger!E309)</x:f>
      </x:c>
      <x:c r="Q309" t="str">
        <x:f>IF(CaseLedger!$A309="","",CaseLedger!C309)</x:f>
      </x:c>
      <x:c r="R309" t="str">
        <x:f>IF(CaseLedger!$A309="","",CaseLedger!D309)</x:f>
      </x:c>
      <x:c r="S309" t="str">
        <x:f>IFERROR(IF(CaseLedger!$A309="","",CaseLedger!Y309),"")</x:f>
      </x:c>
      <x:c r="T309" t="str">
        <x:f>IFERROR(IF(CaseLedger!$A309="","",CaseLedger!Z309),"")</x:f>
      </x:c>
      <x:c r="U309" t="str">
        <x:f>IFERROR(IF(CaseLedger!$A309="","",CaseLedger!AA309),"")</x:f>
      </x:c>
      <x:c r="V309" t="str">
        <x:f>IFERROR(IF(CaseLedger!$A309="","",CaseLedger!AB309),"")</x:f>
      </x:c>
      <x:c r="W309" t="str">
        <x:f>IFERROR(IF(CaseLedger!$A309="","",CaseLedger!AC309),"")</x:f>
      </x:c>
      <x:c r="X309" t="str">
        <x:f>IFERROR(IF(CaseLedger!$A309="","",CaseLedger!AD309),"")</x:f>
      </x:c>
      <x:c r="Y309" t="str">
        <x:f>IFERROR(IF(CaseLedger!$A309="","",CaseLedger!AE309),"")</x:f>
      </x:c>
      <x:c r="Z309" t="str">
        <x:f>IFERROR(IF(CaseLedger!$A309="","",CaseLedger!AF309),"")</x:f>
      </x:c>
      <x:c r="AA309" t="str">
        <x:f>IFERROR(IF(CaseLedger!$A309="","",CaseLedger!AG309),"")</x:f>
      </x:c>
      <x:c r="AB309" t="str">
        <x:f>IFERROR(IF(CaseLedger!$A309="","",CaseLedger!AH309),"")</x:f>
      </x:c>
      <x:c r="AC309" t="str">
        <x:f>IFERROR(IF(CaseLedger!$A309="","",CaseLedger!AI309),"")</x:f>
      </x:c>
    </x:row>
    <x:row r="310">
      <x:c r="A310" t="str">
        <x:f>IF(CaseLedger!$A310="","",CaseLedger!A310)</x:f>
      </x:c>
      <x:c r="B310" t="str">
        <x:f>IF(CaseLedger!$A310="","",CaseLedger!I310)</x:f>
      </x:c>
      <x:c r="C310" t="str">
        <x:f>IF(CaseLedger!$A310="","",CaseLedger!J310)</x:f>
      </x:c>
      <x:c r="D310" t="str">
        <x:f>IF(CaseLedger!$A310="","",CaseLedger!K310)</x:f>
      </x:c>
      <x:c r="E310" t="str">
        <x:f>IF(CaseLedger!$A310="","",CaseLedger!L310)</x:f>
      </x:c>
      <x:c r="F310" t="str">
        <x:f>IF(CaseLedger!$A310="","",CaseLedger!P310)</x:f>
      </x:c>
      <x:c r="G310" t="str">
        <x:f>IF(CaseLedger!$A310="","",CaseLedger!F310)</x:f>
      </x:c>
      <x:c r="H310" t="str">
        <x:f>IF(CaseLedger!$A310="","",CaseLedger!Q310)</x:f>
      </x:c>
      <x:c r="I310" t="str">
        <x:f>IF(CaseLedger!$A310="","",CaseLedger!R310)</x:f>
      </x:c>
      <x:c r="J310" t="str">
        <x:f>IF(CaseLedger!$A310="","",CaseLedger!S310)</x:f>
      </x:c>
      <x:c r="K310" t="str">
        <x:f>IF(CaseLedger!$A310="","",CaseLedger!T310)</x:f>
      </x:c>
      <x:c r="L310" t="str">
        <x:f>IF(CaseLedger!$A310="","",CaseLedger!U310)</x:f>
      </x:c>
      <x:c r="M310" t="str">
        <x:f>IF(CaseLedger!$A310="","",CaseLedger!V310)</x:f>
      </x:c>
      <x:c r="N310" t="str">
        <x:f>IF(CaseLedger!$A310="","",CaseLedger!W310)</x:f>
      </x:c>
      <x:c r="O310" t="str">
        <x:f>IF(CaseLedger!$A310="","",CaseLedger!X310)</x:f>
      </x:c>
      <x:c r="P310" t="str">
        <x:f>IF(CaseLedger!$A310="","",CaseLedger!E310)</x:f>
      </x:c>
      <x:c r="Q310" t="str">
        <x:f>IF(CaseLedger!$A310="","",CaseLedger!C310)</x:f>
      </x:c>
      <x:c r="R310" t="str">
        <x:f>IF(CaseLedger!$A310="","",CaseLedger!D310)</x:f>
      </x:c>
      <x:c r="S310" t="str">
        <x:f>IFERROR(IF(CaseLedger!$A310="","",CaseLedger!Y310),"")</x:f>
      </x:c>
      <x:c r="T310" t="str">
        <x:f>IFERROR(IF(CaseLedger!$A310="","",CaseLedger!Z310),"")</x:f>
      </x:c>
      <x:c r="U310" t="str">
        <x:f>IFERROR(IF(CaseLedger!$A310="","",CaseLedger!AA310),"")</x:f>
      </x:c>
      <x:c r="V310" t="str">
        <x:f>IFERROR(IF(CaseLedger!$A310="","",CaseLedger!AB310),"")</x:f>
      </x:c>
      <x:c r="W310" t="str">
        <x:f>IFERROR(IF(CaseLedger!$A310="","",CaseLedger!AC310),"")</x:f>
      </x:c>
      <x:c r="X310" t="str">
        <x:f>IFERROR(IF(CaseLedger!$A310="","",CaseLedger!AD310),"")</x:f>
      </x:c>
      <x:c r="Y310" t="str">
        <x:f>IFERROR(IF(CaseLedger!$A310="","",CaseLedger!AE310),"")</x:f>
      </x:c>
      <x:c r="Z310" t="str">
        <x:f>IFERROR(IF(CaseLedger!$A310="","",CaseLedger!AF310),"")</x:f>
      </x:c>
      <x:c r="AA310" t="str">
        <x:f>IFERROR(IF(CaseLedger!$A310="","",CaseLedger!AG310),"")</x:f>
      </x:c>
      <x:c r="AB310" t="str">
        <x:f>IFERROR(IF(CaseLedger!$A310="","",CaseLedger!AH310),"")</x:f>
      </x:c>
      <x:c r="AC310" t="str">
        <x:f>IFERROR(IF(CaseLedger!$A310="","",CaseLedger!AI310),"")</x:f>
      </x:c>
    </x:row>
    <x:row r="311">
      <x:c r="A311" t="str">
        <x:f>IF(CaseLedger!$A311="","",CaseLedger!A311)</x:f>
      </x:c>
      <x:c r="B311" t="str">
        <x:f>IF(CaseLedger!$A311="","",CaseLedger!I311)</x:f>
      </x:c>
      <x:c r="C311" t="str">
        <x:f>IF(CaseLedger!$A311="","",CaseLedger!J311)</x:f>
      </x:c>
      <x:c r="D311" t="str">
        <x:f>IF(CaseLedger!$A311="","",CaseLedger!K311)</x:f>
      </x:c>
      <x:c r="E311" t="str">
        <x:f>IF(CaseLedger!$A311="","",CaseLedger!L311)</x:f>
      </x:c>
      <x:c r="F311" t="str">
        <x:f>IF(CaseLedger!$A311="","",CaseLedger!P311)</x:f>
      </x:c>
      <x:c r="G311" t="str">
        <x:f>IF(CaseLedger!$A311="","",CaseLedger!F311)</x:f>
      </x:c>
      <x:c r="H311" t="str">
        <x:f>IF(CaseLedger!$A311="","",CaseLedger!Q311)</x:f>
      </x:c>
      <x:c r="I311" t="str">
        <x:f>IF(CaseLedger!$A311="","",CaseLedger!R311)</x:f>
      </x:c>
      <x:c r="J311" t="str">
        <x:f>IF(CaseLedger!$A311="","",CaseLedger!S311)</x:f>
      </x:c>
      <x:c r="K311" t="str">
        <x:f>IF(CaseLedger!$A311="","",CaseLedger!T311)</x:f>
      </x:c>
      <x:c r="L311" t="str">
        <x:f>IF(CaseLedger!$A311="","",CaseLedger!U311)</x:f>
      </x:c>
      <x:c r="M311" t="str">
        <x:f>IF(CaseLedger!$A311="","",CaseLedger!V311)</x:f>
      </x:c>
      <x:c r="N311" t="str">
        <x:f>IF(CaseLedger!$A311="","",CaseLedger!W311)</x:f>
      </x:c>
      <x:c r="O311" t="str">
        <x:f>IF(CaseLedger!$A311="","",CaseLedger!X311)</x:f>
      </x:c>
      <x:c r="P311" t="str">
        <x:f>IF(CaseLedger!$A311="","",CaseLedger!E311)</x:f>
      </x:c>
      <x:c r="Q311" t="str">
        <x:f>IF(CaseLedger!$A311="","",CaseLedger!C311)</x:f>
      </x:c>
      <x:c r="R311" t="str">
        <x:f>IF(CaseLedger!$A311="","",CaseLedger!D311)</x:f>
      </x:c>
      <x:c r="S311" t="str">
        <x:f>IFERROR(IF(CaseLedger!$A311="","",CaseLedger!Y311),"")</x:f>
      </x:c>
      <x:c r="T311" t="str">
        <x:f>IFERROR(IF(CaseLedger!$A311="","",CaseLedger!Z311),"")</x:f>
      </x:c>
      <x:c r="U311" t="str">
        <x:f>IFERROR(IF(CaseLedger!$A311="","",CaseLedger!AA311),"")</x:f>
      </x:c>
      <x:c r="V311" t="str">
        <x:f>IFERROR(IF(CaseLedger!$A311="","",CaseLedger!AB311),"")</x:f>
      </x:c>
      <x:c r="W311" t="str">
        <x:f>IFERROR(IF(CaseLedger!$A311="","",CaseLedger!AC311),"")</x:f>
      </x:c>
      <x:c r="X311" t="str">
        <x:f>IFERROR(IF(CaseLedger!$A311="","",CaseLedger!AD311),"")</x:f>
      </x:c>
      <x:c r="Y311" t="str">
        <x:f>IFERROR(IF(CaseLedger!$A311="","",CaseLedger!AE311),"")</x:f>
      </x:c>
      <x:c r="Z311" t="str">
        <x:f>IFERROR(IF(CaseLedger!$A311="","",CaseLedger!AF311),"")</x:f>
      </x:c>
      <x:c r="AA311" t="str">
        <x:f>IFERROR(IF(CaseLedger!$A311="","",CaseLedger!AG311),"")</x:f>
      </x:c>
      <x:c r="AB311" t="str">
        <x:f>IFERROR(IF(CaseLedger!$A311="","",CaseLedger!AH311),"")</x:f>
      </x:c>
      <x:c r="AC311" t="str">
        <x:f>IFERROR(IF(CaseLedger!$A311="","",CaseLedger!AI311),"")</x:f>
      </x:c>
    </x:row>
    <x:row r="312">
      <x:c r="A312" t="str">
        <x:f>IF(CaseLedger!$A312="","",CaseLedger!A312)</x:f>
      </x:c>
      <x:c r="B312" t="str">
        <x:f>IF(CaseLedger!$A312="","",CaseLedger!I312)</x:f>
      </x:c>
      <x:c r="C312" t="str">
        <x:f>IF(CaseLedger!$A312="","",CaseLedger!J312)</x:f>
      </x:c>
      <x:c r="D312" t="str">
        <x:f>IF(CaseLedger!$A312="","",CaseLedger!K312)</x:f>
      </x:c>
      <x:c r="E312" t="str">
        <x:f>IF(CaseLedger!$A312="","",CaseLedger!L312)</x:f>
      </x:c>
      <x:c r="F312" t="str">
        <x:f>IF(CaseLedger!$A312="","",CaseLedger!P312)</x:f>
      </x:c>
      <x:c r="G312" t="str">
        <x:f>IF(CaseLedger!$A312="","",CaseLedger!F312)</x:f>
      </x:c>
      <x:c r="H312" t="str">
        <x:f>IF(CaseLedger!$A312="","",CaseLedger!Q312)</x:f>
      </x:c>
      <x:c r="I312" t="str">
        <x:f>IF(CaseLedger!$A312="","",CaseLedger!R312)</x:f>
      </x:c>
      <x:c r="J312" t="str">
        <x:f>IF(CaseLedger!$A312="","",CaseLedger!S312)</x:f>
      </x:c>
      <x:c r="K312" t="str">
        <x:f>IF(CaseLedger!$A312="","",CaseLedger!T312)</x:f>
      </x:c>
      <x:c r="L312" t="str">
        <x:f>IF(CaseLedger!$A312="","",CaseLedger!U312)</x:f>
      </x:c>
      <x:c r="M312" t="str">
        <x:f>IF(CaseLedger!$A312="","",CaseLedger!V312)</x:f>
      </x:c>
      <x:c r="N312" t="str">
        <x:f>IF(CaseLedger!$A312="","",CaseLedger!W312)</x:f>
      </x:c>
      <x:c r="O312" t="str">
        <x:f>IF(CaseLedger!$A312="","",CaseLedger!X312)</x:f>
      </x:c>
      <x:c r="P312" t="str">
        <x:f>IF(CaseLedger!$A312="","",CaseLedger!E312)</x:f>
      </x:c>
      <x:c r="Q312" t="str">
        <x:f>IF(CaseLedger!$A312="","",CaseLedger!C312)</x:f>
      </x:c>
      <x:c r="R312" t="str">
        <x:f>IF(CaseLedger!$A312="","",CaseLedger!D312)</x:f>
      </x:c>
      <x:c r="S312" t="str">
        <x:f>IFERROR(IF(CaseLedger!$A312="","",CaseLedger!Y312),"")</x:f>
      </x:c>
      <x:c r="T312" t="str">
        <x:f>IFERROR(IF(CaseLedger!$A312="","",CaseLedger!Z312),"")</x:f>
      </x:c>
      <x:c r="U312" t="str">
        <x:f>IFERROR(IF(CaseLedger!$A312="","",CaseLedger!AA312),"")</x:f>
      </x:c>
      <x:c r="V312" t="str">
        <x:f>IFERROR(IF(CaseLedger!$A312="","",CaseLedger!AB312),"")</x:f>
      </x:c>
      <x:c r="W312" t="str">
        <x:f>IFERROR(IF(CaseLedger!$A312="","",CaseLedger!AC312),"")</x:f>
      </x:c>
      <x:c r="X312" t="str">
        <x:f>IFERROR(IF(CaseLedger!$A312="","",CaseLedger!AD312),"")</x:f>
      </x:c>
      <x:c r="Y312" t="str">
        <x:f>IFERROR(IF(CaseLedger!$A312="","",CaseLedger!AE312),"")</x:f>
      </x:c>
      <x:c r="Z312" t="str">
        <x:f>IFERROR(IF(CaseLedger!$A312="","",CaseLedger!AF312),"")</x:f>
      </x:c>
      <x:c r="AA312" t="str">
        <x:f>IFERROR(IF(CaseLedger!$A312="","",CaseLedger!AG312),"")</x:f>
      </x:c>
      <x:c r="AB312" t="str">
        <x:f>IFERROR(IF(CaseLedger!$A312="","",CaseLedger!AH312),"")</x:f>
      </x:c>
      <x:c r="AC312" t="str">
        <x:f>IFERROR(IF(CaseLedger!$A312="","",CaseLedger!AI312),"")</x:f>
      </x:c>
    </x:row>
    <x:row r="313">
      <x:c r="A313" t="str">
        <x:f>IF(CaseLedger!$A313="","",CaseLedger!A313)</x:f>
      </x:c>
      <x:c r="B313" t="str">
        <x:f>IF(CaseLedger!$A313="","",CaseLedger!I313)</x:f>
      </x:c>
      <x:c r="C313" t="str">
        <x:f>IF(CaseLedger!$A313="","",CaseLedger!J313)</x:f>
      </x:c>
      <x:c r="D313" t="str">
        <x:f>IF(CaseLedger!$A313="","",CaseLedger!K313)</x:f>
      </x:c>
      <x:c r="E313" t="str">
        <x:f>IF(CaseLedger!$A313="","",CaseLedger!L313)</x:f>
      </x:c>
      <x:c r="F313" t="str">
        <x:f>IF(CaseLedger!$A313="","",CaseLedger!P313)</x:f>
      </x:c>
      <x:c r="G313" t="str">
        <x:f>IF(CaseLedger!$A313="","",CaseLedger!F313)</x:f>
      </x:c>
      <x:c r="H313" t="str">
        <x:f>IF(CaseLedger!$A313="","",CaseLedger!Q313)</x:f>
      </x:c>
      <x:c r="I313" t="str">
        <x:f>IF(CaseLedger!$A313="","",CaseLedger!R313)</x:f>
      </x:c>
      <x:c r="J313" t="str">
        <x:f>IF(CaseLedger!$A313="","",CaseLedger!S313)</x:f>
      </x:c>
      <x:c r="K313" t="str">
        <x:f>IF(CaseLedger!$A313="","",CaseLedger!T313)</x:f>
      </x:c>
      <x:c r="L313" t="str">
        <x:f>IF(CaseLedger!$A313="","",CaseLedger!U313)</x:f>
      </x:c>
      <x:c r="M313" t="str">
        <x:f>IF(CaseLedger!$A313="","",CaseLedger!V313)</x:f>
      </x:c>
      <x:c r="N313" t="str">
        <x:f>IF(CaseLedger!$A313="","",CaseLedger!W313)</x:f>
      </x:c>
      <x:c r="O313" t="str">
        <x:f>IF(CaseLedger!$A313="","",CaseLedger!X313)</x:f>
      </x:c>
      <x:c r="P313" t="str">
        <x:f>IF(CaseLedger!$A313="","",CaseLedger!E313)</x:f>
      </x:c>
      <x:c r="Q313" t="str">
        <x:f>IF(CaseLedger!$A313="","",CaseLedger!C313)</x:f>
      </x:c>
      <x:c r="R313" t="str">
        <x:f>IF(CaseLedger!$A313="","",CaseLedger!D313)</x:f>
      </x:c>
      <x:c r="S313" t="str">
        <x:f>IFERROR(IF(CaseLedger!$A313="","",CaseLedger!Y313),"")</x:f>
      </x:c>
      <x:c r="T313" t="str">
        <x:f>IFERROR(IF(CaseLedger!$A313="","",CaseLedger!Z313),"")</x:f>
      </x:c>
      <x:c r="U313" t="str">
        <x:f>IFERROR(IF(CaseLedger!$A313="","",CaseLedger!AA313),"")</x:f>
      </x:c>
      <x:c r="V313" t="str">
        <x:f>IFERROR(IF(CaseLedger!$A313="","",CaseLedger!AB313),"")</x:f>
      </x:c>
      <x:c r="W313" t="str">
        <x:f>IFERROR(IF(CaseLedger!$A313="","",CaseLedger!AC313),"")</x:f>
      </x:c>
      <x:c r="X313" t="str">
        <x:f>IFERROR(IF(CaseLedger!$A313="","",CaseLedger!AD313),"")</x:f>
      </x:c>
      <x:c r="Y313" t="str">
        <x:f>IFERROR(IF(CaseLedger!$A313="","",CaseLedger!AE313),"")</x:f>
      </x:c>
      <x:c r="Z313" t="str">
        <x:f>IFERROR(IF(CaseLedger!$A313="","",CaseLedger!AF313),"")</x:f>
      </x:c>
      <x:c r="AA313" t="str">
        <x:f>IFERROR(IF(CaseLedger!$A313="","",CaseLedger!AG313),"")</x:f>
      </x:c>
      <x:c r="AB313" t="str">
        <x:f>IFERROR(IF(CaseLedger!$A313="","",CaseLedger!AH313),"")</x:f>
      </x:c>
      <x:c r="AC313" t="str">
        <x:f>IFERROR(IF(CaseLedger!$A313="","",CaseLedger!AI313),"")</x:f>
      </x:c>
    </x:row>
    <x:row r="314">
      <x:c r="A314" t="str">
        <x:f>IF(CaseLedger!$A314="","",CaseLedger!A314)</x:f>
      </x:c>
      <x:c r="B314" t="str">
        <x:f>IF(CaseLedger!$A314="","",CaseLedger!I314)</x:f>
      </x:c>
      <x:c r="C314" t="str">
        <x:f>IF(CaseLedger!$A314="","",CaseLedger!J314)</x:f>
      </x:c>
      <x:c r="D314" t="str">
        <x:f>IF(CaseLedger!$A314="","",CaseLedger!K314)</x:f>
      </x:c>
      <x:c r="E314" t="str">
        <x:f>IF(CaseLedger!$A314="","",CaseLedger!L314)</x:f>
      </x:c>
      <x:c r="F314" t="str">
        <x:f>IF(CaseLedger!$A314="","",CaseLedger!P314)</x:f>
      </x:c>
      <x:c r="G314" t="str">
        <x:f>IF(CaseLedger!$A314="","",CaseLedger!F314)</x:f>
      </x:c>
      <x:c r="H314" t="str">
        <x:f>IF(CaseLedger!$A314="","",CaseLedger!Q314)</x:f>
      </x:c>
      <x:c r="I314" t="str">
        <x:f>IF(CaseLedger!$A314="","",CaseLedger!R314)</x:f>
      </x:c>
      <x:c r="J314" t="str">
        <x:f>IF(CaseLedger!$A314="","",CaseLedger!S314)</x:f>
      </x:c>
      <x:c r="K314" t="str">
        <x:f>IF(CaseLedger!$A314="","",CaseLedger!T314)</x:f>
      </x:c>
      <x:c r="L314" t="str">
        <x:f>IF(CaseLedger!$A314="","",CaseLedger!U314)</x:f>
      </x:c>
      <x:c r="M314" t="str">
        <x:f>IF(CaseLedger!$A314="","",CaseLedger!V314)</x:f>
      </x:c>
      <x:c r="N314" t="str">
        <x:f>IF(CaseLedger!$A314="","",CaseLedger!W314)</x:f>
      </x:c>
      <x:c r="O314" t="str">
        <x:f>IF(CaseLedger!$A314="","",CaseLedger!X314)</x:f>
      </x:c>
      <x:c r="P314" t="str">
        <x:f>IF(CaseLedger!$A314="","",CaseLedger!E314)</x:f>
      </x:c>
      <x:c r="Q314" t="str">
        <x:f>IF(CaseLedger!$A314="","",CaseLedger!C314)</x:f>
      </x:c>
      <x:c r="R314" t="str">
        <x:f>IF(CaseLedger!$A314="","",CaseLedger!D314)</x:f>
      </x:c>
      <x:c r="S314" t="str">
        <x:f>IFERROR(IF(CaseLedger!$A314="","",CaseLedger!Y314),"")</x:f>
      </x:c>
      <x:c r="T314" t="str">
        <x:f>IFERROR(IF(CaseLedger!$A314="","",CaseLedger!Z314),"")</x:f>
      </x:c>
      <x:c r="U314" t="str">
        <x:f>IFERROR(IF(CaseLedger!$A314="","",CaseLedger!AA314),"")</x:f>
      </x:c>
      <x:c r="V314" t="str">
        <x:f>IFERROR(IF(CaseLedger!$A314="","",CaseLedger!AB314),"")</x:f>
      </x:c>
      <x:c r="W314" t="str">
        <x:f>IFERROR(IF(CaseLedger!$A314="","",CaseLedger!AC314),"")</x:f>
      </x:c>
      <x:c r="X314" t="str">
        <x:f>IFERROR(IF(CaseLedger!$A314="","",CaseLedger!AD314),"")</x:f>
      </x:c>
      <x:c r="Y314" t="str">
        <x:f>IFERROR(IF(CaseLedger!$A314="","",CaseLedger!AE314),"")</x:f>
      </x:c>
      <x:c r="Z314" t="str">
        <x:f>IFERROR(IF(CaseLedger!$A314="","",CaseLedger!AF314),"")</x:f>
      </x:c>
      <x:c r="AA314" t="str">
        <x:f>IFERROR(IF(CaseLedger!$A314="","",CaseLedger!AG314),"")</x:f>
      </x:c>
      <x:c r="AB314" t="str">
        <x:f>IFERROR(IF(CaseLedger!$A314="","",CaseLedger!AH314),"")</x:f>
      </x:c>
      <x:c r="AC314" t="str">
        <x:f>IFERROR(IF(CaseLedger!$A314="","",CaseLedger!AI314),"")</x:f>
      </x:c>
    </x:row>
    <x:row r="315">
      <x:c r="A315" t="str">
        <x:f>IF(CaseLedger!$A315="","",CaseLedger!A315)</x:f>
      </x:c>
      <x:c r="B315" t="str">
        <x:f>IF(CaseLedger!$A315="","",CaseLedger!I315)</x:f>
      </x:c>
      <x:c r="C315" t="str">
        <x:f>IF(CaseLedger!$A315="","",CaseLedger!J315)</x:f>
      </x:c>
      <x:c r="D315" t="str">
        <x:f>IF(CaseLedger!$A315="","",CaseLedger!K315)</x:f>
      </x:c>
      <x:c r="E315" t="str">
        <x:f>IF(CaseLedger!$A315="","",CaseLedger!L315)</x:f>
      </x:c>
      <x:c r="F315" t="str">
        <x:f>IF(CaseLedger!$A315="","",CaseLedger!P315)</x:f>
      </x:c>
      <x:c r="G315" t="str">
        <x:f>IF(CaseLedger!$A315="","",CaseLedger!F315)</x:f>
      </x:c>
      <x:c r="H315" t="str">
        <x:f>IF(CaseLedger!$A315="","",CaseLedger!Q315)</x:f>
      </x:c>
      <x:c r="I315" t="str">
        <x:f>IF(CaseLedger!$A315="","",CaseLedger!R315)</x:f>
      </x:c>
      <x:c r="J315" t="str">
        <x:f>IF(CaseLedger!$A315="","",CaseLedger!S315)</x:f>
      </x:c>
      <x:c r="K315" t="str">
        <x:f>IF(CaseLedger!$A315="","",CaseLedger!T315)</x:f>
      </x:c>
      <x:c r="L315" t="str">
        <x:f>IF(CaseLedger!$A315="","",CaseLedger!U315)</x:f>
      </x:c>
      <x:c r="M315" t="str">
        <x:f>IF(CaseLedger!$A315="","",CaseLedger!V315)</x:f>
      </x:c>
      <x:c r="N315" t="str">
        <x:f>IF(CaseLedger!$A315="","",CaseLedger!W315)</x:f>
      </x:c>
      <x:c r="O315" t="str">
        <x:f>IF(CaseLedger!$A315="","",CaseLedger!X315)</x:f>
      </x:c>
      <x:c r="P315" t="str">
        <x:f>IF(CaseLedger!$A315="","",CaseLedger!E315)</x:f>
      </x:c>
      <x:c r="Q315" t="str">
        <x:f>IF(CaseLedger!$A315="","",CaseLedger!C315)</x:f>
      </x:c>
      <x:c r="R315" t="str">
        <x:f>IF(CaseLedger!$A315="","",CaseLedger!D315)</x:f>
      </x:c>
      <x:c r="S315" t="str">
        <x:f>IFERROR(IF(CaseLedger!$A315="","",CaseLedger!Y315),"")</x:f>
      </x:c>
      <x:c r="T315" t="str">
        <x:f>IFERROR(IF(CaseLedger!$A315="","",CaseLedger!Z315),"")</x:f>
      </x:c>
      <x:c r="U315" t="str">
        <x:f>IFERROR(IF(CaseLedger!$A315="","",CaseLedger!AA315),"")</x:f>
      </x:c>
      <x:c r="V315" t="str">
        <x:f>IFERROR(IF(CaseLedger!$A315="","",CaseLedger!AB315),"")</x:f>
      </x:c>
      <x:c r="W315" t="str">
        <x:f>IFERROR(IF(CaseLedger!$A315="","",CaseLedger!AC315),"")</x:f>
      </x:c>
      <x:c r="X315" t="str">
        <x:f>IFERROR(IF(CaseLedger!$A315="","",CaseLedger!AD315),"")</x:f>
      </x:c>
      <x:c r="Y315" t="str">
        <x:f>IFERROR(IF(CaseLedger!$A315="","",CaseLedger!AE315),"")</x:f>
      </x:c>
      <x:c r="Z315" t="str">
        <x:f>IFERROR(IF(CaseLedger!$A315="","",CaseLedger!AF315),"")</x:f>
      </x:c>
      <x:c r="AA315" t="str">
        <x:f>IFERROR(IF(CaseLedger!$A315="","",CaseLedger!AG315),"")</x:f>
      </x:c>
      <x:c r="AB315" t="str">
        <x:f>IFERROR(IF(CaseLedger!$A315="","",CaseLedger!AH315),"")</x:f>
      </x:c>
      <x:c r="AC315" t="str">
        <x:f>IFERROR(IF(CaseLedger!$A315="","",CaseLedger!AI315),"")</x:f>
      </x:c>
    </x:row>
    <x:row r="316">
      <x:c r="A316" t="str">
        <x:f>IF(CaseLedger!$A316="","",CaseLedger!A316)</x:f>
      </x:c>
      <x:c r="B316" t="str">
        <x:f>IF(CaseLedger!$A316="","",CaseLedger!I316)</x:f>
      </x:c>
      <x:c r="C316" t="str">
        <x:f>IF(CaseLedger!$A316="","",CaseLedger!J316)</x:f>
      </x:c>
      <x:c r="D316" t="str">
        <x:f>IF(CaseLedger!$A316="","",CaseLedger!K316)</x:f>
      </x:c>
      <x:c r="E316" t="str">
        <x:f>IF(CaseLedger!$A316="","",CaseLedger!L316)</x:f>
      </x:c>
      <x:c r="F316" t="str">
        <x:f>IF(CaseLedger!$A316="","",CaseLedger!P316)</x:f>
      </x:c>
      <x:c r="G316" t="str">
        <x:f>IF(CaseLedger!$A316="","",CaseLedger!F316)</x:f>
      </x:c>
      <x:c r="H316" t="str">
        <x:f>IF(CaseLedger!$A316="","",CaseLedger!Q316)</x:f>
      </x:c>
      <x:c r="I316" t="str">
        <x:f>IF(CaseLedger!$A316="","",CaseLedger!R316)</x:f>
      </x:c>
      <x:c r="J316" t="str">
        <x:f>IF(CaseLedger!$A316="","",CaseLedger!S316)</x:f>
      </x:c>
      <x:c r="K316" t="str">
        <x:f>IF(CaseLedger!$A316="","",CaseLedger!T316)</x:f>
      </x:c>
      <x:c r="L316" t="str">
        <x:f>IF(CaseLedger!$A316="","",CaseLedger!U316)</x:f>
      </x:c>
      <x:c r="M316" t="str">
        <x:f>IF(CaseLedger!$A316="","",CaseLedger!V316)</x:f>
      </x:c>
      <x:c r="N316" t="str">
        <x:f>IF(CaseLedger!$A316="","",CaseLedger!W316)</x:f>
      </x:c>
      <x:c r="O316" t="str">
        <x:f>IF(CaseLedger!$A316="","",CaseLedger!X316)</x:f>
      </x:c>
      <x:c r="P316" t="str">
        <x:f>IF(CaseLedger!$A316="","",CaseLedger!E316)</x:f>
      </x:c>
      <x:c r="Q316" t="str">
        <x:f>IF(CaseLedger!$A316="","",CaseLedger!C316)</x:f>
      </x:c>
      <x:c r="R316" t="str">
        <x:f>IF(CaseLedger!$A316="","",CaseLedger!D316)</x:f>
      </x:c>
      <x:c r="S316" t="str">
        <x:f>IFERROR(IF(CaseLedger!$A316="","",CaseLedger!Y316),"")</x:f>
      </x:c>
      <x:c r="T316" t="str">
        <x:f>IFERROR(IF(CaseLedger!$A316="","",CaseLedger!Z316),"")</x:f>
      </x:c>
      <x:c r="U316" t="str">
        <x:f>IFERROR(IF(CaseLedger!$A316="","",CaseLedger!AA316),"")</x:f>
      </x:c>
      <x:c r="V316" t="str">
        <x:f>IFERROR(IF(CaseLedger!$A316="","",CaseLedger!AB316),"")</x:f>
      </x:c>
      <x:c r="W316" t="str">
        <x:f>IFERROR(IF(CaseLedger!$A316="","",CaseLedger!AC316),"")</x:f>
      </x:c>
      <x:c r="X316" t="str">
        <x:f>IFERROR(IF(CaseLedger!$A316="","",CaseLedger!AD316),"")</x:f>
      </x:c>
      <x:c r="Y316" t="str">
        <x:f>IFERROR(IF(CaseLedger!$A316="","",CaseLedger!AE316),"")</x:f>
      </x:c>
      <x:c r="Z316" t="str">
        <x:f>IFERROR(IF(CaseLedger!$A316="","",CaseLedger!AF316),"")</x:f>
      </x:c>
      <x:c r="AA316" t="str">
        <x:f>IFERROR(IF(CaseLedger!$A316="","",CaseLedger!AG316),"")</x:f>
      </x:c>
      <x:c r="AB316" t="str">
        <x:f>IFERROR(IF(CaseLedger!$A316="","",CaseLedger!AH316),"")</x:f>
      </x:c>
      <x:c r="AC316" t="str">
        <x:f>IFERROR(IF(CaseLedger!$A316="","",CaseLedger!AI316),"")</x:f>
      </x:c>
    </x:row>
    <x:row r="317">
      <x:c r="A317" t="str">
        <x:f>IF(CaseLedger!$A317="","",CaseLedger!A317)</x:f>
      </x:c>
      <x:c r="B317" t="str">
        <x:f>IF(CaseLedger!$A317="","",CaseLedger!I317)</x:f>
      </x:c>
      <x:c r="C317" t="str">
        <x:f>IF(CaseLedger!$A317="","",CaseLedger!J317)</x:f>
      </x:c>
      <x:c r="D317" t="str">
        <x:f>IF(CaseLedger!$A317="","",CaseLedger!K317)</x:f>
      </x:c>
      <x:c r="E317" t="str">
        <x:f>IF(CaseLedger!$A317="","",CaseLedger!L317)</x:f>
      </x:c>
      <x:c r="F317" t="str">
        <x:f>IF(CaseLedger!$A317="","",CaseLedger!P317)</x:f>
      </x:c>
      <x:c r="G317" t="str">
        <x:f>IF(CaseLedger!$A317="","",CaseLedger!F317)</x:f>
      </x:c>
      <x:c r="H317" t="str">
        <x:f>IF(CaseLedger!$A317="","",CaseLedger!Q317)</x:f>
      </x:c>
      <x:c r="I317" t="str">
        <x:f>IF(CaseLedger!$A317="","",CaseLedger!R317)</x:f>
      </x:c>
      <x:c r="J317" t="str">
        <x:f>IF(CaseLedger!$A317="","",CaseLedger!S317)</x:f>
      </x:c>
      <x:c r="K317" t="str">
        <x:f>IF(CaseLedger!$A317="","",CaseLedger!T317)</x:f>
      </x:c>
      <x:c r="L317" t="str">
        <x:f>IF(CaseLedger!$A317="","",CaseLedger!U317)</x:f>
      </x:c>
      <x:c r="M317" t="str">
        <x:f>IF(CaseLedger!$A317="","",CaseLedger!V317)</x:f>
      </x:c>
      <x:c r="N317" t="str">
        <x:f>IF(CaseLedger!$A317="","",CaseLedger!W317)</x:f>
      </x:c>
      <x:c r="O317" t="str">
        <x:f>IF(CaseLedger!$A317="","",CaseLedger!X317)</x:f>
      </x:c>
      <x:c r="P317" t="str">
        <x:f>IF(CaseLedger!$A317="","",CaseLedger!E317)</x:f>
      </x:c>
      <x:c r="Q317" t="str">
        <x:f>IF(CaseLedger!$A317="","",CaseLedger!C317)</x:f>
      </x:c>
      <x:c r="R317" t="str">
        <x:f>IF(CaseLedger!$A317="","",CaseLedger!D317)</x:f>
      </x:c>
      <x:c r="S317" t="str">
        <x:f>IFERROR(IF(CaseLedger!$A317="","",CaseLedger!Y317),"")</x:f>
      </x:c>
      <x:c r="T317" t="str">
        <x:f>IFERROR(IF(CaseLedger!$A317="","",CaseLedger!Z317),"")</x:f>
      </x:c>
      <x:c r="U317" t="str">
        <x:f>IFERROR(IF(CaseLedger!$A317="","",CaseLedger!AA317),"")</x:f>
      </x:c>
      <x:c r="V317" t="str">
        <x:f>IFERROR(IF(CaseLedger!$A317="","",CaseLedger!AB317),"")</x:f>
      </x:c>
      <x:c r="W317" t="str">
        <x:f>IFERROR(IF(CaseLedger!$A317="","",CaseLedger!AC317),"")</x:f>
      </x:c>
      <x:c r="X317" t="str">
        <x:f>IFERROR(IF(CaseLedger!$A317="","",CaseLedger!AD317),"")</x:f>
      </x:c>
      <x:c r="Y317" t="str">
        <x:f>IFERROR(IF(CaseLedger!$A317="","",CaseLedger!AE317),"")</x:f>
      </x:c>
      <x:c r="Z317" t="str">
        <x:f>IFERROR(IF(CaseLedger!$A317="","",CaseLedger!AF317),"")</x:f>
      </x:c>
      <x:c r="AA317" t="str">
        <x:f>IFERROR(IF(CaseLedger!$A317="","",CaseLedger!AG317),"")</x:f>
      </x:c>
      <x:c r="AB317" t="str">
        <x:f>IFERROR(IF(CaseLedger!$A317="","",CaseLedger!AH317),"")</x:f>
      </x:c>
      <x:c r="AC317" t="str">
        <x:f>IFERROR(IF(CaseLedger!$A317="","",CaseLedger!AI317),"")</x:f>
      </x:c>
    </x:row>
    <x:row r="318">
      <x:c r="A318" t="str">
        <x:f>IF(CaseLedger!$A318="","",CaseLedger!A318)</x:f>
      </x:c>
      <x:c r="B318" t="str">
        <x:f>IF(CaseLedger!$A318="","",CaseLedger!I318)</x:f>
      </x:c>
      <x:c r="C318" t="str">
        <x:f>IF(CaseLedger!$A318="","",CaseLedger!J318)</x:f>
      </x:c>
      <x:c r="D318" t="str">
        <x:f>IF(CaseLedger!$A318="","",CaseLedger!K318)</x:f>
      </x:c>
      <x:c r="E318" t="str">
        <x:f>IF(CaseLedger!$A318="","",CaseLedger!L318)</x:f>
      </x:c>
      <x:c r="F318" t="str">
        <x:f>IF(CaseLedger!$A318="","",CaseLedger!P318)</x:f>
      </x:c>
      <x:c r="G318" t="str">
        <x:f>IF(CaseLedger!$A318="","",CaseLedger!F318)</x:f>
      </x:c>
      <x:c r="H318" t="str">
        <x:f>IF(CaseLedger!$A318="","",CaseLedger!Q318)</x:f>
      </x:c>
      <x:c r="I318" t="str">
        <x:f>IF(CaseLedger!$A318="","",CaseLedger!R318)</x:f>
      </x:c>
      <x:c r="J318" t="str">
        <x:f>IF(CaseLedger!$A318="","",CaseLedger!S318)</x:f>
      </x:c>
      <x:c r="K318" t="str">
        <x:f>IF(CaseLedger!$A318="","",CaseLedger!T318)</x:f>
      </x:c>
      <x:c r="L318" t="str">
        <x:f>IF(CaseLedger!$A318="","",CaseLedger!U318)</x:f>
      </x:c>
      <x:c r="M318" t="str">
        <x:f>IF(CaseLedger!$A318="","",CaseLedger!V318)</x:f>
      </x:c>
      <x:c r="N318" t="str">
        <x:f>IF(CaseLedger!$A318="","",CaseLedger!W318)</x:f>
      </x:c>
      <x:c r="O318" t="str">
        <x:f>IF(CaseLedger!$A318="","",CaseLedger!X318)</x:f>
      </x:c>
      <x:c r="P318" t="str">
        <x:f>IF(CaseLedger!$A318="","",CaseLedger!E318)</x:f>
      </x:c>
      <x:c r="Q318" t="str">
        <x:f>IF(CaseLedger!$A318="","",CaseLedger!C318)</x:f>
      </x:c>
      <x:c r="R318" t="str">
        <x:f>IF(CaseLedger!$A318="","",CaseLedger!D318)</x:f>
      </x:c>
      <x:c r="S318" t="str">
        <x:f>IFERROR(IF(CaseLedger!$A318="","",CaseLedger!Y318),"")</x:f>
      </x:c>
      <x:c r="T318" t="str">
        <x:f>IFERROR(IF(CaseLedger!$A318="","",CaseLedger!Z318),"")</x:f>
      </x:c>
      <x:c r="U318" t="str">
        <x:f>IFERROR(IF(CaseLedger!$A318="","",CaseLedger!AA318),"")</x:f>
      </x:c>
      <x:c r="V318" t="str">
        <x:f>IFERROR(IF(CaseLedger!$A318="","",CaseLedger!AB318),"")</x:f>
      </x:c>
      <x:c r="W318" t="str">
        <x:f>IFERROR(IF(CaseLedger!$A318="","",CaseLedger!AC318),"")</x:f>
      </x:c>
      <x:c r="X318" t="str">
        <x:f>IFERROR(IF(CaseLedger!$A318="","",CaseLedger!AD318),"")</x:f>
      </x:c>
      <x:c r="Y318" t="str">
        <x:f>IFERROR(IF(CaseLedger!$A318="","",CaseLedger!AE318),"")</x:f>
      </x:c>
      <x:c r="Z318" t="str">
        <x:f>IFERROR(IF(CaseLedger!$A318="","",CaseLedger!AF318),"")</x:f>
      </x:c>
      <x:c r="AA318" t="str">
        <x:f>IFERROR(IF(CaseLedger!$A318="","",CaseLedger!AG318),"")</x:f>
      </x:c>
      <x:c r="AB318" t="str">
        <x:f>IFERROR(IF(CaseLedger!$A318="","",CaseLedger!AH318),"")</x:f>
      </x:c>
      <x:c r="AC318" t="str">
        <x:f>IFERROR(IF(CaseLedger!$A318="","",CaseLedger!AI318),"")</x:f>
      </x:c>
    </x:row>
    <x:row r="319">
      <x:c r="A319" t="str">
        <x:f>IF(CaseLedger!$A319="","",CaseLedger!A319)</x:f>
      </x:c>
      <x:c r="B319" t="str">
        <x:f>IF(CaseLedger!$A319="","",CaseLedger!I319)</x:f>
      </x:c>
      <x:c r="C319" t="str">
        <x:f>IF(CaseLedger!$A319="","",CaseLedger!J319)</x:f>
      </x:c>
      <x:c r="D319" t="str">
        <x:f>IF(CaseLedger!$A319="","",CaseLedger!K319)</x:f>
      </x:c>
      <x:c r="E319" t="str">
        <x:f>IF(CaseLedger!$A319="","",CaseLedger!L319)</x:f>
      </x:c>
      <x:c r="F319" t="str">
        <x:f>IF(CaseLedger!$A319="","",CaseLedger!P319)</x:f>
      </x:c>
      <x:c r="G319" t="str">
        <x:f>IF(CaseLedger!$A319="","",CaseLedger!F319)</x:f>
      </x:c>
      <x:c r="H319" t="str">
        <x:f>IF(CaseLedger!$A319="","",CaseLedger!Q319)</x:f>
      </x:c>
      <x:c r="I319" t="str">
        <x:f>IF(CaseLedger!$A319="","",CaseLedger!R319)</x:f>
      </x:c>
      <x:c r="J319" t="str">
        <x:f>IF(CaseLedger!$A319="","",CaseLedger!S319)</x:f>
      </x:c>
      <x:c r="K319" t="str">
        <x:f>IF(CaseLedger!$A319="","",CaseLedger!T319)</x:f>
      </x:c>
      <x:c r="L319" t="str">
        <x:f>IF(CaseLedger!$A319="","",CaseLedger!U319)</x:f>
      </x:c>
      <x:c r="M319" t="str">
        <x:f>IF(CaseLedger!$A319="","",CaseLedger!V319)</x:f>
      </x:c>
      <x:c r="N319" t="str">
        <x:f>IF(CaseLedger!$A319="","",CaseLedger!W319)</x:f>
      </x:c>
      <x:c r="O319" t="str">
        <x:f>IF(CaseLedger!$A319="","",CaseLedger!X319)</x:f>
      </x:c>
      <x:c r="P319" t="str">
        <x:f>IF(CaseLedger!$A319="","",CaseLedger!E319)</x:f>
      </x:c>
      <x:c r="Q319" t="str">
        <x:f>IF(CaseLedger!$A319="","",CaseLedger!C319)</x:f>
      </x:c>
      <x:c r="R319" t="str">
        <x:f>IF(CaseLedger!$A319="","",CaseLedger!D319)</x:f>
      </x:c>
      <x:c r="S319" t="str">
        <x:f>IFERROR(IF(CaseLedger!$A319="","",CaseLedger!Y319),"")</x:f>
      </x:c>
      <x:c r="T319" t="str">
        <x:f>IFERROR(IF(CaseLedger!$A319="","",CaseLedger!Z319),"")</x:f>
      </x:c>
      <x:c r="U319" t="str">
        <x:f>IFERROR(IF(CaseLedger!$A319="","",CaseLedger!AA319),"")</x:f>
      </x:c>
      <x:c r="V319" t="str">
        <x:f>IFERROR(IF(CaseLedger!$A319="","",CaseLedger!AB319),"")</x:f>
      </x:c>
      <x:c r="W319" t="str">
        <x:f>IFERROR(IF(CaseLedger!$A319="","",CaseLedger!AC319),"")</x:f>
      </x:c>
      <x:c r="X319" t="str">
        <x:f>IFERROR(IF(CaseLedger!$A319="","",CaseLedger!AD319),"")</x:f>
      </x:c>
      <x:c r="Y319" t="str">
        <x:f>IFERROR(IF(CaseLedger!$A319="","",CaseLedger!AE319),"")</x:f>
      </x:c>
      <x:c r="Z319" t="str">
        <x:f>IFERROR(IF(CaseLedger!$A319="","",CaseLedger!AF319),"")</x:f>
      </x:c>
      <x:c r="AA319" t="str">
        <x:f>IFERROR(IF(CaseLedger!$A319="","",CaseLedger!AG319),"")</x:f>
      </x:c>
      <x:c r="AB319" t="str">
        <x:f>IFERROR(IF(CaseLedger!$A319="","",CaseLedger!AH319),"")</x:f>
      </x:c>
      <x:c r="AC319" t="str">
        <x:f>IFERROR(IF(CaseLedger!$A319="","",CaseLedger!AI319),"")</x:f>
      </x:c>
    </x:row>
    <x:row r="320">
      <x:c r="A320" t="str">
        <x:f>IF(CaseLedger!$A320="","",CaseLedger!A320)</x:f>
      </x:c>
      <x:c r="B320" t="str">
        <x:f>IF(CaseLedger!$A320="","",CaseLedger!I320)</x:f>
      </x:c>
      <x:c r="C320" t="str">
        <x:f>IF(CaseLedger!$A320="","",CaseLedger!J320)</x:f>
      </x:c>
      <x:c r="D320" t="str">
        <x:f>IF(CaseLedger!$A320="","",CaseLedger!K320)</x:f>
      </x:c>
      <x:c r="E320" t="str">
        <x:f>IF(CaseLedger!$A320="","",CaseLedger!L320)</x:f>
      </x:c>
      <x:c r="F320" t="str">
        <x:f>IF(CaseLedger!$A320="","",CaseLedger!P320)</x:f>
      </x:c>
      <x:c r="G320" t="str">
        <x:f>IF(CaseLedger!$A320="","",CaseLedger!F320)</x:f>
      </x:c>
      <x:c r="H320" t="str">
        <x:f>IF(CaseLedger!$A320="","",CaseLedger!Q320)</x:f>
      </x:c>
      <x:c r="I320" t="str">
        <x:f>IF(CaseLedger!$A320="","",CaseLedger!R320)</x:f>
      </x:c>
      <x:c r="J320" t="str">
        <x:f>IF(CaseLedger!$A320="","",CaseLedger!S320)</x:f>
      </x:c>
      <x:c r="K320" t="str">
        <x:f>IF(CaseLedger!$A320="","",CaseLedger!T320)</x:f>
      </x:c>
      <x:c r="L320" t="str">
        <x:f>IF(CaseLedger!$A320="","",CaseLedger!U320)</x:f>
      </x:c>
      <x:c r="M320" t="str">
        <x:f>IF(CaseLedger!$A320="","",CaseLedger!V320)</x:f>
      </x:c>
      <x:c r="N320" t="str">
        <x:f>IF(CaseLedger!$A320="","",CaseLedger!W320)</x:f>
      </x:c>
      <x:c r="O320" t="str">
        <x:f>IF(CaseLedger!$A320="","",CaseLedger!X320)</x:f>
      </x:c>
      <x:c r="P320" t="str">
        <x:f>IF(CaseLedger!$A320="","",CaseLedger!E320)</x:f>
      </x:c>
      <x:c r="Q320" t="str">
        <x:f>IF(CaseLedger!$A320="","",CaseLedger!C320)</x:f>
      </x:c>
      <x:c r="R320" t="str">
        <x:f>IF(CaseLedger!$A320="","",CaseLedger!D320)</x:f>
      </x:c>
      <x:c r="S320" t="str">
        <x:f>IFERROR(IF(CaseLedger!$A320="","",CaseLedger!Y320),"")</x:f>
      </x:c>
      <x:c r="T320" t="str">
        <x:f>IFERROR(IF(CaseLedger!$A320="","",CaseLedger!Z320),"")</x:f>
      </x:c>
      <x:c r="U320" t="str">
        <x:f>IFERROR(IF(CaseLedger!$A320="","",CaseLedger!AA320),"")</x:f>
      </x:c>
      <x:c r="V320" t="str">
        <x:f>IFERROR(IF(CaseLedger!$A320="","",CaseLedger!AB320),"")</x:f>
      </x:c>
      <x:c r="W320" t="str">
        <x:f>IFERROR(IF(CaseLedger!$A320="","",CaseLedger!AC320),"")</x:f>
      </x:c>
      <x:c r="X320" t="str">
        <x:f>IFERROR(IF(CaseLedger!$A320="","",CaseLedger!AD320),"")</x:f>
      </x:c>
      <x:c r="Y320" t="str">
        <x:f>IFERROR(IF(CaseLedger!$A320="","",CaseLedger!AE320),"")</x:f>
      </x:c>
      <x:c r="Z320" t="str">
        <x:f>IFERROR(IF(CaseLedger!$A320="","",CaseLedger!AF320),"")</x:f>
      </x:c>
      <x:c r="AA320" t="str">
        <x:f>IFERROR(IF(CaseLedger!$A320="","",CaseLedger!AG320),"")</x:f>
      </x:c>
      <x:c r="AB320" t="str">
        <x:f>IFERROR(IF(CaseLedger!$A320="","",CaseLedger!AH320),"")</x:f>
      </x:c>
      <x:c r="AC320" t="str">
        <x:f>IFERROR(IF(CaseLedger!$A320="","",CaseLedger!AI320),"")</x:f>
      </x:c>
    </x:row>
    <x:row r="321">
      <x:c r="A321" t="str">
        <x:f>IF(CaseLedger!$A321="","",CaseLedger!A321)</x:f>
      </x:c>
      <x:c r="B321" t="str">
        <x:f>IF(CaseLedger!$A321="","",CaseLedger!I321)</x:f>
      </x:c>
      <x:c r="C321" t="str">
        <x:f>IF(CaseLedger!$A321="","",CaseLedger!J321)</x:f>
      </x:c>
      <x:c r="D321" t="str">
        <x:f>IF(CaseLedger!$A321="","",CaseLedger!K321)</x:f>
      </x:c>
      <x:c r="E321" t="str">
        <x:f>IF(CaseLedger!$A321="","",CaseLedger!L321)</x:f>
      </x:c>
      <x:c r="F321" t="str">
        <x:f>IF(CaseLedger!$A321="","",CaseLedger!P321)</x:f>
      </x:c>
      <x:c r="G321" t="str">
        <x:f>IF(CaseLedger!$A321="","",CaseLedger!F321)</x:f>
      </x:c>
      <x:c r="H321" t="str">
        <x:f>IF(CaseLedger!$A321="","",CaseLedger!Q321)</x:f>
      </x:c>
      <x:c r="I321" t="str">
        <x:f>IF(CaseLedger!$A321="","",CaseLedger!R321)</x:f>
      </x:c>
      <x:c r="J321" t="str">
        <x:f>IF(CaseLedger!$A321="","",CaseLedger!S321)</x:f>
      </x:c>
      <x:c r="K321" t="str">
        <x:f>IF(CaseLedger!$A321="","",CaseLedger!T321)</x:f>
      </x:c>
      <x:c r="L321" t="str">
        <x:f>IF(CaseLedger!$A321="","",CaseLedger!U321)</x:f>
      </x:c>
      <x:c r="M321" t="str">
        <x:f>IF(CaseLedger!$A321="","",CaseLedger!V321)</x:f>
      </x:c>
      <x:c r="N321" t="str">
        <x:f>IF(CaseLedger!$A321="","",CaseLedger!W321)</x:f>
      </x:c>
      <x:c r="O321" t="str">
        <x:f>IF(CaseLedger!$A321="","",CaseLedger!X321)</x:f>
      </x:c>
      <x:c r="P321" t="str">
        <x:f>IF(CaseLedger!$A321="","",CaseLedger!E321)</x:f>
      </x:c>
      <x:c r="Q321" t="str">
        <x:f>IF(CaseLedger!$A321="","",CaseLedger!C321)</x:f>
      </x:c>
      <x:c r="R321" t="str">
        <x:f>IF(CaseLedger!$A321="","",CaseLedger!D321)</x:f>
      </x:c>
      <x:c r="S321" t="str">
        <x:f>IFERROR(IF(CaseLedger!$A321="","",CaseLedger!Y321),"")</x:f>
      </x:c>
      <x:c r="T321" t="str">
        <x:f>IFERROR(IF(CaseLedger!$A321="","",CaseLedger!Z321),"")</x:f>
      </x:c>
      <x:c r="U321" t="str">
        <x:f>IFERROR(IF(CaseLedger!$A321="","",CaseLedger!AA321),"")</x:f>
      </x:c>
      <x:c r="V321" t="str">
        <x:f>IFERROR(IF(CaseLedger!$A321="","",CaseLedger!AB321),"")</x:f>
      </x:c>
      <x:c r="W321" t="str">
        <x:f>IFERROR(IF(CaseLedger!$A321="","",CaseLedger!AC321),"")</x:f>
      </x:c>
      <x:c r="X321" t="str">
        <x:f>IFERROR(IF(CaseLedger!$A321="","",CaseLedger!AD321),"")</x:f>
      </x:c>
      <x:c r="Y321" t="str">
        <x:f>IFERROR(IF(CaseLedger!$A321="","",CaseLedger!AE321),"")</x:f>
      </x:c>
      <x:c r="Z321" t="str">
        <x:f>IFERROR(IF(CaseLedger!$A321="","",CaseLedger!AF321),"")</x:f>
      </x:c>
      <x:c r="AA321" t="str">
        <x:f>IFERROR(IF(CaseLedger!$A321="","",CaseLedger!AG321),"")</x:f>
      </x:c>
      <x:c r="AB321" t="str">
        <x:f>IFERROR(IF(CaseLedger!$A321="","",CaseLedger!AH321),"")</x:f>
      </x:c>
      <x:c r="AC321" t="str">
        <x:f>IFERROR(IF(CaseLedger!$A321="","",CaseLedger!AI321),"")</x:f>
      </x:c>
    </x:row>
    <x:row r="322">
      <x:c r="A322" t="str">
        <x:f>IF(CaseLedger!$A322="","",CaseLedger!A322)</x:f>
      </x:c>
      <x:c r="B322" t="str">
        <x:f>IF(CaseLedger!$A322="","",CaseLedger!I322)</x:f>
      </x:c>
      <x:c r="C322" t="str">
        <x:f>IF(CaseLedger!$A322="","",CaseLedger!J322)</x:f>
      </x:c>
      <x:c r="D322" t="str">
        <x:f>IF(CaseLedger!$A322="","",CaseLedger!K322)</x:f>
      </x:c>
      <x:c r="E322" t="str">
        <x:f>IF(CaseLedger!$A322="","",CaseLedger!L322)</x:f>
      </x:c>
      <x:c r="F322" t="str">
        <x:f>IF(CaseLedger!$A322="","",CaseLedger!P322)</x:f>
      </x:c>
      <x:c r="G322" t="str">
        <x:f>IF(CaseLedger!$A322="","",CaseLedger!F322)</x:f>
      </x:c>
      <x:c r="H322" t="str">
        <x:f>IF(CaseLedger!$A322="","",CaseLedger!Q322)</x:f>
      </x:c>
      <x:c r="I322" t="str">
        <x:f>IF(CaseLedger!$A322="","",CaseLedger!R322)</x:f>
      </x:c>
      <x:c r="J322" t="str">
        <x:f>IF(CaseLedger!$A322="","",CaseLedger!S322)</x:f>
      </x:c>
      <x:c r="K322" t="str">
        <x:f>IF(CaseLedger!$A322="","",CaseLedger!T322)</x:f>
      </x:c>
      <x:c r="L322" t="str">
        <x:f>IF(CaseLedger!$A322="","",CaseLedger!U322)</x:f>
      </x:c>
      <x:c r="M322" t="str">
        <x:f>IF(CaseLedger!$A322="","",CaseLedger!V322)</x:f>
      </x:c>
      <x:c r="N322" t="str">
        <x:f>IF(CaseLedger!$A322="","",CaseLedger!W322)</x:f>
      </x:c>
      <x:c r="O322" t="str">
        <x:f>IF(CaseLedger!$A322="","",CaseLedger!X322)</x:f>
      </x:c>
      <x:c r="P322" t="str">
        <x:f>IF(CaseLedger!$A322="","",CaseLedger!E322)</x:f>
      </x:c>
      <x:c r="Q322" t="str">
        <x:f>IF(CaseLedger!$A322="","",CaseLedger!C322)</x:f>
      </x:c>
      <x:c r="R322" t="str">
        <x:f>IF(CaseLedger!$A322="","",CaseLedger!D322)</x:f>
      </x:c>
      <x:c r="S322" t="str">
        <x:f>IFERROR(IF(CaseLedger!$A322="","",CaseLedger!Y322),"")</x:f>
      </x:c>
      <x:c r="T322" t="str">
        <x:f>IFERROR(IF(CaseLedger!$A322="","",CaseLedger!Z322),"")</x:f>
      </x:c>
      <x:c r="U322" t="str">
        <x:f>IFERROR(IF(CaseLedger!$A322="","",CaseLedger!AA322),"")</x:f>
      </x:c>
      <x:c r="V322" t="str">
        <x:f>IFERROR(IF(CaseLedger!$A322="","",CaseLedger!AB322),"")</x:f>
      </x:c>
      <x:c r="W322" t="str">
        <x:f>IFERROR(IF(CaseLedger!$A322="","",CaseLedger!AC322),"")</x:f>
      </x:c>
      <x:c r="X322" t="str">
        <x:f>IFERROR(IF(CaseLedger!$A322="","",CaseLedger!AD322),"")</x:f>
      </x:c>
      <x:c r="Y322" t="str">
        <x:f>IFERROR(IF(CaseLedger!$A322="","",CaseLedger!AE322),"")</x:f>
      </x:c>
      <x:c r="Z322" t="str">
        <x:f>IFERROR(IF(CaseLedger!$A322="","",CaseLedger!AF322),"")</x:f>
      </x:c>
      <x:c r="AA322" t="str">
        <x:f>IFERROR(IF(CaseLedger!$A322="","",CaseLedger!AG322),"")</x:f>
      </x:c>
      <x:c r="AB322" t="str">
        <x:f>IFERROR(IF(CaseLedger!$A322="","",CaseLedger!AH322),"")</x:f>
      </x:c>
      <x:c r="AC322" t="str">
        <x:f>IFERROR(IF(CaseLedger!$A322="","",CaseLedger!AI322),"")</x:f>
      </x:c>
    </x:row>
    <x:row r="323">
      <x:c r="A323" t="str">
        <x:f>IF(CaseLedger!$A323="","",CaseLedger!A323)</x:f>
      </x:c>
      <x:c r="B323" t="str">
        <x:f>IF(CaseLedger!$A323="","",CaseLedger!I323)</x:f>
      </x:c>
      <x:c r="C323" t="str">
        <x:f>IF(CaseLedger!$A323="","",CaseLedger!J323)</x:f>
      </x:c>
      <x:c r="D323" t="str">
        <x:f>IF(CaseLedger!$A323="","",CaseLedger!K323)</x:f>
      </x:c>
      <x:c r="E323" t="str">
        <x:f>IF(CaseLedger!$A323="","",CaseLedger!L323)</x:f>
      </x:c>
      <x:c r="F323" t="str">
        <x:f>IF(CaseLedger!$A323="","",CaseLedger!P323)</x:f>
      </x:c>
      <x:c r="G323" t="str">
        <x:f>IF(CaseLedger!$A323="","",CaseLedger!F323)</x:f>
      </x:c>
      <x:c r="H323" t="str">
        <x:f>IF(CaseLedger!$A323="","",CaseLedger!Q323)</x:f>
      </x:c>
      <x:c r="I323" t="str">
        <x:f>IF(CaseLedger!$A323="","",CaseLedger!R323)</x:f>
      </x:c>
      <x:c r="J323" t="str">
        <x:f>IF(CaseLedger!$A323="","",CaseLedger!S323)</x:f>
      </x:c>
      <x:c r="K323" t="str">
        <x:f>IF(CaseLedger!$A323="","",CaseLedger!T323)</x:f>
      </x:c>
      <x:c r="L323" t="str">
        <x:f>IF(CaseLedger!$A323="","",CaseLedger!U323)</x:f>
      </x:c>
      <x:c r="M323" t="str">
        <x:f>IF(CaseLedger!$A323="","",CaseLedger!V323)</x:f>
      </x:c>
      <x:c r="N323" t="str">
        <x:f>IF(CaseLedger!$A323="","",CaseLedger!W323)</x:f>
      </x:c>
      <x:c r="O323" t="str">
        <x:f>IF(CaseLedger!$A323="","",CaseLedger!X323)</x:f>
      </x:c>
      <x:c r="P323" t="str">
        <x:f>IF(CaseLedger!$A323="","",CaseLedger!E323)</x:f>
      </x:c>
      <x:c r="Q323" t="str">
        <x:f>IF(CaseLedger!$A323="","",CaseLedger!C323)</x:f>
      </x:c>
      <x:c r="R323" t="str">
        <x:f>IF(CaseLedger!$A323="","",CaseLedger!D323)</x:f>
      </x:c>
      <x:c r="S323" t="str">
        <x:f>IFERROR(IF(CaseLedger!$A323="","",CaseLedger!Y323),"")</x:f>
      </x:c>
      <x:c r="T323" t="str">
        <x:f>IFERROR(IF(CaseLedger!$A323="","",CaseLedger!Z323),"")</x:f>
      </x:c>
      <x:c r="U323" t="str">
        <x:f>IFERROR(IF(CaseLedger!$A323="","",CaseLedger!AA323),"")</x:f>
      </x:c>
      <x:c r="V323" t="str">
        <x:f>IFERROR(IF(CaseLedger!$A323="","",CaseLedger!AB323),"")</x:f>
      </x:c>
      <x:c r="W323" t="str">
        <x:f>IFERROR(IF(CaseLedger!$A323="","",CaseLedger!AC323),"")</x:f>
      </x:c>
      <x:c r="X323" t="str">
        <x:f>IFERROR(IF(CaseLedger!$A323="","",CaseLedger!AD323),"")</x:f>
      </x:c>
      <x:c r="Y323" t="str">
        <x:f>IFERROR(IF(CaseLedger!$A323="","",CaseLedger!AE323),"")</x:f>
      </x:c>
      <x:c r="Z323" t="str">
        <x:f>IFERROR(IF(CaseLedger!$A323="","",CaseLedger!AF323),"")</x:f>
      </x:c>
      <x:c r="AA323" t="str">
        <x:f>IFERROR(IF(CaseLedger!$A323="","",CaseLedger!AG323),"")</x:f>
      </x:c>
      <x:c r="AB323" t="str">
        <x:f>IFERROR(IF(CaseLedger!$A323="","",CaseLedger!AH323),"")</x:f>
      </x:c>
      <x:c r="AC323" t="str">
        <x:f>IFERROR(IF(CaseLedger!$A323="","",CaseLedger!AI323),"")</x:f>
      </x:c>
    </x:row>
    <x:row r="324">
      <x:c r="A324" t="str">
        <x:f>IF(CaseLedger!$A324="","",CaseLedger!A324)</x:f>
      </x:c>
      <x:c r="B324" t="str">
        <x:f>IF(CaseLedger!$A324="","",CaseLedger!I324)</x:f>
      </x:c>
      <x:c r="C324" t="str">
        <x:f>IF(CaseLedger!$A324="","",CaseLedger!J324)</x:f>
      </x:c>
      <x:c r="D324" t="str">
        <x:f>IF(CaseLedger!$A324="","",CaseLedger!K324)</x:f>
      </x:c>
      <x:c r="E324" t="str">
        <x:f>IF(CaseLedger!$A324="","",CaseLedger!L324)</x:f>
      </x:c>
      <x:c r="F324" t="str">
        <x:f>IF(CaseLedger!$A324="","",CaseLedger!P324)</x:f>
      </x:c>
      <x:c r="G324" t="str">
        <x:f>IF(CaseLedger!$A324="","",CaseLedger!F324)</x:f>
      </x:c>
      <x:c r="H324" t="str">
        <x:f>IF(CaseLedger!$A324="","",CaseLedger!Q324)</x:f>
      </x:c>
      <x:c r="I324" t="str">
        <x:f>IF(CaseLedger!$A324="","",CaseLedger!R324)</x:f>
      </x:c>
      <x:c r="J324" t="str">
        <x:f>IF(CaseLedger!$A324="","",CaseLedger!S324)</x:f>
      </x:c>
      <x:c r="K324" t="str">
        <x:f>IF(CaseLedger!$A324="","",CaseLedger!T324)</x:f>
      </x:c>
      <x:c r="L324" t="str">
        <x:f>IF(CaseLedger!$A324="","",CaseLedger!U324)</x:f>
      </x:c>
      <x:c r="M324" t="str">
        <x:f>IF(CaseLedger!$A324="","",CaseLedger!V324)</x:f>
      </x:c>
      <x:c r="N324" t="str">
        <x:f>IF(CaseLedger!$A324="","",CaseLedger!W324)</x:f>
      </x:c>
      <x:c r="O324" t="str">
        <x:f>IF(CaseLedger!$A324="","",CaseLedger!X324)</x:f>
      </x:c>
      <x:c r="P324" t="str">
        <x:f>IF(CaseLedger!$A324="","",CaseLedger!E324)</x:f>
      </x:c>
      <x:c r="Q324" t="str">
        <x:f>IF(CaseLedger!$A324="","",CaseLedger!C324)</x:f>
      </x:c>
      <x:c r="R324" t="str">
        <x:f>IF(CaseLedger!$A324="","",CaseLedger!D324)</x:f>
      </x:c>
      <x:c r="S324" t="str">
        <x:f>IFERROR(IF(CaseLedger!$A324="","",CaseLedger!Y324),"")</x:f>
      </x:c>
      <x:c r="T324" t="str">
        <x:f>IFERROR(IF(CaseLedger!$A324="","",CaseLedger!Z324),"")</x:f>
      </x:c>
      <x:c r="U324" t="str">
        <x:f>IFERROR(IF(CaseLedger!$A324="","",CaseLedger!AA324),"")</x:f>
      </x:c>
      <x:c r="V324" t="str">
        <x:f>IFERROR(IF(CaseLedger!$A324="","",CaseLedger!AB324),"")</x:f>
      </x:c>
      <x:c r="W324" t="str">
        <x:f>IFERROR(IF(CaseLedger!$A324="","",CaseLedger!AC324),"")</x:f>
      </x:c>
      <x:c r="X324" t="str">
        <x:f>IFERROR(IF(CaseLedger!$A324="","",CaseLedger!AD324),"")</x:f>
      </x:c>
      <x:c r="Y324" t="str">
        <x:f>IFERROR(IF(CaseLedger!$A324="","",CaseLedger!AE324),"")</x:f>
      </x:c>
      <x:c r="Z324" t="str">
        <x:f>IFERROR(IF(CaseLedger!$A324="","",CaseLedger!AF324),"")</x:f>
      </x:c>
      <x:c r="AA324" t="str">
        <x:f>IFERROR(IF(CaseLedger!$A324="","",CaseLedger!AG324),"")</x:f>
      </x:c>
      <x:c r="AB324" t="str">
        <x:f>IFERROR(IF(CaseLedger!$A324="","",CaseLedger!AH324),"")</x:f>
      </x:c>
      <x:c r="AC324" t="str">
        <x:f>IFERROR(IF(CaseLedger!$A324="","",CaseLedger!AI324),"")</x:f>
      </x:c>
    </x:row>
    <x:row r="325">
      <x:c r="A325" t="str">
        <x:f>IF(CaseLedger!$A325="","",CaseLedger!A325)</x:f>
      </x:c>
      <x:c r="B325" t="str">
        <x:f>IF(CaseLedger!$A325="","",CaseLedger!I325)</x:f>
      </x:c>
      <x:c r="C325" t="str">
        <x:f>IF(CaseLedger!$A325="","",CaseLedger!J325)</x:f>
      </x:c>
      <x:c r="D325" t="str">
        <x:f>IF(CaseLedger!$A325="","",CaseLedger!K325)</x:f>
      </x:c>
      <x:c r="E325" t="str">
        <x:f>IF(CaseLedger!$A325="","",CaseLedger!L325)</x:f>
      </x:c>
      <x:c r="F325" t="str">
        <x:f>IF(CaseLedger!$A325="","",CaseLedger!P325)</x:f>
      </x:c>
      <x:c r="G325" t="str">
        <x:f>IF(CaseLedger!$A325="","",CaseLedger!F325)</x:f>
      </x:c>
      <x:c r="H325" t="str">
        <x:f>IF(CaseLedger!$A325="","",CaseLedger!Q325)</x:f>
      </x:c>
      <x:c r="I325" t="str">
        <x:f>IF(CaseLedger!$A325="","",CaseLedger!R325)</x:f>
      </x:c>
      <x:c r="J325" t="str">
        <x:f>IF(CaseLedger!$A325="","",CaseLedger!S325)</x:f>
      </x:c>
      <x:c r="K325" t="str">
        <x:f>IF(CaseLedger!$A325="","",CaseLedger!T325)</x:f>
      </x:c>
      <x:c r="L325" t="str">
        <x:f>IF(CaseLedger!$A325="","",CaseLedger!U325)</x:f>
      </x:c>
      <x:c r="M325" t="str">
        <x:f>IF(CaseLedger!$A325="","",CaseLedger!V325)</x:f>
      </x:c>
      <x:c r="N325" t="str">
        <x:f>IF(CaseLedger!$A325="","",CaseLedger!W325)</x:f>
      </x:c>
      <x:c r="O325" t="str">
        <x:f>IF(CaseLedger!$A325="","",CaseLedger!X325)</x:f>
      </x:c>
      <x:c r="P325" t="str">
        <x:f>IF(CaseLedger!$A325="","",CaseLedger!E325)</x:f>
      </x:c>
      <x:c r="Q325" t="str">
        <x:f>IF(CaseLedger!$A325="","",CaseLedger!C325)</x:f>
      </x:c>
      <x:c r="R325" t="str">
        <x:f>IF(CaseLedger!$A325="","",CaseLedger!D325)</x:f>
      </x:c>
      <x:c r="S325" t="str">
        <x:f>IFERROR(IF(CaseLedger!$A325="","",CaseLedger!Y325),"")</x:f>
      </x:c>
      <x:c r="T325" t="str">
        <x:f>IFERROR(IF(CaseLedger!$A325="","",CaseLedger!Z325),"")</x:f>
      </x:c>
      <x:c r="U325" t="str">
        <x:f>IFERROR(IF(CaseLedger!$A325="","",CaseLedger!AA325),"")</x:f>
      </x:c>
      <x:c r="V325" t="str">
        <x:f>IFERROR(IF(CaseLedger!$A325="","",CaseLedger!AB325),"")</x:f>
      </x:c>
      <x:c r="W325" t="str">
        <x:f>IFERROR(IF(CaseLedger!$A325="","",CaseLedger!AC325),"")</x:f>
      </x:c>
      <x:c r="X325" t="str">
        <x:f>IFERROR(IF(CaseLedger!$A325="","",CaseLedger!AD325),"")</x:f>
      </x:c>
      <x:c r="Y325" t="str">
        <x:f>IFERROR(IF(CaseLedger!$A325="","",CaseLedger!AE325),"")</x:f>
      </x:c>
      <x:c r="Z325" t="str">
        <x:f>IFERROR(IF(CaseLedger!$A325="","",CaseLedger!AF325),"")</x:f>
      </x:c>
      <x:c r="AA325" t="str">
        <x:f>IFERROR(IF(CaseLedger!$A325="","",CaseLedger!AG325),"")</x:f>
      </x:c>
      <x:c r="AB325" t="str">
        <x:f>IFERROR(IF(CaseLedger!$A325="","",CaseLedger!AH325),"")</x:f>
      </x:c>
      <x:c r="AC325" t="str">
        <x:f>IFERROR(IF(CaseLedger!$A325="","",CaseLedger!AI325),"")</x:f>
      </x:c>
    </x:row>
    <x:row r="326">
      <x:c r="A326" t="str">
        <x:f>IF(CaseLedger!$A326="","",CaseLedger!A326)</x:f>
      </x:c>
      <x:c r="B326" t="str">
        <x:f>IF(CaseLedger!$A326="","",CaseLedger!I326)</x:f>
      </x:c>
      <x:c r="C326" t="str">
        <x:f>IF(CaseLedger!$A326="","",CaseLedger!J326)</x:f>
      </x:c>
      <x:c r="D326" t="str">
        <x:f>IF(CaseLedger!$A326="","",CaseLedger!K326)</x:f>
      </x:c>
      <x:c r="E326" t="str">
        <x:f>IF(CaseLedger!$A326="","",CaseLedger!L326)</x:f>
      </x:c>
      <x:c r="F326" t="str">
        <x:f>IF(CaseLedger!$A326="","",CaseLedger!P326)</x:f>
      </x:c>
      <x:c r="G326" t="str">
        <x:f>IF(CaseLedger!$A326="","",CaseLedger!F326)</x:f>
      </x:c>
      <x:c r="H326" t="str">
        <x:f>IF(CaseLedger!$A326="","",CaseLedger!Q326)</x:f>
      </x:c>
      <x:c r="I326" t="str">
        <x:f>IF(CaseLedger!$A326="","",CaseLedger!R326)</x:f>
      </x:c>
      <x:c r="J326" t="str">
        <x:f>IF(CaseLedger!$A326="","",CaseLedger!S326)</x:f>
      </x:c>
      <x:c r="K326" t="str">
        <x:f>IF(CaseLedger!$A326="","",CaseLedger!T326)</x:f>
      </x:c>
      <x:c r="L326" t="str">
        <x:f>IF(CaseLedger!$A326="","",CaseLedger!U326)</x:f>
      </x:c>
      <x:c r="M326" t="str">
        <x:f>IF(CaseLedger!$A326="","",CaseLedger!V326)</x:f>
      </x:c>
      <x:c r="N326" t="str">
        <x:f>IF(CaseLedger!$A326="","",CaseLedger!W326)</x:f>
      </x:c>
      <x:c r="O326" t="str">
        <x:f>IF(CaseLedger!$A326="","",CaseLedger!X326)</x:f>
      </x:c>
      <x:c r="P326" t="str">
        <x:f>IF(CaseLedger!$A326="","",CaseLedger!E326)</x:f>
      </x:c>
      <x:c r="Q326" t="str">
        <x:f>IF(CaseLedger!$A326="","",CaseLedger!C326)</x:f>
      </x:c>
      <x:c r="R326" t="str">
        <x:f>IF(CaseLedger!$A326="","",CaseLedger!D326)</x:f>
      </x:c>
      <x:c r="S326" t="str">
        <x:f>IFERROR(IF(CaseLedger!$A326="","",CaseLedger!Y326),"")</x:f>
      </x:c>
      <x:c r="T326" t="str">
        <x:f>IFERROR(IF(CaseLedger!$A326="","",CaseLedger!Z326),"")</x:f>
      </x:c>
      <x:c r="U326" t="str">
        <x:f>IFERROR(IF(CaseLedger!$A326="","",CaseLedger!AA326),"")</x:f>
      </x:c>
      <x:c r="V326" t="str">
        <x:f>IFERROR(IF(CaseLedger!$A326="","",CaseLedger!AB326),"")</x:f>
      </x:c>
      <x:c r="W326" t="str">
        <x:f>IFERROR(IF(CaseLedger!$A326="","",CaseLedger!AC326),"")</x:f>
      </x:c>
      <x:c r="X326" t="str">
        <x:f>IFERROR(IF(CaseLedger!$A326="","",CaseLedger!AD326),"")</x:f>
      </x:c>
      <x:c r="Y326" t="str">
        <x:f>IFERROR(IF(CaseLedger!$A326="","",CaseLedger!AE326),"")</x:f>
      </x:c>
      <x:c r="Z326" t="str">
        <x:f>IFERROR(IF(CaseLedger!$A326="","",CaseLedger!AF326),"")</x:f>
      </x:c>
      <x:c r="AA326" t="str">
        <x:f>IFERROR(IF(CaseLedger!$A326="","",CaseLedger!AG326),"")</x:f>
      </x:c>
      <x:c r="AB326" t="str">
        <x:f>IFERROR(IF(CaseLedger!$A326="","",CaseLedger!AH326),"")</x:f>
      </x:c>
      <x:c r="AC326" t="str">
        <x:f>IFERROR(IF(CaseLedger!$A326="","",CaseLedger!AI326),"")</x:f>
      </x:c>
    </x:row>
    <x:row r="327">
      <x:c r="A327" t="str">
        <x:f>IF(CaseLedger!$A327="","",CaseLedger!A327)</x:f>
      </x:c>
      <x:c r="B327" t="str">
        <x:f>IF(CaseLedger!$A327="","",CaseLedger!I327)</x:f>
      </x:c>
      <x:c r="C327" t="str">
        <x:f>IF(CaseLedger!$A327="","",CaseLedger!J327)</x:f>
      </x:c>
      <x:c r="D327" t="str">
        <x:f>IF(CaseLedger!$A327="","",CaseLedger!K327)</x:f>
      </x:c>
      <x:c r="E327" t="str">
        <x:f>IF(CaseLedger!$A327="","",CaseLedger!L327)</x:f>
      </x:c>
      <x:c r="F327" t="str">
        <x:f>IF(CaseLedger!$A327="","",CaseLedger!P327)</x:f>
      </x:c>
      <x:c r="G327" t="str">
        <x:f>IF(CaseLedger!$A327="","",CaseLedger!F327)</x:f>
      </x:c>
      <x:c r="H327" t="str">
        <x:f>IF(CaseLedger!$A327="","",CaseLedger!Q327)</x:f>
      </x:c>
      <x:c r="I327" t="str">
        <x:f>IF(CaseLedger!$A327="","",CaseLedger!R327)</x:f>
      </x:c>
      <x:c r="J327" t="str">
        <x:f>IF(CaseLedger!$A327="","",CaseLedger!S327)</x:f>
      </x:c>
      <x:c r="K327" t="str">
        <x:f>IF(CaseLedger!$A327="","",CaseLedger!T327)</x:f>
      </x:c>
      <x:c r="L327" t="str">
        <x:f>IF(CaseLedger!$A327="","",CaseLedger!U327)</x:f>
      </x:c>
      <x:c r="M327" t="str">
        <x:f>IF(CaseLedger!$A327="","",CaseLedger!V327)</x:f>
      </x:c>
      <x:c r="N327" t="str">
        <x:f>IF(CaseLedger!$A327="","",CaseLedger!W327)</x:f>
      </x:c>
      <x:c r="O327" t="str">
        <x:f>IF(CaseLedger!$A327="","",CaseLedger!X327)</x:f>
      </x:c>
      <x:c r="P327" t="str">
        <x:f>IF(CaseLedger!$A327="","",CaseLedger!E327)</x:f>
      </x:c>
      <x:c r="Q327" t="str">
        <x:f>IF(CaseLedger!$A327="","",CaseLedger!C327)</x:f>
      </x:c>
      <x:c r="R327" t="str">
        <x:f>IF(CaseLedger!$A327="","",CaseLedger!D327)</x:f>
      </x:c>
      <x:c r="S327" t="str">
        <x:f>IFERROR(IF(CaseLedger!$A327="","",CaseLedger!Y327),"")</x:f>
      </x:c>
      <x:c r="T327" t="str">
        <x:f>IFERROR(IF(CaseLedger!$A327="","",CaseLedger!Z327),"")</x:f>
      </x:c>
      <x:c r="U327" t="str">
        <x:f>IFERROR(IF(CaseLedger!$A327="","",CaseLedger!AA327),"")</x:f>
      </x:c>
      <x:c r="V327" t="str">
        <x:f>IFERROR(IF(CaseLedger!$A327="","",CaseLedger!AB327),"")</x:f>
      </x:c>
      <x:c r="W327" t="str">
        <x:f>IFERROR(IF(CaseLedger!$A327="","",CaseLedger!AC327),"")</x:f>
      </x:c>
      <x:c r="X327" t="str">
        <x:f>IFERROR(IF(CaseLedger!$A327="","",CaseLedger!AD327),"")</x:f>
      </x:c>
      <x:c r="Y327" t="str">
        <x:f>IFERROR(IF(CaseLedger!$A327="","",CaseLedger!AE327),"")</x:f>
      </x:c>
      <x:c r="Z327" t="str">
        <x:f>IFERROR(IF(CaseLedger!$A327="","",CaseLedger!AF327),"")</x:f>
      </x:c>
      <x:c r="AA327" t="str">
        <x:f>IFERROR(IF(CaseLedger!$A327="","",CaseLedger!AG327),"")</x:f>
      </x:c>
      <x:c r="AB327" t="str">
        <x:f>IFERROR(IF(CaseLedger!$A327="","",CaseLedger!AH327),"")</x:f>
      </x:c>
      <x:c r="AC327" t="str">
        <x:f>IFERROR(IF(CaseLedger!$A327="","",CaseLedger!AI327),"")</x:f>
      </x:c>
    </x:row>
    <x:row r="328">
      <x:c r="A328" t="str">
        <x:f>IF(CaseLedger!$A328="","",CaseLedger!A328)</x:f>
      </x:c>
      <x:c r="B328" t="str">
        <x:f>IF(CaseLedger!$A328="","",CaseLedger!I328)</x:f>
      </x:c>
      <x:c r="C328" t="str">
        <x:f>IF(CaseLedger!$A328="","",CaseLedger!J328)</x:f>
      </x:c>
      <x:c r="D328" t="str">
        <x:f>IF(CaseLedger!$A328="","",CaseLedger!K328)</x:f>
      </x:c>
      <x:c r="E328" t="str">
        <x:f>IF(CaseLedger!$A328="","",CaseLedger!L328)</x:f>
      </x:c>
      <x:c r="F328" t="str">
        <x:f>IF(CaseLedger!$A328="","",CaseLedger!P328)</x:f>
      </x:c>
      <x:c r="G328" t="str">
        <x:f>IF(CaseLedger!$A328="","",CaseLedger!F328)</x:f>
      </x:c>
      <x:c r="H328" t="str">
        <x:f>IF(CaseLedger!$A328="","",CaseLedger!Q328)</x:f>
      </x:c>
      <x:c r="I328" t="str">
        <x:f>IF(CaseLedger!$A328="","",CaseLedger!R328)</x:f>
      </x:c>
      <x:c r="J328" t="str">
        <x:f>IF(CaseLedger!$A328="","",CaseLedger!S328)</x:f>
      </x:c>
      <x:c r="K328" t="str">
        <x:f>IF(CaseLedger!$A328="","",CaseLedger!T328)</x:f>
      </x:c>
      <x:c r="L328" t="str">
        <x:f>IF(CaseLedger!$A328="","",CaseLedger!U328)</x:f>
      </x:c>
      <x:c r="M328" t="str">
        <x:f>IF(CaseLedger!$A328="","",CaseLedger!V328)</x:f>
      </x:c>
      <x:c r="N328" t="str">
        <x:f>IF(CaseLedger!$A328="","",CaseLedger!W328)</x:f>
      </x:c>
      <x:c r="O328" t="str">
        <x:f>IF(CaseLedger!$A328="","",CaseLedger!X328)</x:f>
      </x:c>
      <x:c r="P328" t="str">
        <x:f>IF(CaseLedger!$A328="","",CaseLedger!E328)</x:f>
      </x:c>
      <x:c r="Q328" t="str">
        <x:f>IF(CaseLedger!$A328="","",CaseLedger!C328)</x:f>
      </x:c>
      <x:c r="R328" t="str">
        <x:f>IF(CaseLedger!$A328="","",CaseLedger!D328)</x:f>
      </x:c>
      <x:c r="S328" t="str">
        <x:f>IFERROR(IF(CaseLedger!$A328="","",CaseLedger!Y328),"")</x:f>
      </x:c>
      <x:c r="T328" t="str">
        <x:f>IFERROR(IF(CaseLedger!$A328="","",CaseLedger!Z328),"")</x:f>
      </x:c>
      <x:c r="U328" t="str">
        <x:f>IFERROR(IF(CaseLedger!$A328="","",CaseLedger!AA328),"")</x:f>
      </x:c>
      <x:c r="V328" t="str">
        <x:f>IFERROR(IF(CaseLedger!$A328="","",CaseLedger!AB328),"")</x:f>
      </x:c>
      <x:c r="W328" t="str">
        <x:f>IFERROR(IF(CaseLedger!$A328="","",CaseLedger!AC328),"")</x:f>
      </x:c>
      <x:c r="X328" t="str">
        <x:f>IFERROR(IF(CaseLedger!$A328="","",CaseLedger!AD328),"")</x:f>
      </x:c>
      <x:c r="Y328" t="str">
        <x:f>IFERROR(IF(CaseLedger!$A328="","",CaseLedger!AE328),"")</x:f>
      </x:c>
      <x:c r="Z328" t="str">
        <x:f>IFERROR(IF(CaseLedger!$A328="","",CaseLedger!AF328),"")</x:f>
      </x:c>
      <x:c r="AA328" t="str">
        <x:f>IFERROR(IF(CaseLedger!$A328="","",CaseLedger!AG328),"")</x:f>
      </x:c>
      <x:c r="AB328" t="str">
        <x:f>IFERROR(IF(CaseLedger!$A328="","",CaseLedger!AH328),"")</x:f>
      </x:c>
      <x:c r="AC328" t="str">
        <x:f>IFERROR(IF(CaseLedger!$A328="","",CaseLedger!AI328),"")</x:f>
      </x:c>
    </x:row>
    <x:row r="329">
      <x:c r="A329" t="str">
        <x:f>IF(CaseLedger!$A329="","",CaseLedger!A329)</x:f>
      </x:c>
      <x:c r="B329" t="str">
        <x:f>IF(CaseLedger!$A329="","",CaseLedger!I329)</x:f>
      </x:c>
      <x:c r="C329" t="str">
        <x:f>IF(CaseLedger!$A329="","",CaseLedger!J329)</x:f>
      </x:c>
      <x:c r="D329" t="str">
        <x:f>IF(CaseLedger!$A329="","",CaseLedger!K329)</x:f>
      </x:c>
      <x:c r="E329" t="str">
        <x:f>IF(CaseLedger!$A329="","",CaseLedger!L329)</x:f>
      </x:c>
      <x:c r="F329" t="str">
        <x:f>IF(CaseLedger!$A329="","",CaseLedger!P329)</x:f>
      </x:c>
      <x:c r="G329" t="str">
        <x:f>IF(CaseLedger!$A329="","",CaseLedger!F329)</x:f>
      </x:c>
      <x:c r="H329" t="str">
        <x:f>IF(CaseLedger!$A329="","",CaseLedger!Q329)</x:f>
      </x:c>
      <x:c r="I329" t="str">
        <x:f>IF(CaseLedger!$A329="","",CaseLedger!R329)</x:f>
      </x:c>
      <x:c r="J329" t="str">
        <x:f>IF(CaseLedger!$A329="","",CaseLedger!S329)</x:f>
      </x:c>
      <x:c r="K329" t="str">
        <x:f>IF(CaseLedger!$A329="","",CaseLedger!T329)</x:f>
      </x:c>
      <x:c r="L329" t="str">
        <x:f>IF(CaseLedger!$A329="","",CaseLedger!U329)</x:f>
      </x:c>
      <x:c r="M329" t="str">
        <x:f>IF(CaseLedger!$A329="","",CaseLedger!V329)</x:f>
      </x:c>
      <x:c r="N329" t="str">
        <x:f>IF(CaseLedger!$A329="","",CaseLedger!W329)</x:f>
      </x:c>
      <x:c r="O329" t="str">
        <x:f>IF(CaseLedger!$A329="","",CaseLedger!X329)</x:f>
      </x:c>
      <x:c r="P329" t="str">
        <x:f>IF(CaseLedger!$A329="","",CaseLedger!E329)</x:f>
      </x:c>
      <x:c r="Q329" t="str">
        <x:f>IF(CaseLedger!$A329="","",CaseLedger!C329)</x:f>
      </x:c>
      <x:c r="R329" t="str">
        <x:f>IF(CaseLedger!$A329="","",CaseLedger!D329)</x:f>
      </x:c>
      <x:c r="S329" t="str">
        <x:f>IFERROR(IF(CaseLedger!$A329="","",CaseLedger!Y329),"")</x:f>
      </x:c>
      <x:c r="T329" t="str">
        <x:f>IFERROR(IF(CaseLedger!$A329="","",CaseLedger!Z329),"")</x:f>
      </x:c>
      <x:c r="U329" t="str">
        <x:f>IFERROR(IF(CaseLedger!$A329="","",CaseLedger!AA329),"")</x:f>
      </x:c>
      <x:c r="V329" t="str">
        <x:f>IFERROR(IF(CaseLedger!$A329="","",CaseLedger!AB329),"")</x:f>
      </x:c>
      <x:c r="W329" t="str">
        <x:f>IFERROR(IF(CaseLedger!$A329="","",CaseLedger!AC329),"")</x:f>
      </x:c>
      <x:c r="X329" t="str">
        <x:f>IFERROR(IF(CaseLedger!$A329="","",CaseLedger!AD329),"")</x:f>
      </x:c>
      <x:c r="Y329" t="str">
        <x:f>IFERROR(IF(CaseLedger!$A329="","",CaseLedger!AE329),"")</x:f>
      </x:c>
      <x:c r="Z329" t="str">
        <x:f>IFERROR(IF(CaseLedger!$A329="","",CaseLedger!AF329),"")</x:f>
      </x:c>
      <x:c r="AA329" t="str">
        <x:f>IFERROR(IF(CaseLedger!$A329="","",CaseLedger!AG329),"")</x:f>
      </x:c>
      <x:c r="AB329" t="str">
        <x:f>IFERROR(IF(CaseLedger!$A329="","",CaseLedger!AH329),"")</x:f>
      </x:c>
      <x:c r="AC329" t="str">
        <x:f>IFERROR(IF(CaseLedger!$A329="","",CaseLedger!AI329),"")</x:f>
      </x:c>
    </x:row>
    <x:row r="330">
      <x:c r="A330" t="str">
        <x:f>IF(CaseLedger!$A330="","",CaseLedger!A330)</x:f>
      </x:c>
      <x:c r="B330" t="str">
        <x:f>IF(CaseLedger!$A330="","",CaseLedger!I330)</x:f>
      </x:c>
      <x:c r="C330" t="str">
        <x:f>IF(CaseLedger!$A330="","",CaseLedger!J330)</x:f>
      </x:c>
      <x:c r="D330" t="str">
        <x:f>IF(CaseLedger!$A330="","",CaseLedger!K330)</x:f>
      </x:c>
      <x:c r="E330" t="str">
        <x:f>IF(CaseLedger!$A330="","",CaseLedger!L330)</x:f>
      </x:c>
      <x:c r="F330" t="str">
        <x:f>IF(CaseLedger!$A330="","",CaseLedger!P330)</x:f>
      </x:c>
      <x:c r="G330" t="str">
        <x:f>IF(CaseLedger!$A330="","",CaseLedger!F330)</x:f>
      </x:c>
      <x:c r="H330" t="str">
        <x:f>IF(CaseLedger!$A330="","",CaseLedger!Q330)</x:f>
      </x:c>
      <x:c r="I330" t="str">
        <x:f>IF(CaseLedger!$A330="","",CaseLedger!R330)</x:f>
      </x:c>
      <x:c r="J330" t="str">
        <x:f>IF(CaseLedger!$A330="","",CaseLedger!S330)</x:f>
      </x:c>
      <x:c r="K330" t="str">
        <x:f>IF(CaseLedger!$A330="","",CaseLedger!T330)</x:f>
      </x:c>
      <x:c r="L330" t="str">
        <x:f>IF(CaseLedger!$A330="","",CaseLedger!U330)</x:f>
      </x:c>
      <x:c r="M330" t="str">
        <x:f>IF(CaseLedger!$A330="","",CaseLedger!V330)</x:f>
      </x:c>
      <x:c r="N330" t="str">
        <x:f>IF(CaseLedger!$A330="","",CaseLedger!W330)</x:f>
      </x:c>
      <x:c r="O330" t="str">
        <x:f>IF(CaseLedger!$A330="","",CaseLedger!X330)</x:f>
      </x:c>
      <x:c r="P330" t="str">
        <x:f>IF(CaseLedger!$A330="","",CaseLedger!E330)</x:f>
      </x:c>
      <x:c r="Q330" t="str">
        <x:f>IF(CaseLedger!$A330="","",CaseLedger!C330)</x:f>
      </x:c>
      <x:c r="R330" t="str">
        <x:f>IF(CaseLedger!$A330="","",CaseLedger!D330)</x:f>
      </x:c>
      <x:c r="S330" t="str">
        <x:f>IFERROR(IF(CaseLedger!$A330="","",CaseLedger!Y330),"")</x:f>
      </x:c>
      <x:c r="T330" t="str">
        <x:f>IFERROR(IF(CaseLedger!$A330="","",CaseLedger!Z330),"")</x:f>
      </x:c>
      <x:c r="U330" t="str">
        <x:f>IFERROR(IF(CaseLedger!$A330="","",CaseLedger!AA330),"")</x:f>
      </x:c>
      <x:c r="V330" t="str">
        <x:f>IFERROR(IF(CaseLedger!$A330="","",CaseLedger!AB330),"")</x:f>
      </x:c>
      <x:c r="W330" t="str">
        <x:f>IFERROR(IF(CaseLedger!$A330="","",CaseLedger!AC330),"")</x:f>
      </x:c>
      <x:c r="X330" t="str">
        <x:f>IFERROR(IF(CaseLedger!$A330="","",CaseLedger!AD330),"")</x:f>
      </x:c>
      <x:c r="Y330" t="str">
        <x:f>IFERROR(IF(CaseLedger!$A330="","",CaseLedger!AE330),"")</x:f>
      </x:c>
      <x:c r="Z330" t="str">
        <x:f>IFERROR(IF(CaseLedger!$A330="","",CaseLedger!AF330),"")</x:f>
      </x:c>
      <x:c r="AA330" t="str">
        <x:f>IFERROR(IF(CaseLedger!$A330="","",CaseLedger!AG330),"")</x:f>
      </x:c>
      <x:c r="AB330" t="str">
        <x:f>IFERROR(IF(CaseLedger!$A330="","",CaseLedger!AH330),"")</x:f>
      </x:c>
      <x:c r="AC330" t="str">
        <x:f>IFERROR(IF(CaseLedger!$A330="","",CaseLedger!AI330),"")</x:f>
      </x:c>
    </x:row>
    <x:row r="331">
      <x:c r="A331" t="str">
        <x:f>IF(CaseLedger!$A331="","",CaseLedger!A331)</x:f>
      </x:c>
      <x:c r="B331" t="str">
        <x:f>IF(CaseLedger!$A331="","",CaseLedger!I331)</x:f>
      </x:c>
      <x:c r="C331" t="str">
        <x:f>IF(CaseLedger!$A331="","",CaseLedger!J331)</x:f>
      </x:c>
      <x:c r="D331" t="str">
        <x:f>IF(CaseLedger!$A331="","",CaseLedger!K331)</x:f>
      </x:c>
      <x:c r="E331" t="str">
        <x:f>IF(CaseLedger!$A331="","",CaseLedger!L331)</x:f>
      </x:c>
      <x:c r="F331" t="str">
        <x:f>IF(CaseLedger!$A331="","",CaseLedger!P331)</x:f>
      </x:c>
      <x:c r="G331" t="str">
        <x:f>IF(CaseLedger!$A331="","",CaseLedger!F331)</x:f>
      </x:c>
      <x:c r="H331" t="str">
        <x:f>IF(CaseLedger!$A331="","",CaseLedger!Q331)</x:f>
      </x:c>
      <x:c r="I331" t="str">
        <x:f>IF(CaseLedger!$A331="","",CaseLedger!R331)</x:f>
      </x:c>
      <x:c r="J331" t="str">
        <x:f>IF(CaseLedger!$A331="","",CaseLedger!S331)</x:f>
      </x:c>
      <x:c r="K331" t="str">
        <x:f>IF(CaseLedger!$A331="","",CaseLedger!T331)</x:f>
      </x:c>
      <x:c r="L331" t="str">
        <x:f>IF(CaseLedger!$A331="","",CaseLedger!U331)</x:f>
      </x:c>
      <x:c r="M331" t="str">
        <x:f>IF(CaseLedger!$A331="","",CaseLedger!V331)</x:f>
      </x:c>
      <x:c r="N331" t="str">
        <x:f>IF(CaseLedger!$A331="","",CaseLedger!W331)</x:f>
      </x:c>
      <x:c r="O331" t="str">
        <x:f>IF(CaseLedger!$A331="","",CaseLedger!X331)</x:f>
      </x:c>
      <x:c r="P331" t="str">
        <x:f>IF(CaseLedger!$A331="","",CaseLedger!E331)</x:f>
      </x:c>
      <x:c r="Q331" t="str">
        <x:f>IF(CaseLedger!$A331="","",CaseLedger!C331)</x:f>
      </x:c>
      <x:c r="R331" t="str">
        <x:f>IF(CaseLedger!$A331="","",CaseLedger!D331)</x:f>
      </x:c>
      <x:c r="S331" t="str">
        <x:f>IFERROR(IF(CaseLedger!$A331="","",CaseLedger!Y331),"")</x:f>
      </x:c>
      <x:c r="T331" t="str">
        <x:f>IFERROR(IF(CaseLedger!$A331="","",CaseLedger!Z331),"")</x:f>
      </x:c>
      <x:c r="U331" t="str">
        <x:f>IFERROR(IF(CaseLedger!$A331="","",CaseLedger!AA331),"")</x:f>
      </x:c>
      <x:c r="V331" t="str">
        <x:f>IFERROR(IF(CaseLedger!$A331="","",CaseLedger!AB331),"")</x:f>
      </x:c>
      <x:c r="W331" t="str">
        <x:f>IFERROR(IF(CaseLedger!$A331="","",CaseLedger!AC331),"")</x:f>
      </x:c>
      <x:c r="X331" t="str">
        <x:f>IFERROR(IF(CaseLedger!$A331="","",CaseLedger!AD331),"")</x:f>
      </x:c>
      <x:c r="Y331" t="str">
        <x:f>IFERROR(IF(CaseLedger!$A331="","",CaseLedger!AE331),"")</x:f>
      </x:c>
      <x:c r="Z331" t="str">
        <x:f>IFERROR(IF(CaseLedger!$A331="","",CaseLedger!AF331),"")</x:f>
      </x:c>
      <x:c r="AA331" t="str">
        <x:f>IFERROR(IF(CaseLedger!$A331="","",CaseLedger!AG331),"")</x:f>
      </x:c>
      <x:c r="AB331" t="str">
        <x:f>IFERROR(IF(CaseLedger!$A331="","",CaseLedger!AH331),"")</x:f>
      </x:c>
      <x:c r="AC331" t="str">
        <x:f>IFERROR(IF(CaseLedger!$A331="","",CaseLedger!AI331),"")</x:f>
      </x:c>
    </x:row>
    <x:row r="332">
      <x:c r="A332" t="str">
        <x:f>IF(CaseLedger!$A332="","",CaseLedger!A332)</x:f>
      </x:c>
      <x:c r="B332" t="str">
        <x:f>IF(CaseLedger!$A332="","",CaseLedger!I332)</x:f>
      </x:c>
      <x:c r="C332" t="str">
        <x:f>IF(CaseLedger!$A332="","",CaseLedger!J332)</x:f>
      </x:c>
      <x:c r="D332" t="str">
        <x:f>IF(CaseLedger!$A332="","",CaseLedger!K332)</x:f>
      </x:c>
      <x:c r="E332" t="str">
        <x:f>IF(CaseLedger!$A332="","",CaseLedger!L332)</x:f>
      </x:c>
      <x:c r="F332" t="str">
        <x:f>IF(CaseLedger!$A332="","",CaseLedger!P332)</x:f>
      </x:c>
      <x:c r="G332" t="str">
        <x:f>IF(CaseLedger!$A332="","",CaseLedger!F332)</x:f>
      </x:c>
      <x:c r="H332" t="str">
        <x:f>IF(CaseLedger!$A332="","",CaseLedger!Q332)</x:f>
      </x:c>
      <x:c r="I332" t="str">
        <x:f>IF(CaseLedger!$A332="","",CaseLedger!R332)</x:f>
      </x:c>
      <x:c r="J332" t="str">
        <x:f>IF(CaseLedger!$A332="","",CaseLedger!S332)</x:f>
      </x:c>
      <x:c r="K332" t="str">
        <x:f>IF(CaseLedger!$A332="","",CaseLedger!T332)</x:f>
      </x:c>
      <x:c r="L332" t="str">
        <x:f>IF(CaseLedger!$A332="","",CaseLedger!U332)</x:f>
      </x:c>
      <x:c r="M332" t="str">
        <x:f>IF(CaseLedger!$A332="","",CaseLedger!V332)</x:f>
      </x:c>
      <x:c r="N332" t="str">
        <x:f>IF(CaseLedger!$A332="","",CaseLedger!W332)</x:f>
      </x:c>
      <x:c r="O332" t="str">
        <x:f>IF(CaseLedger!$A332="","",CaseLedger!X332)</x:f>
      </x:c>
      <x:c r="P332" t="str">
        <x:f>IF(CaseLedger!$A332="","",CaseLedger!E332)</x:f>
      </x:c>
      <x:c r="Q332" t="str">
        <x:f>IF(CaseLedger!$A332="","",CaseLedger!C332)</x:f>
      </x:c>
      <x:c r="R332" t="str">
        <x:f>IF(CaseLedger!$A332="","",CaseLedger!D332)</x:f>
      </x:c>
      <x:c r="S332" t="str">
        <x:f>IFERROR(IF(CaseLedger!$A332="","",CaseLedger!Y332),"")</x:f>
      </x:c>
      <x:c r="T332" t="str">
        <x:f>IFERROR(IF(CaseLedger!$A332="","",CaseLedger!Z332),"")</x:f>
      </x:c>
      <x:c r="U332" t="str">
        <x:f>IFERROR(IF(CaseLedger!$A332="","",CaseLedger!AA332),"")</x:f>
      </x:c>
      <x:c r="V332" t="str">
        <x:f>IFERROR(IF(CaseLedger!$A332="","",CaseLedger!AB332),"")</x:f>
      </x:c>
      <x:c r="W332" t="str">
        <x:f>IFERROR(IF(CaseLedger!$A332="","",CaseLedger!AC332),"")</x:f>
      </x:c>
      <x:c r="X332" t="str">
        <x:f>IFERROR(IF(CaseLedger!$A332="","",CaseLedger!AD332),"")</x:f>
      </x:c>
      <x:c r="Y332" t="str">
        <x:f>IFERROR(IF(CaseLedger!$A332="","",CaseLedger!AE332),"")</x:f>
      </x:c>
      <x:c r="Z332" t="str">
        <x:f>IFERROR(IF(CaseLedger!$A332="","",CaseLedger!AF332),"")</x:f>
      </x:c>
      <x:c r="AA332" t="str">
        <x:f>IFERROR(IF(CaseLedger!$A332="","",CaseLedger!AG332),"")</x:f>
      </x:c>
      <x:c r="AB332" t="str">
        <x:f>IFERROR(IF(CaseLedger!$A332="","",CaseLedger!AH332),"")</x:f>
      </x:c>
      <x:c r="AC332" t="str">
        <x:f>IFERROR(IF(CaseLedger!$A332="","",CaseLedger!AI332),"")</x:f>
      </x:c>
    </x:row>
    <x:row r="333">
      <x:c r="A333" t="str">
        <x:f>IF(CaseLedger!$A333="","",CaseLedger!A333)</x:f>
      </x:c>
      <x:c r="B333" t="str">
        <x:f>IF(CaseLedger!$A333="","",CaseLedger!I333)</x:f>
      </x:c>
      <x:c r="C333" t="str">
        <x:f>IF(CaseLedger!$A333="","",CaseLedger!J333)</x:f>
      </x:c>
      <x:c r="D333" t="str">
        <x:f>IF(CaseLedger!$A333="","",CaseLedger!K333)</x:f>
      </x:c>
      <x:c r="E333" t="str">
        <x:f>IF(CaseLedger!$A333="","",CaseLedger!L333)</x:f>
      </x:c>
      <x:c r="F333" t="str">
        <x:f>IF(CaseLedger!$A333="","",CaseLedger!P333)</x:f>
      </x:c>
      <x:c r="G333" t="str">
        <x:f>IF(CaseLedger!$A333="","",CaseLedger!F333)</x:f>
      </x:c>
      <x:c r="H333" t="str">
        <x:f>IF(CaseLedger!$A333="","",CaseLedger!Q333)</x:f>
      </x:c>
      <x:c r="I333" t="str">
        <x:f>IF(CaseLedger!$A333="","",CaseLedger!R333)</x:f>
      </x:c>
      <x:c r="J333" t="str">
        <x:f>IF(CaseLedger!$A333="","",CaseLedger!S333)</x:f>
      </x:c>
      <x:c r="K333" t="str">
        <x:f>IF(CaseLedger!$A333="","",CaseLedger!T333)</x:f>
      </x:c>
      <x:c r="L333" t="str">
        <x:f>IF(CaseLedger!$A333="","",CaseLedger!U333)</x:f>
      </x:c>
      <x:c r="M333" t="str">
        <x:f>IF(CaseLedger!$A333="","",CaseLedger!V333)</x:f>
      </x:c>
      <x:c r="N333" t="str">
        <x:f>IF(CaseLedger!$A333="","",CaseLedger!W333)</x:f>
      </x:c>
      <x:c r="O333" t="str">
        <x:f>IF(CaseLedger!$A333="","",CaseLedger!X333)</x:f>
      </x:c>
      <x:c r="P333" t="str">
        <x:f>IF(CaseLedger!$A333="","",CaseLedger!E333)</x:f>
      </x:c>
      <x:c r="Q333" t="str">
        <x:f>IF(CaseLedger!$A333="","",CaseLedger!C333)</x:f>
      </x:c>
      <x:c r="R333" t="str">
        <x:f>IF(CaseLedger!$A333="","",CaseLedger!D333)</x:f>
      </x:c>
      <x:c r="S333" t="str">
        <x:f>IFERROR(IF(CaseLedger!$A333="","",CaseLedger!Y333),"")</x:f>
      </x:c>
      <x:c r="T333" t="str">
        <x:f>IFERROR(IF(CaseLedger!$A333="","",CaseLedger!Z333),"")</x:f>
      </x:c>
      <x:c r="U333" t="str">
        <x:f>IFERROR(IF(CaseLedger!$A333="","",CaseLedger!AA333),"")</x:f>
      </x:c>
      <x:c r="V333" t="str">
        <x:f>IFERROR(IF(CaseLedger!$A333="","",CaseLedger!AB333),"")</x:f>
      </x:c>
      <x:c r="W333" t="str">
        <x:f>IFERROR(IF(CaseLedger!$A333="","",CaseLedger!AC333),"")</x:f>
      </x:c>
      <x:c r="X333" t="str">
        <x:f>IFERROR(IF(CaseLedger!$A333="","",CaseLedger!AD333),"")</x:f>
      </x:c>
      <x:c r="Y333" t="str">
        <x:f>IFERROR(IF(CaseLedger!$A333="","",CaseLedger!AE333),"")</x:f>
      </x:c>
      <x:c r="Z333" t="str">
        <x:f>IFERROR(IF(CaseLedger!$A333="","",CaseLedger!AF333),"")</x:f>
      </x:c>
      <x:c r="AA333" t="str">
        <x:f>IFERROR(IF(CaseLedger!$A333="","",CaseLedger!AG333),"")</x:f>
      </x:c>
      <x:c r="AB333" t="str">
        <x:f>IFERROR(IF(CaseLedger!$A333="","",CaseLedger!AH333),"")</x:f>
      </x:c>
      <x:c r="AC333" t="str">
        <x:f>IFERROR(IF(CaseLedger!$A333="","",CaseLedger!AI333),"")</x:f>
      </x:c>
    </x:row>
    <x:row r="334">
      <x:c r="A334" t="str">
        <x:f>IF(CaseLedger!$A334="","",CaseLedger!A334)</x:f>
      </x:c>
      <x:c r="B334" t="str">
        <x:f>IF(CaseLedger!$A334="","",CaseLedger!I334)</x:f>
      </x:c>
      <x:c r="C334" t="str">
        <x:f>IF(CaseLedger!$A334="","",CaseLedger!J334)</x:f>
      </x:c>
      <x:c r="D334" t="str">
        <x:f>IF(CaseLedger!$A334="","",CaseLedger!K334)</x:f>
      </x:c>
      <x:c r="E334" t="str">
        <x:f>IF(CaseLedger!$A334="","",CaseLedger!L334)</x:f>
      </x:c>
      <x:c r="F334" t="str">
        <x:f>IF(CaseLedger!$A334="","",CaseLedger!P334)</x:f>
      </x:c>
      <x:c r="G334" t="str">
        <x:f>IF(CaseLedger!$A334="","",CaseLedger!F334)</x:f>
      </x:c>
      <x:c r="H334" t="str">
        <x:f>IF(CaseLedger!$A334="","",CaseLedger!Q334)</x:f>
      </x:c>
      <x:c r="I334" t="str">
        <x:f>IF(CaseLedger!$A334="","",CaseLedger!R334)</x:f>
      </x:c>
      <x:c r="J334" t="str">
        <x:f>IF(CaseLedger!$A334="","",CaseLedger!S334)</x:f>
      </x:c>
      <x:c r="K334" t="str">
        <x:f>IF(CaseLedger!$A334="","",CaseLedger!T334)</x:f>
      </x:c>
      <x:c r="L334" t="str">
        <x:f>IF(CaseLedger!$A334="","",CaseLedger!U334)</x:f>
      </x:c>
      <x:c r="M334" t="str">
        <x:f>IF(CaseLedger!$A334="","",CaseLedger!V334)</x:f>
      </x:c>
      <x:c r="N334" t="str">
        <x:f>IF(CaseLedger!$A334="","",CaseLedger!W334)</x:f>
      </x:c>
      <x:c r="O334" t="str">
        <x:f>IF(CaseLedger!$A334="","",CaseLedger!X334)</x:f>
      </x:c>
      <x:c r="P334" t="str">
        <x:f>IF(CaseLedger!$A334="","",CaseLedger!E334)</x:f>
      </x:c>
      <x:c r="Q334" t="str">
        <x:f>IF(CaseLedger!$A334="","",CaseLedger!C334)</x:f>
      </x:c>
      <x:c r="R334" t="str">
        <x:f>IF(CaseLedger!$A334="","",CaseLedger!D334)</x:f>
      </x:c>
      <x:c r="S334" t="str">
        <x:f>IFERROR(IF(CaseLedger!$A334="","",CaseLedger!Y334),"")</x:f>
      </x:c>
      <x:c r="T334" t="str">
        <x:f>IFERROR(IF(CaseLedger!$A334="","",CaseLedger!Z334),"")</x:f>
      </x:c>
      <x:c r="U334" t="str">
        <x:f>IFERROR(IF(CaseLedger!$A334="","",CaseLedger!AA334),"")</x:f>
      </x:c>
      <x:c r="V334" t="str">
        <x:f>IFERROR(IF(CaseLedger!$A334="","",CaseLedger!AB334),"")</x:f>
      </x:c>
      <x:c r="W334" t="str">
        <x:f>IFERROR(IF(CaseLedger!$A334="","",CaseLedger!AC334),"")</x:f>
      </x:c>
      <x:c r="X334" t="str">
        <x:f>IFERROR(IF(CaseLedger!$A334="","",CaseLedger!AD334),"")</x:f>
      </x:c>
      <x:c r="Y334" t="str">
        <x:f>IFERROR(IF(CaseLedger!$A334="","",CaseLedger!AE334),"")</x:f>
      </x:c>
      <x:c r="Z334" t="str">
        <x:f>IFERROR(IF(CaseLedger!$A334="","",CaseLedger!AF334),"")</x:f>
      </x:c>
      <x:c r="AA334" t="str">
        <x:f>IFERROR(IF(CaseLedger!$A334="","",CaseLedger!AG334),"")</x:f>
      </x:c>
      <x:c r="AB334" t="str">
        <x:f>IFERROR(IF(CaseLedger!$A334="","",CaseLedger!AH334),"")</x:f>
      </x:c>
      <x:c r="AC334" t="str">
        <x:f>IFERROR(IF(CaseLedger!$A334="","",CaseLedger!AI334),"")</x:f>
      </x:c>
    </x:row>
    <x:row r="335">
      <x:c r="A335" t="str">
        <x:f>IF(CaseLedger!$A335="","",CaseLedger!A335)</x:f>
      </x:c>
      <x:c r="B335" t="str">
        <x:f>IF(CaseLedger!$A335="","",CaseLedger!I335)</x:f>
      </x:c>
      <x:c r="C335" t="str">
        <x:f>IF(CaseLedger!$A335="","",CaseLedger!J335)</x:f>
      </x:c>
      <x:c r="D335" t="str">
        <x:f>IF(CaseLedger!$A335="","",CaseLedger!K335)</x:f>
      </x:c>
      <x:c r="E335" t="str">
        <x:f>IF(CaseLedger!$A335="","",CaseLedger!L335)</x:f>
      </x:c>
      <x:c r="F335" t="str">
        <x:f>IF(CaseLedger!$A335="","",CaseLedger!P335)</x:f>
      </x:c>
      <x:c r="G335" t="str">
        <x:f>IF(CaseLedger!$A335="","",CaseLedger!F335)</x:f>
      </x:c>
      <x:c r="H335" t="str">
        <x:f>IF(CaseLedger!$A335="","",CaseLedger!Q335)</x:f>
      </x:c>
      <x:c r="I335" t="str">
        <x:f>IF(CaseLedger!$A335="","",CaseLedger!R335)</x:f>
      </x:c>
      <x:c r="J335" t="str">
        <x:f>IF(CaseLedger!$A335="","",CaseLedger!S335)</x:f>
      </x:c>
      <x:c r="K335" t="str">
        <x:f>IF(CaseLedger!$A335="","",CaseLedger!T335)</x:f>
      </x:c>
      <x:c r="L335" t="str">
        <x:f>IF(CaseLedger!$A335="","",CaseLedger!U335)</x:f>
      </x:c>
      <x:c r="M335" t="str">
        <x:f>IF(CaseLedger!$A335="","",CaseLedger!V335)</x:f>
      </x:c>
      <x:c r="N335" t="str">
        <x:f>IF(CaseLedger!$A335="","",CaseLedger!W335)</x:f>
      </x:c>
      <x:c r="O335" t="str">
        <x:f>IF(CaseLedger!$A335="","",CaseLedger!X335)</x:f>
      </x:c>
      <x:c r="P335" t="str">
        <x:f>IF(CaseLedger!$A335="","",CaseLedger!E335)</x:f>
      </x:c>
      <x:c r="Q335" t="str">
        <x:f>IF(CaseLedger!$A335="","",CaseLedger!C335)</x:f>
      </x:c>
      <x:c r="R335" t="str">
        <x:f>IF(CaseLedger!$A335="","",CaseLedger!D335)</x:f>
      </x:c>
      <x:c r="S335" t="str">
        <x:f>IFERROR(IF(CaseLedger!$A335="","",CaseLedger!Y335),"")</x:f>
      </x:c>
      <x:c r="T335" t="str">
        <x:f>IFERROR(IF(CaseLedger!$A335="","",CaseLedger!Z335),"")</x:f>
      </x:c>
      <x:c r="U335" t="str">
        <x:f>IFERROR(IF(CaseLedger!$A335="","",CaseLedger!AA335),"")</x:f>
      </x:c>
      <x:c r="V335" t="str">
        <x:f>IFERROR(IF(CaseLedger!$A335="","",CaseLedger!AB335),"")</x:f>
      </x:c>
      <x:c r="W335" t="str">
        <x:f>IFERROR(IF(CaseLedger!$A335="","",CaseLedger!AC335),"")</x:f>
      </x:c>
      <x:c r="X335" t="str">
        <x:f>IFERROR(IF(CaseLedger!$A335="","",CaseLedger!AD335),"")</x:f>
      </x:c>
      <x:c r="Y335" t="str">
        <x:f>IFERROR(IF(CaseLedger!$A335="","",CaseLedger!AE335),"")</x:f>
      </x:c>
      <x:c r="Z335" t="str">
        <x:f>IFERROR(IF(CaseLedger!$A335="","",CaseLedger!AF335),"")</x:f>
      </x:c>
      <x:c r="AA335" t="str">
        <x:f>IFERROR(IF(CaseLedger!$A335="","",CaseLedger!AG335),"")</x:f>
      </x:c>
      <x:c r="AB335" t="str">
        <x:f>IFERROR(IF(CaseLedger!$A335="","",CaseLedger!AH335),"")</x:f>
      </x:c>
      <x:c r="AC335" t="str">
        <x:f>IFERROR(IF(CaseLedger!$A335="","",CaseLedger!AI335),"")</x:f>
      </x:c>
    </x:row>
    <x:row r="336">
      <x:c r="A336" t="str">
        <x:f>IF(CaseLedger!$A336="","",CaseLedger!A336)</x:f>
      </x:c>
      <x:c r="B336" t="str">
        <x:f>IF(CaseLedger!$A336="","",CaseLedger!I336)</x:f>
      </x:c>
      <x:c r="C336" t="str">
        <x:f>IF(CaseLedger!$A336="","",CaseLedger!J336)</x:f>
      </x:c>
      <x:c r="D336" t="str">
        <x:f>IF(CaseLedger!$A336="","",CaseLedger!K336)</x:f>
      </x:c>
      <x:c r="E336" t="str">
        <x:f>IF(CaseLedger!$A336="","",CaseLedger!L336)</x:f>
      </x:c>
      <x:c r="F336" t="str">
        <x:f>IF(CaseLedger!$A336="","",CaseLedger!P336)</x:f>
      </x:c>
      <x:c r="G336" t="str">
        <x:f>IF(CaseLedger!$A336="","",CaseLedger!F336)</x:f>
      </x:c>
      <x:c r="H336" t="str">
        <x:f>IF(CaseLedger!$A336="","",CaseLedger!Q336)</x:f>
      </x:c>
      <x:c r="I336" t="str">
        <x:f>IF(CaseLedger!$A336="","",CaseLedger!R336)</x:f>
      </x:c>
      <x:c r="J336" t="str">
        <x:f>IF(CaseLedger!$A336="","",CaseLedger!S336)</x:f>
      </x:c>
      <x:c r="K336" t="str">
        <x:f>IF(CaseLedger!$A336="","",CaseLedger!T336)</x:f>
      </x:c>
      <x:c r="L336" t="str">
        <x:f>IF(CaseLedger!$A336="","",CaseLedger!U336)</x:f>
      </x:c>
      <x:c r="M336" t="str">
        <x:f>IF(CaseLedger!$A336="","",CaseLedger!V336)</x:f>
      </x:c>
      <x:c r="N336" t="str">
        <x:f>IF(CaseLedger!$A336="","",CaseLedger!W336)</x:f>
      </x:c>
      <x:c r="O336" t="str">
        <x:f>IF(CaseLedger!$A336="","",CaseLedger!X336)</x:f>
      </x:c>
      <x:c r="P336" t="str">
        <x:f>IF(CaseLedger!$A336="","",CaseLedger!E336)</x:f>
      </x:c>
      <x:c r="Q336" t="str">
        <x:f>IF(CaseLedger!$A336="","",CaseLedger!C336)</x:f>
      </x:c>
      <x:c r="R336" t="str">
        <x:f>IF(CaseLedger!$A336="","",CaseLedger!D336)</x:f>
      </x:c>
      <x:c r="S336" t="str">
        <x:f>IFERROR(IF(CaseLedger!$A336="","",CaseLedger!Y336),"")</x:f>
      </x:c>
      <x:c r="T336" t="str">
        <x:f>IFERROR(IF(CaseLedger!$A336="","",CaseLedger!Z336),"")</x:f>
      </x:c>
      <x:c r="U336" t="str">
        <x:f>IFERROR(IF(CaseLedger!$A336="","",CaseLedger!AA336),"")</x:f>
      </x:c>
      <x:c r="V336" t="str">
        <x:f>IFERROR(IF(CaseLedger!$A336="","",CaseLedger!AB336),"")</x:f>
      </x:c>
      <x:c r="W336" t="str">
        <x:f>IFERROR(IF(CaseLedger!$A336="","",CaseLedger!AC336),"")</x:f>
      </x:c>
      <x:c r="X336" t="str">
        <x:f>IFERROR(IF(CaseLedger!$A336="","",CaseLedger!AD336),"")</x:f>
      </x:c>
      <x:c r="Y336" t="str">
        <x:f>IFERROR(IF(CaseLedger!$A336="","",CaseLedger!AE336),"")</x:f>
      </x:c>
      <x:c r="Z336" t="str">
        <x:f>IFERROR(IF(CaseLedger!$A336="","",CaseLedger!AF336),"")</x:f>
      </x:c>
      <x:c r="AA336" t="str">
        <x:f>IFERROR(IF(CaseLedger!$A336="","",CaseLedger!AG336),"")</x:f>
      </x:c>
      <x:c r="AB336" t="str">
        <x:f>IFERROR(IF(CaseLedger!$A336="","",CaseLedger!AH336),"")</x:f>
      </x:c>
      <x:c r="AC336" t="str">
        <x:f>IFERROR(IF(CaseLedger!$A336="","",CaseLedger!AI336),"")</x:f>
      </x:c>
    </x:row>
    <x:row r="337">
      <x:c r="A337" t="str">
        <x:f>IF(CaseLedger!$A337="","",CaseLedger!A337)</x:f>
      </x:c>
      <x:c r="B337" t="str">
        <x:f>IF(CaseLedger!$A337="","",CaseLedger!I337)</x:f>
      </x:c>
      <x:c r="C337" t="str">
        <x:f>IF(CaseLedger!$A337="","",CaseLedger!J337)</x:f>
      </x:c>
      <x:c r="D337" t="str">
        <x:f>IF(CaseLedger!$A337="","",CaseLedger!K337)</x:f>
      </x:c>
      <x:c r="E337" t="str">
        <x:f>IF(CaseLedger!$A337="","",CaseLedger!L337)</x:f>
      </x:c>
      <x:c r="F337" t="str">
        <x:f>IF(CaseLedger!$A337="","",CaseLedger!P337)</x:f>
      </x:c>
      <x:c r="G337" t="str">
        <x:f>IF(CaseLedger!$A337="","",CaseLedger!F337)</x:f>
      </x:c>
      <x:c r="H337" t="str">
        <x:f>IF(CaseLedger!$A337="","",CaseLedger!Q337)</x:f>
      </x:c>
      <x:c r="I337" t="str">
        <x:f>IF(CaseLedger!$A337="","",CaseLedger!R337)</x:f>
      </x:c>
      <x:c r="J337" t="str">
        <x:f>IF(CaseLedger!$A337="","",CaseLedger!S337)</x:f>
      </x:c>
      <x:c r="K337" t="str">
        <x:f>IF(CaseLedger!$A337="","",CaseLedger!T337)</x:f>
      </x:c>
      <x:c r="L337" t="str">
        <x:f>IF(CaseLedger!$A337="","",CaseLedger!U337)</x:f>
      </x:c>
      <x:c r="M337" t="str">
        <x:f>IF(CaseLedger!$A337="","",CaseLedger!V337)</x:f>
      </x:c>
      <x:c r="N337" t="str">
        <x:f>IF(CaseLedger!$A337="","",CaseLedger!W337)</x:f>
      </x:c>
      <x:c r="O337" t="str">
        <x:f>IF(CaseLedger!$A337="","",CaseLedger!X337)</x:f>
      </x:c>
      <x:c r="P337" t="str">
        <x:f>IF(CaseLedger!$A337="","",CaseLedger!E337)</x:f>
      </x:c>
      <x:c r="Q337" t="str">
        <x:f>IF(CaseLedger!$A337="","",CaseLedger!C337)</x:f>
      </x:c>
      <x:c r="R337" t="str">
        <x:f>IF(CaseLedger!$A337="","",CaseLedger!D337)</x:f>
      </x:c>
      <x:c r="S337" t="str">
        <x:f>IFERROR(IF(CaseLedger!$A337="","",CaseLedger!Y337),"")</x:f>
      </x:c>
      <x:c r="T337" t="str">
        <x:f>IFERROR(IF(CaseLedger!$A337="","",CaseLedger!Z337),"")</x:f>
      </x:c>
      <x:c r="U337" t="str">
        <x:f>IFERROR(IF(CaseLedger!$A337="","",CaseLedger!AA337),"")</x:f>
      </x:c>
      <x:c r="V337" t="str">
        <x:f>IFERROR(IF(CaseLedger!$A337="","",CaseLedger!AB337),"")</x:f>
      </x:c>
      <x:c r="W337" t="str">
        <x:f>IFERROR(IF(CaseLedger!$A337="","",CaseLedger!AC337),"")</x:f>
      </x:c>
      <x:c r="X337" t="str">
        <x:f>IFERROR(IF(CaseLedger!$A337="","",CaseLedger!AD337),"")</x:f>
      </x:c>
      <x:c r="Y337" t="str">
        <x:f>IFERROR(IF(CaseLedger!$A337="","",CaseLedger!AE337),"")</x:f>
      </x:c>
      <x:c r="Z337" t="str">
        <x:f>IFERROR(IF(CaseLedger!$A337="","",CaseLedger!AF337),"")</x:f>
      </x:c>
      <x:c r="AA337" t="str">
        <x:f>IFERROR(IF(CaseLedger!$A337="","",CaseLedger!AG337),"")</x:f>
      </x:c>
      <x:c r="AB337" t="str">
        <x:f>IFERROR(IF(CaseLedger!$A337="","",CaseLedger!AH337),"")</x:f>
      </x:c>
      <x:c r="AC337" t="str">
        <x:f>IFERROR(IF(CaseLedger!$A337="","",CaseLedger!AI337),"")</x:f>
      </x:c>
    </x:row>
    <x:row r="338">
      <x:c r="A338" t="str">
        <x:f>IF(CaseLedger!$A338="","",CaseLedger!A338)</x:f>
      </x:c>
      <x:c r="B338" t="str">
        <x:f>IF(CaseLedger!$A338="","",CaseLedger!I338)</x:f>
      </x:c>
      <x:c r="C338" t="str">
        <x:f>IF(CaseLedger!$A338="","",CaseLedger!J338)</x:f>
      </x:c>
      <x:c r="D338" t="str">
        <x:f>IF(CaseLedger!$A338="","",CaseLedger!K338)</x:f>
      </x:c>
      <x:c r="E338" t="str">
        <x:f>IF(CaseLedger!$A338="","",CaseLedger!L338)</x:f>
      </x:c>
      <x:c r="F338" t="str">
        <x:f>IF(CaseLedger!$A338="","",CaseLedger!P338)</x:f>
      </x:c>
      <x:c r="G338" t="str">
        <x:f>IF(CaseLedger!$A338="","",CaseLedger!F338)</x:f>
      </x:c>
      <x:c r="H338" t="str">
        <x:f>IF(CaseLedger!$A338="","",CaseLedger!Q338)</x:f>
      </x:c>
      <x:c r="I338" t="str">
        <x:f>IF(CaseLedger!$A338="","",CaseLedger!R338)</x:f>
      </x:c>
      <x:c r="J338" t="str">
        <x:f>IF(CaseLedger!$A338="","",CaseLedger!S338)</x:f>
      </x:c>
      <x:c r="K338" t="str">
        <x:f>IF(CaseLedger!$A338="","",CaseLedger!T338)</x:f>
      </x:c>
      <x:c r="L338" t="str">
        <x:f>IF(CaseLedger!$A338="","",CaseLedger!U338)</x:f>
      </x:c>
      <x:c r="M338" t="str">
        <x:f>IF(CaseLedger!$A338="","",CaseLedger!V338)</x:f>
      </x:c>
      <x:c r="N338" t="str">
        <x:f>IF(CaseLedger!$A338="","",CaseLedger!W338)</x:f>
      </x:c>
      <x:c r="O338" t="str">
        <x:f>IF(CaseLedger!$A338="","",CaseLedger!X338)</x:f>
      </x:c>
      <x:c r="P338" t="str">
        <x:f>IF(CaseLedger!$A338="","",CaseLedger!E338)</x:f>
      </x:c>
      <x:c r="Q338" t="str">
        <x:f>IF(CaseLedger!$A338="","",CaseLedger!C338)</x:f>
      </x:c>
      <x:c r="R338" t="str">
        <x:f>IF(CaseLedger!$A338="","",CaseLedger!D338)</x:f>
      </x:c>
      <x:c r="S338" t="str">
        <x:f>IFERROR(IF(CaseLedger!$A338="","",CaseLedger!Y338),"")</x:f>
      </x:c>
      <x:c r="T338" t="str">
        <x:f>IFERROR(IF(CaseLedger!$A338="","",CaseLedger!Z338),"")</x:f>
      </x:c>
      <x:c r="U338" t="str">
        <x:f>IFERROR(IF(CaseLedger!$A338="","",CaseLedger!AA338),"")</x:f>
      </x:c>
      <x:c r="V338" t="str">
        <x:f>IFERROR(IF(CaseLedger!$A338="","",CaseLedger!AB338),"")</x:f>
      </x:c>
      <x:c r="W338" t="str">
        <x:f>IFERROR(IF(CaseLedger!$A338="","",CaseLedger!AC338),"")</x:f>
      </x:c>
      <x:c r="X338" t="str">
        <x:f>IFERROR(IF(CaseLedger!$A338="","",CaseLedger!AD338),"")</x:f>
      </x:c>
      <x:c r="Y338" t="str">
        <x:f>IFERROR(IF(CaseLedger!$A338="","",CaseLedger!AE338),"")</x:f>
      </x:c>
      <x:c r="Z338" t="str">
        <x:f>IFERROR(IF(CaseLedger!$A338="","",CaseLedger!AF338),"")</x:f>
      </x:c>
      <x:c r="AA338" t="str">
        <x:f>IFERROR(IF(CaseLedger!$A338="","",CaseLedger!AG338),"")</x:f>
      </x:c>
      <x:c r="AB338" t="str">
        <x:f>IFERROR(IF(CaseLedger!$A338="","",CaseLedger!AH338),"")</x:f>
      </x:c>
      <x:c r="AC338" t="str">
        <x:f>IFERROR(IF(CaseLedger!$A338="","",CaseLedger!AI338),"")</x:f>
      </x:c>
    </x:row>
    <x:row r="339">
      <x:c r="A339" t="str">
        <x:f>IF(CaseLedger!$A339="","",CaseLedger!A339)</x:f>
      </x:c>
      <x:c r="B339" t="str">
        <x:f>IF(CaseLedger!$A339="","",CaseLedger!I339)</x:f>
      </x:c>
      <x:c r="C339" t="str">
        <x:f>IF(CaseLedger!$A339="","",CaseLedger!J339)</x:f>
      </x:c>
      <x:c r="D339" t="str">
        <x:f>IF(CaseLedger!$A339="","",CaseLedger!K339)</x:f>
      </x:c>
      <x:c r="E339" t="str">
        <x:f>IF(CaseLedger!$A339="","",CaseLedger!L339)</x:f>
      </x:c>
      <x:c r="F339" t="str">
        <x:f>IF(CaseLedger!$A339="","",CaseLedger!P339)</x:f>
      </x:c>
      <x:c r="G339" t="str">
        <x:f>IF(CaseLedger!$A339="","",CaseLedger!F339)</x:f>
      </x:c>
      <x:c r="H339" t="str">
        <x:f>IF(CaseLedger!$A339="","",CaseLedger!Q339)</x:f>
      </x:c>
      <x:c r="I339" t="str">
        <x:f>IF(CaseLedger!$A339="","",CaseLedger!R339)</x:f>
      </x:c>
      <x:c r="J339" t="str">
        <x:f>IF(CaseLedger!$A339="","",CaseLedger!S339)</x:f>
      </x:c>
      <x:c r="K339" t="str">
        <x:f>IF(CaseLedger!$A339="","",CaseLedger!T339)</x:f>
      </x:c>
      <x:c r="L339" t="str">
        <x:f>IF(CaseLedger!$A339="","",CaseLedger!U339)</x:f>
      </x:c>
      <x:c r="M339" t="str">
        <x:f>IF(CaseLedger!$A339="","",CaseLedger!V339)</x:f>
      </x:c>
      <x:c r="N339" t="str">
        <x:f>IF(CaseLedger!$A339="","",CaseLedger!W339)</x:f>
      </x:c>
      <x:c r="O339" t="str">
        <x:f>IF(CaseLedger!$A339="","",CaseLedger!X339)</x:f>
      </x:c>
      <x:c r="P339" t="str">
        <x:f>IF(CaseLedger!$A339="","",CaseLedger!E339)</x:f>
      </x:c>
      <x:c r="Q339" t="str">
        <x:f>IF(CaseLedger!$A339="","",CaseLedger!C339)</x:f>
      </x:c>
      <x:c r="R339" t="str">
        <x:f>IF(CaseLedger!$A339="","",CaseLedger!D339)</x:f>
      </x:c>
      <x:c r="S339" t="str">
        <x:f>IFERROR(IF(CaseLedger!$A339="","",CaseLedger!Y339),"")</x:f>
      </x:c>
      <x:c r="T339" t="str">
        <x:f>IFERROR(IF(CaseLedger!$A339="","",CaseLedger!Z339),"")</x:f>
      </x:c>
      <x:c r="U339" t="str">
        <x:f>IFERROR(IF(CaseLedger!$A339="","",CaseLedger!AA339),"")</x:f>
      </x:c>
      <x:c r="V339" t="str">
        <x:f>IFERROR(IF(CaseLedger!$A339="","",CaseLedger!AB339),"")</x:f>
      </x:c>
      <x:c r="W339" t="str">
        <x:f>IFERROR(IF(CaseLedger!$A339="","",CaseLedger!AC339),"")</x:f>
      </x:c>
      <x:c r="X339" t="str">
        <x:f>IFERROR(IF(CaseLedger!$A339="","",CaseLedger!AD339),"")</x:f>
      </x:c>
      <x:c r="Y339" t="str">
        <x:f>IFERROR(IF(CaseLedger!$A339="","",CaseLedger!AE339),"")</x:f>
      </x:c>
      <x:c r="Z339" t="str">
        <x:f>IFERROR(IF(CaseLedger!$A339="","",CaseLedger!AF339),"")</x:f>
      </x:c>
      <x:c r="AA339" t="str">
        <x:f>IFERROR(IF(CaseLedger!$A339="","",CaseLedger!AG339),"")</x:f>
      </x:c>
      <x:c r="AB339" t="str">
        <x:f>IFERROR(IF(CaseLedger!$A339="","",CaseLedger!AH339),"")</x:f>
      </x:c>
      <x:c r="AC339" t="str">
        <x:f>IFERROR(IF(CaseLedger!$A339="","",CaseLedger!AI339),"")</x:f>
      </x:c>
    </x:row>
    <x:row r="340">
      <x:c r="A340" t="str">
        <x:f>IF(CaseLedger!$A340="","",CaseLedger!A340)</x:f>
      </x:c>
      <x:c r="B340" t="str">
        <x:f>IF(CaseLedger!$A340="","",CaseLedger!I340)</x:f>
      </x:c>
      <x:c r="C340" t="str">
        <x:f>IF(CaseLedger!$A340="","",CaseLedger!J340)</x:f>
      </x:c>
      <x:c r="D340" t="str">
        <x:f>IF(CaseLedger!$A340="","",CaseLedger!K340)</x:f>
      </x:c>
      <x:c r="E340" t="str">
        <x:f>IF(CaseLedger!$A340="","",CaseLedger!L340)</x:f>
      </x:c>
      <x:c r="F340" t="str">
        <x:f>IF(CaseLedger!$A340="","",CaseLedger!P340)</x:f>
      </x:c>
      <x:c r="G340" t="str">
        <x:f>IF(CaseLedger!$A340="","",CaseLedger!F340)</x:f>
      </x:c>
      <x:c r="H340" t="str">
        <x:f>IF(CaseLedger!$A340="","",CaseLedger!Q340)</x:f>
      </x:c>
      <x:c r="I340" t="str">
        <x:f>IF(CaseLedger!$A340="","",CaseLedger!R340)</x:f>
      </x:c>
      <x:c r="J340" t="str">
        <x:f>IF(CaseLedger!$A340="","",CaseLedger!S340)</x:f>
      </x:c>
      <x:c r="K340" t="str">
        <x:f>IF(CaseLedger!$A340="","",CaseLedger!T340)</x:f>
      </x:c>
      <x:c r="L340" t="str">
        <x:f>IF(CaseLedger!$A340="","",CaseLedger!U340)</x:f>
      </x:c>
      <x:c r="M340" t="str">
        <x:f>IF(CaseLedger!$A340="","",CaseLedger!V340)</x:f>
      </x:c>
      <x:c r="N340" t="str">
        <x:f>IF(CaseLedger!$A340="","",CaseLedger!W340)</x:f>
      </x:c>
      <x:c r="O340" t="str">
        <x:f>IF(CaseLedger!$A340="","",CaseLedger!X340)</x:f>
      </x:c>
      <x:c r="P340" t="str">
        <x:f>IF(CaseLedger!$A340="","",CaseLedger!E340)</x:f>
      </x:c>
      <x:c r="Q340" t="str">
        <x:f>IF(CaseLedger!$A340="","",CaseLedger!C340)</x:f>
      </x:c>
      <x:c r="R340" t="str">
        <x:f>IF(CaseLedger!$A340="","",CaseLedger!D340)</x:f>
      </x:c>
      <x:c r="S340" t="str">
        <x:f>IFERROR(IF(CaseLedger!$A340="","",CaseLedger!Y340),"")</x:f>
      </x:c>
      <x:c r="T340" t="str">
        <x:f>IFERROR(IF(CaseLedger!$A340="","",CaseLedger!Z340),"")</x:f>
      </x:c>
      <x:c r="U340" t="str">
        <x:f>IFERROR(IF(CaseLedger!$A340="","",CaseLedger!AA340),"")</x:f>
      </x:c>
      <x:c r="V340" t="str">
        <x:f>IFERROR(IF(CaseLedger!$A340="","",CaseLedger!AB340),"")</x:f>
      </x:c>
      <x:c r="W340" t="str">
        <x:f>IFERROR(IF(CaseLedger!$A340="","",CaseLedger!AC340),"")</x:f>
      </x:c>
      <x:c r="X340" t="str">
        <x:f>IFERROR(IF(CaseLedger!$A340="","",CaseLedger!AD340),"")</x:f>
      </x:c>
      <x:c r="Y340" t="str">
        <x:f>IFERROR(IF(CaseLedger!$A340="","",CaseLedger!AE340),"")</x:f>
      </x:c>
      <x:c r="Z340" t="str">
        <x:f>IFERROR(IF(CaseLedger!$A340="","",CaseLedger!AF340),"")</x:f>
      </x:c>
      <x:c r="AA340" t="str">
        <x:f>IFERROR(IF(CaseLedger!$A340="","",CaseLedger!AG340),"")</x:f>
      </x:c>
      <x:c r="AB340" t="str">
        <x:f>IFERROR(IF(CaseLedger!$A340="","",CaseLedger!AH340),"")</x:f>
      </x:c>
      <x:c r="AC340" t="str">
        <x:f>IFERROR(IF(CaseLedger!$A340="","",CaseLedger!AI340),"")</x:f>
      </x:c>
    </x:row>
    <x:row r="341">
      <x:c r="A341" t="str">
        <x:f>IF(CaseLedger!$A341="","",CaseLedger!A341)</x:f>
      </x:c>
      <x:c r="B341" t="str">
        <x:f>IF(CaseLedger!$A341="","",CaseLedger!I341)</x:f>
      </x:c>
      <x:c r="C341" t="str">
        <x:f>IF(CaseLedger!$A341="","",CaseLedger!J341)</x:f>
      </x:c>
      <x:c r="D341" t="str">
        <x:f>IF(CaseLedger!$A341="","",CaseLedger!K341)</x:f>
      </x:c>
      <x:c r="E341" t="str">
        <x:f>IF(CaseLedger!$A341="","",CaseLedger!L341)</x:f>
      </x:c>
      <x:c r="F341" t="str">
        <x:f>IF(CaseLedger!$A341="","",CaseLedger!P341)</x:f>
      </x:c>
      <x:c r="G341" t="str">
        <x:f>IF(CaseLedger!$A341="","",CaseLedger!F341)</x:f>
      </x:c>
      <x:c r="H341" t="str">
        <x:f>IF(CaseLedger!$A341="","",CaseLedger!Q341)</x:f>
      </x:c>
      <x:c r="I341" t="str">
        <x:f>IF(CaseLedger!$A341="","",CaseLedger!R341)</x:f>
      </x:c>
      <x:c r="J341" t="str">
        <x:f>IF(CaseLedger!$A341="","",CaseLedger!S341)</x:f>
      </x:c>
      <x:c r="K341" t="str">
        <x:f>IF(CaseLedger!$A341="","",CaseLedger!T341)</x:f>
      </x:c>
      <x:c r="L341" t="str">
        <x:f>IF(CaseLedger!$A341="","",CaseLedger!U341)</x:f>
      </x:c>
      <x:c r="M341" t="str">
        <x:f>IF(CaseLedger!$A341="","",CaseLedger!V341)</x:f>
      </x:c>
      <x:c r="N341" t="str">
        <x:f>IF(CaseLedger!$A341="","",CaseLedger!W341)</x:f>
      </x:c>
      <x:c r="O341" t="str">
        <x:f>IF(CaseLedger!$A341="","",CaseLedger!X341)</x:f>
      </x:c>
      <x:c r="P341" t="str">
        <x:f>IF(CaseLedger!$A341="","",CaseLedger!E341)</x:f>
      </x:c>
      <x:c r="Q341" t="str">
        <x:f>IF(CaseLedger!$A341="","",CaseLedger!C341)</x:f>
      </x:c>
      <x:c r="R341" t="str">
        <x:f>IF(CaseLedger!$A341="","",CaseLedger!D341)</x:f>
      </x:c>
      <x:c r="S341" t="str">
        <x:f>IFERROR(IF(CaseLedger!$A341="","",CaseLedger!Y341),"")</x:f>
      </x:c>
      <x:c r="T341" t="str">
        <x:f>IFERROR(IF(CaseLedger!$A341="","",CaseLedger!Z341),"")</x:f>
      </x:c>
      <x:c r="U341" t="str">
        <x:f>IFERROR(IF(CaseLedger!$A341="","",CaseLedger!AA341),"")</x:f>
      </x:c>
      <x:c r="V341" t="str">
        <x:f>IFERROR(IF(CaseLedger!$A341="","",CaseLedger!AB341),"")</x:f>
      </x:c>
      <x:c r="W341" t="str">
        <x:f>IFERROR(IF(CaseLedger!$A341="","",CaseLedger!AC341),"")</x:f>
      </x:c>
      <x:c r="X341" t="str">
        <x:f>IFERROR(IF(CaseLedger!$A341="","",CaseLedger!AD341),"")</x:f>
      </x:c>
      <x:c r="Y341" t="str">
        <x:f>IFERROR(IF(CaseLedger!$A341="","",CaseLedger!AE341),"")</x:f>
      </x:c>
      <x:c r="Z341" t="str">
        <x:f>IFERROR(IF(CaseLedger!$A341="","",CaseLedger!AF341),"")</x:f>
      </x:c>
      <x:c r="AA341" t="str">
        <x:f>IFERROR(IF(CaseLedger!$A341="","",CaseLedger!AG341),"")</x:f>
      </x:c>
      <x:c r="AB341" t="str">
        <x:f>IFERROR(IF(CaseLedger!$A341="","",CaseLedger!AH341),"")</x:f>
      </x:c>
      <x:c r="AC341" t="str">
        <x:f>IFERROR(IF(CaseLedger!$A341="","",CaseLedger!AI341),"")</x:f>
      </x:c>
    </x:row>
    <x:row r="342">
      <x:c r="A342" t="str">
        <x:f>IF(CaseLedger!$A342="","",CaseLedger!A342)</x:f>
      </x:c>
      <x:c r="B342" t="str">
        <x:f>IF(CaseLedger!$A342="","",CaseLedger!I342)</x:f>
      </x:c>
      <x:c r="C342" t="str">
        <x:f>IF(CaseLedger!$A342="","",CaseLedger!J342)</x:f>
      </x:c>
      <x:c r="D342" t="str">
        <x:f>IF(CaseLedger!$A342="","",CaseLedger!K342)</x:f>
      </x:c>
      <x:c r="E342" t="str">
        <x:f>IF(CaseLedger!$A342="","",CaseLedger!L342)</x:f>
      </x:c>
      <x:c r="F342" t="str">
        <x:f>IF(CaseLedger!$A342="","",CaseLedger!P342)</x:f>
      </x:c>
      <x:c r="G342" t="str">
        <x:f>IF(CaseLedger!$A342="","",CaseLedger!F342)</x:f>
      </x:c>
      <x:c r="H342" t="str">
        <x:f>IF(CaseLedger!$A342="","",CaseLedger!Q342)</x:f>
      </x:c>
      <x:c r="I342" t="str">
        <x:f>IF(CaseLedger!$A342="","",CaseLedger!R342)</x:f>
      </x:c>
      <x:c r="J342" t="str">
        <x:f>IF(CaseLedger!$A342="","",CaseLedger!S342)</x:f>
      </x:c>
      <x:c r="K342" t="str">
        <x:f>IF(CaseLedger!$A342="","",CaseLedger!T342)</x:f>
      </x:c>
      <x:c r="L342" t="str">
        <x:f>IF(CaseLedger!$A342="","",CaseLedger!U342)</x:f>
      </x:c>
      <x:c r="M342" t="str">
        <x:f>IF(CaseLedger!$A342="","",CaseLedger!V342)</x:f>
      </x:c>
      <x:c r="N342" t="str">
        <x:f>IF(CaseLedger!$A342="","",CaseLedger!W342)</x:f>
      </x:c>
      <x:c r="O342" t="str">
        <x:f>IF(CaseLedger!$A342="","",CaseLedger!X342)</x:f>
      </x:c>
      <x:c r="P342" t="str">
        <x:f>IF(CaseLedger!$A342="","",CaseLedger!E342)</x:f>
      </x:c>
      <x:c r="Q342" t="str">
        <x:f>IF(CaseLedger!$A342="","",CaseLedger!C342)</x:f>
      </x:c>
      <x:c r="R342" t="str">
        <x:f>IF(CaseLedger!$A342="","",CaseLedger!D342)</x:f>
      </x:c>
      <x:c r="S342" t="str">
        <x:f>IFERROR(IF(CaseLedger!$A342="","",CaseLedger!Y342),"")</x:f>
      </x:c>
      <x:c r="T342" t="str">
        <x:f>IFERROR(IF(CaseLedger!$A342="","",CaseLedger!Z342),"")</x:f>
      </x:c>
      <x:c r="U342" t="str">
        <x:f>IFERROR(IF(CaseLedger!$A342="","",CaseLedger!AA342),"")</x:f>
      </x:c>
      <x:c r="V342" t="str">
        <x:f>IFERROR(IF(CaseLedger!$A342="","",CaseLedger!AB342),"")</x:f>
      </x:c>
      <x:c r="W342" t="str">
        <x:f>IFERROR(IF(CaseLedger!$A342="","",CaseLedger!AC342),"")</x:f>
      </x:c>
      <x:c r="X342" t="str">
        <x:f>IFERROR(IF(CaseLedger!$A342="","",CaseLedger!AD342),"")</x:f>
      </x:c>
      <x:c r="Y342" t="str">
        <x:f>IFERROR(IF(CaseLedger!$A342="","",CaseLedger!AE342),"")</x:f>
      </x:c>
      <x:c r="Z342" t="str">
        <x:f>IFERROR(IF(CaseLedger!$A342="","",CaseLedger!AF342),"")</x:f>
      </x:c>
      <x:c r="AA342" t="str">
        <x:f>IFERROR(IF(CaseLedger!$A342="","",CaseLedger!AG342),"")</x:f>
      </x:c>
      <x:c r="AB342" t="str">
        <x:f>IFERROR(IF(CaseLedger!$A342="","",CaseLedger!AH342),"")</x:f>
      </x:c>
      <x:c r="AC342" t="str">
        <x:f>IFERROR(IF(CaseLedger!$A342="","",CaseLedger!AI342),"")</x:f>
      </x:c>
    </x:row>
    <x:row r="343">
      <x:c r="A343" t="str">
        <x:f>IF(CaseLedger!$A343="","",CaseLedger!A343)</x:f>
      </x:c>
      <x:c r="B343" t="str">
        <x:f>IF(CaseLedger!$A343="","",CaseLedger!I343)</x:f>
      </x:c>
      <x:c r="C343" t="str">
        <x:f>IF(CaseLedger!$A343="","",CaseLedger!J343)</x:f>
      </x:c>
      <x:c r="D343" t="str">
        <x:f>IF(CaseLedger!$A343="","",CaseLedger!K343)</x:f>
      </x:c>
      <x:c r="E343" t="str">
        <x:f>IF(CaseLedger!$A343="","",CaseLedger!L343)</x:f>
      </x:c>
      <x:c r="F343" t="str">
        <x:f>IF(CaseLedger!$A343="","",CaseLedger!P343)</x:f>
      </x:c>
      <x:c r="G343" t="str">
        <x:f>IF(CaseLedger!$A343="","",CaseLedger!F343)</x:f>
      </x:c>
      <x:c r="H343" t="str">
        <x:f>IF(CaseLedger!$A343="","",CaseLedger!Q343)</x:f>
      </x:c>
      <x:c r="I343" t="str">
        <x:f>IF(CaseLedger!$A343="","",CaseLedger!R343)</x:f>
      </x:c>
      <x:c r="J343" t="str">
        <x:f>IF(CaseLedger!$A343="","",CaseLedger!S343)</x:f>
      </x:c>
      <x:c r="K343" t="str">
        <x:f>IF(CaseLedger!$A343="","",CaseLedger!T343)</x:f>
      </x:c>
      <x:c r="L343" t="str">
        <x:f>IF(CaseLedger!$A343="","",CaseLedger!U343)</x:f>
      </x:c>
      <x:c r="M343" t="str">
        <x:f>IF(CaseLedger!$A343="","",CaseLedger!V343)</x:f>
      </x:c>
      <x:c r="N343" t="str">
        <x:f>IF(CaseLedger!$A343="","",CaseLedger!W343)</x:f>
      </x:c>
      <x:c r="O343" t="str">
        <x:f>IF(CaseLedger!$A343="","",CaseLedger!X343)</x:f>
      </x:c>
      <x:c r="P343" t="str">
        <x:f>IF(CaseLedger!$A343="","",CaseLedger!E343)</x:f>
      </x:c>
      <x:c r="Q343" t="str">
        <x:f>IF(CaseLedger!$A343="","",CaseLedger!C343)</x:f>
      </x:c>
      <x:c r="R343" t="str">
        <x:f>IF(CaseLedger!$A343="","",CaseLedger!D343)</x:f>
      </x:c>
      <x:c r="S343" t="str">
        <x:f>IFERROR(IF(CaseLedger!$A343="","",CaseLedger!Y343),"")</x:f>
      </x:c>
      <x:c r="T343" t="str">
        <x:f>IFERROR(IF(CaseLedger!$A343="","",CaseLedger!Z343),"")</x:f>
      </x:c>
      <x:c r="U343" t="str">
        <x:f>IFERROR(IF(CaseLedger!$A343="","",CaseLedger!AA343),"")</x:f>
      </x:c>
      <x:c r="V343" t="str">
        <x:f>IFERROR(IF(CaseLedger!$A343="","",CaseLedger!AB343),"")</x:f>
      </x:c>
      <x:c r="W343" t="str">
        <x:f>IFERROR(IF(CaseLedger!$A343="","",CaseLedger!AC343),"")</x:f>
      </x:c>
      <x:c r="X343" t="str">
        <x:f>IFERROR(IF(CaseLedger!$A343="","",CaseLedger!AD343),"")</x:f>
      </x:c>
      <x:c r="Y343" t="str">
        <x:f>IFERROR(IF(CaseLedger!$A343="","",CaseLedger!AE343),"")</x:f>
      </x:c>
      <x:c r="Z343" t="str">
        <x:f>IFERROR(IF(CaseLedger!$A343="","",CaseLedger!AF343),"")</x:f>
      </x:c>
      <x:c r="AA343" t="str">
        <x:f>IFERROR(IF(CaseLedger!$A343="","",CaseLedger!AG343),"")</x:f>
      </x:c>
      <x:c r="AB343" t="str">
        <x:f>IFERROR(IF(CaseLedger!$A343="","",CaseLedger!AH343),"")</x:f>
      </x:c>
      <x:c r="AC343" t="str">
        <x:f>IFERROR(IF(CaseLedger!$A343="","",CaseLedger!AI343),"")</x:f>
      </x:c>
    </x:row>
    <x:row r="344">
      <x:c r="A344" t="str">
        <x:f>IF(CaseLedger!$A344="","",CaseLedger!A344)</x:f>
      </x:c>
      <x:c r="B344" t="str">
        <x:f>IF(CaseLedger!$A344="","",CaseLedger!I344)</x:f>
      </x:c>
      <x:c r="C344" t="str">
        <x:f>IF(CaseLedger!$A344="","",CaseLedger!J344)</x:f>
      </x:c>
      <x:c r="D344" t="str">
        <x:f>IF(CaseLedger!$A344="","",CaseLedger!K344)</x:f>
      </x:c>
      <x:c r="E344" t="str">
        <x:f>IF(CaseLedger!$A344="","",CaseLedger!L344)</x:f>
      </x:c>
      <x:c r="F344" t="str">
        <x:f>IF(CaseLedger!$A344="","",CaseLedger!P344)</x:f>
      </x:c>
      <x:c r="G344" t="str">
        <x:f>IF(CaseLedger!$A344="","",CaseLedger!F344)</x:f>
      </x:c>
      <x:c r="H344" t="str">
        <x:f>IF(CaseLedger!$A344="","",CaseLedger!Q344)</x:f>
      </x:c>
      <x:c r="I344" t="str">
        <x:f>IF(CaseLedger!$A344="","",CaseLedger!R344)</x:f>
      </x:c>
      <x:c r="J344" t="str">
        <x:f>IF(CaseLedger!$A344="","",CaseLedger!S344)</x:f>
      </x:c>
      <x:c r="K344" t="str">
        <x:f>IF(CaseLedger!$A344="","",CaseLedger!T344)</x:f>
      </x:c>
      <x:c r="L344" t="str">
        <x:f>IF(CaseLedger!$A344="","",CaseLedger!U344)</x:f>
      </x:c>
      <x:c r="M344" t="str">
        <x:f>IF(CaseLedger!$A344="","",CaseLedger!V344)</x:f>
      </x:c>
      <x:c r="N344" t="str">
        <x:f>IF(CaseLedger!$A344="","",CaseLedger!W344)</x:f>
      </x:c>
      <x:c r="O344" t="str">
        <x:f>IF(CaseLedger!$A344="","",CaseLedger!X344)</x:f>
      </x:c>
      <x:c r="P344" t="str">
        <x:f>IF(CaseLedger!$A344="","",CaseLedger!E344)</x:f>
      </x:c>
      <x:c r="Q344" t="str">
        <x:f>IF(CaseLedger!$A344="","",CaseLedger!C344)</x:f>
      </x:c>
      <x:c r="R344" t="str">
        <x:f>IF(CaseLedger!$A344="","",CaseLedger!D344)</x:f>
      </x:c>
      <x:c r="S344" t="str">
        <x:f>IFERROR(IF(CaseLedger!$A344="","",CaseLedger!Y344),"")</x:f>
      </x:c>
      <x:c r="T344" t="str">
        <x:f>IFERROR(IF(CaseLedger!$A344="","",CaseLedger!Z344),"")</x:f>
      </x:c>
      <x:c r="U344" t="str">
        <x:f>IFERROR(IF(CaseLedger!$A344="","",CaseLedger!AA344),"")</x:f>
      </x:c>
      <x:c r="V344" t="str">
        <x:f>IFERROR(IF(CaseLedger!$A344="","",CaseLedger!AB344),"")</x:f>
      </x:c>
      <x:c r="W344" t="str">
        <x:f>IFERROR(IF(CaseLedger!$A344="","",CaseLedger!AC344),"")</x:f>
      </x:c>
      <x:c r="X344" t="str">
        <x:f>IFERROR(IF(CaseLedger!$A344="","",CaseLedger!AD344),"")</x:f>
      </x:c>
      <x:c r="Y344" t="str">
        <x:f>IFERROR(IF(CaseLedger!$A344="","",CaseLedger!AE344),"")</x:f>
      </x:c>
      <x:c r="Z344" t="str">
        <x:f>IFERROR(IF(CaseLedger!$A344="","",CaseLedger!AF344),"")</x:f>
      </x:c>
      <x:c r="AA344" t="str">
        <x:f>IFERROR(IF(CaseLedger!$A344="","",CaseLedger!AG344),"")</x:f>
      </x:c>
      <x:c r="AB344" t="str">
        <x:f>IFERROR(IF(CaseLedger!$A344="","",CaseLedger!AH344),"")</x:f>
      </x:c>
      <x:c r="AC344" t="str">
        <x:f>IFERROR(IF(CaseLedger!$A344="","",CaseLedger!AI344),"")</x:f>
      </x:c>
    </x:row>
    <x:row r="345">
      <x:c r="A345" t="str">
        <x:f>IF(CaseLedger!$A345="","",CaseLedger!A345)</x:f>
      </x:c>
      <x:c r="B345" t="str">
        <x:f>IF(CaseLedger!$A345="","",CaseLedger!I345)</x:f>
      </x:c>
      <x:c r="C345" t="str">
        <x:f>IF(CaseLedger!$A345="","",CaseLedger!J345)</x:f>
      </x:c>
      <x:c r="D345" t="str">
        <x:f>IF(CaseLedger!$A345="","",CaseLedger!K345)</x:f>
      </x:c>
      <x:c r="E345" t="str">
        <x:f>IF(CaseLedger!$A345="","",CaseLedger!L345)</x:f>
      </x:c>
      <x:c r="F345" t="str">
        <x:f>IF(CaseLedger!$A345="","",CaseLedger!P345)</x:f>
      </x:c>
      <x:c r="G345" t="str">
        <x:f>IF(CaseLedger!$A345="","",CaseLedger!F345)</x:f>
      </x:c>
      <x:c r="H345" t="str">
        <x:f>IF(CaseLedger!$A345="","",CaseLedger!Q345)</x:f>
      </x:c>
      <x:c r="I345" t="str">
        <x:f>IF(CaseLedger!$A345="","",CaseLedger!R345)</x:f>
      </x:c>
      <x:c r="J345" t="str">
        <x:f>IF(CaseLedger!$A345="","",CaseLedger!S345)</x:f>
      </x:c>
      <x:c r="K345" t="str">
        <x:f>IF(CaseLedger!$A345="","",CaseLedger!T345)</x:f>
      </x:c>
      <x:c r="L345" t="str">
        <x:f>IF(CaseLedger!$A345="","",CaseLedger!U345)</x:f>
      </x:c>
      <x:c r="M345" t="str">
        <x:f>IF(CaseLedger!$A345="","",CaseLedger!V345)</x:f>
      </x:c>
      <x:c r="N345" t="str">
        <x:f>IF(CaseLedger!$A345="","",CaseLedger!W345)</x:f>
      </x:c>
      <x:c r="O345" t="str">
        <x:f>IF(CaseLedger!$A345="","",CaseLedger!X345)</x:f>
      </x:c>
      <x:c r="P345" t="str">
        <x:f>IF(CaseLedger!$A345="","",CaseLedger!E345)</x:f>
      </x:c>
      <x:c r="Q345" t="str">
        <x:f>IF(CaseLedger!$A345="","",CaseLedger!C345)</x:f>
      </x:c>
      <x:c r="R345" t="str">
        <x:f>IF(CaseLedger!$A345="","",CaseLedger!D345)</x:f>
      </x:c>
      <x:c r="S345" t="str">
        <x:f>IFERROR(IF(CaseLedger!$A345="","",CaseLedger!Y345),"")</x:f>
      </x:c>
      <x:c r="T345" t="str">
        <x:f>IFERROR(IF(CaseLedger!$A345="","",CaseLedger!Z345),"")</x:f>
      </x:c>
      <x:c r="U345" t="str">
        <x:f>IFERROR(IF(CaseLedger!$A345="","",CaseLedger!AA345),"")</x:f>
      </x:c>
      <x:c r="V345" t="str">
        <x:f>IFERROR(IF(CaseLedger!$A345="","",CaseLedger!AB345),"")</x:f>
      </x:c>
      <x:c r="W345" t="str">
        <x:f>IFERROR(IF(CaseLedger!$A345="","",CaseLedger!AC345),"")</x:f>
      </x:c>
      <x:c r="X345" t="str">
        <x:f>IFERROR(IF(CaseLedger!$A345="","",CaseLedger!AD345),"")</x:f>
      </x:c>
      <x:c r="Y345" t="str">
        <x:f>IFERROR(IF(CaseLedger!$A345="","",CaseLedger!AE345),"")</x:f>
      </x:c>
      <x:c r="Z345" t="str">
        <x:f>IFERROR(IF(CaseLedger!$A345="","",CaseLedger!AF345),"")</x:f>
      </x:c>
      <x:c r="AA345" t="str">
        <x:f>IFERROR(IF(CaseLedger!$A345="","",CaseLedger!AG345),"")</x:f>
      </x:c>
      <x:c r="AB345" t="str">
        <x:f>IFERROR(IF(CaseLedger!$A345="","",CaseLedger!AH345),"")</x:f>
      </x:c>
      <x:c r="AC345" t="str">
        <x:f>IFERROR(IF(CaseLedger!$A345="","",CaseLedger!AI345),"")</x:f>
      </x:c>
    </x:row>
    <x:row r="346">
      <x:c r="A346" t="str">
        <x:f>IF(CaseLedger!$A346="","",CaseLedger!A346)</x:f>
      </x:c>
      <x:c r="B346" t="str">
        <x:f>IF(CaseLedger!$A346="","",CaseLedger!I346)</x:f>
      </x:c>
      <x:c r="C346" t="str">
        <x:f>IF(CaseLedger!$A346="","",CaseLedger!J346)</x:f>
      </x:c>
      <x:c r="D346" t="str">
        <x:f>IF(CaseLedger!$A346="","",CaseLedger!K346)</x:f>
      </x:c>
      <x:c r="E346" t="str">
        <x:f>IF(CaseLedger!$A346="","",CaseLedger!L346)</x:f>
      </x:c>
      <x:c r="F346" t="str">
        <x:f>IF(CaseLedger!$A346="","",CaseLedger!P346)</x:f>
      </x:c>
      <x:c r="G346" t="str">
        <x:f>IF(CaseLedger!$A346="","",CaseLedger!F346)</x:f>
      </x:c>
      <x:c r="H346" t="str">
        <x:f>IF(CaseLedger!$A346="","",CaseLedger!Q346)</x:f>
      </x:c>
      <x:c r="I346" t="str">
        <x:f>IF(CaseLedger!$A346="","",CaseLedger!R346)</x:f>
      </x:c>
      <x:c r="J346" t="str">
        <x:f>IF(CaseLedger!$A346="","",CaseLedger!S346)</x:f>
      </x:c>
      <x:c r="K346" t="str">
        <x:f>IF(CaseLedger!$A346="","",CaseLedger!T346)</x:f>
      </x:c>
      <x:c r="L346" t="str">
        <x:f>IF(CaseLedger!$A346="","",CaseLedger!U346)</x:f>
      </x:c>
      <x:c r="M346" t="str">
        <x:f>IF(CaseLedger!$A346="","",CaseLedger!V346)</x:f>
      </x:c>
      <x:c r="N346" t="str">
        <x:f>IF(CaseLedger!$A346="","",CaseLedger!W346)</x:f>
      </x:c>
      <x:c r="O346" t="str">
        <x:f>IF(CaseLedger!$A346="","",CaseLedger!X346)</x:f>
      </x:c>
      <x:c r="P346" t="str">
        <x:f>IF(CaseLedger!$A346="","",CaseLedger!E346)</x:f>
      </x:c>
      <x:c r="Q346" t="str">
        <x:f>IF(CaseLedger!$A346="","",CaseLedger!C346)</x:f>
      </x:c>
      <x:c r="R346" t="str">
        <x:f>IF(CaseLedger!$A346="","",CaseLedger!D346)</x:f>
      </x:c>
      <x:c r="S346" t="str">
        <x:f>IFERROR(IF(CaseLedger!$A346="","",CaseLedger!Y346),"")</x:f>
      </x:c>
      <x:c r="T346" t="str">
        <x:f>IFERROR(IF(CaseLedger!$A346="","",CaseLedger!Z346),"")</x:f>
      </x:c>
      <x:c r="U346" t="str">
        <x:f>IFERROR(IF(CaseLedger!$A346="","",CaseLedger!AA346),"")</x:f>
      </x:c>
      <x:c r="V346" t="str">
        <x:f>IFERROR(IF(CaseLedger!$A346="","",CaseLedger!AB346),"")</x:f>
      </x:c>
      <x:c r="W346" t="str">
        <x:f>IFERROR(IF(CaseLedger!$A346="","",CaseLedger!AC346),"")</x:f>
      </x:c>
      <x:c r="X346" t="str">
        <x:f>IFERROR(IF(CaseLedger!$A346="","",CaseLedger!AD346),"")</x:f>
      </x:c>
      <x:c r="Y346" t="str">
        <x:f>IFERROR(IF(CaseLedger!$A346="","",CaseLedger!AE346),"")</x:f>
      </x:c>
      <x:c r="Z346" t="str">
        <x:f>IFERROR(IF(CaseLedger!$A346="","",CaseLedger!AF346),"")</x:f>
      </x:c>
      <x:c r="AA346" t="str">
        <x:f>IFERROR(IF(CaseLedger!$A346="","",CaseLedger!AG346),"")</x:f>
      </x:c>
      <x:c r="AB346" t="str">
        <x:f>IFERROR(IF(CaseLedger!$A346="","",CaseLedger!AH346),"")</x:f>
      </x:c>
      <x:c r="AC346" t="str">
        <x:f>IFERROR(IF(CaseLedger!$A346="","",CaseLedger!AI346),"")</x:f>
      </x:c>
    </x:row>
    <x:row r="347">
      <x:c r="A347" t="str">
        <x:f>IF(CaseLedger!$A347="","",CaseLedger!A347)</x:f>
      </x:c>
      <x:c r="B347" t="str">
        <x:f>IF(CaseLedger!$A347="","",CaseLedger!I347)</x:f>
      </x:c>
      <x:c r="C347" t="str">
        <x:f>IF(CaseLedger!$A347="","",CaseLedger!J347)</x:f>
      </x:c>
      <x:c r="D347" t="str">
        <x:f>IF(CaseLedger!$A347="","",CaseLedger!K347)</x:f>
      </x:c>
      <x:c r="E347" t="str">
        <x:f>IF(CaseLedger!$A347="","",CaseLedger!L347)</x:f>
      </x:c>
      <x:c r="F347" t="str">
        <x:f>IF(CaseLedger!$A347="","",CaseLedger!P347)</x:f>
      </x:c>
      <x:c r="G347" t="str">
        <x:f>IF(CaseLedger!$A347="","",CaseLedger!F347)</x:f>
      </x:c>
      <x:c r="H347" t="str">
        <x:f>IF(CaseLedger!$A347="","",CaseLedger!Q347)</x:f>
      </x:c>
      <x:c r="I347" t="str">
        <x:f>IF(CaseLedger!$A347="","",CaseLedger!R347)</x:f>
      </x:c>
      <x:c r="J347" t="str">
        <x:f>IF(CaseLedger!$A347="","",CaseLedger!S347)</x:f>
      </x:c>
      <x:c r="K347" t="str">
        <x:f>IF(CaseLedger!$A347="","",CaseLedger!T347)</x:f>
      </x:c>
      <x:c r="L347" t="str">
        <x:f>IF(CaseLedger!$A347="","",CaseLedger!U347)</x:f>
      </x:c>
      <x:c r="M347" t="str">
        <x:f>IF(CaseLedger!$A347="","",CaseLedger!V347)</x:f>
      </x:c>
      <x:c r="N347" t="str">
        <x:f>IF(CaseLedger!$A347="","",CaseLedger!W347)</x:f>
      </x:c>
      <x:c r="O347" t="str">
        <x:f>IF(CaseLedger!$A347="","",CaseLedger!X347)</x:f>
      </x:c>
      <x:c r="P347" t="str">
        <x:f>IF(CaseLedger!$A347="","",CaseLedger!E347)</x:f>
      </x:c>
      <x:c r="Q347" t="str">
        <x:f>IF(CaseLedger!$A347="","",CaseLedger!C347)</x:f>
      </x:c>
      <x:c r="R347" t="str">
        <x:f>IF(CaseLedger!$A347="","",CaseLedger!D347)</x:f>
      </x:c>
      <x:c r="S347" t="str">
        <x:f>IFERROR(IF(CaseLedger!$A347="","",CaseLedger!Y347),"")</x:f>
      </x:c>
      <x:c r="T347" t="str">
        <x:f>IFERROR(IF(CaseLedger!$A347="","",CaseLedger!Z347),"")</x:f>
      </x:c>
      <x:c r="U347" t="str">
        <x:f>IFERROR(IF(CaseLedger!$A347="","",CaseLedger!AA347),"")</x:f>
      </x:c>
      <x:c r="V347" t="str">
        <x:f>IFERROR(IF(CaseLedger!$A347="","",CaseLedger!AB347),"")</x:f>
      </x:c>
      <x:c r="W347" t="str">
        <x:f>IFERROR(IF(CaseLedger!$A347="","",CaseLedger!AC347),"")</x:f>
      </x:c>
      <x:c r="X347" t="str">
        <x:f>IFERROR(IF(CaseLedger!$A347="","",CaseLedger!AD347),"")</x:f>
      </x:c>
      <x:c r="Y347" t="str">
        <x:f>IFERROR(IF(CaseLedger!$A347="","",CaseLedger!AE347),"")</x:f>
      </x:c>
      <x:c r="Z347" t="str">
        <x:f>IFERROR(IF(CaseLedger!$A347="","",CaseLedger!AF347),"")</x:f>
      </x:c>
      <x:c r="AA347" t="str">
        <x:f>IFERROR(IF(CaseLedger!$A347="","",CaseLedger!AG347),"")</x:f>
      </x:c>
      <x:c r="AB347" t="str">
        <x:f>IFERROR(IF(CaseLedger!$A347="","",CaseLedger!AH347),"")</x:f>
      </x:c>
      <x:c r="AC347" t="str">
        <x:f>IFERROR(IF(CaseLedger!$A347="","",CaseLedger!AI347),"")</x:f>
      </x:c>
    </x:row>
    <x:row r="348">
      <x:c r="A348" t="str">
        <x:f>IF(CaseLedger!$A348="","",CaseLedger!A348)</x:f>
      </x:c>
      <x:c r="B348" t="str">
        <x:f>IF(CaseLedger!$A348="","",CaseLedger!I348)</x:f>
      </x:c>
      <x:c r="C348" t="str">
        <x:f>IF(CaseLedger!$A348="","",CaseLedger!J348)</x:f>
      </x:c>
      <x:c r="D348" t="str">
        <x:f>IF(CaseLedger!$A348="","",CaseLedger!K348)</x:f>
      </x:c>
      <x:c r="E348" t="str">
        <x:f>IF(CaseLedger!$A348="","",CaseLedger!L348)</x:f>
      </x:c>
      <x:c r="F348" t="str">
        <x:f>IF(CaseLedger!$A348="","",CaseLedger!P348)</x:f>
      </x:c>
      <x:c r="G348" t="str">
        <x:f>IF(CaseLedger!$A348="","",CaseLedger!F348)</x:f>
      </x:c>
      <x:c r="H348" t="str">
        <x:f>IF(CaseLedger!$A348="","",CaseLedger!Q348)</x:f>
      </x:c>
      <x:c r="I348" t="str">
        <x:f>IF(CaseLedger!$A348="","",CaseLedger!R348)</x:f>
      </x:c>
      <x:c r="J348" t="str">
        <x:f>IF(CaseLedger!$A348="","",CaseLedger!S348)</x:f>
      </x:c>
      <x:c r="K348" t="str">
        <x:f>IF(CaseLedger!$A348="","",CaseLedger!T348)</x:f>
      </x:c>
      <x:c r="L348" t="str">
        <x:f>IF(CaseLedger!$A348="","",CaseLedger!U348)</x:f>
      </x:c>
      <x:c r="M348" t="str">
        <x:f>IF(CaseLedger!$A348="","",CaseLedger!V348)</x:f>
      </x:c>
      <x:c r="N348" t="str">
        <x:f>IF(CaseLedger!$A348="","",CaseLedger!W348)</x:f>
      </x:c>
      <x:c r="O348" t="str">
        <x:f>IF(CaseLedger!$A348="","",CaseLedger!X348)</x:f>
      </x:c>
      <x:c r="P348" t="str">
        <x:f>IF(CaseLedger!$A348="","",CaseLedger!E348)</x:f>
      </x:c>
      <x:c r="Q348" t="str">
        <x:f>IF(CaseLedger!$A348="","",CaseLedger!C348)</x:f>
      </x:c>
      <x:c r="R348" t="str">
        <x:f>IF(CaseLedger!$A348="","",CaseLedger!D348)</x:f>
      </x:c>
      <x:c r="S348" t="str">
        <x:f>IFERROR(IF(CaseLedger!$A348="","",CaseLedger!Y348),"")</x:f>
      </x:c>
      <x:c r="T348" t="str">
        <x:f>IFERROR(IF(CaseLedger!$A348="","",CaseLedger!Z348),"")</x:f>
      </x:c>
      <x:c r="U348" t="str">
        <x:f>IFERROR(IF(CaseLedger!$A348="","",CaseLedger!AA348),"")</x:f>
      </x:c>
      <x:c r="V348" t="str">
        <x:f>IFERROR(IF(CaseLedger!$A348="","",CaseLedger!AB348),"")</x:f>
      </x:c>
      <x:c r="W348" t="str">
        <x:f>IFERROR(IF(CaseLedger!$A348="","",CaseLedger!AC348),"")</x:f>
      </x:c>
      <x:c r="X348" t="str">
        <x:f>IFERROR(IF(CaseLedger!$A348="","",CaseLedger!AD348),"")</x:f>
      </x:c>
      <x:c r="Y348" t="str">
        <x:f>IFERROR(IF(CaseLedger!$A348="","",CaseLedger!AE348),"")</x:f>
      </x:c>
      <x:c r="Z348" t="str">
        <x:f>IFERROR(IF(CaseLedger!$A348="","",CaseLedger!AF348),"")</x:f>
      </x:c>
      <x:c r="AA348" t="str">
        <x:f>IFERROR(IF(CaseLedger!$A348="","",CaseLedger!AG348),"")</x:f>
      </x:c>
      <x:c r="AB348" t="str">
        <x:f>IFERROR(IF(CaseLedger!$A348="","",CaseLedger!AH348),"")</x:f>
      </x:c>
      <x:c r="AC348" t="str">
        <x:f>IFERROR(IF(CaseLedger!$A348="","",CaseLedger!AI348),"")</x:f>
      </x:c>
    </x:row>
    <x:row r="349">
      <x:c r="A349" t="str">
        <x:f>IF(CaseLedger!$A349="","",CaseLedger!A349)</x:f>
      </x:c>
      <x:c r="B349" t="str">
        <x:f>IF(CaseLedger!$A349="","",CaseLedger!I349)</x:f>
      </x:c>
      <x:c r="C349" t="str">
        <x:f>IF(CaseLedger!$A349="","",CaseLedger!J349)</x:f>
      </x:c>
      <x:c r="D349" t="str">
        <x:f>IF(CaseLedger!$A349="","",CaseLedger!K349)</x:f>
      </x:c>
      <x:c r="E349" t="str">
        <x:f>IF(CaseLedger!$A349="","",CaseLedger!L349)</x:f>
      </x:c>
      <x:c r="F349" t="str">
        <x:f>IF(CaseLedger!$A349="","",CaseLedger!P349)</x:f>
      </x:c>
      <x:c r="G349" t="str">
        <x:f>IF(CaseLedger!$A349="","",CaseLedger!F349)</x:f>
      </x:c>
      <x:c r="H349" t="str">
        <x:f>IF(CaseLedger!$A349="","",CaseLedger!Q349)</x:f>
      </x:c>
      <x:c r="I349" t="str">
        <x:f>IF(CaseLedger!$A349="","",CaseLedger!R349)</x:f>
      </x:c>
      <x:c r="J349" t="str">
        <x:f>IF(CaseLedger!$A349="","",CaseLedger!S349)</x:f>
      </x:c>
      <x:c r="K349" t="str">
        <x:f>IF(CaseLedger!$A349="","",CaseLedger!T349)</x:f>
      </x:c>
      <x:c r="L349" t="str">
        <x:f>IF(CaseLedger!$A349="","",CaseLedger!U349)</x:f>
      </x:c>
      <x:c r="M349" t="str">
        <x:f>IF(CaseLedger!$A349="","",CaseLedger!V349)</x:f>
      </x:c>
      <x:c r="N349" t="str">
        <x:f>IF(CaseLedger!$A349="","",CaseLedger!W349)</x:f>
      </x:c>
      <x:c r="O349" t="str">
        <x:f>IF(CaseLedger!$A349="","",CaseLedger!X349)</x:f>
      </x:c>
      <x:c r="P349" t="str">
        <x:f>IF(CaseLedger!$A349="","",CaseLedger!E349)</x:f>
      </x:c>
      <x:c r="Q349" t="str">
        <x:f>IF(CaseLedger!$A349="","",CaseLedger!C349)</x:f>
      </x:c>
      <x:c r="R349" t="str">
        <x:f>IF(CaseLedger!$A349="","",CaseLedger!D349)</x:f>
      </x:c>
      <x:c r="S349" t="str">
        <x:f>IFERROR(IF(CaseLedger!$A349="","",CaseLedger!Y349),"")</x:f>
      </x:c>
      <x:c r="T349" t="str">
        <x:f>IFERROR(IF(CaseLedger!$A349="","",CaseLedger!Z349),"")</x:f>
      </x:c>
      <x:c r="U349" t="str">
        <x:f>IFERROR(IF(CaseLedger!$A349="","",CaseLedger!AA349),"")</x:f>
      </x:c>
      <x:c r="V349" t="str">
        <x:f>IFERROR(IF(CaseLedger!$A349="","",CaseLedger!AB349),"")</x:f>
      </x:c>
      <x:c r="W349" t="str">
        <x:f>IFERROR(IF(CaseLedger!$A349="","",CaseLedger!AC349),"")</x:f>
      </x:c>
      <x:c r="X349" t="str">
        <x:f>IFERROR(IF(CaseLedger!$A349="","",CaseLedger!AD349),"")</x:f>
      </x:c>
      <x:c r="Y349" t="str">
        <x:f>IFERROR(IF(CaseLedger!$A349="","",CaseLedger!AE349),"")</x:f>
      </x:c>
      <x:c r="Z349" t="str">
        <x:f>IFERROR(IF(CaseLedger!$A349="","",CaseLedger!AF349),"")</x:f>
      </x:c>
      <x:c r="AA349" t="str">
        <x:f>IFERROR(IF(CaseLedger!$A349="","",CaseLedger!AG349),"")</x:f>
      </x:c>
      <x:c r="AB349" t="str">
        <x:f>IFERROR(IF(CaseLedger!$A349="","",CaseLedger!AH349),"")</x:f>
      </x:c>
      <x:c r="AC349" t="str">
        <x:f>IFERROR(IF(CaseLedger!$A349="","",CaseLedger!AI349),"")</x:f>
      </x:c>
    </x:row>
    <x:row r="350">
      <x:c r="A350" t="str">
        <x:f>IF(CaseLedger!$A350="","",CaseLedger!A350)</x:f>
      </x:c>
      <x:c r="B350" t="str">
        <x:f>IF(CaseLedger!$A350="","",CaseLedger!I350)</x:f>
      </x:c>
      <x:c r="C350" t="str">
        <x:f>IF(CaseLedger!$A350="","",CaseLedger!J350)</x:f>
      </x:c>
      <x:c r="D350" t="str">
        <x:f>IF(CaseLedger!$A350="","",CaseLedger!K350)</x:f>
      </x:c>
      <x:c r="E350" t="str">
        <x:f>IF(CaseLedger!$A350="","",CaseLedger!L350)</x:f>
      </x:c>
      <x:c r="F350" t="str">
        <x:f>IF(CaseLedger!$A350="","",CaseLedger!P350)</x:f>
      </x:c>
      <x:c r="G350" t="str">
        <x:f>IF(CaseLedger!$A350="","",CaseLedger!F350)</x:f>
      </x:c>
      <x:c r="H350" t="str">
        <x:f>IF(CaseLedger!$A350="","",CaseLedger!Q350)</x:f>
      </x:c>
      <x:c r="I350" t="str">
        <x:f>IF(CaseLedger!$A350="","",CaseLedger!R350)</x:f>
      </x:c>
      <x:c r="J350" t="str">
        <x:f>IF(CaseLedger!$A350="","",CaseLedger!S350)</x:f>
      </x:c>
      <x:c r="K350" t="str">
        <x:f>IF(CaseLedger!$A350="","",CaseLedger!T350)</x:f>
      </x:c>
      <x:c r="L350" t="str">
        <x:f>IF(CaseLedger!$A350="","",CaseLedger!U350)</x:f>
      </x:c>
      <x:c r="M350" t="str">
        <x:f>IF(CaseLedger!$A350="","",CaseLedger!V350)</x:f>
      </x:c>
      <x:c r="N350" t="str">
        <x:f>IF(CaseLedger!$A350="","",CaseLedger!W350)</x:f>
      </x:c>
      <x:c r="O350" t="str">
        <x:f>IF(CaseLedger!$A350="","",CaseLedger!X350)</x:f>
      </x:c>
      <x:c r="P350" t="str">
        <x:f>IF(CaseLedger!$A350="","",CaseLedger!E350)</x:f>
      </x:c>
      <x:c r="Q350" t="str">
        <x:f>IF(CaseLedger!$A350="","",CaseLedger!C350)</x:f>
      </x:c>
      <x:c r="R350" t="str">
        <x:f>IF(CaseLedger!$A350="","",CaseLedger!D350)</x:f>
      </x:c>
      <x:c r="S350" t="str">
        <x:f>IFERROR(IF(CaseLedger!$A350="","",CaseLedger!Y350),"")</x:f>
      </x:c>
      <x:c r="T350" t="str">
        <x:f>IFERROR(IF(CaseLedger!$A350="","",CaseLedger!Z350),"")</x:f>
      </x:c>
      <x:c r="U350" t="str">
        <x:f>IFERROR(IF(CaseLedger!$A350="","",CaseLedger!AA350),"")</x:f>
      </x:c>
      <x:c r="V350" t="str">
        <x:f>IFERROR(IF(CaseLedger!$A350="","",CaseLedger!AB350),"")</x:f>
      </x:c>
      <x:c r="W350" t="str">
        <x:f>IFERROR(IF(CaseLedger!$A350="","",CaseLedger!AC350),"")</x:f>
      </x:c>
      <x:c r="X350" t="str">
        <x:f>IFERROR(IF(CaseLedger!$A350="","",CaseLedger!AD350),"")</x:f>
      </x:c>
      <x:c r="Y350" t="str">
        <x:f>IFERROR(IF(CaseLedger!$A350="","",CaseLedger!AE350),"")</x:f>
      </x:c>
      <x:c r="Z350" t="str">
        <x:f>IFERROR(IF(CaseLedger!$A350="","",CaseLedger!AF350),"")</x:f>
      </x:c>
      <x:c r="AA350" t="str">
        <x:f>IFERROR(IF(CaseLedger!$A350="","",CaseLedger!AG350),"")</x:f>
      </x:c>
      <x:c r="AB350" t="str">
        <x:f>IFERROR(IF(CaseLedger!$A350="","",CaseLedger!AH350),"")</x:f>
      </x:c>
      <x:c r="AC350" t="str">
        <x:f>IFERROR(IF(CaseLedger!$A350="","",CaseLedger!AI350),"")</x:f>
      </x:c>
    </x:row>
    <x:row r="351">
      <x:c r="A351" t="str">
        <x:f>IF(CaseLedger!$A351="","",CaseLedger!A351)</x:f>
      </x:c>
      <x:c r="B351" t="str">
        <x:f>IF(CaseLedger!$A351="","",CaseLedger!I351)</x:f>
      </x:c>
      <x:c r="C351" t="str">
        <x:f>IF(CaseLedger!$A351="","",CaseLedger!J351)</x:f>
      </x:c>
      <x:c r="D351" t="str">
        <x:f>IF(CaseLedger!$A351="","",CaseLedger!K351)</x:f>
      </x:c>
      <x:c r="E351" t="str">
        <x:f>IF(CaseLedger!$A351="","",CaseLedger!L351)</x:f>
      </x:c>
      <x:c r="F351" t="str">
        <x:f>IF(CaseLedger!$A351="","",CaseLedger!P351)</x:f>
      </x:c>
      <x:c r="G351" t="str">
        <x:f>IF(CaseLedger!$A351="","",CaseLedger!F351)</x:f>
      </x:c>
      <x:c r="H351" t="str">
        <x:f>IF(CaseLedger!$A351="","",CaseLedger!Q351)</x:f>
      </x:c>
      <x:c r="I351" t="str">
        <x:f>IF(CaseLedger!$A351="","",CaseLedger!R351)</x:f>
      </x:c>
      <x:c r="J351" t="str">
        <x:f>IF(CaseLedger!$A351="","",CaseLedger!S351)</x:f>
      </x:c>
      <x:c r="K351" t="str">
        <x:f>IF(CaseLedger!$A351="","",CaseLedger!T351)</x:f>
      </x:c>
      <x:c r="L351" t="str">
        <x:f>IF(CaseLedger!$A351="","",CaseLedger!U351)</x:f>
      </x:c>
      <x:c r="M351" t="str">
        <x:f>IF(CaseLedger!$A351="","",CaseLedger!V351)</x:f>
      </x:c>
      <x:c r="N351" t="str">
        <x:f>IF(CaseLedger!$A351="","",CaseLedger!W351)</x:f>
      </x:c>
      <x:c r="O351" t="str">
        <x:f>IF(CaseLedger!$A351="","",CaseLedger!X351)</x:f>
      </x:c>
      <x:c r="P351" t="str">
        <x:f>IF(CaseLedger!$A351="","",CaseLedger!E351)</x:f>
      </x:c>
      <x:c r="Q351" t="str">
        <x:f>IF(CaseLedger!$A351="","",CaseLedger!C351)</x:f>
      </x:c>
      <x:c r="R351" t="str">
        <x:f>IF(CaseLedger!$A351="","",CaseLedger!D351)</x:f>
      </x:c>
      <x:c r="S351" t="str">
        <x:f>IFERROR(IF(CaseLedger!$A351="","",CaseLedger!Y351),"")</x:f>
      </x:c>
      <x:c r="T351" t="str">
        <x:f>IFERROR(IF(CaseLedger!$A351="","",CaseLedger!Z351),"")</x:f>
      </x:c>
      <x:c r="U351" t="str">
        <x:f>IFERROR(IF(CaseLedger!$A351="","",CaseLedger!AA351),"")</x:f>
      </x:c>
      <x:c r="V351" t="str">
        <x:f>IFERROR(IF(CaseLedger!$A351="","",CaseLedger!AB351),"")</x:f>
      </x:c>
      <x:c r="W351" t="str">
        <x:f>IFERROR(IF(CaseLedger!$A351="","",CaseLedger!AC351),"")</x:f>
      </x:c>
      <x:c r="X351" t="str">
        <x:f>IFERROR(IF(CaseLedger!$A351="","",CaseLedger!AD351),"")</x:f>
      </x:c>
      <x:c r="Y351" t="str">
        <x:f>IFERROR(IF(CaseLedger!$A351="","",CaseLedger!AE351),"")</x:f>
      </x:c>
      <x:c r="Z351" t="str">
        <x:f>IFERROR(IF(CaseLedger!$A351="","",CaseLedger!AF351),"")</x:f>
      </x:c>
      <x:c r="AA351" t="str">
        <x:f>IFERROR(IF(CaseLedger!$A351="","",CaseLedger!AG351),"")</x:f>
      </x:c>
      <x:c r="AB351" t="str">
        <x:f>IFERROR(IF(CaseLedger!$A351="","",CaseLedger!AH351),"")</x:f>
      </x:c>
      <x:c r="AC351" t="str">
        <x:f>IFERROR(IF(CaseLedger!$A351="","",CaseLedger!AI351),"")</x:f>
      </x:c>
    </x:row>
    <x:row r="352">
      <x:c r="A352" t="str">
        <x:f>IF(CaseLedger!$A352="","",CaseLedger!A352)</x:f>
      </x:c>
      <x:c r="B352" t="str">
        <x:f>IF(CaseLedger!$A352="","",CaseLedger!I352)</x:f>
      </x:c>
      <x:c r="C352" t="str">
        <x:f>IF(CaseLedger!$A352="","",CaseLedger!J352)</x:f>
      </x:c>
      <x:c r="D352" t="str">
        <x:f>IF(CaseLedger!$A352="","",CaseLedger!K352)</x:f>
      </x:c>
      <x:c r="E352" t="str">
        <x:f>IF(CaseLedger!$A352="","",CaseLedger!L352)</x:f>
      </x:c>
      <x:c r="F352" t="str">
        <x:f>IF(CaseLedger!$A352="","",CaseLedger!P352)</x:f>
      </x:c>
      <x:c r="G352" t="str">
        <x:f>IF(CaseLedger!$A352="","",CaseLedger!F352)</x:f>
      </x:c>
      <x:c r="H352" t="str">
        <x:f>IF(CaseLedger!$A352="","",CaseLedger!Q352)</x:f>
      </x:c>
      <x:c r="I352" t="str">
        <x:f>IF(CaseLedger!$A352="","",CaseLedger!R352)</x:f>
      </x:c>
      <x:c r="J352" t="str">
        <x:f>IF(CaseLedger!$A352="","",CaseLedger!S352)</x:f>
      </x:c>
      <x:c r="K352" t="str">
        <x:f>IF(CaseLedger!$A352="","",CaseLedger!T352)</x:f>
      </x:c>
      <x:c r="L352" t="str">
        <x:f>IF(CaseLedger!$A352="","",CaseLedger!U352)</x:f>
      </x:c>
      <x:c r="M352" t="str">
        <x:f>IF(CaseLedger!$A352="","",CaseLedger!V352)</x:f>
      </x:c>
      <x:c r="N352" t="str">
        <x:f>IF(CaseLedger!$A352="","",CaseLedger!W352)</x:f>
      </x:c>
      <x:c r="O352" t="str">
        <x:f>IF(CaseLedger!$A352="","",CaseLedger!X352)</x:f>
      </x:c>
      <x:c r="P352" t="str">
        <x:f>IF(CaseLedger!$A352="","",CaseLedger!E352)</x:f>
      </x:c>
      <x:c r="Q352" t="str">
        <x:f>IF(CaseLedger!$A352="","",CaseLedger!C352)</x:f>
      </x:c>
      <x:c r="R352" t="str">
        <x:f>IF(CaseLedger!$A352="","",CaseLedger!D352)</x:f>
      </x:c>
      <x:c r="S352" t="str">
        <x:f>IFERROR(IF(CaseLedger!$A352="","",CaseLedger!Y352),"")</x:f>
      </x:c>
      <x:c r="T352" t="str">
        <x:f>IFERROR(IF(CaseLedger!$A352="","",CaseLedger!Z352),"")</x:f>
      </x:c>
      <x:c r="U352" t="str">
        <x:f>IFERROR(IF(CaseLedger!$A352="","",CaseLedger!AA352),"")</x:f>
      </x:c>
      <x:c r="V352" t="str">
        <x:f>IFERROR(IF(CaseLedger!$A352="","",CaseLedger!AB352),"")</x:f>
      </x:c>
      <x:c r="W352" t="str">
        <x:f>IFERROR(IF(CaseLedger!$A352="","",CaseLedger!AC352),"")</x:f>
      </x:c>
      <x:c r="X352" t="str">
        <x:f>IFERROR(IF(CaseLedger!$A352="","",CaseLedger!AD352),"")</x:f>
      </x:c>
      <x:c r="Y352" t="str">
        <x:f>IFERROR(IF(CaseLedger!$A352="","",CaseLedger!AE352),"")</x:f>
      </x:c>
      <x:c r="Z352" t="str">
        <x:f>IFERROR(IF(CaseLedger!$A352="","",CaseLedger!AF352),"")</x:f>
      </x:c>
      <x:c r="AA352" t="str">
        <x:f>IFERROR(IF(CaseLedger!$A352="","",CaseLedger!AG352),"")</x:f>
      </x:c>
      <x:c r="AB352" t="str">
        <x:f>IFERROR(IF(CaseLedger!$A352="","",CaseLedger!AH352),"")</x:f>
      </x:c>
      <x:c r="AC352" t="str">
        <x:f>IFERROR(IF(CaseLedger!$A352="","",CaseLedger!AI352),"")</x:f>
      </x:c>
    </x:row>
    <x:row r="353">
      <x:c r="A353" t="str">
        <x:f>IF(CaseLedger!$A353="","",CaseLedger!A353)</x:f>
      </x:c>
      <x:c r="B353" t="str">
        <x:f>IF(CaseLedger!$A353="","",CaseLedger!I353)</x:f>
      </x:c>
      <x:c r="C353" t="str">
        <x:f>IF(CaseLedger!$A353="","",CaseLedger!J353)</x:f>
      </x:c>
      <x:c r="D353" t="str">
        <x:f>IF(CaseLedger!$A353="","",CaseLedger!K353)</x:f>
      </x:c>
      <x:c r="E353" t="str">
        <x:f>IF(CaseLedger!$A353="","",CaseLedger!L353)</x:f>
      </x:c>
      <x:c r="F353" t="str">
        <x:f>IF(CaseLedger!$A353="","",CaseLedger!P353)</x:f>
      </x:c>
      <x:c r="G353" t="str">
        <x:f>IF(CaseLedger!$A353="","",CaseLedger!F353)</x:f>
      </x:c>
      <x:c r="H353" t="str">
        <x:f>IF(CaseLedger!$A353="","",CaseLedger!Q353)</x:f>
      </x:c>
      <x:c r="I353" t="str">
        <x:f>IF(CaseLedger!$A353="","",CaseLedger!R353)</x:f>
      </x:c>
      <x:c r="J353" t="str">
        <x:f>IF(CaseLedger!$A353="","",CaseLedger!S353)</x:f>
      </x:c>
      <x:c r="K353" t="str">
        <x:f>IF(CaseLedger!$A353="","",CaseLedger!T353)</x:f>
      </x:c>
      <x:c r="L353" t="str">
        <x:f>IF(CaseLedger!$A353="","",CaseLedger!U353)</x:f>
      </x:c>
      <x:c r="M353" t="str">
        <x:f>IF(CaseLedger!$A353="","",CaseLedger!V353)</x:f>
      </x:c>
      <x:c r="N353" t="str">
        <x:f>IF(CaseLedger!$A353="","",CaseLedger!W353)</x:f>
      </x:c>
      <x:c r="O353" t="str">
        <x:f>IF(CaseLedger!$A353="","",CaseLedger!X353)</x:f>
      </x:c>
      <x:c r="P353" t="str">
        <x:f>IF(CaseLedger!$A353="","",CaseLedger!E353)</x:f>
      </x:c>
      <x:c r="Q353" t="str">
        <x:f>IF(CaseLedger!$A353="","",CaseLedger!C353)</x:f>
      </x:c>
      <x:c r="R353" t="str">
        <x:f>IF(CaseLedger!$A353="","",CaseLedger!D353)</x:f>
      </x:c>
      <x:c r="S353" t="str">
        <x:f>IFERROR(IF(CaseLedger!$A353="","",CaseLedger!Y353),"")</x:f>
      </x:c>
      <x:c r="T353" t="str">
        <x:f>IFERROR(IF(CaseLedger!$A353="","",CaseLedger!Z353),"")</x:f>
      </x:c>
      <x:c r="U353" t="str">
        <x:f>IFERROR(IF(CaseLedger!$A353="","",CaseLedger!AA353),"")</x:f>
      </x:c>
      <x:c r="V353" t="str">
        <x:f>IFERROR(IF(CaseLedger!$A353="","",CaseLedger!AB353),"")</x:f>
      </x:c>
      <x:c r="W353" t="str">
        <x:f>IFERROR(IF(CaseLedger!$A353="","",CaseLedger!AC353),"")</x:f>
      </x:c>
      <x:c r="X353" t="str">
        <x:f>IFERROR(IF(CaseLedger!$A353="","",CaseLedger!AD353),"")</x:f>
      </x:c>
      <x:c r="Y353" t="str">
        <x:f>IFERROR(IF(CaseLedger!$A353="","",CaseLedger!AE353),"")</x:f>
      </x:c>
      <x:c r="Z353" t="str">
        <x:f>IFERROR(IF(CaseLedger!$A353="","",CaseLedger!AF353),"")</x:f>
      </x:c>
      <x:c r="AA353" t="str">
        <x:f>IFERROR(IF(CaseLedger!$A353="","",CaseLedger!AG353),"")</x:f>
      </x:c>
      <x:c r="AB353" t="str">
        <x:f>IFERROR(IF(CaseLedger!$A353="","",CaseLedger!AH353),"")</x:f>
      </x:c>
      <x:c r="AC353" t="str">
        <x:f>IFERROR(IF(CaseLedger!$A353="","",CaseLedger!AI353),"")</x:f>
      </x:c>
    </x:row>
    <x:row r="354">
      <x:c r="A354" t="str">
        <x:f>IF(CaseLedger!$A354="","",CaseLedger!A354)</x:f>
      </x:c>
      <x:c r="B354" t="str">
        <x:f>IF(CaseLedger!$A354="","",CaseLedger!I354)</x:f>
      </x:c>
      <x:c r="C354" t="str">
        <x:f>IF(CaseLedger!$A354="","",CaseLedger!J354)</x:f>
      </x:c>
      <x:c r="D354" t="str">
        <x:f>IF(CaseLedger!$A354="","",CaseLedger!K354)</x:f>
      </x:c>
      <x:c r="E354" t="str">
        <x:f>IF(CaseLedger!$A354="","",CaseLedger!L354)</x:f>
      </x:c>
      <x:c r="F354" t="str">
        <x:f>IF(CaseLedger!$A354="","",CaseLedger!P354)</x:f>
      </x:c>
      <x:c r="G354" t="str">
        <x:f>IF(CaseLedger!$A354="","",CaseLedger!F354)</x:f>
      </x:c>
      <x:c r="H354" t="str">
        <x:f>IF(CaseLedger!$A354="","",CaseLedger!Q354)</x:f>
      </x:c>
      <x:c r="I354" t="str">
        <x:f>IF(CaseLedger!$A354="","",CaseLedger!R354)</x:f>
      </x:c>
      <x:c r="J354" t="str">
        <x:f>IF(CaseLedger!$A354="","",CaseLedger!S354)</x:f>
      </x:c>
      <x:c r="K354" t="str">
        <x:f>IF(CaseLedger!$A354="","",CaseLedger!T354)</x:f>
      </x:c>
      <x:c r="L354" t="str">
        <x:f>IF(CaseLedger!$A354="","",CaseLedger!U354)</x:f>
      </x:c>
      <x:c r="M354" t="str">
        <x:f>IF(CaseLedger!$A354="","",CaseLedger!V354)</x:f>
      </x:c>
      <x:c r="N354" t="str">
        <x:f>IF(CaseLedger!$A354="","",CaseLedger!W354)</x:f>
      </x:c>
      <x:c r="O354" t="str">
        <x:f>IF(CaseLedger!$A354="","",CaseLedger!X354)</x:f>
      </x:c>
      <x:c r="P354" t="str">
        <x:f>IF(CaseLedger!$A354="","",CaseLedger!E354)</x:f>
      </x:c>
      <x:c r="Q354" t="str">
        <x:f>IF(CaseLedger!$A354="","",CaseLedger!C354)</x:f>
      </x:c>
      <x:c r="R354" t="str">
        <x:f>IF(CaseLedger!$A354="","",CaseLedger!D354)</x:f>
      </x:c>
      <x:c r="S354" t="str">
        <x:f>IFERROR(IF(CaseLedger!$A354="","",CaseLedger!Y354),"")</x:f>
      </x:c>
      <x:c r="T354" t="str">
        <x:f>IFERROR(IF(CaseLedger!$A354="","",CaseLedger!Z354),"")</x:f>
      </x:c>
      <x:c r="U354" t="str">
        <x:f>IFERROR(IF(CaseLedger!$A354="","",CaseLedger!AA354),"")</x:f>
      </x:c>
      <x:c r="V354" t="str">
        <x:f>IFERROR(IF(CaseLedger!$A354="","",CaseLedger!AB354),"")</x:f>
      </x:c>
      <x:c r="W354" t="str">
        <x:f>IFERROR(IF(CaseLedger!$A354="","",CaseLedger!AC354),"")</x:f>
      </x:c>
      <x:c r="X354" t="str">
        <x:f>IFERROR(IF(CaseLedger!$A354="","",CaseLedger!AD354),"")</x:f>
      </x:c>
      <x:c r="Y354" t="str">
        <x:f>IFERROR(IF(CaseLedger!$A354="","",CaseLedger!AE354),"")</x:f>
      </x:c>
      <x:c r="Z354" t="str">
        <x:f>IFERROR(IF(CaseLedger!$A354="","",CaseLedger!AF354),"")</x:f>
      </x:c>
      <x:c r="AA354" t="str">
        <x:f>IFERROR(IF(CaseLedger!$A354="","",CaseLedger!AG354),"")</x:f>
      </x:c>
      <x:c r="AB354" t="str">
        <x:f>IFERROR(IF(CaseLedger!$A354="","",CaseLedger!AH354),"")</x:f>
      </x:c>
      <x:c r="AC354" t="str">
        <x:f>IFERROR(IF(CaseLedger!$A354="","",CaseLedger!AI354),"")</x:f>
      </x:c>
    </x:row>
    <x:row r="355">
      <x:c r="A355" t="str">
        <x:f>IF(CaseLedger!$A355="","",CaseLedger!A355)</x:f>
      </x:c>
      <x:c r="B355" t="str">
        <x:f>IF(CaseLedger!$A355="","",CaseLedger!I355)</x:f>
      </x:c>
      <x:c r="C355" t="str">
        <x:f>IF(CaseLedger!$A355="","",CaseLedger!J355)</x:f>
      </x:c>
      <x:c r="D355" t="str">
        <x:f>IF(CaseLedger!$A355="","",CaseLedger!K355)</x:f>
      </x:c>
      <x:c r="E355" t="str">
        <x:f>IF(CaseLedger!$A355="","",CaseLedger!L355)</x:f>
      </x:c>
      <x:c r="F355" t="str">
        <x:f>IF(CaseLedger!$A355="","",CaseLedger!P355)</x:f>
      </x:c>
      <x:c r="G355" t="str">
        <x:f>IF(CaseLedger!$A355="","",CaseLedger!F355)</x:f>
      </x:c>
      <x:c r="H355" t="str">
        <x:f>IF(CaseLedger!$A355="","",CaseLedger!Q355)</x:f>
      </x:c>
      <x:c r="I355" t="str">
        <x:f>IF(CaseLedger!$A355="","",CaseLedger!R355)</x:f>
      </x:c>
      <x:c r="J355" t="str">
        <x:f>IF(CaseLedger!$A355="","",CaseLedger!S355)</x:f>
      </x:c>
      <x:c r="K355" t="str">
        <x:f>IF(CaseLedger!$A355="","",CaseLedger!T355)</x:f>
      </x:c>
      <x:c r="L355" t="str">
        <x:f>IF(CaseLedger!$A355="","",CaseLedger!U355)</x:f>
      </x:c>
      <x:c r="M355" t="str">
        <x:f>IF(CaseLedger!$A355="","",CaseLedger!V355)</x:f>
      </x:c>
      <x:c r="N355" t="str">
        <x:f>IF(CaseLedger!$A355="","",CaseLedger!W355)</x:f>
      </x:c>
      <x:c r="O355" t="str">
        <x:f>IF(CaseLedger!$A355="","",CaseLedger!X355)</x:f>
      </x:c>
      <x:c r="P355" t="str">
        <x:f>IF(CaseLedger!$A355="","",CaseLedger!E355)</x:f>
      </x:c>
      <x:c r="Q355" t="str">
        <x:f>IF(CaseLedger!$A355="","",CaseLedger!C355)</x:f>
      </x:c>
      <x:c r="R355" t="str">
        <x:f>IF(CaseLedger!$A355="","",CaseLedger!D355)</x:f>
      </x:c>
      <x:c r="S355" t="str">
        <x:f>IFERROR(IF(CaseLedger!$A355="","",CaseLedger!Y355),"")</x:f>
      </x:c>
      <x:c r="T355" t="str">
        <x:f>IFERROR(IF(CaseLedger!$A355="","",CaseLedger!Z355),"")</x:f>
      </x:c>
      <x:c r="U355" t="str">
        <x:f>IFERROR(IF(CaseLedger!$A355="","",CaseLedger!AA355),"")</x:f>
      </x:c>
      <x:c r="V355" t="str">
        <x:f>IFERROR(IF(CaseLedger!$A355="","",CaseLedger!AB355),"")</x:f>
      </x:c>
      <x:c r="W355" t="str">
        <x:f>IFERROR(IF(CaseLedger!$A355="","",CaseLedger!AC355),"")</x:f>
      </x:c>
      <x:c r="X355" t="str">
        <x:f>IFERROR(IF(CaseLedger!$A355="","",CaseLedger!AD355),"")</x:f>
      </x:c>
      <x:c r="Y355" t="str">
        <x:f>IFERROR(IF(CaseLedger!$A355="","",CaseLedger!AE355),"")</x:f>
      </x:c>
      <x:c r="Z355" t="str">
        <x:f>IFERROR(IF(CaseLedger!$A355="","",CaseLedger!AF355),"")</x:f>
      </x:c>
      <x:c r="AA355" t="str">
        <x:f>IFERROR(IF(CaseLedger!$A355="","",CaseLedger!AG355),"")</x:f>
      </x:c>
      <x:c r="AB355" t="str">
        <x:f>IFERROR(IF(CaseLedger!$A355="","",CaseLedger!AH355),"")</x:f>
      </x:c>
      <x:c r="AC355" t="str">
        <x:f>IFERROR(IF(CaseLedger!$A355="","",CaseLedger!AI355),"")</x:f>
      </x:c>
    </x:row>
    <x:row r="356">
      <x:c r="A356" t="str">
        <x:f>IF(CaseLedger!$A356="","",CaseLedger!A356)</x:f>
      </x:c>
      <x:c r="B356" t="str">
        <x:f>IF(CaseLedger!$A356="","",CaseLedger!I356)</x:f>
      </x:c>
      <x:c r="C356" t="str">
        <x:f>IF(CaseLedger!$A356="","",CaseLedger!J356)</x:f>
      </x:c>
      <x:c r="D356" t="str">
        <x:f>IF(CaseLedger!$A356="","",CaseLedger!K356)</x:f>
      </x:c>
      <x:c r="E356" t="str">
        <x:f>IF(CaseLedger!$A356="","",CaseLedger!L356)</x:f>
      </x:c>
      <x:c r="F356" t="str">
        <x:f>IF(CaseLedger!$A356="","",CaseLedger!P356)</x:f>
      </x:c>
      <x:c r="G356" t="str">
        <x:f>IF(CaseLedger!$A356="","",CaseLedger!F356)</x:f>
      </x:c>
      <x:c r="H356" t="str">
        <x:f>IF(CaseLedger!$A356="","",CaseLedger!Q356)</x:f>
      </x:c>
      <x:c r="I356" t="str">
        <x:f>IF(CaseLedger!$A356="","",CaseLedger!R356)</x:f>
      </x:c>
      <x:c r="J356" t="str">
        <x:f>IF(CaseLedger!$A356="","",CaseLedger!S356)</x:f>
      </x:c>
      <x:c r="K356" t="str">
        <x:f>IF(CaseLedger!$A356="","",CaseLedger!T356)</x:f>
      </x:c>
      <x:c r="L356" t="str">
        <x:f>IF(CaseLedger!$A356="","",CaseLedger!U356)</x:f>
      </x:c>
      <x:c r="M356" t="str">
        <x:f>IF(CaseLedger!$A356="","",CaseLedger!V356)</x:f>
      </x:c>
      <x:c r="N356" t="str">
        <x:f>IF(CaseLedger!$A356="","",CaseLedger!W356)</x:f>
      </x:c>
      <x:c r="O356" t="str">
        <x:f>IF(CaseLedger!$A356="","",CaseLedger!X356)</x:f>
      </x:c>
      <x:c r="P356" t="str">
        <x:f>IF(CaseLedger!$A356="","",CaseLedger!E356)</x:f>
      </x:c>
      <x:c r="Q356" t="str">
        <x:f>IF(CaseLedger!$A356="","",CaseLedger!C356)</x:f>
      </x:c>
      <x:c r="R356" t="str">
        <x:f>IF(CaseLedger!$A356="","",CaseLedger!D356)</x:f>
      </x:c>
      <x:c r="S356" t="str">
        <x:f>IFERROR(IF(CaseLedger!$A356="","",CaseLedger!Y356),"")</x:f>
      </x:c>
      <x:c r="T356" t="str">
        <x:f>IFERROR(IF(CaseLedger!$A356="","",CaseLedger!Z356),"")</x:f>
      </x:c>
      <x:c r="U356" t="str">
        <x:f>IFERROR(IF(CaseLedger!$A356="","",CaseLedger!AA356),"")</x:f>
      </x:c>
      <x:c r="V356" t="str">
        <x:f>IFERROR(IF(CaseLedger!$A356="","",CaseLedger!AB356),"")</x:f>
      </x:c>
      <x:c r="W356" t="str">
        <x:f>IFERROR(IF(CaseLedger!$A356="","",CaseLedger!AC356),"")</x:f>
      </x:c>
      <x:c r="X356" t="str">
        <x:f>IFERROR(IF(CaseLedger!$A356="","",CaseLedger!AD356),"")</x:f>
      </x:c>
      <x:c r="Y356" t="str">
        <x:f>IFERROR(IF(CaseLedger!$A356="","",CaseLedger!AE356),"")</x:f>
      </x:c>
      <x:c r="Z356" t="str">
        <x:f>IFERROR(IF(CaseLedger!$A356="","",CaseLedger!AF356),"")</x:f>
      </x:c>
      <x:c r="AA356" t="str">
        <x:f>IFERROR(IF(CaseLedger!$A356="","",CaseLedger!AG356),"")</x:f>
      </x:c>
      <x:c r="AB356" t="str">
        <x:f>IFERROR(IF(CaseLedger!$A356="","",CaseLedger!AH356),"")</x:f>
      </x:c>
      <x:c r="AC356" t="str">
        <x:f>IFERROR(IF(CaseLedger!$A356="","",CaseLedger!AI356),"")</x:f>
      </x:c>
    </x:row>
    <x:row r="357">
      <x:c r="A357" t="str">
        <x:f>IF(CaseLedger!$A357="","",CaseLedger!A357)</x:f>
      </x:c>
      <x:c r="B357" t="str">
        <x:f>IF(CaseLedger!$A357="","",CaseLedger!I357)</x:f>
      </x:c>
      <x:c r="C357" t="str">
        <x:f>IF(CaseLedger!$A357="","",CaseLedger!J357)</x:f>
      </x:c>
      <x:c r="D357" t="str">
        <x:f>IF(CaseLedger!$A357="","",CaseLedger!K357)</x:f>
      </x:c>
      <x:c r="E357" t="str">
        <x:f>IF(CaseLedger!$A357="","",CaseLedger!L357)</x:f>
      </x:c>
      <x:c r="F357" t="str">
        <x:f>IF(CaseLedger!$A357="","",CaseLedger!P357)</x:f>
      </x:c>
      <x:c r="G357" t="str">
        <x:f>IF(CaseLedger!$A357="","",CaseLedger!F357)</x:f>
      </x:c>
      <x:c r="H357" t="str">
        <x:f>IF(CaseLedger!$A357="","",CaseLedger!Q357)</x:f>
      </x:c>
      <x:c r="I357" t="str">
        <x:f>IF(CaseLedger!$A357="","",CaseLedger!R357)</x:f>
      </x:c>
      <x:c r="J357" t="str">
        <x:f>IF(CaseLedger!$A357="","",CaseLedger!S357)</x:f>
      </x:c>
      <x:c r="K357" t="str">
        <x:f>IF(CaseLedger!$A357="","",CaseLedger!T357)</x:f>
      </x:c>
      <x:c r="L357" t="str">
        <x:f>IF(CaseLedger!$A357="","",CaseLedger!U357)</x:f>
      </x:c>
      <x:c r="M357" t="str">
        <x:f>IF(CaseLedger!$A357="","",CaseLedger!V357)</x:f>
      </x:c>
      <x:c r="N357" t="str">
        <x:f>IF(CaseLedger!$A357="","",CaseLedger!W357)</x:f>
      </x:c>
      <x:c r="O357" t="str">
        <x:f>IF(CaseLedger!$A357="","",CaseLedger!X357)</x:f>
      </x:c>
      <x:c r="P357" t="str">
        <x:f>IF(CaseLedger!$A357="","",CaseLedger!E357)</x:f>
      </x:c>
      <x:c r="Q357" t="str">
        <x:f>IF(CaseLedger!$A357="","",CaseLedger!C357)</x:f>
      </x:c>
      <x:c r="R357" t="str">
        <x:f>IF(CaseLedger!$A357="","",CaseLedger!D357)</x:f>
      </x:c>
      <x:c r="S357" t="str">
        <x:f>IFERROR(IF(CaseLedger!$A357="","",CaseLedger!Y357),"")</x:f>
      </x:c>
      <x:c r="T357" t="str">
        <x:f>IFERROR(IF(CaseLedger!$A357="","",CaseLedger!Z357),"")</x:f>
      </x:c>
      <x:c r="U357" t="str">
        <x:f>IFERROR(IF(CaseLedger!$A357="","",CaseLedger!AA357),"")</x:f>
      </x:c>
      <x:c r="V357" t="str">
        <x:f>IFERROR(IF(CaseLedger!$A357="","",CaseLedger!AB357),"")</x:f>
      </x:c>
      <x:c r="W357" t="str">
        <x:f>IFERROR(IF(CaseLedger!$A357="","",CaseLedger!AC357),"")</x:f>
      </x:c>
      <x:c r="X357" t="str">
        <x:f>IFERROR(IF(CaseLedger!$A357="","",CaseLedger!AD357),"")</x:f>
      </x:c>
      <x:c r="Y357" t="str">
        <x:f>IFERROR(IF(CaseLedger!$A357="","",CaseLedger!AE357),"")</x:f>
      </x:c>
      <x:c r="Z357" t="str">
        <x:f>IFERROR(IF(CaseLedger!$A357="","",CaseLedger!AF357),"")</x:f>
      </x:c>
      <x:c r="AA357" t="str">
        <x:f>IFERROR(IF(CaseLedger!$A357="","",CaseLedger!AG357),"")</x:f>
      </x:c>
      <x:c r="AB357" t="str">
        <x:f>IFERROR(IF(CaseLedger!$A357="","",CaseLedger!AH357),"")</x:f>
      </x:c>
      <x:c r="AC357" t="str">
        <x:f>IFERROR(IF(CaseLedger!$A357="","",CaseLedger!AI357),"")</x:f>
      </x:c>
    </x:row>
    <x:row r="358">
      <x:c r="A358" t="str">
        <x:f>IF(CaseLedger!$A358="","",CaseLedger!A358)</x:f>
      </x:c>
      <x:c r="B358" t="str">
        <x:f>IF(CaseLedger!$A358="","",CaseLedger!I358)</x:f>
      </x:c>
      <x:c r="C358" t="str">
        <x:f>IF(CaseLedger!$A358="","",CaseLedger!J358)</x:f>
      </x:c>
      <x:c r="D358" t="str">
        <x:f>IF(CaseLedger!$A358="","",CaseLedger!K358)</x:f>
      </x:c>
      <x:c r="E358" t="str">
        <x:f>IF(CaseLedger!$A358="","",CaseLedger!L358)</x:f>
      </x:c>
      <x:c r="F358" t="str">
        <x:f>IF(CaseLedger!$A358="","",CaseLedger!P358)</x:f>
      </x:c>
      <x:c r="G358" t="str">
        <x:f>IF(CaseLedger!$A358="","",CaseLedger!F358)</x:f>
      </x:c>
      <x:c r="H358" t="str">
        <x:f>IF(CaseLedger!$A358="","",CaseLedger!Q358)</x:f>
      </x:c>
      <x:c r="I358" t="str">
        <x:f>IF(CaseLedger!$A358="","",CaseLedger!R358)</x:f>
      </x:c>
      <x:c r="J358" t="str">
        <x:f>IF(CaseLedger!$A358="","",CaseLedger!S358)</x:f>
      </x:c>
      <x:c r="K358" t="str">
        <x:f>IF(CaseLedger!$A358="","",CaseLedger!T358)</x:f>
      </x:c>
      <x:c r="L358" t="str">
        <x:f>IF(CaseLedger!$A358="","",CaseLedger!U358)</x:f>
      </x:c>
      <x:c r="M358" t="str">
        <x:f>IF(CaseLedger!$A358="","",CaseLedger!V358)</x:f>
      </x:c>
      <x:c r="N358" t="str">
        <x:f>IF(CaseLedger!$A358="","",CaseLedger!W358)</x:f>
      </x:c>
      <x:c r="O358" t="str">
        <x:f>IF(CaseLedger!$A358="","",CaseLedger!X358)</x:f>
      </x:c>
      <x:c r="P358" t="str">
        <x:f>IF(CaseLedger!$A358="","",CaseLedger!E358)</x:f>
      </x:c>
      <x:c r="Q358" t="str">
        <x:f>IF(CaseLedger!$A358="","",CaseLedger!C358)</x:f>
      </x:c>
      <x:c r="R358" t="str">
        <x:f>IF(CaseLedger!$A358="","",CaseLedger!D358)</x:f>
      </x:c>
      <x:c r="S358" t="str">
        <x:f>IFERROR(IF(CaseLedger!$A358="","",CaseLedger!Y358),"")</x:f>
      </x:c>
      <x:c r="T358" t="str">
        <x:f>IFERROR(IF(CaseLedger!$A358="","",CaseLedger!Z358),"")</x:f>
      </x:c>
      <x:c r="U358" t="str">
        <x:f>IFERROR(IF(CaseLedger!$A358="","",CaseLedger!AA358),"")</x:f>
      </x:c>
      <x:c r="V358" t="str">
        <x:f>IFERROR(IF(CaseLedger!$A358="","",CaseLedger!AB358),"")</x:f>
      </x:c>
      <x:c r="W358" t="str">
        <x:f>IFERROR(IF(CaseLedger!$A358="","",CaseLedger!AC358),"")</x:f>
      </x:c>
      <x:c r="X358" t="str">
        <x:f>IFERROR(IF(CaseLedger!$A358="","",CaseLedger!AD358),"")</x:f>
      </x:c>
      <x:c r="Y358" t="str">
        <x:f>IFERROR(IF(CaseLedger!$A358="","",CaseLedger!AE358),"")</x:f>
      </x:c>
      <x:c r="Z358" t="str">
        <x:f>IFERROR(IF(CaseLedger!$A358="","",CaseLedger!AF358),"")</x:f>
      </x:c>
      <x:c r="AA358" t="str">
        <x:f>IFERROR(IF(CaseLedger!$A358="","",CaseLedger!AG358),"")</x:f>
      </x:c>
      <x:c r="AB358" t="str">
        <x:f>IFERROR(IF(CaseLedger!$A358="","",CaseLedger!AH358),"")</x:f>
      </x:c>
      <x:c r="AC358" t="str">
        <x:f>IFERROR(IF(CaseLedger!$A358="","",CaseLedger!AI358),"")</x:f>
      </x:c>
    </x:row>
    <x:row r="359">
      <x:c r="A359" t="str">
        <x:f>IF(CaseLedger!$A359="","",CaseLedger!A359)</x:f>
      </x:c>
      <x:c r="B359" t="str">
        <x:f>IF(CaseLedger!$A359="","",CaseLedger!I359)</x:f>
      </x:c>
      <x:c r="C359" t="str">
        <x:f>IF(CaseLedger!$A359="","",CaseLedger!J359)</x:f>
      </x:c>
      <x:c r="D359" t="str">
        <x:f>IF(CaseLedger!$A359="","",CaseLedger!K359)</x:f>
      </x:c>
      <x:c r="E359" t="str">
        <x:f>IF(CaseLedger!$A359="","",CaseLedger!L359)</x:f>
      </x:c>
      <x:c r="F359" t="str">
        <x:f>IF(CaseLedger!$A359="","",CaseLedger!P359)</x:f>
      </x:c>
      <x:c r="G359" t="str">
        <x:f>IF(CaseLedger!$A359="","",CaseLedger!F359)</x:f>
      </x:c>
      <x:c r="H359" t="str">
        <x:f>IF(CaseLedger!$A359="","",CaseLedger!Q359)</x:f>
      </x:c>
      <x:c r="I359" t="str">
        <x:f>IF(CaseLedger!$A359="","",CaseLedger!R359)</x:f>
      </x:c>
      <x:c r="J359" t="str">
        <x:f>IF(CaseLedger!$A359="","",CaseLedger!S359)</x:f>
      </x:c>
      <x:c r="K359" t="str">
        <x:f>IF(CaseLedger!$A359="","",CaseLedger!T359)</x:f>
      </x:c>
      <x:c r="L359" t="str">
        <x:f>IF(CaseLedger!$A359="","",CaseLedger!U359)</x:f>
      </x:c>
      <x:c r="M359" t="str">
        <x:f>IF(CaseLedger!$A359="","",CaseLedger!V359)</x:f>
      </x:c>
      <x:c r="N359" t="str">
        <x:f>IF(CaseLedger!$A359="","",CaseLedger!W359)</x:f>
      </x:c>
      <x:c r="O359" t="str">
        <x:f>IF(CaseLedger!$A359="","",CaseLedger!X359)</x:f>
      </x:c>
      <x:c r="P359" t="str">
        <x:f>IF(CaseLedger!$A359="","",CaseLedger!E359)</x:f>
      </x:c>
      <x:c r="Q359" t="str">
        <x:f>IF(CaseLedger!$A359="","",CaseLedger!C359)</x:f>
      </x:c>
      <x:c r="R359" t="str">
        <x:f>IF(CaseLedger!$A359="","",CaseLedger!D359)</x:f>
      </x:c>
      <x:c r="S359" t="str">
        <x:f>IFERROR(IF(CaseLedger!$A359="","",CaseLedger!Y359),"")</x:f>
      </x:c>
      <x:c r="T359" t="str">
        <x:f>IFERROR(IF(CaseLedger!$A359="","",CaseLedger!Z359),"")</x:f>
      </x:c>
      <x:c r="U359" t="str">
        <x:f>IFERROR(IF(CaseLedger!$A359="","",CaseLedger!AA359),"")</x:f>
      </x:c>
      <x:c r="V359" t="str">
        <x:f>IFERROR(IF(CaseLedger!$A359="","",CaseLedger!AB359),"")</x:f>
      </x:c>
      <x:c r="W359" t="str">
        <x:f>IFERROR(IF(CaseLedger!$A359="","",CaseLedger!AC359),"")</x:f>
      </x:c>
      <x:c r="X359" t="str">
        <x:f>IFERROR(IF(CaseLedger!$A359="","",CaseLedger!AD359),"")</x:f>
      </x:c>
      <x:c r="Y359" t="str">
        <x:f>IFERROR(IF(CaseLedger!$A359="","",CaseLedger!AE359),"")</x:f>
      </x:c>
      <x:c r="Z359" t="str">
        <x:f>IFERROR(IF(CaseLedger!$A359="","",CaseLedger!AF359),"")</x:f>
      </x:c>
      <x:c r="AA359" t="str">
        <x:f>IFERROR(IF(CaseLedger!$A359="","",CaseLedger!AG359),"")</x:f>
      </x:c>
      <x:c r="AB359" t="str">
        <x:f>IFERROR(IF(CaseLedger!$A359="","",CaseLedger!AH359),"")</x:f>
      </x:c>
      <x:c r="AC359" t="str">
        <x:f>IFERROR(IF(CaseLedger!$A359="","",CaseLedger!AI359),"")</x:f>
      </x:c>
    </x:row>
    <x:row r="360">
      <x:c r="A360" t="str">
        <x:f>IF(CaseLedger!$A360="","",CaseLedger!A360)</x:f>
      </x:c>
      <x:c r="B360" t="str">
        <x:f>IF(CaseLedger!$A360="","",CaseLedger!I360)</x:f>
      </x:c>
      <x:c r="C360" t="str">
        <x:f>IF(CaseLedger!$A360="","",CaseLedger!J360)</x:f>
      </x:c>
      <x:c r="D360" t="str">
        <x:f>IF(CaseLedger!$A360="","",CaseLedger!K360)</x:f>
      </x:c>
      <x:c r="E360" t="str">
        <x:f>IF(CaseLedger!$A360="","",CaseLedger!L360)</x:f>
      </x:c>
      <x:c r="F360" t="str">
        <x:f>IF(CaseLedger!$A360="","",CaseLedger!P360)</x:f>
      </x:c>
      <x:c r="G360" t="str">
        <x:f>IF(CaseLedger!$A360="","",CaseLedger!F360)</x:f>
      </x:c>
      <x:c r="H360" t="str">
        <x:f>IF(CaseLedger!$A360="","",CaseLedger!Q360)</x:f>
      </x:c>
      <x:c r="I360" t="str">
        <x:f>IF(CaseLedger!$A360="","",CaseLedger!R360)</x:f>
      </x:c>
      <x:c r="J360" t="str">
        <x:f>IF(CaseLedger!$A360="","",CaseLedger!S360)</x:f>
      </x:c>
      <x:c r="K360" t="str">
        <x:f>IF(CaseLedger!$A360="","",CaseLedger!T360)</x:f>
      </x:c>
      <x:c r="L360" t="str">
        <x:f>IF(CaseLedger!$A360="","",CaseLedger!U360)</x:f>
      </x:c>
      <x:c r="M360" t="str">
        <x:f>IF(CaseLedger!$A360="","",CaseLedger!V360)</x:f>
      </x:c>
      <x:c r="N360" t="str">
        <x:f>IF(CaseLedger!$A360="","",CaseLedger!W360)</x:f>
      </x:c>
      <x:c r="O360" t="str">
        <x:f>IF(CaseLedger!$A360="","",CaseLedger!X360)</x:f>
      </x:c>
      <x:c r="P360" t="str">
        <x:f>IF(CaseLedger!$A360="","",CaseLedger!E360)</x:f>
      </x:c>
      <x:c r="Q360" t="str">
        <x:f>IF(CaseLedger!$A360="","",CaseLedger!C360)</x:f>
      </x:c>
      <x:c r="R360" t="str">
        <x:f>IF(CaseLedger!$A360="","",CaseLedger!D360)</x:f>
      </x:c>
      <x:c r="S360" t="str">
        <x:f>IFERROR(IF(CaseLedger!$A360="","",CaseLedger!Y360),"")</x:f>
      </x:c>
      <x:c r="T360" t="str">
        <x:f>IFERROR(IF(CaseLedger!$A360="","",CaseLedger!Z360),"")</x:f>
      </x:c>
      <x:c r="U360" t="str">
        <x:f>IFERROR(IF(CaseLedger!$A360="","",CaseLedger!AA360),"")</x:f>
      </x:c>
      <x:c r="V360" t="str">
        <x:f>IFERROR(IF(CaseLedger!$A360="","",CaseLedger!AB360),"")</x:f>
      </x:c>
      <x:c r="W360" t="str">
        <x:f>IFERROR(IF(CaseLedger!$A360="","",CaseLedger!AC360),"")</x:f>
      </x:c>
      <x:c r="X360" t="str">
        <x:f>IFERROR(IF(CaseLedger!$A360="","",CaseLedger!AD360),"")</x:f>
      </x:c>
      <x:c r="Y360" t="str">
        <x:f>IFERROR(IF(CaseLedger!$A360="","",CaseLedger!AE360),"")</x:f>
      </x:c>
      <x:c r="Z360" t="str">
        <x:f>IFERROR(IF(CaseLedger!$A360="","",CaseLedger!AF360),"")</x:f>
      </x:c>
      <x:c r="AA360" t="str">
        <x:f>IFERROR(IF(CaseLedger!$A360="","",CaseLedger!AG360),"")</x:f>
      </x:c>
      <x:c r="AB360" t="str">
        <x:f>IFERROR(IF(CaseLedger!$A360="","",CaseLedger!AH360),"")</x:f>
      </x:c>
      <x:c r="AC360" t="str">
        <x:f>IFERROR(IF(CaseLedger!$A360="","",CaseLedger!AI360),"")</x:f>
      </x:c>
    </x:row>
    <x:row r="361">
      <x:c r="A361" t="str">
        <x:f>IF(CaseLedger!$A361="","",CaseLedger!A361)</x:f>
      </x:c>
      <x:c r="B361" t="str">
        <x:f>IF(CaseLedger!$A361="","",CaseLedger!I361)</x:f>
      </x:c>
      <x:c r="C361" t="str">
        <x:f>IF(CaseLedger!$A361="","",CaseLedger!J361)</x:f>
      </x:c>
      <x:c r="D361" t="str">
        <x:f>IF(CaseLedger!$A361="","",CaseLedger!K361)</x:f>
      </x:c>
      <x:c r="E361" t="str">
        <x:f>IF(CaseLedger!$A361="","",CaseLedger!L361)</x:f>
      </x:c>
      <x:c r="F361" t="str">
        <x:f>IF(CaseLedger!$A361="","",CaseLedger!P361)</x:f>
      </x:c>
      <x:c r="G361" t="str">
        <x:f>IF(CaseLedger!$A361="","",CaseLedger!F361)</x:f>
      </x:c>
      <x:c r="H361" t="str">
        <x:f>IF(CaseLedger!$A361="","",CaseLedger!Q361)</x:f>
      </x:c>
      <x:c r="I361" t="str">
        <x:f>IF(CaseLedger!$A361="","",CaseLedger!R361)</x:f>
      </x:c>
      <x:c r="J361" t="str">
        <x:f>IF(CaseLedger!$A361="","",CaseLedger!S361)</x:f>
      </x:c>
      <x:c r="K361" t="str">
        <x:f>IF(CaseLedger!$A361="","",CaseLedger!T361)</x:f>
      </x:c>
      <x:c r="L361" t="str">
        <x:f>IF(CaseLedger!$A361="","",CaseLedger!U361)</x:f>
      </x:c>
      <x:c r="M361" t="str">
        <x:f>IF(CaseLedger!$A361="","",CaseLedger!V361)</x:f>
      </x:c>
      <x:c r="N361" t="str">
        <x:f>IF(CaseLedger!$A361="","",CaseLedger!W361)</x:f>
      </x:c>
      <x:c r="O361" t="str">
        <x:f>IF(CaseLedger!$A361="","",CaseLedger!X361)</x:f>
      </x:c>
      <x:c r="P361" t="str">
        <x:f>IF(CaseLedger!$A361="","",CaseLedger!E361)</x:f>
      </x:c>
      <x:c r="Q361" t="str">
        <x:f>IF(CaseLedger!$A361="","",CaseLedger!C361)</x:f>
      </x:c>
      <x:c r="R361" t="str">
        <x:f>IF(CaseLedger!$A361="","",CaseLedger!D361)</x:f>
      </x:c>
      <x:c r="S361" t="str">
        <x:f>IFERROR(IF(CaseLedger!$A361="","",CaseLedger!Y361),"")</x:f>
      </x:c>
      <x:c r="T361" t="str">
        <x:f>IFERROR(IF(CaseLedger!$A361="","",CaseLedger!Z361),"")</x:f>
      </x:c>
      <x:c r="U361" t="str">
        <x:f>IFERROR(IF(CaseLedger!$A361="","",CaseLedger!AA361),"")</x:f>
      </x:c>
      <x:c r="V361" t="str">
        <x:f>IFERROR(IF(CaseLedger!$A361="","",CaseLedger!AB361),"")</x:f>
      </x:c>
      <x:c r="W361" t="str">
        <x:f>IFERROR(IF(CaseLedger!$A361="","",CaseLedger!AC361),"")</x:f>
      </x:c>
      <x:c r="X361" t="str">
        <x:f>IFERROR(IF(CaseLedger!$A361="","",CaseLedger!AD361),"")</x:f>
      </x:c>
      <x:c r="Y361" t="str">
        <x:f>IFERROR(IF(CaseLedger!$A361="","",CaseLedger!AE361),"")</x:f>
      </x:c>
      <x:c r="Z361" t="str">
        <x:f>IFERROR(IF(CaseLedger!$A361="","",CaseLedger!AF361),"")</x:f>
      </x:c>
      <x:c r="AA361" t="str">
        <x:f>IFERROR(IF(CaseLedger!$A361="","",CaseLedger!AG361),"")</x:f>
      </x:c>
      <x:c r="AB361" t="str">
        <x:f>IFERROR(IF(CaseLedger!$A361="","",CaseLedger!AH361),"")</x:f>
      </x:c>
      <x:c r="AC361" t="str">
        <x:f>IFERROR(IF(CaseLedger!$A361="","",CaseLedger!AI361),"")</x:f>
      </x:c>
    </x:row>
    <x:row r="362">
      <x:c r="A362" t="str">
        <x:f>IF(CaseLedger!$A362="","",CaseLedger!A362)</x:f>
      </x:c>
      <x:c r="B362" t="str">
        <x:f>IF(CaseLedger!$A362="","",CaseLedger!I362)</x:f>
      </x:c>
      <x:c r="C362" t="str">
        <x:f>IF(CaseLedger!$A362="","",CaseLedger!J362)</x:f>
      </x:c>
      <x:c r="D362" t="str">
        <x:f>IF(CaseLedger!$A362="","",CaseLedger!K362)</x:f>
      </x:c>
      <x:c r="E362" t="str">
        <x:f>IF(CaseLedger!$A362="","",CaseLedger!L362)</x:f>
      </x:c>
      <x:c r="F362" t="str">
        <x:f>IF(CaseLedger!$A362="","",CaseLedger!P362)</x:f>
      </x:c>
      <x:c r="G362" t="str">
        <x:f>IF(CaseLedger!$A362="","",CaseLedger!F362)</x:f>
      </x:c>
      <x:c r="H362" t="str">
        <x:f>IF(CaseLedger!$A362="","",CaseLedger!Q362)</x:f>
      </x:c>
      <x:c r="I362" t="str">
        <x:f>IF(CaseLedger!$A362="","",CaseLedger!R362)</x:f>
      </x:c>
      <x:c r="J362" t="str">
        <x:f>IF(CaseLedger!$A362="","",CaseLedger!S362)</x:f>
      </x:c>
      <x:c r="K362" t="str">
        <x:f>IF(CaseLedger!$A362="","",CaseLedger!T362)</x:f>
      </x:c>
      <x:c r="L362" t="str">
        <x:f>IF(CaseLedger!$A362="","",CaseLedger!U362)</x:f>
      </x:c>
      <x:c r="M362" t="str">
        <x:f>IF(CaseLedger!$A362="","",CaseLedger!V362)</x:f>
      </x:c>
      <x:c r="N362" t="str">
        <x:f>IF(CaseLedger!$A362="","",CaseLedger!W362)</x:f>
      </x:c>
      <x:c r="O362" t="str">
        <x:f>IF(CaseLedger!$A362="","",CaseLedger!X362)</x:f>
      </x:c>
      <x:c r="P362" t="str">
        <x:f>IF(CaseLedger!$A362="","",CaseLedger!E362)</x:f>
      </x:c>
      <x:c r="Q362" t="str">
        <x:f>IF(CaseLedger!$A362="","",CaseLedger!C362)</x:f>
      </x:c>
      <x:c r="R362" t="str">
        <x:f>IF(CaseLedger!$A362="","",CaseLedger!D362)</x:f>
      </x:c>
      <x:c r="S362" t="str">
        <x:f>IFERROR(IF(CaseLedger!$A362="","",CaseLedger!Y362),"")</x:f>
      </x:c>
      <x:c r="T362" t="str">
        <x:f>IFERROR(IF(CaseLedger!$A362="","",CaseLedger!Z362),"")</x:f>
      </x:c>
      <x:c r="U362" t="str">
        <x:f>IFERROR(IF(CaseLedger!$A362="","",CaseLedger!AA362),"")</x:f>
      </x:c>
      <x:c r="V362" t="str">
        <x:f>IFERROR(IF(CaseLedger!$A362="","",CaseLedger!AB362),"")</x:f>
      </x:c>
      <x:c r="W362" t="str">
        <x:f>IFERROR(IF(CaseLedger!$A362="","",CaseLedger!AC362),"")</x:f>
      </x:c>
      <x:c r="X362" t="str">
        <x:f>IFERROR(IF(CaseLedger!$A362="","",CaseLedger!AD362),"")</x:f>
      </x:c>
      <x:c r="Y362" t="str">
        <x:f>IFERROR(IF(CaseLedger!$A362="","",CaseLedger!AE362),"")</x:f>
      </x:c>
      <x:c r="Z362" t="str">
        <x:f>IFERROR(IF(CaseLedger!$A362="","",CaseLedger!AF362),"")</x:f>
      </x:c>
      <x:c r="AA362" t="str">
        <x:f>IFERROR(IF(CaseLedger!$A362="","",CaseLedger!AG362),"")</x:f>
      </x:c>
      <x:c r="AB362" t="str">
        <x:f>IFERROR(IF(CaseLedger!$A362="","",CaseLedger!AH362),"")</x:f>
      </x:c>
      <x:c r="AC362" t="str">
        <x:f>IFERROR(IF(CaseLedger!$A362="","",CaseLedger!AI362),"")</x:f>
      </x:c>
    </x:row>
    <x:row r="363">
      <x:c r="A363" t="str">
        <x:f>IF(CaseLedger!$A363="","",CaseLedger!A363)</x:f>
      </x:c>
      <x:c r="B363" t="str">
        <x:f>IF(CaseLedger!$A363="","",CaseLedger!I363)</x:f>
      </x:c>
      <x:c r="C363" t="str">
        <x:f>IF(CaseLedger!$A363="","",CaseLedger!J363)</x:f>
      </x:c>
      <x:c r="D363" t="str">
        <x:f>IF(CaseLedger!$A363="","",CaseLedger!K363)</x:f>
      </x:c>
      <x:c r="E363" t="str">
        <x:f>IF(CaseLedger!$A363="","",CaseLedger!L363)</x:f>
      </x:c>
      <x:c r="F363" t="str">
        <x:f>IF(CaseLedger!$A363="","",CaseLedger!P363)</x:f>
      </x:c>
      <x:c r="G363" t="str">
        <x:f>IF(CaseLedger!$A363="","",CaseLedger!F363)</x:f>
      </x:c>
      <x:c r="H363" t="str">
        <x:f>IF(CaseLedger!$A363="","",CaseLedger!Q363)</x:f>
      </x:c>
      <x:c r="I363" t="str">
        <x:f>IF(CaseLedger!$A363="","",CaseLedger!R363)</x:f>
      </x:c>
      <x:c r="J363" t="str">
        <x:f>IF(CaseLedger!$A363="","",CaseLedger!S363)</x:f>
      </x:c>
      <x:c r="K363" t="str">
        <x:f>IF(CaseLedger!$A363="","",CaseLedger!T363)</x:f>
      </x:c>
      <x:c r="L363" t="str">
        <x:f>IF(CaseLedger!$A363="","",CaseLedger!U363)</x:f>
      </x:c>
      <x:c r="M363" t="str">
        <x:f>IF(CaseLedger!$A363="","",CaseLedger!V363)</x:f>
      </x:c>
      <x:c r="N363" t="str">
        <x:f>IF(CaseLedger!$A363="","",CaseLedger!W363)</x:f>
      </x:c>
      <x:c r="O363" t="str">
        <x:f>IF(CaseLedger!$A363="","",CaseLedger!X363)</x:f>
      </x:c>
      <x:c r="P363" t="str">
        <x:f>IF(CaseLedger!$A363="","",CaseLedger!E363)</x:f>
      </x:c>
      <x:c r="Q363" t="str">
        <x:f>IF(CaseLedger!$A363="","",CaseLedger!C363)</x:f>
      </x:c>
      <x:c r="R363" t="str">
        <x:f>IF(CaseLedger!$A363="","",CaseLedger!D363)</x:f>
      </x:c>
      <x:c r="S363" t="str">
        <x:f>IFERROR(IF(CaseLedger!$A363="","",CaseLedger!Y363),"")</x:f>
      </x:c>
      <x:c r="T363" t="str">
        <x:f>IFERROR(IF(CaseLedger!$A363="","",CaseLedger!Z363),"")</x:f>
      </x:c>
      <x:c r="U363" t="str">
        <x:f>IFERROR(IF(CaseLedger!$A363="","",CaseLedger!AA363),"")</x:f>
      </x:c>
      <x:c r="V363" t="str">
        <x:f>IFERROR(IF(CaseLedger!$A363="","",CaseLedger!AB363),"")</x:f>
      </x:c>
      <x:c r="W363" t="str">
        <x:f>IFERROR(IF(CaseLedger!$A363="","",CaseLedger!AC363),"")</x:f>
      </x:c>
      <x:c r="X363" t="str">
        <x:f>IFERROR(IF(CaseLedger!$A363="","",CaseLedger!AD363),"")</x:f>
      </x:c>
      <x:c r="Y363" t="str">
        <x:f>IFERROR(IF(CaseLedger!$A363="","",CaseLedger!AE363),"")</x:f>
      </x:c>
      <x:c r="Z363" t="str">
        <x:f>IFERROR(IF(CaseLedger!$A363="","",CaseLedger!AF363),"")</x:f>
      </x:c>
      <x:c r="AA363" t="str">
        <x:f>IFERROR(IF(CaseLedger!$A363="","",CaseLedger!AG363),"")</x:f>
      </x:c>
      <x:c r="AB363" t="str">
        <x:f>IFERROR(IF(CaseLedger!$A363="","",CaseLedger!AH363),"")</x:f>
      </x:c>
      <x:c r="AC363" t="str">
        <x:f>IFERROR(IF(CaseLedger!$A363="","",CaseLedger!AI363),"")</x:f>
      </x:c>
    </x:row>
    <x:row r="364">
      <x:c r="A364" t="str">
        <x:f>IF(CaseLedger!$A364="","",CaseLedger!A364)</x:f>
      </x:c>
      <x:c r="B364" t="str">
        <x:f>IF(CaseLedger!$A364="","",CaseLedger!I364)</x:f>
      </x:c>
      <x:c r="C364" t="str">
        <x:f>IF(CaseLedger!$A364="","",CaseLedger!J364)</x:f>
      </x:c>
      <x:c r="D364" t="str">
        <x:f>IF(CaseLedger!$A364="","",CaseLedger!K364)</x:f>
      </x:c>
      <x:c r="E364" t="str">
        <x:f>IF(CaseLedger!$A364="","",CaseLedger!L364)</x:f>
      </x:c>
      <x:c r="F364" t="str">
        <x:f>IF(CaseLedger!$A364="","",CaseLedger!P364)</x:f>
      </x:c>
      <x:c r="G364" t="str">
        <x:f>IF(CaseLedger!$A364="","",CaseLedger!F364)</x:f>
      </x:c>
      <x:c r="H364" t="str">
        <x:f>IF(CaseLedger!$A364="","",CaseLedger!Q364)</x:f>
      </x:c>
      <x:c r="I364" t="str">
        <x:f>IF(CaseLedger!$A364="","",CaseLedger!R364)</x:f>
      </x:c>
      <x:c r="J364" t="str">
        <x:f>IF(CaseLedger!$A364="","",CaseLedger!S364)</x:f>
      </x:c>
      <x:c r="K364" t="str">
        <x:f>IF(CaseLedger!$A364="","",CaseLedger!T364)</x:f>
      </x:c>
      <x:c r="L364" t="str">
        <x:f>IF(CaseLedger!$A364="","",CaseLedger!U364)</x:f>
      </x:c>
      <x:c r="M364" t="str">
        <x:f>IF(CaseLedger!$A364="","",CaseLedger!V364)</x:f>
      </x:c>
      <x:c r="N364" t="str">
        <x:f>IF(CaseLedger!$A364="","",CaseLedger!W364)</x:f>
      </x:c>
      <x:c r="O364" t="str">
        <x:f>IF(CaseLedger!$A364="","",CaseLedger!X364)</x:f>
      </x:c>
      <x:c r="P364" t="str">
        <x:f>IF(CaseLedger!$A364="","",CaseLedger!E364)</x:f>
      </x:c>
      <x:c r="Q364" t="str">
        <x:f>IF(CaseLedger!$A364="","",CaseLedger!C364)</x:f>
      </x:c>
      <x:c r="R364" t="str">
        <x:f>IF(CaseLedger!$A364="","",CaseLedger!D364)</x:f>
      </x:c>
      <x:c r="S364" t="str">
        <x:f>IFERROR(IF(CaseLedger!$A364="","",CaseLedger!Y364),"")</x:f>
      </x:c>
      <x:c r="T364" t="str">
        <x:f>IFERROR(IF(CaseLedger!$A364="","",CaseLedger!Z364),"")</x:f>
      </x:c>
      <x:c r="U364" t="str">
        <x:f>IFERROR(IF(CaseLedger!$A364="","",CaseLedger!AA364),"")</x:f>
      </x:c>
      <x:c r="V364" t="str">
        <x:f>IFERROR(IF(CaseLedger!$A364="","",CaseLedger!AB364),"")</x:f>
      </x:c>
      <x:c r="W364" t="str">
        <x:f>IFERROR(IF(CaseLedger!$A364="","",CaseLedger!AC364),"")</x:f>
      </x:c>
      <x:c r="X364" t="str">
        <x:f>IFERROR(IF(CaseLedger!$A364="","",CaseLedger!AD364),"")</x:f>
      </x:c>
      <x:c r="Y364" t="str">
        <x:f>IFERROR(IF(CaseLedger!$A364="","",CaseLedger!AE364),"")</x:f>
      </x:c>
      <x:c r="Z364" t="str">
        <x:f>IFERROR(IF(CaseLedger!$A364="","",CaseLedger!AF364),"")</x:f>
      </x:c>
      <x:c r="AA364" t="str">
        <x:f>IFERROR(IF(CaseLedger!$A364="","",CaseLedger!AG364),"")</x:f>
      </x:c>
      <x:c r="AB364" t="str">
        <x:f>IFERROR(IF(CaseLedger!$A364="","",CaseLedger!AH364),"")</x:f>
      </x:c>
      <x:c r="AC364" t="str">
        <x:f>IFERROR(IF(CaseLedger!$A364="","",CaseLedger!AI364),"")</x:f>
      </x:c>
    </x:row>
    <x:row r="365">
      <x:c r="A365" t="str">
        <x:f>IF(CaseLedger!$A365="","",CaseLedger!A365)</x:f>
      </x:c>
      <x:c r="B365" t="str">
        <x:f>IF(CaseLedger!$A365="","",CaseLedger!I365)</x:f>
      </x:c>
      <x:c r="C365" t="str">
        <x:f>IF(CaseLedger!$A365="","",CaseLedger!J365)</x:f>
      </x:c>
      <x:c r="D365" t="str">
        <x:f>IF(CaseLedger!$A365="","",CaseLedger!K365)</x:f>
      </x:c>
      <x:c r="E365" t="str">
        <x:f>IF(CaseLedger!$A365="","",CaseLedger!L365)</x:f>
      </x:c>
      <x:c r="F365" t="str">
        <x:f>IF(CaseLedger!$A365="","",CaseLedger!P365)</x:f>
      </x:c>
      <x:c r="G365" t="str">
        <x:f>IF(CaseLedger!$A365="","",CaseLedger!F365)</x:f>
      </x:c>
      <x:c r="H365" t="str">
        <x:f>IF(CaseLedger!$A365="","",CaseLedger!Q365)</x:f>
      </x:c>
      <x:c r="I365" t="str">
        <x:f>IF(CaseLedger!$A365="","",CaseLedger!R365)</x:f>
      </x:c>
      <x:c r="J365" t="str">
        <x:f>IF(CaseLedger!$A365="","",CaseLedger!S365)</x:f>
      </x:c>
      <x:c r="K365" t="str">
        <x:f>IF(CaseLedger!$A365="","",CaseLedger!T365)</x:f>
      </x:c>
      <x:c r="L365" t="str">
        <x:f>IF(CaseLedger!$A365="","",CaseLedger!U365)</x:f>
      </x:c>
      <x:c r="M365" t="str">
        <x:f>IF(CaseLedger!$A365="","",CaseLedger!V365)</x:f>
      </x:c>
      <x:c r="N365" t="str">
        <x:f>IF(CaseLedger!$A365="","",CaseLedger!W365)</x:f>
      </x:c>
      <x:c r="O365" t="str">
        <x:f>IF(CaseLedger!$A365="","",CaseLedger!X365)</x:f>
      </x:c>
      <x:c r="P365" t="str">
        <x:f>IF(CaseLedger!$A365="","",CaseLedger!E365)</x:f>
      </x:c>
      <x:c r="Q365" t="str">
        <x:f>IF(CaseLedger!$A365="","",CaseLedger!C365)</x:f>
      </x:c>
      <x:c r="R365" t="str">
        <x:f>IF(CaseLedger!$A365="","",CaseLedger!D365)</x:f>
      </x:c>
      <x:c r="S365" t="str">
        <x:f>IFERROR(IF(CaseLedger!$A365="","",CaseLedger!Y365),"")</x:f>
      </x:c>
      <x:c r="T365" t="str">
        <x:f>IFERROR(IF(CaseLedger!$A365="","",CaseLedger!Z365),"")</x:f>
      </x:c>
      <x:c r="U365" t="str">
        <x:f>IFERROR(IF(CaseLedger!$A365="","",CaseLedger!AA365),"")</x:f>
      </x:c>
      <x:c r="V365" t="str">
        <x:f>IFERROR(IF(CaseLedger!$A365="","",CaseLedger!AB365),"")</x:f>
      </x:c>
      <x:c r="W365" t="str">
        <x:f>IFERROR(IF(CaseLedger!$A365="","",CaseLedger!AC365),"")</x:f>
      </x:c>
      <x:c r="X365" t="str">
        <x:f>IFERROR(IF(CaseLedger!$A365="","",CaseLedger!AD365),"")</x:f>
      </x:c>
      <x:c r="Y365" t="str">
        <x:f>IFERROR(IF(CaseLedger!$A365="","",CaseLedger!AE365),"")</x:f>
      </x:c>
      <x:c r="Z365" t="str">
        <x:f>IFERROR(IF(CaseLedger!$A365="","",CaseLedger!AF365),"")</x:f>
      </x:c>
      <x:c r="AA365" t="str">
        <x:f>IFERROR(IF(CaseLedger!$A365="","",CaseLedger!AG365),"")</x:f>
      </x:c>
      <x:c r="AB365" t="str">
        <x:f>IFERROR(IF(CaseLedger!$A365="","",CaseLedger!AH365),"")</x:f>
      </x:c>
      <x:c r="AC365" t="str">
        <x:f>IFERROR(IF(CaseLedger!$A365="","",CaseLedger!AI365),"")</x:f>
      </x:c>
    </x:row>
    <x:row r="366">
      <x:c r="A366" t="str">
        <x:f>IF(CaseLedger!$A366="","",CaseLedger!A366)</x:f>
      </x:c>
      <x:c r="B366" t="str">
        <x:f>IF(CaseLedger!$A366="","",CaseLedger!I366)</x:f>
      </x:c>
      <x:c r="C366" t="str">
        <x:f>IF(CaseLedger!$A366="","",CaseLedger!J366)</x:f>
      </x:c>
      <x:c r="D366" t="str">
        <x:f>IF(CaseLedger!$A366="","",CaseLedger!K366)</x:f>
      </x:c>
      <x:c r="E366" t="str">
        <x:f>IF(CaseLedger!$A366="","",CaseLedger!L366)</x:f>
      </x:c>
      <x:c r="F366" t="str">
        <x:f>IF(CaseLedger!$A366="","",CaseLedger!P366)</x:f>
      </x:c>
      <x:c r="G366" t="str">
        <x:f>IF(CaseLedger!$A366="","",CaseLedger!F366)</x:f>
      </x:c>
      <x:c r="H366" t="str">
        <x:f>IF(CaseLedger!$A366="","",CaseLedger!Q366)</x:f>
      </x:c>
      <x:c r="I366" t="str">
        <x:f>IF(CaseLedger!$A366="","",CaseLedger!R366)</x:f>
      </x:c>
      <x:c r="J366" t="str">
        <x:f>IF(CaseLedger!$A366="","",CaseLedger!S366)</x:f>
      </x:c>
      <x:c r="K366" t="str">
        <x:f>IF(CaseLedger!$A366="","",CaseLedger!T366)</x:f>
      </x:c>
      <x:c r="L366" t="str">
        <x:f>IF(CaseLedger!$A366="","",CaseLedger!U366)</x:f>
      </x:c>
      <x:c r="M366" t="str">
        <x:f>IF(CaseLedger!$A366="","",CaseLedger!V366)</x:f>
      </x:c>
      <x:c r="N366" t="str">
        <x:f>IF(CaseLedger!$A366="","",CaseLedger!W366)</x:f>
      </x:c>
      <x:c r="O366" t="str">
        <x:f>IF(CaseLedger!$A366="","",CaseLedger!X366)</x:f>
      </x:c>
      <x:c r="P366" t="str">
        <x:f>IF(CaseLedger!$A366="","",CaseLedger!E366)</x:f>
      </x:c>
      <x:c r="Q366" t="str">
        <x:f>IF(CaseLedger!$A366="","",CaseLedger!C366)</x:f>
      </x:c>
      <x:c r="R366" t="str">
        <x:f>IF(CaseLedger!$A366="","",CaseLedger!D366)</x:f>
      </x:c>
      <x:c r="S366" t="str">
        <x:f>IFERROR(IF(CaseLedger!$A366="","",CaseLedger!Y366),"")</x:f>
      </x:c>
      <x:c r="T366" t="str">
        <x:f>IFERROR(IF(CaseLedger!$A366="","",CaseLedger!Z366),"")</x:f>
      </x:c>
      <x:c r="U366" t="str">
        <x:f>IFERROR(IF(CaseLedger!$A366="","",CaseLedger!AA366),"")</x:f>
      </x:c>
      <x:c r="V366" t="str">
        <x:f>IFERROR(IF(CaseLedger!$A366="","",CaseLedger!AB366),"")</x:f>
      </x:c>
      <x:c r="W366" t="str">
        <x:f>IFERROR(IF(CaseLedger!$A366="","",CaseLedger!AC366),"")</x:f>
      </x:c>
      <x:c r="X366" t="str">
        <x:f>IFERROR(IF(CaseLedger!$A366="","",CaseLedger!AD366),"")</x:f>
      </x:c>
      <x:c r="Y366" t="str">
        <x:f>IFERROR(IF(CaseLedger!$A366="","",CaseLedger!AE366),"")</x:f>
      </x:c>
      <x:c r="Z366" t="str">
        <x:f>IFERROR(IF(CaseLedger!$A366="","",CaseLedger!AF366),"")</x:f>
      </x:c>
      <x:c r="AA366" t="str">
        <x:f>IFERROR(IF(CaseLedger!$A366="","",CaseLedger!AG366),"")</x:f>
      </x:c>
      <x:c r="AB366" t="str">
        <x:f>IFERROR(IF(CaseLedger!$A366="","",CaseLedger!AH366),"")</x:f>
      </x:c>
      <x:c r="AC366" t="str">
        <x:f>IFERROR(IF(CaseLedger!$A366="","",CaseLedger!AI366),"")</x:f>
      </x:c>
    </x:row>
    <x:row r="367">
      <x:c r="A367" t="str">
        <x:f>IF(CaseLedger!$A367="","",CaseLedger!A367)</x:f>
      </x:c>
      <x:c r="B367" t="str">
        <x:f>IF(CaseLedger!$A367="","",CaseLedger!I367)</x:f>
      </x:c>
      <x:c r="C367" t="str">
        <x:f>IF(CaseLedger!$A367="","",CaseLedger!J367)</x:f>
      </x:c>
      <x:c r="D367" t="str">
        <x:f>IF(CaseLedger!$A367="","",CaseLedger!K367)</x:f>
      </x:c>
      <x:c r="E367" t="str">
        <x:f>IF(CaseLedger!$A367="","",CaseLedger!L367)</x:f>
      </x:c>
      <x:c r="F367" t="str">
        <x:f>IF(CaseLedger!$A367="","",CaseLedger!P367)</x:f>
      </x:c>
      <x:c r="G367" t="str">
        <x:f>IF(CaseLedger!$A367="","",CaseLedger!F367)</x:f>
      </x:c>
      <x:c r="H367" t="str">
        <x:f>IF(CaseLedger!$A367="","",CaseLedger!Q367)</x:f>
      </x:c>
      <x:c r="I367" t="str">
        <x:f>IF(CaseLedger!$A367="","",CaseLedger!R367)</x:f>
      </x:c>
      <x:c r="J367" t="str">
        <x:f>IF(CaseLedger!$A367="","",CaseLedger!S367)</x:f>
      </x:c>
      <x:c r="K367" t="str">
        <x:f>IF(CaseLedger!$A367="","",CaseLedger!T367)</x:f>
      </x:c>
      <x:c r="L367" t="str">
        <x:f>IF(CaseLedger!$A367="","",CaseLedger!U367)</x:f>
      </x:c>
      <x:c r="M367" t="str">
        <x:f>IF(CaseLedger!$A367="","",CaseLedger!V367)</x:f>
      </x:c>
      <x:c r="N367" t="str">
        <x:f>IF(CaseLedger!$A367="","",CaseLedger!W367)</x:f>
      </x:c>
      <x:c r="O367" t="str">
        <x:f>IF(CaseLedger!$A367="","",CaseLedger!X367)</x:f>
      </x:c>
      <x:c r="P367" t="str">
        <x:f>IF(CaseLedger!$A367="","",CaseLedger!E367)</x:f>
      </x:c>
      <x:c r="Q367" t="str">
        <x:f>IF(CaseLedger!$A367="","",CaseLedger!C367)</x:f>
      </x:c>
      <x:c r="R367" t="str">
        <x:f>IF(CaseLedger!$A367="","",CaseLedger!D367)</x:f>
      </x:c>
      <x:c r="S367" t="str">
        <x:f>IFERROR(IF(CaseLedger!$A367="","",CaseLedger!Y367),"")</x:f>
      </x:c>
      <x:c r="T367" t="str">
        <x:f>IFERROR(IF(CaseLedger!$A367="","",CaseLedger!Z367),"")</x:f>
      </x:c>
      <x:c r="U367" t="str">
        <x:f>IFERROR(IF(CaseLedger!$A367="","",CaseLedger!AA367),"")</x:f>
      </x:c>
      <x:c r="V367" t="str">
        <x:f>IFERROR(IF(CaseLedger!$A367="","",CaseLedger!AB367),"")</x:f>
      </x:c>
      <x:c r="W367" t="str">
        <x:f>IFERROR(IF(CaseLedger!$A367="","",CaseLedger!AC367),"")</x:f>
      </x:c>
      <x:c r="X367" t="str">
        <x:f>IFERROR(IF(CaseLedger!$A367="","",CaseLedger!AD367),"")</x:f>
      </x:c>
      <x:c r="Y367" t="str">
        <x:f>IFERROR(IF(CaseLedger!$A367="","",CaseLedger!AE367),"")</x:f>
      </x:c>
      <x:c r="Z367" t="str">
        <x:f>IFERROR(IF(CaseLedger!$A367="","",CaseLedger!AF367),"")</x:f>
      </x:c>
      <x:c r="AA367" t="str">
        <x:f>IFERROR(IF(CaseLedger!$A367="","",CaseLedger!AG367),"")</x:f>
      </x:c>
      <x:c r="AB367" t="str">
        <x:f>IFERROR(IF(CaseLedger!$A367="","",CaseLedger!AH367),"")</x:f>
      </x:c>
      <x:c r="AC367" t="str">
        <x:f>IFERROR(IF(CaseLedger!$A367="","",CaseLedger!AI367),"")</x:f>
      </x:c>
    </x:row>
    <x:row r="368">
      <x:c r="A368" t="str">
        <x:f>IF(CaseLedger!$A368="","",CaseLedger!A368)</x:f>
      </x:c>
      <x:c r="B368" t="str">
        <x:f>IF(CaseLedger!$A368="","",CaseLedger!I368)</x:f>
      </x:c>
      <x:c r="C368" t="str">
        <x:f>IF(CaseLedger!$A368="","",CaseLedger!J368)</x:f>
      </x:c>
      <x:c r="D368" t="str">
        <x:f>IF(CaseLedger!$A368="","",CaseLedger!K368)</x:f>
      </x:c>
      <x:c r="E368" t="str">
        <x:f>IF(CaseLedger!$A368="","",CaseLedger!L368)</x:f>
      </x:c>
      <x:c r="F368" t="str">
        <x:f>IF(CaseLedger!$A368="","",CaseLedger!P368)</x:f>
      </x:c>
      <x:c r="G368" t="str">
        <x:f>IF(CaseLedger!$A368="","",CaseLedger!F368)</x:f>
      </x:c>
      <x:c r="H368" t="str">
        <x:f>IF(CaseLedger!$A368="","",CaseLedger!Q368)</x:f>
      </x:c>
      <x:c r="I368" t="str">
        <x:f>IF(CaseLedger!$A368="","",CaseLedger!R368)</x:f>
      </x:c>
      <x:c r="J368" t="str">
        <x:f>IF(CaseLedger!$A368="","",CaseLedger!S368)</x:f>
      </x:c>
      <x:c r="K368" t="str">
        <x:f>IF(CaseLedger!$A368="","",CaseLedger!T368)</x:f>
      </x:c>
      <x:c r="L368" t="str">
        <x:f>IF(CaseLedger!$A368="","",CaseLedger!U368)</x:f>
      </x:c>
      <x:c r="M368" t="str">
        <x:f>IF(CaseLedger!$A368="","",CaseLedger!V368)</x:f>
      </x:c>
      <x:c r="N368" t="str">
        <x:f>IF(CaseLedger!$A368="","",CaseLedger!W368)</x:f>
      </x:c>
      <x:c r="O368" t="str">
        <x:f>IF(CaseLedger!$A368="","",CaseLedger!X368)</x:f>
      </x:c>
      <x:c r="P368" t="str">
        <x:f>IF(CaseLedger!$A368="","",CaseLedger!E368)</x:f>
      </x:c>
      <x:c r="Q368" t="str">
        <x:f>IF(CaseLedger!$A368="","",CaseLedger!C368)</x:f>
      </x:c>
      <x:c r="R368" t="str">
        <x:f>IF(CaseLedger!$A368="","",CaseLedger!D368)</x:f>
      </x:c>
      <x:c r="S368" t="str">
        <x:f>IFERROR(IF(CaseLedger!$A368="","",CaseLedger!Y368),"")</x:f>
      </x:c>
      <x:c r="T368" t="str">
        <x:f>IFERROR(IF(CaseLedger!$A368="","",CaseLedger!Z368),"")</x:f>
      </x:c>
      <x:c r="U368" t="str">
        <x:f>IFERROR(IF(CaseLedger!$A368="","",CaseLedger!AA368),"")</x:f>
      </x:c>
      <x:c r="V368" t="str">
        <x:f>IFERROR(IF(CaseLedger!$A368="","",CaseLedger!AB368),"")</x:f>
      </x:c>
      <x:c r="W368" t="str">
        <x:f>IFERROR(IF(CaseLedger!$A368="","",CaseLedger!AC368),"")</x:f>
      </x:c>
      <x:c r="X368" t="str">
        <x:f>IFERROR(IF(CaseLedger!$A368="","",CaseLedger!AD368),"")</x:f>
      </x:c>
      <x:c r="Y368" t="str">
        <x:f>IFERROR(IF(CaseLedger!$A368="","",CaseLedger!AE368),"")</x:f>
      </x:c>
      <x:c r="Z368" t="str">
        <x:f>IFERROR(IF(CaseLedger!$A368="","",CaseLedger!AF368),"")</x:f>
      </x:c>
      <x:c r="AA368" t="str">
        <x:f>IFERROR(IF(CaseLedger!$A368="","",CaseLedger!AG368),"")</x:f>
      </x:c>
      <x:c r="AB368" t="str">
        <x:f>IFERROR(IF(CaseLedger!$A368="","",CaseLedger!AH368),"")</x:f>
      </x:c>
      <x:c r="AC368" t="str">
        <x:f>IFERROR(IF(CaseLedger!$A368="","",CaseLedger!AI368),"")</x:f>
      </x:c>
    </x:row>
    <x:row r="369">
      <x:c r="A369" t="str">
        <x:f>IF(CaseLedger!$A369="","",CaseLedger!A369)</x:f>
      </x:c>
      <x:c r="B369" t="str">
        <x:f>IF(CaseLedger!$A369="","",CaseLedger!I369)</x:f>
      </x:c>
      <x:c r="C369" t="str">
        <x:f>IF(CaseLedger!$A369="","",CaseLedger!J369)</x:f>
      </x:c>
      <x:c r="D369" t="str">
        <x:f>IF(CaseLedger!$A369="","",CaseLedger!K369)</x:f>
      </x:c>
      <x:c r="E369" t="str">
        <x:f>IF(CaseLedger!$A369="","",CaseLedger!L369)</x:f>
      </x:c>
      <x:c r="F369" t="str">
        <x:f>IF(CaseLedger!$A369="","",CaseLedger!P369)</x:f>
      </x:c>
      <x:c r="G369" t="str">
        <x:f>IF(CaseLedger!$A369="","",CaseLedger!F369)</x:f>
      </x:c>
      <x:c r="H369" t="str">
        <x:f>IF(CaseLedger!$A369="","",CaseLedger!Q369)</x:f>
      </x:c>
      <x:c r="I369" t="str">
        <x:f>IF(CaseLedger!$A369="","",CaseLedger!R369)</x:f>
      </x:c>
      <x:c r="J369" t="str">
        <x:f>IF(CaseLedger!$A369="","",CaseLedger!S369)</x:f>
      </x:c>
      <x:c r="K369" t="str">
        <x:f>IF(CaseLedger!$A369="","",CaseLedger!T369)</x:f>
      </x:c>
      <x:c r="L369" t="str">
        <x:f>IF(CaseLedger!$A369="","",CaseLedger!U369)</x:f>
      </x:c>
      <x:c r="M369" t="str">
        <x:f>IF(CaseLedger!$A369="","",CaseLedger!V369)</x:f>
      </x:c>
      <x:c r="N369" t="str">
        <x:f>IF(CaseLedger!$A369="","",CaseLedger!W369)</x:f>
      </x:c>
      <x:c r="O369" t="str">
        <x:f>IF(CaseLedger!$A369="","",CaseLedger!X369)</x:f>
      </x:c>
      <x:c r="P369" t="str">
        <x:f>IF(CaseLedger!$A369="","",CaseLedger!E369)</x:f>
      </x:c>
      <x:c r="Q369" t="str">
        <x:f>IF(CaseLedger!$A369="","",CaseLedger!C369)</x:f>
      </x:c>
      <x:c r="R369" t="str">
        <x:f>IF(CaseLedger!$A369="","",CaseLedger!D369)</x:f>
      </x:c>
      <x:c r="S369" t="str">
        <x:f>IFERROR(IF(CaseLedger!$A369="","",CaseLedger!Y369),"")</x:f>
      </x:c>
      <x:c r="T369" t="str">
        <x:f>IFERROR(IF(CaseLedger!$A369="","",CaseLedger!Z369),"")</x:f>
      </x:c>
      <x:c r="U369" t="str">
        <x:f>IFERROR(IF(CaseLedger!$A369="","",CaseLedger!AA369),"")</x:f>
      </x:c>
      <x:c r="V369" t="str">
        <x:f>IFERROR(IF(CaseLedger!$A369="","",CaseLedger!AB369),"")</x:f>
      </x:c>
      <x:c r="W369" t="str">
        <x:f>IFERROR(IF(CaseLedger!$A369="","",CaseLedger!AC369),"")</x:f>
      </x:c>
      <x:c r="X369" t="str">
        <x:f>IFERROR(IF(CaseLedger!$A369="","",CaseLedger!AD369),"")</x:f>
      </x:c>
      <x:c r="Y369" t="str">
        <x:f>IFERROR(IF(CaseLedger!$A369="","",CaseLedger!AE369),"")</x:f>
      </x:c>
      <x:c r="Z369" t="str">
        <x:f>IFERROR(IF(CaseLedger!$A369="","",CaseLedger!AF369),"")</x:f>
      </x:c>
      <x:c r="AA369" t="str">
        <x:f>IFERROR(IF(CaseLedger!$A369="","",CaseLedger!AG369),"")</x:f>
      </x:c>
      <x:c r="AB369" t="str">
        <x:f>IFERROR(IF(CaseLedger!$A369="","",CaseLedger!AH369),"")</x:f>
      </x:c>
      <x:c r="AC369" t="str">
        <x:f>IFERROR(IF(CaseLedger!$A369="","",CaseLedger!AI369),"")</x:f>
      </x:c>
    </x:row>
    <x:row r="370">
      <x:c r="A370" t="str">
        <x:f>IF(CaseLedger!$A370="","",CaseLedger!A370)</x:f>
      </x:c>
      <x:c r="B370" t="str">
        <x:f>IF(CaseLedger!$A370="","",CaseLedger!I370)</x:f>
      </x:c>
      <x:c r="C370" t="str">
        <x:f>IF(CaseLedger!$A370="","",CaseLedger!J370)</x:f>
      </x:c>
      <x:c r="D370" t="str">
        <x:f>IF(CaseLedger!$A370="","",CaseLedger!K370)</x:f>
      </x:c>
      <x:c r="E370" t="str">
        <x:f>IF(CaseLedger!$A370="","",CaseLedger!L370)</x:f>
      </x:c>
      <x:c r="F370" t="str">
        <x:f>IF(CaseLedger!$A370="","",CaseLedger!P370)</x:f>
      </x:c>
      <x:c r="G370" t="str">
        <x:f>IF(CaseLedger!$A370="","",CaseLedger!F370)</x:f>
      </x:c>
      <x:c r="H370" t="str">
        <x:f>IF(CaseLedger!$A370="","",CaseLedger!Q370)</x:f>
      </x:c>
      <x:c r="I370" t="str">
        <x:f>IF(CaseLedger!$A370="","",CaseLedger!R370)</x:f>
      </x:c>
      <x:c r="J370" t="str">
        <x:f>IF(CaseLedger!$A370="","",CaseLedger!S370)</x:f>
      </x:c>
      <x:c r="K370" t="str">
        <x:f>IF(CaseLedger!$A370="","",CaseLedger!T370)</x:f>
      </x:c>
      <x:c r="L370" t="str">
        <x:f>IF(CaseLedger!$A370="","",CaseLedger!U370)</x:f>
      </x:c>
      <x:c r="M370" t="str">
        <x:f>IF(CaseLedger!$A370="","",CaseLedger!V370)</x:f>
      </x:c>
      <x:c r="N370" t="str">
        <x:f>IF(CaseLedger!$A370="","",CaseLedger!W370)</x:f>
      </x:c>
      <x:c r="O370" t="str">
        <x:f>IF(CaseLedger!$A370="","",CaseLedger!X370)</x:f>
      </x:c>
      <x:c r="P370" t="str">
        <x:f>IF(CaseLedger!$A370="","",CaseLedger!E370)</x:f>
      </x:c>
      <x:c r="Q370" t="str">
        <x:f>IF(CaseLedger!$A370="","",CaseLedger!C370)</x:f>
      </x:c>
      <x:c r="R370" t="str">
        <x:f>IF(CaseLedger!$A370="","",CaseLedger!D370)</x:f>
      </x:c>
      <x:c r="S370" t="str">
        <x:f>IFERROR(IF(CaseLedger!$A370="","",CaseLedger!Y370),"")</x:f>
      </x:c>
      <x:c r="T370" t="str">
        <x:f>IFERROR(IF(CaseLedger!$A370="","",CaseLedger!Z370),"")</x:f>
      </x:c>
      <x:c r="U370" t="str">
        <x:f>IFERROR(IF(CaseLedger!$A370="","",CaseLedger!AA370),"")</x:f>
      </x:c>
      <x:c r="V370" t="str">
        <x:f>IFERROR(IF(CaseLedger!$A370="","",CaseLedger!AB370),"")</x:f>
      </x:c>
      <x:c r="W370" t="str">
        <x:f>IFERROR(IF(CaseLedger!$A370="","",CaseLedger!AC370),"")</x:f>
      </x:c>
      <x:c r="X370" t="str">
        <x:f>IFERROR(IF(CaseLedger!$A370="","",CaseLedger!AD370),"")</x:f>
      </x:c>
      <x:c r="Y370" t="str">
        <x:f>IFERROR(IF(CaseLedger!$A370="","",CaseLedger!AE370),"")</x:f>
      </x:c>
      <x:c r="Z370" t="str">
        <x:f>IFERROR(IF(CaseLedger!$A370="","",CaseLedger!AF370),"")</x:f>
      </x:c>
      <x:c r="AA370" t="str">
        <x:f>IFERROR(IF(CaseLedger!$A370="","",CaseLedger!AG370),"")</x:f>
      </x:c>
      <x:c r="AB370" t="str">
        <x:f>IFERROR(IF(CaseLedger!$A370="","",CaseLedger!AH370),"")</x:f>
      </x:c>
      <x:c r="AC370" t="str">
        <x:f>IFERROR(IF(CaseLedger!$A370="","",CaseLedger!AI370),"")</x:f>
      </x:c>
    </x:row>
    <x:row r="371">
      <x:c r="A371" t="str">
        <x:f>IF(CaseLedger!$A371="","",CaseLedger!A371)</x:f>
      </x:c>
      <x:c r="B371" t="str">
        <x:f>IF(CaseLedger!$A371="","",CaseLedger!I371)</x:f>
      </x:c>
      <x:c r="C371" t="str">
        <x:f>IF(CaseLedger!$A371="","",CaseLedger!J371)</x:f>
      </x:c>
      <x:c r="D371" t="str">
        <x:f>IF(CaseLedger!$A371="","",CaseLedger!K371)</x:f>
      </x:c>
      <x:c r="E371" t="str">
        <x:f>IF(CaseLedger!$A371="","",CaseLedger!L371)</x:f>
      </x:c>
      <x:c r="F371" t="str">
        <x:f>IF(CaseLedger!$A371="","",CaseLedger!P371)</x:f>
      </x:c>
      <x:c r="G371" t="str">
        <x:f>IF(CaseLedger!$A371="","",CaseLedger!F371)</x:f>
      </x:c>
      <x:c r="H371" t="str">
        <x:f>IF(CaseLedger!$A371="","",CaseLedger!Q371)</x:f>
      </x:c>
      <x:c r="I371" t="str">
        <x:f>IF(CaseLedger!$A371="","",CaseLedger!R371)</x:f>
      </x:c>
      <x:c r="J371" t="str">
        <x:f>IF(CaseLedger!$A371="","",CaseLedger!S371)</x:f>
      </x:c>
      <x:c r="K371" t="str">
        <x:f>IF(CaseLedger!$A371="","",CaseLedger!T371)</x:f>
      </x:c>
      <x:c r="L371" t="str">
        <x:f>IF(CaseLedger!$A371="","",CaseLedger!U371)</x:f>
      </x:c>
      <x:c r="M371" t="str">
        <x:f>IF(CaseLedger!$A371="","",CaseLedger!V371)</x:f>
      </x:c>
      <x:c r="N371" t="str">
        <x:f>IF(CaseLedger!$A371="","",CaseLedger!W371)</x:f>
      </x:c>
      <x:c r="O371" t="str">
        <x:f>IF(CaseLedger!$A371="","",CaseLedger!X371)</x:f>
      </x:c>
      <x:c r="P371" t="str">
        <x:f>IF(CaseLedger!$A371="","",CaseLedger!E371)</x:f>
      </x:c>
      <x:c r="Q371" t="str">
        <x:f>IF(CaseLedger!$A371="","",CaseLedger!C371)</x:f>
      </x:c>
      <x:c r="R371" t="str">
        <x:f>IF(CaseLedger!$A371="","",CaseLedger!D371)</x:f>
      </x:c>
      <x:c r="S371" t="str">
        <x:f>IFERROR(IF(CaseLedger!$A371="","",CaseLedger!Y371),"")</x:f>
      </x:c>
      <x:c r="T371" t="str">
        <x:f>IFERROR(IF(CaseLedger!$A371="","",CaseLedger!Z371),"")</x:f>
      </x:c>
      <x:c r="U371" t="str">
        <x:f>IFERROR(IF(CaseLedger!$A371="","",CaseLedger!AA371),"")</x:f>
      </x:c>
      <x:c r="V371" t="str">
        <x:f>IFERROR(IF(CaseLedger!$A371="","",CaseLedger!AB371),"")</x:f>
      </x:c>
      <x:c r="W371" t="str">
        <x:f>IFERROR(IF(CaseLedger!$A371="","",CaseLedger!AC371),"")</x:f>
      </x:c>
      <x:c r="X371" t="str">
        <x:f>IFERROR(IF(CaseLedger!$A371="","",CaseLedger!AD371),"")</x:f>
      </x:c>
      <x:c r="Y371" t="str">
        <x:f>IFERROR(IF(CaseLedger!$A371="","",CaseLedger!AE371),"")</x:f>
      </x:c>
      <x:c r="Z371" t="str">
        <x:f>IFERROR(IF(CaseLedger!$A371="","",CaseLedger!AF371),"")</x:f>
      </x:c>
      <x:c r="AA371" t="str">
        <x:f>IFERROR(IF(CaseLedger!$A371="","",CaseLedger!AG371),"")</x:f>
      </x:c>
      <x:c r="AB371" t="str">
        <x:f>IFERROR(IF(CaseLedger!$A371="","",CaseLedger!AH371),"")</x:f>
      </x:c>
      <x:c r="AC371" t="str">
        <x:f>IFERROR(IF(CaseLedger!$A371="","",CaseLedger!AI371),"")</x:f>
      </x:c>
    </x:row>
    <x:row r="372">
      <x:c r="A372" t="str">
        <x:f>IF(CaseLedger!$A372="","",CaseLedger!A372)</x:f>
      </x:c>
      <x:c r="B372" t="str">
        <x:f>IF(CaseLedger!$A372="","",CaseLedger!I372)</x:f>
      </x:c>
      <x:c r="C372" t="str">
        <x:f>IF(CaseLedger!$A372="","",CaseLedger!J372)</x:f>
      </x:c>
      <x:c r="D372" t="str">
        <x:f>IF(CaseLedger!$A372="","",CaseLedger!K372)</x:f>
      </x:c>
      <x:c r="E372" t="str">
        <x:f>IF(CaseLedger!$A372="","",CaseLedger!L372)</x:f>
      </x:c>
      <x:c r="F372" t="str">
        <x:f>IF(CaseLedger!$A372="","",CaseLedger!P372)</x:f>
      </x:c>
      <x:c r="G372" t="str">
        <x:f>IF(CaseLedger!$A372="","",CaseLedger!F372)</x:f>
      </x:c>
      <x:c r="H372" t="str">
        <x:f>IF(CaseLedger!$A372="","",CaseLedger!Q372)</x:f>
      </x:c>
      <x:c r="I372" t="str">
        <x:f>IF(CaseLedger!$A372="","",CaseLedger!R372)</x:f>
      </x:c>
      <x:c r="J372" t="str">
        <x:f>IF(CaseLedger!$A372="","",CaseLedger!S372)</x:f>
      </x:c>
      <x:c r="K372" t="str">
        <x:f>IF(CaseLedger!$A372="","",CaseLedger!T372)</x:f>
      </x:c>
      <x:c r="L372" t="str">
        <x:f>IF(CaseLedger!$A372="","",CaseLedger!U372)</x:f>
      </x:c>
      <x:c r="M372" t="str">
        <x:f>IF(CaseLedger!$A372="","",CaseLedger!V372)</x:f>
      </x:c>
      <x:c r="N372" t="str">
        <x:f>IF(CaseLedger!$A372="","",CaseLedger!W372)</x:f>
      </x:c>
      <x:c r="O372" t="str">
        <x:f>IF(CaseLedger!$A372="","",CaseLedger!X372)</x:f>
      </x:c>
      <x:c r="P372" t="str">
        <x:f>IF(CaseLedger!$A372="","",CaseLedger!E372)</x:f>
      </x:c>
      <x:c r="Q372" t="str">
        <x:f>IF(CaseLedger!$A372="","",CaseLedger!C372)</x:f>
      </x:c>
      <x:c r="R372" t="str">
        <x:f>IF(CaseLedger!$A372="","",CaseLedger!D372)</x:f>
      </x:c>
      <x:c r="S372" t="str">
        <x:f>IFERROR(IF(CaseLedger!$A372="","",CaseLedger!Y372),"")</x:f>
      </x:c>
      <x:c r="T372" t="str">
        <x:f>IFERROR(IF(CaseLedger!$A372="","",CaseLedger!Z372),"")</x:f>
      </x:c>
      <x:c r="U372" t="str">
        <x:f>IFERROR(IF(CaseLedger!$A372="","",CaseLedger!AA372),"")</x:f>
      </x:c>
      <x:c r="V372" t="str">
        <x:f>IFERROR(IF(CaseLedger!$A372="","",CaseLedger!AB372),"")</x:f>
      </x:c>
      <x:c r="W372" t="str">
        <x:f>IFERROR(IF(CaseLedger!$A372="","",CaseLedger!AC372),"")</x:f>
      </x:c>
      <x:c r="X372" t="str">
        <x:f>IFERROR(IF(CaseLedger!$A372="","",CaseLedger!AD372),"")</x:f>
      </x:c>
      <x:c r="Y372" t="str">
        <x:f>IFERROR(IF(CaseLedger!$A372="","",CaseLedger!AE372),"")</x:f>
      </x:c>
      <x:c r="Z372" t="str">
        <x:f>IFERROR(IF(CaseLedger!$A372="","",CaseLedger!AF372),"")</x:f>
      </x:c>
      <x:c r="AA372" t="str">
        <x:f>IFERROR(IF(CaseLedger!$A372="","",CaseLedger!AG372),"")</x:f>
      </x:c>
      <x:c r="AB372" t="str">
        <x:f>IFERROR(IF(CaseLedger!$A372="","",CaseLedger!AH372),"")</x:f>
      </x:c>
      <x:c r="AC372" t="str">
        <x:f>IFERROR(IF(CaseLedger!$A372="","",CaseLedger!AI372),"")</x:f>
      </x:c>
    </x:row>
    <x:row r="373">
      <x:c r="A373" t="str">
        <x:f>IF(CaseLedger!$A373="","",CaseLedger!A373)</x:f>
      </x:c>
      <x:c r="B373" t="str">
        <x:f>IF(CaseLedger!$A373="","",CaseLedger!I373)</x:f>
      </x:c>
      <x:c r="C373" t="str">
        <x:f>IF(CaseLedger!$A373="","",CaseLedger!J373)</x:f>
      </x:c>
      <x:c r="D373" t="str">
        <x:f>IF(CaseLedger!$A373="","",CaseLedger!K373)</x:f>
      </x:c>
      <x:c r="E373" t="str">
        <x:f>IF(CaseLedger!$A373="","",CaseLedger!L373)</x:f>
      </x:c>
      <x:c r="F373" t="str">
        <x:f>IF(CaseLedger!$A373="","",CaseLedger!P373)</x:f>
      </x:c>
      <x:c r="G373" t="str">
        <x:f>IF(CaseLedger!$A373="","",CaseLedger!F373)</x:f>
      </x:c>
      <x:c r="H373" t="str">
        <x:f>IF(CaseLedger!$A373="","",CaseLedger!Q373)</x:f>
      </x:c>
      <x:c r="I373" t="str">
        <x:f>IF(CaseLedger!$A373="","",CaseLedger!R373)</x:f>
      </x:c>
      <x:c r="J373" t="str">
        <x:f>IF(CaseLedger!$A373="","",CaseLedger!S373)</x:f>
      </x:c>
      <x:c r="K373" t="str">
        <x:f>IF(CaseLedger!$A373="","",CaseLedger!T373)</x:f>
      </x:c>
      <x:c r="L373" t="str">
        <x:f>IF(CaseLedger!$A373="","",CaseLedger!U373)</x:f>
      </x:c>
      <x:c r="M373" t="str">
        <x:f>IF(CaseLedger!$A373="","",CaseLedger!V373)</x:f>
      </x:c>
      <x:c r="N373" t="str">
        <x:f>IF(CaseLedger!$A373="","",CaseLedger!W373)</x:f>
      </x:c>
      <x:c r="O373" t="str">
        <x:f>IF(CaseLedger!$A373="","",CaseLedger!X373)</x:f>
      </x:c>
      <x:c r="P373" t="str">
        <x:f>IF(CaseLedger!$A373="","",CaseLedger!E373)</x:f>
      </x:c>
      <x:c r="Q373" t="str">
        <x:f>IF(CaseLedger!$A373="","",CaseLedger!C373)</x:f>
      </x:c>
      <x:c r="R373" t="str">
        <x:f>IF(CaseLedger!$A373="","",CaseLedger!D373)</x:f>
      </x:c>
      <x:c r="S373" t="str">
        <x:f>IFERROR(IF(CaseLedger!$A373="","",CaseLedger!Y373),"")</x:f>
      </x:c>
      <x:c r="T373" t="str">
        <x:f>IFERROR(IF(CaseLedger!$A373="","",CaseLedger!Z373),"")</x:f>
      </x:c>
      <x:c r="U373" t="str">
        <x:f>IFERROR(IF(CaseLedger!$A373="","",CaseLedger!AA373),"")</x:f>
      </x:c>
      <x:c r="V373" t="str">
        <x:f>IFERROR(IF(CaseLedger!$A373="","",CaseLedger!AB373),"")</x:f>
      </x:c>
      <x:c r="W373" t="str">
        <x:f>IFERROR(IF(CaseLedger!$A373="","",CaseLedger!AC373),"")</x:f>
      </x:c>
      <x:c r="X373" t="str">
        <x:f>IFERROR(IF(CaseLedger!$A373="","",CaseLedger!AD373),"")</x:f>
      </x:c>
      <x:c r="Y373" t="str">
        <x:f>IFERROR(IF(CaseLedger!$A373="","",CaseLedger!AE373),"")</x:f>
      </x:c>
      <x:c r="Z373" t="str">
        <x:f>IFERROR(IF(CaseLedger!$A373="","",CaseLedger!AF373),"")</x:f>
      </x:c>
      <x:c r="AA373" t="str">
        <x:f>IFERROR(IF(CaseLedger!$A373="","",CaseLedger!AG373),"")</x:f>
      </x:c>
      <x:c r="AB373" t="str">
        <x:f>IFERROR(IF(CaseLedger!$A373="","",CaseLedger!AH373),"")</x:f>
      </x:c>
      <x:c r="AC373" t="str">
        <x:f>IFERROR(IF(CaseLedger!$A373="","",CaseLedger!AI373),"")</x:f>
      </x:c>
    </x:row>
    <x:row r="374">
      <x:c r="A374" t="str">
        <x:f>IF(CaseLedger!$A374="","",CaseLedger!A374)</x:f>
      </x:c>
      <x:c r="B374" t="str">
        <x:f>IF(CaseLedger!$A374="","",CaseLedger!I374)</x:f>
      </x:c>
      <x:c r="C374" t="str">
        <x:f>IF(CaseLedger!$A374="","",CaseLedger!J374)</x:f>
      </x:c>
      <x:c r="D374" t="str">
        <x:f>IF(CaseLedger!$A374="","",CaseLedger!K374)</x:f>
      </x:c>
      <x:c r="E374" t="str">
        <x:f>IF(CaseLedger!$A374="","",CaseLedger!L374)</x:f>
      </x:c>
      <x:c r="F374" t="str">
        <x:f>IF(CaseLedger!$A374="","",CaseLedger!P374)</x:f>
      </x:c>
      <x:c r="G374" t="str">
        <x:f>IF(CaseLedger!$A374="","",CaseLedger!F374)</x:f>
      </x:c>
      <x:c r="H374" t="str">
        <x:f>IF(CaseLedger!$A374="","",CaseLedger!Q374)</x:f>
      </x:c>
      <x:c r="I374" t="str">
        <x:f>IF(CaseLedger!$A374="","",CaseLedger!R374)</x:f>
      </x:c>
      <x:c r="J374" t="str">
        <x:f>IF(CaseLedger!$A374="","",CaseLedger!S374)</x:f>
      </x:c>
      <x:c r="K374" t="str">
        <x:f>IF(CaseLedger!$A374="","",CaseLedger!T374)</x:f>
      </x:c>
      <x:c r="L374" t="str">
        <x:f>IF(CaseLedger!$A374="","",CaseLedger!U374)</x:f>
      </x:c>
      <x:c r="M374" t="str">
        <x:f>IF(CaseLedger!$A374="","",CaseLedger!V374)</x:f>
      </x:c>
      <x:c r="N374" t="str">
        <x:f>IF(CaseLedger!$A374="","",CaseLedger!W374)</x:f>
      </x:c>
      <x:c r="O374" t="str">
        <x:f>IF(CaseLedger!$A374="","",CaseLedger!X374)</x:f>
      </x:c>
      <x:c r="P374" t="str">
        <x:f>IF(CaseLedger!$A374="","",CaseLedger!E374)</x:f>
      </x:c>
      <x:c r="Q374" t="str">
        <x:f>IF(CaseLedger!$A374="","",CaseLedger!C374)</x:f>
      </x:c>
      <x:c r="R374" t="str">
        <x:f>IF(CaseLedger!$A374="","",CaseLedger!D374)</x:f>
      </x:c>
      <x:c r="S374" t="str">
        <x:f>IFERROR(IF(CaseLedger!$A374="","",CaseLedger!Y374),"")</x:f>
      </x:c>
      <x:c r="T374" t="str">
        <x:f>IFERROR(IF(CaseLedger!$A374="","",CaseLedger!Z374),"")</x:f>
      </x:c>
      <x:c r="U374" t="str">
        <x:f>IFERROR(IF(CaseLedger!$A374="","",CaseLedger!AA374),"")</x:f>
      </x:c>
      <x:c r="V374" t="str">
        <x:f>IFERROR(IF(CaseLedger!$A374="","",CaseLedger!AB374),"")</x:f>
      </x:c>
      <x:c r="W374" t="str">
        <x:f>IFERROR(IF(CaseLedger!$A374="","",CaseLedger!AC374),"")</x:f>
      </x:c>
      <x:c r="X374" t="str">
        <x:f>IFERROR(IF(CaseLedger!$A374="","",CaseLedger!AD374),"")</x:f>
      </x:c>
      <x:c r="Y374" t="str">
        <x:f>IFERROR(IF(CaseLedger!$A374="","",CaseLedger!AE374),"")</x:f>
      </x:c>
      <x:c r="Z374" t="str">
        <x:f>IFERROR(IF(CaseLedger!$A374="","",CaseLedger!AF374),"")</x:f>
      </x:c>
      <x:c r="AA374" t="str">
        <x:f>IFERROR(IF(CaseLedger!$A374="","",CaseLedger!AG374),"")</x:f>
      </x:c>
      <x:c r="AB374" t="str">
        <x:f>IFERROR(IF(CaseLedger!$A374="","",CaseLedger!AH374),"")</x:f>
      </x:c>
      <x:c r="AC374" t="str">
        <x:f>IFERROR(IF(CaseLedger!$A374="","",CaseLedger!AI374),"")</x:f>
      </x:c>
    </x:row>
    <x:row r="375">
      <x:c r="A375" t="str">
        <x:f>IF(CaseLedger!$A375="","",CaseLedger!A375)</x:f>
      </x:c>
      <x:c r="B375" t="str">
        <x:f>IF(CaseLedger!$A375="","",CaseLedger!I375)</x:f>
      </x:c>
      <x:c r="C375" t="str">
        <x:f>IF(CaseLedger!$A375="","",CaseLedger!J375)</x:f>
      </x:c>
      <x:c r="D375" t="str">
        <x:f>IF(CaseLedger!$A375="","",CaseLedger!K375)</x:f>
      </x:c>
      <x:c r="E375" t="str">
        <x:f>IF(CaseLedger!$A375="","",CaseLedger!L375)</x:f>
      </x:c>
      <x:c r="F375" t="str">
        <x:f>IF(CaseLedger!$A375="","",CaseLedger!P375)</x:f>
      </x:c>
      <x:c r="G375" t="str">
        <x:f>IF(CaseLedger!$A375="","",CaseLedger!F375)</x:f>
      </x:c>
      <x:c r="H375" t="str">
        <x:f>IF(CaseLedger!$A375="","",CaseLedger!Q375)</x:f>
      </x:c>
      <x:c r="I375" t="str">
        <x:f>IF(CaseLedger!$A375="","",CaseLedger!R375)</x:f>
      </x:c>
      <x:c r="J375" t="str">
        <x:f>IF(CaseLedger!$A375="","",CaseLedger!S375)</x:f>
      </x:c>
      <x:c r="K375" t="str">
        <x:f>IF(CaseLedger!$A375="","",CaseLedger!T375)</x:f>
      </x:c>
      <x:c r="L375" t="str">
        <x:f>IF(CaseLedger!$A375="","",CaseLedger!U375)</x:f>
      </x:c>
      <x:c r="M375" t="str">
        <x:f>IF(CaseLedger!$A375="","",CaseLedger!V375)</x:f>
      </x:c>
      <x:c r="N375" t="str">
        <x:f>IF(CaseLedger!$A375="","",CaseLedger!W375)</x:f>
      </x:c>
      <x:c r="O375" t="str">
        <x:f>IF(CaseLedger!$A375="","",CaseLedger!X375)</x:f>
      </x:c>
      <x:c r="P375" t="str">
        <x:f>IF(CaseLedger!$A375="","",CaseLedger!E375)</x:f>
      </x:c>
      <x:c r="Q375" t="str">
        <x:f>IF(CaseLedger!$A375="","",CaseLedger!C375)</x:f>
      </x:c>
      <x:c r="R375" t="str">
        <x:f>IF(CaseLedger!$A375="","",CaseLedger!D375)</x:f>
      </x:c>
      <x:c r="S375" t="str">
        <x:f>IFERROR(IF(CaseLedger!$A375="","",CaseLedger!Y375),"")</x:f>
      </x:c>
      <x:c r="T375" t="str">
        <x:f>IFERROR(IF(CaseLedger!$A375="","",CaseLedger!Z375),"")</x:f>
      </x:c>
      <x:c r="U375" t="str">
        <x:f>IFERROR(IF(CaseLedger!$A375="","",CaseLedger!AA375),"")</x:f>
      </x:c>
      <x:c r="V375" t="str">
        <x:f>IFERROR(IF(CaseLedger!$A375="","",CaseLedger!AB375),"")</x:f>
      </x:c>
      <x:c r="W375" t="str">
        <x:f>IFERROR(IF(CaseLedger!$A375="","",CaseLedger!AC375),"")</x:f>
      </x:c>
      <x:c r="X375" t="str">
        <x:f>IFERROR(IF(CaseLedger!$A375="","",CaseLedger!AD375),"")</x:f>
      </x:c>
      <x:c r="Y375" t="str">
        <x:f>IFERROR(IF(CaseLedger!$A375="","",CaseLedger!AE375),"")</x:f>
      </x:c>
      <x:c r="Z375" t="str">
        <x:f>IFERROR(IF(CaseLedger!$A375="","",CaseLedger!AF375),"")</x:f>
      </x:c>
      <x:c r="AA375" t="str">
        <x:f>IFERROR(IF(CaseLedger!$A375="","",CaseLedger!AG375),"")</x:f>
      </x:c>
      <x:c r="AB375" t="str">
        <x:f>IFERROR(IF(CaseLedger!$A375="","",CaseLedger!AH375),"")</x:f>
      </x:c>
      <x:c r="AC375" t="str">
        <x:f>IFERROR(IF(CaseLedger!$A375="","",CaseLedger!AI375),"")</x:f>
      </x:c>
    </x:row>
    <x:row r="376">
      <x:c r="A376" t="str">
        <x:f>IF(CaseLedger!$A376="","",CaseLedger!A376)</x:f>
      </x:c>
      <x:c r="B376" t="str">
        <x:f>IF(CaseLedger!$A376="","",CaseLedger!I376)</x:f>
      </x:c>
      <x:c r="C376" t="str">
        <x:f>IF(CaseLedger!$A376="","",CaseLedger!J376)</x:f>
      </x:c>
      <x:c r="D376" t="str">
        <x:f>IF(CaseLedger!$A376="","",CaseLedger!K376)</x:f>
      </x:c>
      <x:c r="E376" t="str">
        <x:f>IF(CaseLedger!$A376="","",CaseLedger!L376)</x:f>
      </x:c>
      <x:c r="F376" t="str">
        <x:f>IF(CaseLedger!$A376="","",CaseLedger!P376)</x:f>
      </x:c>
      <x:c r="G376" t="str">
        <x:f>IF(CaseLedger!$A376="","",CaseLedger!F376)</x:f>
      </x:c>
      <x:c r="H376" t="str">
        <x:f>IF(CaseLedger!$A376="","",CaseLedger!Q376)</x:f>
      </x:c>
      <x:c r="I376" t="str">
        <x:f>IF(CaseLedger!$A376="","",CaseLedger!R376)</x:f>
      </x:c>
      <x:c r="J376" t="str">
        <x:f>IF(CaseLedger!$A376="","",CaseLedger!S376)</x:f>
      </x:c>
      <x:c r="K376" t="str">
        <x:f>IF(CaseLedger!$A376="","",CaseLedger!T376)</x:f>
      </x:c>
      <x:c r="L376" t="str">
        <x:f>IF(CaseLedger!$A376="","",CaseLedger!U376)</x:f>
      </x:c>
      <x:c r="M376" t="str">
        <x:f>IF(CaseLedger!$A376="","",CaseLedger!V376)</x:f>
      </x:c>
      <x:c r="N376" t="str">
        <x:f>IF(CaseLedger!$A376="","",CaseLedger!W376)</x:f>
      </x:c>
      <x:c r="O376" t="str">
        <x:f>IF(CaseLedger!$A376="","",CaseLedger!X376)</x:f>
      </x:c>
      <x:c r="P376" t="str">
        <x:f>IF(CaseLedger!$A376="","",CaseLedger!E376)</x:f>
      </x:c>
      <x:c r="Q376" t="str">
        <x:f>IF(CaseLedger!$A376="","",CaseLedger!C376)</x:f>
      </x:c>
      <x:c r="R376" t="str">
        <x:f>IF(CaseLedger!$A376="","",CaseLedger!D376)</x:f>
      </x:c>
      <x:c r="S376" t="str">
        <x:f>IFERROR(IF(CaseLedger!$A376="","",CaseLedger!Y376),"")</x:f>
      </x:c>
      <x:c r="T376" t="str">
        <x:f>IFERROR(IF(CaseLedger!$A376="","",CaseLedger!Z376),"")</x:f>
      </x:c>
      <x:c r="U376" t="str">
        <x:f>IFERROR(IF(CaseLedger!$A376="","",CaseLedger!AA376),"")</x:f>
      </x:c>
      <x:c r="V376" t="str">
        <x:f>IFERROR(IF(CaseLedger!$A376="","",CaseLedger!AB376),"")</x:f>
      </x:c>
      <x:c r="W376" t="str">
        <x:f>IFERROR(IF(CaseLedger!$A376="","",CaseLedger!AC376),"")</x:f>
      </x:c>
      <x:c r="X376" t="str">
        <x:f>IFERROR(IF(CaseLedger!$A376="","",CaseLedger!AD376),"")</x:f>
      </x:c>
      <x:c r="Y376" t="str">
        <x:f>IFERROR(IF(CaseLedger!$A376="","",CaseLedger!AE376),"")</x:f>
      </x:c>
      <x:c r="Z376" t="str">
        <x:f>IFERROR(IF(CaseLedger!$A376="","",CaseLedger!AF376),"")</x:f>
      </x:c>
      <x:c r="AA376" t="str">
        <x:f>IFERROR(IF(CaseLedger!$A376="","",CaseLedger!AG376),"")</x:f>
      </x:c>
      <x:c r="AB376" t="str">
        <x:f>IFERROR(IF(CaseLedger!$A376="","",CaseLedger!AH376),"")</x:f>
      </x:c>
      <x:c r="AC376" t="str">
        <x:f>IFERROR(IF(CaseLedger!$A376="","",CaseLedger!AI376),"")</x:f>
      </x:c>
    </x:row>
    <x:row r="377">
      <x:c r="A377" t="str">
        <x:f>IF(CaseLedger!$A377="","",CaseLedger!A377)</x:f>
      </x:c>
      <x:c r="B377" t="str">
        <x:f>IF(CaseLedger!$A377="","",CaseLedger!I377)</x:f>
      </x:c>
      <x:c r="C377" t="str">
        <x:f>IF(CaseLedger!$A377="","",CaseLedger!J377)</x:f>
      </x:c>
      <x:c r="D377" t="str">
        <x:f>IF(CaseLedger!$A377="","",CaseLedger!K377)</x:f>
      </x:c>
      <x:c r="E377" t="str">
        <x:f>IF(CaseLedger!$A377="","",CaseLedger!L377)</x:f>
      </x:c>
      <x:c r="F377" t="str">
        <x:f>IF(CaseLedger!$A377="","",CaseLedger!P377)</x:f>
      </x:c>
      <x:c r="G377" t="str">
        <x:f>IF(CaseLedger!$A377="","",CaseLedger!F377)</x:f>
      </x:c>
      <x:c r="H377" t="str">
        <x:f>IF(CaseLedger!$A377="","",CaseLedger!Q377)</x:f>
      </x:c>
      <x:c r="I377" t="str">
        <x:f>IF(CaseLedger!$A377="","",CaseLedger!R377)</x:f>
      </x:c>
      <x:c r="J377" t="str">
        <x:f>IF(CaseLedger!$A377="","",CaseLedger!S377)</x:f>
      </x:c>
      <x:c r="K377" t="str">
        <x:f>IF(CaseLedger!$A377="","",CaseLedger!T377)</x:f>
      </x:c>
      <x:c r="L377" t="str">
        <x:f>IF(CaseLedger!$A377="","",CaseLedger!U377)</x:f>
      </x:c>
      <x:c r="M377" t="str">
        <x:f>IF(CaseLedger!$A377="","",CaseLedger!V377)</x:f>
      </x:c>
      <x:c r="N377" t="str">
        <x:f>IF(CaseLedger!$A377="","",CaseLedger!W377)</x:f>
      </x:c>
      <x:c r="O377" t="str">
        <x:f>IF(CaseLedger!$A377="","",CaseLedger!X377)</x:f>
      </x:c>
      <x:c r="P377" t="str">
        <x:f>IF(CaseLedger!$A377="","",CaseLedger!E377)</x:f>
      </x:c>
      <x:c r="Q377" t="str">
        <x:f>IF(CaseLedger!$A377="","",CaseLedger!C377)</x:f>
      </x:c>
      <x:c r="R377" t="str">
        <x:f>IF(CaseLedger!$A377="","",CaseLedger!D377)</x:f>
      </x:c>
      <x:c r="S377" t="str">
        <x:f>IFERROR(IF(CaseLedger!$A377="","",CaseLedger!Y377),"")</x:f>
      </x:c>
      <x:c r="T377" t="str">
        <x:f>IFERROR(IF(CaseLedger!$A377="","",CaseLedger!Z377),"")</x:f>
      </x:c>
      <x:c r="U377" t="str">
        <x:f>IFERROR(IF(CaseLedger!$A377="","",CaseLedger!AA377),"")</x:f>
      </x:c>
      <x:c r="V377" t="str">
        <x:f>IFERROR(IF(CaseLedger!$A377="","",CaseLedger!AB377),"")</x:f>
      </x:c>
      <x:c r="W377" t="str">
        <x:f>IFERROR(IF(CaseLedger!$A377="","",CaseLedger!AC377),"")</x:f>
      </x:c>
      <x:c r="X377" t="str">
        <x:f>IFERROR(IF(CaseLedger!$A377="","",CaseLedger!AD377),"")</x:f>
      </x:c>
      <x:c r="Y377" t="str">
        <x:f>IFERROR(IF(CaseLedger!$A377="","",CaseLedger!AE377),"")</x:f>
      </x:c>
      <x:c r="Z377" t="str">
        <x:f>IFERROR(IF(CaseLedger!$A377="","",CaseLedger!AF377),"")</x:f>
      </x:c>
      <x:c r="AA377" t="str">
        <x:f>IFERROR(IF(CaseLedger!$A377="","",CaseLedger!AG377),"")</x:f>
      </x:c>
      <x:c r="AB377" t="str">
        <x:f>IFERROR(IF(CaseLedger!$A377="","",CaseLedger!AH377),"")</x:f>
      </x:c>
      <x:c r="AC377" t="str">
        <x:f>IFERROR(IF(CaseLedger!$A377="","",CaseLedger!AI377),"")</x:f>
      </x:c>
    </x:row>
    <x:row r="378">
      <x:c r="A378" t="str">
        <x:f>IF(CaseLedger!$A378="","",CaseLedger!A378)</x:f>
      </x:c>
      <x:c r="B378" t="str">
        <x:f>IF(CaseLedger!$A378="","",CaseLedger!I378)</x:f>
      </x:c>
      <x:c r="C378" t="str">
        <x:f>IF(CaseLedger!$A378="","",CaseLedger!J378)</x:f>
      </x:c>
      <x:c r="D378" t="str">
        <x:f>IF(CaseLedger!$A378="","",CaseLedger!K378)</x:f>
      </x:c>
      <x:c r="E378" t="str">
        <x:f>IF(CaseLedger!$A378="","",CaseLedger!L378)</x:f>
      </x:c>
      <x:c r="F378" t="str">
        <x:f>IF(CaseLedger!$A378="","",CaseLedger!P378)</x:f>
      </x:c>
      <x:c r="G378" t="str">
        <x:f>IF(CaseLedger!$A378="","",CaseLedger!F378)</x:f>
      </x:c>
      <x:c r="H378" t="str">
        <x:f>IF(CaseLedger!$A378="","",CaseLedger!Q378)</x:f>
      </x:c>
      <x:c r="I378" t="str">
        <x:f>IF(CaseLedger!$A378="","",CaseLedger!R378)</x:f>
      </x:c>
      <x:c r="J378" t="str">
        <x:f>IF(CaseLedger!$A378="","",CaseLedger!S378)</x:f>
      </x:c>
      <x:c r="K378" t="str">
        <x:f>IF(CaseLedger!$A378="","",CaseLedger!T378)</x:f>
      </x:c>
      <x:c r="L378" t="str">
        <x:f>IF(CaseLedger!$A378="","",CaseLedger!U378)</x:f>
      </x:c>
      <x:c r="M378" t="str">
        <x:f>IF(CaseLedger!$A378="","",CaseLedger!V378)</x:f>
      </x:c>
      <x:c r="N378" t="str">
        <x:f>IF(CaseLedger!$A378="","",CaseLedger!W378)</x:f>
      </x:c>
      <x:c r="O378" t="str">
        <x:f>IF(CaseLedger!$A378="","",CaseLedger!X378)</x:f>
      </x:c>
      <x:c r="P378" t="str">
        <x:f>IF(CaseLedger!$A378="","",CaseLedger!E378)</x:f>
      </x:c>
      <x:c r="Q378" t="str">
        <x:f>IF(CaseLedger!$A378="","",CaseLedger!C378)</x:f>
      </x:c>
      <x:c r="R378" t="str">
        <x:f>IF(CaseLedger!$A378="","",CaseLedger!D378)</x:f>
      </x:c>
      <x:c r="S378" t="str">
        <x:f>IFERROR(IF(CaseLedger!$A378="","",CaseLedger!Y378),"")</x:f>
      </x:c>
      <x:c r="T378" t="str">
        <x:f>IFERROR(IF(CaseLedger!$A378="","",CaseLedger!Z378),"")</x:f>
      </x:c>
      <x:c r="U378" t="str">
        <x:f>IFERROR(IF(CaseLedger!$A378="","",CaseLedger!AA378),"")</x:f>
      </x:c>
      <x:c r="V378" t="str">
        <x:f>IFERROR(IF(CaseLedger!$A378="","",CaseLedger!AB378),"")</x:f>
      </x:c>
      <x:c r="W378" t="str">
        <x:f>IFERROR(IF(CaseLedger!$A378="","",CaseLedger!AC378),"")</x:f>
      </x:c>
      <x:c r="X378" t="str">
        <x:f>IFERROR(IF(CaseLedger!$A378="","",CaseLedger!AD378),"")</x:f>
      </x:c>
      <x:c r="Y378" t="str">
        <x:f>IFERROR(IF(CaseLedger!$A378="","",CaseLedger!AE378),"")</x:f>
      </x:c>
      <x:c r="Z378" t="str">
        <x:f>IFERROR(IF(CaseLedger!$A378="","",CaseLedger!AF378),"")</x:f>
      </x:c>
      <x:c r="AA378" t="str">
        <x:f>IFERROR(IF(CaseLedger!$A378="","",CaseLedger!AG378),"")</x:f>
      </x:c>
      <x:c r="AB378" t="str">
        <x:f>IFERROR(IF(CaseLedger!$A378="","",CaseLedger!AH378),"")</x:f>
      </x:c>
      <x:c r="AC378" t="str">
        <x:f>IFERROR(IF(CaseLedger!$A378="","",CaseLedger!AI378),"")</x:f>
      </x:c>
    </x:row>
    <x:row r="379">
      <x:c r="A379" t="str">
        <x:f>IF(CaseLedger!$A379="","",CaseLedger!A379)</x:f>
      </x:c>
      <x:c r="B379" t="str">
        <x:f>IF(CaseLedger!$A379="","",CaseLedger!I379)</x:f>
      </x:c>
      <x:c r="C379" t="str">
        <x:f>IF(CaseLedger!$A379="","",CaseLedger!J379)</x:f>
      </x:c>
      <x:c r="D379" t="str">
        <x:f>IF(CaseLedger!$A379="","",CaseLedger!K379)</x:f>
      </x:c>
      <x:c r="E379" t="str">
        <x:f>IF(CaseLedger!$A379="","",CaseLedger!L379)</x:f>
      </x:c>
      <x:c r="F379" t="str">
        <x:f>IF(CaseLedger!$A379="","",CaseLedger!P379)</x:f>
      </x:c>
      <x:c r="G379" t="str">
        <x:f>IF(CaseLedger!$A379="","",CaseLedger!F379)</x:f>
      </x:c>
      <x:c r="H379" t="str">
        <x:f>IF(CaseLedger!$A379="","",CaseLedger!Q379)</x:f>
      </x:c>
      <x:c r="I379" t="str">
        <x:f>IF(CaseLedger!$A379="","",CaseLedger!R379)</x:f>
      </x:c>
      <x:c r="J379" t="str">
        <x:f>IF(CaseLedger!$A379="","",CaseLedger!S379)</x:f>
      </x:c>
      <x:c r="K379" t="str">
        <x:f>IF(CaseLedger!$A379="","",CaseLedger!T379)</x:f>
      </x:c>
      <x:c r="L379" t="str">
        <x:f>IF(CaseLedger!$A379="","",CaseLedger!U379)</x:f>
      </x:c>
      <x:c r="M379" t="str">
        <x:f>IF(CaseLedger!$A379="","",CaseLedger!V379)</x:f>
      </x:c>
      <x:c r="N379" t="str">
        <x:f>IF(CaseLedger!$A379="","",CaseLedger!W379)</x:f>
      </x:c>
      <x:c r="O379" t="str">
        <x:f>IF(CaseLedger!$A379="","",CaseLedger!X379)</x:f>
      </x:c>
      <x:c r="P379" t="str">
        <x:f>IF(CaseLedger!$A379="","",CaseLedger!E379)</x:f>
      </x:c>
      <x:c r="Q379" t="str">
        <x:f>IF(CaseLedger!$A379="","",CaseLedger!C379)</x:f>
      </x:c>
      <x:c r="R379" t="str">
        <x:f>IF(CaseLedger!$A379="","",CaseLedger!D379)</x:f>
      </x:c>
      <x:c r="S379" t="str">
        <x:f>IFERROR(IF(CaseLedger!$A379="","",CaseLedger!Y379),"")</x:f>
      </x:c>
      <x:c r="T379" t="str">
        <x:f>IFERROR(IF(CaseLedger!$A379="","",CaseLedger!Z379),"")</x:f>
      </x:c>
      <x:c r="U379" t="str">
        <x:f>IFERROR(IF(CaseLedger!$A379="","",CaseLedger!AA379),"")</x:f>
      </x:c>
      <x:c r="V379" t="str">
        <x:f>IFERROR(IF(CaseLedger!$A379="","",CaseLedger!AB379),"")</x:f>
      </x:c>
      <x:c r="W379" t="str">
        <x:f>IFERROR(IF(CaseLedger!$A379="","",CaseLedger!AC379),"")</x:f>
      </x:c>
      <x:c r="X379" t="str">
        <x:f>IFERROR(IF(CaseLedger!$A379="","",CaseLedger!AD379),"")</x:f>
      </x:c>
      <x:c r="Y379" t="str">
        <x:f>IFERROR(IF(CaseLedger!$A379="","",CaseLedger!AE379),"")</x:f>
      </x:c>
      <x:c r="Z379" t="str">
        <x:f>IFERROR(IF(CaseLedger!$A379="","",CaseLedger!AF379),"")</x:f>
      </x:c>
      <x:c r="AA379" t="str">
        <x:f>IFERROR(IF(CaseLedger!$A379="","",CaseLedger!AG379),"")</x:f>
      </x:c>
      <x:c r="AB379" t="str">
        <x:f>IFERROR(IF(CaseLedger!$A379="","",CaseLedger!AH379),"")</x:f>
      </x:c>
      <x:c r="AC379" t="str">
        <x:f>IFERROR(IF(CaseLedger!$A379="","",CaseLedger!AI379),"")</x:f>
      </x:c>
    </x:row>
    <x:row r="380">
      <x:c r="A380" t="str">
        <x:f>IF(CaseLedger!$A380="","",CaseLedger!A380)</x:f>
      </x:c>
      <x:c r="B380" t="str">
        <x:f>IF(CaseLedger!$A380="","",CaseLedger!I380)</x:f>
      </x:c>
      <x:c r="C380" t="str">
        <x:f>IF(CaseLedger!$A380="","",CaseLedger!J380)</x:f>
      </x:c>
      <x:c r="D380" t="str">
        <x:f>IF(CaseLedger!$A380="","",CaseLedger!K380)</x:f>
      </x:c>
      <x:c r="E380" t="str">
        <x:f>IF(CaseLedger!$A380="","",CaseLedger!L380)</x:f>
      </x:c>
      <x:c r="F380" t="str">
        <x:f>IF(CaseLedger!$A380="","",CaseLedger!P380)</x:f>
      </x:c>
      <x:c r="G380" t="str">
        <x:f>IF(CaseLedger!$A380="","",CaseLedger!F380)</x:f>
      </x:c>
      <x:c r="H380" t="str">
        <x:f>IF(CaseLedger!$A380="","",CaseLedger!Q380)</x:f>
      </x:c>
      <x:c r="I380" t="str">
        <x:f>IF(CaseLedger!$A380="","",CaseLedger!R380)</x:f>
      </x:c>
      <x:c r="J380" t="str">
        <x:f>IF(CaseLedger!$A380="","",CaseLedger!S380)</x:f>
      </x:c>
      <x:c r="K380" t="str">
        <x:f>IF(CaseLedger!$A380="","",CaseLedger!T380)</x:f>
      </x:c>
      <x:c r="L380" t="str">
        <x:f>IF(CaseLedger!$A380="","",CaseLedger!U380)</x:f>
      </x:c>
      <x:c r="M380" t="str">
        <x:f>IF(CaseLedger!$A380="","",CaseLedger!V380)</x:f>
      </x:c>
      <x:c r="N380" t="str">
        <x:f>IF(CaseLedger!$A380="","",CaseLedger!W380)</x:f>
      </x:c>
      <x:c r="O380" t="str">
        <x:f>IF(CaseLedger!$A380="","",CaseLedger!X380)</x:f>
      </x:c>
      <x:c r="P380" t="str">
        <x:f>IF(CaseLedger!$A380="","",CaseLedger!E380)</x:f>
      </x:c>
      <x:c r="Q380" t="str">
        <x:f>IF(CaseLedger!$A380="","",CaseLedger!C380)</x:f>
      </x:c>
      <x:c r="R380" t="str">
        <x:f>IF(CaseLedger!$A380="","",CaseLedger!D380)</x:f>
      </x:c>
      <x:c r="S380" t="str">
        <x:f>IFERROR(IF(CaseLedger!$A380="","",CaseLedger!Y380),"")</x:f>
      </x:c>
      <x:c r="T380" t="str">
        <x:f>IFERROR(IF(CaseLedger!$A380="","",CaseLedger!Z380),"")</x:f>
      </x:c>
      <x:c r="U380" t="str">
        <x:f>IFERROR(IF(CaseLedger!$A380="","",CaseLedger!AA380),"")</x:f>
      </x:c>
      <x:c r="V380" t="str">
        <x:f>IFERROR(IF(CaseLedger!$A380="","",CaseLedger!AB380),"")</x:f>
      </x:c>
      <x:c r="W380" t="str">
        <x:f>IFERROR(IF(CaseLedger!$A380="","",CaseLedger!AC380),"")</x:f>
      </x:c>
      <x:c r="X380" t="str">
        <x:f>IFERROR(IF(CaseLedger!$A380="","",CaseLedger!AD380),"")</x:f>
      </x:c>
      <x:c r="Y380" t="str">
        <x:f>IFERROR(IF(CaseLedger!$A380="","",CaseLedger!AE380),"")</x:f>
      </x:c>
      <x:c r="Z380" t="str">
        <x:f>IFERROR(IF(CaseLedger!$A380="","",CaseLedger!AF380),"")</x:f>
      </x:c>
      <x:c r="AA380" t="str">
        <x:f>IFERROR(IF(CaseLedger!$A380="","",CaseLedger!AG380),"")</x:f>
      </x:c>
      <x:c r="AB380" t="str">
        <x:f>IFERROR(IF(CaseLedger!$A380="","",CaseLedger!AH380),"")</x:f>
      </x:c>
      <x:c r="AC380" t="str">
        <x:f>IFERROR(IF(CaseLedger!$A380="","",CaseLedger!AI380),"")</x:f>
      </x:c>
    </x:row>
    <x:row r="381">
      <x:c r="A381" t="str">
        <x:f>IF(CaseLedger!$A381="","",CaseLedger!A381)</x:f>
      </x:c>
      <x:c r="B381" t="str">
        <x:f>IF(CaseLedger!$A381="","",CaseLedger!I381)</x:f>
      </x:c>
      <x:c r="C381" t="str">
        <x:f>IF(CaseLedger!$A381="","",CaseLedger!J381)</x:f>
      </x:c>
      <x:c r="D381" t="str">
        <x:f>IF(CaseLedger!$A381="","",CaseLedger!K381)</x:f>
      </x:c>
      <x:c r="E381" t="str">
        <x:f>IF(CaseLedger!$A381="","",CaseLedger!L381)</x:f>
      </x:c>
      <x:c r="F381" t="str">
        <x:f>IF(CaseLedger!$A381="","",CaseLedger!P381)</x:f>
      </x:c>
      <x:c r="G381" t="str">
        <x:f>IF(CaseLedger!$A381="","",CaseLedger!F381)</x:f>
      </x:c>
      <x:c r="H381" t="str">
        <x:f>IF(CaseLedger!$A381="","",CaseLedger!Q381)</x:f>
      </x:c>
      <x:c r="I381" t="str">
        <x:f>IF(CaseLedger!$A381="","",CaseLedger!R381)</x:f>
      </x:c>
      <x:c r="J381" t="str">
        <x:f>IF(CaseLedger!$A381="","",CaseLedger!S381)</x:f>
      </x:c>
      <x:c r="K381" t="str">
        <x:f>IF(CaseLedger!$A381="","",CaseLedger!T381)</x:f>
      </x:c>
      <x:c r="L381" t="str">
        <x:f>IF(CaseLedger!$A381="","",CaseLedger!U381)</x:f>
      </x:c>
      <x:c r="M381" t="str">
        <x:f>IF(CaseLedger!$A381="","",CaseLedger!V381)</x:f>
      </x:c>
      <x:c r="N381" t="str">
        <x:f>IF(CaseLedger!$A381="","",CaseLedger!W381)</x:f>
      </x:c>
      <x:c r="O381" t="str">
        <x:f>IF(CaseLedger!$A381="","",CaseLedger!X381)</x:f>
      </x:c>
      <x:c r="P381" t="str">
        <x:f>IF(CaseLedger!$A381="","",CaseLedger!E381)</x:f>
      </x:c>
      <x:c r="Q381" t="str">
        <x:f>IF(CaseLedger!$A381="","",CaseLedger!C381)</x:f>
      </x:c>
      <x:c r="R381" t="str">
        <x:f>IF(CaseLedger!$A381="","",CaseLedger!D381)</x:f>
      </x:c>
      <x:c r="S381" t="str">
        <x:f>IFERROR(IF(CaseLedger!$A381="","",CaseLedger!Y381),"")</x:f>
      </x:c>
      <x:c r="T381" t="str">
        <x:f>IFERROR(IF(CaseLedger!$A381="","",CaseLedger!Z381),"")</x:f>
      </x:c>
      <x:c r="U381" t="str">
        <x:f>IFERROR(IF(CaseLedger!$A381="","",CaseLedger!AA381),"")</x:f>
      </x:c>
      <x:c r="V381" t="str">
        <x:f>IFERROR(IF(CaseLedger!$A381="","",CaseLedger!AB381),"")</x:f>
      </x:c>
      <x:c r="W381" t="str">
        <x:f>IFERROR(IF(CaseLedger!$A381="","",CaseLedger!AC381),"")</x:f>
      </x:c>
      <x:c r="X381" t="str">
        <x:f>IFERROR(IF(CaseLedger!$A381="","",CaseLedger!AD381),"")</x:f>
      </x:c>
      <x:c r="Y381" t="str">
        <x:f>IFERROR(IF(CaseLedger!$A381="","",CaseLedger!AE381),"")</x:f>
      </x:c>
      <x:c r="Z381" t="str">
        <x:f>IFERROR(IF(CaseLedger!$A381="","",CaseLedger!AF381),"")</x:f>
      </x:c>
      <x:c r="AA381" t="str">
        <x:f>IFERROR(IF(CaseLedger!$A381="","",CaseLedger!AG381),"")</x:f>
      </x:c>
      <x:c r="AB381" t="str">
        <x:f>IFERROR(IF(CaseLedger!$A381="","",CaseLedger!AH381),"")</x:f>
      </x:c>
      <x:c r="AC381" t="str">
        <x:f>IFERROR(IF(CaseLedger!$A381="","",CaseLedger!AI381),"")</x:f>
      </x:c>
    </x:row>
    <x:row r="382">
      <x:c r="A382" t="str">
        <x:f>IF(CaseLedger!$A382="","",CaseLedger!A382)</x:f>
      </x:c>
      <x:c r="B382" t="str">
        <x:f>IF(CaseLedger!$A382="","",CaseLedger!I382)</x:f>
      </x:c>
      <x:c r="C382" t="str">
        <x:f>IF(CaseLedger!$A382="","",CaseLedger!J382)</x:f>
      </x:c>
      <x:c r="D382" t="str">
        <x:f>IF(CaseLedger!$A382="","",CaseLedger!K382)</x:f>
      </x:c>
      <x:c r="E382" t="str">
        <x:f>IF(CaseLedger!$A382="","",CaseLedger!L382)</x:f>
      </x:c>
      <x:c r="F382" t="str">
        <x:f>IF(CaseLedger!$A382="","",CaseLedger!P382)</x:f>
      </x:c>
      <x:c r="G382" t="str">
        <x:f>IF(CaseLedger!$A382="","",CaseLedger!F382)</x:f>
      </x:c>
      <x:c r="H382" t="str">
        <x:f>IF(CaseLedger!$A382="","",CaseLedger!Q382)</x:f>
      </x:c>
      <x:c r="I382" t="str">
        <x:f>IF(CaseLedger!$A382="","",CaseLedger!R382)</x:f>
      </x:c>
      <x:c r="J382" t="str">
        <x:f>IF(CaseLedger!$A382="","",CaseLedger!S382)</x:f>
      </x:c>
      <x:c r="K382" t="str">
        <x:f>IF(CaseLedger!$A382="","",CaseLedger!T382)</x:f>
      </x:c>
      <x:c r="L382" t="str">
        <x:f>IF(CaseLedger!$A382="","",CaseLedger!U382)</x:f>
      </x:c>
      <x:c r="M382" t="str">
        <x:f>IF(CaseLedger!$A382="","",CaseLedger!V382)</x:f>
      </x:c>
      <x:c r="N382" t="str">
        <x:f>IF(CaseLedger!$A382="","",CaseLedger!W382)</x:f>
      </x:c>
      <x:c r="O382" t="str">
        <x:f>IF(CaseLedger!$A382="","",CaseLedger!X382)</x:f>
      </x:c>
      <x:c r="P382" t="str">
        <x:f>IF(CaseLedger!$A382="","",CaseLedger!E382)</x:f>
      </x:c>
      <x:c r="Q382" t="str">
        <x:f>IF(CaseLedger!$A382="","",CaseLedger!C382)</x:f>
      </x:c>
      <x:c r="R382" t="str">
        <x:f>IF(CaseLedger!$A382="","",CaseLedger!D382)</x:f>
      </x:c>
      <x:c r="S382" t="str">
        <x:f>IFERROR(IF(CaseLedger!$A382="","",CaseLedger!Y382),"")</x:f>
      </x:c>
      <x:c r="T382" t="str">
        <x:f>IFERROR(IF(CaseLedger!$A382="","",CaseLedger!Z382),"")</x:f>
      </x:c>
      <x:c r="U382" t="str">
        <x:f>IFERROR(IF(CaseLedger!$A382="","",CaseLedger!AA382),"")</x:f>
      </x:c>
      <x:c r="V382" t="str">
        <x:f>IFERROR(IF(CaseLedger!$A382="","",CaseLedger!AB382),"")</x:f>
      </x:c>
      <x:c r="W382" t="str">
        <x:f>IFERROR(IF(CaseLedger!$A382="","",CaseLedger!AC382),"")</x:f>
      </x:c>
      <x:c r="X382" t="str">
        <x:f>IFERROR(IF(CaseLedger!$A382="","",CaseLedger!AD382),"")</x:f>
      </x:c>
      <x:c r="Y382" t="str">
        <x:f>IFERROR(IF(CaseLedger!$A382="","",CaseLedger!AE382),"")</x:f>
      </x:c>
      <x:c r="Z382" t="str">
        <x:f>IFERROR(IF(CaseLedger!$A382="","",CaseLedger!AF382),"")</x:f>
      </x:c>
      <x:c r="AA382" t="str">
        <x:f>IFERROR(IF(CaseLedger!$A382="","",CaseLedger!AG382),"")</x:f>
      </x:c>
      <x:c r="AB382" t="str">
        <x:f>IFERROR(IF(CaseLedger!$A382="","",CaseLedger!AH382),"")</x:f>
      </x:c>
      <x:c r="AC382" t="str">
        <x:f>IFERROR(IF(CaseLedger!$A382="","",CaseLedger!AI382),"")</x:f>
      </x:c>
    </x:row>
    <x:row r="383">
      <x:c r="A383" t="str">
        <x:f>IF(CaseLedger!$A383="","",CaseLedger!A383)</x:f>
      </x:c>
      <x:c r="B383" t="str">
        <x:f>IF(CaseLedger!$A383="","",CaseLedger!I383)</x:f>
      </x:c>
      <x:c r="C383" t="str">
        <x:f>IF(CaseLedger!$A383="","",CaseLedger!J383)</x:f>
      </x:c>
      <x:c r="D383" t="str">
        <x:f>IF(CaseLedger!$A383="","",CaseLedger!K383)</x:f>
      </x:c>
      <x:c r="E383" t="str">
        <x:f>IF(CaseLedger!$A383="","",CaseLedger!L383)</x:f>
      </x:c>
      <x:c r="F383" t="str">
        <x:f>IF(CaseLedger!$A383="","",CaseLedger!P383)</x:f>
      </x:c>
      <x:c r="G383" t="str">
        <x:f>IF(CaseLedger!$A383="","",CaseLedger!F383)</x:f>
      </x:c>
      <x:c r="H383" t="str">
        <x:f>IF(CaseLedger!$A383="","",CaseLedger!Q383)</x:f>
      </x:c>
      <x:c r="I383" t="str">
        <x:f>IF(CaseLedger!$A383="","",CaseLedger!R383)</x:f>
      </x:c>
      <x:c r="J383" t="str">
        <x:f>IF(CaseLedger!$A383="","",CaseLedger!S383)</x:f>
      </x:c>
      <x:c r="K383" t="str">
        <x:f>IF(CaseLedger!$A383="","",CaseLedger!T383)</x:f>
      </x:c>
      <x:c r="L383" t="str">
        <x:f>IF(CaseLedger!$A383="","",CaseLedger!U383)</x:f>
      </x:c>
      <x:c r="M383" t="str">
        <x:f>IF(CaseLedger!$A383="","",CaseLedger!V383)</x:f>
      </x:c>
      <x:c r="N383" t="str">
        <x:f>IF(CaseLedger!$A383="","",CaseLedger!W383)</x:f>
      </x:c>
      <x:c r="O383" t="str">
        <x:f>IF(CaseLedger!$A383="","",CaseLedger!X383)</x:f>
      </x:c>
      <x:c r="P383" t="str">
        <x:f>IF(CaseLedger!$A383="","",CaseLedger!E383)</x:f>
      </x:c>
      <x:c r="Q383" t="str">
        <x:f>IF(CaseLedger!$A383="","",CaseLedger!C383)</x:f>
      </x:c>
      <x:c r="R383" t="str">
        <x:f>IF(CaseLedger!$A383="","",CaseLedger!D383)</x:f>
      </x:c>
      <x:c r="S383" t="str">
        <x:f>IFERROR(IF(CaseLedger!$A383="","",CaseLedger!Y383),"")</x:f>
      </x:c>
      <x:c r="T383" t="str">
        <x:f>IFERROR(IF(CaseLedger!$A383="","",CaseLedger!Z383),"")</x:f>
      </x:c>
      <x:c r="U383" t="str">
        <x:f>IFERROR(IF(CaseLedger!$A383="","",CaseLedger!AA383),"")</x:f>
      </x:c>
      <x:c r="V383" t="str">
        <x:f>IFERROR(IF(CaseLedger!$A383="","",CaseLedger!AB383),"")</x:f>
      </x:c>
      <x:c r="W383" t="str">
        <x:f>IFERROR(IF(CaseLedger!$A383="","",CaseLedger!AC383),"")</x:f>
      </x:c>
      <x:c r="X383" t="str">
        <x:f>IFERROR(IF(CaseLedger!$A383="","",CaseLedger!AD383),"")</x:f>
      </x:c>
      <x:c r="Y383" t="str">
        <x:f>IFERROR(IF(CaseLedger!$A383="","",CaseLedger!AE383),"")</x:f>
      </x:c>
      <x:c r="Z383" t="str">
        <x:f>IFERROR(IF(CaseLedger!$A383="","",CaseLedger!AF383),"")</x:f>
      </x:c>
      <x:c r="AA383" t="str">
        <x:f>IFERROR(IF(CaseLedger!$A383="","",CaseLedger!AG383),"")</x:f>
      </x:c>
      <x:c r="AB383" t="str">
        <x:f>IFERROR(IF(CaseLedger!$A383="","",CaseLedger!AH383),"")</x:f>
      </x:c>
      <x:c r="AC383" t="str">
        <x:f>IFERROR(IF(CaseLedger!$A383="","",CaseLedger!AI383),"")</x:f>
      </x:c>
    </x:row>
    <x:row r="384">
      <x:c r="A384" t="str">
        <x:f>IF(CaseLedger!$A384="","",CaseLedger!A384)</x:f>
      </x:c>
      <x:c r="B384" t="str">
        <x:f>IF(CaseLedger!$A384="","",CaseLedger!I384)</x:f>
      </x:c>
      <x:c r="C384" t="str">
        <x:f>IF(CaseLedger!$A384="","",CaseLedger!J384)</x:f>
      </x:c>
      <x:c r="D384" t="str">
        <x:f>IF(CaseLedger!$A384="","",CaseLedger!K384)</x:f>
      </x:c>
      <x:c r="E384" t="str">
        <x:f>IF(CaseLedger!$A384="","",CaseLedger!L384)</x:f>
      </x:c>
      <x:c r="F384" t="str">
        <x:f>IF(CaseLedger!$A384="","",CaseLedger!P384)</x:f>
      </x:c>
      <x:c r="G384" t="str">
        <x:f>IF(CaseLedger!$A384="","",CaseLedger!F384)</x:f>
      </x:c>
      <x:c r="H384" t="str">
        <x:f>IF(CaseLedger!$A384="","",CaseLedger!Q384)</x:f>
      </x:c>
      <x:c r="I384" t="str">
        <x:f>IF(CaseLedger!$A384="","",CaseLedger!R384)</x:f>
      </x:c>
      <x:c r="J384" t="str">
        <x:f>IF(CaseLedger!$A384="","",CaseLedger!S384)</x:f>
      </x:c>
      <x:c r="K384" t="str">
        <x:f>IF(CaseLedger!$A384="","",CaseLedger!T384)</x:f>
      </x:c>
      <x:c r="L384" t="str">
        <x:f>IF(CaseLedger!$A384="","",CaseLedger!U384)</x:f>
      </x:c>
      <x:c r="M384" t="str">
        <x:f>IF(CaseLedger!$A384="","",CaseLedger!V384)</x:f>
      </x:c>
      <x:c r="N384" t="str">
        <x:f>IF(CaseLedger!$A384="","",CaseLedger!W384)</x:f>
      </x:c>
      <x:c r="O384" t="str">
        <x:f>IF(CaseLedger!$A384="","",CaseLedger!X384)</x:f>
      </x:c>
      <x:c r="P384" t="str">
        <x:f>IF(CaseLedger!$A384="","",CaseLedger!E384)</x:f>
      </x:c>
      <x:c r="Q384" t="str">
        <x:f>IF(CaseLedger!$A384="","",CaseLedger!C384)</x:f>
      </x:c>
      <x:c r="R384" t="str">
        <x:f>IF(CaseLedger!$A384="","",CaseLedger!D384)</x:f>
      </x:c>
      <x:c r="S384" t="str">
        <x:f>IFERROR(IF(CaseLedger!$A384="","",CaseLedger!Y384),"")</x:f>
      </x:c>
      <x:c r="T384" t="str">
        <x:f>IFERROR(IF(CaseLedger!$A384="","",CaseLedger!Z384),"")</x:f>
      </x:c>
      <x:c r="U384" t="str">
        <x:f>IFERROR(IF(CaseLedger!$A384="","",CaseLedger!AA384),"")</x:f>
      </x:c>
      <x:c r="V384" t="str">
        <x:f>IFERROR(IF(CaseLedger!$A384="","",CaseLedger!AB384),"")</x:f>
      </x:c>
      <x:c r="W384" t="str">
        <x:f>IFERROR(IF(CaseLedger!$A384="","",CaseLedger!AC384),"")</x:f>
      </x:c>
      <x:c r="X384" t="str">
        <x:f>IFERROR(IF(CaseLedger!$A384="","",CaseLedger!AD384),"")</x:f>
      </x:c>
      <x:c r="Y384" t="str">
        <x:f>IFERROR(IF(CaseLedger!$A384="","",CaseLedger!AE384),"")</x:f>
      </x:c>
      <x:c r="Z384" t="str">
        <x:f>IFERROR(IF(CaseLedger!$A384="","",CaseLedger!AF384),"")</x:f>
      </x:c>
      <x:c r="AA384" t="str">
        <x:f>IFERROR(IF(CaseLedger!$A384="","",CaseLedger!AG384),"")</x:f>
      </x:c>
      <x:c r="AB384" t="str">
        <x:f>IFERROR(IF(CaseLedger!$A384="","",CaseLedger!AH384),"")</x:f>
      </x:c>
      <x:c r="AC384" t="str">
        <x:f>IFERROR(IF(CaseLedger!$A384="","",CaseLedger!AI384),"")</x:f>
      </x:c>
    </x:row>
    <x:row r="385">
      <x:c r="A385" t="str">
        <x:f>IF(CaseLedger!$A385="","",CaseLedger!A385)</x:f>
      </x:c>
      <x:c r="B385" t="str">
        <x:f>IF(CaseLedger!$A385="","",CaseLedger!I385)</x:f>
      </x:c>
      <x:c r="C385" t="str">
        <x:f>IF(CaseLedger!$A385="","",CaseLedger!J385)</x:f>
      </x:c>
      <x:c r="D385" t="str">
        <x:f>IF(CaseLedger!$A385="","",CaseLedger!K385)</x:f>
      </x:c>
      <x:c r="E385" t="str">
        <x:f>IF(CaseLedger!$A385="","",CaseLedger!L385)</x:f>
      </x:c>
      <x:c r="F385" t="str">
        <x:f>IF(CaseLedger!$A385="","",CaseLedger!P385)</x:f>
      </x:c>
      <x:c r="G385" t="str">
        <x:f>IF(CaseLedger!$A385="","",CaseLedger!F385)</x:f>
      </x:c>
      <x:c r="H385" t="str">
        <x:f>IF(CaseLedger!$A385="","",CaseLedger!Q385)</x:f>
      </x:c>
      <x:c r="I385" t="str">
        <x:f>IF(CaseLedger!$A385="","",CaseLedger!R385)</x:f>
      </x:c>
      <x:c r="J385" t="str">
        <x:f>IF(CaseLedger!$A385="","",CaseLedger!S385)</x:f>
      </x:c>
      <x:c r="K385" t="str">
        <x:f>IF(CaseLedger!$A385="","",CaseLedger!T385)</x:f>
      </x:c>
      <x:c r="L385" t="str">
        <x:f>IF(CaseLedger!$A385="","",CaseLedger!U385)</x:f>
      </x:c>
      <x:c r="M385" t="str">
        <x:f>IF(CaseLedger!$A385="","",CaseLedger!V385)</x:f>
      </x:c>
      <x:c r="N385" t="str">
        <x:f>IF(CaseLedger!$A385="","",CaseLedger!W385)</x:f>
      </x:c>
      <x:c r="O385" t="str">
        <x:f>IF(CaseLedger!$A385="","",CaseLedger!X385)</x:f>
      </x:c>
      <x:c r="P385" t="str">
        <x:f>IF(CaseLedger!$A385="","",CaseLedger!E385)</x:f>
      </x:c>
      <x:c r="Q385" t="str">
        <x:f>IF(CaseLedger!$A385="","",CaseLedger!C385)</x:f>
      </x:c>
      <x:c r="R385" t="str">
        <x:f>IF(CaseLedger!$A385="","",CaseLedger!D385)</x:f>
      </x:c>
      <x:c r="S385" t="str">
        <x:f>IFERROR(IF(CaseLedger!$A385="","",CaseLedger!Y385),"")</x:f>
      </x:c>
      <x:c r="T385" t="str">
        <x:f>IFERROR(IF(CaseLedger!$A385="","",CaseLedger!Z385),"")</x:f>
      </x:c>
      <x:c r="U385" t="str">
        <x:f>IFERROR(IF(CaseLedger!$A385="","",CaseLedger!AA385),"")</x:f>
      </x:c>
      <x:c r="V385" t="str">
        <x:f>IFERROR(IF(CaseLedger!$A385="","",CaseLedger!AB385),"")</x:f>
      </x:c>
      <x:c r="W385" t="str">
        <x:f>IFERROR(IF(CaseLedger!$A385="","",CaseLedger!AC385),"")</x:f>
      </x:c>
      <x:c r="X385" t="str">
        <x:f>IFERROR(IF(CaseLedger!$A385="","",CaseLedger!AD385),"")</x:f>
      </x:c>
      <x:c r="Y385" t="str">
        <x:f>IFERROR(IF(CaseLedger!$A385="","",CaseLedger!AE385),"")</x:f>
      </x:c>
      <x:c r="Z385" t="str">
        <x:f>IFERROR(IF(CaseLedger!$A385="","",CaseLedger!AF385),"")</x:f>
      </x:c>
      <x:c r="AA385" t="str">
        <x:f>IFERROR(IF(CaseLedger!$A385="","",CaseLedger!AG385),"")</x:f>
      </x:c>
      <x:c r="AB385" t="str">
        <x:f>IFERROR(IF(CaseLedger!$A385="","",CaseLedger!AH385),"")</x:f>
      </x:c>
      <x:c r="AC385" t="str">
        <x:f>IFERROR(IF(CaseLedger!$A385="","",CaseLedger!AI385),"")</x:f>
      </x:c>
    </x:row>
    <x:row r="386">
      <x:c r="A386" t="str">
        <x:f>IF(CaseLedger!$A386="","",CaseLedger!A386)</x:f>
      </x:c>
      <x:c r="B386" t="str">
        <x:f>IF(CaseLedger!$A386="","",CaseLedger!I386)</x:f>
      </x:c>
      <x:c r="C386" t="str">
        <x:f>IF(CaseLedger!$A386="","",CaseLedger!J386)</x:f>
      </x:c>
      <x:c r="D386" t="str">
        <x:f>IF(CaseLedger!$A386="","",CaseLedger!K386)</x:f>
      </x:c>
      <x:c r="E386" t="str">
        <x:f>IF(CaseLedger!$A386="","",CaseLedger!L386)</x:f>
      </x:c>
      <x:c r="F386" t="str">
        <x:f>IF(CaseLedger!$A386="","",CaseLedger!P386)</x:f>
      </x:c>
      <x:c r="G386" t="str">
        <x:f>IF(CaseLedger!$A386="","",CaseLedger!F386)</x:f>
      </x:c>
      <x:c r="H386" t="str">
        <x:f>IF(CaseLedger!$A386="","",CaseLedger!Q386)</x:f>
      </x:c>
      <x:c r="I386" t="str">
        <x:f>IF(CaseLedger!$A386="","",CaseLedger!R386)</x:f>
      </x:c>
      <x:c r="J386" t="str">
        <x:f>IF(CaseLedger!$A386="","",CaseLedger!S386)</x:f>
      </x:c>
      <x:c r="K386" t="str">
        <x:f>IF(CaseLedger!$A386="","",CaseLedger!T386)</x:f>
      </x:c>
      <x:c r="L386" t="str">
        <x:f>IF(CaseLedger!$A386="","",CaseLedger!U386)</x:f>
      </x:c>
      <x:c r="M386" t="str">
        <x:f>IF(CaseLedger!$A386="","",CaseLedger!V386)</x:f>
      </x:c>
      <x:c r="N386" t="str">
        <x:f>IF(CaseLedger!$A386="","",CaseLedger!W386)</x:f>
      </x:c>
      <x:c r="O386" t="str">
        <x:f>IF(CaseLedger!$A386="","",CaseLedger!X386)</x:f>
      </x:c>
      <x:c r="P386" t="str">
        <x:f>IF(CaseLedger!$A386="","",CaseLedger!E386)</x:f>
      </x:c>
      <x:c r="Q386" t="str">
        <x:f>IF(CaseLedger!$A386="","",CaseLedger!C386)</x:f>
      </x:c>
      <x:c r="R386" t="str">
        <x:f>IF(CaseLedger!$A386="","",CaseLedger!D386)</x:f>
      </x:c>
      <x:c r="S386" t="str">
        <x:f>IFERROR(IF(CaseLedger!$A386="","",CaseLedger!Y386),"")</x:f>
      </x:c>
      <x:c r="T386" t="str">
        <x:f>IFERROR(IF(CaseLedger!$A386="","",CaseLedger!Z386),"")</x:f>
      </x:c>
      <x:c r="U386" t="str">
        <x:f>IFERROR(IF(CaseLedger!$A386="","",CaseLedger!AA386),"")</x:f>
      </x:c>
      <x:c r="V386" t="str">
        <x:f>IFERROR(IF(CaseLedger!$A386="","",CaseLedger!AB386),"")</x:f>
      </x:c>
      <x:c r="W386" t="str">
        <x:f>IFERROR(IF(CaseLedger!$A386="","",CaseLedger!AC386),"")</x:f>
      </x:c>
      <x:c r="X386" t="str">
        <x:f>IFERROR(IF(CaseLedger!$A386="","",CaseLedger!AD386),"")</x:f>
      </x:c>
      <x:c r="Y386" t="str">
        <x:f>IFERROR(IF(CaseLedger!$A386="","",CaseLedger!AE386),"")</x:f>
      </x:c>
      <x:c r="Z386" t="str">
        <x:f>IFERROR(IF(CaseLedger!$A386="","",CaseLedger!AF386),"")</x:f>
      </x:c>
      <x:c r="AA386" t="str">
        <x:f>IFERROR(IF(CaseLedger!$A386="","",CaseLedger!AG386),"")</x:f>
      </x:c>
      <x:c r="AB386" t="str">
        <x:f>IFERROR(IF(CaseLedger!$A386="","",CaseLedger!AH386),"")</x:f>
      </x:c>
      <x:c r="AC386" t="str">
        <x:f>IFERROR(IF(CaseLedger!$A386="","",CaseLedger!AI386),"")</x:f>
      </x:c>
    </x:row>
    <x:row r="387">
      <x:c r="A387" t="str">
        <x:f>IF(CaseLedger!$A387="","",CaseLedger!A387)</x:f>
      </x:c>
      <x:c r="B387" t="str">
        <x:f>IF(CaseLedger!$A387="","",CaseLedger!I387)</x:f>
      </x:c>
      <x:c r="C387" t="str">
        <x:f>IF(CaseLedger!$A387="","",CaseLedger!J387)</x:f>
      </x:c>
      <x:c r="D387" t="str">
        <x:f>IF(CaseLedger!$A387="","",CaseLedger!K387)</x:f>
      </x:c>
      <x:c r="E387" t="str">
        <x:f>IF(CaseLedger!$A387="","",CaseLedger!L387)</x:f>
      </x:c>
      <x:c r="F387" t="str">
        <x:f>IF(CaseLedger!$A387="","",CaseLedger!P387)</x:f>
      </x:c>
      <x:c r="G387" t="str">
        <x:f>IF(CaseLedger!$A387="","",CaseLedger!F387)</x:f>
      </x:c>
      <x:c r="H387" t="str">
        <x:f>IF(CaseLedger!$A387="","",CaseLedger!Q387)</x:f>
      </x:c>
      <x:c r="I387" t="str">
        <x:f>IF(CaseLedger!$A387="","",CaseLedger!R387)</x:f>
      </x:c>
      <x:c r="J387" t="str">
        <x:f>IF(CaseLedger!$A387="","",CaseLedger!S387)</x:f>
      </x:c>
      <x:c r="K387" t="str">
        <x:f>IF(CaseLedger!$A387="","",CaseLedger!T387)</x:f>
      </x:c>
      <x:c r="L387" t="str">
        <x:f>IF(CaseLedger!$A387="","",CaseLedger!U387)</x:f>
      </x:c>
      <x:c r="M387" t="str">
        <x:f>IF(CaseLedger!$A387="","",CaseLedger!V387)</x:f>
      </x:c>
      <x:c r="N387" t="str">
        <x:f>IF(CaseLedger!$A387="","",CaseLedger!W387)</x:f>
      </x:c>
      <x:c r="O387" t="str">
        <x:f>IF(CaseLedger!$A387="","",CaseLedger!X387)</x:f>
      </x:c>
      <x:c r="P387" t="str">
        <x:f>IF(CaseLedger!$A387="","",CaseLedger!E387)</x:f>
      </x:c>
      <x:c r="Q387" t="str">
        <x:f>IF(CaseLedger!$A387="","",CaseLedger!C387)</x:f>
      </x:c>
      <x:c r="R387" t="str">
        <x:f>IF(CaseLedger!$A387="","",CaseLedger!D387)</x:f>
      </x:c>
      <x:c r="S387" t="str">
        <x:f>IFERROR(IF(CaseLedger!$A387="","",CaseLedger!Y387),"")</x:f>
      </x:c>
      <x:c r="T387" t="str">
        <x:f>IFERROR(IF(CaseLedger!$A387="","",CaseLedger!Z387),"")</x:f>
      </x:c>
      <x:c r="U387" t="str">
        <x:f>IFERROR(IF(CaseLedger!$A387="","",CaseLedger!AA387),"")</x:f>
      </x:c>
      <x:c r="V387" t="str">
        <x:f>IFERROR(IF(CaseLedger!$A387="","",CaseLedger!AB387),"")</x:f>
      </x:c>
      <x:c r="W387" t="str">
        <x:f>IFERROR(IF(CaseLedger!$A387="","",CaseLedger!AC387),"")</x:f>
      </x:c>
      <x:c r="X387" t="str">
        <x:f>IFERROR(IF(CaseLedger!$A387="","",CaseLedger!AD387),"")</x:f>
      </x:c>
      <x:c r="Y387" t="str">
        <x:f>IFERROR(IF(CaseLedger!$A387="","",CaseLedger!AE387),"")</x:f>
      </x:c>
      <x:c r="Z387" t="str">
        <x:f>IFERROR(IF(CaseLedger!$A387="","",CaseLedger!AF387),"")</x:f>
      </x:c>
      <x:c r="AA387" t="str">
        <x:f>IFERROR(IF(CaseLedger!$A387="","",CaseLedger!AG387),"")</x:f>
      </x:c>
      <x:c r="AB387" t="str">
        <x:f>IFERROR(IF(CaseLedger!$A387="","",CaseLedger!AH387),"")</x:f>
      </x:c>
      <x:c r="AC387" t="str">
        <x:f>IFERROR(IF(CaseLedger!$A387="","",CaseLedger!AI387),"")</x:f>
      </x:c>
    </x:row>
    <x:row r="388">
      <x:c r="A388" t="str">
        <x:f>IF(CaseLedger!$A388="","",CaseLedger!A388)</x:f>
      </x:c>
      <x:c r="B388" t="str">
        <x:f>IF(CaseLedger!$A388="","",CaseLedger!I388)</x:f>
      </x:c>
      <x:c r="C388" t="str">
        <x:f>IF(CaseLedger!$A388="","",CaseLedger!J388)</x:f>
      </x:c>
      <x:c r="D388" t="str">
        <x:f>IF(CaseLedger!$A388="","",CaseLedger!K388)</x:f>
      </x:c>
      <x:c r="E388" t="str">
        <x:f>IF(CaseLedger!$A388="","",CaseLedger!L388)</x:f>
      </x:c>
      <x:c r="F388" t="str">
        <x:f>IF(CaseLedger!$A388="","",CaseLedger!P388)</x:f>
      </x:c>
      <x:c r="G388" t="str">
        <x:f>IF(CaseLedger!$A388="","",CaseLedger!F388)</x:f>
      </x:c>
      <x:c r="H388" t="str">
        <x:f>IF(CaseLedger!$A388="","",CaseLedger!Q388)</x:f>
      </x:c>
      <x:c r="I388" t="str">
        <x:f>IF(CaseLedger!$A388="","",CaseLedger!R388)</x:f>
      </x:c>
      <x:c r="J388" t="str">
        <x:f>IF(CaseLedger!$A388="","",CaseLedger!S388)</x:f>
      </x:c>
      <x:c r="K388" t="str">
        <x:f>IF(CaseLedger!$A388="","",CaseLedger!T388)</x:f>
      </x:c>
      <x:c r="L388" t="str">
        <x:f>IF(CaseLedger!$A388="","",CaseLedger!U388)</x:f>
      </x:c>
      <x:c r="M388" t="str">
        <x:f>IF(CaseLedger!$A388="","",CaseLedger!V388)</x:f>
      </x:c>
      <x:c r="N388" t="str">
        <x:f>IF(CaseLedger!$A388="","",CaseLedger!W388)</x:f>
      </x:c>
      <x:c r="O388" t="str">
        <x:f>IF(CaseLedger!$A388="","",CaseLedger!X388)</x:f>
      </x:c>
      <x:c r="P388" t="str">
        <x:f>IF(CaseLedger!$A388="","",CaseLedger!E388)</x:f>
      </x:c>
      <x:c r="Q388" t="str">
        <x:f>IF(CaseLedger!$A388="","",CaseLedger!C388)</x:f>
      </x:c>
      <x:c r="R388" t="str">
        <x:f>IF(CaseLedger!$A388="","",CaseLedger!D388)</x:f>
      </x:c>
      <x:c r="S388" t="str">
        <x:f>IFERROR(IF(CaseLedger!$A388="","",CaseLedger!Y388),"")</x:f>
      </x:c>
      <x:c r="T388" t="str">
        <x:f>IFERROR(IF(CaseLedger!$A388="","",CaseLedger!Z388),"")</x:f>
      </x:c>
      <x:c r="U388" t="str">
        <x:f>IFERROR(IF(CaseLedger!$A388="","",CaseLedger!AA388),"")</x:f>
      </x:c>
      <x:c r="V388" t="str">
        <x:f>IFERROR(IF(CaseLedger!$A388="","",CaseLedger!AB388),"")</x:f>
      </x:c>
      <x:c r="W388" t="str">
        <x:f>IFERROR(IF(CaseLedger!$A388="","",CaseLedger!AC388),"")</x:f>
      </x:c>
      <x:c r="X388" t="str">
        <x:f>IFERROR(IF(CaseLedger!$A388="","",CaseLedger!AD388),"")</x:f>
      </x:c>
      <x:c r="Y388" t="str">
        <x:f>IFERROR(IF(CaseLedger!$A388="","",CaseLedger!AE388),"")</x:f>
      </x:c>
      <x:c r="Z388" t="str">
        <x:f>IFERROR(IF(CaseLedger!$A388="","",CaseLedger!AF388),"")</x:f>
      </x:c>
      <x:c r="AA388" t="str">
        <x:f>IFERROR(IF(CaseLedger!$A388="","",CaseLedger!AG388),"")</x:f>
      </x:c>
      <x:c r="AB388" t="str">
        <x:f>IFERROR(IF(CaseLedger!$A388="","",CaseLedger!AH388),"")</x:f>
      </x:c>
      <x:c r="AC388" t="str">
        <x:f>IFERROR(IF(CaseLedger!$A388="","",CaseLedger!AI388),"")</x:f>
      </x:c>
    </x:row>
    <x:row r="389">
      <x:c r="A389" t="str">
        <x:f>IF(CaseLedger!$A389="","",CaseLedger!A389)</x:f>
      </x:c>
      <x:c r="B389" t="str">
        <x:f>IF(CaseLedger!$A389="","",CaseLedger!I389)</x:f>
      </x:c>
      <x:c r="C389" t="str">
        <x:f>IF(CaseLedger!$A389="","",CaseLedger!J389)</x:f>
      </x:c>
      <x:c r="D389" t="str">
        <x:f>IF(CaseLedger!$A389="","",CaseLedger!K389)</x:f>
      </x:c>
      <x:c r="E389" t="str">
        <x:f>IF(CaseLedger!$A389="","",CaseLedger!L389)</x:f>
      </x:c>
      <x:c r="F389" t="str">
        <x:f>IF(CaseLedger!$A389="","",CaseLedger!P389)</x:f>
      </x:c>
      <x:c r="G389" t="str">
        <x:f>IF(CaseLedger!$A389="","",CaseLedger!F389)</x:f>
      </x:c>
      <x:c r="H389" t="str">
        <x:f>IF(CaseLedger!$A389="","",CaseLedger!Q389)</x:f>
      </x:c>
      <x:c r="I389" t="str">
        <x:f>IF(CaseLedger!$A389="","",CaseLedger!R389)</x:f>
      </x:c>
      <x:c r="J389" t="str">
        <x:f>IF(CaseLedger!$A389="","",CaseLedger!S389)</x:f>
      </x:c>
      <x:c r="K389" t="str">
        <x:f>IF(CaseLedger!$A389="","",CaseLedger!T389)</x:f>
      </x:c>
      <x:c r="L389" t="str">
        <x:f>IF(CaseLedger!$A389="","",CaseLedger!U389)</x:f>
      </x:c>
      <x:c r="M389" t="str">
        <x:f>IF(CaseLedger!$A389="","",CaseLedger!V389)</x:f>
      </x:c>
      <x:c r="N389" t="str">
        <x:f>IF(CaseLedger!$A389="","",CaseLedger!W389)</x:f>
      </x:c>
      <x:c r="O389" t="str">
        <x:f>IF(CaseLedger!$A389="","",CaseLedger!X389)</x:f>
      </x:c>
      <x:c r="P389" t="str">
        <x:f>IF(CaseLedger!$A389="","",CaseLedger!E389)</x:f>
      </x:c>
      <x:c r="Q389" t="str">
        <x:f>IF(CaseLedger!$A389="","",CaseLedger!C389)</x:f>
      </x:c>
      <x:c r="R389" t="str">
        <x:f>IF(CaseLedger!$A389="","",CaseLedger!D389)</x:f>
      </x:c>
      <x:c r="S389" t="str">
        <x:f>IFERROR(IF(CaseLedger!$A389="","",CaseLedger!Y389),"")</x:f>
      </x:c>
      <x:c r="T389" t="str">
        <x:f>IFERROR(IF(CaseLedger!$A389="","",CaseLedger!Z389),"")</x:f>
      </x:c>
      <x:c r="U389" t="str">
        <x:f>IFERROR(IF(CaseLedger!$A389="","",CaseLedger!AA389),"")</x:f>
      </x:c>
      <x:c r="V389" t="str">
        <x:f>IFERROR(IF(CaseLedger!$A389="","",CaseLedger!AB389),"")</x:f>
      </x:c>
      <x:c r="W389" t="str">
        <x:f>IFERROR(IF(CaseLedger!$A389="","",CaseLedger!AC389),"")</x:f>
      </x:c>
      <x:c r="X389" t="str">
        <x:f>IFERROR(IF(CaseLedger!$A389="","",CaseLedger!AD389),"")</x:f>
      </x:c>
      <x:c r="Y389" t="str">
        <x:f>IFERROR(IF(CaseLedger!$A389="","",CaseLedger!AE389),"")</x:f>
      </x:c>
      <x:c r="Z389" t="str">
        <x:f>IFERROR(IF(CaseLedger!$A389="","",CaseLedger!AF389),"")</x:f>
      </x:c>
      <x:c r="AA389" t="str">
        <x:f>IFERROR(IF(CaseLedger!$A389="","",CaseLedger!AG389),"")</x:f>
      </x:c>
      <x:c r="AB389" t="str">
        <x:f>IFERROR(IF(CaseLedger!$A389="","",CaseLedger!AH389),"")</x:f>
      </x:c>
      <x:c r="AC389" t="str">
        <x:f>IFERROR(IF(CaseLedger!$A389="","",CaseLedger!AI389),"")</x:f>
      </x:c>
    </x:row>
    <x:row r="390">
      <x:c r="A390" t="str">
        <x:f>IF(CaseLedger!$A390="","",CaseLedger!A390)</x:f>
      </x:c>
      <x:c r="B390" t="str">
        <x:f>IF(CaseLedger!$A390="","",CaseLedger!I390)</x:f>
      </x:c>
      <x:c r="C390" t="str">
        <x:f>IF(CaseLedger!$A390="","",CaseLedger!J390)</x:f>
      </x:c>
      <x:c r="D390" t="str">
        <x:f>IF(CaseLedger!$A390="","",CaseLedger!K390)</x:f>
      </x:c>
      <x:c r="E390" t="str">
        <x:f>IF(CaseLedger!$A390="","",CaseLedger!L390)</x:f>
      </x:c>
      <x:c r="F390" t="str">
        <x:f>IF(CaseLedger!$A390="","",CaseLedger!P390)</x:f>
      </x:c>
      <x:c r="G390" t="str">
        <x:f>IF(CaseLedger!$A390="","",CaseLedger!F390)</x:f>
      </x:c>
      <x:c r="H390" t="str">
        <x:f>IF(CaseLedger!$A390="","",CaseLedger!Q390)</x:f>
      </x:c>
      <x:c r="I390" t="str">
        <x:f>IF(CaseLedger!$A390="","",CaseLedger!R390)</x:f>
      </x:c>
      <x:c r="J390" t="str">
        <x:f>IF(CaseLedger!$A390="","",CaseLedger!S390)</x:f>
      </x:c>
      <x:c r="K390" t="str">
        <x:f>IF(CaseLedger!$A390="","",CaseLedger!T390)</x:f>
      </x:c>
      <x:c r="L390" t="str">
        <x:f>IF(CaseLedger!$A390="","",CaseLedger!U390)</x:f>
      </x:c>
      <x:c r="M390" t="str">
        <x:f>IF(CaseLedger!$A390="","",CaseLedger!V390)</x:f>
      </x:c>
      <x:c r="N390" t="str">
        <x:f>IF(CaseLedger!$A390="","",CaseLedger!W390)</x:f>
      </x:c>
      <x:c r="O390" t="str">
        <x:f>IF(CaseLedger!$A390="","",CaseLedger!X390)</x:f>
      </x:c>
      <x:c r="P390" t="str">
        <x:f>IF(CaseLedger!$A390="","",CaseLedger!E390)</x:f>
      </x:c>
      <x:c r="Q390" t="str">
        <x:f>IF(CaseLedger!$A390="","",CaseLedger!C390)</x:f>
      </x:c>
      <x:c r="R390" t="str">
        <x:f>IF(CaseLedger!$A390="","",CaseLedger!D390)</x:f>
      </x:c>
      <x:c r="S390" t="str">
        <x:f>IFERROR(IF(CaseLedger!$A390="","",CaseLedger!Y390),"")</x:f>
      </x:c>
      <x:c r="T390" t="str">
        <x:f>IFERROR(IF(CaseLedger!$A390="","",CaseLedger!Z390),"")</x:f>
      </x:c>
      <x:c r="U390" t="str">
        <x:f>IFERROR(IF(CaseLedger!$A390="","",CaseLedger!AA390),"")</x:f>
      </x:c>
      <x:c r="V390" t="str">
        <x:f>IFERROR(IF(CaseLedger!$A390="","",CaseLedger!AB390),"")</x:f>
      </x:c>
      <x:c r="W390" t="str">
        <x:f>IFERROR(IF(CaseLedger!$A390="","",CaseLedger!AC390),"")</x:f>
      </x:c>
      <x:c r="X390" t="str">
        <x:f>IFERROR(IF(CaseLedger!$A390="","",CaseLedger!AD390),"")</x:f>
      </x:c>
      <x:c r="Y390" t="str">
        <x:f>IFERROR(IF(CaseLedger!$A390="","",CaseLedger!AE390),"")</x:f>
      </x:c>
      <x:c r="Z390" t="str">
        <x:f>IFERROR(IF(CaseLedger!$A390="","",CaseLedger!AF390),"")</x:f>
      </x:c>
      <x:c r="AA390" t="str">
        <x:f>IFERROR(IF(CaseLedger!$A390="","",CaseLedger!AG390),"")</x:f>
      </x:c>
      <x:c r="AB390" t="str">
        <x:f>IFERROR(IF(CaseLedger!$A390="","",CaseLedger!AH390),"")</x:f>
      </x:c>
      <x:c r="AC390" t="str">
        <x:f>IFERROR(IF(CaseLedger!$A390="","",CaseLedger!AI390),"")</x:f>
      </x:c>
    </x:row>
    <x:row r="391">
      <x:c r="A391" t="str">
        <x:f>IF(CaseLedger!$A391="","",CaseLedger!A391)</x:f>
      </x:c>
      <x:c r="B391" t="str">
        <x:f>IF(CaseLedger!$A391="","",CaseLedger!I391)</x:f>
      </x:c>
      <x:c r="C391" t="str">
        <x:f>IF(CaseLedger!$A391="","",CaseLedger!J391)</x:f>
      </x:c>
      <x:c r="D391" t="str">
        <x:f>IF(CaseLedger!$A391="","",CaseLedger!K391)</x:f>
      </x:c>
      <x:c r="E391" t="str">
        <x:f>IF(CaseLedger!$A391="","",CaseLedger!L391)</x:f>
      </x:c>
      <x:c r="F391" t="str">
        <x:f>IF(CaseLedger!$A391="","",CaseLedger!P391)</x:f>
      </x:c>
      <x:c r="G391" t="str">
        <x:f>IF(CaseLedger!$A391="","",CaseLedger!F391)</x:f>
      </x:c>
      <x:c r="H391" t="str">
        <x:f>IF(CaseLedger!$A391="","",CaseLedger!Q391)</x:f>
      </x:c>
      <x:c r="I391" t="str">
        <x:f>IF(CaseLedger!$A391="","",CaseLedger!R391)</x:f>
      </x:c>
      <x:c r="J391" t="str">
        <x:f>IF(CaseLedger!$A391="","",CaseLedger!S391)</x:f>
      </x:c>
      <x:c r="K391" t="str">
        <x:f>IF(CaseLedger!$A391="","",CaseLedger!T391)</x:f>
      </x:c>
      <x:c r="L391" t="str">
        <x:f>IF(CaseLedger!$A391="","",CaseLedger!U391)</x:f>
      </x:c>
      <x:c r="M391" t="str">
        <x:f>IF(CaseLedger!$A391="","",CaseLedger!V391)</x:f>
      </x:c>
      <x:c r="N391" t="str">
        <x:f>IF(CaseLedger!$A391="","",CaseLedger!W391)</x:f>
      </x:c>
      <x:c r="O391" t="str">
        <x:f>IF(CaseLedger!$A391="","",CaseLedger!X391)</x:f>
      </x:c>
      <x:c r="P391" t="str">
        <x:f>IF(CaseLedger!$A391="","",CaseLedger!E391)</x:f>
      </x:c>
      <x:c r="Q391" t="str">
        <x:f>IF(CaseLedger!$A391="","",CaseLedger!C391)</x:f>
      </x:c>
      <x:c r="R391" t="str">
        <x:f>IF(CaseLedger!$A391="","",CaseLedger!D391)</x:f>
      </x:c>
      <x:c r="S391" t="str">
        <x:f>IFERROR(IF(CaseLedger!$A391="","",CaseLedger!Y391),"")</x:f>
      </x:c>
      <x:c r="T391" t="str">
        <x:f>IFERROR(IF(CaseLedger!$A391="","",CaseLedger!Z391),"")</x:f>
      </x:c>
      <x:c r="U391" t="str">
        <x:f>IFERROR(IF(CaseLedger!$A391="","",CaseLedger!AA391),"")</x:f>
      </x:c>
      <x:c r="V391" t="str">
        <x:f>IFERROR(IF(CaseLedger!$A391="","",CaseLedger!AB391),"")</x:f>
      </x:c>
      <x:c r="W391" t="str">
        <x:f>IFERROR(IF(CaseLedger!$A391="","",CaseLedger!AC391),"")</x:f>
      </x:c>
      <x:c r="X391" t="str">
        <x:f>IFERROR(IF(CaseLedger!$A391="","",CaseLedger!AD391),"")</x:f>
      </x:c>
      <x:c r="Y391" t="str">
        <x:f>IFERROR(IF(CaseLedger!$A391="","",CaseLedger!AE391),"")</x:f>
      </x:c>
      <x:c r="Z391" t="str">
        <x:f>IFERROR(IF(CaseLedger!$A391="","",CaseLedger!AF391),"")</x:f>
      </x:c>
      <x:c r="AA391" t="str">
        <x:f>IFERROR(IF(CaseLedger!$A391="","",CaseLedger!AG391),"")</x:f>
      </x:c>
      <x:c r="AB391" t="str">
        <x:f>IFERROR(IF(CaseLedger!$A391="","",CaseLedger!AH391),"")</x:f>
      </x:c>
      <x:c r="AC391" t="str">
        <x:f>IFERROR(IF(CaseLedger!$A391="","",CaseLedger!AI391),"")</x:f>
      </x:c>
    </x:row>
    <x:row r="392">
      <x:c r="A392" t="str">
        <x:f>IF(CaseLedger!$A392="","",CaseLedger!A392)</x:f>
      </x:c>
      <x:c r="B392" t="str">
        <x:f>IF(CaseLedger!$A392="","",CaseLedger!I392)</x:f>
      </x:c>
      <x:c r="C392" t="str">
        <x:f>IF(CaseLedger!$A392="","",CaseLedger!J392)</x:f>
      </x:c>
      <x:c r="D392" t="str">
        <x:f>IF(CaseLedger!$A392="","",CaseLedger!K392)</x:f>
      </x:c>
      <x:c r="E392" t="str">
        <x:f>IF(CaseLedger!$A392="","",CaseLedger!L392)</x:f>
      </x:c>
      <x:c r="F392" t="str">
        <x:f>IF(CaseLedger!$A392="","",CaseLedger!P392)</x:f>
      </x:c>
      <x:c r="G392" t="str">
        <x:f>IF(CaseLedger!$A392="","",CaseLedger!F392)</x:f>
      </x:c>
      <x:c r="H392" t="str">
        <x:f>IF(CaseLedger!$A392="","",CaseLedger!Q392)</x:f>
      </x:c>
      <x:c r="I392" t="str">
        <x:f>IF(CaseLedger!$A392="","",CaseLedger!R392)</x:f>
      </x:c>
      <x:c r="J392" t="str">
        <x:f>IF(CaseLedger!$A392="","",CaseLedger!S392)</x:f>
      </x:c>
      <x:c r="K392" t="str">
        <x:f>IF(CaseLedger!$A392="","",CaseLedger!T392)</x:f>
      </x:c>
      <x:c r="L392" t="str">
        <x:f>IF(CaseLedger!$A392="","",CaseLedger!U392)</x:f>
      </x:c>
      <x:c r="M392" t="str">
        <x:f>IF(CaseLedger!$A392="","",CaseLedger!V392)</x:f>
      </x:c>
      <x:c r="N392" t="str">
        <x:f>IF(CaseLedger!$A392="","",CaseLedger!W392)</x:f>
      </x:c>
      <x:c r="O392" t="str">
        <x:f>IF(CaseLedger!$A392="","",CaseLedger!X392)</x:f>
      </x:c>
      <x:c r="P392" t="str">
        <x:f>IF(CaseLedger!$A392="","",CaseLedger!E392)</x:f>
      </x:c>
      <x:c r="Q392" t="str">
        <x:f>IF(CaseLedger!$A392="","",CaseLedger!C392)</x:f>
      </x:c>
      <x:c r="R392" t="str">
        <x:f>IF(CaseLedger!$A392="","",CaseLedger!D392)</x:f>
      </x:c>
      <x:c r="S392" t="str">
        <x:f>IFERROR(IF(CaseLedger!$A392="","",CaseLedger!Y392),"")</x:f>
      </x:c>
      <x:c r="T392" t="str">
        <x:f>IFERROR(IF(CaseLedger!$A392="","",CaseLedger!Z392),"")</x:f>
      </x:c>
      <x:c r="U392" t="str">
        <x:f>IFERROR(IF(CaseLedger!$A392="","",CaseLedger!AA392),"")</x:f>
      </x:c>
      <x:c r="V392" t="str">
        <x:f>IFERROR(IF(CaseLedger!$A392="","",CaseLedger!AB392),"")</x:f>
      </x:c>
      <x:c r="W392" t="str">
        <x:f>IFERROR(IF(CaseLedger!$A392="","",CaseLedger!AC392),"")</x:f>
      </x:c>
      <x:c r="X392" t="str">
        <x:f>IFERROR(IF(CaseLedger!$A392="","",CaseLedger!AD392),"")</x:f>
      </x:c>
      <x:c r="Y392" t="str">
        <x:f>IFERROR(IF(CaseLedger!$A392="","",CaseLedger!AE392),"")</x:f>
      </x:c>
      <x:c r="Z392" t="str">
        <x:f>IFERROR(IF(CaseLedger!$A392="","",CaseLedger!AF392),"")</x:f>
      </x:c>
      <x:c r="AA392" t="str">
        <x:f>IFERROR(IF(CaseLedger!$A392="","",CaseLedger!AG392),"")</x:f>
      </x:c>
      <x:c r="AB392" t="str">
        <x:f>IFERROR(IF(CaseLedger!$A392="","",CaseLedger!AH392),"")</x:f>
      </x:c>
      <x:c r="AC392" t="str">
        <x:f>IFERROR(IF(CaseLedger!$A392="","",CaseLedger!AI392),"")</x:f>
      </x:c>
    </x:row>
    <x:row r="393">
      <x:c r="A393" t="str">
        <x:f>IF(CaseLedger!$A393="","",CaseLedger!A393)</x:f>
      </x:c>
      <x:c r="B393" t="str">
        <x:f>IF(CaseLedger!$A393="","",CaseLedger!I393)</x:f>
      </x:c>
      <x:c r="C393" t="str">
        <x:f>IF(CaseLedger!$A393="","",CaseLedger!J393)</x:f>
      </x:c>
      <x:c r="D393" t="str">
        <x:f>IF(CaseLedger!$A393="","",CaseLedger!K393)</x:f>
      </x:c>
      <x:c r="E393" t="str">
        <x:f>IF(CaseLedger!$A393="","",CaseLedger!L393)</x:f>
      </x:c>
      <x:c r="F393" t="str">
        <x:f>IF(CaseLedger!$A393="","",CaseLedger!P393)</x:f>
      </x:c>
      <x:c r="G393" t="str">
        <x:f>IF(CaseLedger!$A393="","",CaseLedger!F393)</x:f>
      </x:c>
      <x:c r="H393" t="str">
        <x:f>IF(CaseLedger!$A393="","",CaseLedger!Q393)</x:f>
      </x:c>
      <x:c r="I393" t="str">
        <x:f>IF(CaseLedger!$A393="","",CaseLedger!R393)</x:f>
      </x:c>
      <x:c r="J393" t="str">
        <x:f>IF(CaseLedger!$A393="","",CaseLedger!S393)</x:f>
      </x:c>
      <x:c r="K393" t="str">
        <x:f>IF(CaseLedger!$A393="","",CaseLedger!T393)</x:f>
      </x:c>
      <x:c r="L393" t="str">
        <x:f>IF(CaseLedger!$A393="","",CaseLedger!U393)</x:f>
      </x:c>
      <x:c r="M393" t="str">
        <x:f>IF(CaseLedger!$A393="","",CaseLedger!V393)</x:f>
      </x:c>
      <x:c r="N393" t="str">
        <x:f>IF(CaseLedger!$A393="","",CaseLedger!W393)</x:f>
      </x:c>
      <x:c r="O393" t="str">
        <x:f>IF(CaseLedger!$A393="","",CaseLedger!X393)</x:f>
      </x:c>
      <x:c r="P393" t="str">
        <x:f>IF(CaseLedger!$A393="","",CaseLedger!E393)</x:f>
      </x:c>
      <x:c r="Q393" t="str">
        <x:f>IF(CaseLedger!$A393="","",CaseLedger!C393)</x:f>
      </x:c>
      <x:c r="R393" t="str">
        <x:f>IF(CaseLedger!$A393="","",CaseLedger!D393)</x:f>
      </x:c>
      <x:c r="S393" t="str">
        <x:f>IFERROR(IF(CaseLedger!$A393="","",CaseLedger!Y393),"")</x:f>
      </x:c>
      <x:c r="T393" t="str">
        <x:f>IFERROR(IF(CaseLedger!$A393="","",CaseLedger!Z393),"")</x:f>
      </x:c>
      <x:c r="U393" t="str">
        <x:f>IFERROR(IF(CaseLedger!$A393="","",CaseLedger!AA393),"")</x:f>
      </x:c>
      <x:c r="V393" t="str">
        <x:f>IFERROR(IF(CaseLedger!$A393="","",CaseLedger!AB393),"")</x:f>
      </x:c>
      <x:c r="W393" t="str">
        <x:f>IFERROR(IF(CaseLedger!$A393="","",CaseLedger!AC393),"")</x:f>
      </x:c>
      <x:c r="X393" t="str">
        <x:f>IFERROR(IF(CaseLedger!$A393="","",CaseLedger!AD393),"")</x:f>
      </x:c>
      <x:c r="Y393" t="str">
        <x:f>IFERROR(IF(CaseLedger!$A393="","",CaseLedger!AE393),"")</x:f>
      </x:c>
      <x:c r="Z393" t="str">
        <x:f>IFERROR(IF(CaseLedger!$A393="","",CaseLedger!AF393),"")</x:f>
      </x:c>
      <x:c r="AA393" t="str">
        <x:f>IFERROR(IF(CaseLedger!$A393="","",CaseLedger!AG393),"")</x:f>
      </x:c>
      <x:c r="AB393" t="str">
        <x:f>IFERROR(IF(CaseLedger!$A393="","",CaseLedger!AH393),"")</x:f>
      </x:c>
      <x:c r="AC393" t="str">
        <x:f>IFERROR(IF(CaseLedger!$A393="","",CaseLedger!AI393),"")</x:f>
      </x:c>
    </x:row>
    <x:row r="394">
      <x:c r="A394" t="str">
        <x:f>IF(CaseLedger!$A394="","",CaseLedger!A394)</x:f>
      </x:c>
      <x:c r="B394" t="str">
        <x:f>IF(CaseLedger!$A394="","",CaseLedger!I394)</x:f>
      </x:c>
      <x:c r="C394" t="str">
        <x:f>IF(CaseLedger!$A394="","",CaseLedger!J394)</x:f>
      </x:c>
      <x:c r="D394" t="str">
        <x:f>IF(CaseLedger!$A394="","",CaseLedger!K394)</x:f>
      </x:c>
      <x:c r="E394" t="str">
        <x:f>IF(CaseLedger!$A394="","",CaseLedger!L394)</x:f>
      </x:c>
      <x:c r="F394" t="str">
        <x:f>IF(CaseLedger!$A394="","",CaseLedger!P394)</x:f>
      </x:c>
      <x:c r="G394" t="str">
        <x:f>IF(CaseLedger!$A394="","",CaseLedger!F394)</x:f>
      </x:c>
      <x:c r="H394" t="str">
        <x:f>IF(CaseLedger!$A394="","",CaseLedger!Q394)</x:f>
      </x:c>
      <x:c r="I394" t="str">
        <x:f>IF(CaseLedger!$A394="","",CaseLedger!R394)</x:f>
      </x:c>
      <x:c r="J394" t="str">
        <x:f>IF(CaseLedger!$A394="","",CaseLedger!S394)</x:f>
      </x:c>
      <x:c r="K394" t="str">
        <x:f>IF(CaseLedger!$A394="","",CaseLedger!T394)</x:f>
      </x:c>
      <x:c r="L394" t="str">
        <x:f>IF(CaseLedger!$A394="","",CaseLedger!U394)</x:f>
      </x:c>
      <x:c r="M394" t="str">
        <x:f>IF(CaseLedger!$A394="","",CaseLedger!V394)</x:f>
      </x:c>
      <x:c r="N394" t="str">
        <x:f>IF(CaseLedger!$A394="","",CaseLedger!W394)</x:f>
      </x:c>
      <x:c r="O394" t="str">
        <x:f>IF(CaseLedger!$A394="","",CaseLedger!X394)</x:f>
      </x:c>
      <x:c r="P394" t="str">
        <x:f>IF(CaseLedger!$A394="","",CaseLedger!E394)</x:f>
      </x:c>
      <x:c r="Q394" t="str">
        <x:f>IF(CaseLedger!$A394="","",CaseLedger!C394)</x:f>
      </x:c>
      <x:c r="R394" t="str">
        <x:f>IF(CaseLedger!$A394="","",CaseLedger!D394)</x:f>
      </x:c>
      <x:c r="S394" t="str">
        <x:f>IFERROR(IF(CaseLedger!$A394="","",CaseLedger!Y394),"")</x:f>
      </x:c>
      <x:c r="T394" t="str">
        <x:f>IFERROR(IF(CaseLedger!$A394="","",CaseLedger!Z394),"")</x:f>
      </x:c>
      <x:c r="U394" t="str">
        <x:f>IFERROR(IF(CaseLedger!$A394="","",CaseLedger!AA394),"")</x:f>
      </x:c>
      <x:c r="V394" t="str">
        <x:f>IFERROR(IF(CaseLedger!$A394="","",CaseLedger!AB394),"")</x:f>
      </x:c>
      <x:c r="W394" t="str">
        <x:f>IFERROR(IF(CaseLedger!$A394="","",CaseLedger!AC394),"")</x:f>
      </x:c>
      <x:c r="X394" t="str">
        <x:f>IFERROR(IF(CaseLedger!$A394="","",CaseLedger!AD394),"")</x:f>
      </x:c>
      <x:c r="Y394" t="str">
        <x:f>IFERROR(IF(CaseLedger!$A394="","",CaseLedger!AE394),"")</x:f>
      </x:c>
      <x:c r="Z394" t="str">
        <x:f>IFERROR(IF(CaseLedger!$A394="","",CaseLedger!AF394),"")</x:f>
      </x:c>
      <x:c r="AA394" t="str">
        <x:f>IFERROR(IF(CaseLedger!$A394="","",CaseLedger!AG394),"")</x:f>
      </x:c>
      <x:c r="AB394" t="str">
        <x:f>IFERROR(IF(CaseLedger!$A394="","",CaseLedger!AH394),"")</x:f>
      </x:c>
      <x:c r="AC394" t="str">
        <x:f>IFERROR(IF(CaseLedger!$A394="","",CaseLedger!AI394),"")</x:f>
      </x:c>
    </x:row>
    <x:row r="395">
      <x:c r="A395" t="str">
        <x:f>IF(CaseLedger!$A395="","",CaseLedger!A395)</x:f>
      </x:c>
      <x:c r="B395" t="str">
        <x:f>IF(CaseLedger!$A395="","",CaseLedger!I395)</x:f>
      </x:c>
      <x:c r="C395" t="str">
        <x:f>IF(CaseLedger!$A395="","",CaseLedger!J395)</x:f>
      </x:c>
      <x:c r="D395" t="str">
        <x:f>IF(CaseLedger!$A395="","",CaseLedger!K395)</x:f>
      </x:c>
      <x:c r="E395" t="str">
        <x:f>IF(CaseLedger!$A395="","",CaseLedger!L395)</x:f>
      </x:c>
      <x:c r="F395" t="str">
        <x:f>IF(CaseLedger!$A395="","",CaseLedger!P395)</x:f>
      </x:c>
      <x:c r="G395" t="str">
        <x:f>IF(CaseLedger!$A395="","",CaseLedger!F395)</x:f>
      </x:c>
      <x:c r="H395" t="str">
        <x:f>IF(CaseLedger!$A395="","",CaseLedger!Q395)</x:f>
      </x:c>
      <x:c r="I395" t="str">
        <x:f>IF(CaseLedger!$A395="","",CaseLedger!R395)</x:f>
      </x:c>
      <x:c r="J395" t="str">
        <x:f>IF(CaseLedger!$A395="","",CaseLedger!S395)</x:f>
      </x:c>
      <x:c r="K395" t="str">
        <x:f>IF(CaseLedger!$A395="","",CaseLedger!T395)</x:f>
      </x:c>
      <x:c r="L395" t="str">
        <x:f>IF(CaseLedger!$A395="","",CaseLedger!U395)</x:f>
      </x:c>
      <x:c r="M395" t="str">
        <x:f>IF(CaseLedger!$A395="","",CaseLedger!V395)</x:f>
      </x:c>
      <x:c r="N395" t="str">
        <x:f>IF(CaseLedger!$A395="","",CaseLedger!W395)</x:f>
      </x:c>
      <x:c r="O395" t="str">
        <x:f>IF(CaseLedger!$A395="","",CaseLedger!X395)</x:f>
      </x:c>
      <x:c r="P395" t="str">
        <x:f>IF(CaseLedger!$A395="","",CaseLedger!E395)</x:f>
      </x:c>
      <x:c r="Q395" t="str">
        <x:f>IF(CaseLedger!$A395="","",CaseLedger!C395)</x:f>
      </x:c>
      <x:c r="R395" t="str">
        <x:f>IF(CaseLedger!$A395="","",CaseLedger!D395)</x:f>
      </x:c>
      <x:c r="S395" t="str">
        <x:f>IFERROR(IF(CaseLedger!$A395="","",CaseLedger!Y395),"")</x:f>
      </x:c>
      <x:c r="T395" t="str">
        <x:f>IFERROR(IF(CaseLedger!$A395="","",CaseLedger!Z395),"")</x:f>
      </x:c>
      <x:c r="U395" t="str">
        <x:f>IFERROR(IF(CaseLedger!$A395="","",CaseLedger!AA395),"")</x:f>
      </x:c>
      <x:c r="V395" t="str">
        <x:f>IFERROR(IF(CaseLedger!$A395="","",CaseLedger!AB395),"")</x:f>
      </x:c>
      <x:c r="W395" t="str">
        <x:f>IFERROR(IF(CaseLedger!$A395="","",CaseLedger!AC395),"")</x:f>
      </x:c>
      <x:c r="X395" t="str">
        <x:f>IFERROR(IF(CaseLedger!$A395="","",CaseLedger!AD395),"")</x:f>
      </x:c>
      <x:c r="Y395" t="str">
        <x:f>IFERROR(IF(CaseLedger!$A395="","",CaseLedger!AE395),"")</x:f>
      </x:c>
      <x:c r="Z395" t="str">
        <x:f>IFERROR(IF(CaseLedger!$A395="","",CaseLedger!AF395),"")</x:f>
      </x:c>
      <x:c r="AA395" t="str">
        <x:f>IFERROR(IF(CaseLedger!$A395="","",CaseLedger!AG395),"")</x:f>
      </x:c>
      <x:c r="AB395" t="str">
        <x:f>IFERROR(IF(CaseLedger!$A395="","",CaseLedger!AH395),"")</x:f>
      </x:c>
      <x:c r="AC395" t="str">
        <x:f>IFERROR(IF(CaseLedger!$A395="","",CaseLedger!AI395),"")</x:f>
      </x:c>
    </x:row>
    <x:row r="396">
      <x:c r="A396" t="str">
        <x:f>IF(CaseLedger!$A396="","",CaseLedger!A396)</x:f>
      </x:c>
      <x:c r="B396" t="str">
        <x:f>IF(CaseLedger!$A396="","",CaseLedger!I396)</x:f>
      </x:c>
      <x:c r="C396" t="str">
        <x:f>IF(CaseLedger!$A396="","",CaseLedger!J396)</x:f>
      </x:c>
      <x:c r="D396" t="str">
        <x:f>IF(CaseLedger!$A396="","",CaseLedger!K396)</x:f>
      </x:c>
      <x:c r="E396" t="str">
        <x:f>IF(CaseLedger!$A396="","",CaseLedger!L396)</x:f>
      </x:c>
      <x:c r="F396" t="str">
        <x:f>IF(CaseLedger!$A396="","",CaseLedger!P396)</x:f>
      </x:c>
      <x:c r="G396" t="str">
        <x:f>IF(CaseLedger!$A396="","",CaseLedger!F396)</x:f>
      </x:c>
      <x:c r="H396" t="str">
        <x:f>IF(CaseLedger!$A396="","",CaseLedger!Q396)</x:f>
      </x:c>
      <x:c r="I396" t="str">
        <x:f>IF(CaseLedger!$A396="","",CaseLedger!R396)</x:f>
      </x:c>
      <x:c r="J396" t="str">
        <x:f>IF(CaseLedger!$A396="","",CaseLedger!S396)</x:f>
      </x:c>
      <x:c r="K396" t="str">
        <x:f>IF(CaseLedger!$A396="","",CaseLedger!T396)</x:f>
      </x:c>
      <x:c r="L396" t="str">
        <x:f>IF(CaseLedger!$A396="","",CaseLedger!U396)</x:f>
      </x:c>
      <x:c r="M396" t="str">
        <x:f>IF(CaseLedger!$A396="","",CaseLedger!V396)</x:f>
      </x:c>
      <x:c r="N396" t="str">
        <x:f>IF(CaseLedger!$A396="","",CaseLedger!W396)</x:f>
      </x:c>
      <x:c r="O396" t="str">
        <x:f>IF(CaseLedger!$A396="","",CaseLedger!X396)</x:f>
      </x:c>
      <x:c r="P396" t="str">
        <x:f>IF(CaseLedger!$A396="","",CaseLedger!E396)</x:f>
      </x:c>
      <x:c r="Q396" t="str">
        <x:f>IF(CaseLedger!$A396="","",CaseLedger!C396)</x:f>
      </x:c>
      <x:c r="R396" t="str">
        <x:f>IF(CaseLedger!$A396="","",CaseLedger!D396)</x:f>
      </x:c>
      <x:c r="S396" t="str">
        <x:f>IFERROR(IF(CaseLedger!$A396="","",CaseLedger!Y396),"")</x:f>
      </x:c>
      <x:c r="T396" t="str">
        <x:f>IFERROR(IF(CaseLedger!$A396="","",CaseLedger!Z396),"")</x:f>
      </x:c>
      <x:c r="U396" t="str">
        <x:f>IFERROR(IF(CaseLedger!$A396="","",CaseLedger!AA396),"")</x:f>
      </x:c>
      <x:c r="V396" t="str">
        <x:f>IFERROR(IF(CaseLedger!$A396="","",CaseLedger!AB396),"")</x:f>
      </x:c>
      <x:c r="W396" t="str">
        <x:f>IFERROR(IF(CaseLedger!$A396="","",CaseLedger!AC396),"")</x:f>
      </x:c>
      <x:c r="X396" t="str">
        <x:f>IFERROR(IF(CaseLedger!$A396="","",CaseLedger!AD396),"")</x:f>
      </x:c>
      <x:c r="Y396" t="str">
        <x:f>IFERROR(IF(CaseLedger!$A396="","",CaseLedger!AE396),"")</x:f>
      </x:c>
      <x:c r="Z396" t="str">
        <x:f>IFERROR(IF(CaseLedger!$A396="","",CaseLedger!AF396),"")</x:f>
      </x:c>
      <x:c r="AA396" t="str">
        <x:f>IFERROR(IF(CaseLedger!$A396="","",CaseLedger!AG396),"")</x:f>
      </x:c>
      <x:c r="AB396" t="str">
        <x:f>IFERROR(IF(CaseLedger!$A396="","",CaseLedger!AH396),"")</x:f>
      </x:c>
      <x:c r="AC396" t="str">
        <x:f>IFERROR(IF(CaseLedger!$A396="","",CaseLedger!AI396),"")</x:f>
      </x:c>
    </x:row>
    <x:row r="397">
      <x:c r="A397" t="str">
        <x:f>IF(CaseLedger!$A397="","",CaseLedger!A397)</x:f>
      </x:c>
      <x:c r="B397" t="str">
        <x:f>IF(CaseLedger!$A397="","",CaseLedger!I397)</x:f>
      </x:c>
      <x:c r="C397" t="str">
        <x:f>IF(CaseLedger!$A397="","",CaseLedger!J397)</x:f>
      </x:c>
      <x:c r="D397" t="str">
        <x:f>IF(CaseLedger!$A397="","",CaseLedger!K397)</x:f>
      </x:c>
      <x:c r="E397" t="str">
        <x:f>IF(CaseLedger!$A397="","",CaseLedger!L397)</x:f>
      </x:c>
      <x:c r="F397" t="str">
        <x:f>IF(CaseLedger!$A397="","",CaseLedger!P397)</x:f>
      </x:c>
      <x:c r="G397" t="str">
        <x:f>IF(CaseLedger!$A397="","",CaseLedger!F397)</x:f>
      </x:c>
      <x:c r="H397" t="str">
        <x:f>IF(CaseLedger!$A397="","",CaseLedger!Q397)</x:f>
      </x:c>
      <x:c r="I397" t="str">
        <x:f>IF(CaseLedger!$A397="","",CaseLedger!R397)</x:f>
      </x:c>
      <x:c r="J397" t="str">
        <x:f>IF(CaseLedger!$A397="","",CaseLedger!S397)</x:f>
      </x:c>
      <x:c r="K397" t="str">
        <x:f>IF(CaseLedger!$A397="","",CaseLedger!T397)</x:f>
      </x:c>
      <x:c r="L397" t="str">
        <x:f>IF(CaseLedger!$A397="","",CaseLedger!U397)</x:f>
      </x:c>
      <x:c r="M397" t="str">
        <x:f>IF(CaseLedger!$A397="","",CaseLedger!V397)</x:f>
      </x:c>
      <x:c r="N397" t="str">
        <x:f>IF(CaseLedger!$A397="","",CaseLedger!W397)</x:f>
      </x:c>
      <x:c r="O397" t="str">
        <x:f>IF(CaseLedger!$A397="","",CaseLedger!X397)</x:f>
      </x:c>
      <x:c r="P397" t="str">
        <x:f>IF(CaseLedger!$A397="","",CaseLedger!E397)</x:f>
      </x:c>
      <x:c r="Q397" t="str">
        <x:f>IF(CaseLedger!$A397="","",CaseLedger!C397)</x:f>
      </x:c>
      <x:c r="R397" t="str">
        <x:f>IF(CaseLedger!$A397="","",CaseLedger!D397)</x:f>
      </x:c>
      <x:c r="S397" t="str">
        <x:f>IFERROR(IF(CaseLedger!$A397="","",CaseLedger!Y397),"")</x:f>
      </x:c>
      <x:c r="T397" t="str">
        <x:f>IFERROR(IF(CaseLedger!$A397="","",CaseLedger!Z397),"")</x:f>
      </x:c>
      <x:c r="U397" t="str">
        <x:f>IFERROR(IF(CaseLedger!$A397="","",CaseLedger!AA397),"")</x:f>
      </x:c>
      <x:c r="V397" t="str">
        <x:f>IFERROR(IF(CaseLedger!$A397="","",CaseLedger!AB397),"")</x:f>
      </x:c>
      <x:c r="W397" t="str">
        <x:f>IFERROR(IF(CaseLedger!$A397="","",CaseLedger!AC397),"")</x:f>
      </x:c>
      <x:c r="X397" t="str">
        <x:f>IFERROR(IF(CaseLedger!$A397="","",CaseLedger!AD397),"")</x:f>
      </x:c>
      <x:c r="Y397" t="str">
        <x:f>IFERROR(IF(CaseLedger!$A397="","",CaseLedger!AE397),"")</x:f>
      </x:c>
      <x:c r="Z397" t="str">
        <x:f>IFERROR(IF(CaseLedger!$A397="","",CaseLedger!AF397),"")</x:f>
      </x:c>
      <x:c r="AA397" t="str">
        <x:f>IFERROR(IF(CaseLedger!$A397="","",CaseLedger!AG397),"")</x:f>
      </x:c>
      <x:c r="AB397" t="str">
        <x:f>IFERROR(IF(CaseLedger!$A397="","",CaseLedger!AH397),"")</x:f>
      </x:c>
      <x:c r="AC397" t="str">
        <x:f>IFERROR(IF(CaseLedger!$A397="","",CaseLedger!AI397),"")</x:f>
      </x:c>
    </x:row>
    <x:row r="398">
      <x:c r="A398" t="str">
        <x:f>IF(CaseLedger!$A398="","",CaseLedger!A398)</x:f>
      </x:c>
      <x:c r="B398" t="str">
        <x:f>IF(CaseLedger!$A398="","",CaseLedger!I398)</x:f>
      </x:c>
      <x:c r="C398" t="str">
        <x:f>IF(CaseLedger!$A398="","",CaseLedger!J398)</x:f>
      </x:c>
      <x:c r="D398" t="str">
        <x:f>IF(CaseLedger!$A398="","",CaseLedger!K398)</x:f>
      </x:c>
      <x:c r="E398" t="str">
        <x:f>IF(CaseLedger!$A398="","",CaseLedger!L398)</x:f>
      </x:c>
      <x:c r="F398" t="str">
        <x:f>IF(CaseLedger!$A398="","",CaseLedger!P398)</x:f>
      </x:c>
      <x:c r="G398" t="str">
        <x:f>IF(CaseLedger!$A398="","",CaseLedger!F398)</x:f>
      </x:c>
      <x:c r="H398" t="str">
        <x:f>IF(CaseLedger!$A398="","",CaseLedger!Q398)</x:f>
      </x:c>
      <x:c r="I398" t="str">
        <x:f>IF(CaseLedger!$A398="","",CaseLedger!R398)</x:f>
      </x:c>
      <x:c r="J398" t="str">
        <x:f>IF(CaseLedger!$A398="","",CaseLedger!S398)</x:f>
      </x:c>
      <x:c r="K398" t="str">
        <x:f>IF(CaseLedger!$A398="","",CaseLedger!T398)</x:f>
      </x:c>
      <x:c r="L398" t="str">
        <x:f>IF(CaseLedger!$A398="","",CaseLedger!U398)</x:f>
      </x:c>
      <x:c r="M398" t="str">
        <x:f>IF(CaseLedger!$A398="","",CaseLedger!V398)</x:f>
      </x:c>
      <x:c r="N398" t="str">
        <x:f>IF(CaseLedger!$A398="","",CaseLedger!W398)</x:f>
      </x:c>
      <x:c r="O398" t="str">
        <x:f>IF(CaseLedger!$A398="","",CaseLedger!X398)</x:f>
      </x:c>
      <x:c r="P398" t="str">
        <x:f>IF(CaseLedger!$A398="","",CaseLedger!E398)</x:f>
      </x:c>
      <x:c r="Q398" t="str">
        <x:f>IF(CaseLedger!$A398="","",CaseLedger!C398)</x:f>
      </x:c>
      <x:c r="R398" t="str">
        <x:f>IF(CaseLedger!$A398="","",CaseLedger!D398)</x:f>
      </x:c>
      <x:c r="S398" t="str">
        <x:f>IFERROR(IF(CaseLedger!$A398="","",CaseLedger!Y398),"")</x:f>
      </x:c>
      <x:c r="T398" t="str">
        <x:f>IFERROR(IF(CaseLedger!$A398="","",CaseLedger!Z398),"")</x:f>
      </x:c>
      <x:c r="U398" t="str">
        <x:f>IFERROR(IF(CaseLedger!$A398="","",CaseLedger!AA398),"")</x:f>
      </x:c>
      <x:c r="V398" t="str">
        <x:f>IFERROR(IF(CaseLedger!$A398="","",CaseLedger!AB398),"")</x:f>
      </x:c>
      <x:c r="W398" t="str">
        <x:f>IFERROR(IF(CaseLedger!$A398="","",CaseLedger!AC398),"")</x:f>
      </x:c>
      <x:c r="X398" t="str">
        <x:f>IFERROR(IF(CaseLedger!$A398="","",CaseLedger!AD398),"")</x:f>
      </x:c>
      <x:c r="Y398" t="str">
        <x:f>IFERROR(IF(CaseLedger!$A398="","",CaseLedger!AE398),"")</x:f>
      </x:c>
      <x:c r="Z398" t="str">
        <x:f>IFERROR(IF(CaseLedger!$A398="","",CaseLedger!AF398),"")</x:f>
      </x:c>
      <x:c r="AA398" t="str">
        <x:f>IFERROR(IF(CaseLedger!$A398="","",CaseLedger!AG398),"")</x:f>
      </x:c>
      <x:c r="AB398" t="str">
        <x:f>IFERROR(IF(CaseLedger!$A398="","",CaseLedger!AH398),"")</x:f>
      </x:c>
      <x:c r="AC398" t="str">
        <x:f>IFERROR(IF(CaseLedger!$A398="","",CaseLedger!AI398),"")</x:f>
      </x:c>
    </x:row>
    <x:row r="399">
      <x:c r="A399" t="str">
        <x:f>IF(CaseLedger!$A399="","",CaseLedger!A399)</x:f>
      </x:c>
      <x:c r="B399" t="str">
        <x:f>IF(CaseLedger!$A399="","",CaseLedger!I399)</x:f>
      </x:c>
      <x:c r="C399" t="str">
        <x:f>IF(CaseLedger!$A399="","",CaseLedger!J399)</x:f>
      </x:c>
      <x:c r="D399" t="str">
        <x:f>IF(CaseLedger!$A399="","",CaseLedger!K399)</x:f>
      </x:c>
      <x:c r="E399" t="str">
        <x:f>IF(CaseLedger!$A399="","",CaseLedger!L399)</x:f>
      </x:c>
      <x:c r="F399" t="str">
        <x:f>IF(CaseLedger!$A399="","",CaseLedger!P399)</x:f>
      </x:c>
      <x:c r="G399" t="str">
        <x:f>IF(CaseLedger!$A399="","",CaseLedger!F399)</x:f>
      </x:c>
      <x:c r="H399" t="str">
        <x:f>IF(CaseLedger!$A399="","",CaseLedger!Q399)</x:f>
      </x:c>
      <x:c r="I399" t="str">
        <x:f>IF(CaseLedger!$A399="","",CaseLedger!R399)</x:f>
      </x:c>
      <x:c r="J399" t="str">
        <x:f>IF(CaseLedger!$A399="","",CaseLedger!S399)</x:f>
      </x:c>
      <x:c r="K399" t="str">
        <x:f>IF(CaseLedger!$A399="","",CaseLedger!T399)</x:f>
      </x:c>
      <x:c r="L399" t="str">
        <x:f>IF(CaseLedger!$A399="","",CaseLedger!U399)</x:f>
      </x:c>
      <x:c r="M399" t="str">
        <x:f>IF(CaseLedger!$A399="","",CaseLedger!V399)</x:f>
      </x:c>
      <x:c r="N399" t="str">
        <x:f>IF(CaseLedger!$A399="","",CaseLedger!W399)</x:f>
      </x:c>
      <x:c r="O399" t="str">
        <x:f>IF(CaseLedger!$A399="","",CaseLedger!X399)</x:f>
      </x:c>
      <x:c r="P399" t="str">
        <x:f>IF(CaseLedger!$A399="","",CaseLedger!E399)</x:f>
      </x:c>
      <x:c r="Q399" t="str">
        <x:f>IF(CaseLedger!$A399="","",CaseLedger!C399)</x:f>
      </x:c>
      <x:c r="R399" t="str">
        <x:f>IF(CaseLedger!$A399="","",CaseLedger!D399)</x:f>
      </x:c>
      <x:c r="S399" t="str">
        <x:f>IFERROR(IF(CaseLedger!$A399="","",CaseLedger!Y399),"")</x:f>
      </x:c>
      <x:c r="T399" t="str">
        <x:f>IFERROR(IF(CaseLedger!$A399="","",CaseLedger!Z399),"")</x:f>
      </x:c>
      <x:c r="U399" t="str">
        <x:f>IFERROR(IF(CaseLedger!$A399="","",CaseLedger!AA399),"")</x:f>
      </x:c>
      <x:c r="V399" t="str">
        <x:f>IFERROR(IF(CaseLedger!$A399="","",CaseLedger!AB399),"")</x:f>
      </x:c>
      <x:c r="W399" t="str">
        <x:f>IFERROR(IF(CaseLedger!$A399="","",CaseLedger!AC399),"")</x:f>
      </x:c>
      <x:c r="X399" t="str">
        <x:f>IFERROR(IF(CaseLedger!$A399="","",CaseLedger!AD399),"")</x:f>
      </x:c>
      <x:c r="Y399" t="str">
        <x:f>IFERROR(IF(CaseLedger!$A399="","",CaseLedger!AE399),"")</x:f>
      </x:c>
      <x:c r="Z399" t="str">
        <x:f>IFERROR(IF(CaseLedger!$A399="","",CaseLedger!AF399),"")</x:f>
      </x:c>
      <x:c r="AA399" t="str">
        <x:f>IFERROR(IF(CaseLedger!$A399="","",CaseLedger!AG399),"")</x:f>
      </x:c>
      <x:c r="AB399" t="str">
        <x:f>IFERROR(IF(CaseLedger!$A399="","",CaseLedger!AH399),"")</x:f>
      </x:c>
      <x:c r="AC399" t="str">
        <x:f>IFERROR(IF(CaseLedger!$A399="","",CaseLedger!AI399),"")</x:f>
      </x:c>
    </x:row>
    <x:row r="400">
      <x:c r="A400" t="str">
        <x:f>IF(CaseLedger!$A400="","",CaseLedger!A400)</x:f>
      </x:c>
      <x:c r="B400" t="str">
        <x:f>IF(CaseLedger!$A400="","",CaseLedger!I400)</x:f>
      </x:c>
      <x:c r="C400" t="str">
        <x:f>IF(CaseLedger!$A400="","",CaseLedger!J400)</x:f>
      </x:c>
      <x:c r="D400" t="str">
        <x:f>IF(CaseLedger!$A400="","",CaseLedger!K400)</x:f>
      </x:c>
      <x:c r="E400" t="str">
        <x:f>IF(CaseLedger!$A400="","",CaseLedger!L400)</x:f>
      </x:c>
      <x:c r="F400" t="str">
        <x:f>IF(CaseLedger!$A400="","",CaseLedger!P400)</x:f>
      </x:c>
      <x:c r="G400" t="str">
        <x:f>IF(CaseLedger!$A400="","",CaseLedger!F400)</x:f>
      </x:c>
      <x:c r="H400" t="str">
        <x:f>IF(CaseLedger!$A400="","",CaseLedger!Q400)</x:f>
      </x:c>
      <x:c r="I400" t="str">
        <x:f>IF(CaseLedger!$A400="","",CaseLedger!R400)</x:f>
      </x:c>
      <x:c r="J400" t="str">
        <x:f>IF(CaseLedger!$A400="","",CaseLedger!S400)</x:f>
      </x:c>
      <x:c r="K400" t="str">
        <x:f>IF(CaseLedger!$A400="","",CaseLedger!T400)</x:f>
      </x:c>
      <x:c r="L400" t="str">
        <x:f>IF(CaseLedger!$A400="","",CaseLedger!U400)</x:f>
      </x:c>
      <x:c r="M400" t="str">
        <x:f>IF(CaseLedger!$A400="","",CaseLedger!V400)</x:f>
      </x:c>
      <x:c r="N400" t="str">
        <x:f>IF(CaseLedger!$A400="","",CaseLedger!W400)</x:f>
      </x:c>
      <x:c r="O400" t="str">
        <x:f>IF(CaseLedger!$A400="","",CaseLedger!X400)</x:f>
      </x:c>
      <x:c r="P400" t="str">
        <x:f>IF(CaseLedger!$A400="","",CaseLedger!E400)</x:f>
      </x:c>
      <x:c r="Q400" t="str">
        <x:f>IF(CaseLedger!$A400="","",CaseLedger!C400)</x:f>
      </x:c>
      <x:c r="R400" t="str">
        <x:f>IF(CaseLedger!$A400="","",CaseLedger!D400)</x:f>
      </x:c>
      <x:c r="S400" t="str">
        <x:f>IFERROR(IF(CaseLedger!$A400="","",CaseLedger!Y400),"")</x:f>
      </x:c>
      <x:c r="T400" t="str">
        <x:f>IFERROR(IF(CaseLedger!$A400="","",CaseLedger!Z400),"")</x:f>
      </x:c>
      <x:c r="U400" t="str">
        <x:f>IFERROR(IF(CaseLedger!$A400="","",CaseLedger!AA400),"")</x:f>
      </x:c>
      <x:c r="V400" t="str">
        <x:f>IFERROR(IF(CaseLedger!$A400="","",CaseLedger!AB400),"")</x:f>
      </x:c>
      <x:c r="W400" t="str">
        <x:f>IFERROR(IF(CaseLedger!$A400="","",CaseLedger!AC400),"")</x:f>
      </x:c>
      <x:c r="X400" t="str">
        <x:f>IFERROR(IF(CaseLedger!$A400="","",CaseLedger!AD400),"")</x:f>
      </x:c>
      <x:c r="Y400" t="str">
        <x:f>IFERROR(IF(CaseLedger!$A400="","",CaseLedger!AE400),"")</x:f>
      </x:c>
      <x:c r="Z400" t="str">
        <x:f>IFERROR(IF(CaseLedger!$A400="","",CaseLedger!AF400),"")</x:f>
      </x:c>
      <x:c r="AA400" t="str">
        <x:f>IFERROR(IF(CaseLedger!$A400="","",CaseLedger!AG400),"")</x:f>
      </x:c>
      <x:c r="AB400" t="str">
        <x:f>IFERROR(IF(CaseLedger!$A400="","",CaseLedger!AH400),"")</x:f>
      </x:c>
      <x:c r="AC400" t="str">
        <x:f>IFERROR(IF(CaseLedger!$A400="","",CaseLedger!AI400),"")</x:f>
      </x:c>
    </x:row>
    <x:row r="401">
      <x:c r="A401" t="str">
        <x:f>IF(CaseLedger!$A401="","",CaseLedger!A401)</x:f>
      </x:c>
      <x:c r="B401" t="str">
        <x:f>IF(CaseLedger!$A401="","",CaseLedger!I401)</x:f>
      </x:c>
      <x:c r="C401" t="str">
        <x:f>IF(CaseLedger!$A401="","",CaseLedger!J401)</x:f>
      </x:c>
      <x:c r="D401" t="str">
        <x:f>IF(CaseLedger!$A401="","",CaseLedger!K401)</x:f>
      </x:c>
      <x:c r="E401" t="str">
        <x:f>IF(CaseLedger!$A401="","",CaseLedger!L401)</x:f>
      </x:c>
      <x:c r="F401" t="str">
        <x:f>IF(CaseLedger!$A401="","",CaseLedger!P401)</x:f>
      </x:c>
      <x:c r="G401" t="str">
        <x:f>IF(CaseLedger!$A401="","",CaseLedger!F401)</x:f>
      </x:c>
      <x:c r="H401" t="str">
        <x:f>IF(CaseLedger!$A401="","",CaseLedger!Q401)</x:f>
      </x:c>
      <x:c r="I401" t="str">
        <x:f>IF(CaseLedger!$A401="","",CaseLedger!R401)</x:f>
      </x:c>
      <x:c r="J401" t="str">
        <x:f>IF(CaseLedger!$A401="","",CaseLedger!S401)</x:f>
      </x:c>
      <x:c r="K401" t="str">
        <x:f>IF(CaseLedger!$A401="","",CaseLedger!T401)</x:f>
      </x:c>
      <x:c r="L401" t="str">
        <x:f>IF(CaseLedger!$A401="","",CaseLedger!U401)</x:f>
      </x:c>
      <x:c r="M401" t="str">
        <x:f>IF(CaseLedger!$A401="","",CaseLedger!V401)</x:f>
      </x:c>
      <x:c r="N401" t="str">
        <x:f>IF(CaseLedger!$A401="","",CaseLedger!W401)</x:f>
      </x:c>
      <x:c r="O401" t="str">
        <x:f>IF(CaseLedger!$A401="","",CaseLedger!X401)</x:f>
      </x:c>
      <x:c r="P401" t="str">
        <x:f>IF(CaseLedger!$A401="","",CaseLedger!E401)</x:f>
      </x:c>
      <x:c r="Q401" t="str">
        <x:f>IF(CaseLedger!$A401="","",CaseLedger!C401)</x:f>
      </x:c>
      <x:c r="R401" t="str">
        <x:f>IF(CaseLedger!$A401="","",CaseLedger!D401)</x:f>
      </x:c>
      <x:c r="S401" t="str">
        <x:f>IFERROR(IF(CaseLedger!$A401="","",CaseLedger!Y401),"")</x:f>
      </x:c>
      <x:c r="T401" t="str">
        <x:f>IFERROR(IF(CaseLedger!$A401="","",CaseLedger!Z401),"")</x:f>
      </x:c>
      <x:c r="U401" t="str">
        <x:f>IFERROR(IF(CaseLedger!$A401="","",CaseLedger!AA401),"")</x:f>
      </x:c>
      <x:c r="V401" t="str">
        <x:f>IFERROR(IF(CaseLedger!$A401="","",CaseLedger!AB401),"")</x:f>
      </x:c>
      <x:c r="W401" t="str">
        <x:f>IFERROR(IF(CaseLedger!$A401="","",CaseLedger!AC401),"")</x:f>
      </x:c>
      <x:c r="X401" t="str">
        <x:f>IFERROR(IF(CaseLedger!$A401="","",CaseLedger!AD401),"")</x:f>
      </x:c>
      <x:c r="Y401" t="str">
        <x:f>IFERROR(IF(CaseLedger!$A401="","",CaseLedger!AE401),"")</x:f>
      </x:c>
      <x:c r="Z401" t="str">
        <x:f>IFERROR(IF(CaseLedger!$A401="","",CaseLedger!AF401),"")</x:f>
      </x:c>
      <x:c r="AA401" t="str">
        <x:f>IFERROR(IF(CaseLedger!$A401="","",CaseLedger!AG401),"")</x:f>
      </x:c>
      <x:c r="AB401" t="str">
        <x:f>IFERROR(IF(CaseLedger!$A401="","",CaseLedger!AH401),"")</x:f>
      </x:c>
      <x:c r="AC401" t="str">
        <x:f>IFERROR(IF(CaseLedger!$A401="","",CaseLedger!AI401),"")</x:f>
      </x:c>
    </x:row>
    <x:row r="402">
      <x:c r="A402" t="str">
        <x:f>IF(CaseLedger!$A402="","",CaseLedger!A402)</x:f>
      </x:c>
      <x:c r="B402" t="str">
        <x:f>IF(CaseLedger!$A402="","",CaseLedger!I402)</x:f>
      </x:c>
      <x:c r="C402" t="str">
        <x:f>IF(CaseLedger!$A402="","",CaseLedger!J402)</x:f>
      </x:c>
      <x:c r="D402" t="str">
        <x:f>IF(CaseLedger!$A402="","",CaseLedger!K402)</x:f>
      </x:c>
      <x:c r="E402" t="str">
        <x:f>IF(CaseLedger!$A402="","",CaseLedger!L402)</x:f>
      </x:c>
      <x:c r="F402" t="str">
        <x:f>IF(CaseLedger!$A402="","",CaseLedger!P402)</x:f>
      </x:c>
      <x:c r="G402" t="str">
        <x:f>IF(CaseLedger!$A402="","",CaseLedger!F402)</x:f>
      </x:c>
      <x:c r="H402" t="str">
        <x:f>IF(CaseLedger!$A402="","",CaseLedger!Q402)</x:f>
      </x:c>
      <x:c r="I402" t="str">
        <x:f>IF(CaseLedger!$A402="","",CaseLedger!R402)</x:f>
      </x:c>
      <x:c r="J402" t="str">
        <x:f>IF(CaseLedger!$A402="","",CaseLedger!S402)</x:f>
      </x:c>
      <x:c r="K402" t="str">
        <x:f>IF(CaseLedger!$A402="","",CaseLedger!T402)</x:f>
      </x:c>
      <x:c r="L402" t="str">
        <x:f>IF(CaseLedger!$A402="","",CaseLedger!U402)</x:f>
      </x:c>
      <x:c r="M402" t="str">
        <x:f>IF(CaseLedger!$A402="","",CaseLedger!V402)</x:f>
      </x:c>
      <x:c r="N402" t="str">
        <x:f>IF(CaseLedger!$A402="","",CaseLedger!W402)</x:f>
      </x:c>
      <x:c r="O402" t="str">
        <x:f>IF(CaseLedger!$A402="","",CaseLedger!X402)</x:f>
      </x:c>
      <x:c r="P402" t="str">
        <x:f>IF(CaseLedger!$A402="","",CaseLedger!E402)</x:f>
      </x:c>
      <x:c r="Q402" t="str">
        <x:f>IF(CaseLedger!$A402="","",CaseLedger!C402)</x:f>
      </x:c>
      <x:c r="R402" t="str">
        <x:f>IF(CaseLedger!$A402="","",CaseLedger!D402)</x:f>
      </x:c>
      <x:c r="S402" t="str">
        <x:f>IFERROR(IF(CaseLedger!$A402="","",CaseLedger!Y402),"")</x:f>
      </x:c>
      <x:c r="T402" t="str">
        <x:f>IFERROR(IF(CaseLedger!$A402="","",CaseLedger!Z402),"")</x:f>
      </x:c>
      <x:c r="U402" t="str">
        <x:f>IFERROR(IF(CaseLedger!$A402="","",CaseLedger!AA402),"")</x:f>
      </x:c>
      <x:c r="V402" t="str">
        <x:f>IFERROR(IF(CaseLedger!$A402="","",CaseLedger!AB402),"")</x:f>
      </x:c>
      <x:c r="W402" t="str">
        <x:f>IFERROR(IF(CaseLedger!$A402="","",CaseLedger!AC402),"")</x:f>
      </x:c>
      <x:c r="X402" t="str">
        <x:f>IFERROR(IF(CaseLedger!$A402="","",CaseLedger!AD402),"")</x:f>
      </x:c>
      <x:c r="Y402" t="str">
        <x:f>IFERROR(IF(CaseLedger!$A402="","",CaseLedger!AE402),"")</x:f>
      </x:c>
      <x:c r="Z402" t="str">
        <x:f>IFERROR(IF(CaseLedger!$A402="","",CaseLedger!AF402),"")</x:f>
      </x:c>
      <x:c r="AA402" t="str">
        <x:f>IFERROR(IF(CaseLedger!$A402="","",CaseLedger!AG402),"")</x:f>
      </x:c>
      <x:c r="AB402" t="str">
        <x:f>IFERROR(IF(CaseLedger!$A402="","",CaseLedger!AH402),"")</x:f>
      </x:c>
      <x:c r="AC402" t="str">
        <x:f>IFERROR(IF(CaseLedger!$A402="","",CaseLedger!AI402),"")</x:f>
      </x:c>
    </x:row>
    <x:row r="403">
      <x:c r="A403" t="str">
        <x:f>IF(CaseLedger!$A403="","",CaseLedger!A403)</x:f>
      </x:c>
      <x:c r="B403" t="str">
        <x:f>IF(CaseLedger!$A403="","",CaseLedger!I403)</x:f>
      </x:c>
      <x:c r="C403" t="str">
        <x:f>IF(CaseLedger!$A403="","",CaseLedger!J403)</x:f>
      </x:c>
      <x:c r="D403" t="str">
        <x:f>IF(CaseLedger!$A403="","",CaseLedger!K403)</x:f>
      </x:c>
      <x:c r="E403" t="str">
        <x:f>IF(CaseLedger!$A403="","",CaseLedger!L403)</x:f>
      </x:c>
      <x:c r="F403" t="str">
        <x:f>IF(CaseLedger!$A403="","",CaseLedger!P403)</x:f>
      </x:c>
      <x:c r="G403" t="str">
        <x:f>IF(CaseLedger!$A403="","",CaseLedger!F403)</x:f>
      </x:c>
      <x:c r="H403" t="str">
        <x:f>IF(CaseLedger!$A403="","",CaseLedger!Q403)</x:f>
      </x:c>
      <x:c r="I403" t="str">
        <x:f>IF(CaseLedger!$A403="","",CaseLedger!R403)</x:f>
      </x:c>
      <x:c r="J403" t="str">
        <x:f>IF(CaseLedger!$A403="","",CaseLedger!S403)</x:f>
      </x:c>
      <x:c r="K403" t="str">
        <x:f>IF(CaseLedger!$A403="","",CaseLedger!T403)</x:f>
      </x:c>
      <x:c r="L403" t="str">
        <x:f>IF(CaseLedger!$A403="","",CaseLedger!U403)</x:f>
      </x:c>
      <x:c r="M403" t="str">
        <x:f>IF(CaseLedger!$A403="","",CaseLedger!V403)</x:f>
      </x:c>
      <x:c r="N403" t="str">
        <x:f>IF(CaseLedger!$A403="","",CaseLedger!W403)</x:f>
      </x:c>
      <x:c r="O403" t="str">
        <x:f>IF(CaseLedger!$A403="","",CaseLedger!X403)</x:f>
      </x:c>
      <x:c r="P403" t="str">
        <x:f>IF(CaseLedger!$A403="","",CaseLedger!E403)</x:f>
      </x:c>
      <x:c r="Q403" t="str">
        <x:f>IF(CaseLedger!$A403="","",CaseLedger!C403)</x:f>
      </x:c>
      <x:c r="R403" t="str">
        <x:f>IF(CaseLedger!$A403="","",CaseLedger!D403)</x:f>
      </x:c>
      <x:c r="S403" t="str">
        <x:f>IFERROR(IF(CaseLedger!$A403="","",CaseLedger!Y403),"")</x:f>
      </x:c>
      <x:c r="T403" t="str">
        <x:f>IFERROR(IF(CaseLedger!$A403="","",CaseLedger!Z403),"")</x:f>
      </x:c>
      <x:c r="U403" t="str">
        <x:f>IFERROR(IF(CaseLedger!$A403="","",CaseLedger!AA403),"")</x:f>
      </x:c>
      <x:c r="V403" t="str">
        <x:f>IFERROR(IF(CaseLedger!$A403="","",CaseLedger!AB403),"")</x:f>
      </x:c>
      <x:c r="W403" t="str">
        <x:f>IFERROR(IF(CaseLedger!$A403="","",CaseLedger!AC403),"")</x:f>
      </x:c>
      <x:c r="X403" t="str">
        <x:f>IFERROR(IF(CaseLedger!$A403="","",CaseLedger!AD403),"")</x:f>
      </x:c>
      <x:c r="Y403" t="str">
        <x:f>IFERROR(IF(CaseLedger!$A403="","",CaseLedger!AE403),"")</x:f>
      </x:c>
      <x:c r="Z403" t="str">
        <x:f>IFERROR(IF(CaseLedger!$A403="","",CaseLedger!AF403),"")</x:f>
      </x:c>
      <x:c r="AA403" t="str">
        <x:f>IFERROR(IF(CaseLedger!$A403="","",CaseLedger!AG403),"")</x:f>
      </x:c>
      <x:c r="AB403" t="str">
        <x:f>IFERROR(IF(CaseLedger!$A403="","",CaseLedger!AH403),"")</x:f>
      </x:c>
      <x:c r="AC403" t="str">
        <x:f>IFERROR(IF(CaseLedger!$A403="","",CaseLedger!AI403),"")</x:f>
      </x:c>
    </x:row>
    <x:row r="404">
      <x:c r="A404" t="str">
        <x:f>IF(CaseLedger!$A404="","",CaseLedger!A404)</x:f>
      </x:c>
      <x:c r="B404" t="str">
        <x:f>IF(CaseLedger!$A404="","",CaseLedger!I404)</x:f>
      </x:c>
      <x:c r="C404" t="str">
        <x:f>IF(CaseLedger!$A404="","",CaseLedger!J404)</x:f>
      </x:c>
      <x:c r="D404" t="str">
        <x:f>IF(CaseLedger!$A404="","",CaseLedger!K404)</x:f>
      </x:c>
      <x:c r="E404" t="str">
        <x:f>IF(CaseLedger!$A404="","",CaseLedger!L404)</x:f>
      </x:c>
      <x:c r="F404" t="str">
        <x:f>IF(CaseLedger!$A404="","",CaseLedger!P404)</x:f>
      </x:c>
      <x:c r="G404" t="str">
        <x:f>IF(CaseLedger!$A404="","",CaseLedger!F404)</x:f>
      </x:c>
      <x:c r="H404" t="str">
        <x:f>IF(CaseLedger!$A404="","",CaseLedger!Q404)</x:f>
      </x:c>
      <x:c r="I404" t="str">
        <x:f>IF(CaseLedger!$A404="","",CaseLedger!R404)</x:f>
      </x:c>
      <x:c r="J404" t="str">
        <x:f>IF(CaseLedger!$A404="","",CaseLedger!S404)</x:f>
      </x:c>
      <x:c r="K404" t="str">
        <x:f>IF(CaseLedger!$A404="","",CaseLedger!T404)</x:f>
      </x:c>
      <x:c r="L404" t="str">
        <x:f>IF(CaseLedger!$A404="","",CaseLedger!U404)</x:f>
      </x:c>
      <x:c r="M404" t="str">
        <x:f>IF(CaseLedger!$A404="","",CaseLedger!V404)</x:f>
      </x:c>
      <x:c r="N404" t="str">
        <x:f>IF(CaseLedger!$A404="","",CaseLedger!W404)</x:f>
      </x:c>
      <x:c r="O404" t="str">
        <x:f>IF(CaseLedger!$A404="","",CaseLedger!X404)</x:f>
      </x:c>
      <x:c r="P404" t="str">
        <x:f>IF(CaseLedger!$A404="","",CaseLedger!E404)</x:f>
      </x:c>
      <x:c r="Q404" t="str">
        <x:f>IF(CaseLedger!$A404="","",CaseLedger!C404)</x:f>
      </x:c>
      <x:c r="R404" t="str">
        <x:f>IF(CaseLedger!$A404="","",CaseLedger!D404)</x:f>
      </x:c>
      <x:c r="S404" t="str">
        <x:f>IFERROR(IF(CaseLedger!$A404="","",CaseLedger!Y404),"")</x:f>
      </x:c>
      <x:c r="T404" t="str">
        <x:f>IFERROR(IF(CaseLedger!$A404="","",CaseLedger!Z404),"")</x:f>
      </x:c>
      <x:c r="U404" t="str">
        <x:f>IFERROR(IF(CaseLedger!$A404="","",CaseLedger!AA404),"")</x:f>
      </x:c>
      <x:c r="V404" t="str">
        <x:f>IFERROR(IF(CaseLedger!$A404="","",CaseLedger!AB404),"")</x:f>
      </x:c>
      <x:c r="W404" t="str">
        <x:f>IFERROR(IF(CaseLedger!$A404="","",CaseLedger!AC404),"")</x:f>
      </x:c>
      <x:c r="X404" t="str">
        <x:f>IFERROR(IF(CaseLedger!$A404="","",CaseLedger!AD404),"")</x:f>
      </x:c>
      <x:c r="Y404" t="str">
        <x:f>IFERROR(IF(CaseLedger!$A404="","",CaseLedger!AE404),"")</x:f>
      </x:c>
      <x:c r="Z404" t="str">
        <x:f>IFERROR(IF(CaseLedger!$A404="","",CaseLedger!AF404),"")</x:f>
      </x:c>
      <x:c r="AA404" t="str">
        <x:f>IFERROR(IF(CaseLedger!$A404="","",CaseLedger!AG404),"")</x:f>
      </x:c>
      <x:c r="AB404" t="str">
        <x:f>IFERROR(IF(CaseLedger!$A404="","",CaseLedger!AH404),"")</x:f>
      </x:c>
      <x:c r="AC404" t="str">
        <x:f>IFERROR(IF(CaseLedger!$A404="","",CaseLedger!AI404),"")</x:f>
      </x:c>
    </x:row>
    <x:row r="405">
      <x:c r="A405" t="str">
        <x:f>IF(CaseLedger!$A405="","",CaseLedger!A405)</x:f>
      </x:c>
      <x:c r="B405" t="str">
        <x:f>IF(CaseLedger!$A405="","",CaseLedger!I405)</x:f>
      </x:c>
      <x:c r="C405" t="str">
        <x:f>IF(CaseLedger!$A405="","",CaseLedger!J405)</x:f>
      </x:c>
      <x:c r="D405" t="str">
        <x:f>IF(CaseLedger!$A405="","",CaseLedger!K405)</x:f>
      </x:c>
      <x:c r="E405" t="str">
        <x:f>IF(CaseLedger!$A405="","",CaseLedger!L405)</x:f>
      </x:c>
      <x:c r="F405" t="str">
        <x:f>IF(CaseLedger!$A405="","",CaseLedger!P405)</x:f>
      </x:c>
      <x:c r="G405" t="str">
        <x:f>IF(CaseLedger!$A405="","",CaseLedger!F405)</x:f>
      </x:c>
      <x:c r="H405" t="str">
        <x:f>IF(CaseLedger!$A405="","",CaseLedger!Q405)</x:f>
      </x:c>
      <x:c r="I405" t="str">
        <x:f>IF(CaseLedger!$A405="","",CaseLedger!R405)</x:f>
      </x:c>
      <x:c r="J405" t="str">
        <x:f>IF(CaseLedger!$A405="","",CaseLedger!S405)</x:f>
      </x:c>
      <x:c r="K405" t="str">
        <x:f>IF(CaseLedger!$A405="","",CaseLedger!T405)</x:f>
      </x:c>
      <x:c r="L405" t="str">
        <x:f>IF(CaseLedger!$A405="","",CaseLedger!U405)</x:f>
      </x:c>
      <x:c r="M405" t="str">
        <x:f>IF(CaseLedger!$A405="","",CaseLedger!V405)</x:f>
      </x:c>
      <x:c r="N405" t="str">
        <x:f>IF(CaseLedger!$A405="","",CaseLedger!W405)</x:f>
      </x:c>
      <x:c r="O405" t="str">
        <x:f>IF(CaseLedger!$A405="","",CaseLedger!X405)</x:f>
      </x:c>
      <x:c r="P405" t="str">
        <x:f>IF(CaseLedger!$A405="","",CaseLedger!E405)</x:f>
      </x:c>
      <x:c r="Q405" t="str">
        <x:f>IF(CaseLedger!$A405="","",CaseLedger!C405)</x:f>
      </x:c>
      <x:c r="R405" t="str">
        <x:f>IF(CaseLedger!$A405="","",CaseLedger!D405)</x:f>
      </x:c>
      <x:c r="S405" t="str">
        <x:f>IFERROR(IF(CaseLedger!$A405="","",CaseLedger!Y405),"")</x:f>
      </x:c>
      <x:c r="T405" t="str">
        <x:f>IFERROR(IF(CaseLedger!$A405="","",CaseLedger!Z405),"")</x:f>
      </x:c>
      <x:c r="U405" t="str">
        <x:f>IFERROR(IF(CaseLedger!$A405="","",CaseLedger!AA405),"")</x:f>
      </x:c>
      <x:c r="V405" t="str">
        <x:f>IFERROR(IF(CaseLedger!$A405="","",CaseLedger!AB405),"")</x:f>
      </x:c>
      <x:c r="W405" t="str">
        <x:f>IFERROR(IF(CaseLedger!$A405="","",CaseLedger!AC405),"")</x:f>
      </x:c>
      <x:c r="X405" t="str">
        <x:f>IFERROR(IF(CaseLedger!$A405="","",CaseLedger!AD405),"")</x:f>
      </x:c>
      <x:c r="Y405" t="str">
        <x:f>IFERROR(IF(CaseLedger!$A405="","",CaseLedger!AE405),"")</x:f>
      </x:c>
      <x:c r="Z405" t="str">
        <x:f>IFERROR(IF(CaseLedger!$A405="","",CaseLedger!AF405),"")</x:f>
      </x:c>
      <x:c r="AA405" t="str">
        <x:f>IFERROR(IF(CaseLedger!$A405="","",CaseLedger!AG405),"")</x:f>
      </x:c>
      <x:c r="AB405" t="str">
        <x:f>IFERROR(IF(CaseLedger!$A405="","",CaseLedger!AH405),"")</x:f>
      </x:c>
      <x:c r="AC405" t="str">
        <x:f>IFERROR(IF(CaseLedger!$A405="","",CaseLedger!AI405),"")</x:f>
      </x:c>
    </x:row>
    <x:row r="406">
      <x:c r="A406" t="str">
        <x:f>IF(CaseLedger!$A406="","",CaseLedger!A406)</x:f>
      </x:c>
      <x:c r="B406" t="str">
        <x:f>IF(CaseLedger!$A406="","",CaseLedger!I406)</x:f>
      </x:c>
      <x:c r="C406" t="str">
        <x:f>IF(CaseLedger!$A406="","",CaseLedger!J406)</x:f>
      </x:c>
      <x:c r="D406" t="str">
        <x:f>IF(CaseLedger!$A406="","",CaseLedger!K406)</x:f>
      </x:c>
      <x:c r="E406" t="str">
        <x:f>IF(CaseLedger!$A406="","",CaseLedger!L406)</x:f>
      </x:c>
      <x:c r="F406" t="str">
        <x:f>IF(CaseLedger!$A406="","",CaseLedger!P406)</x:f>
      </x:c>
      <x:c r="G406" t="str">
        <x:f>IF(CaseLedger!$A406="","",CaseLedger!F406)</x:f>
      </x:c>
      <x:c r="H406" t="str">
        <x:f>IF(CaseLedger!$A406="","",CaseLedger!Q406)</x:f>
      </x:c>
      <x:c r="I406" t="str">
        <x:f>IF(CaseLedger!$A406="","",CaseLedger!R406)</x:f>
      </x:c>
      <x:c r="J406" t="str">
        <x:f>IF(CaseLedger!$A406="","",CaseLedger!S406)</x:f>
      </x:c>
      <x:c r="K406" t="str">
        <x:f>IF(CaseLedger!$A406="","",CaseLedger!T406)</x:f>
      </x:c>
      <x:c r="L406" t="str">
        <x:f>IF(CaseLedger!$A406="","",CaseLedger!U406)</x:f>
      </x:c>
      <x:c r="M406" t="str">
        <x:f>IF(CaseLedger!$A406="","",CaseLedger!V406)</x:f>
      </x:c>
      <x:c r="N406" t="str">
        <x:f>IF(CaseLedger!$A406="","",CaseLedger!W406)</x:f>
      </x:c>
      <x:c r="O406" t="str">
        <x:f>IF(CaseLedger!$A406="","",CaseLedger!X406)</x:f>
      </x:c>
      <x:c r="P406" t="str">
        <x:f>IF(CaseLedger!$A406="","",CaseLedger!E406)</x:f>
      </x:c>
      <x:c r="Q406" t="str">
        <x:f>IF(CaseLedger!$A406="","",CaseLedger!C406)</x:f>
      </x:c>
      <x:c r="R406" t="str">
        <x:f>IF(CaseLedger!$A406="","",CaseLedger!D406)</x:f>
      </x:c>
      <x:c r="S406" t="str">
        <x:f>IFERROR(IF(CaseLedger!$A406="","",CaseLedger!Y406),"")</x:f>
      </x:c>
      <x:c r="T406" t="str">
        <x:f>IFERROR(IF(CaseLedger!$A406="","",CaseLedger!Z406),"")</x:f>
      </x:c>
      <x:c r="U406" t="str">
        <x:f>IFERROR(IF(CaseLedger!$A406="","",CaseLedger!AA406),"")</x:f>
      </x:c>
      <x:c r="V406" t="str">
        <x:f>IFERROR(IF(CaseLedger!$A406="","",CaseLedger!AB406),"")</x:f>
      </x:c>
      <x:c r="W406" t="str">
        <x:f>IFERROR(IF(CaseLedger!$A406="","",CaseLedger!AC406),"")</x:f>
      </x:c>
      <x:c r="X406" t="str">
        <x:f>IFERROR(IF(CaseLedger!$A406="","",CaseLedger!AD406),"")</x:f>
      </x:c>
      <x:c r="Y406" t="str">
        <x:f>IFERROR(IF(CaseLedger!$A406="","",CaseLedger!AE406),"")</x:f>
      </x:c>
      <x:c r="Z406" t="str">
        <x:f>IFERROR(IF(CaseLedger!$A406="","",CaseLedger!AF406),"")</x:f>
      </x:c>
      <x:c r="AA406" t="str">
        <x:f>IFERROR(IF(CaseLedger!$A406="","",CaseLedger!AG406),"")</x:f>
      </x:c>
      <x:c r="AB406" t="str">
        <x:f>IFERROR(IF(CaseLedger!$A406="","",CaseLedger!AH406),"")</x:f>
      </x:c>
      <x:c r="AC406" t="str">
        <x:f>IFERROR(IF(CaseLedger!$A406="","",CaseLedger!AI406),"")</x:f>
      </x:c>
    </x:row>
    <x:row r="407">
      <x:c r="A407" t="str">
        <x:f>IF(CaseLedger!$A407="","",CaseLedger!A407)</x:f>
      </x:c>
      <x:c r="B407" t="str">
        <x:f>IF(CaseLedger!$A407="","",CaseLedger!I407)</x:f>
      </x:c>
      <x:c r="C407" t="str">
        <x:f>IF(CaseLedger!$A407="","",CaseLedger!J407)</x:f>
      </x:c>
      <x:c r="D407" t="str">
        <x:f>IF(CaseLedger!$A407="","",CaseLedger!K407)</x:f>
      </x:c>
      <x:c r="E407" t="str">
        <x:f>IF(CaseLedger!$A407="","",CaseLedger!L407)</x:f>
      </x:c>
      <x:c r="F407" t="str">
        <x:f>IF(CaseLedger!$A407="","",CaseLedger!P407)</x:f>
      </x:c>
      <x:c r="G407" t="str">
        <x:f>IF(CaseLedger!$A407="","",CaseLedger!F407)</x:f>
      </x:c>
      <x:c r="H407" t="str">
        <x:f>IF(CaseLedger!$A407="","",CaseLedger!Q407)</x:f>
      </x:c>
      <x:c r="I407" t="str">
        <x:f>IF(CaseLedger!$A407="","",CaseLedger!R407)</x:f>
      </x:c>
      <x:c r="J407" t="str">
        <x:f>IF(CaseLedger!$A407="","",CaseLedger!S407)</x:f>
      </x:c>
      <x:c r="K407" t="str">
        <x:f>IF(CaseLedger!$A407="","",CaseLedger!T407)</x:f>
      </x:c>
      <x:c r="L407" t="str">
        <x:f>IF(CaseLedger!$A407="","",CaseLedger!U407)</x:f>
      </x:c>
      <x:c r="M407" t="str">
        <x:f>IF(CaseLedger!$A407="","",CaseLedger!V407)</x:f>
      </x:c>
      <x:c r="N407" t="str">
        <x:f>IF(CaseLedger!$A407="","",CaseLedger!W407)</x:f>
      </x:c>
      <x:c r="O407" t="str">
        <x:f>IF(CaseLedger!$A407="","",CaseLedger!X407)</x:f>
      </x:c>
      <x:c r="P407" t="str">
        <x:f>IF(CaseLedger!$A407="","",CaseLedger!E407)</x:f>
      </x:c>
      <x:c r="Q407" t="str">
        <x:f>IF(CaseLedger!$A407="","",CaseLedger!C407)</x:f>
      </x:c>
      <x:c r="R407" t="str">
        <x:f>IF(CaseLedger!$A407="","",CaseLedger!D407)</x:f>
      </x:c>
      <x:c r="S407" t="str">
        <x:f>IFERROR(IF(CaseLedger!$A407="","",CaseLedger!Y407),"")</x:f>
      </x:c>
      <x:c r="T407" t="str">
        <x:f>IFERROR(IF(CaseLedger!$A407="","",CaseLedger!Z407),"")</x:f>
      </x:c>
      <x:c r="U407" t="str">
        <x:f>IFERROR(IF(CaseLedger!$A407="","",CaseLedger!AA407),"")</x:f>
      </x:c>
      <x:c r="V407" t="str">
        <x:f>IFERROR(IF(CaseLedger!$A407="","",CaseLedger!AB407),"")</x:f>
      </x:c>
      <x:c r="W407" t="str">
        <x:f>IFERROR(IF(CaseLedger!$A407="","",CaseLedger!AC407),"")</x:f>
      </x:c>
      <x:c r="X407" t="str">
        <x:f>IFERROR(IF(CaseLedger!$A407="","",CaseLedger!AD407),"")</x:f>
      </x:c>
      <x:c r="Y407" t="str">
        <x:f>IFERROR(IF(CaseLedger!$A407="","",CaseLedger!AE407),"")</x:f>
      </x:c>
      <x:c r="Z407" t="str">
        <x:f>IFERROR(IF(CaseLedger!$A407="","",CaseLedger!AF407),"")</x:f>
      </x:c>
      <x:c r="AA407" t="str">
        <x:f>IFERROR(IF(CaseLedger!$A407="","",CaseLedger!AG407),"")</x:f>
      </x:c>
      <x:c r="AB407" t="str">
        <x:f>IFERROR(IF(CaseLedger!$A407="","",CaseLedger!AH407),"")</x:f>
      </x:c>
      <x:c r="AC407" t="str">
        <x:f>IFERROR(IF(CaseLedger!$A407="","",CaseLedger!AI407),"")</x:f>
      </x:c>
    </x:row>
    <x:row r="408">
      <x:c r="A408" t="str">
        <x:f>IF(CaseLedger!$A408="","",CaseLedger!A408)</x:f>
      </x:c>
      <x:c r="B408" t="str">
        <x:f>IF(CaseLedger!$A408="","",CaseLedger!I408)</x:f>
      </x:c>
      <x:c r="C408" t="str">
        <x:f>IF(CaseLedger!$A408="","",CaseLedger!J408)</x:f>
      </x:c>
      <x:c r="D408" t="str">
        <x:f>IF(CaseLedger!$A408="","",CaseLedger!K408)</x:f>
      </x:c>
      <x:c r="E408" t="str">
        <x:f>IF(CaseLedger!$A408="","",CaseLedger!L408)</x:f>
      </x:c>
      <x:c r="F408" t="str">
        <x:f>IF(CaseLedger!$A408="","",CaseLedger!P408)</x:f>
      </x:c>
      <x:c r="G408" t="str">
        <x:f>IF(CaseLedger!$A408="","",CaseLedger!F408)</x:f>
      </x:c>
      <x:c r="H408" t="str">
        <x:f>IF(CaseLedger!$A408="","",CaseLedger!Q408)</x:f>
      </x:c>
      <x:c r="I408" t="str">
        <x:f>IF(CaseLedger!$A408="","",CaseLedger!R408)</x:f>
      </x:c>
      <x:c r="J408" t="str">
        <x:f>IF(CaseLedger!$A408="","",CaseLedger!S408)</x:f>
      </x:c>
      <x:c r="K408" t="str">
        <x:f>IF(CaseLedger!$A408="","",CaseLedger!T408)</x:f>
      </x:c>
      <x:c r="L408" t="str">
        <x:f>IF(CaseLedger!$A408="","",CaseLedger!U408)</x:f>
      </x:c>
      <x:c r="M408" t="str">
        <x:f>IF(CaseLedger!$A408="","",CaseLedger!V408)</x:f>
      </x:c>
      <x:c r="N408" t="str">
        <x:f>IF(CaseLedger!$A408="","",CaseLedger!W408)</x:f>
      </x:c>
      <x:c r="O408" t="str">
        <x:f>IF(CaseLedger!$A408="","",CaseLedger!X408)</x:f>
      </x:c>
      <x:c r="P408" t="str">
        <x:f>IF(CaseLedger!$A408="","",CaseLedger!E408)</x:f>
      </x:c>
      <x:c r="Q408" t="str">
        <x:f>IF(CaseLedger!$A408="","",CaseLedger!C408)</x:f>
      </x:c>
      <x:c r="R408" t="str">
        <x:f>IF(CaseLedger!$A408="","",CaseLedger!D408)</x:f>
      </x:c>
      <x:c r="S408" t="str">
        <x:f>IFERROR(IF(CaseLedger!$A408="","",CaseLedger!Y408),"")</x:f>
      </x:c>
      <x:c r="T408" t="str">
        <x:f>IFERROR(IF(CaseLedger!$A408="","",CaseLedger!Z408),"")</x:f>
      </x:c>
      <x:c r="U408" t="str">
        <x:f>IFERROR(IF(CaseLedger!$A408="","",CaseLedger!AA408),"")</x:f>
      </x:c>
      <x:c r="V408" t="str">
        <x:f>IFERROR(IF(CaseLedger!$A408="","",CaseLedger!AB408),"")</x:f>
      </x:c>
      <x:c r="W408" t="str">
        <x:f>IFERROR(IF(CaseLedger!$A408="","",CaseLedger!AC408),"")</x:f>
      </x:c>
      <x:c r="X408" t="str">
        <x:f>IFERROR(IF(CaseLedger!$A408="","",CaseLedger!AD408),"")</x:f>
      </x:c>
      <x:c r="Y408" t="str">
        <x:f>IFERROR(IF(CaseLedger!$A408="","",CaseLedger!AE408),"")</x:f>
      </x:c>
      <x:c r="Z408" t="str">
        <x:f>IFERROR(IF(CaseLedger!$A408="","",CaseLedger!AF408),"")</x:f>
      </x:c>
      <x:c r="AA408" t="str">
        <x:f>IFERROR(IF(CaseLedger!$A408="","",CaseLedger!AG408),"")</x:f>
      </x:c>
      <x:c r="AB408" t="str">
        <x:f>IFERROR(IF(CaseLedger!$A408="","",CaseLedger!AH408),"")</x:f>
      </x:c>
      <x:c r="AC408" t="str">
        <x:f>IFERROR(IF(CaseLedger!$A408="","",CaseLedger!AI408),"")</x:f>
      </x:c>
    </x:row>
    <x:row r="409">
      <x:c r="A409" t="str">
        <x:f>IF(CaseLedger!$A409="","",CaseLedger!A409)</x:f>
      </x:c>
      <x:c r="B409" t="str">
        <x:f>IF(CaseLedger!$A409="","",CaseLedger!I409)</x:f>
      </x:c>
      <x:c r="C409" t="str">
        <x:f>IF(CaseLedger!$A409="","",CaseLedger!J409)</x:f>
      </x:c>
      <x:c r="D409" t="str">
        <x:f>IF(CaseLedger!$A409="","",CaseLedger!K409)</x:f>
      </x:c>
      <x:c r="E409" t="str">
        <x:f>IF(CaseLedger!$A409="","",CaseLedger!L409)</x:f>
      </x:c>
      <x:c r="F409" t="str">
        <x:f>IF(CaseLedger!$A409="","",CaseLedger!P409)</x:f>
      </x:c>
      <x:c r="G409" t="str">
        <x:f>IF(CaseLedger!$A409="","",CaseLedger!F409)</x:f>
      </x:c>
      <x:c r="H409" t="str">
        <x:f>IF(CaseLedger!$A409="","",CaseLedger!Q409)</x:f>
      </x:c>
      <x:c r="I409" t="str">
        <x:f>IF(CaseLedger!$A409="","",CaseLedger!R409)</x:f>
      </x:c>
      <x:c r="J409" t="str">
        <x:f>IF(CaseLedger!$A409="","",CaseLedger!S409)</x:f>
      </x:c>
      <x:c r="K409" t="str">
        <x:f>IF(CaseLedger!$A409="","",CaseLedger!T409)</x:f>
      </x:c>
      <x:c r="L409" t="str">
        <x:f>IF(CaseLedger!$A409="","",CaseLedger!U409)</x:f>
      </x:c>
      <x:c r="M409" t="str">
        <x:f>IF(CaseLedger!$A409="","",CaseLedger!V409)</x:f>
      </x:c>
      <x:c r="N409" t="str">
        <x:f>IF(CaseLedger!$A409="","",CaseLedger!W409)</x:f>
      </x:c>
      <x:c r="O409" t="str">
        <x:f>IF(CaseLedger!$A409="","",CaseLedger!X409)</x:f>
      </x:c>
      <x:c r="P409" t="str">
        <x:f>IF(CaseLedger!$A409="","",CaseLedger!E409)</x:f>
      </x:c>
      <x:c r="Q409" t="str">
        <x:f>IF(CaseLedger!$A409="","",CaseLedger!C409)</x:f>
      </x:c>
      <x:c r="R409" t="str">
        <x:f>IF(CaseLedger!$A409="","",CaseLedger!D409)</x:f>
      </x:c>
      <x:c r="S409" t="str">
        <x:f>IFERROR(IF(CaseLedger!$A409="","",CaseLedger!Y409),"")</x:f>
      </x:c>
      <x:c r="T409" t="str">
        <x:f>IFERROR(IF(CaseLedger!$A409="","",CaseLedger!Z409),"")</x:f>
      </x:c>
      <x:c r="U409" t="str">
        <x:f>IFERROR(IF(CaseLedger!$A409="","",CaseLedger!AA409),"")</x:f>
      </x:c>
      <x:c r="V409" t="str">
        <x:f>IFERROR(IF(CaseLedger!$A409="","",CaseLedger!AB409),"")</x:f>
      </x:c>
      <x:c r="W409" t="str">
        <x:f>IFERROR(IF(CaseLedger!$A409="","",CaseLedger!AC409),"")</x:f>
      </x:c>
      <x:c r="X409" t="str">
        <x:f>IFERROR(IF(CaseLedger!$A409="","",CaseLedger!AD409),"")</x:f>
      </x:c>
      <x:c r="Y409" t="str">
        <x:f>IFERROR(IF(CaseLedger!$A409="","",CaseLedger!AE409),"")</x:f>
      </x:c>
      <x:c r="Z409" t="str">
        <x:f>IFERROR(IF(CaseLedger!$A409="","",CaseLedger!AF409),"")</x:f>
      </x:c>
      <x:c r="AA409" t="str">
        <x:f>IFERROR(IF(CaseLedger!$A409="","",CaseLedger!AG409),"")</x:f>
      </x:c>
      <x:c r="AB409" t="str">
        <x:f>IFERROR(IF(CaseLedger!$A409="","",CaseLedger!AH409),"")</x:f>
      </x:c>
      <x:c r="AC409" t="str">
        <x:f>IFERROR(IF(CaseLedger!$A409="","",CaseLedger!AI409),"")</x:f>
      </x:c>
    </x:row>
    <x:row r="410">
      <x:c r="A410" t="str">
        <x:f>IF(CaseLedger!$A410="","",CaseLedger!A410)</x:f>
      </x:c>
      <x:c r="B410" t="str">
        <x:f>IF(CaseLedger!$A410="","",CaseLedger!I410)</x:f>
      </x:c>
      <x:c r="C410" t="str">
        <x:f>IF(CaseLedger!$A410="","",CaseLedger!J410)</x:f>
      </x:c>
      <x:c r="D410" t="str">
        <x:f>IF(CaseLedger!$A410="","",CaseLedger!K410)</x:f>
      </x:c>
      <x:c r="E410" t="str">
        <x:f>IF(CaseLedger!$A410="","",CaseLedger!L410)</x:f>
      </x:c>
      <x:c r="F410" t="str">
        <x:f>IF(CaseLedger!$A410="","",CaseLedger!P410)</x:f>
      </x:c>
      <x:c r="G410" t="str">
        <x:f>IF(CaseLedger!$A410="","",CaseLedger!F410)</x:f>
      </x:c>
      <x:c r="H410" t="str">
        <x:f>IF(CaseLedger!$A410="","",CaseLedger!Q410)</x:f>
      </x:c>
      <x:c r="I410" t="str">
        <x:f>IF(CaseLedger!$A410="","",CaseLedger!R410)</x:f>
      </x:c>
      <x:c r="J410" t="str">
        <x:f>IF(CaseLedger!$A410="","",CaseLedger!S410)</x:f>
      </x:c>
      <x:c r="K410" t="str">
        <x:f>IF(CaseLedger!$A410="","",CaseLedger!T410)</x:f>
      </x:c>
      <x:c r="L410" t="str">
        <x:f>IF(CaseLedger!$A410="","",CaseLedger!U410)</x:f>
      </x:c>
      <x:c r="M410" t="str">
        <x:f>IF(CaseLedger!$A410="","",CaseLedger!V410)</x:f>
      </x:c>
      <x:c r="N410" t="str">
        <x:f>IF(CaseLedger!$A410="","",CaseLedger!W410)</x:f>
      </x:c>
      <x:c r="O410" t="str">
        <x:f>IF(CaseLedger!$A410="","",CaseLedger!X410)</x:f>
      </x:c>
      <x:c r="P410" t="str">
        <x:f>IF(CaseLedger!$A410="","",CaseLedger!E410)</x:f>
      </x:c>
      <x:c r="Q410" t="str">
        <x:f>IF(CaseLedger!$A410="","",CaseLedger!C410)</x:f>
      </x:c>
      <x:c r="R410" t="str">
        <x:f>IF(CaseLedger!$A410="","",CaseLedger!D410)</x:f>
      </x:c>
      <x:c r="S410" t="str">
        <x:f>IFERROR(IF(CaseLedger!$A410="","",CaseLedger!Y410),"")</x:f>
      </x:c>
      <x:c r="T410" t="str">
        <x:f>IFERROR(IF(CaseLedger!$A410="","",CaseLedger!Z410),"")</x:f>
      </x:c>
      <x:c r="U410" t="str">
        <x:f>IFERROR(IF(CaseLedger!$A410="","",CaseLedger!AA410),"")</x:f>
      </x:c>
      <x:c r="V410" t="str">
        <x:f>IFERROR(IF(CaseLedger!$A410="","",CaseLedger!AB410),"")</x:f>
      </x:c>
      <x:c r="W410" t="str">
        <x:f>IFERROR(IF(CaseLedger!$A410="","",CaseLedger!AC410),"")</x:f>
      </x:c>
      <x:c r="X410" t="str">
        <x:f>IFERROR(IF(CaseLedger!$A410="","",CaseLedger!AD410),"")</x:f>
      </x:c>
      <x:c r="Y410" t="str">
        <x:f>IFERROR(IF(CaseLedger!$A410="","",CaseLedger!AE410),"")</x:f>
      </x:c>
      <x:c r="Z410" t="str">
        <x:f>IFERROR(IF(CaseLedger!$A410="","",CaseLedger!AF410),"")</x:f>
      </x:c>
      <x:c r="AA410" t="str">
        <x:f>IFERROR(IF(CaseLedger!$A410="","",CaseLedger!AG410),"")</x:f>
      </x:c>
      <x:c r="AB410" t="str">
        <x:f>IFERROR(IF(CaseLedger!$A410="","",CaseLedger!AH410),"")</x:f>
      </x:c>
      <x:c r="AC410" t="str">
        <x:f>IFERROR(IF(CaseLedger!$A410="","",CaseLedger!AI410),"")</x:f>
      </x:c>
    </x:row>
    <x:row r="411">
      <x:c r="A411" t="str">
        <x:f>IF(CaseLedger!$A411="","",CaseLedger!A411)</x:f>
      </x:c>
      <x:c r="B411" t="str">
        <x:f>IF(CaseLedger!$A411="","",CaseLedger!I411)</x:f>
      </x:c>
      <x:c r="C411" t="str">
        <x:f>IF(CaseLedger!$A411="","",CaseLedger!J411)</x:f>
      </x:c>
      <x:c r="D411" t="str">
        <x:f>IF(CaseLedger!$A411="","",CaseLedger!K411)</x:f>
      </x:c>
      <x:c r="E411" t="str">
        <x:f>IF(CaseLedger!$A411="","",CaseLedger!L411)</x:f>
      </x:c>
      <x:c r="F411" t="str">
        <x:f>IF(CaseLedger!$A411="","",CaseLedger!P411)</x:f>
      </x:c>
      <x:c r="G411" t="str">
        <x:f>IF(CaseLedger!$A411="","",CaseLedger!F411)</x:f>
      </x:c>
      <x:c r="H411" t="str">
        <x:f>IF(CaseLedger!$A411="","",CaseLedger!Q411)</x:f>
      </x:c>
      <x:c r="I411" t="str">
        <x:f>IF(CaseLedger!$A411="","",CaseLedger!R411)</x:f>
      </x:c>
      <x:c r="J411" t="str">
        <x:f>IF(CaseLedger!$A411="","",CaseLedger!S411)</x:f>
      </x:c>
      <x:c r="K411" t="str">
        <x:f>IF(CaseLedger!$A411="","",CaseLedger!T411)</x:f>
      </x:c>
      <x:c r="L411" t="str">
        <x:f>IF(CaseLedger!$A411="","",CaseLedger!U411)</x:f>
      </x:c>
      <x:c r="M411" t="str">
        <x:f>IF(CaseLedger!$A411="","",CaseLedger!V411)</x:f>
      </x:c>
      <x:c r="N411" t="str">
        <x:f>IF(CaseLedger!$A411="","",CaseLedger!W411)</x:f>
      </x:c>
      <x:c r="O411" t="str">
        <x:f>IF(CaseLedger!$A411="","",CaseLedger!X411)</x:f>
      </x:c>
      <x:c r="P411" t="str">
        <x:f>IF(CaseLedger!$A411="","",CaseLedger!E411)</x:f>
      </x:c>
      <x:c r="Q411" t="str">
        <x:f>IF(CaseLedger!$A411="","",CaseLedger!C411)</x:f>
      </x:c>
      <x:c r="R411" t="str">
        <x:f>IF(CaseLedger!$A411="","",CaseLedger!D411)</x:f>
      </x:c>
      <x:c r="S411" t="str">
        <x:f>IFERROR(IF(CaseLedger!$A411="","",CaseLedger!Y411),"")</x:f>
      </x:c>
      <x:c r="T411" t="str">
        <x:f>IFERROR(IF(CaseLedger!$A411="","",CaseLedger!Z411),"")</x:f>
      </x:c>
      <x:c r="U411" t="str">
        <x:f>IFERROR(IF(CaseLedger!$A411="","",CaseLedger!AA411),"")</x:f>
      </x:c>
      <x:c r="V411" t="str">
        <x:f>IFERROR(IF(CaseLedger!$A411="","",CaseLedger!AB411),"")</x:f>
      </x:c>
      <x:c r="W411" t="str">
        <x:f>IFERROR(IF(CaseLedger!$A411="","",CaseLedger!AC411),"")</x:f>
      </x:c>
      <x:c r="X411" t="str">
        <x:f>IFERROR(IF(CaseLedger!$A411="","",CaseLedger!AD411),"")</x:f>
      </x:c>
      <x:c r="Y411" t="str">
        <x:f>IFERROR(IF(CaseLedger!$A411="","",CaseLedger!AE411),"")</x:f>
      </x:c>
      <x:c r="Z411" t="str">
        <x:f>IFERROR(IF(CaseLedger!$A411="","",CaseLedger!AF411),"")</x:f>
      </x:c>
      <x:c r="AA411" t="str">
        <x:f>IFERROR(IF(CaseLedger!$A411="","",CaseLedger!AG411),"")</x:f>
      </x:c>
      <x:c r="AB411" t="str">
        <x:f>IFERROR(IF(CaseLedger!$A411="","",CaseLedger!AH411),"")</x:f>
      </x:c>
      <x:c r="AC411" t="str">
        <x:f>IFERROR(IF(CaseLedger!$A411="","",CaseLedger!AI411),"")</x:f>
      </x:c>
    </x:row>
    <x:row r="412">
      <x:c r="A412" t="str">
        <x:f>IF(CaseLedger!$A412="","",CaseLedger!A412)</x:f>
      </x:c>
      <x:c r="B412" t="str">
        <x:f>IF(CaseLedger!$A412="","",CaseLedger!I412)</x:f>
      </x:c>
      <x:c r="C412" t="str">
        <x:f>IF(CaseLedger!$A412="","",CaseLedger!J412)</x:f>
      </x:c>
      <x:c r="D412" t="str">
        <x:f>IF(CaseLedger!$A412="","",CaseLedger!K412)</x:f>
      </x:c>
      <x:c r="E412" t="str">
        <x:f>IF(CaseLedger!$A412="","",CaseLedger!L412)</x:f>
      </x:c>
      <x:c r="F412" t="str">
        <x:f>IF(CaseLedger!$A412="","",CaseLedger!P412)</x:f>
      </x:c>
      <x:c r="G412" t="str">
        <x:f>IF(CaseLedger!$A412="","",CaseLedger!F412)</x:f>
      </x:c>
      <x:c r="H412" t="str">
        <x:f>IF(CaseLedger!$A412="","",CaseLedger!Q412)</x:f>
      </x:c>
      <x:c r="I412" t="str">
        <x:f>IF(CaseLedger!$A412="","",CaseLedger!R412)</x:f>
      </x:c>
      <x:c r="J412" t="str">
        <x:f>IF(CaseLedger!$A412="","",CaseLedger!S412)</x:f>
      </x:c>
      <x:c r="K412" t="str">
        <x:f>IF(CaseLedger!$A412="","",CaseLedger!T412)</x:f>
      </x:c>
      <x:c r="L412" t="str">
        <x:f>IF(CaseLedger!$A412="","",CaseLedger!U412)</x:f>
      </x:c>
      <x:c r="M412" t="str">
        <x:f>IF(CaseLedger!$A412="","",CaseLedger!V412)</x:f>
      </x:c>
      <x:c r="N412" t="str">
        <x:f>IF(CaseLedger!$A412="","",CaseLedger!W412)</x:f>
      </x:c>
      <x:c r="O412" t="str">
        <x:f>IF(CaseLedger!$A412="","",CaseLedger!X412)</x:f>
      </x:c>
      <x:c r="P412" t="str">
        <x:f>IF(CaseLedger!$A412="","",CaseLedger!E412)</x:f>
      </x:c>
      <x:c r="Q412" t="str">
        <x:f>IF(CaseLedger!$A412="","",CaseLedger!C412)</x:f>
      </x:c>
      <x:c r="R412" t="str">
        <x:f>IF(CaseLedger!$A412="","",CaseLedger!D412)</x:f>
      </x:c>
      <x:c r="S412" t="str">
        <x:f>IFERROR(IF(CaseLedger!$A412="","",CaseLedger!Y412),"")</x:f>
      </x:c>
      <x:c r="T412" t="str">
        <x:f>IFERROR(IF(CaseLedger!$A412="","",CaseLedger!Z412),"")</x:f>
      </x:c>
      <x:c r="U412" t="str">
        <x:f>IFERROR(IF(CaseLedger!$A412="","",CaseLedger!AA412),"")</x:f>
      </x:c>
      <x:c r="V412" t="str">
        <x:f>IFERROR(IF(CaseLedger!$A412="","",CaseLedger!AB412),"")</x:f>
      </x:c>
      <x:c r="W412" t="str">
        <x:f>IFERROR(IF(CaseLedger!$A412="","",CaseLedger!AC412),"")</x:f>
      </x:c>
      <x:c r="X412" t="str">
        <x:f>IFERROR(IF(CaseLedger!$A412="","",CaseLedger!AD412),"")</x:f>
      </x:c>
      <x:c r="Y412" t="str">
        <x:f>IFERROR(IF(CaseLedger!$A412="","",CaseLedger!AE412),"")</x:f>
      </x:c>
      <x:c r="Z412" t="str">
        <x:f>IFERROR(IF(CaseLedger!$A412="","",CaseLedger!AF412),"")</x:f>
      </x:c>
      <x:c r="AA412" t="str">
        <x:f>IFERROR(IF(CaseLedger!$A412="","",CaseLedger!AG412),"")</x:f>
      </x:c>
      <x:c r="AB412" t="str">
        <x:f>IFERROR(IF(CaseLedger!$A412="","",CaseLedger!AH412),"")</x:f>
      </x:c>
      <x:c r="AC412" t="str">
        <x:f>IFERROR(IF(CaseLedger!$A412="","",CaseLedger!AI412),"")</x:f>
      </x:c>
    </x:row>
    <x:row r="413">
      <x:c r="A413" t="str">
        <x:f>IF(CaseLedger!$A413="","",CaseLedger!A413)</x:f>
      </x:c>
      <x:c r="B413" t="str">
        <x:f>IF(CaseLedger!$A413="","",CaseLedger!I413)</x:f>
      </x:c>
      <x:c r="C413" t="str">
        <x:f>IF(CaseLedger!$A413="","",CaseLedger!J413)</x:f>
      </x:c>
      <x:c r="D413" t="str">
        <x:f>IF(CaseLedger!$A413="","",CaseLedger!K413)</x:f>
      </x:c>
      <x:c r="E413" t="str">
        <x:f>IF(CaseLedger!$A413="","",CaseLedger!L413)</x:f>
      </x:c>
      <x:c r="F413" t="str">
        <x:f>IF(CaseLedger!$A413="","",CaseLedger!P413)</x:f>
      </x:c>
      <x:c r="G413" t="str">
        <x:f>IF(CaseLedger!$A413="","",CaseLedger!F413)</x:f>
      </x:c>
      <x:c r="H413" t="str">
        <x:f>IF(CaseLedger!$A413="","",CaseLedger!Q413)</x:f>
      </x:c>
      <x:c r="I413" t="str">
        <x:f>IF(CaseLedger!$A413="","",CaseLedger!R413)</x:f>
      </x:c>
      <x:c r="J413" t="str">
        <x:f>IF(CaseLedger!$A413="","",CaseLedger!S413)</x:f>
      </x:c>
      <x:c r="K413" t="str">
        <x:f>IF(CaseLedger!$A413="","",CaseLedger!T413)</x:f>
      </x:c>
      <x:c r="L413" t="str">
        <x:f>IF(CaseLedger!$A413="","",CaseLedger!U413)</x:f>
      </x:c>
      <x:c r="M413" t="str">
        <x:f>IF(CaseLedger!$A413="","",CaseLedger!V413)</x:f>
      </x:c>
      <x:c r="N413" t="str">
        <x:f>IF(CaseLedger!$A413="","",CaseLedger!W413)</x:f>
      </x:c>
      <x:c r="O413" t="str">
        <x:f>IF(CaseLedger!$A413="","",CaseLedger!X413)</x:f>
      </x:c>
      <x:c r="P413" t="str">
        <x:f>IF(CaseLedger!$A413="","",CaseLedger!E413)</x:f>
      </x:c>
      <x:c r="Q413" t="str">
        <x:f>IF(CaseLedger!$A413="","",CaseLedger!C413)</x:f>
      </x:c>
      <x:c r="R413" t="str">
        <x:f>IF(CaseLedger!$A413="","",CaseLedger!D413)</x:f>
      </x:c>
      <x:c r="S413" t="str">
        <x:f>IFERROR(IF(CaseLedger!$A413="","",CaseLedger!Y413),"")</x:f>
      </x:c>
      <x:c r="T413" t="str">
        <x:f>IFERROR(IF(CaseLedger!$A413="","",CaseLedger!Z413),"")</x:f>
      </x:c>
      <x:c r="U413" t="str">
        <x:f>IFERROR(IF(CaseLedger!$A413="","",CaseLedger!AA413),"")</x:f>
      </x:c>
      <x:c r="V413" t="str">
        <x:f>IFERROR(IF(CaseLedger!$A413="","",CaseLedger!AB413),"")</x:f>
      </x:c>
      <x:c r="W413" t="str">
        <x:f>IFERROR(IF(CaseLedger!$A413="","",CaseLedger!AC413),"")</x:f>
      </x:c>
      <x:c r="X413" t="str">
        <x:f>IFERROR(IF(CaseLedger!$A413="","",CaseLedger!AD413),"")</x:f>
      </x:c>
      <x:c r="Y413" t="str">
        <x:f>IFERROR(IF(CaseLedger!$A413="","",CaseLedger!AE413),"")</x:f>
      </x:c>
      <x:c r="Z413" t="str">
        <x:f>IFERROR(IF(CaseLedger!$A413="","",CaseLedger!AF413),"")</x:f>
      </x:c>
      <x:c r="AA413" t="str">
        <x:f>IFERROR(IF(CaseLedger!$A413="","",CaseLedger!AG413),"")</x:f>
      </x:c>
      <x:c r="AB413" t="str">
        <x:f>IFERROR(IF(CaseLedger!$A413="","",CaseLedger!AH413),"")</x:f>
      </x:c>
      <x:c r="AC413" t="str">
        <x:f>IFERROR(IF(CaseLedger!$A413="","",CaseLedger!AI413),"")</x:f>
      </x:c>
    </x:row>
    <x:row r="414">
      <x:c r="A414" t="str">
        <x:f>IF(CaseLedger!$A414="","",CaseLedger!A414)</x:f>
      </x:c>
      <x:c r="B414" t="str">
        <x:f>IF(CaseLedger!$A414="","",CaseLedger!I414)</x:f>
      </x:c>
      <x:c r="C414" t="str">
        <x:f>IF(CaseLedger!$A414="","",CaseLedger!J414)</x:f>
      </x:c>
      <x:c r="D414" t="str">
        <x:f>IF(CaseLedger!$A414="","",CaseLedger!K414)</x:f>
      </x:c>
      <x:c r="E414" t="str">
        <x:f>IF(CaseLedger!$A414="","",CaseLedger!L414)</x:f>
      </x:c>
      <x:c r="F414" t="str">
        <x:f>IF(CaseLedger!$A414="","",CaseLedger!P414)</x:f>
      </x:c>
      <x:c r="G414" t="str">
        <x:f>IF(CaseLedger!$A414="","",CaseLedger!F414)</x:f>
      </x:c>
      <x:c r="H414" t="str">
        <x:f>IF(CaseLedger!$A414="","",CaseLedger!Q414)</x:f>
      </x:c>
      <x:c r="I414" t="str">
        <x:f>IF(CaseLedger!$A414="","",CaseLedger!R414)</x:f>
      </x:c>
      <x:c r="J414" t="str">
        <x:f>IF(CaseLedger!$A414="","",CaseLedger!S414)</x:f>
      </x:c>
      <x:c r="K414" t="str">
        <x:f>IF(CaseLedger!$A414="","",CaseLedger!T414)</x:f>
      </x:c>
      <x:c r="L414" t="str">
        <x:f>IF(CaseLedger!$A414="","",CaseLedger!U414)</x:f>
      </x:c>
      <x:c r="M414" t="str">
        <x:f>IF(CaseLedger!$A414="","",CaseLedger!V414)</x:f>
      </x:c>
      <x:c r="N414" t="str">
        <x:f>IF(CaseLedger!$A414="","",CaseLedger!W414)</x:f>
      </x:c>
      <x:c r="O414" t="str">
        <x:f>IF(CaseLedger!$A414="","",CaseLedger!X414)</x:f>
      </x:c>
      <x:c r="P414" t="str">
        <x:f>IF(CaseLedger!$A414="","",CaseLedger!E414)</x:f>
      </x:c>
      <x:c r="Q414" t="str">
        <x:f>IF(CaseLedger!$A414="","",CaseLedger!C414)</x:f>
      </x:c>
      <x:c r="R414" t="str">
        <x:f>IF(CaseLedger!$A414="","",CaseLedger!D414)</x:f>
      </x:c>
      <x:c r="S414" t="str">
        <x:f>IFERROR(IF(CaseLedger!$A414="","",CaseLedger!Y414),"")</x:f>
      </x:c>
      <x:c r="T414" t="str">
        <x:f>IFERROR(IF(CaseLedger!$A414="","",CaseLedger!Z414),"")</x:f>
      </x:c>
      <x:c r="U414" t="str">
        <x:f>IFERROR(IF(CaseLedger!$A414="","",CaseLedger!AA414),"")</x:f>
      </x:c>
      <x:c r="V414" t="str">
        <x:f>IFERROR(IF(CaseLedger!$A414="","",CaseLedger!AB414),"")</x:f>
      </x:c>
      <x:c r="W414" t="str">
        <x:f>IFERROR(IF(CaseLedger!$A414="","",CaseLedger!AC414),"")</x:f>
      </x:c>
      <x:c r="X414" t="str">
        <x:f>IFERROR(IF(CaseLedger!$A414="","",CaseLedger!AD414),"")</x:f>
      </x:c>
      <x:c r="Y414" t="str">
        <x:f>IFERROR(IF(CaseLedger!$A414="","",CaseLedger!AE414),"")</x:f>
      </x:c>
      <x:c r="Z414" t="str">
        <x:f>IFERROR(IF(CaseLedger!$A414="","",CaseLedger!AF414),"")</x:f>
      </x:c>
      <x:c r="AA414" t="str">
        <x:f>IFERROR(IF(CaseLedger!$A414="","",CaseLedger!AG414),"")</x:f>
      </x:c>
      <x:c r="AB414" t="str">
        <x:f>IFERROR(IF(CaseLedger!$A414="","",CaseLedger!AH414),"")</x:f>
      </x:c>
      <x:c r="AC414" t="str">
        <x:f>IFERROR(IF(CaseLedger!$A414="","",CaseLedger!AI414),"")</x:f>
      </x:c>
    </x:row>
    <x:row r="415">
      <x:c r="A415" t="str">
        <x:f>IF(CaseLedger!$A415="","",CaseLedger!A415)</x:f>
      </x:c>
      <x:c r="B415" t="str">
        <x:f>IF(CaseLedger!$A415="","",CaseLedger!I415)</x:f>
      </x:c>
      <x:c r="C415" t="str">
        <x:f>IF(CaseLedger!$A415="","",CaseLedger!J415)</x:f>
      </x:c>
      <x:c r="D415" t="str">
        <x:f>IF(CaseLedger!$A415="","",CaseLedger!K415)</x:f>
      </x:c>
      <x:c r="E415" t="str">
        <x:f>IF(CaseLedger!$A415="","",CaseLedger!L415)</x:f>
      </x:c>
      <x:c r="F415" t="str">
        <x:f>IF(CaseLedger!$A415="","",CaseLedger!P415)</x:f>
      </x:c>
      <x:c r="G415" t="str">
        <x:f>IF(CaseLedger!$A415="","",CaseLedger!F415)</x:f>
      </x:c>
      <x:c r="H415" t="str">
        <x:f>IF(CaseLedger!$A415="","",CaseLedger!Q415)</x:f>
      </x:c>
      <x:c r="I415" t="str">
        <x:f>IF(CaseLedger!$A415="","",CaseLedger!R415)</x:f>
      </x:c>
      <x:c r="J415" t="str">
        <x:f>IF(CaseLedger!$A415="","",CaseLedger!S415)</x:f>
      </x:c>
      <x:c r="K415" t="str">
        <x:f>IF(CaseLedger!$A415="","",CaseLedger!T415)</x:f>
      </x:c>
      <x:c r="L415" t="str">
        <x:f>IF(CaseLedger!$A415="","",CaseLedger!U415)</x:f>
      </x:c>
      <x:c r="M415" t="str">
        <x:f>IF(CaseLedger!$A415="","",CaseLedger!V415)</x:f>
      </x:c>
      <x:c r="N415" t="str">
        <x:f>IF(CaseLedger!$A415="","",CaseLedger!W415)</x:f>
      </x:c>
      <x:c r="O415" t="str">
        <x:f>IF(CaseLedger!$A415="","",CaseLedger!X415)</x:f>
      </x:c>
      <x:c r="P415" t="str">
        <x:f>IF(CaseLedger!$A415="","",CaseLedger!E415)</x:f>
      </x:c>
      <x:c r="Q415" t="str">
        <x:f>IF(CaseLedger!$A415="","",CaseLedger!C415)</x:f>
      </x:c>
      <x:c r="R415" t="str">
        <x:f>IF(CaseLedger!$A415="","",CaseLedger!D415)</x:f>
      </x:c>
      <x:c r="S415" t="str">
        <x:f>IFERROR(IF(CaseLedger!$A415="","",CaseLedger!Y415),"")</x:f>
      </x:c>
      <x:c r="T415" t="str">
        <x:f>IFERROR(IF(CaseLedger!$A415="","",CaseLedger!Z415),"")</x:f>
      </x:c>
      <x:c r="U415" t="str">
        <x:f>IFERROR(IF(CaseLedger!$A415="","",CaseLedger!AA415),"")</x:f>
      </x:c>
      <x:c r="V415" t="str">
        <x:f>IFERROR(IF(CaseLedger!$A415="","",CaseLedger!AB415),"")</x:f>
      </x:c>
      <x:c r="W415" t="str">
        <x:f>IFERROR(IF(CaseLedger!$A415="","",CaseLedger!AC415),"")</x:f>
      </x:c>
      <x:c r="X415" t="str">
        <x:f>IFERROR(IF(CaseLedger!$A415="","",CaseLedger!AD415),"")</x:f>
      </x:c>
      <x:c r="Y415" t="str">
        <x:f>IFERROR(IF(CaseLedger!$A415="","",CaseLedger!AE415),"")</x:f>
      </x:c>
      <x:c r="Z415" t="str">
        <x:f>IFERROR(IF(CaseLedger!$A415="","",CaseLedger!AF415),"")</x:f>
      </x:c>
      <x:c r="AA415" t="str">
        <x:f>IFERROR(IF(CaseLedger!$A415="","",CaseLedger!AG415),"")</x:f>
      </x:c>
      <x:c r="AB415" t="str">
        <x:f>IFERROR(IF(CaseLedger!$A415="","",CaseLedger!AH415),"")</x:f>
      </x:c>
      <x:c r="AC415" t="str">
        <x:f>IFERROR(IF(CaseLedger!$A415="","",CaseLedger!AI415),"")</x:f>
      </x:c>
    </x:row>
    <x:row r="416">
      <x:c r="A416" t="str">
        <x:f>IF(CaseLedger!$A416="","",CaseLedger!A416)</x:f>
      </x:c>
      <x:c r="B416" t="str">
        <x:f>IF(CaseLedger!$A416="","",CaseLedger!I416)</x:f>
      </x:c>
      <x:c r="C416" t="str">
        <x:f>IF(CaseLedger!$A416="","",CaseLedger!J416)</x:f>
      </x:c>
      <x:c r="D416" t="str">
        <x:f>IF(CaseLedger!$A416="","",CaseLedger!K416)</x:f>
      </x:c>
      <x:c r="E416" t="str">
        <x:f>IF(CaseLedger!$A416="","",CaseLedger!L416)</x:f>
      </x:c>
      <x:c r="F416" t="str">
        <x:f>IF(CaseLedger!$A416="","",CaseLedger!P416)</x:f>
      </x:c>
      <x:c r="G416" t="str">
        <x:f>IF(CaseLedger!$A416="","",CaseLedger!F416)</x:f>
      </x:c>
      <x:c r="H416" t="str">
        <x:f>IF(CaseLedger!$A416="","",CaseLedger!Q416)</x:f>
      </x:c>
      <x:c r="I416" t="str">
        <x:f>IF(CaseLedger!$A416="","",CaseLedger!R416)</x:f>
      </x:c>
      <x:c r="J416" t="str">
        <x:f>IF(CaseLedger!$A416="","",CaseLedger!S416)</x:f>
      </x:c>
      <x:c r="K416" t="str">
        <x:f>IF(CaseLedger!$A416="","",CaseLedger!T416)</x:f>
      </x:c>
      <x:c r="L416" t="str">
        <x:f>IF(CaseLedger!$A416="","",CaseLedger!U416)</x:f>
      </x:c>
      <x:c r="M416" t="str">
        <x:f>IF(CaseLedger!$A416="","",CaseLedger!V416)</x:f>
      </x:c>
      <x:c r="N416" t="str">
        <x:f>IF(CaseLedger!$A416="","",CaseLedger!W416)</x:f>
      </x:c>
      <x:c r="O416" t="str">
        <x:f>IF(CaseLedger!$A416="","",CaseLedger!X416)</x:f>
      </x:c>
      <x:c r="P416" t="str">
        <x:f>IF(CaseLedger!$A416="","",CaseLedger!E416)</x:f>
      </x:c>
      <x:c r="Q416" t="str">
        <x:f>IF(CaseLedger!$A416="","",CaseLedger!C416)</x:f>
      </x:c>
      <x:c r="R416" t="str">
        <x:f>IF(CaseLedger!$A416="","",CaseLedger!D416)</x:f>
      </x:c>
      <x:c r="S416" t="str">
        <x:f>IFERROR(IF(CaseLedger!$A416="","",CaseLedger!Y416),"")</x:f>
      </x:c>
      <x:c r="T416" t="str">
        <x:f>IFERROR(IF(CaseLedger!$A416="","",CaseLedger!Z416),"")</x:f>
      </x:c>
      <x:c r="U416" t="str">
        <x:f>IFERROR(IF(CaseLedger!$A416="","",CaseLedger!AA416),"")</x:f>
      </x:c>
      <x:c r="V416" t="str">
        <x:f>IFERROR(IF(CaseLedger!$A416="","",CaseLedger!AB416),"")</x:f>
      </x:c>
      <x:c r="W416" t="str">
        <x:f>IFERROR(IF(CaseLedger!$A416="","",CaseLedger!AC416),"")</x:f>
      </x:c>
      <x:c r="X416" t="str">
        <x:f>IFERROR(IF(CaseLedger!$A416="","",CaseLedger!AD416),"")</x:f>
      </x:c>
      <x:c r="Y416" t="str">
        <x:f>IFERROR(IF(CaseLedger!$A416="","",CaseLedger!AE416),"")</x:f>
      </x:c>
      <x:c r="Z416" t="str">
        <x:f>IFERROR(IF(CaseLedger!$A416="","",CaseLedger!AF416),"")</x:f>
      </x:c>
      <x:c r="AA416" t="str">
        <x:f>IFERROR(IF(CaseLedger!$A416="","",CaseLedger!AG416),"")</x:f>
      </x:c>
      <x:c r="AB416" t="str">
        <x:f>IFERROR(IF(CaseLedger!$A416="","",CaseLedger!AH416),"")</x:f>
      </x:c>
      <x:c r="AC416" t="str">
        <x:f>IFERROR(IF(CaseLedger!$A416="","",CaseLedger!AI416),"")</x:f>
      </x:c>
    </x:row>
    <x:row r="417">
      <x:c r="A417" t="str">
        <x:f>IF(CaseLedger!$A417="","",CaseLedger!A417)</x:f>
      </x:c>
      <x:c r="B417" t="str">
        <x:f>IF(CaseLedger!$A417="","",CaseLedger!I417)</x:f>
      </x:c>
      <x:c r="C417" t="str">
        <x:f>IF(CaseLedger!$A417="","",CaseLedger!J417)</x:f>
      </x:c>
      <x:c r="D417" t="str">
        <x:f>IF(CaseLedger!$A417="","",CaseLedger!K417)</x:f>
      </x:c>
      <x:c r="E417" t="str">
        <x:f>IF(CaseLedger!$A417="","",CaseLedger!L417)</x:f>
      </x:c>
      <x:c r="F417" t="str">
        <x:f>IF(CaseLedger!$A417="","",CaseLedger!P417)</x:f>
      </x:c>
      <x:c r="G417" t="str">
        <x:f>IF(CaseLedger!$A417="","",CaseLedger!F417)</x:f>
      </x:c>
      <x:c r="H417" t="str">
        <x:f>IF(CaseLedger!$A417="","",CaseLedger!Q417)</x:f>
      </x:c>
      <x:c r="I417" t="str">
        <x:f>IF(CaseLedger!$A417="","",CaseLedger!R417)</x:f>
      </x:c>
      <x:c r="J417" t="str">
        <x:f>IF(CaseLedger!$A417="","",CaseLedger!S417)</x:f>
      </x:c>
      <x:c r="K417" t="str">
        <x:f>IF(CaseLedger!$A417="","",CaseLedger!T417)</x:f>
      </x:c>
      <x:c r="L417" t="str">
        <x:f>IF(CaseLedger!$A417="","",CaseLedger!U417)</x:f>
      </x:c>
      <x:c r="M417" t="str">
        <x:f>IF(CaseLedger!$A417="","",CaseLedger!V417)</x:f>
      </x:c>
      <x:c r="N417" t="str">
        <x:f>IF(CaseLedger!$A417="","",CaseLedger!W417)</x:f>
      </x:c>
      <x:c r="O417" t="str">
        <x:f>IF(CaseLedger!$A417="","",CaseLedger!X417)</x:f>
      </x:c>
      <x:c r="P417" t="str">
        <x:f>IF(CaseLedger!$A417="","",CaseLedger!E417)</x:f>
      </x:c>
      <x:c r="Q417" t="str">
        <x:f>IF(CaseLedger!$A417="","",CaseLedger!C417)</x:f>
      </x:c>
      <x:c r="R417" t="str">
        <x:f>IF(CaseLedger!$A417="","",CaseLedger!D417)</x:f>
      </x:c>
      <x:c r="S417" t="str">
        <x:f>IFERROR(IF(CaseLedger!$A417="","",CaseLedger!Y417),"")</x:f>
      </x:c>
      <x:c r="T417" t="str">
        <x:f>IFERROR(IF(CaseLedger!$A417="","",CaseLedger!Z417),"")</x:f>
      </x:c>
      <x:c r="U417" t="str">
        <x:f>IFERROR(IF(CaseLedger!$A417="","",CaseLedger!AA417),"")</x:f>
      </x:c>
      <x:c r="V417" t="str">
        <x:f>IFERROR(IF(CaseLedger!$A417="","",CaseLedger!AB417),"")</x:f>
      </x:c>
      <x:c r="W417" t="str">
        <x:f>IFERROR(IF(CaseLedger!$A417="","",CaseLedger!AC417),"")</x:f>
      </x:c>
      <x:c r="X417" t="str">
        <x:f>IFERROR(IF(CaseLedger!$A417="","",CaseLedger!AD417),"")</x:f>
      </x:c>
      <x:c r="Y417" t="str">
        <x:f>IFERROR(IF(CaseLedger!$A417="","",CaseLedger!AE417),"")</x:f>
      </x:c>
      <x:c r="Z417" t="str">
        <x:f>IFERROR(IF(CaseLedger!$A417="","",CaseLedger!AF417),"")</x:f>
      </x:c>
      <x:c r="AA417" t="str">
        <x:f>IFERROR(IF(CaseLedger!$A417="","",CaseLedger!AG417),"")</x:f>
      </x:c>
      <x:c r="AB417" t="str">
        <x:f>IFERROR(IF(CaseLedger!$A417="","",CaseLedger!AH417),"")</x:f>
      </x:c>
      <x:c r="AC417" t="str">
        <x:f>IFERROR(IF(CaseLedger!$A417="","",CaseLedger!AI417),"")</x:f>
      </x:c>
    </x:row>
    <x:row r="418">
      <x:c r="A418" t="str">
        <x:f>IF(CaseLedger!$A418="","",CaseLedger!A418)</x:f>
      </x:c>
      <x:c r="B418" t="str">
        <x:f>IF(CaseLedger!$A418="","",CaseLedger!I418)</x:f>
      </x:c>
      <x:c r="C418" t="str">
        <x:f>IF(CaseLedger!$A418="","",CaseLedger!J418)</x:f>
      </x:c>
      <x:c r="D418" t="str">
        <x:f>IF(CaseLedger!$A418="","",CaseLedger!K418)</x:f>
      </x:c>
      <x:c r="E418" t="str">
        <x:f>IF(CaseLedger!$A418="","",CaseLedger!L418)</x:f>
      </x:c>
      <x:c r="F418" t="str">
        <x:f>IF(CaseLedger!$A418="","",CaseLedger!P418)</x:f>
      </x:c>
      <x:c r="G418" t="str">
        <x:f>IF(CaseLedger!$A418="","",CaseLedger!F418)</x:f>
      </x:c>
      <x:c r="H418" t="str">
        <x:f>IF(CaseLedger!$A418="","",CaseLedger!Q418)</x:f>
      </x:c>
      <x:c r="I418" t="str">
        <x:f>IF(CaseLedger!$A418="","",CaseLedger!R418)</x:f>
      </x:c>
      <x:c r="J418" t="str">
        <x:f>IF(CaseLedger!$A418="","",CaseLedger!S418)</x:f>
      </x:c>
      <x:c r="K418" t="str">
        <x:f>IF(CaseLedger!$A418="","",CaseLedger!T418)</x:f>
      </x:c>
      <x:c r="L418" t="str">
        <x:f>IF(CaseLedger!$A418="","",CaseLedger!U418)</x:f>
      </x:c>
      <x:c r="M418" t="str">
        <x:f>IF(CaseLedger!$A418="","",CaseLedger!V418)</x:f>
      </x:c>
      <x:c r="N418" t="str">
        <x:f>IF(CaseLedger!$A418="","",CaseLedger!W418)</x:f>
      </x:c>
      <x:c r="O418" t="str">
        <x:f>IF(CaseLedger!$A418="","",CaseLedger!X418)</x:f>
      </x:c>
      <x:c r="P418" t="str">
        <x:f>IF(CaseLedger!$A418="","",CaseLedger!E418)</x:f>
      </x:c>
      <x:c r="Q418" t="str">
        <x:f>IF(CaseLedger!$A418="","",CaseLedger!C418)</x:f>
      </x:c>
      <x:c r="R418" t="str">
        <x:f>IF(CaseLedger!$A418="","",CaseLedger!D418)</x:f>
      </x:c>
      <x:c r="S418" t="str">
        <x:f>IFERROR(IF(CaseLedger!$A418="","",CaseLedger!Y418),"")</x:f>
      </x:c>
      <x:c r="T418" t="str">
        <x:f>IFERROR(IF(CaseLedger!$A418="","",CaseLedger!Z418),"")</x:f>
      </x:c>
      <x:c r="U418" t="str">
        <x:f>IFERROR(IF(CaseLedger!$A418="","",CaseLedger!AA418),"")</x:f>
      </x:c>
      <x:c r="V418" t="str">
        <x:f>IFERROR(IF(CaseLedger!$A418="","",CaseLedger!AB418),"")</x:f>
      </x:c>
      <x:c r="W418" t="str">
        <x:f>IFERROR(IF(CaseLedger!$A418="","",CaseLedger!AC418),"")</x:f>
      </x:c>
      <x:c r="X418" t="str">
        <x:f>IFERROR(IF(CaseLedger!$A418="","",CaseLedger!AD418),"")</x:f>
      </x:c>
      <x:c r="Y418" t="str">
        <x:f>IFERROR(IF(CaseLedger!$A418="","",CaseLedger!AE418),"")</x:f>
      </x:c>
      <x:c r="Z418" t="str">
        <x:f>IFERROR(IF(CaseLedger!$A418="","",CaseLedger!AF418),"")</x:f>
      </x:c>
      <x:c r="AA418" t="str">
        <x:f>IFERROR(IF(CaseLedger!$A418="","",CaseLedger!AG418),"")</x:f>
      </x:c>
      <x:c r="AB418" t="str">
        <x:f>IFERROR(IF(CaseLedger!$A418="","",CaseLedger!AH418),"")</x:f>
      </x:c>
      <x:c r="AC418" t="str">
        <x:f>IFERROR(IF(CaseLedger!$A418="","",CaseLedger!AI418),"")</x:f>
      </x:c>
    </x:row>
    <x:row r="419">
      <x:c r="A419" t="str">
        <x:f>IF(CaseLedger!$A419="","",CaseLedger!A419)</x:f>
      </x:c>
      <x:c r="B419" t="str">
        <x:f>IF(CaseLedger!$A419="","",CaseLedger!I419)</x:f>
      </x:c>
      <x:c r="C419" t="str">
        <x:f>IF(CaseLedger!$A419="","",CaseLedger!J419)</x:f>
      </x:c>
      <x:c r="D419" t="str">
        <x:f>IF(CaseLedger!$A419="","",CaseLedger!K419)</x:f>
      </x:c>
      <x:c r="E419" t="str">
        <x:f>IF(CaseLedger!$A419="","",CaseLedger!L419)</x:f>
      </x:c>
      <x:c r="F419" t="str">
        <x:f>IF(CaseLedger!$A419="","",CaseLedger!P419)</x:f>
      </x:c>
      <x:c r="G419" t="str">
        <x:f>IF(CaseLedger!$A419="","",CaseLedger!F419)</x:f>
      </x:c>
      <x:c r="H419" t="str">
        <x:f>IF(CaseLedger!$A419="","",CaseLedger!Q419)</x:f>
      </x:c>
      <x:c r="I419" t="str">
        <x:f>IF(CaseLedger!$A419="","",CaseLedger!R419)</x:f>
      </x:c>
      <x:c r="J419" t="str">
        <x:f>IF(CaseLedger!$A419="","",CaseLedger!S419)</x:f>
      </x:c>
      <x:c r="K419" t="str">
        <x:f>IF(CaseLedger!$A419="","",CaseLedger!T419)</x:f>
      </x:c>
      <x:c r="L419" t="str">
        <x:f>IF(CaseLedger!$A419="","",CaseLedger!U419)</x:f>
      </x:c>
      <x:c r="M419" t="str">
        <x:f>IF(CaseLedger!$A419="","",CaseLedger!V419)</x:f>
      </x:c>
      <x:c r="N419" t="str">
        <x:f>IF(CaseLedger!$A419="","",CaseLedger!W419)</x:f>
      </x:c>
      <x:c r="O419" t="str">
        <x:f>IF(CaseLedger!$A419="","",CaseLedger!X419)</x:f>
      </x:c>
      <x:c r="P419" t="str">
        <x:f>IF(CaseLedger!$A419="","",CaseLedger!E419)</x:f>
      </x:c>
      <x:c r="Q419" t="str">
        <x:f>IF(CaseLedger!$A419="","",CaseLedger!C419)</x:f>
      </x:c>
      <x:c r="R419" t="str">
        <x:f>IF(CaseLedger!$A419="","",CaseLedger!D419)</x:f>
      </x:c>
      <x:c r="S419" t="str">
        <x:f>IFERROR(IF(CaseLedger!$A419="","",CaseLedger!Y419),"")</x:f>
      </x:c>
      <x:c r="T419" t="str">
        <x:f>IFERROR(IF(CaseLedger!$A419="","",CaseLedger!Z419),"")</x:f>
      </x:c>
      <x:c r="U419" t="str">
        <x:f>IFERROR(IF(CaseLedger!$A419="","",CaseLedger!AA419),"")</x:f>
      </x:c>
      <x:c r="V419" t="str">
        <x:f>IFERROR(IF(CaseLedger!$A419="","",CaseLedger!AB419),"")</x:f>
      </x:c>
      <x:c r="W419" t="str">
        <x:f>IFERROR(IF(CaseLedger!$A419="","",CaseLedger!AC419),"")</x:f>
      </x:c>
      <x:c r="X419" t="str">
        <x:f>IFERROR(IF(CaseLedger!$A419="","",CaseLedger!AD419),"")</x:f>
      </x:c>
      <x:c r="Y419" t="str">
        <x:f>IFERROR(IF(CaseLedger!$A419="","",CaseLedger!AE419),"")</x:f>
      </x:c>
      <x:c r="Z419" t="str">
        <x:f>IFERROR(IF(CaseLedger!$A419="","",CaseLedger!AF419),"")</x:f>
      </x:c>
      <x:c r="AA419" t="str">
        <x:f>IFERROR(IF(CaseLedger!$A419="","",CaseLedger!AG419),"")</x:f>
      </x:c>
      <x:c r="AB419" t="str">
        <x:f>IFERROR(IF(CaseLedger!$A419="","",CaseLedger!AH419),"")</x:f>
      </x:c>
      <x:c r="AC419" t="str">
        <x:f>IFERROR(IF(CaseLedger!$A419="","",CaseLedger!AI419),"")</x:f>
      </x:c>
    </x:row>
    <x:row r="420">
      <x:c r="A420" t="str">
        <x:f>IF(CaseLedger!$A420="","",CaseLedger!A420)</x:f>
      </x:c>
      <x:c r="B420" t="str">
        <x:f>IF(CaseLedger!$A420="","",CaseLedger!I420)</x:f>
      </x:c>
      <x:c r="C420" t="str">
        <x:f>IF(CaseLedger!$A420="","",CaseLedger!J420)</x:f>
      </x:c>
      <x:c r="D420" t="str">
        <x:f>IF(CaseLedger!$A420="","",CaseLedger!K420)</x:f>
      </x:c>
      <x:c r="E420" t="str">
        <x:f>IF(CaseLedger!$A420="","",CaseLedger!L420)</x:f>
      </x:c>
      <x:c r="F420" t="str">
        <x:f>IF(CaseLedger!$A420="","",CaseLedger!P420)</x:f>
      </x:c>
      <x:c r="G420" t="str">
        <x:f>IF(CaseLedger!$A420="","",CaseLedger!F420)</x:f>
      </x:c>
      <x:c r="H420" t="str">
        <x:f>IF(CaseLedger!$A420="","",CaseLedger!Q420)</x:f>
      </x:c>
      <x:c r="I420" t="str">
        <x:f>IF(CaseLedger!$A420="","",CaseLedger!R420)</x:f>
      </x:c>
      <x:c r="J420" t="str">
        <x:f>IF(CaseLedger!$A420="","",CaseLedger!S420)</x:f>
      </x:c>
      <x:c r="K420" t="str">
        <x:f>IF(CaseLedger!$A420="","",CaseLedger!T420)</x:f>
      </x:c>
      <x:c r="L420" t="str">
        <x:f>IF(CaseLedger!$A420="","",CaseLedger!U420)</x:f>
      </x:c>
      <x:c r="M420" t="str">
        <x:f>IF(CaseLedger!$A420="","",CaseLedger!V420)</x:f>
      </x:c>
      <x:c r="N420" t="str">
        <x:f>IF(CaseLedger!$A420="","",CaseLedger!W420)</x:f>
      </x:c>
      <x:c r="O420" t="str">
        <x:f>IF(CaseLedger!$A420="","",CaseLedger!X420)</x:f>
      </x:c>
      <x:c r="P420" t="str">
        <x:f>IF(CaseLedger!$A420="","",CaseLedger!E420)</x:f>
      </x:c>
      <x:c r="Q420" t="str">
        <x:f>IF(CaseLedger!$A420="","",CaseLedger!C420)</x:f>
      </x:c>
      <x:c r="R420" t="str">
        <x:f>IF(CaseLedger!$A420="","",CaseLedger!D420)</x:f>
      </x:c>
      <x:c r="S420" t="str">
        <x:f>IFERROR(IF(CaseLedger!$A420="","",CaseLedger!Y420),"")</x:f>
      </x:c>
      <x:c r="T420" t="str">
        <x:f>IFERROR(IF(CaseLedger!$A420="","",CaseLedger!Z420),"")</x:f>
      </x:c>
      <x:c r="U420" t="str">
        <x:f>IFERROR(IF(CaseLedger!$A420="","",CaseLedger!AA420),"")</x:f>
      </x:c>
      <x:c r="V420" t="str">
        <x:f>IFERROR(IF(CaseLedger!$A420="","",CaseLedger!AB420),"")</x:f>
      </x:c>
      <x:c r="W420" t="str">
        <x:f>IFERROR(IF(CaseLedger!$A420="","",CaseLedger!AC420),"")</x:f>
      </x:c>
      <x:c r="X420" t="str">
        <x:f>IFERROR(IF(CaseLedger!$A420="","",CaseLedger!AD420),"")</x:f>
      </x:c>
      <x:c r="Y420" t="str">
        <x:f>IFERROR(IF(CaseLedger!$A420="","",CaseLedger!AE420),"")</x:f>
      </x:c>
      <x:c r="Z420" t="str">
        <x:f>IFERROR(IF(CaseLedger!$A420="","",CaseLedger!AF420),"")</x:f>
      </x:c>
      <x:c r="AA420" t="str">
        <x:f>IFERROR(IF(CaseLedger!$A420="","",CaseLedger!AG420),"")</x:f>
      </x:c>
      <x:c r="AB420" t="str">
        <x:f>IFERROR(IF(CaseLedger!$A420="","",CaseLedger!AH420),"")</x:f>
      </x:c>
      <x:c r="AC420" t="str">
        <x:f>IFERROR(IF(CaseLedger!$A420="","",CaseLedger!AI420),"")</x:f>
      </x:c>
    </x:row>
    <x:row r="421">
      <x:c r="A421" t="str">
        <x:f>IF(CaseLedger!$A421="","",CaseLedger!A421)</x:f>
      </x:c>
      <x:c r="B421" t="str">
        <x:f>IF(CaseLedger!$A421="","",CaseLedger!I421)</x:f>
      </x:c>
      <x:c r="C421" t="str">
        <x:f>IF(CaseLedger!$A421="","",CaseLedger!J421)</x:f>
      </x:c>
      <x:c r="D421" t="str">
        <x:f>IF(CaseLedger!$A421="","",CaseLedger!K421)</x:f>
      </x:c>
      <x:c r="E421" t="str">
        <x:f>IF(CaseLedger!$A421="","",CaseLedger!L421)</x:f>
      </x:c>
      <x:c r="F421" t="str">
        <x:f>IF(CaseLedger!$A421="","",CaseLedger!P421)</x:f>
      </x:c>
      <x:c r="G421" t="str">
        <x:f>IF(CaseLedger!$A421="","",CaseLedger!F421)</x:f>
      </x:c>
      <x:c r="H421" t="str">
        <x:f>IF(CaseLedger!$A421="","",CaseLedger!Q421)</x:f>
      </x:c>
      <x:c r="I421" t="str">
        <x:f>IF(CaseLedger!$A421="","",CaseLedger!R421)</x:f>
      </x:c>
      <x:c r="J421" t="str">
        <x:f>IF(CaseLedger!$A421="","",CaseLedger!S421)</x:f>
      </x:c>
      <x:c r="K421" t="str">
        <x:f>IF(CaseLedger!$A421="","",CaseLedger!T421)</x:f>
      </x:c>
      <x:c r="L421" t="str">
        <x:f>IF(CaseLedger!$A421="","",CaseLedger!U421)</x:f>
      </x:c>
      <x:c r="M421" t="str">
        <x:f>IF(CaseLedger!$A421="","",CaseLedger!V421)</x:f>
      </x:c>
      <x:c r="N421" t="str">
        <x:f>IF(CaseLedger!$A421="","",CaseLedger!W421)</x:f>
      </x:c>
      <x:c r="O421" t="str">
        <x:f>IF(CaseLedger!$A421="","",CaseLedger!X421)</x:f>
      </x:c>
      <x:c r="P421" t="str">
        <x:f>IF(CaseLedger!$A421="","",CaseLedger!E421)</x:f>
      </x:c>
      <x:c r="Q421" t="str">
        <x:f>IF(CaseLedger!$A421="","",CaseLedger!C421)</x:f>
      </x:c>
      <x:c r="R421" t="str">
        <x:f>IF(CaseLedger!$A421="","",CaseLedger!D421)</x:f>
      </x:c>
      <x:c r="S421" t="str">
        <x:f>IFERROR(IF(CaseLedger!$A421="","",CaseLedger!Y421),"")</x:f>
      </x:c>
      <x:c r="T421" t="str">
        <x:f>IFERROR(IF(CaseLedger!$A421="","",CaseLedger!Z421),"")</x:f>
      </x:c>
      <x:c r="U421" t="str">
        <x:f>IFERROR(IF(CaseLedger!$A421="","",CaseLedger!AA421),"")</x:f>
      </x:c>
      <x:c r="V421" t="str">
        <x:f>IFERROR(IF(CaseLedger!$A421="","",CaseLedger!AB421),"")</x:f>
      </x:c>
      <x:c r="W421" t="str">
        <x:f>IFERROR(IF(CaseLedger!$A421="","",CaseLedger!AC421),"")</x:f>
      </x:c>
      <x:c r="X421" t="str">
        <x:f>IFERROR(IF(CaseLedger!$A421="","",CaseLedger!AD421),"")</x:f>
      </x:c>
      <x:c r="Y421" t="str">
        <x:f>IFERROR(IF(CaseLedger!$A421="","",CaseLedger!AE421),"")</x:f>
      </x:c>
      <x:c r="Z421" t="str">
        <x:f>IFERROR(IF(CaseLedger!$A421="","",CaseLedger!AF421),"")</x:f>
      </x:c>
      <x:c r="AA421" t="str">
        <x:f>IFERROR(IF(CaseLedger!$A421="","",CaseLedger!AG421),"")</x:f>
      </x:c>
      <x:c r="AB421" t="str">
        <x:f>IFERROR(IF(CaseLedger!$A421="","",CaseLedger!AH421),"")</x:f>
      </x:c>
      <x:c r="AC421" t="str">
        <x:f>IFERROR(IF(CaseLedger!$A421="","",CaseLedger!AI421),"")</x:f>
      </x:c>
    </x:row>
    <x:row r="422">
      <x:c r="A422" t="str">
        <x:f>IF(CaseLedger!$A422="","",CaseLedger!A422)</x:f>
      </x:c>
      <x:c r="B422" t="str">
        <x:f>IF(CaseLedger!$A422="","",CaseLedger!I422)</x:f>
      </x:c>
      <x:c r="C422" t="str">
        <x:f>IF(CaseLedger!$A422="","",CaseLedger!J422)</x:f>
      </x:c>
      <x:c r="D422" t="str">
        <x:f>IF(CaseLedger!$A422="","",CaseLedger!K422)</x:f>
      </x:c>
      <x:c r="E422" t="str">
        <x:f>IF(CaseLedger!$A422="","",CaseLedger!L422)</x:f>
      </x:c>
      <x:c r="F422" t="str">
        <x:f>IF(CaseLedger!$A422="","",CaseLedger!P422)</x:f>
      </x:c>
      <x:c r="G422" t="str">
        <x:f>IF(CaseLedger!$A422="","",CaseLedger!F422)</x:f>
      </x:c>
      <x:c r="H422" t="str">
        <x:f>IF(CaseLedger!$A422="","",CaseLedger!Q422)</x:f>
      </x:c>
      <x:c r="I422" t="str">
        <x:f>IF(CaseLedger!$A422="","",CaseLedger!R422)</x:f>
      </x:c>
      <x:c r="J422" t="str">
        <x:f>IF(CaseLedger!$A422="","",CaseLedger!S422)</x:f>
      </x:c>
      <x:c r="K422" t="str">
        <x:f>IF(CaseLedger!$A422="","",CaseLedger!T422)</x:f>
      </x:c>
      <x:c r="L422" t="str">
        <x:f>IF(CaseLedger!$A422="","",CaseLedger!U422)</x:f>
      </x:c>
      <x:c r="M422" t="str">
        <x:f>IF(CaseLedger!$A422="","",CaseLedger!V422)</x:f>
      </x:c>
      <x:c r="N422" t="str">
        <x:f>IF(CaseLedger!$A422="","",CaseLedger!W422)</x:f>
      </x:c>
      <x:c r="O422" t="str">
        <x:f>IF(CaseLedger!$A422="","",CaseLedger!X422)</x:f>
      </x:c>
      <x:c r="P422" t="str">
        <x:f>IF(CaseLedger!$A422="","",CaseLedger!E422)</x:f>
      </x:c>
      <x:c r="Q422" t="str">
        <x:f>IF(CaseLedger!$A422="","",CaseLedger!C422)</x:f>
      </x:c>
      <x:c r="R422" t="str">
        <x:f>IF(CaseLedger!$A422="","",CaseLedger!D422)</x:f>
      </x:c>
      <x:c r="S422" t="str">
        <x:f>IFERROR(IF(CaseLedger!$A422="","",CaseLedger!Y422),"")</x:f>
      </x:c>
      <x:c r="T422" t="str">
        <x:f>IFERROR(IF(CaseLedger!$A422="","",CaseLedger!Z422),"")</x:f>
      </x:c>
      <x:c r="U422" t="str">
        <x:f>IFERROR(IF(CaseLedger!$A422="","",CaseLedger!AA422),"")</x:f>
      </x:c>
      <x:c r="V422" t="str">
        <x:f>IFERROR(IF(CaseLedger!$A422="","",CaseLedger!AB422),"")</x:f>
      </x:c>
      <x:c r="W422" t="str">
        <x:f>IFERROR(IF(CaseLedger!$A422="","",CaseLedger!AC422),"")</x:f>
      </x:c>
      <x:c r="X422" t="str">
        <x:f>IFERROR(IF(CaseLedger!$A422="","",CaseLedger!AD422),"")</x:f>
      </x:c>
      <x:c r="Y422" t="str">
        <x:f>IFERROR(IF(CaseLedger!$A422="","",CaseLedger!AE422),"")</x:f>
      </x:c>
      <x:c r="Z422" t="str">
        <x:f>IFERROR(IF(CaseLedger!$A422="","",CaseLedger!AF422),"")</x:f>
      </x:c>
      <x:c r="AA422" t="str">
        <x:f>IFERROR(IF(CaseLedger!$A422="","",CaseLedger!AG422),"")</x:f>
      </x:c>
      <x:c r="AB422" t="str">
        <x:f>IFERROR(IF(CaseLedger!$A422="","",CaseLedger!AH422),"")</x:f>
      </x:c>
      <x:c r="AC422" t="str">
        <x:f>IFERROR(IF(CaseLedger!$A422="","",CaseLedger!AI422),"")</x:f>
      </x:c>
    </x:row>
    <x:row r="423">
      <x:c r="A423" t="str">
        <x:f>IF(CaseLedger!$A423="","",CaseLedger!A423)</x:f>
      </x:c>
      <x:c r="B423" t="str">
        <x:f>IF(CaseLedger!$A423="","",CaseLedger!I423)</x:f>
      </x:c>
      <x:c r="C423" t="str">
        <x:f>IF(CaseLedger!$A423="","",CaseLedger!J423)</x:f>
      </x:c>
      <x:c r="D423" t="str">
        <x:f>IF(CaseLedger!$A423="","",CaseLedger!K423)</x:f>
      </x:c>
      <x:c r="E423" t="str">
        <x:f>IF(CaseLedger!$A423="","",CaseLedger!L423)</x:f>
      </x:c>
      <x:c r="F423" t="str">
        <x:f>IF(CaseLedger!$A423="","",CaseLedger!P423)</x:f>
      </x:c>
      <x:c r="G423" t="str">
        <x:f>IF(CaseLedger!$A423="","",CaseLedger!F423)</x:f>
      </x:c>
      <x:c r="H423" t="str">
        <x:f>IF(CaseLedger!$A423="","",CaseLedger!Q423)</x:f>
      </x:c>
      <x:c r="I423" t="str">
        <x:f>IF(CaseLedger!$A423="","",CaseLedger!R423)</x:f>
      </x:c>
      <x:c r="J423" t="str">
        <x:f>IF(CaseLedger!$A423="","",CaseLedger!S423)</x:f>
      </x:c>
      <x:c r="K423" t="str">
        <x:f>IF(CaseLedger!$A423="","",CaseLedger!T423)</x:f>
      </x:c>
      <x:c r="L423" t="str">
        <x:f>IF(CaseLedger!$A423="","",CaseLedger!U423)</x:f>
      </x:c>
      <x:c r="M423" t="str">
        <x:f>IF(CaseLedger!$A423="","",CaseLedger!V423)</x:f>
      </x:c>
      <x:c r="N423" t="str">
        <x:f>IF(CaseLedger!$A423="","",CaseLedger!W423)</x:f>
      </x:c>
      <x:c r="O423" t="str">
        <x:f>IF(CaseLedger!$A423="","",CaseLedger!X423)</x:f>
      </x:c>
      <x:c r="P423" t="str">
        <x:f>IF(CaseLedger!$A423="","",CaseLedger!E423)</x:f>
      </x:c>
      <x:c r="Q423" t="str">
        <x:f>IF(CaseLedger!$A423="","",CaseLedger!C423)</x:f>
      </x:c>
      <x:c r="R423" t="str">
        <x:f>IF(CaseLedger!$A423="","",CaseLedger!D423)</x:f>
      </x:c>
      <x:c r="S423" t="str">
        <x:f>IFERROR(IF(CaseLedger!$A423="","",CaseLedger!Y423),"")</x:f>
      </x:c>
      <x:c r="T423" t="str">
        <x:f>IFERROR(IF(CaseLedger!$A423="","",CaseLedger!Z423),"")</x:f>
      </x:c>
      <x:c r="U423" t="str">
        <x:f>IFERROR(IF(CaseLedger!$A423="","",CaseLedger!AA423),"")</x:f>
      </x:c>
      <x:c r="V423" t="str">
        <x:f>IFERROR(IF(CaseLedger!$A423="","",CaseLedger!AB423),"")</x:f>
      </x:c>
      <x:c r="W423" t="str">
        <x:f>IFERROR(IF(CaseLedger!$A423="","",CaseLedger!AC423),"")</x:f>
      </x:c>
      <x:c r="X423" t="str">
        <x:f>IFERROR(IF(CaseLedger!$A423="","",CaseLedger!AD423),"")</x:f>
      </x:c>
      <x:c r="Y423" t="str">
        <x:f>IFERROR(IF(CaseLedger!$A423="","",CaseLedger!AE423),"")</x:f>
      </x:c>
      <x:c r="Z423" t="str">
        <x:f>IFERROR(IF(CaseLedger!$A423="","",CaseLedger!AF423),"")</x:f>
      </x:c>
      <x:c r="AA423" t="str">
        <x:f>IFERROR(IF(CaseLedger!$A423="","",CaseLedger!AG423),"")</x:f>
      </x:c>
      <x:c r="AB423" t="str">
        <x:f>IFERROR(IF(CaseLedger!$A423="","",CaseLedger!AH423),"")</x:f>
      </x:c>
      <x:c r="AC423" t="str">
        <x:f>IFERROR(IF(CaseLedger!$A423="","",CaseLedger!AI423),"")</x:f>
      </x:c>
    </x:row>
    <x:row r="424">
      <x:c r="A424" t="str">
        <x:f>IF(CaseLedger!$A424="","",CaseLedger!A424)</x:f>
      </x:c>
      <x:c r="B424" t="str">
        <x:f>IF(CaseLedger!$A424="","",CaseLedger!I424)</x:f>
      </x:c>
      <x:c r="C424" t="str">
        <x:f>IF(CaseLedger!$A424="","",CaseLedger!J424)</x:f>
      </x:c>
      <x:c r="D424" t="str">
        <x:f>IF(CaseLedger!$A424="","",CaseLedger!K424)</x:f>
      </x:c>
      <x:c r="E424" t="str">
        <x:f>IF(CaseLedger!$A424="","",CaseLedger!L424)</x:f>
      </x:c>
      <x:c r="F424" t="str">
        <x:f>IF(CaseLedger!$A424="","",CaseLedger!P424)</x:f>
      </x:c>
      <x:c r="G424" t="str">
        <x:f>IF(CaseLedger!$A424="","",CaseLedger!F424)</x:f>
      </x:c>
      <x:c r="H424" t="str">
        <x:f>IF(CaseLedger!$A424="","",CaseLedger!Q424)</x:f>
      </x:c>
      <x:c r="I424" t="str">
        <x:f>IF(CaseLedger!$A424="","",CaseLedger!R424)</x:f>
      </x:c>
      <x:c r="J424" t="str">
        <x:f>IF(CaseLedger!$A424="","",CaseLedger!S424)</x:f>
      </x:c>
      <x:c r="K424" t="str">
        <x:f>IF(CaseLedger!$A424="","",CaseLedger!T424)</x:f>
      </x:c>
      <x:c r="L424" t="str">
        <x:f>IF(CaseLedger!$A424="","",CaseLedger!U424)</x:f>
      </x:c>
      <x:c r="M424" t="str">
        <x:f>IF(CaseLedger!$A424="","",CaseLedger!V424)</x:f>
      </x:c>
      <x:c r="N424" t="str">
        <x:f>IF(CaseLedger!$A424="","",CaseLedger!W424)</x:f>
      </x:c>
      <x:c r="O424" t="str">
        <x:f>IF(CaseLedger!$A424="","",CaseLedger!X424)</x:f>
      </x:c>
      <x:c r="P424" t="str">
        <x:f>IF(CaseLedger!$A424="","",CaseLedger!E424)</x:f>
      </x:c>
      <x:c r="Q424" t="str">
        <x:f>IF(CaseLedger!$A424="","",CaseLedger!C424)</x:f>
      </x:c>
      <x:c r="R424" t="str">
        <x:f>IF(CaseLedger!$A424="","",CaseLedger!D424)</x:f>
      </x:c>
      <x:c r="S424" t="str">
        <x:f>IFERROR(IF(CaseLedger!$A424="","",CaseLedger!Y424),"")</x:f>
      </x:c>
      <x:c r="T424" t="str">
        <x:f>IFERROR(IF(CaseLedger!$A424="","",CaseLedger!Z424),"")</x:f>
      </x:c>
      <x:c r="U424" t="str">
        <x:f>IFERROR(IF(CaseLedger!$A424="","",CaseLedger!AA424),"")</x:f>
      </x:c>
      <x:c r="V424" t="str">
        <x:f>IFERROR(IF(CaseLedger!$A424="","",CaseLedger!AB424),"")</x:f>
      </x:c>
      <x:c r="W424" t="str">
        <x:f>IFERROR(IF(CaseLedger!$A424="","",CaseLedger!AC424),"")</x:f>
      </x:c>
      <x:c r="X424" t="str">
        <x:f>IFERROR(IF(CaseLedger!$A424="","",CaseLedger!AD424),"")</x:f>
      </x:c>
      <x:c r="Y424" t="str">
        <x:f>IFERROR(IF(CaseLedger!$A424="","",CaseLedger!AE424),"")</x:f>
      </x:c>
      <x:c r="Z424" t="str">
        <x:f>IFERROR(IF(CaseLedger!$A424="","",CaseLedger!AF424),"")</x:f>
      </x:c>
      <x:c r="AA424" t="str">
        <x:f>IFERROR(IF(CaseLedger!$A424="","",CaseLedger!AG424),"")</x:f>
      </x:c>
      <x:c r="AB424" t="str">
        <x:f>IFERROR(IF(CaseLedger!$A424="","",CaseLedger!AH424),"")</x:f>
      </x:c>
      <x:c r="AC424" t="str">
        <x:f>IFERROR(IF(CaseLedger!$A424="","",CaseLedger!AI424),"")</x:f>
      </x:c>
    </x:row>
    <x:row r="425">
      <x:c r="A425" t="str">
        <x:f>IF(CaseLedger!$A425="","",CaseLedger!A425)</x:f>
      </x:c>
      <x:c r="B425" t="str">
        <x:f>IF(CaseLedger!$A425="","",CaseLedger!I425)</x:f>
      </x:c>
      <x:c r="C425" t="str">
        <x:f>IF(CaseLedger!$A425="","",CaseLedger!J425)</x:f>
      </x:c>
      <x:c r="D425" t="str">
        <x:f>IF(CaseLedger!$A425="","",CaseLedger!K425)</x:f>
      </x:c>
      <x:c r="E425" t="str">
        <x:f>IF(CaseLedger!$A425="","",CaseLedger!L425)</x:f>
      </x:c>
      <x:c r="F425" t="str">
        <x:f>IF(CaseLedger!$A425="","",CaseLedger!P425)</x:f>
      </x:c>
      <x:c r="G425" t="str">
        <x:f>IF(CaseLedger!$A425="","",CaseLedger!F425)</x:f>
      </x:c>
      <x:c r="H425" t="str">
        <x:f>IF(CaseLedger!$A425="","",CaseLedger!Q425)</x:f>
      </x:c>
      <x:c r="I425" t="str">
        <x:f>IF(CaseLedger!$A425="","",CaseLedger!R425)</x:f>
      </x:c>
      <x:c r="J425" t="str">
        <x:f>IF(CaseLedger!$A425="","",CaseLedger!S425)</x:f>
      </x:c>
      <x:c r="K425" t="str">
        <x:f>IF(CaseLedger!$A425="","",CaseLedger!T425)</x:f>
      </x:c>
      <x:c r="L425" t="str">
        <x:f>IF(CaseLedger!$A425="","",CaseLedger!U425)</x:f>
      </x:c>
      <x:c r="M425" t="str">
        <x:f>IF(CaseLedger!$A425="","",CaseLedger!V425)</x:f>
      </x:c>
      <x:c r="N425" t="str">
        <x:f>IF(CaseLedger!$A425="","",CaseLedger!W425)</x:f>
      </x:c>
      <x:c r="O425" t="str">
        <x:f>IF(CaseLedger!$A425="","",CaseLedger!X425)</x:f>
      </x:c>
      <x:c r="P425" t="str">
        <x:f>IF(CaseLedger!$A425="","",CaseLedger!E425)</x:f>
      </x:c>
      <x:c r="Q425" t="str">
        <x:f>IF(CaseLedger!$A425="","",CaseLedger!C425)</x:f>
      </x:c>
      <x:c r="R425" t="str">
        <x:f>IF(CaseLedger!$A425="","",CaseLedger!D425)</x:f>
      </x:c>
      <x:c r="S425" t="str">
        <x:f>IFERROR(IF(CaseLedger!$A425="","",CaseLedger!Y425),"")</x:f>
      </x:c>
      <x:c r="T425" t="str">
        <x:f>IFERROR(IF(CaseLedger!$A425="","",CaseLedger!Z425),"")</x:f>
      </x:c>
      <x:c r="U425" t="str">
        <x:f>IFERROR(IF(CaseLedger!$A425="","",CaseLedger!AA425),"")</x:f>
      </x:c>
      <x:c r="V425" t="str">
        <x:f>IFERROR(IF(CaseLedger!$A425="","",CaseLedger!AB425),"")</x:f>
      </x:c>
      <x:c r="W425" t="str">
        <x:f>IFERROR(IF(CaseLedger!$A425="","",CaseLedger!AC425),"")</x:f>
      </x:c>
      <x:c r="X425" t="str">
        <x:f>IFERROR(IF(CaseLedger!$A425="","",CaseLedger!AD425),"")</x:f>
      </x:c>
      <x:c r="Y425" t="str">
        <x:f>IFERROR(IF(CaseLedger!$A425="","",CaseLedger!AE425),"")</x:f>
      </x:c>
      <x:c r="Z425" t="str">
        <x:f>IFERROR(IF(CaseLedger!$A425="","",CaseLedger!AF425),"")</x:f>
      </x:c>
      <x:c r="AA425" t="str">
        <x:f>IFERROR(IF(CaseLedger!$A425="","",CaseLedger!AG425),"")</x:f>
      </x:c>
      <x:c r="AB425" t="str">
        <x:f>IFERROR(IF(CaseLedger!$A425="","",CaseLedger!AH425),"")</x:f>
      </x:c>
      <x:c r="AC425" t="str">
        <x:f>IFERROR(IF(CaseLedger!$A425="","",CaseLedger!AI425),"")</x:f>
      </x:c>
    </x:row>
    <x:row r="426">
      <x:c r="A426" t="str">
        <x:f>IF(CaseLedger!$A426="","",CaseLedger!A426)</x:f>
      </x:c>
      <x:c r="B426" t="str">
        <x:f>IF(CaseLedger!$A426="","",CaseLedger!I426)</x:f>
      </x:c>
      <x:c r="C426" t="str">
        <x:f>IF(CaseLedger!$A426="","",CaseLedger!J426)</x:f>
      </x:c>
      <x:c r="D426" t="str">
        <x:f>IF(CaseLedger!$A426="","",CaseLedger!K426)</x:f>
      </x:c>
      <x:c r="E426" t="str">
        <x:f>IF(CaseLedger!$A426="","",CaseLedger!L426)</x:f>
      </x:c>
      <x:c r="F426" t="str">
        <x:f>IF(CaseLedger!$A426="","",CaseLedger!P426)</x:f>
      </x:c>
      <x:c r="G426" t="str">
        <x:f>IF(CaseLedger!$A426="","",CaseLedger!F426)</x:f>
      </x:c>
      <x:c r="H426" t="str">
        <x:f>IF(CaseLedger!$A426="","",CaseLedger!Q426)</x:f>
      </x:c>
      <x:c r="I426" t="str">
        <x:f>IF(CaseLedger!$A426="","",CaseLedger!R426)</x:f>
      </x:c>
      <x:c r="J426" t="str">
        <x:f>IF(CaseLedger!$A426="","",CaseLedger!S426)</x:f>
      </x:c>
      <x:c r="K426" t="str">
        <x:f>IF(CaseLedger!$A426="","",CaseLedger!T426)</x:f>
      </x:c>
      <x:c r="L426" t="str">
        <x:f>IF(CaseLedger!$A426="","",CaseLedger!U426)</x:f>
      </x:c>
      <x:c r="M426" t="str">
        <x:f>IF(CaseLedger!$A426="","",CaseLedger!V426)</x:f>
      </x:c>
      <x:c r="N426" t="str">
        <x:f>IF(CaseLedger!$A426="","",CaseLedger!W426)</x:f>
      </x:c>
      <x:c r="O426" t="str">
        <x:f>IF(CaseLedger!$A426="","",CaseLedger!X426)</x:f>
      </x:c>
      <x:c r="P426" t="str">
        <x:f>IF(CaseLedger!$A426="","",CaseLedger!E426)</x:f>
      </x:c>
      <x:c r="Q426" t="str">
        <x:f>IF(CaseLedger!$A426="","",CaseLedger!C426)</x:f>
      </x:c>
      <x:c r="R426" t="str">
        <x:f>IF(CaseLedger!$A426="","",CaseLedger!D426)</x:f>
      </x:c>
      <x:c r="S426" t="str">
        <x:f>IFERROR(IF(CaseLedger!$A426="","",CaseLedger!Y426),"")</x:f>
      </x:c>
      <x:c r="T426" t="str">
        <x:f>IFERROR(IF(CaseLedger!$A426="","",CaseLedger!Z426),"")</x:f>
      </x:c>
      <x:c r="U426" t="str">
        <x:f>IFERROR(IF(CaseLedger!$A426="","",CaseLedger!AA426),"")</x:f>
      </x:c>
      <x:c r="V426" t="str">
        <x:f>IFERROR(IF(CaseLedger!$A426="","",CaseLedger!AB426),"")</x:f>
      </x:c>
      <x:c r="W426" t="str">
        <x:f>IFERROR(IF(CaseLedger!$A426="","",CaseLedger!AC426),"")</x:f>
      </x:c>
      <x:c r="X426" t="str">
        <x:f>IFERROR(IF(CaseLedger!$A426="","",CaseLedger!AD426),"")</x:f>
      </x:c>
      <x:c r="Y426" t="str">
        <x:f>IFERROR(IF(CaseLedger!$A426="","",CaseLedger!AE426),"")</x:f>
      </x:c>
      <x:c r="Z426" t="str">
        <x:f>IFERROR(IF(CaseLedger!$A426="","",CaseLedger!AF426),"")</x:f>
      </x:c>
      <x:c r="AA426" t="str">
        <x:f>IFERROR(IF(CaseLedger!$A426="","",CaseLedger!AG426),"")</x:f>
      </x:c>
      <x:c r="AB426" t="str">
        <x:f>IFERROR(IF(CaseLedger!$A426="","",CaseLedger!AH426),"")</x:f>
      </x:c>
      <x:c r="AC426" t="str">
        <x:f>IFERROR(IF(CaseLedger!$A426="","",CaseLedger!AI426),"")</x:f>
      </x:c>
    </x:row>
    <x:row r="427">
      <x:c r="A427" t="str">
        <x:f>IF(CaseLedger!$A427="","",CaseLedger!A427)</x:f>
      </x:c>
      <x:c r="B427" t="str">
        <x:f>IF(CaseLedger!$A427="","",CaseLedger!I427)</x:f>
      </x:c>
      <x:c r="C427" t="str">
        <x:f>IF(CaseLedger!$A427="","",CaseLedger!J427)</x:f>
      </x:c>
      <x:c r="D427" t="str">
        <x:f>IF(CaseLedger!$A427="","",CaseLedger!K427)</x:f>
      </x:c>
      <x:c r="E427" t="str">
        <x:f>IF(CaseLedger!$A427="","",CaseLedger!L427)</x:f>
      </x:c>
      <x:c r="F427" t="str">
        <x:f>IF(CaseLedger!$A427="","",CaseLedger!P427)</x:f>
      </x:c>
      <x:c r="G427" t="str">
        <x:f>IF(CaseLedger!$A427="","",CaseLedger!F427)</x:f>
      </x:c>
      <x:c r="H427" t="str">
        <x:f>IF(CaseLedger!$A427="","",CaseLedger!Q427)</x:f>
      </x:c>
      <x:c r="I427" t="str">
        <x:f>IF(CaseLedger!$A427="","",CaseLedger!R427)</x:f>
      </x:c>
      <x:c r="J427" t="str">
        <x:f>IF(CaseLedger!$A427="","",CaseLedger!S427)</x:f>
      </x:c>
      <x:c r="K427" t="str">
        <x:f>IF(CaseLedger!$A427="","",CaseLedger!T427)</x:f>
      </x:c>
      <x:c r="L427" t="str">
        <x:f>IF(CaseLedger!$A427="","",CaseLedger!U427)</x:f>
      </x:c>
      <x:c r="M427" t="str">
        <x:f>IF(CaseLedger!$A427="","",CaseLedger!V427)</x:f>
      </x:c>
      <x:c r="N427" t="str">
        <x:f>IF(CaseLedger!$A427="","",CaseLedger!W427)</x:f>
      </x:c>
      <x:c r="O427" t="str">
        <x:f>IF(CaseLedger!$A427="","",CaseLedger!X427)</x:f>
      </x:c>
      <x:c r="P427" t="str">
        <x:f>IF(CaseLedger!$A427="","",CaseLedger!E427)</x:f>
      </x:c>
      <x:c r="Q427" t="str">
        <x:f>IF(CaseLedger!$A427="","",CaseLedger!C427)</x:f>
      </x:c>
      <x:c r="R427" t="str">
        <x:f>IF(CaseLedger!$A427="","",CaseLedger!D427)</x:f>
      </x:c>
      <x:c r="S427" t="str">
        <x:f>IFERROR(IF(CaseLedger!$A427="","",CaseLedger!Y427),"")</x:f>
      </x:c>
      <x:c r="T427" t="str">
        <x:f>IFERROR(IF(CaseLedger!$A427="","",CaseLedger!Z427),"")</x:f>
      </x:c>
      <x:c r="U427" t="str">
        <x:f>IFERROR(IF(CaseLedger!$A427="","",CaseLedger!AA427),"")</x:f>
      </x:c>
      <x:c r="V427" t="str">
        <x:f>IFERROR(IF(CaseLedger!$A427="","",CaseLedger!AB427),"")</x:f>
      </x:c>
      <x:c r="W427" t="str">
        <x:f>IFERROR(IF(CaseLedger!$A427="","",CaseLedger!AC427),"")</x:f>
      </x:c>
      <x:c r="X427" t="str">
        <x:f>IFERROR(IF(CaseLedger!$A427="","",CaseLedger!AD427),"")</x:f>
      </x:c>
      <x:c r="Y427" t="str">
        <x:f>IFERROR(IF(CaseLedger!$A427="","",CaseLedger!AE427),"")</x:f>
      </x:c>
      <x:c r="Z427" t="str">
        <x:f>IFERROR(IF(CaseLedger!$A427="","",CaseLedger!AF427),"")</x:f>
      </x:c>
      <x:c r="AA427" t="str">
        <x:f>IFERROR(IF(CaseLedger!$A427="","",CaseLedger!AG427),"")</x:f>
      </x:c>
      <x:c r="AB427" t="str">
        <x:f>IFERROR(IF(CaseLedger!$A427="","",CaseLedger!AH427),"")</x:f>
      </x:c>
      <x:c r="AC427" t="str">
        <x:f>IFERROR(IF(CaseLedger!$A427="","",CaseLedger!AI427),"")</x:f>
      </x:c>
    </x:row>
    <x:row r="428">
      <x:c r="A428" t="str">
        <x:f>IF(CaseLedger!$A428="","",CaseLedger!A428)</x:f>
      </x:c>
      <x:c r="B428" t="str">
        <x:f>IF(CaseLedger!$A428="","",CaseLedger!I428)</x:f>
      </x:c>
      <x:c r="C428" t="str">
        <x:f>IF(CaseLedger!$A428="","",CaseLedger!J428)</x:f>
      </x:c>
      <x:c r="D428" t="str">
        <x:f>IF(CaseLedger!$A428="","",CaseLedger!K428)</x:f>
      </x:c>
      <x:c r="E428" t="str">
        <x:f>IF(CaseLedger!$A428="","",CaseLedger!L428)</x:f>
      </x:c>
      <x:c r="F428" t="str">
        <x:f>IF(CaseLedger!$A428="","",CaseLedger!P428)</x:f>
      </x:c>
      <x:c r="G428" t="str">
        <x:f>IF(CaseLedger!$A428="","",CaseLedger!F428)</x:f>
      </x:c>
      <x:c r="H428" t="str">
        <x:f>IF(CaseLedger!$A428="","",CaseLedger!Q428)</x:f>
      </x:c>
      <x:c r="I428" t="str">
        <x:f>IF(CaseLedger!$A428="","",CaseLedger!R428)</x:f>
      </x:c>
      <x:c r="J428" t="str">
        <x:f>IF(CaseLedger!$A428="","",CaseLedger!S428)</x:f>
      </x:c>
      <x:c r="K428" t="str">
        <x:f>IF(CaseLedger!$A428="","",CaseLedger!T428)</x:f>
      </x:c>
      <x:c r="L428" t="str">
        <x:f>IF(CaseLedger!$A428="","",CaseLedger!U428)</x:f>
      </x:c>
      <x:c r="M428" t="str">
        <x:f>IF(CaseLedger!$A428="","",CaseLedger!V428)</x:f>
      </x:c>
      <x:c r="N428" t="str">
        <x:f>IF(CaseLedger!$A428="","",CaseLedger!W428)</x:f>
      </x:c>
      <x:c r="O428" t="str">
        <x:f>IF(CaseLedger!$A428="","",CaseLedger!X428)</x:f>
      </x:c>
      <x:c r="P428" t="str">
        <x:f>IF(CaseLedger!$A428="","",CaseLedger!E428)</x:f>
      </x:c>
      <x:c r="Q428" t="str">
        <x:f>IF(CaseLedger!$A428="","",CaseLedger!C428)</x:f>
      </x:c>
      <x:c r="R428" t="str">
        <x:f>IF(CaseLedger!$A428="","",CaseLedger!D428)</x:f>
      </x:c>
      <x:c r="S428" t="str">
        <x:f>IFERROR(IF(CaseLedger!$A428="","",CaseLedger!Y428),"")</x:f>
      </x:c>
      <x:c r="T428" t="str">
        <x:f>IFERROR(IF(CaseLedger!$A428="","",CaseLedger!Z428),"")</x:f>
      </x:c>
      <x:c r="U428" t="str">
        <x:f>IFERROR(IF(CaseLedger!$A428="","",CaseLedger!AA428),"")</x:f>
      </x:c>
      <x:c r="V428" t="str">
        <x:f>IFERROR(IF(CaseLedger!$A428="","",CaseLedger!AB428),"")</x:f>
      </x:c>
      <x:c r="W428" t="str">
        <x:f>IFERROR(IF(CaseLedger!$A428="","",CaseLedger!AC428),"")</x:f>
      </x:c>
      <x:c r="X428" t="str">
        <x:f>IFERROR(IF(CaseLedger!$A428="","",CaseLedger!AD428),"")</x:f>
      </x:c>
      <x:c r="Y428" t="str">
        <x:f>IFERROR(IF(CaseLedger!$A428="","",CaseLedger!AE428),"")</x:f>
      </x:c>
      <x:c r="Z428" t="str">
        <x:f>IFERROR(IF(CaseLedger!$A428="","",CaseLedger!AF428),"")</x:f>
      </x:c>
      <x:c r="AA428" t="str">
        <x:f>IFERROR(IF(CaseLedger!$A428="","",CaseLedger!AG428),"")</x:f>
      </x:c>
      <x:c r="AB428" t="str">
        <x:f>IFERROR(IF(CaseLedger!$A428="","",CaseLedger!AH428),"")</x:f>
      </x:c>
      <x:c r="AC428" t="str">
        <x:f>IFERROR(IF(CaseLedger!$A428="","",CaseLedger!AI428),"")</x:f>
      </x:c>
    </x:row>
    <x:row r="429">
      <x:c r="A429" t="str">
        <x:f>IF(CaseLedger!$A429="","",CaseLedger!A429)</x:f>
      </x:c>
      <x:c r="B429" t="str">
        <x:f>IF(CaseLedger!$A429="","",CaseLedger!I429)</x:f>
      </x:c>
      <x:c r="C429" t="str">
        <x:f>IF(CaseLedger!$A429="","",CaseLedger!J429)</x:f>
      </x:c>
      <x:c r="D429" t="str">
        <x:f>IF(CaseLedger!$A429="","",CaseLedger!K429)</x:f>
      </x:c>
      <x:c r="E429" t="str">
        <x:f>IF(CaseLedger!$A429="","",CaseLedger!L429)</x:f>
      </x:c>
      <x:c r="F429" t="str">
        <x:f>IF(CaseLedger!$A429="","",CaseLedger!P429)</x:f>
      </x:c>
      <x:c r="G429" t="str">
        <x:f>IF(CaseLedger!$A429="","",CaseLedger!F429)</x:f>
      </x:c>
      <x:c r="H429" t="str">
        <x:f>IF(CaseLedger!$A429="","",CaseLedger!Q429)</x:f>
      </x:c>
      <x:c r="I429" t="str">
        <x:f>IF(CaseLedger!$A429="","",CaseLedger!R429)</x:f>
      </x:c>
      <x:c r="J429" t="str">
        <x:f>IF(CaseLedger!$A429="","",CaseLedger!S429)</x:f>
      </x:c>
      <x:c r="K429" t="str">
        <x:f>IF(CaseLedger!$A429="","",CaseLedger!T429)</x:f>
      </x:c>
      <x:c r="L429" t="str">
        <x:f>IF(CaseLedger!$A429="","",CaseLedger!U429)</x:f>
      </x:c>
      <x:c r="M429" t="str">
        <x:f>IF(CaseLedger!$A429="","",CaseLedger!V429)</x:f>
      </x:c>
      <x:c r="N429" t="str">
        <x:f>IF(CaseLedger!$A429="","",CaseLedger!W429)</x:f>
      </x:c>
      <x:c r="O429" t="str">
        <x:f>IF(CaseLedger!$A429="","",CaseLedger!X429)</x:f>
      </x:c>
      <x:c r="P429" t="str">
        <x:f>IF(CaseLedger!$A429="","",CaseLedger!E429)</x:f>
      </x:c>
      <x:c r="Q429" t="str">
        <x:f>IF(CaseLedger!$A429="","",CaseLedger!C429)</x:f>
      </x:c>
      <x:c r="R429" t="str">
        <x:f>IF(CaseLedger!$A429="","",CaseLedger!D429)</x:f>
      </x:c>
      <x:c r="S429" t="str">
        <x:f>IFERROR(IF(CaseLedger!$A429="","",CaseLedger!Y429),"")</x:f>
      </x:c>
      <x:c r="T429" t="str">
        <x:f>IFERROR(IF(CaseLedger!$A429="","",CaseLedger!Z429),"")</x:f>
      </x:c>
      <x:c r="U429" t="str">
        <x:f>IFERROR(IF(CaseLedger!$A429="","",CaseLedger!AA429),"")</x:f>
      </x:c>
      <x:c r="V429" t="str">
        <x:f>IFERROR(IF(CaseLedger!$A429="","",CaseLedger!AB429),"")</x:f>
      </x:c>
      <x:c r="W429" t="str">
        <x:f>IFERROR(IF(CaseLedger!$A429="","",CaseLedger!AC429),"")</x:f>
      </x:c>
      <x:c r="X429" t="str">
        <x:f>IFERROR(IF(CaseLedger!$A429="","",CaseLedger!AD429),"")</x:f>
      </x:c>
      <x:c r="Y429" t="str">
        <x:f>IFERROR(IF(CaseLedger!$A429="","",CaseLedger!AE429),"")</x:f>
      </x:c>
      <x:c r="Z429" t="str">
        <x:f>IFERROR(IF(CaseLedger!$A429="","",CaseLedger!AF429),"")</x:f>
      </x:c>
      <x:c r="AA429" t="str">
        <x:f>IFERROR(IF(CaseLedger!$A429="","",CaseLedger!AG429),"")</x:f>
      </x:c>
      <x:c r="AB429" t="str">
        <x:f>IFERROR(IF(CaseLedger!$A429="","",CaseLedger!AH429),"")</x:f>
      </x:c>
      <x:c r="AC429" t="str">
        <x:f>IFERROR(IF(CaseLedger!$A429="","",CaseLedger!AI429),"")</x:f>
      </x:c>
    </x:row>
    <x:row r="430">
      <x:c r="A430" t="str">
        <x:f>IF(CaseLedger!$A430="","",CaseLedger!A430)</x:f>
      </x:c>
      <x:c r="B430" t="str">
        <x:f>IF(CaseLedger!$A430="","",CaseLedger!I430)</x:f>
      </x:c>
      <x:c r="C430" t="str">
        <x:f>IF(CaseLedger!$A430="","",CaseLedger!J430)</x:f>
      </x:c>
      <x:c r="D430" t="str">
        <x:f>IF(CaseLedger!$A430="","",CaseLedger!K430)</x:f>
      </x:c>
      <x:c r="E430" t="str">
        <x:f>IF(CaseLedger!$A430="","",CaseLedger!L430)</x:f>
      </x:c>
      <x:c r="F430" t="str">
        <x:f>IF(CaseLedger!$A430="","",CaseLedger!P430)</x:f>
      </x:c>
      <x:c r="G430" t="str">
        <x:f>IF(CaseLedger!$A430="","",CaseLedger!F430)</x:f>
      </x:c>
      <x:c r="H430" t="str">
        <x:f>IF(CaseLedger!$A430="","",CaseLedger!Q430)</x:f>
      </x:c>
      <x:c r="I430" t="str">
        <x:f>IF(CaseLedger!$A430="","",CaseLedger!R430)</x:f>
      </x:c>
      <x:c r="J430" t="str">
        <x:f>IF(CaseLedger!$A430="","",CaseLedger!S430)</x:f>
      </x:c>
      <x:c r="K430" t="str">
        <x:f>IF(CaseLedger!$A430="","",CaseLedger!T430)</x:f>
      </x:c>
      <x:c r="L430" t="str">
        <x:f>IF(CaseLedger!$A430="","",CaseLedger!U430)</x:f>
      </x:c>
      <x:c r="M430" t="str">
        <x:f>IF(CaseLedger!$A430="","",CaseLedger!V430)</x:f>
      </x:c>
      <x:c r="N430" t="str">
        <x:f>IF(CaseLedger!$A430="","",CaseLedger!W430)</x:f>
      </x:c>
      <x:c r="O430" t="str">
        <x:f>IF(CaseLedger!$A430="","",CaseLedger!X430)</x:f>
      </x:c>
      <x:c r="P430" t="str">
        <x:f>IF(CaseLedger!$A430="","",CaseLedger!E430)</x:f>
      </x:c>
      <x:c r="Q430" t="str">
        <x:f>IF(CaseLedger!$A430="","",CaseLedger!C430)</x:f>
      </x:c>
      <x:c r="R430" t="str">
        <x:f>IF(CaseLedger!$A430="","",CaseLedger!D430)</x:f>
      </x:c>
      <x:c r="S430" t="str">
        <x:f>IFERROR(IF(CaseLedger!$A430="","",CaseLedger!Y430),"")</x:f>
      </x:c>
      <x:c r="T430" t="str">
        <x:f>IFERROR(IF(CaseLedger!$A430="","",CaseLedger!Z430),"")</x:f>
      </x:c>
      <x:c r="U430" t="str">
        <x:f>IFERROR(IF(CaseLedger!$A430="","",CaseLedger!AA430),"")</x:f>
      </x:c>
      <x:c r="V430" t="str">
        <x:f>IFERROR(IF(CaseLedger!$A430="","",CaseLedger!AB430),"")</x:f>
      </x:c>
      <x:c r="W430" t="str">
        <x:f>IFERROR(IF(CaseLedger!$A430="","",CaseLedger!AC430),"")</x:f>
      </x:c>
      <x:c r="X430" t="str">
        <x:f>IFERROR(IF(CaseLedger!$A430="","",CaseLedger!AD430),"")</x:f>
      </x:c>
      <x:c r="Y430" t="str">
        <x:f>IFERROR(IF(CaseLedger!$A430="","",CaseLedger!AE430),"")</x:f>
      </x:c>
      <x:c r="Z430" t="str">
        <x:f>IFERROR(IF(CaseLedger!$A430="","",CaseLedger!AF430),"")</x:f>
      </x:c>
      <x:c r="AA430" t="str">
        <x:f>IFERROR(IF(CaseLedger!$A430="","",CaseLedger!AG430),"")</x:f>
      </x:c>
      <x:c r="AB430" t="str">
        <x:f>IFERROR(IF(CaseLedger!$A430="","",CaseLedger!AH430),"")</x:f>
      </x:c>
      <x:c r="AC430" t="str">
        <x:f>IFERROR(IF(CaseLedger!$A430="","",CaseLedger!AI430),"")</x:f>
      </x:c>
    </x:row>
    <x:row r="431">
      <x:c r="A431" t="str">
        <x:f>IF(CaseLedger!$A431="","",CaseLedger!A431)</x:f>
      </x:c>
      <x:c r="B431" t="str">
        <x:f>IF(CaseLedger!$A431="","",CaseLedger!I431)</x:f>
      </x:c>
      <x:c r="C431" t="str">
        <x:f>IF(CaseLedger!$A431="","",CaseLedger!J431)</x:f>
      </x:c>
      <x:c r="D431" t="str">
        <x:f>IF(CaseLedger!$A431="","",CaseLedger!K431)</x:f>
      </x:c>
      <x:c r="E431" t="str">
        <x:f>IF(CaseLedger!$A431="","",CaseLedger!L431)</x:f>
      </x:c>
      <x:c r="F431" t="str">
        <x:f>IF(CaseLedger!$A431="","",CaseLedger!P431)</x:f>
      </x:c>
      <x:c r="G431" t="str">
        <x:f>IF(CaseLedger!$A431="","",CaseLedger!F431)</x:f>
      </x:c>
      <x:c r="H431" t="str">
        <x:f>IF(CaseLedger!$A431="","",CaseLedger!Q431)</x:f>
      </x:c>
      <x:c r="I431" t="str">
        <x:f>IF(CaseLedger!$A431="","",CaseLedger!R431)</x:f>
      </x:c>
      <x:c r="J431" t="str">
        <x:f>IF(CaseLedger!$A431="","",CaseLedger!S431)</x:f>
      </x:c>
      <x:c r="K431" t="str">
        <x:f>IF(CaseLedger!$A431="","",CaseLedger!T431)</x:f>
      </x:c>
      <x:c r="L431" t="str">
        <x:f>IF(CaseLedger!$A431="","",CaseLedger!U431)</x:f>
      </x:c>
      <x:c r="M431" t="str">
        <x:f>IF(CaseLedger!$A431="","",CaseLedger!V431)</x:f>
      </x:c>
      <x:c r="N431" t="str">
        <x:f>IF(CaseLedger!$A431="","",CaseLedger!W431)</x:f>
      </x:c>
      <x:c r="O431" t="str">
        <x:f>IF(CaseLedger!$A431="","",CaseLedger!X431)</x:f>
      </x:c>
      <x:c r="P431" t="str">
        <x:f>IF(CaseLedger!$A431="","",CaseLedger!E431)</x:f>
      </x:c>
      <x:c r="Q431" t="str">
        <x:f>IF(CaseLedger!$A431="","",CaseLedger!C431)</x:f>
      </x:c>
      <x:c r="R431" t="str">
        <x:f>IF(CaseLedger!$A431="","",CaseLedger!D431)</x:f>
      </x:c>
      <x:c r="S431" t="str">
        <x:f>IFERROR(IF(CaseLedger!$A431="","",CaseLedger!Y431),"")</x:f>
      </x:c>
      <x:c r="T431" t="str">
        <x:f>IFERROR(IF(CaseLedger!$A431="","",CaseLedger!Z431),"")</x:f>
      </x:c>
      <x:c r="U431" t="str">
        <x:f>IFERROR(IF(CaseLedger!$A431="","",CaseLedger!AA431),"")</x:f>
      </x:c>
      <x:c r="V431" t="str">
        <x:f>IFERROR(IF(CaseLedger!$A431="","",CaseLedger!AB431),"")</x:f>
      </x:c>
      <x:c r="W431" t="str">
        <x:f>IFERROR(IF(CaseLedger!$A431="","",CaseLedger!AC431),"")</x:f>
      </x:c>
      <x:c r="X431" t="str">
        <x:f>IFERROR(IF(CaseLedger!$A431="","",CaseLedger!AD431),"")</x:f>
      </x:c>
      <x:c r="Y431" t="str">
        <x:f>IFERROR(IF(CaseLedger!$A431="","",CaseLedger!AE431),"")</x:f>
      </x:c>
      <x:c r="Z431" t="str">
        <x:f>IFERROR(IF(CaseLedger!$A431="","",CaseLedger!AF431),"")</x:f>
      </x:c>
      <x:c r="AA431" t="str">
        <x:f>IFERROR(IF(CaseLedger!$A431="","",CaseLedger!AG431),"")</x:f>
      </x:c>
      <x:c r="AB431" t="str">
        <x:f>IFERROR(IF(CaseLedger!$A431="","",CaseLedger!AH431),"")</x:f>
      </x:c>
      <x:c r="AC431" t="str">
        <x:f>IFERROR(IF(CaseLedger!$A431="","",CaseLedger!AI431),"")</x:f>
      </x:c>
    </x:row>
    <x:row r="432">
      <x:c r="A432" t="str">
        <x:f>IF(CaseLedger!$A432="","",CaseLedger!A432)</x:f>
      </x:c>
      <x:c r="B432" t="str">
        <x:f>IF(CaseLedger!$A432="","",CaseLedger!I432)</x:f>
      </x:c>
      <x:c r="C432" t="str">
        <x:f>IF(CaseLedger!$A432="","",CaseLedger!J432)</x:f>
      </x:c>
      <x:c r="D432" t="str">
        <x:f>IF(CaseLedger!$A432="","",CaseLedger!K432)</x:f>
      </x:c>
      <x:c r="E432" t="str">
        <x:f>IF(CaseLedger!$A432="","",CaseLedger!L432)</x:f>
      </x:c>
      <x:c r="F432" t="str">
        <x:f>IF(CaseLedger!$A432="","",CaseLedger!P432)</x:f>
      </x:c>
      <x:c r="G432" t="str">
        <x:f>IF(CaseLedger!$A432="","",CaseLedger!F432)</x:f>
      </x:c>
      <x:c r="H432" t="str">
        <x:f>IF(CaseLedger!$A432="","",CaseLedger!Q432)</x:f>
      </x:c>
      <x:c r="I432" t="str">
        <x:f>IF(CaseLedger!$A432="","",CaseLedger!R432)</x:f>
      </x:c>
      <x:c r="J432" t="str">
        <x:f>IF(CaseLedger!$A432="","",CaseLedger!S432)</x:f>
      </x:c>
      <x:c r="K432" t="str">
        <x:f>IF(CaseLedger!$A432="","",CaseLedger!T432)</x:f>
      </x:c>
      <x:c r="L432" t="str">
        <x:f>IF(CaseLedger!$A432="","",CaseLedger!U432)</x:f>
      </x:c>
      <x:c r="M432" t="str">
        <x:f>IF(CaseLedger!$A432="","",CaseLedger!V432)</x:f>
      </x:c>
      <x:c r="N432" t="str">
        <x:f>IF(CaseLedger!$A432="","",CaseLedger!W432)</x:f>
      </x:c>
      <x:c r="O432" t="str">
        <x:f>IF(CaseLedger!$A432="","",CaseLedger!X432)</x:f>
      </x:c>
      <x:c r="P432" t="str">
        <x:f>IF(CaseLedger!$A432="","",CaseLedger!E432)</x:f>
      </x:c>
      <x:c r="Q432" t="str">
        <x:f>IF(CaseLedger!$A432="","",CaseLedger!C432)</x:f>
      </x:c>
      <x:c r="R432" t="str">
        <x:f>IF(CaseLedger!$A432="","",CaseLedger!D432)</x:f>
      </x:c>
      <x:c r="S432" t="str">
        <x:f>IFERROR(IF(CaseLedger!$A432="","",CaseLedger!Y432),"")</x:f>
      </x:c>
      <x:c r="T432" t="str">
        <x:f>IFERROR(IF(CaseLedger!$A432="","",CaseLedger!Z432),"")</x:f>
      </x:c>
      <x:c r="U432" t="str">
        <x:f>IFERROR(IF(CaseLedger!$A432="","",CaseLedger!AA432),"")</x:f>
      </x:c>
      <x:c r="V432" t="str">
        <x:f>IFERROR(IF(CaseLedger!$A432="","",CaseLedger!AB432),"")</x:f>
      </x:c>
      <x:c r="W432" t="str">
        <x:f>IFERROR(IF(CaseLedger!$A432="","",CaseLedger!AC432),"")</x:f>
      </x:c>
      <x:c r="X432" t="str">
        <x:f>IFERROR(IF(CaseLedger!$A432="","",CaseLedger!AD432),"")</x:f>
      </x:c>
      <x:c r="Y432" t="str">
        <x:f>IFERROR(IF(CaseLedger!$A432="","",CaseLedger!AE432),"")</x:f>
      </x:c>
      <x:c r="Z432" t="str">
        <x:f>IFERROR(IF(CaseLedger!$A432="","",CaseLedger!AF432),"")</x:f>
      </x:c>
      <x:c r="AA432" t="str">
        <x:f>IFERROR(IF(CaseLedger!$A432="","",CaseLedger!AG432),"")</x:f>
      </x:c>
      <x:c r="AB432" t="str">
        <x:f>IFERROR(IF(CaseLedger!$A432="","",CaseLedger!AH432),"")</x:f>
      </x:c>
      <x:c r="AC432" t="str">
        <x:f>IFERROR(IF(CaseLedger!$A432="","",CaseLedger!AI432),"")</x:f>
      </x:c>
    </x:row>
    <x:row r="433">
      <x:c r="A433" t="str">
        <x:f>IF(CaseLedger!$A433="","",CaseLedger!A433)</x:f>
      </x:c>
      <x:c r="B433" t="str">
        <x:f>IF(CaseLedger!$A433="","",CaseLedger!I433)</x:f>
      </x:c>
      <x:c r="C433" t="str">
        <x:f>IF(CaseLedger!$A433="","",CaseLedger!J433)</x:f>
      </x:c>
      <x:c r="D433" t="str">
        <x:f>IF(CaseLedger!$A433="","",CaseLedger!K433)</x:f>
      </x:c>
      <x:c r="E433" t="str">
        <x:f>IF(CaseLedger!$A433="","",CaseLedger!L433)</x:f>
      </x:c>
      <x:c r="F433" t="str">
        <x:f>IF(CaseLedger!$A433="","",CaseLedger!P433)</x:f>
      </x:c>
      <x:c r="G433" t="str">
        <x:f>IF(CaseLedger!$A433="","",CaseLedger!F433)</x:f>
      </x:c>
      <x:c r="H433" t="str">
        <x:f>IF(CaseLedger!$A433="","",CaseLedger!Q433)</x:f>
      </x:c>
      <x:c r="I433" t="str">
        <x:f>IF(CaseLedger!$A433="","",CaseLedger!R433)</x:f>
      </x:c>
      <x:c r="J433" t="str">
        <x:f>IF(CaseLedger!$A433="","",CaseLedger!S433)</x:f>
      </x:c>
      <x:c r="K433" t="str">
        <x:f>IF(CaseLedger!$A433="","",CaseLedger!T433)</x:f>
      </x:c>
      <x:c r="L433" t="str">
        <x:f>IF(CaseLedger!$A433="","",CaseLedger!U433)</x:f>
      </x:c>
      <x:c r="M433" t="str">
        <x:f>IF(CaseLedger!$A433="","",CaseLedger!V433)</x:f>
      </x:c>
      <x:c r="N433" t="str">
        <x:f>IF(CaseLedger!$A433="","",CaseLedger!W433)</x:f>
      </x:c>
      <x:c r="O433" t="str">
        <x:f>IF(CaseLedger!$A433="","",CaseLedger!X433)</x:f>
      </x:c>
      <x:c r="P433" t="str">
        <x:f>IF(CaseLedger!$A433="","",CaseLedger!E433)</x:f>
      </x:c>
      <x:c r="Q433" t="str">
        <x:f>IF(CaseLedger!$A433="","",CaseLedger!C433)</x:f>
      </x:c>
      <x:c r="R433" t="str">
        <x:f>IF(CaseLedger!$A433="","",CaseLedger!D433)</x:f>
      </x:c>
      <x:c r="S433" t="str">
        <x:f>IFERROR(IF(CaseLedger!$A433="","",CaseLedger!Y433),"")</x:f>
      </x:c>
      <x:c r="T433" t="str">
        <x:f>IFERROR(IF(CaseLedger!$A433="","",CaseLedger!Z433),"")</x:f>
      </x:c>
      <x:c r="U433" t="str">
        <x:f>IFERROR(IF(CaseLedger!$A433="","",CaseLedger!AA433),"")</x:f>
      </x:c>
      <x:c r="V433" t="str">
        <x:f>IFERROR(IF(CaseLedger!$A433="","",CaseLedger!AB433),"")</x:f>
      </x:c>
      <x:c r="W433" t="str">
        <x:f>IFERROR(IF(CaseLedger!$A433="","",CaseLedger!AC433),"")</x:f>
      </x:c>
      <x:c r="X433" t="str">
        <x:f>IFERROR(IF(CaseLedger!$A433="","",CaseLedger!AD433),"")</x:f>
      </x:c>
      <x:c r="Y433" t="str">
        <x:f>IFERROR(IF(CaseLedger!$A433="","",CaseLedger!AE433),"")</x:f>
      </x:c>
      <x:c r="Z433" t="str">
        <x:f>IFERROR(IF(CaseLedger!$A433="","",CaseLedger!AF433),"")</x:f>
      </x:c>
      <x:c r="AA433" t="str">
        <x:f>IFERROR(IF(CaseLedger!$A433="","",CaseLedger!AG433),"")</x:f>
      </x:c>
      <x:c r="AB433" t="str">
        <x:f>IFERROR(IF(CaseLedger!$A433="","",CaseLedger!AH433),"")</x:f>
      </x:c>
      <x:c r="AC433" t="str">
        <x:f>IFERROR(IF(CaseLedger!$A433="","",CaseLedger!AI433),"")</x:f>
      </x:c>
    </x:row>
    <x:row r="434">
      <x:c r="A434" t="str">
        <x:f>IF(CaseLedger!$A434="","",CaseLedger!A434)</x:f>
      </x:c>
      <x:c r="B434" t="str">
        <x:f>IF(CaseLedger!$A434="","",CaseLedger!I434)</x:f>
      </x:c>
      <x:c r="C434" t="str">
        <x:f>IF(CaseLedger!$A434="","",CaseLedger!J434)</x:f>
      </x:c>
      <x:c r="D434" t="str">
        <x:f>IF(CaseLedger!$A434="","",CaseLedger!K434)</x:f>
      </x:c>
      <x:c r="E434" t="str">
        <x:f>IF(CaseLedger!$A434="","",CaseLedger!L434)</x:f>
      </x:c>
      <x:c r="F434" t="str">
        <x:f>IF(CaseLedger!$A434="","",CaseLedger!P434)</x:f>
      </x:c>
      <x:c r="G434" t="str">
        <x:f>IF(CaseLedger!$A434="","",CaseLedger!F434)</x:f>
      </x:c>
      <x:c r="H434" t="str">
        <x:f>IF(CaseLedger!$A434="","",CaseLedger!Q434)</x:f>
      </x:c>
      <x:c r="I434" t="str">
        <x:f>IF(CaseLedger!$A434="","",CaseLedger!R434)</x:f>
      </x:c>
      <x:c r="J434" t="str">
        <x:f>IF(CaseLedger!$A434="","",CaseLedger!S434)</x:f>
      </x:c>
      <x:c r="K434" t="str">
        <x:f>IF(CaseLedger!$A434="","",CaseLedger!T434)</x:f>
      </x:c>
      <x:c r="L434" t="str">
        <x:f>IF(CaseLedger!$A434="","",CaseLedger!U434)</x:f>
      </x:c>
      <x:c r="M434" t="str">
        <x:f>IF(CaseLedger!$A434="","",CaseLedger!V434)</x:f>
      </x:c>
      <x:c r="N434" t="str">
        <x:f>IF(CaseLedger!$A434="","",CaseLedger!W434)</x:f>
      </x:c>
      <x:c r="O434" t="str">
        <x:f>IF(CaseLedger!$A434="","",CaseLedger!X434)</x:f>
      </x:c>
      <x:c r="P434" t="str">
        <x:f>IF(CaseLedger!$A434="","",CaseLedger!E434)</x:f>
      </x:c>
      <x:c r="Q434" t="str">
        <x:f>IF(CaseLedger!$A434="","",CaseLedger!C434)</x:f>
      </x:c>
      <x:c r="R434" t="str">
        <x:f>IF(CaseLedger!$A434="","",CaseLedger!D434)</x:f>
      </x:c>
      <x:c r="S434" t="str">
        <x:f>IFERROR(IF(CaseLedger!$A434="","",CaseLedger!Y434),"")</x:f>
      </x:c>
      <x:c r="T434" t="str">
        <x:f>IFERROR(IF(CaseLedger!$A434="","",CaseLedger!Z434),"")</x:f>
      </x:c>
      <x:c r="U434" t="str">
        <x:f>IFERROR(IF(CaseLedger!$A434="","",CaseLedger!AA434),"")</x:f>
      </x:c>
      <x:c r="V434" t="str">
        <x:f>IFERROR(IF(CaseLedger!$A434="","",CaseLedger!AB434),"")</x:f>
      </x:c>
      <x:c r="W434" t="str">
        <x:f>IFERROR(IF(CaseLedger!$A434="","",CaseLedger!AC434),"")</x:f>
      </x:c>
      <x:c r="X434" t="str">
        <x:f>IFERROR(IF(CaseLedger!$A434="","",CaseLedger!AD434),"")</x:f>
      </x:c>
      <x:c r="Y434" t="str">
        <x:f>IFERROR(IF(CaseLedger!$A434="","",CaseLedger!AE434),"")</x:f>
      </x:c>
      <x:c r="Z434" t="str">
        <x:f>IFERROR(IF(CaseLedger!$A434="","",CaseLedger!AF434),"")</x:f>
      </x:c>
      <x:c r="AA434" t="str">
        <x:f>IFERROR(IF(CaseLedger!$A434="","",CaseLedger!AG434),"")</x:f>
      </x:c>
      <x:c r="AB434" t="str">
        <x:f>IFERROR(IF(CaseLedger!$A434="","",CaseLedger!AH434),"")</x:f>
      </x:c>
      <x:c r="AC434" t="str">
        <x:f>IFERROR(IF(CaseLedger!$A434="","",CaseLedger!AI434),"")</x:f>
      </x:c>
    </x:row>
    <x:row r="435">
      <x:c r="A435" t="str">
        <x:f>IF(CaseLedger!$A435="","",CaseLedger!A435)</x:f>
      </x:c>
      <x:c r="B435" t="str">
        <x:f>IF(CaseLedger!$A435="","",CaseLedger!I435)</x:f>
      </x:c>
      <x:c r="C435" t="str">
        <x:f>IF(CaseLedger!$A435="","",CaseLedger!J435)</x:f>
      </x:c>
      <x:c r="D435" t="str">
        <x:f>IF(CaseLedger!$A435="","",CaseLedger!K435)</x:f>
      </x:c>
      <x:c r="E435" t="str">
        <x:f>IF(CaseLedger!$A435="","",CaseLedger!L435)</x:f>
      </x:c>
      <x:c r="F435" t="str">
        <x:f>IF(CaseLedger!$A435="","",CaseLedger!P435)</x:f>
      </x:c>
      <x:c r="G435" t="str">
        <x:f>IF(CaseLedger!$A435="","",CaseLedger!F435)</x:f>
      </x:c>
      <x:c r="H435" t="str">
        <x:f>IF(CaseLedger!$A435="","",CaseLedger!Q435)</x:f>
      </x:c>
      <x:c r="I435" t="str">
        <x:f>IF(CaseLedger!$A435="","",CaseLedger!R435)</x:f>
      </x:c>
      <x:c r="J435" t="str">
        <x:f>IF(CaseLedger!$A435="","",CaseLedger!S435)</x:f>
      </x:c>
      <x:c r="K435" t="str">
        <x:f>IF(CaseLedger!$A435="","",CaseLedger!T435)</x:f>
      </x:c>
      <x:c r="L435" t="str">
        <x:f>IF(CaseLedger!$A435="","",CaseLedger!U435)</x:f>
      </x:c>
      <x:c r="M435" t="str">
        <x:f>IF(CaseLedger!$A435="","",CaseLedger!V435)</x:f>
      </x:c>
      <x:c r="N435" t="str">
        <x:f>IF(CaseLedger!$A435="","",CaseLedger!W435)</x:f>
      </x:c>
      <x:c r="O435" t="str">
        <x:f>IF(CaseLedger!$A435="","",CaseLedger!X435)</x:f>
      </x:c>
      <x:c r="P435" t="str">
        <x:f>IF(CaseLedger!$A435="","",CaseLedger!E435)</x:f>
      </x:c>
      <x:c r="Q435" t="str">
        <x:f>IF(CaseLedger!$A435="","",CaseLedger!C435)</x:f>
      </x:c>
      <x:c r="R435" t="str">
        <x:f>IF(CaseLedger!$A435="","",CaseLedger!D435)</x:f>
      </x:c>
      <x:c r="S435" t="str">
        <x:f>IFERROR(IF(CaseLedger!$A435="","",CaseLedger!Y435),"")</x:f>
      </x:c>
      <x:c r="T435" t="str">
        <x:f>IFERROR(IF(CaseLedger!$A435="","",CaseLedger!Z435),"")</x:f>
      </x:c>
      <x:c r="U435" t="str">
        <x:f>IFERROR(IF(CaseLedger!$A435="","",CaseLedger!AA435),"")</x:f>
      </x:c>
      <x:c r="V435" t="str">
        <x:f>IFERROR(IF(CaseLedger!$A435="","",CaseLedger!AB435),"")</x:f>
      </x:c>
      <x:c r="W435" t="str">
        <x:f>IFERROR(IF(CaseLedger!$A435="","",CaseLedger!AC435),"")</x:f>
      </x:c>
      <x:c r="X435" t="str">
        <x:f>IFERROR(IF(CaseLedger!$A435="","",CaseLedger!AD435),"")</x:f>
      </x:c>
      <x:c r="Y435" t="str">
        <x:f>IFERROR(IF(CaseLedger!$A435="","",CaseLedger!AE435),"")</x:f>
      </x:c>
      <x:c r="Z435" t="str">
        <x:f>IFERROR(IF(CaseLedger!$A435="","",CaseLedger!AF435),"")</x:f>
      </x:c>
      <x:c r="AA435" t="str">
        <x:f>IFERROR(IF(CaseLedger!$A435="","",CaseLedger!AG435),"")</x:f>
      </x:c>
      <x:c r="AB435" t="str">
        <x:f>IFERROR(IF(CaseLedger!$A435="","",CaseLedger!AH435),"")</x:f>
      </x:c>
      <x:c r="AC435" t="str">
        <x:f>IFERROR(IF(CaseLedger!$A435="","",CaseLedger!AI435),"")</x:f>
      </x:c>
    </x:row>
    <x:row r="436">
      <x:c r="A436" t="str">
        <x:f>IF(CaseLedger!$A436="","",CaseLedger!A436)</x:f>
      </x:c>
      <x:c r="B436" t="str">
        <x:f>IF(CaseLedger!$A436="","",CaseLedger!I436)</x:f>
      </x:c>
      <x:c r="C436" t="str">
        <x:f>IF(CaseLedger!$A436="","",CaseLedger!J436)</x:f>
      </x:c>
      <x:c r="D436" t="str">
        <x:f>IF(CaseLedger!$A436="","",CaseLedger!K436)</x:f>
      </x:c>
      <x:c r="E436" t="str">
        <x:f>IF(CaseLedger!$A436="","",CaseLedger!L436)</x:f>
      </x:c>
      <x:c r="F436" t="str">
        <x:f>IF(CaseLedger!$A436="","",CaseLedger!P436)</x:f>
      </x:c>
      <x:c r="G436" t="str">
        <x:f>IF(CaseLedger!$A436="","",CaseLedger!F436)</x:f>
      </x:c>
      <x:c r="H436" t="str">
        <x:f>IF(CaseLedger!$A436="","",CaseLedger!Q436)</x:f>
      </x:c>
      <x:c r="I436" t="str">
        <x:f>IF(CaseLedger!$A436="","",CaseLedger!R436)</x:f>
      </x:c>
      <x:c r="J436" t="str">
        <x:f>IF(CaseLedger!$A436="","",CaseLedger!S436)</x:f>
      </x:c>
      <x:c r="K436" t="str">
        <x:f>IF(CaseLedger!$A436="","",CaseLedger!T436)</x:f>
      </x:c>
      <x:c r="L436" t="str">
        <x:f>IF(CaseLedger!$A436="","",CaseLedger!U436)</x:f>
      </x:c>
      <x:c r="M436" t="str">
        <x:f>IF(CaseLedger!$A436="","",CaseLedger!V436)</x:f>
      </x:c>
      <x:c r="N436" t="str">
        <x:f>IF(CaseLedger!$A436="","",CaseLedger!W436)</x:f>
      </x:c>
      <x:c r="O436" t="str">
        <x:f>IF(CaseLedger!$A436="","",CaseLedger!X436)</x:f>
      </x:c>
      <x:c r="P436" t="str">
        <x:f>IF(CaseLedger!$A436="","",CaseLedger!E436)</x:f>
      </x:c>
      <x:c r="Q436" t="str">
        <x:f>IF(CaseLedger!$A436="","",CaseLedger!C436)</x:f>
      </x:c>
      <x:c r="R436" t="str">
        <x:f>IF(CaseLedger!$A436="","",CaseLedger!D436)</x:f>
      </x:c>
      <x:c r="S436" t="str">
        <x:f>IFERROR(IF(CaseLedger!$A436="","",CaseLedger!Y436),"")</x:f>
      </x:c>
      <x:c r="T436" t="str">
        <x:f>IFERROR(IF(CaseLedger!$A436="","",CaseLedger!Z436),"")</x:f>
      </x:c>
      <x:c r="U436" t="str">
        <x:f>IFERROR(IF(CaseLedger!$A436="","",CaseLedger!AA436),"")</x:f>
      </x:c>
      <x:c r="V436" t="str">
        <x:f>IFERROR(IF(CaseLedger!$A436="","",CaseLedger!AB436),"")</x:f>
      </x:c>
      <x:c r="W436" t="str">
        <x:f>IFERROR(IF(CaseLedger!$A436="","",CaseLedger!AC436),"")</x:f>
      </x:c>
      <x:c r="X436" t="str">
        <x:f>IFERROR(IF(CaseLedger!$A436="","",CaseLedger!AD436),"")</x:f>
      </x:c>
      <x:c r="Y436" t="str">
        <x:f>IFERROR(IF(CaseLedger!$A436="","",CaseLedger!AE436),"")</x:f>
      </x:c>
      <x:c r="Z436" t="str">
        <x:f>IFERROR(IF(CaseLedger!$A436="","",CaseLedger!AF436),"")</x:f>
      </x:c>
      <x:c r="AA436" t="str">
        <x:f>IFERROR(IF(CaseLedger!$A436="","",CaseLedger!AG436),"")</x:f>
      </x:c>
      <x:c r="AB436" t="str">
        <x:f>IFERROR(IF(CaseLedger!$A436="","",CaseLedger!AH436),"")</x:f>
      </x:c>
      <x:c r="AC436" t="str">
        <x:f>IFERROR(IF(CaseLedger!$A436="","",CaseLedger!AI436),"")</x:f>
      </x:c>
    </x:row>
    <x:row r="437">
      <x:c r="A437" t="str">
        <x:f>IF(CaseLedger!$A437="","",CaseLedger!A437)</x:f>
      </x:c>
      <x:c r="B437" t="str">
        <x:f>IF(CaseLedger!$A437="","",CaseLedger!I437)</x:f>
      </x:c>
      <x:c r="C437" t="str">
        <x:f>IF(CaseLedger!$A437="","",CaseLedger!J437)</x:f>
      </x:c>
      <x:c r="D437" t="str">
        <x:f>IF(CaseLedger!$A437="","",CaseLedger!K437)</x:f>
      </x:c>
      <x:c r="E437" t="str">
        <x:f>IF(CaseLedger!$A437="","",CaseLedger!L437)</x:f>
      </x:c>
      <x:c r="F437" t="str">
        <x:f>IF(CaseLedger!$A437="","",CaseLedger!P437)</x:f>
      </x:c>
      <x:c r="G437" t="str">
        <x:f>IF(CaseLedger!$A437="","",CaseLedger!F437)</x:f>
      </x:c>
      <x:c r="H437" t="str">
        <x:f>IF(CaseLedger!$A437="","",CaseLedger!Q437)</x:f>
      </x:c>
      <x:c r="I437" t="str">
        <x:f>IF(CaseLedger!$A437="","",CaseLedger!R437)</x:f>
      </x:c>
      <x:c r="J437" t="str">
        <x:f>IF(CaseLedger!$A437="","",CaseLedger!S437)</x:f>
      </x:c>
      <x:c r="K437" t="str">
        <x:f>IF(CaseLedger!$A437="","",CaseLedger!T437)</x:f>
      </x:c>
      <x:c r="L437" t="str">
        <x:f>IF(CaseLedger!$A437="","",CaseLedger!U437)</x:f>
      </x:c>
      <x:c r="M437" t="str">
        <x:f>IF(CaseLedger!$A437="","",CaseLedger!V437)</x:f>
      </x:c>
      <x:c r="N437" t="str">
        <x:f>IF(CaseLedger!$A437="","",CaseLedger!W437)</x:f>
      </x:c>
      <x:c r="O437" t="str">
        <x:f>IF(CaseLedger!$A437="","",CaseLedger!X437)</x:f>
      </x:c>
      <x:c r="P437" t="str">
        <x:f>IF(CaseLedger!$A437="","",CaseLedger!E437)</x:f>
      </x:c>
      <x:c r="Q437" t="str">
        <x:f>IF(CaseLedger!$A437="","",CaseLedger!C437)</x:f>
      </x:c>
      <x:c r="R437" t="str">
        <x:f>IF(CaseLedger!$A437="","",CaseLedger!D437)</x:f>
      </x:c>
      <x:c r="S437" t="str">
        <x:f>IFERROR(IF(CaseLedger!$A437="","",CaseLedger!Y437),"")</x:f>
      </x:c>
      <x:c r="T437" t="str">
        <x:f>IFERROR(IF(CaseLedger!$A437="","",CaseLedger!Z437),"")</x:f>
      </x:c>
      <x:c r="U437" t="str">
        <x:f>IFERROR(IF(CaseLedger!$A437="","",CaseLedger!AA437),"")</x:f>
      </x:c>
      <x:c r="V437" t="str">
        <x:f>IFERROR(IF(CaseLedger!$A437="","",CaseLedger!AB437),"")</x:f>
      </x:c>
      <x:c r="W437" t="str">
        <x:f>IFERROR(IF(CaseLedger!$A437="","",CaseLedger!AC437),"")</x:f>
      </x:c>
      <x:c r="X437" t="str">
        <x:f>IFERROR(IF(CaseLedger!$A437="","",CaseLedger!AD437),"")</x:f>
      </x:c>
      <x:c r="Y437" t="str">
        <x:f>IFERROR(IF(CaseLedger!$A437="","",CaseLedger!AE437),"")</x:f>
      </x:c>
      <x:c r="Z437" t="str">
        <x:f>IFERROR(IF(CaseLedger!$A437="","",CaseLedger!AF437),"")</x:f>
      </x:c>
      <x:c r="AA437" t="str">
        <x:f>IFERROR(IF(CaseLedger!$A437="","",CaseLedger!AG437),"")</x:f>
      </x:c>
      <x:c r="AB437" t="str">
        <x:f>IFERROR(IF(CaseLedger!$A437="","",CaseLedger!AH437),"")</x:f>
      </x:c>
      <x:c r="AC437" t="str">
        <x:f>IFERROR(IF(CaseLedger!$A437="","",CaseLedger!AI437),"")</x:f>
      </x:c>
    </x:row>
    <x:row r="438">
      <x:c r="A438" t="str">
        <x:f>IF(CaseLedger!$A438="","",CaseLedger!A438)</x:f>
      </x:c>
      <x:c r="B438" t="str">
        <x:f>IF(CaseLedger!$A438="","",CaseLedger!I438)</x:f>
      </x:c>
      <x:c r="C438" t="str">
        <x:f>IF(CaseLedger!$A438="","",CaseLedger!J438)</x:f>
      </x:c>
      <x:c r="D438" t="str">
        <x:f>IF(CaseLedger!$A438="","",CaseLedger!K438)</x:f>
      </x:c>
      <x:c r="E438" t="str">
        <x:f>IF(CaseLedger!$A438="","",CaseLedger!L438)</x:f>
      </x:c>
      <x:c r="F438" t="str">
        <x:f>IF(CaseLedger!$A438="","",CaseLedger!P438)</x:f>
      </x:c>
      <x:c r="G438" t="str">
        <x:f>IF(CaseLedger!$A438="","",CaseLedger!F438)</x:f>
      </x:c>
      <x:c r="H438" t="str">
        <x:f>IF(CaseLedger!$A438="","",CaseLedger!Q438)</x:f>
      </x:c>
      <x:c r="I438" t="str">
        <x:f>IF(CaseLedger!$A438="","",CaseLedger!R438)</x:f>
      </x:c>
      <x:c r="J438" t="str">
        <x:f>IF(CaseLedger!$A438="","",CaseLedger!S438)</x:f>
      </x:c>
      <x:c r="K438" t="str">
        <x:f>IF(CaseLedger!$A438="","",CaseLedger!T438)</x:f>
      </x:c>
      <x:c r="L438" t="str">
        <x:f>IF(CaseLedger!$A438="","",CaseLedger!U438)</x:f>
      </x:c>
      <x:c r="M438" t="str">
        <x:f>IF(CaseLedger!$A438="","",CaseLedger!V438)</x:f>
      </x:c>
      <x:c r="N438" t="str">
        <x:f>IF(CaseLedger!$A438="","",CaseLedger!W438)</x:f>
      </x:c>
      <x:c r="O438" t="str">
        <x:f>IF(CaseLedger!$A438="","",CaseLedger!X438)</x:f>
      </x:c>
      <x:c r="P438" t="str">
        <x:f>IF(CaseLedger!$A438="","",CaseLedger!E438)</x:f>
      </x:c>
      <x:c r="Q438" t="str">
        <x:f>IF(CaseLedger!$A438="","",CaseLedger!C438)</x:f>
      </x:c>
      <x:c r="R438" t="str">
        <x:f>IF(CaseLedger!$A438="","",CaseLedger!D438)</x:f>
      </x:c>
      <x:c r="S438" t="str">
        <x:f>IFERROR(IF(CaseLedger!$A438="","",CaseLedger!Y438),"")</x:f>
      </x:c>
      <x:c r="T438" t="str">
        <x:f>IFERROR(IF(CaseLedger!$A438="","",CaseLedger!Z438),"")</x:f>
      </x:c>
      <x:c r="U438" t="str">
        <x:f>IFERROR(IF(CaseLedger!$A438="","",CaseLedger!AA438),"")</x:f>
      </x:c>
      <x:c r="V438" t="str">
        <x:f>IFERROR(IF(CaseLedger!$A438="","",CaseLedger!AB438),"")</x:f>
      </x:c>
      <x:c r="W438" t="str">
        <x:f>IFERROR(IF(CaseLedger!$A438="","",CaseLedger!AC438),"")</x:f>
      </x:c>
      <x:c r="X438" t="str">
        <x:f>IFERROR(IF(CaseLedger!$A438="","",CaseLedger!AD438),"")</x:f>
      </x:c>
      <x:c r="Y438" t="str">
        <x:f>IFERROR(IF(CaseLedger!$A438="","",CaseLedger!AE438),"")</x:f>
      </x:c>
      <x:c r="Z438" t="str">
        <x:f>IFERROR(IF(CaseLedger!$A438="","",CaseLedger!AF438),"")</x:f>
      </x:c>
      <x:c r="AA438" t="str">
        <x:f>IFERROR(IF(CaseLedger!$A438="","",CaseLedger!AG438),"")</x:f>
      </x:c>
      <x:c r="AB438" t="str">
        <x:f>IFERROR(IF(CaseLedger!$A438="","",CaseLedger!AH438),"")</x:f>
      </x:c>
      <x:c r="AC438" t="str">
        <x:f>IFERROR(IF(CaseLedger!$A438="","",CaseLedger!AI438),"")</x:f>
      </x:c>
    </x:row>
    <x:row r="439">
      <x:c r="A439" t="str">
        <x:f>IF(CaseLedger!$A439="","",CaseLedger!A439)</x:f>
      </x:c>
      <x:c r="B439" t="str">
        <x:f>IF(CaseLedger!$A439="","",CaseLedger!I439)</x:f>
      </x:c>
      <x:c r="C439" t="str">
        <x:f>IF(CaseLedger!$A439="","",CaseLedger!J439)</x:f>
      </x:c>
      <x:c r="D439" t="str">
        <x:f>IF(CaseLedger!$A439="","",CaseLedger!K439)</x:f>
      </x:c>
      <x:c r="E439" t="str">
        <x:f>IF(CaseLedger!$A439="","",CaseLedger!L439)</x:f>
      </x:c>
      <x:c r="F439" t="str">
        <x:f>IF(CaseLedger!$A439="","",CaseLedger!P439)</x:f>
      </x:c>
      <x:c r="G439" t="str">
        <x:f>IF(CaseLedger!$A439="","",CaseLedger!F439)</x:f>
      </x:c>
      <x:c r="H439" t="str">
        <x:f>IF(CaseLedger!$A439="","",CaseLedger!Q439)</x:f>
      </x:c>
      <x:c r="I439" t="str">
        <x:f>IF(CaseLedger!$A439="","",CaseLedger!R439)</x:f>
      </x:c>
      <x:c r="J439" t="str">
        <x:f>IF(CaseLedger!$A439="","",CaseLedger!S439)</x:f>
      </x:c>
      <x:c r="K439" t="str">
        <x:f>IF(CaseLedger!$A439="","",CaseLedger!T439)</x:f>
      </x:c>
      <x:c r="L439" t="str">
        <x:f>IF(CaseLedger!$A439="","",CaseLedger!U439)</x:f>
      </x:c>
      <x:c r="M439" t="str">
        <x:f>IF(CaseLedger!$A439="","",CaseLedger!V439)</x:f>
      </x:c>
      <x:c r="N439" t="str">
        <x:f>IF(CaseLedger!$A439="","",CaseLedger!W439)</x:f>
      </x:c>
      <x:c r="O439" t="str">
        <x:f>IF(CaseLedger!$A439="","",CaseLedger!X439)</x:f>
      </x:c>
      <x:c r="P439" t="str">
        <x:f>IF(CaseLedger!$A439="","",CaseLedger!E439)</x:f>
      </x:c>
      <x:c r="Q439" t="str">
        <x:f>IF(CaseLedger!$A439="","",CaseLedger!C439)</x:f>
      </x:c>
      <x:c r="R439" t="str">
        <x:f>IF(CaseLedger!$A439="","",CaseLedger!D439)</x:f>
      </x:c>
      <x:c r="S439" t="str">
        <x:f>IFERROR(IF(CaseLedger!$A439="","",CaseLedger!Y439),"")</x:f>
      </x:c>
      <x:c r="T439" t="str">
        <x:f>IFERROR(IF(CaseLedger!$A439="","",CaseLedger!Z439),"")</x:f>
      </x:c>
      <x:c r="U439" t="str">
        <x:f>IFERROR(IF(CaseLedger!$A439="","",CaseLedger!AA439),"")</x:f>
      </x:c>
      <x:c r="V439" t="str">
        <x:f>IFERROR(IF(CaseLedger!$A439="","",CaseLedger!AB439),"")</x:f>
      </x:c>
      <x:c r="W439" t="str">
        <x:f>IFERROR(IF(CaseLedger!$A439="","",CaseLedger!AC439),"")</x:f>
      </x:c>
      <x:c r="X439" t="str">
        <x:f>IFERROR(IF(CaseLedger!$A439="","",CaseLedger!AD439),"")</x:f>
      </x:c>
      <x:c r="Y439" t="str">
        <x:f>IFERROR(IF(CaseLedger!$A439="","",CaseLedger!AE439),"")</x:f>
      </x:c>
      <x:c r="Z439" t="str">
        <x:f>IFERROR(IF(CaseLedger!$A439="","",CaseLedger!AF439),"")</x:f>
      </x:c>
      <x:c r="AA439" t="str">
        <x:f>IFERROR(IF(CaseLedger!$A439="","",CaseLedger!AG439),"")</x:f>
      </x:c>
      <x:c r="AB439" t="str">
        <x:f>IFERROR(IF(CaseLedger!$A439="","",CaseLedger!AH439),"")</x:f>
      </x:c>
      <x:c r="AC439" t="str">
        <x:f>IFERROR(IF(CaseLedger!$A439="","",CaseLedger!AI439),"")</x:f>
      </x:c>
    </x:row>
    <x:row r="440">
      <x:c r="A440" t="str">
        <x:f>IF(CaseLedger!$A440="","",CaseLedger!A440)</x:f>
      </x:c>
      <x:c r="B440" t="str">
        <x:f>IF(CaseLedger!$A440="","",CaseLedger!I440)</x:f>
      </x:c>
      <x:c r="C440" t="str">
        <x:f>IF(CaseLedger!$A440="","",CaseLedger!J440)</x:f>
      </x:c>
      <x:c r="D440" t="str">
        <x:f>IF(CaseLedger!$A440="","",CaseLedger!K440)</x:f>
      </x:c>
      <x:c r="E440" t="str">
        <x:f>IF(CaseLedger!$A440="","",CaseLedger!L440)</x:f>
      </x:c>
      <x:c r="F440" t="str">
        <x:f>IF(CaseLedger!$A440="","",CaseLedger!P440)</x:f>
      </x:c>
      <x:c r="G440" t="str">
        <x:f>IF(CaseLedger!$A440="","",CaseLedger!F440)</x:f>
      </x:c>
      <x:c r="H440" t="str">
        <x:f>IF(CaseLedger!$A440="","",CaseLedger!Q440)</x:f>
      </x:c>
      <x:c r="I440" t="str">
        <x:f>IF(CaseLedger!$A440="","",CaseLedger!R440)</x:f>
      </x:c>
      <x:c r="J440" t="str">
        <x:f>IF(CaseLedger!$A440="","",CaseLedger!S440)</x:f>
      </x:c>
      <x:c r="K440" t="str">
        <x:f>IF(CaseLedger!$A440="","",CaseLedger!T440)</x:f>
      </x:c>
      <x:c r="L440" t="str">
        <x:f>IF(CaseLedger!$A440="","",CaseLedger!U440)</x:f>
      </x:c>
      <x:c r="M440" t="str">
        <x:f>IF(CaseLedger!$A440="","",CaseLedger!V440)</x:f>
      </x:c>
      <x:c r="N440" t="str">
        <x:f>IF(CaseLedger!$A440="","",CaseLedger!W440)</x:f>
      </x:c>
      <x:c r="O440" t="str">
        <x:f>IF(CaseLedger!$A440="","",CaseLedger!X440)</x:f>
      </x:c>
      <x:c r="P440" t="str">
        <x:f>IF(CaseLedger!$A440="","",CaseLedger!E440)</x:f>
      </x:c>
      <x:c r="Q440" t="str">
        <x:f>IF(CaseLedger!$A440="","",CaseLedger!C440)</x:f>
      </x:c>
      <x:c r="R440" t="str">
        <x:f>IF(CaseLedger!$A440="","",CaseLedger!D440)</x:f>
      </x:c>
      <x:c r="S440" t="str">
        <x:f>IFERROR(IF(CaseLedger!$A440="","",CaseLedger!Y440),"")</x:f>
      </x:c>
      <x:c r="T440" t="str">
        <x:f>IFERROR(IF(CaseLedger!$A440="","",CaseLedger!Z440),"")</x:f>
      </x:c>
      <x:c r="U440" t="str">
        <x:f>IFERROR(IF(CaseLedger!$A440="","",CaseLedger!AA440),"")</x:f>
      </x:c>
      <x:c r="V440" t="str">
        <x:f>IFERROR(IF(CaseLedger!$A440="","",CaseLedger!AB440),"")</x:f>
      </x:c>
      <x:c r="W440" t="str">
        <x:f>IFERROR(IF(CaseLedger!$A440="","",CaseLedger!AC440),"")</x:f>
      </x:c>
      <x:c r="X440" t="str">
        <x:f>IFERROR(IF(CaseLedger!$A440="","",CaseLedger!AD440),"")</x:f>
      </x:c>
      <x:c r="Y440" t="str">
        <x:f>IFERROR(IF(CaseLedger!$A440="","",CaseLedger!AE440),"")</x:f>
      </x:c>
      <x:c r="Z440" t="str">
        <x:f>IFERROR(IF(CaseLedger!$A440="","",CaseLedger!AF440),"")</x:f>
      </x:c>
      <x:c r="AA440" t="str">
        <x:f>IFERROR(IF(CaseLedger!$A440="","",CaseLedger!AG440),"")</x:f>
      </x:c>
      <x:c r="AB440" t="str">
        <x:f>IFERROR(IF(CaseLedger!$A440="","",CaseLedger!AH440),"")</x:f>
      </x:c>
      <x:c r="AC440" t="str">
        <x:f>IFERROR(IF(CaseLedger!$A440="","",CaseLedger!AI440),"")</x:f>
      </x:c>
    </x:row>
    <x:row r="441">
      <x:c r="A441" t="str">
        <x:f>IF(CaseLedger!$A441="","",CaseLedger!A441)</x:f>
      </x:c>
      <x:c r="B441" t="str">
        <x:f>IF(CaseLedger!$A441="","",CaseLedger!I441)</x:f>
      </x:c>
      <x:c r="C441" t="str">
        <x:f>IF(CaseLedger!$A441="","",CaseLedger!J441)</x:f>
      </x:c>
      <x:c r="D441" t="str">
        <x:f>IF(CaseLedger!$A441="","",CaseLedger!K441)</x:f>
      </x:c>
      <x:c r="E441" t="str">
        <x:f>IF(CaseLedger!$A441="","",CaseLedger!L441)</x:f>
      </x:c>
      <x:c r="F441" t="str">
        <x:f>IF(CaseLedger!$A441="","",CaseLedger!P441)</x:f>
      </x:c>
      <x:c r="G441" t="str">
        <x:f>IF(CaseLedger!$A441="","",CaseLedger!F441)</x:f>
      </x:c>
      <x:c r="H441" t="str">
        <x:f>IF(CaseLedger!$A441="","",CaseLedger!Q441)</x:f>
      </x:c>
      <x:c r="I441" t="str">
        <x:f>IF(CaseLedger!$A441="","",CaseLedger!R441)</x:f>
      </x:c>
      <x:c r="J441" t="str">
        <x:f>IF(CaseLedger!$A441="","",CaseLedger!S441)</x:f>
      </x:c>
      <x:c r="K441" t="str">
        <x:f>IF(CaseLedger!$A441="","",CaseLedger!T441)</x:f>
      </x:c>
      <x:c r="L441" t="str">
        <x:f>IF(CaseLedger!$A441="","",CaseLedger!U441)</x:f>
      </x:c>
      <x:c r="M441" t="str">
        <x:f>IF(CaseLedger!$A441="","",CaseLedger!V441)</x:f>
      </x:c>
      <x:c r="N441" t="str">
        <x:f>IF(CaseLedger!$A441="","",CaseLedger!W441)</x:f>
      </x:c>
      <x:c r="O441" t="str">
        <x:f>IF(CaseLedger!$A441="","",CaseLedger!X441)</x:f>
      </x:c>
      <x:c r="P441" t="str">
        <x:f>IF(CaseLedger!$A441="","",CaseLedger!E441)</x:f>
      </x:c>
      <x:c r="Q441" t="str">
        <x:f>IF(CaseLedger!$A441="","",CaseLedger!C441)</x:f>
      </x:c>
      <x:c r="R441" t="str">
        <x:f>IF(CaseLedger!$A441="","",CaseLedger!D441)</x:f>
      </x:c>
      <x:c r="S441" t="str">
        <x:f>IFERROR(IF(CaseLedger!$A441="","",CaseLedger!Y441),"")</x:f>
      </x:c>
      <x:c r="T441" t="str">
        <x:f>IFERROR(IF(CaseLedger!$A441="","",CaseLedger!Z441),"")</x:f>
      </x:c>
      <x:c r="U441" t="str">
        <x:f>IFERROR(IF(CaseLedger!$A441="","",CaseLedger!AA441),"")</x:f>
      </x:c>
      <x:c r="V441" t="str">
        <x:f>IFERROR(IF(CaseLedger!$A441="","",CaseLedger!AB441),"")</x:f>
      </x:c>
      <x:c r="W441" t="str">
        <x:f>IFERROR(IF(CaseLedger!$A441="","",CaseLedger!AC441),"")</x:f>
      </x:c>
      <x:c r="X441" t="str">
        <x:f>IFERROR(IF(CaseLedger!$A441="","",CaseLedger!AD441),"")</x:f>
      </x:c>
      <x:c r="Y441" t="str">
        <x:f>IFERROR(IF(CaseLedger!$A441="","",CaseLedger!AE441),"")</x:f>
      </x:c>
      <x:c r="Z441" t="str">
        <x:f>IFERROR(IF(CaseLedger!$A441="","",CaseLedger!AF441),"")</x:f>
      </x:c>
      <x:c r="AA441" t="str">
        <x:f>IFERROR(IF(CaseLedger!$A441="","",CaseLedger!AG441),"")</x:f>
      </x:c>
      <x:c r="AB441" t="str">
        <x:f>IFERROR(IF(CaseLedger!$A441="","",CaseLedger!AH441),"")</x:f>
      </x:c>
      <x:c r="AC441" t="str">
        <x:f>IFERROR(IF(CaseLedger!$A441="","",CaseLedger!AI441),"")</x:f>
      </x:c>
    </x:row>
    <x:row r="442">
      <x:c r="A442" t="str">
        <x:f>IF(CaseLedger!$A442="","",CaseLedger!A442)</x:f>
      </x:c>
      <x:c r="B442" t="str">
        <x:f>IF(CaseLedger!$A442="","",CaseLedger!I442)</x:f>
      </x:c>
      <x:c r="C442" t="str">
        <x:f>IF(CaseLedger!$A442="","",CaseLedger!J442)</x:f>
      </x:c>
      <x:c r="D442" t="str">
        <x:f>IF(CaseLedger!$A442="","",CaseLedger!K442)</x:f>
      </x:c>
      <x:c r="E442" t="str">
        <x:f>IF(CaseLedger!$A442="","",CaseLedger!L442)</x:f>
      </x:c>
      <x:c r="F442" t="str">
        <x:f>IF(CaseLedger!$A442="","",CaseLedger!P442)</x:f>
      </x:c>
      <x:c r="G442" t="str">
        <x:f>IF(CaseLedger!$A442="","",CaseLedger!F442)</x:f>
      </x:c>
      <x:c r="H442" t="str">
        <x:f>IF(CaseLedger!$A442="","",CaseLedger!Q442)</x:f>
      </x:c>
      <x:c r="I442" t="str">
        <x:f>IF(CaseLedger!$A442="","",CaseLedger!R442)</x:f>
      </x:c>
      <x:c r="J442" t="str">
        <x:f>IF(CaseLedger!$A442="","",CaseLedger!S442)</x:f>
      </x:c>
      <x:c r="K442" t="str">
        <x:f>IF(CaseLedger!$A442="","",CaseLedger!T442)</x:f>
      </x:c>
      <x:c r="L442" t="str">
        <x:f>IF(CaseLedger!$A442="","",CaseLedger!U442)</x:f>
      </x:c>
      <x:c r="M442" t="str">
        <x:f>IF(CaseLedger!$A442="","",CaseLedger!V442)</x:f>
      </x:c>
      <x:c r="N442" t="str">
        <x:f>IF(CaseLedger!$A442="","",CaseLedger!W442)</x:f>
      </x:c>
      <x:c r="O442" t="str">
        <x:f>IF(CaseLedger!$A442="","",CaseLedger!X442)</x:f>
      </x:c>
      <x:c r="P442" t="str">
        <x:f>IF(CaseLedger!$A442="","",CaseLedger!E442)</x:f>
      </x:c>
      <x:c r="Q442" t="str">
        <x:f>IF(CaseLedger!$A442="","",CaseLedger!C442)</x:f>
      </x:c>
      <x:c r="R442" t="str">
        <x:f>IF(CaseLedger!$A442="","",CaseLedger!D442)</x:f>
      </x:c>
      <x:c r="S442" t="str">
        <x:f>IFERROR(IF(CaseLedger!$A442="","",CaseLedger!Y442),"")</x:f>
      </x:c>
      <x:c r="T442" t="str">
        <x:f>IFERROR(IF(CaseLedger!$A442="","",CaseLedger!Z442),"")</x:f>
      </x:c>
      <x:c r="U442" t="str">
        <x:f>IFERROR(IF(CaseLedger!$A442="","",CaseLedger!AA442),"")</x:f>
      </x:c>
      <x:c r="V442" t="str">
        <x:f>IFERROR(IF(CaseLedger!$A442="","",CaseLedger!AB442),"")</x:f>
      </x:c>
      <x:c r="W442" t="str">
        <x:f>IFERROR(IF(CaseLedger!$A442="","",CaseLedger!AC442),"")</x:f>
      </x:c>
      <x:c r="X442" t="str">
        <x:f>IFERROR(IF(CaseLedger!$A442="","",CaseLedger!AD442),"")</x:f>
      </x:c>
      <x:c r="Y442" t="str">
        <x:f>IFERROR(IF(CaseLedger!$A442="","",CaseLedger!AE442),"")</x:f>
      </x:c>
      <x:c r="Z442" t="str">
        <x:f>IFERROR(IF(CaseLedger!$A442="","",CaseLedger!AF442),"")</x:f>
      </x:c>
      <x:c r="AA442" t="str">
        <x:f>IFERROR(IF(CaseLedger!$A442="","",CaseLedger!AG442),"")</x:f>
      </x:c>
      <x:c r="AB442" t="str">
        <x:f>IFERROR(IF(CaseLedger!$A442="","",CaseLedger!AH442),"")</x:f>
      </x:c>
      <x:c r="AC442" t="str">
        <x:f>IFERROR(IF(CaseLedger!$A442="","",CaseLedger!AI442),"")</x:f>
      </x:c>
    </x:row>
    <x:row r="443">
      <x:c r="A443" t="str">
        <x:f>IF(CaseLedger!$A443="","",CaseLedger!A443)</x:f>
      </x:c>
      <x:c r="B443" t="str">
        <x:f>IF(CaseLedger!$A443="","",CaseLedger!I443)</x:f>
      </x:c>
      <x:c r="C443" t="str">
        <x:f>IF(CaseLedger!$A443="","",CaseLedger!J443)</x:f>
      </x:c>
      <x:c r="D443" t="str">
        <x:f>IF(CaseLedger!$A443="","",CaseLedger!K443)</x:f>
      </x:c>
      <x:c r="E443" t="str">
        <x:f>IF(CaseLedger!$A443="","",CaseLedger!L443)</x:f>
      </x:c>
      <x:c r="F443" t="str">
        <x:f>IF(CaseLedger!$A443="","",CaseLedger!P443)</x:f>
      </x:c>
      <x:c r="G443" t="str">
        <x:f>IF(CaseLedger!$A443="","",CaseLedger!F443)</x:f>
      </x:c>
      <x:c r="H443" t="str">
        <x:f>IF(CaseLedger!$A443="","",CaseLedger!Q443)</x:f>
      </x:c>
      <x:c r="I443" t="str">
        <x:f>IF(CaseLedger!$A443="","",CaseLedger!R443)</x:f>
      </x:c>
      <x:c r="J443" t="str">
        <x:f>IF(CaseLedger!$A443="","",CaseLedger!S443)</x:f>
      </x:c>
      <x:c r="K443" t="str">
        <x:f>IF(CaseLedger!$A443="","",CaseLedger!T443)</x:f>
      </x:c>
      <x:c r="L443" t="str">
        <x:f>IF(CaseLedger!$A443="","",CaseLedger!U443)</x:f>
      </x:c>
      <x:c r="M443" t="str">
        <x:f>IF(CaseLedger!$A443="","",CaseLedger!V443)</x:f>
      </x:c>
      <x:c r="N443" t="str">
        <x:f>IF(CaseLedger!$A443="","",CaseLedger!W443)</x:f>
      </x:c>
      <x:c r="O443" t="str">
        <x:f>IF(CaseLedger!$A443="","",CaseLedger!X443)</x:f>
      </x:c>
      <x:c r="P443" t="str">
        <x:f>IF(CaseLedger!$A443="","",CaseLedger!E443)</x:f>
      </x:c>
      <x:c r="Q443" t="str">
        <x:f>IF(CaseLedger!$A443="","",CaseLedger!C443)</x:f>
      </x:c>
      <x:c r="R443" t="str">
        <x:f>IF(CaseLedger!$A443="","",CaseLedger!D443)</x:f>
      </x:c>
      <x:c r="S443" t="str">
        <x:f>IFERROR(IF(CaseLedger!$A443="","",CaseLedger!Y443),"")</x:f>
      </x:c>
      <x:c r="T443" t="str">
        <x:f>IFERROR(IF(CaseLedger!$A443="","",CaseLedger!Z443),"")</x:f>
      </x:c>
      <x:c r="U443" t="str">
        <x:f>IFERROR(IF(CaseLedger!$A443="","",CaseLedger!AA443),"")</x:f>
      </x:c>
      <x:c r="V443" t="str">
        <x:f>IFERROR(IF(CaseLedger!$A443="","",CaseLedger!AB443),"")</x:f>
      </x:c>
      <x:c r="W443" t="str">
        <x:f>IFERROR(IF(CaseLedger!$A443="","",CaseLedger!AC443),"")</x:f>
      </x:c>
      <x:c r="X443" t="str">
        <x:f>IFERROR(IF(CaseLedger!$A443="","",CaseLedger!AD443),"")</x:f>
      </x:c>
      <x:c r="Y443" t="str">
        <x:f>IFERROR(IF(CaseLedger!$A443="","",CaseLedger!AE443),"")</x:f>
      </x:c>
      <x:c r="Z443" t="str">
        <x:f>IFERROR(IF(CaseLedger!$A443="","",CaseLedger!AF443),"")</x:f>
      </x:c>
      <x:c r="AA443" t="str">
        <x:f>IFERROR(IF(CaseLedger!$A443="","",CaseLedger!AG443),"")</x:f>
      </x:c>
      <x:c r="AB443" t="str">
        <x:f>IFERROR(IF(CaseLedger!$A443="","",CaseLedger!AH443),"")</x:f>
      </x:c>
      <x:c r="AC443" t="str">
        <x:f>IFERROR(IF(CaseLedger!$A443="","",CaseLedger!AI443),"")</x:f>
      </x:c>
    </x:row>
    <x:row r="444">
      <x:c r="A444" t="str">
        <x:f>IF(CaseLedger!$A444="","",CaseLedger!A444)</x:f>
      </x:c>
      <x:c r="B444" t="str">
        <x:f>IF(CaseLedger!$A444="","",CaseLedger!I444)</x:f>
      </x:c>
      <x:c r="C444" t="str">
        <x:f>IF(CaseLedger!$A444="","",CaseLedger!J444)</x:f>
      </x:c>
      <x:c r="D444" t="str">
        <x:f>IF(CaseLedger!$A444="","",CaseLedger!K444)</x:f>
      </x:c>
      <x:c r="E444" t="str">
        <x:f>IF(CaseLedger!$A444="","",CaseLedger!L444)</x:f>
      </x:c>
      <x:c r="F444" t="str">
        <x:f>IF(CaseLedger!$A444="","",CaseLedger!P444)</x:f>
      </x:c>
      <x:c r="G444" t="str">
        <x:f>IF(CaseLedger!$A444="","",CaseLedger!F444)</x:f>
      </x:c>
      <x:c r="H444" t="str">
        <x:f>IF(CaseLedger!$A444="","",CaseLedger!Q444)</x:f>
      </x:c>
      <x:c r="I444" t="str">
        <x:f>IF(CaseLedger!$A444="","",CaseLedger!R444)</x:f>
      </x:c>
      <x:c r="J444" t="str">
        <x:f>IF(CaseLedger!$A444="","",CaseLedger!S444)</x:f>
      </x:c>
      <x:c r="K444" t="str">
        <x:f>IF(CaseLedger!$A444="","",CaseLedger!T444)</x:f>
      </x:c>
      <x:c r="L444" t="str">
        <x:f>IF(CaseLedger!$A444="","",CaseLedger!U444)</x:f>
      </x:c>
      <x:c r="M444" t="str">
        <x:f>IF(CaseLedger!$A444="","",CaseLedger!V444)</x:f>
      </x:c>
      <x:c r="N444" t="str">
        <x:f>IF(CaseLedger!$A444="","",CaseLedger!W444)</x:f>
      </x:c>
      <x:c r="O444" t="str">
        <x:f>IF(CaseLedger!$A444="","",CaseLedger!X444)</x:f>
      </x:c>
      <x:c r="P444" t="str">
        <x:f>IF(CaseLedger!$A444="","",CaseLedger!E444)</x:f>
      </x:c>
      <x:c r="Q444" t="str">
        <x:f>IF(CaseLedger!$A444="","",CaseLedger!C444)</x:f>
      </x:c>
      <x:c r="R444" t="str">
        <x:f>IF(CaseLedger!$A444="","",CaseLedger!D444)</x:f>
      </x:c>
      <x:c r="S444" t="str">
        <x:f>IFERROR(IF(CaseLedger!$A444="","",CaseLedger!Y444),"")</x:f>
      </x:c>
      <x:c r="T444" t="str">
        <x:f>IFERROR(IF(CaseLedger!$A444="","",CaseLedger!Z444),"")</x:f>
      </x:c>
      <x:c r="U444" t="str">
        <x:f>IFERROR(IF(CaseLedger!$A444="","",CaseLedger!AA444),"")</x:f>
      </x:c>
      <x:c r="V444" t="str">
        <x:f>IFERROR(IF(CaseLedger!$A444="","",CaseLedger!AB444),"")</x:f>
      </x:c>
      <x:c r="W444" t="str">
        <x:f>IFERROR(IF(CaseLedger!$A444="","",CaseLedger!AC444),"")</x:f>
      </x:c>
      <x:c r="X444" t="str">
        <x:f>IFERROR(IF(CaseLedger!$A444="","",CaseLedger!AD444),"")</x:f>
      </x:c>
      <x:c r="Y444" t="str">
        <x:f>IFERROR(IF(CaseLedger!$A444="","",CaseLedger!AE444),"")</x:f>
      </x:c>
      <x:c r="Z444" t="str">
        <x:f>IFERROR(IF(CaseLedger!$A444="","",CaseLedger!AF444),"")</x:f>
      </x:c>
      <x:c r="AA444" t="str">
        <x:f>IFERROR(IF(CaseLedger!$A444="","",CaseLedger!AG444),"")</x:f>
      </x:c>
      <x:c r="AB444" t="str">
        <x:f>IFERROR(IF(CaseLedger!$A444="","",CaseLedger!AH444),"")</x:f>
      </x:c>
      <x:c r="AC444" t="str">
        <x:f>IFERROR(IF(CaseLedger!$A444="","",CaseLedger!AI444),"")</x:f>
      </x:c>
    </x:row>
    <x:row r="445">
      <x:c r="A445" t="str">
        <x:f>IF(CaseLedger!$A445="","",CaseLedger!A445)</x:f>
      </x:c>
      <x:c r="B445" t="str">
        <x:f>IF(CaseLedger!$A445="","",CaseLedger!I445)</x:f>
      </x:c>
      <x:c r="C445" t="str">
        <x:f>IF(CaseLedger!$A445="","",CaseLedger!J445)</x:f>
      </x:c>
      <x:c r="D445" t="str">
        <x:f>IF(CaseLedger!$A445="","",CaseLedger!K445)</x:f>
      </x:c>
      <x:c r="E445" t="str">
        <x:f>IF(CaseLedger!$A445="","",CaseLedger!L445)</x:f>
      </x:c>
      <x:c r="F445" t="str">
        <x:f>IF(CaseLedger!$A445="","",CaseLedger!P445)</x:f>
      </x:c>
      <x:c r="G445" t="str">
        <x:f>IF(CaseLedger!$A445="","",CaseLedger!F445)</x:f>
      </x:c>
      <x:c r="H445" t="str">
        <x:f>IF(CaseLedger!$A445="","",CaseLedger!Q445)</x:f>
      </x:c>
      <x:c r="I445" t="str">
        <x:f>IF(CaseLedger!$A445="","",CaseLedger!R445)</x:f>
      </x:c>
      <x:c r="J445" t="str">
        <x:f>IF(CaseLedger!$A445="","",CaseLedger!S445)</x:f>
      </x:c>
      <x:c r="K445" t="str">
        <x:f>IF(CaseLedger!$A445="","",CaseLedger!T445)</x:f>
      </x:c>
      <x:c r="L445" t="str">
        <x:f>IF(CaseLedger!$A445="","",CaseLedger!U445)</x:f>
      </x:c>
      <x:c r="M445" t="str">
        <x:f>IF(CaseLedger!$A445="","",CaseLedger!V445)</x:f>
      </x:c>
      <x:c r="N445" t="str">
        <x:f>IF(CaseLedger!$A445="","",CaseLedger!W445)</x:f>
      </x:c>
      <x:c r="O445" t="str">
        <x:f>IF(CaseLedger!$A445="","",CaseLedger!X445)</x:f>
      </x:c>
      <x:c r="P445" t="str">
        <x:f>IF(CaseLedger!$A445="","",CaseLedger!E445)</x:f>
      </x:c>
      <x:c r="Q445" t="str">
        <x:f>IF(CaseLedger!$A445="","",CaseLedger!C445)</x:f>
      </x:c>
      <x:c r="R445" t="str">
        <x:f>IF(CaseLedger!$A445="","",CaseLedger!D445)</x:f>
      </x:c>
      <x:c r="S445" t="str">
        <x:f>IFERROR(IF(CaseLedger!$A445="","",CaseLedger!Y445),"")</x:f>
      </x:c>
      <x:c r="T445" t="str">
        <x:f>IFERROR(IF(CaseLedger!$A445="","",CaseLedger!Z445),"")</x:f>
      </x:c>
      <x:c r="U445" t="str">
        <x:f>IFERROR(IF(CaseLedger!$A445="","",CaseLedger!AA445),"")</x:f>
      </x:c>
      <x:c r="V445" t="str">
        <x:f>IFERROR(IF(CaseLedger!$A445="","",CaseLedger!AB445),"")</x:f>
      </x:c>
      <x:c r="W445" t="str">
        <x:f>IFERROR(IF(CaseLedger!$A445="","",CaseLedger!AC445),"")</x:f>
      </x:c>
      <x:c r="X445" t="str">
        <x:f>IFERROR(IF(CaseLedger!$A445="","",CaseLedger!AD445),"")</x:f>
      </x:c>
      <x:c r="Y445" t="str">
        <x:f>IFERROR(IF(CaseLedger!$A445="","",CaseLedger!AE445),"")</x:f>
      </x:c>
      <x:c r="Z445" t="str">
        <x:f>IFERROR(IF(CaseLedger!$A445="","",CaseLedger!AF445),"")</x:f>
      </x:c>
      <x:c r="AA445" t="str">
        <x:f>IFERROR(IF(CaseLedger!$A445="","",CaseLedger!AG445),"")</x:f>
      </x:c>
      <x:c r="AB445" t="str">
        <x:f>IFERROR(IF(CaseLedger!$A445="","",CaseLedger!AH445),"")</x:f>
      </x:c>
      <x:c r="AC445" t="str">
        <x:f>IFERROR(IF(CaseLedger!$A445="","",CaseLedger!AI445),"")</x:f>
      </x:c>
    </x:row>
    <x:row r="446">
      <x:c r="A446" t="str">
        <x:f>IF(CaseLedger!$A446="","",CaseLedger!A446)</x:f>
      </x:c>
      <x:c r="B446" t="str">
        <x:f>IF(CaseLedger!$A446="","",CaseLedger!I446)</x:f>
      </x:c>
      <x:c r="C446" t="str">
        <x:f>IF(CaseLedger!$A446="","",CaseLedger!J446)</x:f>
      </x:c>
      <x:c r="D446" t="str">
        <x:f>IF(CaseLedger!$A446="","",CaseLedger!K446)</x:f>
      </x:c>
      <x:c r="E446" t="str">
        <x:f>IF(CaseLedger!$A446="","",CaseLedger!L446)</x:f>
      </x:c>
      <x:c r="F446" t="str">
        <x:f>IF(CaseLedger!$A446="","",CaseLedger!P446)</x:f>
      </x:c>
      <x:c r="G446" t="str">
        <x:f>IF(CaseLedger!$A446="","",CaseLedger!F446)</x:f>
      </x:c>
      <x:c r="H446" t="str">
        <x:f>IF(CaseLedger!$A446="","",CaseLedger!Q446)</x:f>
      </x:c>
      <x:c r="I446" t="str">
        <x:f>IF(CaseLedger!$A446="","",CaseLedger!R446)</x:f>
      </x:c>
      <x:c r="J446" t="str">
        <x:f>IF(CaseLedger!$A446="","",CaseLedger!S446)</x:f>
      </x:c>
      <x:c r="K446" t="str">
        <x:f>IF(CaseLedger!$A446="","",CaseLedger!T446)</x:f>
      </x:c>
      <x:c r="L446" t="str">
        <x:f>IF(CaseLedger!$A446="","",CaseLedger!U446)</x:f>
      </x:c>
      <x:c r="M446" t="str">
        <x:f>IF(CaseLedger!$A446="","",CaseLedger!V446)</x:f>
      </x:c>
      <x:c r="N446" t="str">
        <x:f>IF(CaseLedger!$A446="","",CaseLedger!W446)</x:f>
      </x:c>
      <x:c r="O446" t="str">
        <x:f>IF(CaseLedger!$A446="","",CaseLedger!X446)</x:f>
      </x:c>
      <x:c r="P446" t="str">
        <x:f>IF(CaseLedger!$A446="","",CaseLedger!E446)</x:f>
      </x:c>
      <x:c r="Q446" t="str">
        <x:f>IF(CaseLedger!$A446="","",CaseLedger!C446)</x:f>
      </x:c>
      <x:c r="R446" t="str">
        <x:f>IF(CaseLedger!$A446="","",CaseLedger!D446)</x:f>
      </x:c>
      <x:c r="S446" t="str">
        <x:f>IFERROR(IF(CaseLedger!$A446="","",CaseLedger!Y446),"")</x:f>
      </x:c>
      <x:c r="T446" t="str">
        <x:f>IFERROR(IF(CaseLedger!$A446="","",CaseLedger!Z446),"")</x:f>
      </x:c>
      <x:c r="U446" t="str">
        <x:f>IFERROR(IF(CaseLedger!$A446="","",CaseLedger!AA446),"")</x:f>
      </x:c>
      <x:c r="V446" t="str">
        <x:f>IFERROR(IF(CaseLedger!$A446="","",CaseLedger!AB446),"")</x:f>
      </x:c>
      <x:c r="W446" t="str">
        <x:f>IFERROR(IF(CaseLedger!$A446="","",CaseLedger!AC446),"")</x:f>
      </x:c>
      <x:c r="X446" t="str">
        <x:f>IFERROR(IF(CaseLedger!$A446="","",CaseLedger!AD446),"")</x:f>
      </x:c>
      <x:c r="Y446" t="str">
        <x:f>IFERROR(IF(CaseLedger!$A446="","",CaseLedger!AE446),"")</x:f>
      </x:c>
      <x:c r="Z446" t="str">
        <x:f>IFERROR(IF(CaseLedger!$A446="","",CaseLedger!AF446),"")</x:f>
      </x:c>
      <x:c r="AA446" t="str">
        <x:f>IFERROR(IF(CaseLedger!$A446="","",CaseLedger!AG446),"")</x:f>
      </x:c>
      <x:c r="AB446" t="str">
        <x:f>IFERROR(IF(CaseLedger!$A446="","",CaseLedger!AH446),"")</x:f>
      </x:c>
      <x:c r="AC446" t="str">
        <x:f>IFERROR(IF(CaseLedger!$A446="","",CaseLedger!AI446),"")</x:f>
      </x:c>
    </x:row>
    <x:row r="447">
      <x:c r="A447" t="str">
        <x:f>IF(CaseLedger!$A447="","",CaseLedger!A447)</x:f>
      </x:c>
      <x:c r="B447" t="str">
        <x:f>IF(CaseLedger!$A447="","",CaseLedger!I447)</x:f>
      </x:c>
      <x:c r="C447" t="str">
        <x:f>IF(CaseLedger!$A447="","",CaseLedger!J447)</x:f>
      </x:c>
      <x:c r="D447" t="str">
        <x:f>IF(CaseLedger!$A447="","",CaseLedger!K447)</x:f>
      </x:c>
      <x:c r="E447" t="str">
        <x:f>IF(CaseLedger!$A447="","",CaseLedger!L447)</x:f>
      </x:c>
      <x:c r="F447" t="str">
        <x:f>IF(CaseLedger!$A447="","",CaseLedger!P447)</x:f>
      </x:c>
      <x:c r="G447" t="str">
        <x:f>IF(CaseLedger!$A447="","",CaseLedger!F447)</x:f>
      </x:c>
      <x:c r="H447" t="str">
        <x:f>IF(CaseLedger!$A447="","",CaseLedger!Q447)</x:f>
      </x:c>
      <x:c r="I447" t="str">
        <x:f>IF(CaseLedger!$A447="","",CaseLedger!R447)</x:f>
      </x:c>
      <x:c r="J447" t="str">
        <x:f>IF(CaseLedger!$A447="","",CaseLedger!S447)</x:f>
      </x:c>
      <x:c r="K447" t="str">
        <x:f>IF(CaseLedger!$A447="","",CaseLedger!T447)</x:f>
      </x:c>
      <x:c r="L447" t="str">
        <x:f>IF(CaseLedger!$A447="","",CaseLedger!U447)</x:f>
      </x:c>
      <x:c r="M447" t="str">
        <x:f>IF(CaseLedger!$A447="","",CaseLedger!V447)</x:f>
      </x:c>
      <x:c r="N447" t="str">
        <x:f>IF(CaseLedger!$A447="","",CaseLedger!W447)</x:f>
      </x:c>
      <x:c r="O447" t="str">
        <x:f>IF(CaseLedger!$A447="","",CaseLedger!X447)</x:f>
      </x:c>
      <x:c r="P447" t="str">
        <x:f>IF(CaseLedger!$A447="","",CaseLedger!E447)</x:f>
      </x:c>
      <x:c r="Q447" t="str">
        <x:f>IF(CaseLedger!$A447="","",CaseLedger!C447)</x:f>
      </x:c>
      <x:c r="R447" t="str">
        <x:f>IF(CaseLedger!$A447="","",CaseLedger!D447)</x:f>
      </x:c>
      <x:c r="S447" t="str">
        <x:f>IFERROR(IF(CaseLedger!$A447="","",CaseLedger!Y447),"")</x:f>
      </x:c>
      <x:c r="T447" t="str">
        <x:f>IFERROR(IF(CaseLedger!$A447="","",CaseLedger!Z447),"")</x:f>
      </x:c>
      <x:c r="U447" t="str">
        <x:f>IFERROR(IF(CaseLedger!$A447="","",CaseLedger!AA447),"")</x:f>
      </x:c>
      <x:c r="V447" t="str">
        <x:f>IFERROR(IF(CaseLedger!$A447="","",CaseLedger!AB447),"")</x:f>
      </x:c>
      <x:c r="W447" t="str">
        <x:f>IFERROR(IF(CaseLedger!$A447="","",CaseLedger!AC447),"")</x:f>
      </x:c>
      <x:c r="X447" t="str">
        <x:f>IFERROR(IF(CaseLedger!$A447="","",CaseLedger!AD447),"")</x:f>
      </x:c>
      <x:c r="Y447" t="str">
        <x:f>IFERROR(IF(CaseLedger!$A447="","",CaseLedger!AE447),"")</x:f>
      </x:c>
      <x:c r="Z447" t="str">
        <x:f>IFERROR(IF(CaseLedger!$A447="","",CaseLedger!AF447),"")</x:f>
      </x:c>
      <x:c r="AA447" t="str">
        <x:f>IFERROR(IF(CaseLedger!$A447="","",CaseLedger!AG447),"")</x:f>
      </x:c>
      <x:c r="AB447" t="str">
        <x:f>IFERROR(IF(CaseLedger!$A447="","",CaseLedger!AH447),"")</x:f>
      </x:c>
      <x:c r="AC447" t="str">
        <x:f>IFERROR(IF(CaseLedger!$A447="","",CaseLedger!AI447),"")</x:f>
      </x:c>
    </x:row>
    <x:row r="448">
      <x:c r="A448" t="str">
        <x:f>IF(CaseLedger!$A448="","",CaseLedger!A448)</x:f>
      </x:c>
      <x:c r="B448" t="str">
        <x:f>IF(CaseLedger!$A448="","",CaseLedger!I448)</x:f>
      </x:c>
      <x:c r="C448" t="str">
        <x:f>IF(CaseLedger!$A448="","",CaseLedger!J448)</x:f>
      </x:c>
      <x:c r="D448" t="str">
        <x:f>IF(CaseLedger!$A448="","",CaseLedger!K448)</x:f>
      </x:c>
      <x:c r="E448" t="str">
        <x:f>IF(CaseLedger!$A448="","",CaseLedger!L448)</x:f>
      </x:c>
      <x:c r="F448" t="str">
        <x:f>IF(CaseLedger!$A448="","",CaseLedger!P448)</x:f>
      </x:c>
      <x:c r="G448" t="str">
        <x:f>IF(CaseLedger!$A448="","",CaseLedger!F448)</x:f>
      </x:c>
      <x:c r="H448" t="str">
        <x:f>IF(CaseLedger!$A448="","",CaseLedger!Q448)</x:f>
      </x:c>
      <x:c r="I448" t="str">
        <x:f>IF(CaseLedger!$A448="","",CaseLedger!R448)</x:f>
      </x:c>
      <x:c r="J448" t="str">
        <x:f>IF(CaseLedger!$A448="","",CaseLedger!S448)</x:f>
      </x:c>
      <x:c r="K448" t="str">
        <x:f>IF(CaseLedger!$A448="","",CaseLedger!T448)</x:f>
      </x:c>
      <x:c r="L448" t="str">
        <x:f>IF(CaseLedger!$A448="","",CaseLedger!U448)</x:f>
      </x:c>
      <x:c r="M448" t="str">
        <x:f>IF(CaseLedger!$A448="","",CaseLedger!V448)</x:f>
      </x:c>
      <x:c r="N448" t="str">
        <x:f>IF(CaseLedger!$A448="","",CaseLedger!W448)</x:f>
      </x:c>
      <x:c r="O448" t="str">
        <x:f>IF(CaseLedger!$A448="","",CaseLedger!X448)</x:f>
      </x:c>
      <x:c r="P448" t="str">
        <x:f>IF(CaseLedger!$A448="","",CaseLedger!E448)</x:f>
      </x:c>
      <x:c r="Q448" t="str">
        <x:f>IF(CaseLedger!$A448="","",CaseLedger!C448)</x:f>
      </x:c>
      <x:c r="R448" t="str">
        <x:f>IF(CaseLedger!$A448="","",CaseLedger!D448)</x:f>
      </x:c>
      <x:c r="S448" t="str">
        <x:f>IFERROR(IF(CaseLedger!$A448="","",CaseLedger!Y448),"")</x:f>
      </x:c>
      <x:c r="T448" t="str">
        <x:f>IFERROR(IF(CaseLedger!$A448="","",CaseLedger!Z448),"")</x:f>
      </x:c>
      <x:c r="U448" t="str">
        <x:f>IFERROR(IF(CaseLedger!$A448="","",CaseLedger!AA448),"")</x:f>
      </x:c>
      <x:c r="V448" t="str">
        <x:f>IFERROR(IF(CaseLedger!$A448="","",CaseLedger!AB448),"")</x:f>
      </x:c>
      <x:c r="W448" t="str">
        <x:f>IFERROR(IF(CaseLedger!$A448="","",CaseLedger!AC448),"")</x:f>
      </x:c>
      <x:c r="X448" t="str">
        <x:f>IFERROR(IF(CaseLedger!$A448="","",CaseLedger!AD448),"")</x:f>
      </x:c>
      <x:c r="Y448" t="str">
        <x:f>IFERROR(IF(CaseLedger!$A448="","",CaseLedger!AE448),"")</x:f>
      </x:c>
      <x:c r="Z448" t="str">
        <x:f>IFERROR(IF(CaseLedger!$A448="","",CaseLedger!AF448),"")</x:f>
      </x:c>
      <x:c r="AA448" t="str">
        <x:f>IFERROR(IF(CaseLedger!$A448="","",CaseLedger!AG448),"")</x:f>
      </x:c>
      <x:c r="AB448" t="str">
        <x:f>IFERROR(IF(CaseLedger!$A448="","",CaseLedger!AH448),"")</x:f>
      </x:c>
      <x:c r="AC448" t="str">
        <x:f>IFERROR(IF(CaseLedger!$A448="","",CaseLedger!AI448),"")</x:f>
      </x:c>
    </x:row>
    <x:row r="449">
      <x:c r="A449" t="str">
        <x:f>IF(CaseLedger!$A449="","",CaseLedger!A449)</x:f>
      </x:c>
      <x:c r="B449" t="str">
        <x:f>IF(CaseLedger!$A449="","",CaseLedger!I449)</x:f>
      </x:c>
      <x:c r="C449" t="str">
        <x:f>IF(CaseLedger!$A449="","",CaseLedger!J449)</x:f>
      </x:c>
      <x:c r="D449" t="str">
        <x:f>IF(CaseLedger!$A449="","",CaseLedger!K449)</x:f>
      </x:c>
      <x:c r="E449" t="str">
        <x:f>IF(CaseLedger!$A449="","",CaseLedger!L449)</x:f>
      </x:c>
      <x:c r="F449" t="str">
        <x:f>IF(CaseLedger!$A449="","",CaseLedger!P449)</x:f>
      </x:c>
      <x:c r="G449" t="str">
        <x:f>IF(CaseLedger!$A449="","",CaseLedger!F449)</x:f>
      </x:c>
      <x:c r="H449" t="str">
        <x:f>IF(CaseLedger!$A449="","",CaseLedger!Q449)</x:f>
      </x:c>
      <x:c r="I449" t="str">
        <x:f>IF(CaseLedger!$A449="","",CaseLedger!R449)</x:f>
      </x:c>
      <x:c r="J449" t="str">
        <x:f>IF(CaseLedger!$A449="","",CaseLedger!S449)</x:f>
      </x:c>
      <x:c r="K449" t="str">
        <x:f>IF(CaseLedger!$A449="","",CaseLedger!T449)</x:f>
      </x:c>
      <x:c r="L449" t="str">
        <x:f>IF(CaseLedger!$A449="","",CaseLedger!U449)</x:f>
      </x:c>
      <x:c r="M449" t="str">
        <x:f>IF(CaseLedger!$A449="","",CaseLedger!V449)</x:f>
      </x:c>
      <x:c r="N449" t="str">
        <x:f>IF(CaseLedger!$A449="","",CaseLedger!W449)</x:f>
      </x:c>
      <x:c r="O449" t="str">
        <x:f>IF(CaseLedger!$A449="","",CaseLedger!X449)</x:f>
      </x:c>
      <x:c r="P449" t="str">
        <x:f>IF(CaseLedger!$A449="","",CaseLedger!E449)</x:f>
      </x:c>
      <x:c r="Q449" t="str">
        <x:f>IF(CaseLedger!$A449="","",CaseLedger!C449)</x:f>
      </x:c>
      <x:c r="R449" t="str">
        <x:f>IF(CaseLedger!$A449="","",CaseLedger!D449)</x:f>
      </x:c>
      <x:c r="S449" t="str">
        <x:f>IFERROR(IF(CaseLedger!$A449="","",CaseLedger!Y449),"")</x:f>
      </x:c>
      <x:c r="T449" t="str">
        <x:f>IFERROR(IF(CaseLedger!$A449="","",CaseLedger!Z449),"")</x:f>
      </x:c>
      <x:c r="U449" t="str">
        <x:f>IFERROR(IF(CaseLedger!$A449="","",CaseLedger!AA449),"")</x:f>
      </x:c>
      <x:c r="V449" t="str">
        <x:f>IFERROR(IF(CaseLedger!$A449="","",CaseLedger!AB449),"")</x:f>
      </x:c>
      <x:c r="W449" t="str">
        <x:f>IFERROR(IF(CaseLedger!$A449="","",CaseLedger!AC449),"")</x:f>
      </x:c>
      <x:c r="X449" t="str">
        <x:f>IFERROR(IF(CaseLedger!$A449="","",CaseLedger!AD449),"")</x:f>
      </x:c>
      <x:c r="Y449" t="str">
        <x:f>IFERROR(IF(CaseLedger!$A449="","",CaseLedger!AE449),"")</x:f>
      </x:c>
      <x:c r="Z449" t="str">
        <x:f>IFERROR(IF(CaseLedger!$A449="","",CaseLedger!AF449),"")</x:f>
      </x:c>
      <x:c r="AA449" t="str">
        <x:f>IFERROR(IF(CaseLedger!$A449="","",CaseLedger!AG449),"")</x:f>
      </x:c>
      <x:c r="AB449" t="str">
        <x:f>IFERROR(IF(CaseLedger!$A449="","",CaseLedger!AH449),"")</x:f>
      </x:c>
      <x:c r="AC449" t="str">
        <x:f>IFERROR(IF(CaseLedger!$A449="","",CaseLedger!AI449),"")</x:f>
      </x:c>
    </x:row>
    <x:row r="450">
      <x:c r="A450" t="str">
        <x:f>IF(CaseLedger!$A450="","",CaseLedger!A450)</x:f>
      </x:c>
      <x:c r="B450" t="str">
        <x:f>IF(CaseLedger!$A450="","",CaseLedger!I450)</x:f>
      </x:c>
      <x:c r="C450" t="str">
        <x:f>IF(CaseLedger!$A450="","",CaseLedger!J450)</x:f>
      </x:c>
      <x:c r="D450" t="str">
        <x:f>IF(CaseLedger!$A450="","",CaseLedger!K450)</x:f>
      </x:c>
      <x:c r="E450" t="str">
        <x:f>IF(CaseLedger!$A450="","",CaseLedger!L450)</x:f>
      </x:c>
      <x:c r="F450" t="str">
        <x:f>IF(CaseLedger!$A450="","",CaseLedger!P450)</x:f>
      </x:c>
      <x:c r="G450" t="str">
        <x:f>IF(CaseLedger!$A450="","",CaseLedger!F450)</x:f>
      </x:c>
      <x:c r="H450" t="str">
        <x:f>IF(CaseLedger!$A450="","",CaseLedger!Q450)</x:f>
      </x:c>
      <x:c r="I450" t="str">
        <x:f>IF(CaseLedger!$A450="","",CaseLedger!R450)</x:f>
      </x:c>
      <x:c r="J450" t="str">
        <x:f>IF(CaseLedger!$A450="","",CaseLedger!S450)</x:f>
      </x:c>
      <x:c r="K450" t="str">
        <x:f>IF(CaseLedger!$A450="","",CaseLedger!T450)</x:f>
      </x:c>
      <x:c r="L450" t="str">
        <x:f>IF(CaseLedger!$A450="","",CaseLedger!U450)</x:f>
      </x:c>
      <x:c r="M450" t="str">
        <x:f>IF(CaseLedger!$A450="","",CaseLedger!V450)</x:f>
      </x:c>
      <x:c r="N450" t="str">
        <x:f>IF(CaseLedger!$A450="","",CaseLedger!W450)</x:f>
      </x:c>
      <x:c r="O450" t="str">
        <x:f>IF(CaseLedger!$A450="","",CaseLedger!X450)</x:f>
      </x:c>
      <x:c r="P450" t="str">
        <x:f>IF(CaseLedger!$A450="","",CaseLedger!E450)</x:f>
      </x:c>
      <x:c r="Q450" t="str">
        <x:f>IF(CaseLedger!$A450="","",CaseLedger!C450)</x:f>
      </x:c>
      <x:c r="R450" t="str">
        <x:f>IF(CaseLedger!$A450="","",CaseLedger!D450)</x:f>
      </x:c>
      <x:c r="S450" t="str">
        <x:f>IFERROR(IF(CaseLedger!$A450="","",CaseLedger!Y450),"")</x:f>
      </x:c>
      <x:c r="T450" t="str">
        <x:f>IFERROR(IF(CaseLedger!$A450="","",CaseLedger!Z450),"")</x:f>
      </x:c>
      <x:c r="U450" t="str">
        <x:f>IFERROR(IF(CaseLedger!$A450="","",CaseLedger!AA450),"")</x:f>
      </x:c>
      <x:c r="V450" t="str">
        <x:f>IFERROR(IF(CaseLedger!$A450="","",CaseLedger!AB450),"")</x:f>
      </x:c>
      <x:c r="W450" t="str">
        <x:f>IFERROR(IF(CaseLedger!$A450="","",CaseLedger!AC450),"")</x:f>
      </x:c>
      <x:c r="X450" t="str">
        <x:f>IFERROR(IF(CaseLedger!$A450="","",CaseLedger!AD450),"")</x:f>
      </x:c>
      <x:c r="Y450" t="str">
        <x:f>IFERROR(IF(CaseLedger!$A450="","",CaseLedger!AE450),"")</x:f>
      </x:c>
      <x:c r="Z450" t="str">
        <x:f>IFERROR(IF(CaseLedger!$A450="","",CaseLedger!AF450),"")</x:f>
      </x:c>
      <x:c r="AA450" t="str">
        <x:f>IFERROR(IF(CaseLedger!$A450="","",CaseLedger!AG450),"")</x:f>
      </x:c>
      <x:c r="AB450" t="str">
        <x:f>IFERROR(IF(CaseLedger!$A450="","",CaseLedger!AH450),"")</x:f>
      </x:c>
      <x:c r="AC450" t="str">
        <x:f>IFERROR(IF(CaseLedger!$A450="","",CaseLedger!AI450),"")</x:f>
      </x:c>
    </x:row>
    <x:row r="451">
      <x:c r="A451" t="str">
        <x:f>IF(CaseLedger!$A451="","",CaseLedger!A451)</x:f>
      </x:c>
      <x:c r="B451" t="str">
        <x:f>IF(CaseLedger!$A451="","",CaseLedger!I451)</x:f>
      </x:c>
      <x:c r="C451" t="str">
        <x:f>IF(CaseLedger!$A451="","",CaseLedger!J451)</x:f>
      </x:c>
      <x:c r="D451" t="str">
        <x:f>IF(CaseLedger!$A451="","",CaseLedger!K451)</x:f>
      </x:c>
      <x:c r="E451" t="str">
        <x:f>IF(CaseLedger!$A451="","",CaseLedger!L451)</x:f>
      </x:c>
      <x:c r="F451" t="str">
        <x:f>IF(CaseLedger!$A451="","",CaseLedger!P451)</x:f>
      </x:c>
      <x:c r="G451" t="str">
        <x:f>IF(CaseLedger!$A451="","",CaseLedger!F451)</x:f>
      </x:c>
      <x:c r="H451" t="str">
        <x:f>IF(CaseLedger!$A451="","",CaseLedger!Q451)</x:f>
      </x:c>
      <x:c r="I451" t="str">
        <x:f>IF(CaseLedger!$A451="","",CaseLedger!R451)</x:f>
      </x:c>
      <x:c r="J451" t="str">
        <x:f>IF(CaseLedger!$A451="","",CaseLedger!S451)</x:f>
      </x:c>
      <x:c r="K451" t="str">
        <x:f>IF(CaseLedger!$A451="","",CaseLedger!T451)</x:f>
      </x:c>
      <x:c r="L451" t="str">
        <x:f>IF(CaseLedger!$A451="","",CaseLedger!U451)</x:f>
      </x:c>
      <x:c r="M451" t="str">
        <x:f>IF(CaseLedger!$A451="","",CaseLedger!V451)</x:f>
      </x:c>
      <x:c r="N451" t="str">
        <x:f>IF(CaseLedger!$A451="","",CaseLedger!W451)</x:f>
      </x:c>
      <x:c r="O451" t="str">
        <x:f>IF(CaseLedger!$A451="","",CaseLedger!X451)</x:f>
      </x:c>
      <x:c r="P451" t="str">
        <x:f>IF(CaseLedger!$A451="","",CaseLedger!E451)</x:f>
      </x:c>
      <x:c r="Q451" t="str">
        <x:f>IF(CaseLedger!$A451="","",CaseLedger!C451)</x:f>
      </x:c>
      <x:c r="R451" t="str">
        <x:f>IF(CaseLedger!$A451="","",CaseLedger!D451)</x:f>
      </x:c>
      <x:c r="S451" t="str">
        <x:f>IFERROR(IF(CaseLedger!$A451="","",CaseLedger!Y451),"")</x:f>
      </x:c>
      <x:c r="T451" t="str">
        <x:f>IFERROR(IF(CaseLedger!$A451="","",CaseLedger!Z451),"")</x:f>
      </x:c>
      <x:c r="U451" t="str">
        <x:f>IFERROR(IF(CaseLedger!$A451="","",CaseLedger!AA451),"")</x:f>
      </x:c>
      <x:c r="V451" t="str">
        <x:f>IFERROR(IF(CaseLedger!$A451="","",CaseLedger!AB451),"")</x:f>
      </x:c>
      <x:c r="W451" t="str">
        <x:f>IFERROR(IF(CaseLedger!$A451="","",CaseLedger!AC451),"")</x:f>
      </x:c>
      <x:c r="X451" t="str">
        <x:f>IFERROR(IF(CaseLedger!$A451="","",CaseLedger!AD451),"")</x:f>
      </x:c>
      <x:c r="Y451" t="str">
        <x:f>IFERROR(IF(CaseLedger!$A451="","",CaseLedger!AE451),"")</x:f>
      </x:c>
      <x:c r="Z451" t="str">
        <x:f>IFERROR(IF(CaseLedger!$A451="","",CaseLedger!AF451),"")</x:f>
      </x:c>
      <x:c r="AA451" t="str">
        <x:f>IFERROR(IF(CaseLedger!$A451="","",CaseLedger!AG451),"")</x:f>
      </x:c>
      <x:c r="AB451" t="str">
        <x:f>IFERROR(IF(CaseLedger!$A451="","",CaseLedger!AH451),"")</x:f>
      </x:c>
      <x:c r="AC451" t="str">
        <x:f>IFERROR(IF(CaseLedger!$A451="","",CaseLedger!AI451),"")</x:f>
      </x:c>
    </x:row>
    <x:row r="452">
      <x:c r="A452" t="str">
        <x:f>IF(CaseLedger!$A452="","",CaseLedger!A452)</x:f>
      </x:c>
      <x:c r="B452" t="str">
        <x:f>IF(CaseLedger!$A452="","",CaseLedger!I452)</x:f>
      </x:c>
      <x:c r="C452" t="str">
        <x:f>IF(CaseLedger!$A452="","",CaseLedger!J452)</x:f>
      </x:c>
      <x:c r="D452" t="str">
        <x:f>IF(CaseLedger!$A452="","",CaseLedger!K452)</x:f>
      </x:c>
      <x:c r="E452" t="str">
        <x:f>IF(CaseLedger!$A452="","",CaseLedger!L452)</x:f>
      </x:c>
      <x:c r="F452" t="str">
        <x:f>IF(CaseLedger!$A452="","",CaseLedger!P452)</x:f>
      </x:c>
      <x:c r="G452" t="str">
        <x:f>IF(CaseLedger!$A452="","",CaseLedger!F452)</x:f>
      </x:c>
      <x:c r="H452" t="str">
        <x:f>IF(CaseLedger!$A452="","",CaseLedger!Q452)</x:f>
      </x:c>
      <x:c r="I452" t="str">
        <x:f>IF(CaseLedger!$A452="","",CaseLedger!R452)</x:f>
      </x:c>
      <x:c r="J452" t="str">
        <x:f>IF(CaseLedger!$A452="","",CaseLedger!S452)</x:f>
      </x:c>
      <x:c r="K452" t="str">
        <x:f>IF(CaseLedger!$A452="","",CaseLedger!T452)</x:f>
      </x:c>
      <x:c r="L452" t="str">
        <x:f>IF(CaseLedger!$A452="","",CaseLedger!U452)</x:f>
      </x:c>
      <x:c r="M452" t="str">
        <x:f>IF(CaseLedger!$A452="","",CaseLedger!V452)</x:f>
      </x:c>
      <x:c r="N452" t="str">
        <x:f>IF(CaseLedger!$A452="","",CaseLedger!W452)</x:f>
      </x:c>
      <x:c r="O452" t="str">
        <x:f>IF(CaseLedger!$A452="","",CaseLedger!X452)</x:f>
      </x:c>
      <x:c r="P452" t="str">
        <x:f>IF(CaseLedger!$A452="","",CaseLedger!E452)</x:f>
      </x:c>
      <x:c r="Q452" t="str">
        <x:f>IF(CaseLedger!$A452="","",CaseLedger!C452)</x:f>
      </x:c>
      <x:c r="R452" t="str">
        <x:f>IF(CaseLedger!$A452="","",CaseLedger!D452)</x:f>
      </x:c>
      <x:c r="S452" t="str">
        <x:f>IFERROR(IF(CaseLedger!$A452="","",CaseLedger!Y452),"")</x:f>
      </x:c>
      <x:c r="T452" t="str">
        <x:f>IFERROR(IF(CaseLedger!$A452="","",CaseLedger!Z452),"")</x:f>
      </x:c>
      <x:c r="U452" t="str">
        <x:f>IFERROR(IF(CaseLedger!$A452="","",CaseLedger!AA452),"")</x:f>
      </x:c>
      <x:c r="V452" t="str">
        <x:f>IFERROR(IF(CaseLedger!$A452="","",CaseLedger!AB452),"")</x:f>
      </x:c>
      <x:c r="W452" t="str">
        <x:f>IFERROR(IF(CaseLedger!$A452="","",CaseLedger!AC452),"")</x:f>
      </x:c>
      <x:c r="X452" t="str">
        <x:f>IFERROR(IF(CaseLedger!$A452="","",CaseLedger!AD452),"")</x:f>
      </x:c>
      <x:c r="Y452" t="str">
        <x:f>IFERROR(IF(CaseLedger!$A452="","",CaseLedger!AE452),"")</x:f>
      </x:c>
      <x:c r="Z452" t="str">
        <x:f>IFERROR(IF(CaseLedger!$A452="","",CaseLedger!AF452),"")</x:f>
      </x:c>
      <x:c r="AA452" t="str">
        <x:f>IFERROR(IF(CaseLedger!$A452="","",CaseLedger!AG452),"")</x:f>
      </x:c>
      <x:c r="AB452" t="str">
        <x:f>IFERROR(IF(CaseLedger!$A452="","",CaseLedger!AH452),"")</x:f>
      </x:c>
      <x:c r="AC452" t="str">
        <x:f>IFERROR(IF(CaseLedger!$A452="","",CaseLedger!AI452),"")</x:f>
      </x:c>
    </x:row>
    <x:row r="453">
      <x:c r="A453" t="str">
        <x:f>IF(CaseLedger!$A453="","",CaseLedger!A453)</x:f>
      </x:c>
      <x:c r="B453" t="str">
        <x:f>IF(CaseLedger!$A453="","",CaseLedger!I453)</x:f>
      </x:c>
      <x:c r="C453" t="str">
        <x:f>IF(CaseLedger!$A453="","",CaseLedger!J453)</x:f>
      </x:c>
      <x:c r="D453" t="str">
        <x:f>IF(CaseLedger!$A453="","",CaseLedger!K453)</x:f>
      </x:c>
      <x:c r="E453" t="str">
        <x:f>IF(CaseLedger!$A453="","",CaseLedger!L453)</x:f>
      </x:c>
      <x:c r="F453" t="str">
        <x:f>IF(CaseLedger!$A453="","",CaseLedger!P453)</x:f>
      </x:c>
      <x:c r="G453" t="str">
        <x:f>IF(CaseLedger!$A453="","",CaseLedger!F453)</x:f>
      </x:c>
      <x:c r="H453" t="str">
        <x:f>IF(CaseLedger!$A453="","",CaseLedger!Q453)</x:f>
      </x:c>
      <x:c r="I453" t="str">
        <x:f>IF(CaseLedger!$A453="","",CaseLedger!R453)</x:f>
      </x:c>
      <x:c r="J453" t="str">
        <x:f>IF(CaseLedger!$A453="","",CaseLedger!S453)</x:f>
      </x:c>
      <x:c r="K453" t="str">
        <x:f>IF(CaseLedger!$A453="","",CaseLedger!T453)</x:f>
      </x:c>
      <x:c r="L453" t="str">
        <x:f>IF(CaseLedger!$A453="","",CaseLedger!U453)</x:f>
      </x:c>
      <x:c r="M453" t="str">
        <x:f>IF(CaseLedger!$A453="","",CaseLedger!V453)</x:f>
      </x:c>
      <x:c r="N453" t="str">
        <x:f>IF(CaseLedger!$A453="","",CaseLedger!W453)</x:f>
      </x:c>
      <x:c r="O453" t="str">
        <x:f>IF(CaseLedger!$A453="","",CaseLedger!X453)</x:f>
      </x:c>
      <x:c r="P453" t="str">
        <x:f>IF(CaseLedger!$A453="","",CaseLedger!E453)</x:f>
      </x:c>
      <x:c r="Q453" t="str">
        <x:f>IF(CaseLedger!$A453="","",CaseLedger!C453)</x:f>
      </x:c>
      <x:c r="R453" t="str">
        <x:f>IF(CaseLedger!$A453="","",CaseLedger!D453)</x:f>
      </x:c>
      <x:c r="S453" t="str">
        <x:f>IFERROR(IF(CaseLedger!$A453="","",CaseLedger!Y453),"")</x:f>
      </x:c>
      <x:c r="T453" t="str">
        <x:f>IFERROR(IF(CaseLedger!$A453="","",CaseLedger!Z453),"")</x:f>
      </x:c>
      <x:c r="U453" t="str">
        <x:f>IFERROR(IF(CaseLedger!$A453="","",CaseLedger!AA453),"")</x:f>
      </x:c>
      <x:c r="V453" t="str">
        <x:f>IFERROR(IF(CaseLedger!$A453="","",CaseLedger!AB453),"")</x:f>
      </x:c>
      <x:c r="W453" t="str">
        <x:f>IFERROR(IF(CaseLedger!$A453="","",CaseLedger!AC453),"")</x:f>
      </x:c>
      <x:c r="X453" t="str">
        <x:f>IFERROR(IF(CaseLedger!$A453="","",CaseLedger!AD453),"")</x:f>
      </x:c>
      <x:c r="Y453" t="str">
        <x:f>IFERROR(IF(CaseLedger!$A453="","",CaseLedger!AE453),"")</x:f>
      </x:c>
      <x:c r="Z453" t="str">
        <x:f>IFERROR(IF(CaseLedger!$A453="","",CaseLedger!AF453),"")</x:f>
      </x:c>
      <x:c r="AA453" t="str">
        <x:f>IFERROR(IF(CaseLedger!$A453="","",CaseLedger!AG453),"")</x:f>
      </x:c>
      <x:c r="AB453" t="str">
        <x:f>IFERROR(IF(CaseLedger!$A453="","",CaseLedger!AH453),"")</x:f>
      </x:c>
      <x:c r="AC453" t="str">
        <x:f>IFERROR(IF(CaseLedger!$A453="","",CaseLedger!AI453),"")</x:f>
      </x:c>
    </x:row>
    <x:row r="454">
      <x:c r="A454" t="str">
        <x:f>IF(CaseLedger!$A454="","",CaseLedger!A454)</x:f>
      </x:c>
      <x:c r="B454" t="str">
        <x:f>IF(CaseLedger!$A454="","",CaseLedger!I454)</x:f>
      </x:c>
      <x:c r="C454" t="str">
        <x:f>IF(CaseLedger!$A454="","",CaseLedger!J454)</x:f>
      </x:c>
      <x:c r="D454" t="str">
        <x:f>IF(CaseLedger!$A454="","",CaseLedger!K454)</x:f>
      </x:c>
      <x:c r="E454" t="str">
        <x:f>IF(CaseLedger!$A454="","",CaseLedger!L454)</x:f>
      </x:c>
      <x:c r="F454" t="str">
        <x:f>IF(CaseLedger!$A454="","",CaseLedger!P454)</x:f>
      </x:c>
      <x:c r="G454" t="str">
        <x:f>IF(CaseLedger!$A454="","",CaseLedger!F454)</x:f>
      </x:c>
      <x:c r="H454" t="str">
        <x:f>IF(CaseLedger!$A454="","",CaseLedger!Q454)</x:f>
      </x:c>
      <x:c r="I454" t="str">
        <x:f>IF(CaseLedger!$A454="","",CaseLedger!R454)</x:f>
      </x:c>
      <x:c r="J454" t="str">
        <x:f>IF(CaseLedger!$A454="","",CaseLedger!S454)</x:f>
      </x:c>
      <x:c r="K454" t="str">
        <x:f>IF(CaseLedger!$A454="","",CaseLedger!T454)</x:f>
      </x:c>
      <x:c r="L454" t="str">
        <x:f>IF(CaseLedger!$A454="","",CaseLedger!U454)</x:f>
      </x:c>
      <x:c r="M454" t="str">
        <x:f>IF(CaseLedger!$A454="","",CaseLedger!V454)</x:f>
      </x:c>
      <x:c r="N454" t="str">
        <x:f>IF(CaseLedger!$A454="","",CaseLedger!W454)</x:f>
      </x:c>
      <x:c r="O454" t="str">
        <x:f>IF(CaseLedger!$A454="","",CaseLedger!X454)</x:f>
      </x:c>
      <x:c r="P454" t="str">
        <x:f>IF(CaseLedger!$A454="","",CaseLedger!E454)</x:f>
      </x:c>
      <x:c r="Q454" t="str">
        <x:f>IF(CaseLedger!$A454="","",CaseLedger!C454)</x:f>
      </x:c>
      <x:c r="R454" t="str">
        <x:f>IF(CaseLedger!$A454="","",CaseLedger!D454)</x:f>
      </x:c>
      <x:c r="S454" t="str">
        <x:f>IFERROR(IF(CaseLedger!$A454="","",CaseLedger!Y454),"")</x:f>
      </x:c>
      <x:c r="T454" t="str">
        <x:f>IFERROR(IF(CaseLedger!$A454="","",CaseLedger!Z454),"")</x:f>
      </x:c>
      <x:c r="U454" t="str">
        <x:f>IFERROR(IF(CaseLedger!$A454="","",CaseLedger!AA454),"")</x:f>
      </x:c>
      <x:c r="V454" t="str">
        <x:f>IFERROR(IF(CaseLedger!$A454="","",CaseLedger!AB454),"")</x:f>
      </x:c>
      <x:c r="W454" t="str">
        <x:f>IFERROR(IF(CaseLedger!$A454="","",CaseLedger!AC454),"")</x:f>
      </x:c>
      <x:c r="X454" t="str">
        <x:f>IFERROR(IF(CaseLedger!$A454="","",CaseLedger!AD454),"")</x:f>
      </x:c>
      <x:c r="Y454" t="str">
        <x:f>IFERROR(IF(CaseLedger!$A454="","",CaseLedger!AE454),"")</x:f>
      </x:c>
      <x:c r="Z454" t="str">
        <x:f>IFERROR(IF(CaseLedger!$A454="","",CaseLedger!AF454),"")</x:f>
      </x:c>
      <x:c r="AA454" t="str">
        <x:f>IFERROR(IF(CaseLedger!$A454="","",CaseLedger!AG454),"")</x:f>
      </x:c>
      <x:c r="AB454" t="str">
        <x:f>IFERROR(IF(CaseLedger!$A454="","",CaseLedger!AH454),"")</x:f>
      </x:c>
      <x:c r="AC454" t="str">
        <x:f>IFERROR(IF(CaseLedger!$A454="","",CaseLedger!AI454),"")</x:f>
      </x:c>
    </x:row>
    <x:row r="455">
      <x:c r="A455" t="str">
        <x:f>IF(CaseLedger!$A455="","",CaseLedger!A455)</x:f>
      </x:c>
      <x:c r="B455" t="str">
        <x:f>IF(CaseLedger!$A455="","",CaseLedger!I455)</x:f>
      </x:c>
      <x:c r="C455" t="str">
        <x:f>IF(CaseLedger!$A455="","",CaseLedger!J455)</x:f>
      </x:c>
      <x:c r="D455" t="str">
        <x:f>IF(CaseLedger!$A455="","",CaseLedger!K455)</x:f>
      </x:c>
      <x:c r="E455" t="str">
        <x:f>IF(CaseLedger!$A455="","",CaseLedger!L455)</x:f>
      </x:c>
      <x:c r="F455" t="str">
        <x:f>IF(CaseLedger!$A455="","",CaseLedger!P455)</x:f>
      </x:c>
      <x:c r="G455" t="str">
        <x:f>IF(CaseLedger!$A455="","",CaseLedger!F455)</x:f>
      </x:c>
      <x:c r="H455" t="str">
        <x:f>IF(CaseLedger!$A455="","",CaseLedger!Q455)</x:f>
      </x:c>
      <x:c r="I455" t="str">
        <x:f>IF(CaseLedger!$A455="","",CaseLedger!R455)</x:f>
      </x:c>
      <x:c r="J455" t="str">
        <x:f>IF(CaseLedger!$A455="","",CaseLedger!S455)</x:f>
      </x:c>
      <x:c r="K455" t="str">
        <x:f>IF(CaseLedger!$A455="","",CaseLedger!T455)</x:f>
      </x:c>
      <x:c r="L455" t="str">
        <x:f>IF(CaseLedger!$A455="","",CaseLedger!U455)</x:f>
      </x:c>
      <x:c r="M455" t="str">
        <x:f>IF(CaseLedger!$A455="","",CaseLedger!V455)</x:f>
      </x:c>
      <x:c r="N455" t="str">
        <x:f>IF(CaseLedger!$A455="","",CaseLedger!W455)</x:f>
      </x:c>
      <x:c r="O455" t="str">
        <x:f>IF(CaseLedger!$A455="","",CaseLedger!X455)</x:f>
      </x:c>
      <x:c r="P455" t="str">
        <x:f>IF(CaseLedger!$A455="","",CaseLedger!E455)</x:f>
      </x:c>
      <x:c r="Q455" t="str">
        <x:f>IF(CaseLedger!$A455="","",CaseLedger!C455)</x:f>
      </x:c>
      <x:c r="R455" t="str">
        <x:f>IF(CaseLedger!$A455="","",CaseLedger!D455)</x:f>
      </x:c>
      <x:c r="S455" t="str">
        <x:f>IFERROR(IF(CaseLedger!$A455="","",CaseLedger!Y455),"")</x:f>
      </x:c>
      <x:c r="T455" t="str">
        <x:f>IFERROR(IF(CaseLedger!$A455="","",CaseLedger!Z455),"")</x:f>
      </x:c>
      <x:c r="U455" t="str">
        <x:f>IFERROR(IF(CaseLedger!$A455="","",CaseLedger!AA455),"")</x:f>
      </x:c>
      <x:c r="V455" t="str">
        <x:f>IFERROR(IF(CaseLedger!$A455="","",CaseLedger!AB455),"")</x:f>
      </x:c>
      <x:c r="W455" t="str">
        <x:f>IFERROR(IF(CaseLedger!$A455="","",CaseLedger!AC455),"")</x:f>
      </x:c>
      <x:c r="X455" t="str">
        <x:f>IFERROR(IF(CaseLedger!$A455="","",CaseLedger!AD455),"")</x:f>
      </x:c>
      <x:c r="Y455" t="str">
        <x:f>IFERROR(IF(CaseLedger!$A455="","",CaseLedger!AE455),"")</x:f>
      </x:c>
      <x:c r="Z455" t="str">
        <x:f>IFERROR(IF(CaseLedger!$A455="","",CaseLedger!AF455),"")</x:f>
      </x:c>
      <x:c r="AA455" t="str">
        <x:f>IFERROR(IF(CaseLedger!$A455="","",CaseLedger!AG455),"")</x:f>
      </x:c>
      <x:c r="AB455" t="str">
        <x:f>IFERROR(IF(CaseLedger!$A455="","",CaseLedger!AH455),"")</x:f>
      </x:c>
      <x:c r="AC455" t="str">
        <x:f>IFERROR(IF(CaseLedger!$A455="","",CaseLedger!AI455),"")</x:f>
      </x:c>
    </x:row>
    <x:row r="456">
      <x:c r="A456" t="str">
        <x:f>IF(CaseLedger!$A456="","",CaseLedger!A456)</x:f>
      </x:c>
      <x:c r="B456" t="str">
        <x:f>IF(CaseLedger!$A456="","",CaseLedger!I456)</x:f>
      </x:c>
      <x:c r="C456" t="str">
        <x:f>IF(CaseLedger!$A456="","",CaseLedger!J456)</x:f>
      </x:c>
      <x:c r="D456" t="str">
        <x:f>IF(CaseLedger!$A456="","",CaseLedger!K456)</x:f>
      </x:c>
      <x:c r="E456" t="str">
        <x:f>IF(CaseLedger!$A456="","",CaseLedger!L456)</x:f>
      </x:c>
      <x:c r="F456" t="str">
        <x:f>IF(CaseLedger!$A456="","",CaseLedger!P456)</x:f>
      </x:c>
      <x:c r="G456" t="str">
        <x:f>IF(CaseLedger!$A456="","",CaseLedger!F456)</x:f>
      </x:c>
      <x:c r="H456" t="str">
        <x:f>IF(CaseLedger!$A456="","",CaseLedger!Q456)</x:f>
      </x:c>
      <x:c r="I456" t="str">
        <x:f>IF(CaseLedger!$A456="","",CaseLedger!R456)</x:f>
      </x:c>
      <x:c r="J456" t="str">
        <x:f>IF(CaseLedger!$A456="","",CaseLedger!S456)</x:f>
      </x:c>
      <x:c r="K456" t="str">
        <x:f>IF(CaseLedger!$A456="","",CaseLedger!T456)</x:f>
      </x:c>
      <x:c r="L456" t="str">
        <x:f>IF(CaseLedger!$A456="","",CaseLedger!U456)</x:f>
      </x:c>
      <x:c r="M456" t="str">
        <x:f>IF(CaseLedger!$A456="","",CaseLedger!V456)</x:f>
      </x:c>
      <x:c r="N456" t="str">
        <x:f>IF(CaseLedger!$A456="","",CaseLedger!W456)</x:f>
      </x:c>
      <x:c r="O456" t="str">
        <x:f>IF(CaseLedger!$A456="","",CaseLedger!X456)</x:f>
      </x:c>
      <x:c r="P456" t="str">
        <x:f>IF(CaseLedger!$A456="","",CaseLedger!E456)</x:f>
      </x:c>
      <x:c r="Q456" t="str">
        <x:f>IF(CaseLedger!$A456="","",CaseLedger!C456)</x:f>
      </x:c>
      <x:c r="R456" t="str">
        <x:f>IF(CaseLedger!$A456="","",CaseLedger!D456)</x:f>
      </x:c>
      <x:c r="S456" t="str">
        <x:f>IFERROR(IF(CaseLedger!$A456="","",CaseLedger!Y456),"")</x:f>
      </x:c>
      <x:c r="T456" t="str">
        <x:f>IFERROR(IF(CaseLedger!$A456="","",CaseLedger!Z456),"")</x:f>
      </x:c>
      <x:c r="U456" t="str">
        <x:f>IFERROR(IF(CaseLedger!$A456="","",CaseLedger!AA456),"")</x:f>
      </x:c>
      <x:c r="V456" t="str">
        <x:f>IFERROR(IF(CaseLedger!$A456="","",CaseLedger!AB456),"")</x:f>
      </x:c>
      <x:c r="W456" t="str">
        <x:f>IFERROR(IF(CaseLedger!$A456="","",CaseLedger!AC456),"")</x:f>
      </x:c>
      <x:c r="X456" t="str">
        <x:f>IFERROR(IF(CaseLedger!$A456="","",CaseLedger!AD456),"")</x:f>
      </x:c>
      <x:c r="Y456" t="str">
        <x:f>IFERROR(IF(CaseLedger!$A456="","",CaseLedger!AE456),"")</x:f>
      </x:c>
      <x:c r="Z456" t="str">
        <x:f>IFERROR(IF(CaseLedger!$A456="","",CaseLedger!AF456),"")</x:f>
      </x:c>
      <x:c r="AA456" t="str">
        <x:f>IFERROR(IF(CaseLedger!$A456="","",CaseLedger!AG456),"")</x:f>
      </x:c>
      <x:c r="AB456" t="str">
        <x:f>IFERROR(IF(CaseLedger!$A456="","",CaseLedger!AH456),"")</x:f>
      </x:c>
      <x:c r="AC456" t="str">
        <x:f>IFERROR(IF(CaseLedger!$A456="","",CaseLedger!AI456),"")</x:f>
      </x:c>
    </x:row>
    <x:row r="457">
      <x:c r="A457" t="str">
        <x:f>IF(CaseLedger!$A457="","",CaseLedger!A457)</x:f>
      </x:c>
      <x:c r="B457" t="str">
        <x:f>IF(CaseLedger!$A457="","",CaseLedger!I457)</x:f>
      </x:c>
      <x:c r="C457" t="str">
        <x:f>IF(CaseLedger!$A457="","",CaseLedger!J457)</x:f>
      </x:c>
      <x:c r="D457" t="str">
        <x:f>IF(CaseLedger!$A457="","",CaseLedger!K457)</x:f>
      </x:c>
      <x:c r="E457" t="str">
        <x:f>IF(CaseLedger!$A457="","",CaseLedger!L457)</x:f>
      </x:c>
      <x:c r="F457" t="str">
        <x:f>IF(CaseLedger!$A457="","",CaseLedger!P457)</x:f>
      </x:c>
      <x:c r="G457" t="str">
        <x:f>IF(CaseLedger!$A457="","",CaseLedger!F457)</x:f>
      </x:c>
      <x:c r="H457" t="str">
        <x:f>IF(CaseLedger!$A457="","",CaseLedger!Q457)</x:f>
      </x:c>
      <x:c r="I457" t="str">
        <x:f>IF(CaseLedger!$A457="","",CaseLedger!R457)</x:f>
      </x:c>
      <x:c r="J457" t="str">
        <x:f>IF(CaseLedger!$A457="","",CaseLedger!S457)</x:f>
      </x:c>
      <x:c r="K457" t="str">
        <x:f>IF(CaseLedger!$A457="","",CaseLedger!T457)</x:f>
      </x:c>
      <x:c r="L457" t="str">
        <x:f>IF(CaseLedger!$A457="","",CaseLedger!U457)</x:f>
      </x:c>
      <x:c r="M457" t="str">
        <x:f>IF(CaseLedger!$A457="","",CaseLedger!V457)</x:f>
      </x:c>
      <x:c r="N457" t="str">
        <x:f>IF(CaseLedger!$A457="","",CaseLedger!W457)</x:f>
      </x:c>
      <x:c r="O457" t="str">
        <x:f>IF(CaseLedger!$A457="","",CaseLedger!X457)</x:f>
      </x:c>
      <x:c r="P457" t="str">
        <x:f>IF(CaseLedger!$A457="","",CaseLedger!E457)</x:f>
      </x:c>
      <x:c r="Q457" t="str">
        <x:f>IF(CaseLedger!$A457="","",CaseLedger!C457)</x:f>
      </x:c>
      <x:c r="R457" t="str">
        <x:f>IF(CaseLedger!$A457="","",CaseLedger!D457)</x:f>
      </x:c>
      <x:c r="S457" t="str">
        <x:f>IFERROR(IF(CaseLedger!$A457="","",CaseLedger!Y457),"")</x:f>
      </x:c>
      <x:c r="T457" t="str">
        <x:f>IFERROR(IF(CaseLedger!$A457="","",CaseLedger!Z457),"")</x:f>
      </x:c>
      <x:c r="U457" t="str">
        <x:f>IFERROR(IF(CaseLedger!$A457="","",CaseLedger!AA457),"")</x:f>
      </x:c>
      <x:c r="V457" t="str">
        <x:f>IFERROR(IF(CaseLedger!$A457="","",CaseLedger!AB457),"")</x:f>
      </x:c>
      <x:c r="W457" t="str">
        <x:f>IFERROR(IF(CaseLedger!$A457="","",CaseLedger!AC457),"")</x:f>
      </x:c>
      <x:c r="X457" t="str">
        <x:f>IFERROR(IF(CaseLedger!$A457="","",CaseLedger!AD457),"")</x:f>
      </x:c>
      <x:c r="Y457" t="str">
        <x:f>IFERROR(IF(CaseLedger!$A457="","",CaseLedger!AE457),"")</x:f>
      </x:c>
      <x:c r="Z457" t="str">
        <x:f>IFERROR(IF(CaseLedger!$A457="","",CaseLedger!AF457),"")</x:f>
      </x:c>
      <x:c r="AA457" t="str">
        <x:f>IFERROR(IF(CaseLedger!$A457="","",CaseLedger!AG457),"")</x:f>
      </x:c>
      <x:c r="AB457" t="str">
        <x:f>IFERROR(IF(CaseLedger!$A457="","",CaseLedger!AH457),"")</x:f>
      </x:c>
      <x:c r="AC457" t="str">
        <x:f>IFERROR(IF(CaseLedger!$A457="","",CaseLedger!AI457),"")</x:f>
      </x:c>
    </x:row>
    <x:row r="458">
      <x:c r="A458" t="str">
        <x:f>IF(CaseLedger!$A458="","",CaseLedger!A458)</x:f>
      </x:c>
      <x:c r="B458" t="str">
        <x:f>IF(CaseLedger!$A458="","",CaseLedger!I458)</x:f>
      </x:c>
      <x:c r="C458" t="str">
        <x:f>IF(CaseLedger!$A458="","",CaseLedger!J458)</x:f>
      </x:c>
      <x:c r="D458" t="str">
        <x:f>IF(CaseLedger!$A458="","",CaseLedger!K458)</x:f>
      </x:c>
      <x:c r="E458" t="str">
        <x:f>IF(CaseLedger!$A458="","",CaseLedger!L458)</x:f>
      </x:c>
      <x:c r="F458" t="str">
        <x:f>IF(CaseLedger!$A458="","",CaseLedger!P458)</x:f>
      </x:c>
      <x:c r="G458" t="str">
        <x:f>IF(CaseLedger!$A458="","",CaseLedger!F458)</x:f>
      </x:c>
      <x:c r="H458" t="str">
        <x:f>IF(CaseLedger!$A458="","",CaseLedger!Q458)</x:f>
      </x:c>
      <x:c r="I458" t="str">
        <x:f>IF(CaseLedger!$A458="","",CaseLedger!R458)</x:f>
      </x:c>
      <x:c r="J458" t="str">
        <x:f>IF(CaseLedger!$A458="","",CaseLedger!S458)</x:f>
      </x:c>
      <x:c r="K458" t="str">
        <x:f>IF(CaseLedger!$A458="","",CaseLedger!T458)</x:f>
      </x:c>
      <x:c r="L458" t="str">
        <x:f>IF(CaseLedger!$A458="","",CaseLedger!U458)</x:f>
      </x:c>
      <x:c r="M458" t="str">
        <x:f>IF(CaseLedger!$A458="","",CaseLedger!V458)</x:f>
      </x:c>
      <x:c r="N458" t="str">
        <x:f>IF(CaseLedger!$A458="","",CaseLedger!W458)</x:f>
      </x:c>
      <x:c r="O458" t="str">
        <x:f>IF(CaseLedger!$A458="","",CaseLedger!X458)</x:f>
      </x:c>
      <x:c r="P458" t="str">
        <x:f>IF(CaseLedger!$A458="","",CaseLedger!E458)</x:f>
      </x:c>
      <x:c r="Q458" t="str">
        <x:f>IF(CaseLedger!$A458="","",CaseLedger!C458)</x:f>
      </x:c>
      <x:c r="R458" t="str">
        <x:f>IF(CaseLedger!$A458="","",CaseLedger!D458)</x:f>
      </x:c>
      <x:c r="S458" t="str">
        <x:f>IFERROR(IF(CaseLedger!$A458="","",CaseLedger!Y458),"")</x:f>
      </x:c>
      <x:c r="T458" t="str">
        <x:f>IFERROR(IF(CaseLedger!$A458="","",CaseLedger!Z458),"")</x:f>
      </x:c>
      <x:c r="U458" t="str">
        <x:f>IFERROR(IF(CaseLedger!$A458="","",CaseLedger!AA458),"")</x:f>
      </x:c>
      <x:c r="V458" t="str">
        <x:f>IFERROR(IF(CaseLedger!$A458="","",CaseLedger!AB458),"")</x:f>
      </x:c>
      <x:c r="W458" t="str">
        <x:f>IFERROR(IF(CaseLedger!$A458="","",CaseLedger!AC458),"")</x:f>
      </x:c>
      <x:c r="X458" t="str">
        <x:f>IFERROR(IF(CaseLedger!$A458="","",CaseLedger!AD458),"")</x:f>
      </x:c>
      <x:c r="Y458" t="str">
        <x:f>IFERROR(IF(CaseLedger!$A458="","",CaseLedger!AE458),"")</x:f>
      </x:c>
      <x:c r="Z458" t="str">
        <x:f>IFERROR(IF(CaseLedger!$A458="","",CaseLedger!AF458),"")</x:f>
      </x:c>
      <x:c r="AA458" t="str">
        <x:f>IFERROR(IF(CaseLedger!$A458="","",CaseLedger!AG458),"")</x:f>
      </x:c>
      <x:c r="AB458" t="str">
        <x:f>IFERROR(IF(CaseLedger!$A458="","",CaseLedger!AH458),"")</x:f>
      </x:c>
      <x:c r="AC458" t="str">
        <x:f>IFERROR(IF(CaseLedger!$A458="","",CaseLedger!AI458),"")</x:f>
      </x:c>
    </x:row>
    <x:row r="459">
      <x:c r="A459" t="str">
        <x:f>IF(CaseLedger!$A459="","",CaseLedger!A459)</x:f>
      </x:c>
      <x:c r="B459" t="str">
        <x:f>IF(CaseLedger!$A459="","",CaseLedger!I459)</x:f>
      </x:c>
      <x:c r="C459" t="str">
        <x:f>IF(CaseLedger!$A459="","",CaseLedger!J459)</x:f>
      </x:c>
      <x:c r="D459" t="str">
        <x:f>IF(CaseLedger!$A459="","",CaseLedger!K459)</x:f>
      </x:c>
      <x:c r="E459" t="str">
        <x:f>IF(CaseLedger!$A459="","",CaseLedger!L459)</x:f>
      </x:c>
      <x:c r="F459" t="str">
        <x:f>IF(CaseLedger!$A459="","",CaseLedger!P459)</x:f>
      </x:c>
      <x:c r="G459" t="str">
        <x:f>IF(CaseLedger!$A459="","",CaseLedger!F459)</x:f>
      </x:c>
      <x:c r="H459" t="str">
        <x:f>IF(CaseLedger!$A459="","",CaseLedger!Q459)</x:f>
      </x:c>
      <x:c r="I459" t="str">
        <x:f>IF(CaseLedger!$A459="","",CaseLedger!R459)</x:f>
      </x:c>
      <x:c r="J459" t="str">
        <x:f>IF(CaseLedger!$A459="","",CaseLedger!S459)</x:f>
      </x:c>
      <x:c r="K459" t="str">
        <x:f>IF(CaseLedger!$A459="","",CaseLedger!T459)</x:f>
      </x:c>
      <x:c r="L459" t="str">
        <x:f>IF(CaseLedger!$A459="","",CaseLedger!U459)</x:f>
      </x:c>
      <x:c r="M459" t="str">
        <x:f>IF(CaseLedger!$A459="","",CaseLedger!V459)</x:f>
      </x:c>
      <x:c r="N459" t="str">
        <x:f>IF(CaseLedger!$A459="","",CaseLedger!W459)</x:f>
      </x:c>
      <x:c r="O459" t="str">
        <x:f>IF(CaseLedger!$A459="","",CaseLedger!X459)</x:f>
      </x:c>
      <x:c r="P459" t="str">
        <x:f>IF(CaseLedger!$A459="","",CaseLedger!E459)</x:f>
      </x:c>
      <x:c r="Q459" t="str">
        <x:f>IF(CaseLedger!$A459="","",CaseLedger!C459)</x:f>
      </x:c>
      <x:c r="R459" t="str">
        <x:f>IF(CaseLedger!$A459="","",CaseLedger!D459)</x:f>
      </x:c>
      <x:c r="S459" t="str">
        <x:f>IFERROR(IF(CaseLedger!$A459="","",CaseLedger!Y459),"")</x:f>
      </x:c>
      <x:c r="T459" t="str">
        <x:f>IFERROR(IF(CaseLedger!$A459="","",CaseLedger!Z459),"")</x:f>
      </x:c>
      <x:c r="U459" t="str">
        <x:f>IFERROR(IF(CaseLedger!$A459="","",CaseLedger!AA459),"")</x:f>
      </x:c>
      <x:c r="V459" t="str">
        <x:f>IFERROR(IF(CaseLedger!$A459="","",CaseLedger!AB459),"")</x:f>
      </x:c>
      <x:c r="W459" t="str">
        <x:f>IFERROR(IF(CaseLedger!$A459="","",CaseLedger!AC459),"")</x:f>
      </x:c>
      <x:c r="X459" t="str">
        <x:f>IFERROR(IF(CaseLedger!$A459="","",CaseLedger!AD459),"")</x:f>
      </x:c>
      <x:c r="Y459" t="str">
        <x:f>IFERROR(IF(CaseLedger!$A459="","",CaseLedger!AE459),"")</x:f>
      </x:c>
      <x:c r="Z459" t="str">
        <x:f>IFERROR(IF(CaseLedger!$A459="","",CaseLedger!AF459),"")</x:f>
      </x:c>
      <x:c r="AA459" t="str">
        <x:f>IFERROR(IF(CaseLedger!$A459="","",CaseLedger!AG459),"")</x:f>
      </x:c>
      <x:c r="AB459" t="str">
        <x:f>IFERROR(IF(CaseLedger!$A459="","",CaseLedger!AH459),"")</x:f>
      </x:c>
      <x:c r="AC459" t="str">
        <x:f>IFERROR(IF(CaseLedger!$A459="","",CaseLedger!AI459),"")</x:f>
      </x:c>
    </x:row>
    <x:row r="460">
      <x:c r="A460" t="str">
        <x:f>IF(CaseLedger!$A460="","",CaseLedger!A460)</x:f>
      </x:c>
      <x:c r="B460" t="str">
        <x:f>IF(CaseLedger!$A460="","",CaseLedger!I460)</x:f>
      </x:c>
      <x:c r="C460" t="str">
        <x:f>IF(CaseLedger!$A460="","",CaseLedger!J460)</x:f>
      </x:c>
      <x:c r="D460" t="str">
        <x:f>IF(CaseLedger!$A460="","",CaseLedger!K460)</x:f>
      </x:c>
      <x:c r="E460" t="str">
        <x:f>IF(CaseLedger!$A460="","",CaseLedger!L460)</x:f>
      </x:c>
      <x:c r="F460" t="str">
        <x:f>IF(CaseLedger!$A460="","",CaseLedger!P460)</x:f>
      </x:c>
      <x:c r="G460" t="str">
        <x:f>IF(CaseLedger!$A460="","",CaseLedger!F460)</x:f>
      </x:c>
      <x:c r="H460" t="str">
        <x:f>IF(CaseLedger!$A460="","",CaseLedger!Q460)</x:f>
      </x:c>
      <x:c r="I460" t="str">
        <x:f>IF(CaseLedger!$A460="","",CaseLedger!R460)</x:f>
      </x:c>
      <x:c r="J460" t="str">
        <x:f>IF(CaseLedger!$A460="","",CaseLedger!S460)</x:f>
      </x:c>
      <x:c r="K460" t="str">
        <x:f>IF(CaseLedger!$A460="","",CaseLedger!T460)</x:f>
      </x:c>
      <x:c r="L460" t="str">
        <x:f>IF(CaseLedger!$A460="","",CaseLedger!U460)</x:f>
      </x:c>
      <x:c r="M460" t="str">
        <x:f>IF(CaseLedger!$A460="","",CaseLedger!V460)</x:f>
      </x:c>
      <x:c r="N460" t="str">
        <x:f>IF(CaseLedger!$A460="","",CaseLedger!W460)</x:f>
      </x:c>
      <x:c r="O460" t="str">
        <x:f>IF(CaseLedger!$A460="","",CaseLedger!X460)</x:f>
      </x:c>
      <x:c r="P460" t="str">
        <x:f>IF(CaseLedger!$A460="","",CaseLedger!E460)</x:f>
      </x:c>
      <x:c r="Q460" t="str">
        <x:f>IF(CaseLedger!$A460="","",CaseLedger!C460)</x:f>
      </x:c>
      <x:c r="R460" t="str">
        <x:f>IF(CaseLedger!$A460="","",CaseLedger!D460)</x:f>
      </x:c>
      <x:c r="S460" t="str">
        <x:f>IFERROR(IF(CaseLedger!$A460="","",CaseLedger!Y460),"")</x:f>
      </x:c>
      <x:c r="T460" t="str">
        <x:f>IFERROR(IF(CaseLedger!$A460="","",CaseLedger!Z460),"")</x:f>
      </x:c>
      <x:c r="U460" t="str">
        <x:f>IFERROR(IF(CaseLedger!$A460="","",CaseLedger!AA460),"")</x:f>
      </x:c>
      <x:c r="V460" t="str">
        <x:f>IFERROR(IF(CaseLedger!$A460="","",CaseLedger!AB460),"")</x:f>
      </x:c>
      <x:c r="W460" t="str">
        <x:f>IFERROR(IF(CaseLedger!$A460="","",CaseLedger!AC460),"")</x:f>
      </x:c>
      <x:c r="X460" t="str">
        <x:f>IFERROR(IF(CaseLedger!$A460="","",CaseLedger!AD460),"")</x:f>
      </x:c>
      <x:c r="Y460" t="str">
        <x:f>IFERROR(IF(CaseLedger!$A460="","",CaseLedger!AE460),"")</x:f>
      </x:c>
      <x:c r="Z460" t="str">
        <x:f>IFERROR(IF(CaseLedger!$A460="","",CaseLedger!AF460),"")</x:f>
      </x:c>
      <x:c r="AA460" t="str">
        <x:f>IFERROR(IF(CaseLedger!$A460="","",CaseLedger!AG460),"")</x:f>
      </x:c>
      <x:c r="AB460" t="str">
        <x:f>IFERROR(IF(CaseLedger!$A460="","",CaseLedger!AH460),"")</x:f>
      </x:c>
      <x:c r="AC460" t="str">
        <x:f>IFERROR(IF(CaseLedger!$A460="","",CaseLedger!AI460),"")</x:f>
      </x:c>
    </x:row>
    <x:row r="461">
      <x:c r="A461" t="str">
        <x:f>IF(CaseLedger!$A461="","",CaseLedger!A461)</x:f>
      </x:c>
      <x:c r="B461" t="str">
        <x:f>IF(CaseLedger!$A461="","",CaseLedger!I461)</x:f>
      </x:c>
      <x:c r="C461" t="str">
        <x:f>IF(CaseLedger!$A461="","",CaseLedger!J461)</x:f>
      </x:c>
      <x:c r="D461" t="str">
        <x:f>IF(CaseLedger!$A461="","",CaseLedger!K461)</x:f>
      </x:c>
      <x:c r="E461" t="str">
        <x:f>IF(CaseLedger!$A461="","",CaseLedger!L461)</x:f>
      </x:c>
      <x:c r="F461" t="str">
        <x:f>IF(CaseLedger!$A461="","",CaseLedger!P461)</x:f>
      </x:c>
      <x:c r="G461" t="str">
        <x:f>IF(CaseLedger!$A461="","",CaseLedger!F461)</x:f>
      </x:c>
      <x:c r="H461" t="str">
        <x:f>IF(CaseLedger!$A461="","",CaseLedger!Q461)</x:f>
      </x:c>
      <x:c r="I461" t="str">
        <x:f>IF(CaseLedger!$A461="","",CaseLedger!R461)</x:f>
      </x:c>
      <x:c r="J461" t="str">
        <x:f>IF(CaseLedger!$A461="","",CaseLedger!S461)</x:f>
      </x:c>
      <x:c r="K461" t="str">
        <x:f>IF(CaseLedger!$A461="","",CaseLedger!T461)</x:f>
      </x:c>
      <x:c r="L461" t="str">
        <x:f>IF(CaseLedger!$A461="","",CaseLedger!U461)</x:f>
      </x:c>
      <x:c r="M461" t="str">
        <x:f>IF(CaseLedger!$A461="","",CaseLedger!V461)</x:f>
      </x:c>
      <x:c r="N461" t="str">
        <x:f>IF(CaseLedger!$A461="","",CaseLedger!W461)</x:f>
      </x:c>
      <x:c r="O461" t="str">
        <x:f>IF(CaseLedger!$A461="","",CaseLedger!X461)</x:f>
      </x:c>
      <x:c r="P461" t="str">
        <x:f>IF(CaseLedger!$A461="","",CaseLedger!E461)</x:f>
      </x:c>
      <x:c r="Q461" t="str">
        <x:f>IF(CaseLedger!$A461="","",CaseLedger!C461)</x:f>
      </x:c>
      <x:c r="R461" t="str">
        <x:f>IF(CaseLedger!$A461="","",CaseLedger!D461)</x:f>
      </x:c>
      <x:c r="S461" t="str">
        <x:f>IFERROR(IF(CaseLedger!$A461="","",CaseLedger!Y461),"")</x:f>
      </x:c>
      <x:c r="T461" t="str">
        <x:f>IFERROR(IF(CaseLedger!$A461="","",CaseLedger!Z461),"")</x:f>
      </x:c>
      <x:c r="U461" t="str">
        <x:f>IFERROR(IF(CaseLedger!$A461="","",CaseLedger!AA461),"")</x:f>
      </x:c>
      <x:c r="V461" t="str">
        <x:f>IFERROR(IF(CaseLedger!$A461="","",CaseLedger!AB461),"")</x:f>
      </x:c>
      <x:c r="W461" t="str">
        <x:f>IFERROR(IF(CaseLedger!$A461="","",CaseLedger!AC461),"")</x:f>
      </x:c>
      <x:c r="X461" t="str">
        <x:f>IFERROR(IF(CaseLedger!$A461="","",CaseLedger!AD461),"")</x:f>
      </x:c>
      <x:c r="Y461" t="str">
        <x:f>IFERROR(IF(CaseLedger!$A461="","",CaseLedger!AE461),"")</x:f>
      </x:c>
      <x:c r="Z461" t="str">
        <x:f>IFERROR(IF(CaseLedger!$A461="","",CaseLedger!AF461),"")</x:f>
      </x:c>
      <x:c r="AA461" t="str">
        <x:f>IFERROR(IF(CaseLedger!$A461="","",CaseLedger!AG461),"")</x:f>
      </x:c>
      <x:c r="AB461" t="str">
        <x:f>IFERROR(IF(CaseLedger!$A461="","",CaseLedger!AH461),"")</x:f>
      </x:c>
      <x:c r="AC461" t="str">
        <x:f>IFERROR(IF(CaseLedger!$A461="","",CaseLedger!AI461),"")</x:f>
      </x:c>
    </x:row>
    <x:row r="462">
      <x:c r="A462" t="str">
        <x:f>IF(CaseLedger!$A462="","",CaseLedger!A462)</x:f>
      </x:c>
      <x:c r="B462" t="str">
        <x:f>IF(CaseLedger!$A462="","",CaseLedger!I462)</x:f>
      </x:c>
      <x:c r="C462" t="str">
        <x:f>IF(CaseLedger!$A462="","",CaseLedger!J462)</x:f>
      </x:c>
      <x:c r="D462" t="str">
        <x:f>IF(CaseLedger!$A462="","",CaseLedger!K462)</x:f>
      </x:c>
      <x:c r="E462" t="str">
        <x:f>IF(CaseLedger!$A462="","",CaseLedger!L462)</x:f>
      </x:c>
      <x:c r="F462" t="str">
        <x:f>IF(CaseLedger!$A462="","",CaseLedger!P462)</x:f>
      </x:c>
      <x:c r="G462" t="str">
        <x:f>IF(CaseLedger!$A462="","",CaseLedger!F462)</x:f>
      </x:c>
      <x:c r="H462" t="str">
        <x:f>IF(CaseLedger!$A462="","",CaseLedger!Q462)</x:f>
      </x:c>
      <x:c r="I462" t="str">
        <x:f>IF(CaseLedger!$A462="","",CaseLedger!R462)</x:f>
      </x:c>
      <x:c r="J462" t="str">
        <x:f>IF(CaseLedger!$A462="","",CaseLedger!S462)</x:f>
      </x:c>
      <x:c r="K462" t="str">
        <x:f>IF(CaseLedger!$A462="","",CaseLedger!T462)</x:f>
      </x:c>
      <x:c r="L462" t="str">
        <x:f>IF(CaseLedger!$A462="","",CaseLedger!U462)</x:f>
      </x:c>
      <x:c r="M462" t="str">
        <x:f>IF(CaseLedger!$A462="","",CaseLedger!V462)</x:f>
      </x:c>
      <x:c r="N462" t="str">
        <x:f>IF(CaseLedger!$A462="","",CaseLedger!W462)</x:f>
      </x:c>
      <x:c r="O462" t="str">
        <x:f>IF(CaseLedger!$A462="","",CaseLedger!X462)</x:f>
      </x:c>
      <x:c r="P462" t="str">
        <x:f>IF(CaseLedger!$A462="","",CaseLedger!E462)</x:f>
      </x:c>
      <x:c r="Q462" t="str">
        <x:f>IF(CaseLedger!$A462="","",CaseLedger!C462)</x:f>
      </x:c>
      <x:c r="R462" t="str">
        <x:f>IF(CaseLedger!$A462="","",CaseLedger!D462)</x:f>
      </x:c>
      <x:c r="S462" t="str">
        <x:f>IFERROR(IF(CaseLedger!$A462="","",CaseLedger!Y462),"")</x:f>
      </x:c>
      <x:c r="T462" t="str">
        <x:f>IFERROR(IF(CaseLedger!$A462="","",CaseLedger!Z462),"")</x:f>
      </x:c>
      <x:c r="U462" t="str">
        <x:f>IFERROR(IF(CaseLedger!$A462="","",CaseLedger!AA462),"")</x:f>
      </x:c>
      <x:c r="V462" t="str">
        <x:f>IFERROR(IF(CaseLedger!$A462="","",CaseLedger!AB462),"")</x:f>
      </x:c>
      <x:c r="W462" t="str">
        <x:f>IFERROR(IF(CaseLedger!$A462="","",CaseLedger!AC462),"")</x:f>
      </x:c>
      <x:c r="X462" t="str">
        <x:f>IFERROR(IF(CaseLedger!$A462="","",CaseLedger!AD462),"")</x:f>
      </x:c>
      <x:c r="Y462" t="str">
        <x:f>IFERROR(IF(CaseLedger!$A462="","",CaseLedger!AE462),"")</x:f>
      </x:c>
      <x:c r="Z462" t="str">
        <x:f>IFERROR(IF(CaseLedger!$A462="","",CaseLedger!AF462),"")</x:f>
      </x:c>
      <x:c r="AA462" t="str">
        <x:f>IFERROR(IF(CaseLedger!$A462="","",CaseLedger!AG462),"")</x:f>
      </x:c>
      <x:c r="AB462" t="str">
        <x:f>IFERROR(IF(CaseLedger!$A462="","",CaseLedger!AH462),"")</x:f>
      </x:c>
      <x:c r="AC462" t="str">
        <x:f>IFERROR(IF(CaseLedger!$A462="","",CaseLedger!AI462),"")</x:f>
      </x:c>
    </x:row>
    <x:row r="463">
      <x:c r="A463" t="str">
        <x:f>IF(CaseLedger!$A463="","",CaseLedger!A463)</x:f>
      </x:c>
      <x:c r="B463" t="str">
        <x:f>IF(CaseLedger!$A463="","",CaseLedger!I463)</x:f>
      </x:c>
      <x:c r="C463" t="str">
        <x:f>IF(CaseLedger!$A463="","",CaseLedger!J463)</x:f>
      </x:c>
      <x:c r="D463" t="str">
        <x:f>IF(CaseLedger!$A463="","",CaseLedger!K463)</x:f>
      </x:c>
      <x:c r="E463" t="str">
        <x:f>IF(CaseLedger!$A463="","",CaseLedger!L463)</x:f>
      </x:c>
      <x:c r="F463" t="str">
        <x:f>IF(CaseLedger!$A463="","",CaseLedger!P463)</x:f>
      </x:c>
      <x:c r="G463" t="str">
        <x:f>IF(CaseLedger!$A463="","",CaseLedger!F463)</x:f>
      </x:c>
      <x:c r="H463" t="str">
        <x:f>IF(CaseLedger!$A463="","",CaseLedger!Q463)</x:f>
      </x:c>
      <x:c r="I463" t="str">
        <x:f>IF(CaseLedger!$A463="","",CaseLedger!R463)</x:f>
      </x:c>
      <x:c r="J463" t="str">
        <x:f>IF(CaseLedger!$A463="","",CaseLedger!S463)</x:f>
      </x:c>
      <x:c r="K463" t="str">
        <x:f>IF(CaseLedger!$A463="","",CaseLedger!T463)</x:f>
      </x:c>
      <x:c r="L463" t="str">
        <x:f>IF(CaseLedger!$A463="","",CaseLedger!U463)</x:f>
      </x:c>
      <x:c r="M463" t="str">
        <x:f>IF(CaseLedger!$A463="","",CaseLedger!V463)</x:f>
      </x:c>
      <x:c r="N463" t="str">
        <x:f>IF(CaseLedger!$A463="","",CaseLedger!W463)</x:f>
      </x:c>
      <x:c r="O463" t="str">
        <x:f>IF(CaseLedger!$A463="","",CaseLedger!X463)</x:f>
      </x:c>
      <x:c r="P463" t="str">
        <x:f>IF(CaseLedger!$A463="","",CaseLedger!E463)</x:f>
      </x:c>
      <x:c r="Q463" t="str">
        <x:f>IF(CaseLedger!$A463="","",CaseLedger!C463)</x:f>
      </x:c>
      <x:c r="R463" t="str">
        <x:f>IF(CaseLedger!$A463="","",CaseLedger!D463)</x:f>
      </x:c>
      <x:c r="S463" t="str">
        <x:f>IFERROR(IF(CaseLedger!$A463="","",CaseLedger!Y463),"")</x:f>
      </x:c>
      <x:c r="T463" t="str">
        <x:f>IFERROR(IF(CaseLedger!$A463="","",CaseLedger!Z463),"")</x:f>
      </x:c>
      <x:c r="U463" t="str">
        <x:f>IFERROR(IF(CaseLedger!$A463="","",CaseLedger!AA463),"")</x:f>
      </x:c>
      <x:c r="V463" t="str">
        <x:f>IFERROR(IF(CaseLedger!$A463="","",CaseLedger!AB463),"")</x:f>
      </x:c>
      <x:c r="W463" t="str">
        <x:f>IFERROR(IF(CaseLedger!$A463="","",CaseLedger!AC463),"")</x:f>
      </x:c>
      <x:c r="X463" t="str">
        <x:f>IFERROR(IF(CaseLedger!$A463="","",CaseLedger!AD463),"")</x:f>
      </x:c>
      <x:c r="Y463" t="str">
        <x:f>IFERROR(IF(CaseLedger!$A463="","",CaseLedger!AE463),"")</x:f>
      </x:c>
      <x:c r="Z463" t="str">
        <x:f>IFERROR(IF(CaseLedger!$A463="","",CaseLedger!AF463),"")</x:f>
      </x:c>
      <x:c r="AA463" t="str">
        <x:f>IFERROR(IF(CaseLedger!$A463="","",CaseLedger!AG463),"")</x:f>
      </x:c>
      <x:c r="AB463" t="str">
        <x:f>IFERROR(IF(CaseLedger!$A463="","",CaseLedger!AH463),"")</x:f>
      </x:c>
      <x:c r="AC463" t="str">
        <x:f>IFERROR(IF(CaseLedger!$A463="","",CaseLedger!AI463),"")</x:f>
      </x:c>
    </x:row>
    <x:row r="464">
      <x:c r="A464" t="str">
        <x:f>IF(CaseLedger!$A464="","",CaseLedger!A464)</x:f>
      </x:c>
      <x:c r="B464" t="str">
        <x:f>IF(CaseLedger!$A464="","",CaseLedger!I464)</x:f>
      </x:c>
      <x:c r="C464" t="str">
        <x:f>IF(CaseLedger!$A464="","",CaseLedger!J464)</x:f>
      </x:c>
      <x:c r="D464" t="str">
        <x:f>IF(CaseLedger!$A464="","",CaseLedger!K464)</x:f>
      </x:c>
      <x:c r="E464" t="str">
        <x:f>IF(CaseLedger!$A464="","",CaseLedger!L464)</x:f>
      </x:c>
      <x:c r="F464" t="str">
        <x:f>IF(CaseLedger!$A464="","",CaseLedger!P464)</x:f>
      </x:c>
      <x:c r="G464" t="str">
        <x:f>IF(CaseLedger!$A464="","",CaseLedger!F464)</x:f>
      </x:c>
      <x:c r="H464" t="str">
        <x:f>IF(CaseLedger!$A464="","",CaseLedger!Q464)</x:f>
      </x:c>
      <x:c r="I464" t="str">
        <x:f>IF(CaseLedger!$A464="","",CaseLedger!R464)</x:f>
      </x:c>
      <x:c r="J464" t="str">
        <x:f>IF(CaseLedger!$A464="","",CaseLedger!S464)</x:f>
      </x:c>
      <x:c r="K464" t="str">
        <x:f>IF(CaseLedger!$A464="","",CaseLedger!T464)</x:f>
      </x:c>
      <x:c r="L464" t="str">
        <x:f>IF(CaseLedger!$A464="","",CaseLedger!U464)</x:f>
      </x:c>
      <x:c r="M464" t="str">
        <x:f>IF(CaseLedger!$A464="","",CaseLedger!V464)</x:f>
      </x:c>
      <x:c r="N464" t="str">
        <x:f>IF(CaseLedger!$A464="","",CaseLedger!W464)</x:f>
      </x:c>
      <x:c r="O464" t="str">
        <x:f>IF(CaseLedger!$A464="","",CaseLedger!X464)</x:f>
      </x:c>
      <x:c r="P464" t="str">
        <x:f>IF(CaseLedger!$A464="","",CaseLedger!E464)</x:f>
      </x:c>
      <x:c r="Q464" t="str">
        <x:f>IF(CaseLedger!$A464="","",CaseLedger!C464)</x:f>
      </x:c>
      <x:c r="R464" t="str">
        <x:f>IF(CaseLedger!$A464="","",CaseLedger!D464)</x:f>
      </x:c>
      <x:c r="S464" t="str">
        <x:f>IFERROR(IF(CaseLedger!$A464="","",CaseLedger!Y464),"")</x:f>
      </x:c>
      <x:c r="T464" t="str">
        <x:f>IFERROR(IF(CaseLedger!$A464="","",CaseLedger!Z464),"")</x:f>
      </x:c>
      <x:c r="U464" t="str">
        <x:f>IFERROR(IF(CaseLedger!$A464="","",CaseLedger!AA464),"")</x:f>
      </x:c>
      <x:c r="V464" t="str">
        <x:f>IFERROR(IF(CaseLedger!$A464="","",CaseLedger!AB464),"")</x:f>
      </x:c>
      <x:c r="W464" t="str">
        <x:f>IFERROR(IF(CaseLedger!$A464="","",CaseLedger!AC464),"")</x:f>
      </x:c>
      <x:c r="X464" t="str">
        <x:f>IFERROR(IF(CaseLedger!$A464="","",CaseLedger!AD464),"")</x:f>
      </x:c>
      <x:c r="Y464" t="str">
        <x:f>IFERROR(IF(CaseLedger!$A464="","",CaseLedger!AE464),"")</x:f>
      </x:c>
      <x:c r="Z464" t="str">
        <x:f>IFERROR(IF(CaseLedger!$A464="","",CaseLedger!AF464),"")</x:f>
      </x:c>
      <x:c r="AA464" t="str">
        <x:f>IFERROR(IF(CaseLedger!$A464="","",CaseLedger!AG464),"")</x:f>
      </x:c>
      <x:c r="AB464" t="str">
        <x:f>IFERROR(IF(CaseLedger!$A464="","",CaseLedger!AH464),"")</x:f>
      </x:c>
      <x:c r="AC464" t="str">
        <x:f>IFERROR(IF(CaseLedger!$A464="","",CaseLedger!AI464),"")</x:f>
      </x:c>
    </x:row>
    <x:row r="465">
      <x:c r="A465" t="str">
        <x:f>IF(CaseLedger!$A465="","",CaseLedger!A465)</x:f>
      </x:c>
      <x:c r="B465" t="str">
        <x:f>IF(CaseLedger!$A465="","",CaseLedger!I465)</x:f>
      </x:c>
      <x:c r="C465" t="str">
        <x:f>IF(CaseLedger!$A465="","",CaseLedger!J465)</x:f>
      </x:c>
      <x:c r="D465" t="str">
        <x:f>IF(CaseLedger!$A465="","",CaseLedger!K465)</x:f>
      </x:c>
      <x:c r="E465" t="str">
        <x:f>IF(CaseLedger!$A465="","",CaseLedger!L465)</x:f>
      </x:c>
      <x:c r="F465" t="str">
        <x:f>IF(CaseLedger!$A465="","",CaseLedger!P465)</x:f>
      </x:c>
      <x:c r="G465" t="str">
        <x:f>IF(CaseLedger!$A465="","",CaseLedger!F465)</x:f>
      </x:c>
      <x:c r="H465" t="str">
        <x:f>IF(CaseLedger!$A465="","",CaseLedger!Q465)</x:f>
      </x:c>
      <x:c r="I465" t="str">
        <x:f>IF(CaseLedger!$A465="","",CaseLedger!R465)</x:f>
      </x:c>
      <x:c r="J465" t="str">
        <x:f>IF(CaseLedger!$A465="","",CaseLedger!S465)</x:f>
      </x:c>
      <x:c r="K465" t="str">
        <x:f>IF(CaseLedger!$A465="","",CaseLedger!T465)</x:f>
      </x:c>
      <x:c r="L465" t="str">
        <x:f>IF(CaseLedger!$A465="","",CaseLedger!U465)</x:f>
      </x:c>
      <x:c r="M465" t="str">
        <x:f>IF(CaseLedger!$A465="","",CaseLedger!V465)</x:f>
      </x:c>
      <x:c r="N465" t="str">
        <x:f>IF(CaseLedger!$A465="","",CaseLedger!W465)</x:f>
      </x:c>
      <x:c r="O465" t="str">
        <x:f>IF(CaseLedger!$A465="","",CaseLedger!X465)</x:f>
      </x:c>
      <x:c r="P465" t="str">
        <x:f>IF(CaseLedger!$A465="","",CaseLedger!E465)</x:f>
      </x:c>
      <x:c r="Q465" t="str">
        <x:f>IF(CaseLedger!$A465="","",CaseLedger!C465)</x:f>
      </x:c>
      <x:c r="R465" t="str">
        <x:f>IF(CaseLedger!$A465="","",CaseLedger!D465)</x:f>
      </x:c>
      <x:c r="S465" t="str">
        <x:f>IFERROR(IF(CaseLedger!$A465="","",CaseLedger!Y465),"")</x:f>
      </x:c>
      <x:c r="T465" t="str">
        <x:f>IFERROR(IF(CaseLedger!$A465="","",CaseLedger!Z465),"")</x:f>
      </x:c>
      <x:c r="U465" t="str">
        <x:f>IFERROR(IF(CaseLedger!$A465="","",CaseLedger!AA465),"")</x:f>
      </x:c>
      <x:c r="V465" t="str">
        <x:f>IFERROR(IF(CaseLedger!$A465="","",CaseLedger!AB465),"")</x:f>
      </x:c>
      <x:c r="W465" t="str">
        <x:f>IFERROR(IF(CaseLedger!$A465="","",CaseLedger!AC465),"")</x:f>
      </x:c>
      <x:c r="X465" t="str">
        <x:f>IFERROR(IF(CaseLedger!$A465="","",CaseLedger!AD465),"")</x:f>
      </x:c>
      <x:c r="Y465" t="str">
        <x:f>IFERROR(IF(CaseLedger!$A465="","",CaseLedger!AE465),"")</x:f>
      </x:c>
      <x:c r="Z465" t="str">
        <x:f>IFERROR(IF(CaseLedger!$A465="","",CaseLedger!AF465),"")</x:f>
      </x:c>
      <x:c r="AA465" t="str">
        <x:f>IFERROR(IF(CaseLedger!$A465="","",CaseLedger!AG465),"")</x:f>
      </x:c>
      <x:c r="AB465" t="str">
        <x:f>IFERROR(IF(CaseLedger!$A465="","",CaseLedger!AH465),"")</x:f>
      </x:c>
      <x:c r="AC465" t="str">
        <x:f>IFERROR(IF(CaseLedger!$A465="","",CaseLedger!AI465),"")</x:f>
      </x:c>
    </x:row>
    <x:row r="466">
      <x:c r="A466" t="str">
        <x:f>IF(CaseLedger!$A466="","",CaseLedger!A466)</x:f>
      </x:c>
      <x:c r="B466" t="str">
        <x:f>IF(CaseLedger!$A466="","",CaseLedger!I466)</x:f>
      </x:c>
      <x:c r="C466" t="str">
        <x:f>IF(CaseLedger!$A466="","",CaseLedger!J466)</x:f>
      </x:c>
      <x:c r="D466" t="str">
        <x:f>IF(CaseLedger!$A466="","",CaseLedger!K466)</x:f>
      </x:c>
      <x:c r="E466" t="str">
        <x:f>IF(CaseLedger!$A466="","",CaseLedger!L466)</x:f>
      </x:c>
      <x:c r="F466" t="str">
        <x:f>IF(CaseLedger!$A466="","",CaseLedger!P466)</x:f>
      </x:c>
      <x:c r="G466" t="str">
        <x:f>IF(CaseLedger!$A466="","",CaseLedger!F466)</x:f>
      </x:c>
      <x:c r="H466" t="str">
        <x:f>IF(CaseLedger!$A466="","",CaseLedger!Q466)</x:f>
      </x:c>
      <x:c r="I466" t="str">
        <x:f>IF(CaseLedger!$A466="","",CaseLedger!R466)</x:f>
      </x:c>
      <x:c r="J466" t="str">
        <x:f>IF(CaseLedger!$A466="","",CaseLedger!S466)</x:f>
      </x:c>
      <x:c r="K466" t="str">
        <x:f>IF(CaseLedger!$A466="","",CaseLedger!T466)</x:f>
      </x:c>
      <x:c r="L466" t="str">
        <x:f>IF(CaseLedger!$A466="","",CaseLedger!U466)</x:f>
      </x:c>
      <x:c r="M466" t="str">
        <x:f>IF(CaseLedger!$A466="","",CaseLedger!V466)</x:f>
      </x:c>
      <x:c r="N466" t="str">
        <x:f>IF(CaseLedger!$A466="","",CaseLedger!W466)</x:f>
      </x:c>
      <x:c r="O466" t="str">
        <x:f>IF(CaseLedger!$A466="","",CaseLedger!X466)</x:f>
      </x:c>
      <x:c r="P466" t="str">
        <x:f>IF(CaseLedger!$A466="","",CaseLedger!E466)</x:f>
      </x:c>
      <x:c r="Q466" t="str">
        <x:f>IF(CaseLedger!$A466="","",CaseLedger!C466)</x:f>
      </x:c>
      <x:c r="R466" t="str">
        <x:f>IF(CaseLedger!$A466="","",CaseLedger!D466)</x:f>
      </x:c>
      <x:c r="S466" t="str">
        <x:f>IFERROR(IF(CaseLedger!$A466="","",CaseLedger!Y466),"")</x:f>
      </x:c>
      <x:c r="T466" t="str">
        <x:f>IFERROR(IF(CaseLedger!$A466="","",CaseLedger!Z466),"")</x:f>
      </x:c>
      <x:c r="U466" t="str">
        <x:f>IFERROR(IF(CaseLedger!$A466="","",CaseLedger!AA466),"")</x:f>
      </x:c>
      <x:c r="V466" t="str">
        <x:f>IFERROR(IF(CaseLedger!$A466="","",CaseLedger!AB466),"")</x:f>
      </x:c>
      <x:c r="W466" t="str">
        <x:f>IFERROR(IF(CaseLedger!$A466="","",CaseLedger!AC466),"")</x:f>
      </x:c>
      <x:c r="X466" t="str">
        <x:f>IFERROR(IF(CaseLedger!$A466="","",CaseLedger!AD466),"")</x:f>
      </x:c>
      <x:c r="Y466" t="str">
        <x:f>IFERROR(IF(CaseLedger!$A466="","",CaseLedger!AE466),"")</x:f>
      </x:c>
      <x:c r="Z466" t="str">
        <x:f>IFERROR(IF(CaseLedger!$A466="","",CaseLedger!AF466),"")</x:f>
      </x:c>
      <x:c r="AA466" t="str">
        <x:f>IFERROR(IF(CaseLedger!$A466="","",CaseLedger!AG466),"")</x:f>
      </x:c>
      <x:c r="AB466" t="str">
        <x:f>IFERROR(IF(CaseLedger!$A466="","",CaseLedger!AH466),"")</x:f>
      </x:c>
      <x:c r="AC466" t="str">
        <x:f>IFERROR(IF(CaseLedger!$A466="","",CaseLedger!AI466),"")</x:f>
      </x:c>
    </x:row>
    <x:row r="467">
      <x:c r="A467" t="str">
        <x:f>IF(CaseLedger!$A467="","",CaseLedger!A467)</x:f>
      </x:c>
      <x:c r="B467" t="str">
        <x:f>IF(CaseLedger!$A467="","",CaseLedger!I467)</x:f>
      </x:c>
      <x:c r="C467" t="str">
        <x:f>IF(CaseLedger!$A467="","",CaseLedger!J467)</x:f>
      </x:c>
      <x:c r="D467" t="str">
        <x:f>IF(CaseLedger!$A467="","",CaseLedger!K467)</x:f>
      </x:c>
      <x:c r="E467" t="str">
        <x:f>IF(CaseLedger!$A467="","",CaseLedger!L467)</x:f>
      </x:c>
      <x:c r="F467" t="str">
        <x:f>IF(CaseLedger!$A467="","",CaseLedger!P467)</x:f>
      </x:c>
      <x:c r="G467" t="str">
        <x:f>IF(CaseLedger!$A467="","",CaseLedger!F467)</x:f>
      </x:c>
      <x:c r="H467" t="str">
        <x:f>IF(CaseLedger!$A467="","",CaseLedger!Q467)</x:f>
      </x:c>
      <x:c r="I467" t="str">
        <x:f>IF(CaseLedger!$A467="","",CaseLedger!R467)</x:f>
      </x:c>
      <x:c r="J467" t="str">
        <x:f>IF(CaseLedger!$A467="","",CaseLedger!S467)</x:f>
      </x:c>
      <x:c r="K467" t="str">
        <x:f>IF(CaseLedger!$A467="","",CaseLedger!T467)</x:f>
      </x:c>
      <x:c r="L467" t="str">
        <x:f>IF(CaseLedger!$A467="","",CaseLedger!U467)</x:f>
      </x:c>
      <x:c r="M467" t="str">
        <x:f>IF(CaseLedger!$A467="","",CaseLedger!V467)</x:f>
      </x:c>
      <x:c r="N467" t="str">
        <x:f>IF(CaseLedger!$A467="","",CaseLedger!W467)</x:f>
      </x:c>
      <x:c r="O467" t="str">
        <x:f>IF(CaseLedger!$A467="","",CaseLedger!X467)</x:f>
      </x:c>
      <x:c r="P467" t="str">
        <x:f>IF(CaseLedger!$A467="","",CaseLedger!E467)</x:f>
      </x:c>
      <x:c r="Q467" t="str">
        <x:f>IF(CaseLedger!$A467="","",CaseLedger!C467)</x:f>
      </x:c>
      <x:c r="R467" t="str">
        <x:f>IF(CaseLedger!$A467="","",CaseLedger!D467)</x:f>
      </x:c>
      <x:c r="S467" t="str">
        <x:f>IFERROR(IF(CaseLedger!$A467="","",CaseLedger!Y467),"")</x:f>
      </x:c>
      <x:c r="T467" t="str">
        <x:f>IFERROR(IF(CaseLedger!$A467="","",CaseLedger!Z467),"")</x:f>
      </x:c>
      <x:c r="U467" t="str">
        <x:f>IFERROR(IF(CaseLedger!$A467="","",CaseLedger!AA467),"")</x:f>
      </x:c>
      <x:c r="V467" t="str">
        <x:f>IFERROR(IF(CaseLedger!$A467="","",CaseLedger!AB467),"")</x:f>
      </x:c>
      <x:c r="W467" t="str">
        <x:f>IFERROR(IF(CaseLedger!$A467="","",CaseLedger!AC467),"")</x:f>
      </x:c>
      <x:c r="X467" t="str">
        <x:f>IFERROR(IF(CaseLedger!$A467="","",CaseLedger!AD467),"")</x:f>
      </x:c>
      <x:c r="Y467" t="str">
        <x:f>IFERROR(IF(CaseLedger!$A467="","",CaseLedger!AE467),"")</x:f>
      </x:c>
      <x:c r="Z467" t="str">
        <x:f>IFERROR(IF(CaseLedger!$A467="","",CaseLedger!AF467),"")</x:f>
      </x:c>
      <x:c r="AA467" t="str">
        <x:f>IFERROR(IF(CaseLedger!$A467="","",CaseLedger!AG467),"")</x:f>
      </x:c>
      <x:c r="AB467" t="str">
        <x:f>IFERROR(IF(CaseLedger!$A467="","",CaseLedger!AH467),"")</x:f>
      </x:c>
      <x:c r="AC467" t="str">
        <x:f>IFERROR(IF(CaseLedger!$A467="","",CaseLedger!AI467),"")</x:f>
      </x:c>
    </x:row>
    <x:row r="468">
      <x:c r="A468" t="str">
        <x:f>IF(CaseLedger!$A468="","",CaseLedger!A468)</x:f>
      </x:c>
      <x:c r="B468" t="str">
        <x:f>IF(CaseLedger!$A468="","",CaseLedger!I468)</x:f>
      </x:c>
      <x:c r="C468" t="str">
        <x:f>IF(CaseLedger!$A468="","",CaseLedger!J468)</x:f>
      </x:c>
      <x:c r="D468" t="str">
        <x:f>IF(CaseLedger!$A468="","",CaseLedger!K468)</x:f>
      </x:c>
      <x:c r="E468" t="str">
        <x:f>IF(CaseLedger!$A468="","",CaseLedger!L468)</x:f>
      </x:c>
      <x:c r="F468" t="str">
        <x:f>IF(CaseLedger!$A468="","",CaseLedger!P468)</x:f>
      </x:c>
      <x:c r="G468" t="str">
        <x:f>IF(CaseLedger!$A468="","",CaseLedger!F468)</x:f>
      </x:c>
      <x:c r="H468" t="str">
        <x:f>IF(CaseLedger!$A468="","",CaseLedger!Q468)</x:f>
      </x:c>
      <x:c r="I468" t="str">
        <x:f>IF(CaseLedger!$A468="","",CaseLedger!R468)</x:f>
      </x:c>
      <x:c r="J468" t="str">
        <x:f>IF(CaseLedger!$A468="","",CaseLedger!S468)</x:f>
      </x:c>
      <x:c r="K468" t="str">
        <x:f>IF(CaseLedger!$A468="","",CaseLedger!T468)</x:f>
      </x:c>
      <x:c r="L468" t="str">
        <x:f>IF(CaseLedger!$A468="","",CaseLedger!U468)</x:f>
      </x:c>
      <x:c r="M468" t="str">
        <x:f>IF(CaseLedger!$A468="","",CaseLedger!V468)</x:f>
      </x:c>
      <x:c r="N468" t="str">
        <x:f>IF(CaseLedger!$A468="","",CaseLedger!W468)</x:f>
      </x:c>
      <x:c r="O468" t="str">
        <x:f>IF(CaseLedger!$A468="","",CaseLedger!X468)</x:f>
      </x:c>
      <x:c r="P468" t="str">
        <x:f>IF(CaseLedger!$A468="","",CaseLedger!E468)</x:f>
      </x:c>
      <x:c r="Q468" t="str">
        <x:f>IF(CaseLedger!$A468="","",CaseLedger!C468)</x:f>
      </x:c>
      <x:c r="R468" t="str">
        <x:f>IF(CaseLedger!$A468="","",CaseLedger!D468)</x:f>
      </x:c>
      <x:c r="S468" t="str">
        <x:f>IFERROR(IF(CaseLedger!$A468="","",CaseLedger!Y468),"")</x:f>
      </x:c>
      <x:c r="T468" t="str">
        <x:f>IFERROR(IF(CaseLedger!$A468="","",CaseLedger!Z468),"")</x:f>
      </x:c>
      <x:c r="U468" t="str">
        <x:f>IFERROR(IF(CaseLedger!$A468="","",CaseLedger!AA468),"")</x:f>
      </x:c>
      <x:c r="V468" t="str">
        <x:f>IFERROR(IF(CaseLedger!$A468="","",CaseLedger!AB468),"")</x:f>
      </x:c>
      <x:c r="W468" t="str">
        <x:f>IFERROR(IF(CaseLedger!$A468="","",CaseLedger!AC468),"")</x:f>
      </x:c>
      <x:c r="X468" t="str">
        <x:f>IFERROR(IF(CaseLedger!$A468="","",CaseLedger!AD468),"")</x:f>
      </x:c>
      <x:c r="Y468" t="str">
        <x:f>IFERROR(IF(CaseLedger!$A468="","",CaseLedger!AE468),"")</x:f>
      </x:c>
      <x:c r="Z468" t="str">
        <x:f>IFERROR(IF(CaseLedger!$A468="","",CaseLedger!AF468),"")</x:f>
      </x:c>
      <x:c r="AA468" t="str">
        <x:f>IFERROR(IF(CaseLedger!$A468="","",CaseLedger!AG468),"")</x:f>
      </x:c>
      <x:c r="AB468" t="str">
        <x:f>IFERROR(IF(CaseLedger!$A468="","",CaseLedger!AH468),"")</x:f>
      </x:c>
      <x:c r="AC468" t="str">
        <x:f>IFERROR(IF(CaseLedger!$A468="","",CaseLedger!AI468),"")</x:f>
      </x:c>
    </x:row>
    <x:row r="469">
      <x:c r="A469" t="str">
        <x:f>IF(CaseLedger!$A469="","",CaseLedger!A469)</x:f>
      </x:c>
      <x:c r="B469" t="str">
        <x:f>IF(CaseLedger!$A469="","",CaseLedger!I469)</x:f>
      </x:c>
      <x:c r="C469" t="str">
        <x:f>IF(CaseLedger!$A469="","",CaseLedger!J469)</x:f>
      </x:c>
      <x:c r="D469" t="str">
        <x:f>IF(CaseLedger!$A469="","",CaseLedger!K469)</x:f>
      </x:c>
      <x:c r="E469" t="str">
        <x:f>IF(CaseLedger!$A469="","",CaseLedger!L469)</x:f>
      </x:c>
      <x:c r="F469" t="str">
        <x:f>IF(CaseLedger!$A469="","",CaseLedger!P469)</x:f>
      </x:c>
      <x:c r="G469" t="str">
        <x:f>IF(CaseLedger!$A469="","",CaseLedger!F469)</x:f>
      </x:c>
      <x:c r="H469" t="str">
        <x:f>IF(CaseLedger!$A469="","",CaseLedger!Q469)</x:f>
      </x:c>
      <x:c r="I469" t="str">
        <x:f>IF(CaseLedger!$A469="","",CaseLedger!R469)</x:f>
      </x:c>
      <x:c r="J469" t="str">
        <x:f>IF(CaseLedger!$A469="","",CaseLedger!S469)</x:f>
      </x:c>
      <x:c r="K469" t="str">
        <x:f>IF(CaseLedger!$A469="","",CaseLedger!T469)</x:f>
      </x:c>
      <x:c r="L469" t="str">
        <x:f>IF(CaseLedger!$A469="","",CaseLedger!U469)</x:f>
      </x:c>
      <x:c r="M469" t="str">
        <x:f>IF(CaseLedger!$A469="","",CaseLedger!V469)</x:f>
      </x:c>
      <x:c r="N469" t="str">
        <x:f>IF(CaseLedger!$A469="","",CaseLedger!W469)</x:f>
      </x:c>
      <x:c r="O469" t="str">
        <x:f>IF(CaseLedger!$A469="","",CaseLedger!X469)</x:f>
      </x:c>
      <x:c r="P469" t="str">
        <x:f>IF(CaseLedger!$A469="","",CaseLedger!E469)</x:f>
      </x:c>
      <x:c r="Q469" t="str">
        <x:f>IF(CaseLedger!$A469="","",CaseLedger!C469)</x:f>
      </x:c>
      <x:c r="R469" t="str">
        <x:f>IF(CaseLedger!$A469="","",CaseLedger!D469)</x:f>
      </x:c>
      <x:c r="S469" t="str">
        <x:f>IFERROR(IF(CaseLedger!$A469="","",CaseLedger!Y469),"")</x:f>
      </x:c>
      <x:c r="T469" t="str">
        <x:f>IFERROR(IF(CaseLedger!$A469="","",CaseLedger!Z469),"")</x:f>
      </x:c>
      <x:c r="U469" t="str">
        <x:f>IFERROR(IF(CaseLedger!$A469="","",CaseLedger!AA469),"")</x:f>
      </x:c>
      <x:c r="V469" t="str">
        <x:f>IFERROR(IF(CaseLedger!$A469="","",CaseLedger!AB469),"")</x:f>
      </x:c>
      <x:c r="W469" t="str">
        <x:f>IFERROR(IF(CaseLedger!$A469="","",CaseLedger!AC469),"")</x:f>
      </x:c>
      <x:c r="X469" t="str">
        <x:f>IFERROR(IF(CaseLedger!$A469="","",CaseLedger!AD469),"")</x:f>
      </x:c>
      <x:c r="Y469" t="str">
        <x:f>IFERROR(IF(CaseLedger!$A469="","",CaseLedger!AE469),"")</x:f>
      </x:c>
      <x:c r="Z469" t="str">
        <x:f>IFERROR(IF(CaseLedger!$A469="","",CaseLedger!AF469),"")</x:f>
      </x:c>
      <x:c r="AA469" t="str">
        <x:f>IFERROR(IF(CaseLedger!$A469="","",CaseLedger!AG469),"")</x:f>
      </x:c>
      <x:c r="AB469" t="str">
        <x:f>IFERROR(IF(CaseLedger!$A469="","",CaseLedger!AH469),"")</x:f>
      </x:c>
      <x:c r="AC469" t="str">
        <x:f>IFERROR(IF(CaseLedger!$A469="","",CaseLedger!AI469),"")</x:f>
      </x:c>
    </x:row>
    <x:row r="470">
      <x:c r="A470" t="str">
        <x:f>IF(CaseLedger!$A470="","",CaseLedger!A470)</x:f>
      </x:c>
      <x:c r="B470" t="str">
        <x:f>IF(CaseLedger!$A470="","",CaseLedger!I470)</x:f>
      </x:c>
      <x:c r="C470" t="str">
        <x:f>IF(CaseLedger!$A470="","",CaseLedger!J470)</x:f>
      </x:c>
      <x:c r="D470" t="str">
        <x:f>IF(CaseLedger!$A470="","",CaseLedger!K470)</x:f>
      </x:c>
      <x:c r="E470" t="str">
        <x:f>IF(CaseLedger!$A470="","",CaseLedger!L470)</x:f>
      </x:c>
      <x:c r="F470" t="str">
        <x:f>IF(CaseLedger!$A470="","",CaseLedger!P470)</x:f>
      </x:c>
      <x:c r="G470" t="str">
        <x:f>IF(CaseLedger!$A470="","",CaseLedger!F470)</x:f>
      </x:c>
      <x:c r="H470" t="str">
        <x:f>IF(CaseLedger!$A470="","",CaseLedger!Q470)</x:f>
      </x:c>
      <x:c r="I470" t="str">
        <x:f>IF(CaseLedger!$A470="","",CaseLedger!R470)</x:f>
      </x:c>
      <x:c r="J470" t="str">
        <x:f>IF(CaseLedger!$A470="","",CaseLedger!S470)</x:f>
      </x:c>
      <x:c r="K470" t="str">
        <x:f>IF(CaseLedger!$A470="","",CaseLedger!T470)</x:f>
      </x:c>
      <x:c r="L470" t="str">
        <x:f>IF(CaseLedger!$A470="","",CaseLedger!U470)</x:f>
      </x:c>
      <x:c r="M470" t="str">
        <x:f>IF(CaseLedger!$A470="","",CaseLedger!V470)</x:f>
      </x:c>
      <x:c r="N470" t="str">
        <x:f>IF(CaseLedger!$A470="","",CaseLedger!W470)</x:f>
      </x:c>
      <x:c r="O470" t="str">
        <x:f>IF(CaseLedger!$A470="","",CaseLedger!X470)</x:f>
      </x:c>
      <x:c r="P470" t="str">
        <x:f>IF(CaseLedger!$A470="","",CaseLedger!E470)</x:f>
      </x:c>
      <x:c r="Q470" t="str">
        <x:f>IF(CaseLedger!$A470="","",CaseLedger!C470)</x:f>
      </x:c>
      <x:c r="R470" t="str">
        <x:f>IF(CaseLedger!$A470="","",CaseLedger!D470)</x:f>
      </x:c>
      <x:c r="S470" t="str">
        <x:f>IFERROR(IF(CaseLedger!$A470="","",CaseLedger!Y470),"")</x:f>
      </x:c>
      <x:c r="T470" t="str">
        <x:f>IFERROR(IF(CaseLedger!$A470="","",CaseLedger!Z470),"")</x:f>
      </x:c>
      <x:c r="U470" t="str">
        <x:f>IFERROR(IF(CaseLedger!$A470="","",CaseLedger!AA470),"")</x:f>
      </x:c>
      <x:c r="V470" t="str">
        <x:f>IFERROR(IF(CaseLedger!$A470="","",CaseLedger!AB470),"")</x:f>
      </x:c>
      <x:c r="W470" t="str">
        <x:f>IFERROR(IF(CaseLedger!$A470="","",CaseLedger!AC470),"")</x:f>
      </x:c>
      <x:c r="X470" t="str">
        <x:f>IFERROR(IF(CaseLedger!$A470="","",CaseLedger!AD470),"")</x:f>
      </x:c>
      <x:c r="Y470" t="str">
        <x:f>IFERROR(IF(CaseLedger!$A470="","",CaseLedger!AE470),"")</x:f>
      </x:c>
      <x:c r="Z470" t="str">
        <x:f>IFERROR(IF(CaseLedger!$A470="","",CaseLedger!AF470),"")</x:f>
      </x:c>
      <x:c r="AA470" t="str">
        <x:f>IFERROR(IF(CaseLedger!$A470="","",CaseLedger!AG470),"")</x:f>
      </x:c>
      <x:c r="AB470" t="str">
        <x:f>IFERROR(IF(CaseLedger!$A470="","",CaseLedger!AH470),"")</x:f>
      </x:c>
      <x:c r="AC470" t="str">
        <x:f>IFERROR(IF(CaseLedger!$A470="","",CaseLedger!AI470),"")</x:f>
      </x:c>
    </x:row>
    <x:row r="471">
      <x:c r="A471" t="str">
        <x:f>IF(CaseLedger!$A471="","",CaseLedger!A471)</x:f>
      </x:c>
      <x:c r="B471" t="str">
        <x:f>IF(CaseLedger!$A471="","",CaseLedger!I471)</x:f>
      </x:c>
      <x:c r="C471" t="str">
        <x:f>IF(CaseLedger!$A471="","",CaseLedger!J471)</x:f>
      </x:c>
      <x:c r="D471" t="str">
        <x:f>IF(CaseLedger!$A471="","",CaseLedger!K471)</x:f>
      </x:c>
      <x:c r="E471" t="str">
        <x:f>IF(CaseLedger!$A471="","",CaseLedger!L471)</x:f>
      </x:c>
      <x:c r="F471" t="str">
        <x:f>IF(CaseLedger!$A471="","",CaseLedger!P471)</x:f>
      </x:c>
      <x:c r="G471" t="str">
        <x:f>IF(CaseLedger!$A471="","",CaseLedger!F471)</x:f>
      </x:c>
      <x:c r="H471" t="str">
        <x:f>IF(CaseLedger!$A471="","",CaseLedger!Q471)</x:f>
      </x:c>
      <x:c r="I471" t="str">
        <x:f>IF(CaseLedger!$A471="","",CaseLedger!R471)</x:f>
      </x:c>
      <x:c r="J471" t="str">
        <x:f>IF(CaseLedger!$A471="","",CaseLedger!S471)</x:f>
      </x:c>
      <x:c r="K471" t="str">
        <x:f>IF(CaseLedger!$A471="","",CaseLedger!T471)</x:f>
      </x:c>
      <x:c r="L471" t="str">
        <x:f>IF(CaseLedger!$A471="","",CaseLedger!U471)</x:f>
      </x:c>
      <x:c r="M471" t="str">
        <x:f>IF(CaseLedger!$A471="","",CaseLedger!V471)</x:f>
      </x:c>
      <x:c r="N471" t="str">
        <x:f>IF(CaseLedger!$A471="","",CaseLedger!W471)</x:f>
      </x:c>
      <x:c r="O471" t="str">
        <x:f>IF(CaseLedger!$A471="","",CaseLedger!X471)</x:f>
      </x:c>
      <x:c r="P471" t="str">
        <x:f>IF(CaseLedger!$A471="","",CaseLedger!E471)</x:f>
      </x:c>
      <x:c r="Q471" t="str">
        <x:f>IF(CaseLedger!$A471="","",CaseLedger!C471)</x:f>
      </x:c>
      <x:c r="R471" t="str">
        <x:f>IF(CaseLedger!$A471="","",CaseLedger!D471)</x:f>
      </x:c>
      <x:c r="S471" t="str">
        <x:f>IFERROR(IF(CaseLedger!$A471="","",CaseLedger!Y471),"")</x:f>
      </x:c>
      <x:c r="T471" t="str">
        <x:f>IFERROR(IF(CaseLedger!$A471="","",CaseLedger!Z471),"")</x:f>
      </x:c>
      <x:c r="U471" t="str">
        <x:f>IFERROR(IF(CaseLedger!$A471="","",CaseLedger!AA471),"")</x:f>
      </x:c>
      <x:c r="V471" t="str">
        <x:f>IFERROR(IF(CaseLedger!$A471="","",CaseLedger!AB471),"")</x:f>
      </x:c>
      <x:c r="W471" t="str">
        <x:f>IFERROR(IF(CaseLedger!$A471="","",CaseLedger!AC471),"")</x:f>
      </x:c>
      <x:c r="X471" t="str">
        <x:f>IFERROR(IF(CaseLedger!$A471="","",CaseLedger!AD471),"")</x:f>
      </x:c>
      <x:c r="Y471" t="str">
        <x:f>IFERROR(IF(CaseLedger!$A471="","",CaseLedger!AE471),"")</x:f>
      </x:c>
      <x:c r="Z471" t="str">
        <x:f>IFERROR(IF(CaseLedger!$A471="","",CaseLedger!AF471),"")</x:f>
      </x:c>
      <x:c r="AA471" t="str">
        <x:f>IFERROR(IF(CaseLedger!$A471="","",CaseLedger!AG471),"")</x:f>
      </x:c>
      <x:c r="AB471" t="str">
        <x:f>IFERROR(IF(CaseLedger!$A471="","",CaseLedger!AH471),"")</x:f>
      </x:c>
      <x:c r="AC471" t="str">
        <x:f>IFERROR(IF(CaseLedger!$A471="","",CaseLedger!AI471),"")</x:f>
      </x:c>
    </x:row>
    <x:row r="472">
      <x:c r="A472" t="str">
        <x:f>IF(CaseLedger!$A472="","",CaseLedger!A472)</x:f>
      </x:c>
      <x:c r="B472" t="str">
        <x:f>IF(CaseLedger!$A472="","",CaseLedger!I472)</x:f>
      </x:c>
      <x:c r="C472" t="str">
        <x:f>IF(CaseLedger!$A472="","",CaseLedger!J472)</x:f>
      </x:c>
      <x:c r="D472" t="str">
        <x:f>IF(CaseLedger!$A472="","",CaseLedger!K472)</x:f>
      </x:c>
      <x:c r="E472" t="str">
        <x:f>IF(CaseLedger!$A472="","",CaseLedger!L472)</x:f>
      </x:c>
      <x:c r="F472" t="str">
        <x:f>IF(CaseLedger!$A472="","",CaseLedger!P472)</x:f>
      </x:c>
      <x:c r="G472" t="str">
        <x:f>IF(CaseLedger!$A472="","",CaseLedger!F472)</x:f>
      </x:c>
      <x:c r="H472" t="str">
        <x:f>IF(CaseLedger!$A472="","",CaseLedger!Q472)</x:f>
      </x:c>
      <x:c r="I472" t="str">
        <x:f>IF(CaseLedger!$A472="","",CaseLedger!R472)</x:f>
      </x:c>
      <x:c r="J472" t="str">
        <x:f>IF(CaseLedger!$A472="","",CaseLedger!S472)</x:f>
      </x:c>
      <x:c r="K472" t="str">
        <x:f>IF(CaseLedger!$A472="","",CaseLedger!T472)</x:f>
      </x:c>
      <x:c r="L472" t="str">
        <x:f>IF(CaseLedger!$A472="","",CaseLedger!U472)</x:f>
      </x:c>
      <x:c r="M472" t="str">
        <x:f>IF(CaseLedger!$A472="","",CaseLedger!V472)</x:f>
      </x:c>
      <x:c r="N472" t="str">
        <x:f>IF(CaseLedger!$A472="","",CaseLedger!W472)</x:f>
      </x:c>
      <x:c r="O472" t="str">
        <x:f>IF(CaseLedger!$A472="","",CaseLedger!X472)</x:f>
      </x:c>
      <x:c r="P472" t="str">
        <x:f>IF(CaseLedger!$A472="","",CaseLedger!E472)</x:f>
      </x:c>
      <x:c r="Q472" t="str">
        <x:f>IF(CaseLedger!$A472="","",CaseLedger!C472)</x:f>
      </x:c>
      <x:c r="R472" t="str">
        <x:f>IF(CaseLedger!$A472="","",CaseLedger!D472)</x:f>
      </x:c>
      <x:c r="S472" t="str">
        <x:f>IFERROR(IF(CaseLedger!$A472="","",CaseLedger!Y472),"")</x:f>
      </x:c>
      <x:c r="T472" t="str">
        <x:f>IFERROR(IF(CaseLedger!$A472="","",CaseLedger!Z472),"")</x:f>
      </x:c>
      <x:c r="U472" t="str">
        <x:f>IFERROR(IF(CaseLedger!$A472="","",CaseLedger!AA472),"")</x:f>
      </x:c>
      <x:c r="V472" t="str">
        <x:f>IFERROR(IF(CaseLedger!$A472="","",CaseLedger!AB472),"")</x:f>
      </x:c>
      <x:c r="W472" t="str">
        <x:f>IFERROR(IF(CaseLedger!$A472="","",CaseLedger!AC472),"")</x:f>
      </x:c>
      <x:c r="X472" t="str">
        <x:f>IFERROR(IF(CaseLedger!$A472="","",CaseLedger!AD472),"")</x:f>
      </x:c>
      <x:c r="Y472" t="str">
        <x:f>IFERROR(IF(CaseLedger!$A472="","",CaseLedger!AE472),"")</x:f>
      </x:c>
      <x:c r="Z472" t="str">
        <x:f>IFERROR(IF(CaseLedger!$A472="","",CaseLedger!AF472),"")</x:f>
      </x:c>
      <x:c r="AA472" t="str">
        <x:f>IFERROR(IF(CaseLedger!$A472="","",CaseLedger!AG472),"")</x:f>
      </x:c>
      <x:c r="AB472" t="str">
        <x:f>IFERROR(IF(CaseLedger!$A472="","",CaseLedger!AH472),"")</x:f>
      </x:c>
      <x:c r="AC472" t="str">
        <x:f>IFERROR(IF(CaseLedger!$A472="","",CaseLedger!AI472),"")</x:f>
      </x:c>
    </x:row>
    <x:row r="473">
      <x:c r="A473" t="str">
        <x:f>IF(CaseLedger!$A473="","",CaseLedger!A473)</x:f>
      </x:c>
      <x:c r="B473" t="str">
        <x:f>IF(CaseLedger!$A473="","",CaseLedger!I473)</x:f>
      </x:c>
      <x:c r="C473" t="str">
        <x:f>IF(CaseLedger!$A473="","",CaseLedger!J473)</x:f>
      </x:c>
      <x:c r="D473" t="str">
        <x:f>IF(CaseLedger!$A473="","",CaseLedger!K473)</x:f>
      </x:c>
      <x:c r="E473" t="str">
        <x:f>IF(CaseLedger!$A473="","",CaseLedger!L473)</x:f>
      </x:c>
      <x:c r="F473" t="str">
        <x:f>IF(CaseLedger!$A473="","",CaseLedger!P473)</x:f>
      </x:c>
      <x:c r="G473" t="str">
        <x:f>IF(CaseLedger!$A473="","",CaseLedger!F473)</x:f>
      </x:c>
      <x:c r="H473" t="str">
        <x:f>IF(CaseLedger!$A473="","",CaseLedger!Q473)</x:f>
      </x:c>
      <x:c r="I473" t="str">
        <x:f>IF(CaseLedger!$A473="","",CaseLedger!R473)</x:f>
      </x:c>
      <x:c r="J473" t="str">
        <x:f>IF(CaseLedger!$A473="","",CaseLedger!S473)</x:f>
      </x:c>
      <x:c r="K473" t="str">
        <x:f>IF(CaseLedger!$A473="","",CaseLedger!T473)</x:f>
      </x:c>
      <x:c r="L473" t="str">
        <x:f>IF(CaseLedger!$A473="","",CaseLedger!U473)</x:f>
      </x:c>
      <x:c r="M473" t="str">
        <x:f>IF(CaseLedger!$A473="","",CaseLedger!V473)</x:f>
      </x:c>
      <x:c r="N473" t="str">
        <x:f>IF(CaseLedger!$A473="","",CaseLedger!W473)</x:f>
      </x:c>
      <x:c r="O473" t="str">
        <x:f>IF(CaseLedger!$A473="","",CaseLedger!X473)</x:f>
      </x:c>
      <x:c r="P473" t="str">
        <x:f>IF(CaseLedger!$A473="","",CaseLedger!E473)</x:f>
      </x:c>
      <x:c r="Q473" t="str">
        <x:f>IF(CaseLedger!$A473="","",CaseLedger!C473)</x:f>
      </x:c>
      <x:c r="R473" t="str">
        <x:f>IF(CaseLedger!$A473="","",CaseLedger!D473)</x:f>
      </x:c>
      <x:c r="S473" t="str">
        <x:f>IFERROR(IF(CaseLedger!$A473="","",CaseLedger!Y473),"")</x:f>
      </x:c>
      <x:c r="T473" t="str">
        <x:f>IFERROR(IF(CaseLedger!$A473="","",CaseLedger!Z473),"")</x:f>
      </x:c>
      <x:c r="U473" t="str">
        <x:f>IFERROR(IF(CaseLedger!$A473="","",CaseLedger!AA473),"")</x:f>
      </x:c>
      <x:c r="V473" t="str">
        <x:f>IFERROR(IF(CaseLedger!$A473="","",CaseLedger!AB473),"")</x:f>
      </x:c>
      <x:c r="W473" t="str">
        <x:f>IFERROR(IF(CaseLedger!$A473="","",CaseLedger!AC473),"")</x:f>
      </x:c>
      <x:c r="X473" t="str">
        <x:f>IFERROR(IF(CaseLedger!$A473="","",CaseLedger!AD473),"")</x:f>
      </x:c>
      <x:c r="Y473" t="str">
        <x:f>IFERROR(IF(CaseLedger!$A473="","",CaseLedger!AE473),"")</x:f>
      </x:c>
      <x:c r="Z473" t="str">
        <x:f>IFERROR(IF(CaseLedger!$A473="","",CaseLedger!AF473),"")</x:f>
      </x:c>
      <x:c r="AA473" t="str">
        <x:f>IFERROR(IF(CaseLedger!$A473="","",CaseLedger!AG473),"")</x:f>
      </x:c>
      <x:c r="AB473" t="str">
        <x:f>IFERROR(IF(CaseLedger!$A473="","",CaseLedger!AH473),"")</x:f>
      </x:c>
      <x:c r="AC473" t="str">
        <x:f>IFERROR(IF(CaseLedger!$A473="","",CaseLedger!AI473),"")</x:f>
      </x:c>
    </x:row>
    <x:row r="474">
      <x:c r="A474" t="str">
        <x:f>IF(CaseLedger!$A474="","",CaseLedger!A474)</x:f>
      </x:c>
      <x:c r="B474" t="str">
        <x:f>IF(CaseLedger!$A474="","",CaseLedger!I474)</x:f>
      </x:c>
      <x:c r="C474" t="str">
        <x:f>IF(CaseLedger!$A474="","",CaseLedger!J474)</x:f>
      </x:c>
      <x:c r="D474" t="str">
        <x:f>IF(CaseLedger!$A474="","",CaseLedger!K474)</x:f>
      </x:c>
      <x:c r="E474" t="str">
        <x:f>IF(CaseLedger!$A474="","",CaseLedger!L474)</x:f>
      </x:c>
      <x:c r="F474" t="str">
        <x:f>IF(CaseLedger!$A474="","",CaseLedger!P474)</x:f>
      </x:c>
      <x:c r="G474" t="str">
        <x:f>IF(CaseLedger!$A474="","",CaseLedger!F474)</x:f>
      </x:c>
      <x:c r="H474" t="str">
        <x:f>IF(CaseLedger!$A474="","",CaseLedger!Q474)</x:f>
      </x:c>
      <x:c r="I474" t="str">
        <x:f>IF(CaseLedger!$A474="","",CaseLedger!R474)</x:f>
      </x:c>
      <x:c r="J474" t="str">
        <x:f>IF(CaseLedger!$A474="","",CaseLedger!S474)</x:f>
      </x:c>
      <x:c r="K474" t="str">
        <x:f>IF(CaseLedger!$A474="","",CaseLedger!T474)</x:f>
      </x:c>
      <x:c r="L474" t="str">
        <x:f>IF(CaseLedger!$A474="","",CaseLedger!U474)</x:f>
      </x:c>
      <x:c r="M474" t="str">
        <x:f>IF(CaseLedger!$A474="","",CaseLedger!V474)</x:f>
      </x:c>
      <x:c r="N474" t="str">
        <x:f>IF(CaseLedger!$A474="","",CaseLedger!W474)</x:f>
      </x:c>
      <x:c r="O474" t="str">
        <x:f>IF(CaseLedger!$A474="","",CaseLedger!X474)</x:f>
      </x:c>
      <x:c r="P474" t="str">
        <x:f>IF(CaseLedger!$A474="","",CaseLedger!E474)</x:f>
      </x:c>
      <x:c r="Q474" t="str">
        <x:f>IF(CaseLedger!$A474="","",CaseLedger!C474)</x:f>
      </x:c>
      <x:c r="R474" t="str">
        <x:f>IF(CaseLedger!$A474="","",CaseLedger!D474)</x:f>
      </x:c>
      <x:c r="S474" t="str">
        <x:f>IFERROR(IF(CaseLedger!$A474="","",CaseLedger!Y474),"")</x:f>
      </x:c>
      <x:c r="T474" t="str">
        <x:f>IFERROR(IF(CaseLedger!$A474="","",CaseLedger!Z474),"")</x:f>
      </x:c>
      <x:c r="U474" t="str">
        <x:f>IFERROR(IF(CaseLedger!$A474="","",CaseLedger!AA474),"")</x:f>
      </x:c>
      <x:c r="V474" t="str">
        <x:f>IFERROR(IF(CaseLedger!$A474="","",CaseLedger!AB474),"")</x:f>
      </x:c>
      <x:c r="W474" t="str">
        <x:f>IFERROR(IF(CaseLedger!$A474="","",CaseLedger!AC474),"")</x:f>
      </x:c>
      <x:c r="X474" t="str">
        <x:f>IFERROR(IF(CaseLedger!$A474="","",CaseLedger!AD474),"")</x:f>
      </x:c>
      <x:c r="Y474" t="str">
        <x:f>IFERROR(IF(CaseLedger!$A474="","",CaseLedger!AE474),"")</x:f>
      </x:c>
      <x:c r="Z474" t="str">
        <x:f>IFERROR(IF(CaseLedger!$A474="","",CaseLedger!AF474),"")</x:f>
      </x:c>
      <x:c r="AA474" t="str">
        <x:f>IFERROR(IF(CaseLedger!$A474="","",CaseLedger!AG474),"")</x:f>
      </x:c>
      <x:c r="AB474" t="str">
        <x:f>IFERROR(IF(CaseLedger!$A474="","",CaseLedger!AH474),"")</x:f>
      </x:c>
      <x:c r="AC474" t="str">
        <x:f>IFERROR(IF(CaseLedger!$A474="","",CaseLedger!AI474),"")</x:f>
      </x:c>
    </x:row>
    <x:row r="475">
      <x:c r="A475" t="str">
        <x:f>IF(CaseLedger!$A475="","",CaseLedger!A475)</x:f>
      </x:c>
      <x:c r="B475" t="str">
        <x:f>IF(CaseLedger!$A475="","",CaseLedger!I475)</x:f>
      </x:c>
      <x:c r="C475" t="str">
        <x:f>IF(CaseLedger!$A475="","",CaseLedger!J475)</x:f>
      </x:c>
      <x:c r="D475" t="str">
        <x:f>IF(CaseLedger!$A475="","",CaseLedger!K475)</x:f>
      </x:c>
      <x:c r="E475" t="str">
        <x:f>IF(CaseLedger!$A475="","",CaseLedger!L475)</x:f>
      </x:c>
      <x:c r="F475" t="str">
        <x:f>IF(CaseLedger!$A475="","",CaseLedger!P475)</x:f>
      </x:c>
      <x:c r="G475" t="str">
        <x:f>IF(CaseLedger!$A475="","",CaseLedger!F475)</x:f>
      </x:c>
      <x:c r="H475" t="str">
        <x:f>IF(CaseLedger!$A475="","",CaseLedger!Q475)</x:f>
      </x:c>
      <x:c r="I475" t="str">
        <x:f>IF(CaseLedger!$A475="","",CaseLedger!R475)</x:f>
      </x:c>
      <x:c r="J475" t="str">
        <x:f>IF(CaseLedger!$A475="","",CaseLedger!S475)</x:f>
      </x:c>
      <x:c r="K475" t="str">
        <x:f>IF(CaseLedger!$A475="","",CaseLedger!T475)</x:f>
      </x:c>
      <x:c r="L475" t="str">
        <x:f>IF(CaseLedger!$A475="","",CaseLedger!U475)</x:f>
      </x:c>
      <x:c r="M475" t="str">
        <x:f>IF(CaseLedger!$A475="","",CaseLedger!V475)</x:f>
      </x:c>
      <x:c r="N475" t="str">
        <x:f>IF(CaseLedger!$A475="","",CaseLedger!W475)</x:f>
      </x:c>
      <x:c r="O475" t="str">
        <x:f>IF(CaseLedger!$A475="","",CaseLedger!X475)</x:f>
      </x:c>
      <x:c r="P475" t="str">
        <x:f>IF(CaseLedger!$A475="","",CaseLedger!E475)</x:f>
      </x:c>
      <x:c r="Q475" t="str">
        <x:f>IF(CaseLedger!$A475="","",CaseLedger!C475)</x:f>
      </x:c>
      <x:c r="R475" t="str">
        <x:f>IF(CaseLedger!$A475="","",CaseLedger!D475)</x:f>
      </x:c>
      <x:c r="S475" t="str">
        <x:f>IFERROR(IF(CaseLedger!$A475="","",CaseLedger!Y475),"")</x:f>
      </x:c>
      <x:c r="T475" t="str">
        <x:f>IFERROR(IF(CaseLedger!$A475="","",CaseLedger!Z475),"")</x:f>
      </x:c>
      <x:c r="U475" t="str">
        <x:f>IFERROR(IF(CaseLedger!$A475="","",CaseLedger!AA475),"")</x:f>
      </x:c>
      <x:c r="V475" t="str">
        <x:f>IFERROR(IF(CaseLedger!$A475="","",CaseLedger!AB475),"")</x:f>
      </x:c>
      <x:c r="W475" t="str">
        <x:f>IFERROR(IF(CaseLedger!$A475="","",CaseLedger!AC475),"")</x:f>
      </x:c>
      <x:c r="X475" t="str">
        <x:f>IFERROR(IF(CaseLedger!$A475="","",CaseLedger!AD475),"")</x:f>
      </x:c>
      <x:c r="Y475" t="str">
        <x:f>IFERROR(IF(CaseLedger!$A475="","",CaseLedger!AE475),"")</x:f>
      </x:c>
      <x:c r="Z475" t="str">
        <x:f>IFERROR(IF(CaseLedger!$A475="","",CaseLedger!AF475),"")</x:f>
      </x:c>
      <x:c r="AA475" t="str">
        <x:f>IFERROR(IF(CaseLedger!$A475="","",CaseLedger!AG475),"")</x:f>
      </x:c>
      <x:c r="AB475" t="str">
        <x:f>IFERROR(IF(CaseLedger!$A475="","",CaseLedger!AH475),"")</x:f>
      </x:c>
      <x:c r="AC475" t="str">
        <x:f>IFERROR(IF(CaseLedger!$A475="","",CaseLedger!AI475),"")</x:f>
      </x:c>
    </x:row>
    <x:row r="476">
      <x:c r="A476" t="str">
        <x:f>IF(CaseLedger!$A476="","",CaseLedger!A476)</x:f>
      </x:c>
      <x:c r="B476" t="str">
        <x:f>IF(CaseLedger!$A476="","",CaseLedger!I476)</x:f>
      </x:c>
      <x:c r="C476" t="str">
        <x:f>IF(CaseLedger!$A476="","",CaseLedger!J476)</x:f>
      </x:c>
      <x:c r="D476" t="str">
        <x:f>IF(CaseLedger!$A476="","",CaseLedger!K476)</x:f>
      </x:c>
      <x:c r="E476" t="str">
        <x:f>IF(CaseLedger!$A476="","",CaseLedger!L476)</x:f>
      </x:c>
      <x:c r="F476" t="str">
        <x:f>IF(CaseLedger!$A476="","",CaseLedger!P476)</x:f>
      </x:c>
      <x:c r="G476" t="str">
        <x:f>IF(CaseLedger!$A476="","",CaseLedger!F476)</x:f>
      </x:c>
      <x:c r="H476" t="str">
        <x:f>IF(CaseLedger!$A476="","",CaseLedger!Q476)</x:f>
      </x:c>
      <x:c r="I476" t="str">
        <x:f>IF(CaseLedger!$A476="","",CaseLedger!R476)</x:f>
      </x:c>
      <x:c r="J476" t="str">
        <x:f>IF(CaseLedger!$A476="","",CaseLedger!S476)</x:f>
      </x:c>
      <x:c r="K476" t="str">
        <x:f>IF(CaseLedger!$A476="","",CaseLedger!T476)</x:f>
      </x:c>
      <x:c r="L476" t="str">
        <x:f>IF(CaseLedger!$A476="","",CaseLedger!U476)</x:f>
      </x:c>
      <x:c r="M476" t="str">
        <x:f>IF(CaseLedger!$A476="","",CaseLedger!V476)</x:f>
      </x:c>
      <x:c r="N476" t="str">
        <x:f>IF(CaseLedger!$A476="","",CaseLedger!W476)</x:f>
      </x:c>
      <x:c r="O476" t="str">
        <x:f>IF(CaseLedger!$A476="","",CaseLedger!X476)</x:f>
      </x:c>
      <x:c r="P476" t="str">
        <x:f>IF(CaseLedger!$A476="","",CaseLedger!E476)</x:f>
      </x:c>
      <x:c r="Q476" t="str">
        <x:f>IF(CaseLedger!$A476="","",CaseLedger!C476)</x:f>
      </x:c>
      <x:c r="R476" t="str">
        <x:f>IF(CaseLedger!$A476="","",CaseLedger!D476)</x:f>
      </x:c>
      <x:c r="S476" t="str">
        <x:f>IFERROR(IF(CaseLedger!$A476="","",CaseLedger!Y476),"")</x:f>
      </x:c>
      <x:c r="T476" t="str">
        <x:f>IFERROR(IF(CaseLedger!$A476="","",CaseLedger!Z476),"")</x:f>
      </x:c>
      <x:c r="U476" t="str">
        <x:f>IFERROR(IF(CaseLedger!$A476="","",CaseLedger!AA476),"")</x:f>
      </x:c>
      <x:c r="V476" t="str">
        <x:f>IFERROR(IF(CaseLedger!$A476="","",CaseLedger!AB476),"")</x:f>
      </x:c>
      <x:c r="W476" t="str">
        <x:f>IFERROR(IF(CaseLedger!$A476="","",CaseLedger!AC476),"")</x:f>
      </x:c>
      <x:c r="X476" t="str">
        <x:f>IFERROR(IF(CaseLedger!$A476="","",CaseLedger!AD476),"")</x:f>
      </x:c>
      <x:c r="Y476" t="str">
        <x:f>IFERROR(IF(CaseLedger!$A476="","",CaseLedger!AE476),"")</x:f>
      </x:c>
      <x:c r="Z476" t="str">
        <x:f>IFERROR(IF(CaseLedger!$A476="","",CaseLedger!AF476),"")</x:f>
      </x:c>
      <x:c r="AA476" t="str">
        <x:f>IFERROR(IF(CaseLedger!$A476="","",CaseLedger!AG476),"")</x:f>
      </x:c>
      <x:c r="AB476" t="str">
        <x:f>IFERROR(IF(CaseLedger!$A476="","",CaseLedger!AH476),"")</x:f>
      </x:c>
      <x:c r="AC476" t="str">
        <x:f>IFERROR(IF(CaseLedger!$A476="","",CaseLedger!AI476),"")</x:f>
      </x:c>
    </x:row>
    <x:row r="477">
      <x:c r="A477" t="str">
        <x:f>IF(CaseLedger!$A477="","",CaseLedger!A477)</x:f>
      </x:c>
      <x:c r="B477" t="str">
        <x:f>IF(CaseLedger!$A477="","",CaseLedger!I477)</x:f>
      </x:c>
      <x:c r="C477" t="str">
        <x:f>IF(CaseLedger!$A477="","",CaseLedger!J477)</x:f>
      </x:c>
      <x:c r="D477" t="str">
        <x:f>IF(CaseLedger!$A477="","",CaseLedger!K477)</x:f>
      </x:c>
      <x:c r="E477" t="str">
        <x:f>IF(CaseLedger!$A477="","",CaseLedger!L477)</x:f>
      </x:c>
      <x:c r="F477" t="str">
        <x:f>IF(CaseLedger!$A477="","",CaseLedger!P477)</x:f>
      </x:c>
      <x:c r="G477" t="str">
        <x:f>IF(CaseLedger!$A477="","",CaseLedger!F477)</x:f>
      </x:c>
      <x:c r="H477" t="str">
        <x:f>IF(CaseLedger!$A477="","",CaseLedger!Q477)</x:f>
      </x:c>
      <x:c r="I477" t="str">
        <x:f>IF(CaseLedger!$A477="","",CaseLedger!R477)</x:f>
      </x:c>
      <x:c r="J477" t="str">
        <x:f>IF(CaseLedger!$A477="","",CaseLedger!S477)</x:f>
      </x:c>
      <x:c r="K477" t="str">
        <x:f>IF(CaseLedger!$A477="","",CaseLedger!T477)</x:f>
      </x:c>
      <x:c r="L477" t="str">
        <x:f>IF(CaseLedger!$A477="","",CaseLedger!U477)</x:f>
      </x:c>
      <x:c r="M477" t="str">
        <x:f>IF(CaseLedger!$A477="","",CaseLedger!V477)</x:f>
      </x:c>
      <x:c r="N477" t="str">
        <x:f>IF(CaseLedger!$A477="","",CaseLedger!W477)</x:f>
      </x:c>
      <x:c r="O477" t="str">
        <x:f>IF(CaseLedger!$A477="","",CaseLedger!X477)</x:f>
      </x:c>
      <x:c r="P477" t="str">
        <x:f>IF(CaseLedger!$A477="","",CaseLedger!E477)</x:f>
      </x:c>
      <x:c r="Q477" t="str">
        <x:f>IF(CaseLedger!$A477="","",CaseLedger!C477)</x:f>
      </x:c>
      <x:c r="R477" t="str">
        <x:f>IF(CaseLedger!$A477="","",CaseLedger!D477)</x:f>
      </x:c>
      <x:c r="S477" t="str">
        <x:f>IFERROR(IF(CaseLedger!$A477="","",CaseLedger!Y477),"")</x:f>
      </x:c>
      <x:c r="T477" t="str">
        <x:f>IFERROR(IF(CaseLedger!$A477="","",CaseLedger!Z477),"")</x:f>
      </x:c>
      <x:c r="U477" t="str">
        <x:f>IFERROR(IF(CaseLedger!$A477="","",CaseLedger!AA477),"")</x:f>
      </x:c>
      <x:c r="V477" t="str">
        <x:f>IFERROR(IF(CaseLedger!$A477="","",CaseLedger!AB477),"")</x:f>
      </x:c>
      <x:c r="W477" t="str">
        <x:f>IFERROR(IF(CaseLedger!$A477="","",CaseLedger!AC477),"")</x:f>
      </x:c>
      <x:c r="X477" t="str">
        <x:f>IFERROR(IF(CaseLedger!$A477="","",CaseLedger!AD477),"")</x:f>
      </x:c>
      <x:c r="Y477" t="str">
        <x:f>IFERROR(IF(CaseLedger!$A477="","",CaseLedger!AE477),"")</x:f>
      </x:c>
      <x:c r="Z477" t="str">
        <x:f>IFERROR(IF(CaseLedger!$A477="","",CaseLedger!AF477),"")</x:f>
      </x:c>
      <x:c r="AA477" t="str">
        <x:f>IFERROR(IF(CaseLedger!$A477="","",CaseLedger!AG477),"")</x:f>
      </x:c>
      <x:c r="AB477" t="str">
        <x:f>IFERROR(IF(CaseLedger!$A477="","",CaseLedger!AH477),"")</x:f>
      </x:c>
      <x:c r="AC477" t="str">
        <x:f>IFERROR(IF(CaseLedger!$A477="","",CaseLedger!AI477),"")</x:f>
      </x:c>
    </x:row>
    <x:row r="478">
      <x:c r="A478" t="str">
        <x:f>IF(CaseLedger!$A478="","",CaseLedger!A478)</x:f>
      </x:c>
      <x:c r="B478" t="str">
        <x:f>IF(CaseLedger!$A478="","",CaseLedger!I478)</x:f>
      </x:c>
      <x:c r="C478" t="str">
        <x:f>IF(CaseLedger!$A478="","",CaseLedger!J478)</x:f>
      </x:c>
      <x:c r="D478" t="str">
        <x:f>IF(CaseLedger!$A478="","",CaseLedger!K478)</x:f>
      </x:c>
      <x:c r="E478" t="str">
        <x:f>IF(CaseLedger!$A478="","",CaseLedger!L478)</x:f>
      </x:c>
      <x:c r="F478" t="str">
        <x:f>IF(CaseLedger!$A478="","",CaseLedger!P478)</x:f>
      </x:c>
      <x:c r="G478" t="str">
        <x:f>IF(CaseLedger!$A478="","",CaseLedger!F478)</x:f>
      </x:c>
      <x:c r="H478" t="str">
        <x:f>IF(CaseLedger!$A478="","",CaseLedger!Q478)</x:f>
      </x:c>
      <x:c r="I478" t="str">
        <x:f>IF(CaseLedger!$A478="","",CaseLedger!R478)</x:f>
      </x:c>
      <x:c r="J478" t="str">
        <x:f>IF(CaseLedger!$A478="","",CaseLedger!S478)</x:f>
      </x:c>
      <x:c r="K478" t="str">
        <x:f>IF(CaseLedger!$A478="","",CaseLedger!T478)</x:f>
      </x:c>
      <x:c r="L478" t="str">
        <x:f>IF(CaseLedger!$A478="","",CaseLedger!U478)</x:f>
      </x:c>
      <x:c r="M478" t="str">
        <x:f>IF(CaseLedger!$A478="","",CaseLedger!V478)</x:f>
      </x:c>
      <x:c r="N478" t="str">
        <x:f>IF(CaseLedger!$A478="","",CaseLedger!W478)</x:f>
      </x:c>
      <x:c r="O478" t="str">
        <x:f>IF(CaseLedger!$A478="","",CaseLedger!X478)</x:f>
      </x:c>
      <x:c r="P478" t="str">
        <x:f>IF(CaseLedger!$A478="","",CaseLedger!E478)</x:f>
      </x:c>
      <x:c r="Q478" t="str">
        <x:f>IF(CaseLedger!$A478="","",CaseLedger!C478)</x:f>
      </x:c>
      <x:c r="R478" t="str">
        <x:f>IF(CaseLedger!$A478="","",CaseLedger!D478)</x:f>
      </x:c>
      <x:c r="S478" t="str">
        <x:f>IFERROR(IF(CaseLedger!$A478="","",CaseLedger!Y478),"")</x:f>
      </x:c>
      <x:c r="T478" t="str">
        <x:f>IFERROR(IF(CaseLedger!$A478="","",CaseLedger!Z478),"")</x:f>
      </x:c>
      <x:c r="U478" t="str">
        <x:f>IFERROR(IF(CaseLedger!$A478="","",CaseLedger!AA478),"")</x:f>
      </x:c>
      <x:c r="V478" t="str">
        <x:f>IFERROR(IF(CaseLedger!$A478="","",CaseLedger!AB478),"")</x:f>
      </x:c>
      <x:c r="W478" t="str">
        <x:f>IFERROR(IF(CaseLedger!$A478="","",CaseLedger!AC478),"")</x:f>
      </x:c>
      <x:c r="X478" t="str">
        <x:f>IFERROR(IF(CaseLedger!$A478="","",CaseLedger!AD478),"")</x:f>
      </x:c>
      <x:c r="Y478" t="str">
        <x:f>IFERROR(IF(CaseLedger!$A478="","",CaseLedger!AE478),"")</x:f>
      </x:c>
      <x:c r="Z478" t="str">
        <x:f>IFERROR(IF(CaseLedger!$A478="","",CaseLedger!AF478),"")</x:f>
      </x:c>
      <x:c r="AA478" t="str">
        <x:f>IFERROR(IF(CaseLedger!$A478="","",CaseLedger!AG478),"")</x:f>
      </x:c>
      <x:c r="AB478" t="str">
        <x:f>IFERROR(IF(CaseLedger!$A478="","",CaseLedger!AH478),"")</x:f>
      </x:c>
      <x:c r="AC478" t="str">
        <x:f>IFERROR(IF(CaseLedger!$A478="","",CaseLedger!AI478),"")</x:f>
      </x:c>
    </x:row>
    <x:row r="479">
      <x:c r="A479" t="str">
        <x:f>IF(CaseLedger!$A479="","",CaseLedger!A479)</x:f>
      </x:c>
      <x:c r="B479" t="str">
        <x:f>IF(CaseLedger!$A479="","",CaseLedger!I479)</x:f>
      </x:c>
      <x:c r="C479" t="str">
        <x:f>IF(CaseLedger!$A479="","",CaseLedger!J479)</x:f>
      </x:c>
      <x:c r="D479" t="str">
        <x:f>IF(CaseLedger!$A479="","",CaseLedger!K479)</x:f>
      </x:c>
      <x:c r="E479" t="str">
        <x:f>IF(CaseLedger!$A479="","",CaseLedger!L479)</x:f>
      </x:c>
      <x:c r="F479" t="str">
        <x:f>IF(CaseLedger!$A479="","",CaseLedger!P479)</x:f>
      </x:c>
      <x:c r="G479" t="str">
        <x:f>IF(CaseLedger!$A479="","",CaseLedger!F479)</x:f>
      </x:c>
      <x:c r="H479" t="str">
        <x:f>IF(CaseLedger!$A479="","",CaseLedger!Q479)</x:f>
      </x:c>
      <x:c r="I479" t="str">
        <x:f>IF(CaseLedger!$A479="","",CaseLedger!R479)</x:f>
      </x:c>
      <x:c r="J479" t="str">
        <x:f>IF(CaseLedger!$A479="","",CaseLedger!S479)</x:f>
      </x:c>
      <x:c r="K479" t="str">
        <x:f>IF(CaseLedger!$A479="","",CaseLedger!T479)</x:f>
      </x:c>
      <x:c r="L479" t="str">
        <x:f>IF(CaseLedger!$A479="","",CaseLedger!U479)</x:f>
      </x:c>
      <x:c r="M479" t="str">
        <x:f>IF(CaseLedger!$A479="","",CaseLedger!V479)</x:f>
      </x:c>
      <x:c r="N479" t="str">
        <x:f>IF(CaseLedger!$A479="","",CaseLedger!W479)</x:f>
      </x:c>
      <x:c r="O479" t="str">
        <x:f>IF(CaseLedger!$A479="","",CaseLedger!X479)</x:f>
      </x:c>
      <x:c r="P479" t="str">
        <x:f>IF(CaseLedger!$A479="","",CaseLedger!E479)</x:f>
      </x:c>
      <x:c r="Q479" t="str">
        <x:f>IF(CaseLedger!$A479="","",CaseLedger!C479)</x:f>
      </x:c>
      <x:c r="R479" t="str">
        <x:f>IF(CaseLedger!$A479="","",CaseLedger!D479)</x:f>
      </x:c>
      <x:c r="S479" t="str">
        <x:f>IFERROR(IF(CaseLedger!$A479="","",CaseLedger!Y479),"")</x:f>
      </x:c>
      <x:c r="T479" t="str">
        <x:f>IFERROR(IF(CaseLedger!$A479="","",CaseLedger!Z479),"")</x:f>
      </x:c>
      <x:c r="U479" t="str">
        <x:f>IFERROR(IF(CaseLedger!$A479="","",CaseLedger!AA479),"")</x:f>
      </x:c>
      <x:c r="V479" t="str">
        <x:f>IFERROR(IF(CaseLedger!$A479="","",CaseLedger!AB479),"")</x:f>
      </x:c>
      <x:c r="W479" t="str">
        <x:f>IFERROR(IF(CaseLedger!$A479="","",CaseLedger!AC479),"")</x:f>
      </x:c>
      <x:c r="X479" t="str">
        <x:f>IFERROR(IF(CaseLedger!$A479="","",CaseLedger!AD479),"")</x:f>
      </x:c>
      <x:c r="Y479" t="str">
        <x:f>IFERROR(IF(CaseLedger!$A479="","",CaseLedger!AE479),"")</x:f>
      </x:c>
      <x:c r="Z479" t="str">
        <x:f>IFERROR(IF(CaseLedger!$A479="","",CaseLedger!AF479),"")</x:f>
      </x:c>
      <x:c r="AA479" t="str">
        <x:f>IFERROR(IF(CaseLedger!$A479="","",CaseLedger!AG479),"")</x:f>
      </x:c>
      <x:c r="AB479" t="str">
        <x:f>IFERROR(IF(CaseLedger!$A479="","",CaseLedger!AH479),"")</x:f>
      </x:c>
      <x:c r="AC479" t="str">
        <x:f>IFERROR(IF(CaseLedger!$A479="","",CaseLedger!AI479),"")</x:f>
      </x:c>
    </x:row>
    <x:row r="480">
      <x:c r="A480" t="str">
        <x:f>IF(CaseLedger!$A480="","",CaseLedger!A480)</x:f>
      </x:c>
      <x:c r="B480" t="str">
        <x:f>IF(CaseLedger!$A480="","",CaseLedger!I480)</x:f>
      </x:c>
      <x:c r="C480" t="str">
        <x:f>IF(CaseLedger!$A480="","",CaseLedger!J480)</x:f>
      </x:c>
      <x:c r="D480" t="str">
        <x:f>IF(CaseLedger!$A480="","",CaseLedger!K480)</x:f>
      </x:c>
      <x:c r="E480" t="str">
        <x:f>IF(CaseLedger!$A480="","",CaseLedger!L480)</x:f>
      </x:c>
      <x:c r="F480" t="str">
        <x:f>IF(CaseLedger!$A480="","",CaseLedger!P480)</x:f>
      </x:c>
      <x:c r="G480" t="str">
        <x:f>IF(CaseLedger!$A480="","",CaseLedger!F480)</x:f>
      </x:c>
      <x:c r="H480" t="str">
        <x:f>IF(CaseLedger!$A480="","",CaseLedger!Q480)</x:f>
      </x:c>
      <x:c r="I480" t="str">
        <x:f>IF(CaseLedger!$A480="","",CaseLedger!R480)</x:f>
      </x:c>
      <x:c r="J480" t="str">
        <x:f>IF(CaseLedger!$A480="","",CaseLedger!S480)</x:f>
      </x:c>
      <x:c r="K480" t="str">
        <x:f>IF(CaseLedger!$A480="","",CaseLedger!T480)</x:f>
      </x:c>
      <x:c r="L480" t="str">
        <x:f>IF(CaseLedger!$A480="","",CaseLedger!U480)</x:f>
      </x:c>
      <x:c r="M480" t="str">
        <x:f>IF(CaseLedger!$A480="","",CaseLedger!V480)</x:f>
      </x:c>
      <x:c r="N480" t="str">
        <x:f>IF(CaseLedger!$A480="","",CaseLedger!W480)</x:f>
      </x:c>
      <x:c r="O480" t="str">
        <x:f>IF(CaseLedger!$A480="","",CaseLedger!X480)</x:f>
      </x:c>
      <x:c r="P480" t="str">
        <x:f>IF(CaseLedger!$A480="","",CaseLedger!E480)</x:f>
      </x:c>
      <x:c r="Q480" t="str">
        <x:f>IF(CaseLedger!$A480="","",CaseLedger!C480)</x:f>
      </x:c>
      <x:c r="R480" t="str">
        <x:f>IF(CaseLedger!$A480="","",CaseLedger!D480)</x:f>
      </x:c>
      <x:c r="S480" t="str">
        <x:f>IFERROR(IF(CaseLedger!$A480="","",CaseLedger!Y480),"")</x:f>
      </x:c>
      <x:c r="T480" t="str">
        <x:f>IFERROR(IF(CaseLedger!$A480="","",CaseLedger!Z480),"")</x:f>
      </x:c>
      <x:c r="U480" t="str">
        <x:f>IFERROR(IF(CaseLedger!$A480="","",CaseLedger!AA480),"")</x:f>
      </x:c>
      <x:c r="V480" t="str">
        <x:f>IFERROR(IF(CaseLedger!$A480="","",CaseLedger!AB480),"")</x:f>
      </x:c>
      <x:c r="W480" t="str">
        <x:f>IFERROR(IF(CaseLedger!$A480="","",CaseLedger!AC480),"")</x:f>
      </x:c>
      <x:c r="X480" t="str">
        <x:f>IFERROR(IF(CaseLedger!$A480="","",CaseLedger!AD480),"")</x:f>
      </x:c>
      <x:c r="Y480" t="str">
        <x:f>IFERROR(IF(CaseLedger!$A480="","",CaseLedger!AE480),"")</x:f>
      </x:c>
      <x:c r="Z480" t="str">
        <x:f>IFERROR(IF(CaseLedger!$A480="","",CaseLedger!AF480),"")</x:f>
      </x:c>
      <x:c r="AA480" t="str">
        <x:f>IFERROR(IF(CaseLedger!$A480="","",CaseLedger!AG480),"")</x:f>
      </x:c>
      <x:c r="AB480" t="str">
        <x:f>IFERROR(IF(CaseLedger!$A480="","",CaseLedger!AH480),"")</x:f>
      </x:c>
      <x:c r="AC480" t="str">
        <x:f>IFERROR(IF(CaseLedger!$A480="","",CaseLedger!AI480),"")</x:f>
      </x:c>
    </x:row>
    <x:row r="481">
      <x:c r="A481" t="str">
        <x:f>IF(CaseLedger!$A481="","",CaseLedger!A481)</x:f>
      </x:c>
      <x:c r="B481" t="str">
        <x:f>IF(CaseLedger!$A481="","",CaseLedger!I481)</x:f>
      </x:c>
      <x:c r="C481" t="str">
        <x:f>IF(CaseLedger!$A481="","",CaseLedger!J481)</x:f>
      </x:c>
      <x:c r="D481" t="str">
        <x:f>IF(CaseLedger!$A481="","",CaseLedger!K481)</x:f>
      </x:c>
      <x:c r="E481" t="str">
        <x:f>IF(CaseLedger!$A481="","",CaseLedger!L481)</x:f>
      </x:c>
      <x:c r="F481" t="str">
        <x:f>IF(CaseLedger!$A481="","",CaseLedger!P481)</x:f>
      </x:c>
      <x:c r="G481" t="str">
        <x:f>IF(CaseLedger!$A481="","",CaseLedger!F481)</x:f>
      </x:c>
      <x:c r="H481" t="str">
        <x:f>IF(CaseLedger!$A481="","",CaseLedger!Q481)</x:f>
      </x:c>
      <x:c r="I481" t="str">
        <x:f>IF(CaseLedger!$A481="","",CaseLedger!R481)</x:f>
      </x:c>
      <x:c r="J481" t="str">
        <x:f>IF(CaseLedger!$A481="","",CaseLedger!S481)</x:f>
      </x:c>
      <x:c r="K481" t="str">
        <x:f>IF(CaseLedger!$A481="","",CaseLedger!T481)</x:f>
      </x:c>
      <x:c r="L481" t="str">
        <x:f>IF(CaseLedger!$A481="","",CaseLedger!U481)</x:f>
      </x:c>
      <x:c r="M481" t="str">
        <x:f>IF(CaseLedger!$A481="","",CaseLedger!V481)</x:f>
      </x:c>
      <x:c r="N481" t="str">
        <x:f>IF(CaseLedger!$A481="","",CaseLedger!W481)</x:f>
      </x:c>
      <x:c r="O481" t="str">
        <x:f>IF(CaseLedger!$A481="","",CaseLedger!X481)</x:f>
      </x:c>
      <x:c r="P481" t="str">
        <x:f>IF(CaseLedger!$A481="","",CaseLedger!E481)</x:f>
      </x:c>
      <x:c r="Q481" t="str">
        <x:f>IF(CaseLedger!$A481="","",CaseLedger!C481)</x:f>
      </x:c>
      <x:c r="R481" t="str">
        <x:f>IF(CaseLedger!$A481="","",CaseLedger!D481)</x:f>
      </x:c>
      <x:c r="S481" t="str">
        <x:f>IFERROR(IF(CaseLedger!$A481="","",CaseLedger!Y481),"")</x:f>
      </x:c>
      <x:c r="T481" t="str">
        <x:f>IFERROR(IF(CaseLedger!$A481="","",CaseLedger!Z481),"")</x:f>
      </x:c>
      <x:c r="U481" t="str">
        <x:f>IFERROR(IF(CaseLedger!$A481="","",CaseLedger!AA481),"")</x:f>
      </x:c>
      <x:c r="V481" t="str">
        <x:f>IFERROR(IF(CaseLedger!$A481="","",CaseLedger!AB481),"")</x:f>
      </x:c>
      <x:c r="W481" t="str">
        <x:f>IFERROR(IF(CaseLedger!$A481="","",CaseLedger!AC481),"")</x:f>
      </x:c>
      <x:c r="X481" t="str">
        <x:f>IFERROR(IF(CaseLedger!$A481="","",CaseLedger!AD481),"")</x:f>
      </x:c>
      <x:c r="Y481" t="str">
        <x:f>IFERROR(IF(CaseLedger!$A481="","",CaseLedger!AE481),"")</x:f>
      </x:c>
      <x:c r="Z481" t="str">
        <x:f>IFERROR(IF(CaseLedger!$A481="","",CaseLedger!AF481),"")</x:f>
      </x:c>
      <x:c r="AA481" t="str">
        <x:f>IFERROR(IF(CaseLedger!$A481="","",CaseLedger!AG481),"")</x:f>
      </x:c>
      <x:c r="AB481" t="str">
        <x:f>IFERROR(IF(CaseLedger!$A481="","",CaseLedger!AH481),"")</x:f>
      </x:c>
      <x:c r="AC481" t="str">
        <x:f>IFERROR(IF(CaseLedger!$A481="","",CaseLedger!AI481),"")</x:f>
      </x:c>
    </x:row>
    <x:row r="482">
      <x:c r="A482" t="str">
        <x:f>IF(CaseLedger!$A482="","",CaseLedger!A482)</x:f>
      </x:c>
      <x:c r="B482" t="str">
        <x:f>IF(CaseLedger!$A482="","",CaseLedger!I482)</x:f>
      </x:c>
      <x:c r="C482" t="str">
        <x:f>IF(CaseLedger!$A482="","",CaseLedger!J482)</x:f>
      </x:c>
      <x:c r="D482" t="str">
        <x:f>IF(CaseLedger!$A482="","",CaseLedger!K482)</x:f>
      </x:c>
      <x:c r="E482" t="str">
        <x:f>IF(CaseLedger!$A482="","",CaseLedger!L482)</x:f>
      </x:c>
      <x:c r="F482" t="str">
        <x:f>IF(CaseLedger!$A482="","",CaseLedger!P482)</x:f>
      </x:c>
      <x:c r="G482" t="str">
        <x:f>IF(CaseLedger!$A482="","",CaseLedger!F482)</x:f>
      </x:c>
      <x:c r="H482" t="str">
        <x:f>IF(CaseLedger!$A482="","",CaseLedger!Q482)</x:f>
      </x:c>
      <x:c r="I482" t="str">
        <x:f>IF(CaseLedger!$A482="","",CaseLedger!R482)</x:f>
      </x:c>
      <x:c r="J482" t="str">
        <x:f>IF(CaseLedger!$A482="","",CaseLedger!S482)</x:f>
      </x:c>
      <x:c r="K482" t="str">
        <x:f>IF(CaseLedger!$A482="","",CaseLedger!T482)</x:f>
      </x:c>
      <x:c r="L482" t="str">
        <x:f>IF(CaseLedger!$A482="","",CaseLedger!U482)</x:f>
      </x:c>
      <x:c r="M482" t="str">
        <x:f>IF(CaseLedger!$A482="","",CaseLedger!V482)</x:f>
      </x:c>
      <x:c r="N482" t="str">
        <x:f>IF(CaseLedger!$A482="","",CaseLedger!W482)</x:f>
      </x:c>
      <x:c r="O482" t="str">
        <x:f>IF(CaseLedger!$A482="","",CaseLedger!X482)</x:f>
      </x:c>
      <x:c r="P482" t="str">
        <x:f>IF(CaseLedger!$A482="","",CaseLedger!E482)</x:f>
      </x:c>
      <x:c r="Q482" t="str">
        <x:f>IF(CaseLedger!$A482="","",CaseLedger!C482)</x:f>
      </x:c>
      <x:c r="R482" t="str">
        <x:f>IF(CaseLedger!$A482="","",CaseLedger!D482)</x:f>
      </x:c>
      <x:c r="S482" t="str">
        <x:f>IFERROR(IF(CaseLedger!$A482="","",CaseLedger!Y482),"")</x:f>
      </x:c>
      <x:c r="T482" t="str">
        <x:f>IFERROR(IF(CaseLedger!$A482="","",CaseLedger!Z482),"")</x:f>
      </x:c>
      <x:c r="U482" t="str">
        <x:f>IFERROR(IF(CaseLedger!$A482="","",CaseLedger!AA482),"")</x:f>
      </x:c>
      <x:c r="V482" t="str">
        <x:f>IFERROR(IF(CaseLedger!$A482="","",CaseLedger!AB482),"")</x:f>
      </x:c>
      <x:c r="W482" t="str">
        <x:f>IFERROR(IF(CaseLedger!$A482="","",CaseLedger!AC482),"")</x:f>
      </x:c>
      <x:c r="X482" t="str">
        <x:f>IFERROR(IF(CaseLedger!$A482="","",CaseLedger!AD482),"")</x:f>
      </x:c>
      <x:c r="Y482" t="str">
        <x:f>IFERROR(IF(CaseLedger!$A482="","",CaseLedger!AE482),"")</x:f>
      </x:c>
      <x:c r="Z482" t="str">
        <x:f>IFERROR(IF(CaseLedger!$A482="","",CaseLedger!AF482),"")</x:f>
      </x:c>
      <x:c r="AA482" t="str">
        <x:f>IFERROR(IF(CaseLedger!$A482="","",CaseLedger!AG482),"")</x:f>
      </x:c>
      <x:c r="AB482" t="str">
        <x:f>IFERROR(IF(CaseLedger!$A482="","",CaseLedger!AH482),"")</x:f>
      </x:c>
      <x:c r="AC482" t="str">
        <x:f>IFERROR(IF(CaseLedger!$A482="","",CaseLedger!AI482),"")</x:f>
      </x:c>
    </x:row>
    <x:row r="483">
      <x:c r="A483" t="str">
        <x:f>IF(CaseLedger!$A483="","",CaseLedger!A483)</x:f>
      </x:c>
      <x:c r="B483" t="str">
        <x:f>IF(CaseLedger!$A483="","",CaseLedger!I483)</x:f>
      </x:c>
      <x:c r="C483" t="str">
        <x:f>IF(CaseLedger!$A483="","",CaseLedger!J483)</x:f>
      </x:c>
      <x:c r="D483" t="str">
        <x:f>IF(CaseLedger!$A483="","",CaseLedger!K483)</x:f>
      </x:c>
      <x:c r="E483" t="str">
        <x:f>IF(CaseLedger!$A483="","",CaseLedger!L483)</x:f>
      </x:c>
      <x:c r="F483" t="str">
        <x:f>IF(CaseLedger!$A483="","",CaseLedger!P483)</x:f>
      </x:c>
      <x:c r="G483" t="str">
        <x:f>IF(CaseLedger!$A483="","",CaseLedger!F483)</x:f>
      </x:c>
      <x:c r="H483" t="str">
        <x:f>IF(CaseLedger!$A483="","",CaseLedger!Q483)</x:f>
      </x:c>
      <x:c r="I483" t="str">
        <x:f>IF(CaseLedger!$A483="","",CaseLedger!R483)</x:f>
      </x:c>
      <x:c r="J483" t="str">
        <x:f>IF(CaseLedger!$A483="","",CaseLedger!S483)</x:f>
      </x:c>
      <x:c r="K483" t="str">
        <x:f>IF(CaseLedger!$A483="","",CaseLedger!T483)</x:f>
      </x:c>
      <x:c r="L483" t="str">
        <x:f>IF(CaseLedger!$A483="","",CaseLedger!U483)</x:f>
      </x:c>
      <x:c r="M483" t="str">
        <x:f>IF(CaseLedger!$A483="","",CaseLedger!V483)</x:f>
      </x:c>
      <x:c r="N483" t="str">
        <x:f>IF(CaseLedger!$A483="","",CaseLedger!W483)</x:f>
      </x:c>
      <x:c r="O483" t="str">
        <x:f>IF(CaseLedger!$A483="","",CaseLedger!X483)</x:f>
      </x:c>
      <x:c r="P483" t="str">
        <x:f>IF(CaseLedger!$A483="","",CaseLedger!E483)</x:f>
      </x:c>
      <x:c r="Q483" t="str">
        <x:f>IF(CaseLedger!$A483="","",CaseLedger!C483)</x:f>
      </x:c>
      <x:c r="R483" t="str">
        <x:f>IF(CaseLedger!$A483="","",CaseLedger!D483)</x:f>
      </x:c>
      <x:c r="S483" t="str">
        <x:f>IFERROR(IF(CaseLedger!$A483="","",CaseLedger!Y483),"")</x:f>
      </x:c>
      <x:c r="T483" t="str">
        <x:f>IFERROR(IF(CaseLedger!$A483="","",CaseLedger!Z483),"")</x:f>
      </x:c>
      <x:c r="U483" t="str">
        <x:f>IFERROR(IF(CaseLedger!$A483="","",CaseLedger!AA483),"")</x:f>
      </x:c>
      <x:c r="V483" t="str">
        <x:f>IFERROR(IF(CaseLedger!$A483="","",CaseLedger!AB483),"")</x:f>
      </x:c>
      <x:c r="W483" t="str">
        <x:f>IFERROR(IF(CaseLedger!$A483="","",CaseLedger!AC483),"")</x:f>
      </x:c>
      <x:c r="X483" t="str">
        <x:f>IFERROR(IF(CaseLedger!$A483="","",CaseLedger!AD483),"")</x:f>
      </x:c>
      <x:c r="Y483" t="str">
        <x:f>IFERROR(IF(CaseLedger!$A483="","",CaseLedger!AE483),"")</x:f>
      </x:c>
      <x:c r="Z483" t="str">
        <x:f>IFERROR(IF(CaseLedger!$A483="","",CaseLedger!AF483),"")</x:f>
      </x:c>
      <x:c r="AA483" t="str">
        <x:f>IFERROR(IF(CaseLedger!$A483="","",CaseLedger!AG483),"")</x:f>
      </x:c>
      <x:c r="AB483" t="str">
        <x:f>IFERROR(IF(CaseLedger!$A483="","",CaseLedger!AH483),"")</x:f>
      </x:c>
      <x:c r="AC483" t="str">
        <x:f>IFERROR(IF(CaseLedger!$A483="","",CaseLedger!AI483),"")</x:f>
      </x:c>
    </x:row>
    <x:row r="484">
      <x:c r="A484" t="str">
        <x:f>IF(CaseLedger!$A484="","",CaseLedger!A484)</x:f>
      </x:c>
      <x:c r="B484" t="str">
        <x:f>IF(CaseLedger!$A484="","",CaseLedger!I484)</x:f>
      </x:c>
      <x:c r="C484" t="str">
        <x:f>IF(CaseLedger!$A484="","",CaseLedger!J484)</x:f>
      </x:c>
      <x:c r="D484" t="str">
        <x:f>IF(CaseLedger!$A484="","",CaseLedger!K484)</x:f>
      </x:c>
      <x:c r="E484" t="str">
        <x:f>IF(CaseLedger!$A484="","",CaseLedger!L484)</x:f>
      </x:c>
      <x:c r="F484" t="str">
        <x:f>IF(CaseLedger!$A484="","",CaseLedger!P484)</x:f>
      </x:c>
      <x:c r="G484" t="str">
        <x:f>IF(CaseLedger!$A484="","",CaseLedger!F484)</x:f>
      </x:c>
      <x:c r="H484" t="str">
        <x:f>IF(CaseLedger!$A484="","",CaseLedger!Q484)</x:f>
      </x:c>
      <x:c r="I484" t="str">
        <x:f>IF(CaseLedger!$A484="","",CaseLedger!R484)</x:f>
      </x:c>
      <x:c r="J484" t="str">
        <x:f>IF(CaseLedger!$A484="","",CaseLedger!S484)</x:f>
      </x:c>
      <x:c r="K484" t="str">
        <x:f>IF(CaseLedger!$A484="","",CaseLedger!T484)</x:f>
      </x:c>
      <x:c r="L484" t="str">
        <x:f>IF(CaseLedger!$A484="","",CaseLedger!U484)</x:f>
      </x:c>
      <x:c r="M484" t="str">
        <x:f>IF(CaseLedger!$A484="","",CaseLedger!V484)</x:f>
      </x:c>
      <x:c r="N484" t="str">
        <x:f>IF(CaseLedger!$A484="","",CaseLedger!W484)</x:f>
      </x:c>
      <x:c r="O484" t="str">
        <x:f>IF(CaseLedger!$A484="","",CaseLedger!X484)</x:f>
      </x:c>
      <x:c r="P484" t="str">
        <x:f>IF(CaseLedger!$A484="","",CaseLedger!E484)</x:f>
      </x:c>
      <x:c r="Q484" t="str">
        <x:f>IF(CaseLedger!$A484="","",CaseLedger!C484)</x:f>
      </x:c>
      <x:c r="R484" t="str">
        <x:f>IF(CaseLedger!$A484="","",CaseLedger!D484)</x:f>
      </x:c>
      <x:c r="S484" t="str">
        <x:f>IFERROR(IF(CaseLedger!$A484="","",CaseLedger!Y484),"")</x:f>
      </x:c>
      <x:c r="T484" t="str">
        <x:f>IFERROR(IF(CaseLedger!$A484="","",CaseLedger!Z484),"")</x:f>
      </x:c>
      <x:c r="U484" t="str">
        <x:f>IFERROR(IF(CaseLedger!$A484="","",CaseLedger!AA484),"")</x:f>
      </x:c>
      <x:c r="V484" t="str">
        <x:f>IFERROR(IF(CaseLedger!$A484="","",CaseLedger!AB484),"")</x:f>
      </x:c>
      <x:c r="W484" t="str">
        <x:f>IFERROR(IF(CaseLedger!$A484="","",CaseLedger!AC484),"")</x:f>
      </x:c>
      <x:c r="X484" t="str">
        <x:f>IFERROR(IF(CaseLedger!$A484="","",CaseLedger!AD484),"")</x:f>
      </x:c>
      <x:c r="Y484" t="str">
        <x:f>IFERROR(IF(CaseLedger!$A484="","",CaseLedger!AE484),"")</x:f>
      </x:c>
      <x:c r="Z484" t="str">
        <x:f>IFERROR(IF(CaseLedger!$A484="","",CaseLedger!AF484),"")</x:f>
      </x:c>
      <x:c r="AA484" t="str">
        <x:f>IFERROR(IF(CaseLedger!$A484="","",CaseLedger!AG484),"")</x:f>
      </x:c>
      <x:c r="AB484" t="str">
        <x:f>IFERROR(IF(CaseLedger!$A484="","",CaseLedger!AH484),"")</x:f>
      </x:c>
      <x:c r="AC484" t="str">
        <x:f>IFERROR(IF(CaseLedger!$A484="","",CaseLedger!AI484),"")</x:f>
      </x:c>
    </x:row>
    <x:row r="485">
      <x:c r="A485" t="str">
        <x:f>IF(CaseLedger!$A485="","",CaseLedger!A485)</x:f>
      </x:c>
      <x:c r="B485" t="str">
        <x:f>IF(CaseLedger!$A485="","",CaseLedger!I485)</x:f>
      </x:c>
      <x:c r="C485" t="str">
        <x:f>IF(CaseLedger!$A485="","",CaseLedger!J485)</x:f>
      </x:c>
      <x:c r="D485" t="str">
        <x:f>IF(CaseLedger!$A485="","",CaseLedger!K485)</x:f>
      </x:c>
      <x:c r="E485" t="str">
        <x:f>IF(CaseLedger!$A485="","",CaseLedger!L485)</x:f>
      </x:c>
      <x:c r="F485" t="str">
        <x:f>IF(CaseLedger!$A485="","",CaseLedger!P485)</x:f>
      </x:c>
      <x:c r="G485" t="str">
        <x:f>IF(CaseLedger!$A485="","",CaseLedger!F485)</x:f>
      </x:c>
      <x:c r="H485" t="str">
        <x:f>IF(CaseLedger!$A485="","",CaseLedger!Q485)</x:f>
      </x:c>
      <x:c r="I485" t="str">
        <x:f>IF(CaseLedger!$A485="","",CaseLedger!R485)</x:f>
      </x:c>
      <x:c r="J485" t="str">
        <x:f>IF(CaseLedger!$A485="","",CaseLedger!S485)</x:f>
      </x:c>
      <x:c r="K485" t="str">
        <x:f>IF(CaseLedger!$A485="","",CaseLedger!T485)</x:f>
      </x:c>
      <x:c r="L485" t="str">
        <x:f>IF(CaseLedger!$A485="","",CaseLedger!U485)</x:f>
      </x:c>
      <x:c r="M485" t="str">
        <x:f>IF(CaseLedger!$A485="","",CaseLedger!V485)</x:f>
      </x:c>
      <x:c r="N485" t="str">
        <x:f>IF(CaseLedger!$A485="","",CaseLedger!W485)</x:f>
      </x:c>
      <x:c r="O485" t="str">
        <x:f>IF(CaseLedger!$A485="","",CaseLedger!X485)</x:f>
      </x:c>
      <x:c r="P485" t="str">
        <x:f>IF(CaseLedger!$A485="","",CaseLedger!E485)</x:f>
      </x:c>
      <x:c r="Q485" t="str">
        <x:f>IF(CaseLedger!$A485="","",CaseLedger!C485)</x:f>
      </x:c>
      <x:c r="R485" t="str">
        <x:f>IF(CaseLedger!$A485="","",CaseLedger!D485)</x:f>
      </x:c>
      <x:c r="S485" t="str">
        <x:f>IFERROR(IF(CaseLedger!$A485="","",CaseLedger!Y485),"")</x:f>
      </x:c>
      <x:c r="T485" t="str">
        <x:f>IFERROR(IF(CaseLedger!$A485="","",CaseLedger!Z485),"")</x:f>
      </x:c>
      <x:c r="U485" t="str">
        <x:f>IFERROR(IF(CaseLedger!$A485="","",CaseLedger!AA485),"")</x:f>
      </x:c>
      <x:c r="V485" t="str">
        <x:f>IFERROR(IF(CaseLedger!$A485="","",CaseLedger!AB485),"")</x:f>
      </x:c>
      <x:c r="W485" t="str">
        <x:f>IFERROR(IF(CaseLedger!$A485="","",CaseLedger!AC485),"")</x:f>
      </x:c>
      <x:c r="X485" t="str">
        <x:f>IFERROR(IF(CaseLedger!$A485="","",CaseLedger!AD485),"")</x:f>
      </x:c>
      <x:c r="Y485" t="str">
        <x:f>IFERROR(IF(CaseLedger!$A485="","",CaseLedger!AE485),"")</x:f>
      </x:c>
      <x:c r="Z485" t="str">
        <x:f>IFERROR(IF(CaseLedger!$A485="","",CaseLedger!AF485),"")</x:f>
      </x:c>
      <x:c r="AA485" t="str">
        <x:f>IFERROR(IF(CaseLedger!$A485="","",CaseLedger!AG485),"")</x:f>
      </x:c>
      <x:c r="AB485" t="str">
        <x:f>IFERROR(IF(CaseLedger!$A485="","",CaseLedger!AH485),"")</x:f>
      </x:c>
      <x:c r="AC485" t="str">
        <x:f>IFERROR(IF(CaseLedger!$A485="","",CaseLedger!AI485),"")</x:f>
      </x:c>
    </x:row>
    <x:row r="486">
      <x:c r="A486" t="str">
        <x:f>IF(CaseLedger!$A486="","",CaseLedger!A486)</x:f>
      </x:c>
      <x:c r="B486" t="str">
        <x:f>IF(CaseLedger!$A486="","",CaseLedger!I486)</x:f>
      </x:c>
      <x:c r="C486" t="str">
        <x:f>IF(CaseLedger!$A486="","",CaseLedger!J486)</x:f>
      </x:c>
      <x:c r="D486" t="str">
        <x:f>IF(CaseLedger!$A486="","",CaseLedger!K486)</x:f>
      </x:c>
      <x:c r="E486" t="str">
        <x:f>IF(CaseLedger!$A486="","",CaseLedger!L486)</x:f>
      </x:c>
      <x:c r="F486" t="str">
        <x:f>IF(CaseLedger!$A486="","",CaseLedger!P486)</x:f>
      </x:c>
      <x:c r="G486" t="str">
        <x:f>IF(CaseLedger!$A486="","",CaseLedger!F486)</x:f>
      </x:c>
      <x:c r="H486" t="str">
        <x:f>IF(CaseLedger!$A486="","",CaseLedger!Q486)</x:f>
      </x:c>
      <x:c r="I486" t="str">
        <x:f>IF(CaseLedger!$A486="","",CaseLedger!R486)</x:f>
      </x:c>
      <x:c r="J486" t="str">
        <x:f>IF(CaseLedger!$A486="","",CaseLedger!S486)</x:f>
      </x:c>
      <x:c r="K486" t="str">
        <x:f>IF(CaseLedger!$A486="","",CaseLedger!T486)</x:f>
      </x:c>
      <x:c r="L486" t="str">
        <x:f>IF(CaseLedger!$A486="","",CaseLedger!U486)</x:f>
      </x:c>
      <x:c r="M486" t="str">
        <x:f>IF(CaseLedger!$A486="","",CaseLedger!V486)</x:f>
      </x:c>
      <x:c r="N486" t="str">
        <x:f>IF(CaseLedger!$A486="","",CaseLedger!W486)</x:f>
      </x:c>
      <x:c r="O486" t="str">
        <x:f>IF(CaseLedger!$A486="","",CaseLedger!X486)</x:f>
      </x:c>
      <x:c r="P486" t="str">
        <x:f>IF(CaseLedger!$A486="","",CaseLedger!E486)</x:f>
      </x:c>
      <x:c r="Q486" t="str">
        <x:f>IF(CaseLedger!$A486="","",CaseLedger!C486)</x:f>
      </x:c>
      <x:c r="R486" t="str">
        <x:f>IF(CaseLedger!$A486="","",CaseLedger!D486)</x:f>
      </x:c>
      <x:c r="S486" t="str">
        <x:f>IFERROR(IF(CaseLedger!$A486="","",CaseLedger!Y486),"")</x:f>
      </x:c>
      <x:c r="T486" t="str">
        <x:f>IFERROR(IF(CaseLedger!$A486="","",CaseLedger!Z486),"")</x:f>
      </x:c>
      <x:c r="U486" t="str">
        <x:f>IFERROR(IF(CaseLedger!$A486="","",CaseLedger!AA486),"")</x:f>
      </x:c>
      <x:c r="V486" t="str">
        <x:f>IFERROR(IF(CaseLedger!$A486="","",CaseLedger!AB486),"")</x:f>
      </x:c>
      <x:c r="W486" t="str">
        <x:f>IFERROR(IF(CaseLedger!$A486="","",CaseLedger!AC486),"")</x:f>
      </x:c>
      <x:c r="X486" t="str">
        <x:f>IFERROR(IF(CaseLedger!$A486="","",CaseLedger!AD486),"")</x:f>
      </x:c>
      <x:c r="Y486" t="str">
        <x:f>IFERROR(IF(CaseLedger!$A486="","",CaseLedger!AE486),"")</x:f>
      </x:c>
      <x:c r="Z486" t="str">
        <x:f>IFERROR(IF(CaseLedger!$A486="","",CaseLedger!AF486),"")</x:f>
      </x:c>
      <x:c r="AA486" t="str">
        <x:f>IFERROR(IF(CaseLedger!$A486="","",CaseLedger!AG486),"")</x:f>
      </x:c>
      <x:c r="AB486" t="str">
        <x:f>IFERROR(IF(CaseLedger!$A486="","",CaseLedger!AH486),"")</x:f>
      </x:c>
      <x:c r="AC486" t="str">
        <x:f>IFERROR(IF(CaseLedger!$A486="","",CaseLedger!AI486),"")</x:f>
      </x:c>
    </x:row>
    <x:row r="487">
      <x:c r="A487" t="str">
        <x:f>IF(CaseLedger!$A487="","",CaseLedger!A487)</x:f>
      </x:c>
      <x:c r="B487" t="str">
        <x:f>IF(CaseLedger!$A487="","",CaseLedger!I487)</x:f>
      </x:c>
      <x:c r="C487" t="str">
        <x:f>IF(CaseLedger!$A487="","",CaseLedger!J487)</x:f>
      </x:c>
      <x:c r="D487" t="str">
        <x:f>IF(CaseLedger!$A487="","",CaseLedger!K487)</x:f>
      </x:c>
      <x:c r="E487" t="str">
        <x:f>IF(CaseLedger!$A487="","",CaseLedger!L487)</x:f>
      </x:c>
      <x:c r="F487" t="str">
        <x:f>IF(CaseLedger!$A487="","",CaseLedger!P487)</x:f>
      </x:c>
      <x:c r="G487" t="str">
        <x:f>IF(CaseLedger!$A487="","",CaseLedger!F487)</x:f>
      </x:c>
      <x:c r="H487" t="str">
        <x:f>IF(CaseLedger!$A487="","",CaseLedger!Q487)</x:f>
      </x:c>
      <x:c r="I487" t="str">
        <x:f>IF(CaseLedger!$A487="","",CaseLedger!R487)</x:f>
      </x:c>
      <x:c r="J487" t="str">
        <x:f>IF(CaseLedger!$A487="","",CaseLedger!S487)</x:f>
      </x:c>
      <x:c r="K487" t="str">
        <x:f>IF(CaseLedger!$A487="","",CaseLedger!T487)</x:f>
      </x:c>
      <x:c r="L487" t="str">
        <x:f>IF(CaseLedger!$A487="","",CaseLedger!U487)</x:f>
      </x:c>
      <x:c r="M487" t="str">
        <x:f>IF(CaseLedger!$A487="","",CaseLedger!V487)</x:f>
      </x:c>
      <x:c r="N487" t="str">
        <x:f>IF(CaseLedger!$A487="","",CaseLedger!W487)</x:f>
      </x:c>
      <x:c r="O487" t="str">
        <x:f>IF(CaseLedger!$A487="","",CaseLedger!X487)</x:f>
      </x:c>
      <x:c r="P487" t="str">
        <x:f>IF(CaseLedger!$A487="","",CaseLedger!E487)</x:f>
      </x:c>
      <x:c r="Q487" t="str">
        <x:f>IF(CaseLedger!$A487="","",CaseLedger!C487)</x:f>
      </x:c>
      <x:c r="R487" t="str">
        <x:f>IF(CaseLedger!$A487="","",CaseLedger!D487)</x:f>
      </x:c>
      <x:c r="S487" t="str">
        <x:f>IFERROR(IF(CaseLedger!$A487="","",CaseLedger!Y487),"")</x:f>
      </x:c>
      <x:c r="T487" t="str">
        <x:f>IFERROR(IF(CaseLedger!$A487="","",CaseLedger!Z487),"")</x:f>
      </x:c>
      <x:c r="U487" t="str">
        <x:f>IFERROR(IF(CaseLedger!$A487="","",CaseLedger!AA487),"")</x:f>
      </x:c>
      <x:c r="V487" t="str">
        <x:f>IFERROR(IF(CaseLedger!$A487="","",CaseLedger!AB487),"")</x:f>
      </x:c>
      <x:c r="W487" t="str">
        <x:f>IFERROR(IF(CaseLedger!$A487="","",CaseLedger!AC487),"")</x:f>
      </x:c>
      <x:c r="X487" t="str">
        <x:f>IFERROR(IF(CaseLedger!$A487="","",CaseLedger!AD487),"")</x:f>
      </x:c>
      <x:c r="Y487" t="str">
        <x:f>IFERROR(IF(CaseLedger!$A487="","",CaseLedger!AE487),"")</x:f>
      </x:c>
      <x:c r="Z487" t="str">
        <x:f>IFERROR(IF(CaseLedger!$A487="","",CaseLedger!AF487),"")</x:f>
      </x:c>
      <x:c r="AA487" t="str">
        <x:f>IFERROR(IF(CaseLedger!$A487="","",CaseLedger!AG487),"")</x:f>
      </x:c>
      <x:c r="AB487" t="str">
        <x:f>IFERROR(IF(CaseLedger!$A487="","",CaseLedger!AH487),"")</x:f>
      </x:c>
      <x:c r="AC487" t="str">
        <x:f>IFERROR(IF(CaseLedger!$A487="","",CaseLedger!AI487),"")</x:f>
      </x:c>
    </x:row>
    <x:row r="488">
      <x:c r="A488" t="str">
        <x:f>IF(CaseLedger!$A488="","",CaseLedger!A488)</x:f>
      </x:c>
      <x:c r="B488" t="str">
        <x:f>IF(CaseLedger!$A488="","",CaseLedger!I488)</x:f>
      </x:c>
      <x:c r="C488" t="str">
        <x:f>IF(CaseLedger!$A488="","",CaseLedger!J488)</x:f>
      </x:c>
      <x:c r="D488" t="str">
        <x:f>IF(CaseLedger!$A488="","",CaseLedger!K488)</x:f>
      </x:c>
      <x:c r="E488" t="str">
        <x:f>IF(CaseLedger!$A488="","",CaseLedger!L488)</x:f>
      </x:c>
      <x:c r="F488" t="str">
        <x:f>IF(CaseLedger!$A488="","",CaseLedger!P488)</x:f>
      </x:c>
      <x:c r="G488" t="str">
        <x:f>IF(CaseLedger!$A488="","",CaseLedger!F488)</x:f>
      </x:c>
      <x:c r="H488" t="str">
        <x:f>IF(CaseLedger!$A488="","",CaseLedger!Q488)</x:f>
      </x:c>
      <x:c r="I488" t="str">
        <x:f>IF(CaseLedger!$A488="","",CaseLedger!R488)</x:f>
      </x:c>
      <x:c r="J488" t="str">
        <x:f>IF(CaseLedger!$A488="","",CaseLedger!S488)</x:f>
      </x:c>
      <x:c r="K488" t="str">
        <x:f>IF(CaseLedger!$A488="","",CaseLedger!T488)</x:f>
      </x:c>
      <x:c r="L488" t="str">
        <x:f>IF(CaseLedger!$A488="","",CaseLedger!U488)</x:f>
      </x:c>
      <x:c r="M488" t="str">
        <x:f>IF(CaseLedger!$A488="","",CaseLedger!V488)</x:f>
      </x:c>
      <x:c r="N488" t="str">
        <x:f>IF(CaseLedger!$A488="","",CaseLedger!W488)</x:f>
      </x:c>
      <x:c r="O488" t="str">
        <x:f>IF(CaseLedger!$A488="","",CaseLedger!X488)</x:f>
      </x:c>
      <x:c r="P488" t="str">
        <x:f>IF(CaseLedger!$A488="","",CaseLedger!E488)</x:f>
      </x:c>
      <x:c r="Q488" t="str">
        <x:f>IF(CaseLedger!$A488="","",CaseLedger!C488)</x:f>
      </x:c>
      <x:c r="R488" t="str">
        <x:f>IF(CaseLedger!$A488="","",CaseLedger!D488)</x:f>
      </x:c>
      <x:c r="S488" t="str">
        <x:f>IFERROR(IF(CaseLedger!$A488="","",CaseLedger!Y488),"")</x:f>
      </x:c>
      <x:c r="T488" t="str">
        <x:f>IFERROR(IF(CaseLedger!$A488="","",CaseLedger!Z488),"")</x:f>
      </x:c>
      <x:c r="U488" t="str">
        <x:f>IFERROR(IF(CaseLedger!$A488="","",CaseLedger!AA488),"")</x:f>
      </x:c>
      <x:c r="V488" t="str">
        <x:f>IFERROR(IF(CaseLedger!$A488="","",CaseLedger!AB488),"")</x:f>
      </x:c>
      <x:c r="W488" t="str">
        <x:f>IFERROR(IF(CaseLedger!$A488="","",CaseLedger!AC488),"")</x:f>
      </x:c>
      <x:c r="X488" t="str">
        <x:f>IFERROR(IF(CaseLedger!$A488="","",CaseLedger!AD488),"")</x:f>
      </x:c>
      <x:c r="Y488" t="str">
        <x:f>IFERROR(IF(CaseLedger!$A488="","",CaseLedger!AE488),"")</x:f>
      </x:c>
      <x:c r="Z488" t="str">
        <x:f>IFERROR(IF(CaseLedger!$A488="","",CaseLedger!AF488),"")</x:f>
      </x:c>
      <x:c r="AA488" t="str">
        <x:f>IFERROR(IF(CaseLedger!$A488="","",CaseLedger!AG488),"")</x:f>
      </x:c>
      <x:c r="AB488" t="str">
        <x:f>IFERROR(IF(CaseLedger!$A488="","",CaseLedger!AH488),"")</x:f>
      </x:c>
      <x:c r="AC488" t="str">
        <x:f>IFERROR(IF(CaseLedger!$A488="","",CaseLedger!AI488),"")</x:f>
      </x:c>
    </x:row>
    <x:row r="489">
      <x:c r="A489" t="str">
        <x:f>IF(CaseLedger!$A489="","",CaseLedger!A489)</x:f>
      </x:c>
      <x:c r="B489" t="str">
        <x:f>IF(CaseLedger!$A489="","",CaseLedger!I489)</x:f>
      </x:c>
      <x:c r="C489" t="str">
        <x:f>IF(CaseLedger!$A489="","",CaseLedger!J489)</x:f>
      </x:c>
      <x:c r="D489" t="str">
        <x:f>IF(CaseLedger!$A489="","",CaseLedger!K489)</x:f>
      </x:c>
      <x:c r="E489" t="str">
        <x:f>IF(CaseLedger!$A489="","",CaseLedger!L489)</x:f>
      </x:c>
      <x:c r="F489" t="str">
        <x:f>IF(CaseLedger!$A489="","",CaseLedger!P489)</x:f>
      </x:c>
      <x:c r="G489" t="str">
        <x:f>IF(CaseLedger!$A489="","",CaseLedger!F489)</x:f>
      </x:c>
      <x:c r="H489" t="str">
        <x:f>IF(CaseLedger!$A489="","",CaseLedger!Q489)</x:f>
      </x:c>
      <x:c r="I489" t="str">
        <x:f>IF(CaseLedger!$A489="","",CaseLedger!R489)</x:f>
      </x:c>
      <x:c r="J489" t="str">
        <x:f>IF(CaseLedger!$A489="","",CaseLedger!S489)</x:f>
      </x:c>
      <x:c r="K489" t="str">
        <x:f>IF(CaseLedger!$A489="","",CaseLedger!T489)</x:f>
      </x:c>
      <x:c r="L489" t="str">
        <x:f>IF(CaseLedger!$A489="","",CaseLedger!U489)</x:f>
      </x:c>
      <x:c r="M489" t="str">
        <x:f>IF(CaseLedger!$A489="","",CaseLedger!V489)</x:f>
      </x:c>
      <x:c r="N489" t="str">
        <x:f>IF(CaseLedger!$A489="","",CaseLedger!W489)</x:f>
      </x:c>
      <x:c r="O489" t="str">
        <x:f>IF(CaseLedger!$A489="","",CaseLedger!X489)</x:f>
      </x:c>
      <x:c r="P489" t="str">
        <x:f>IF(CaseLedger!$A489="","",CaseLedger!E489)</x:f>
      </x:c>
      <x:c r="Q489" t="str">
        <x:f>IF(CaseLedger!$A489="","",CaseLedger!C489)</x:f>
      </x:c>
      <x:c r="R489" t="str">
        <x:f>IF(CaseLedger!$A489="","",CaseLedger!D489)</x:f>
      </x:c>
      <x:c r="S489" t="str">
        <x:f>IFERROR(IF(CaseLedger!$A489="","",CaseLedger!Y489),"")</x:f>
      </x:c>
      <x:c r="T489" t="str">
        <x:f>IFERROR(IF(CaseLedger!$A489="","",CaseLedger!Z489),"")</x:f>
      </x:c>
      <x:c r="U489" t="str">
        <x:f>IFERROR(IF(CaseLedger!$A489="","",CaseLedger!AA489),"")</x:f>
      </x:c>
      <x:c r="V489" t="str">
        <x:f>IFERROR(IF(CaseLedger!$A489="","",CaseLedger!AB489),"")</x:f>
      </x:c>
      <x:c r="W489" t="str">
        <x:f>IFERROR(IF(CaseLedger!$A489="","",CaseLedger!AC489),"")</x:f>
      </x:c>
      <x:c r="X489" t="str">
        <x:f>IFERROR(IF(CaseLedger!$A489="","",CaseLedger!AD489),"")</x:f>
      </x:c>
      <x:c r="Y489" t="str">
        <x:f>IFERROR(IF(CaseLedger!$A489="","",CaseLedger!AE489),"")</x:f>
      </x:c>
      <x:c r="Z489" t="str">
        <x:f>IFERROR(IF(CaseLedger!$A489="","",CaseLedger!AF489),"")</x:f>
      </x:c>
      <x:c r="AA489" t="str">
        <x:f>IFERROR(IF(CaseLedger!$A489="","",CaseLedger!AG489),"")</x:f>
      </x:c>
      <x:c r="AB489" t="str">
        <x:f>IFERROR(IF(CaseLedger!$A489="","",CaseLedger!AH489),"")</x:f>
      </x:c>
      <x:c r="AC489" t="str">
        <x:f>IFERROR(IF(CaseLedger!$A489="","",CaseLedger!AI489),"")</x:f>
      </x:c>
    </x:row>
    <x:row r="490">
      <x:c r="A490" t="str">
        <x:f>IF(CaseLedger!$A490="","",CaseLedger!A490)</x:f>
      </x:c>
      <x:c r="B490" t="str">
        <x:f>IF(CaseLedger!$A490="","",CaseLedger!I490)</x:f>
      </x:c>
      <x:c r="C490" t="str">
        <x:f>IF(CaseLedger!$A490="","",CaseLedger!J490)</x:f>
      </x:c>
      <x:c r="D490" t="str">
        <x:f>IF(CaseLedger!$A490="","",CaseLedger!K490)</x:f>
      </x:c>
      <x:c r="E490" t="str">
        <x:f>IF(CaseLedger!$A490="","",CaseLedger!L490)</x:f>
      </x:c>
      <x:c r="F490" t="str">
        <x:f>IF(CaseLedger!$A490="","",CaseLedger!P490)</x:f>
      </x:c>
      <x:c r="G490" t="str">
        <x:f>IF(CaseLedger!$A490="","",CaseLedger!F490)</x:f>
      </x:c>
      <x:c r="H490" t="str">
        <x:f>IF(CaseLedger!$A490="","",CaseLedger!Q490)</x:f>
      </x:c>
      <x:c r="I490" t="str">
        <x:f>IF(CaseLedger!$A490="","",CaseLedger!R490)</x:f>
      </x:c>
      <x:c r="J490" t="str">
        <x:f>IF(CaseLedger!$A490="","",CaseLedger!S490)</x:f>
      </x:c>
      <x:c r="K490" t="str">
        <x:f>IF(CaseLedger!$A490="","",CaseLedger!T490)</x:f>
      </x:c>
      <x:c r="L490" t="str">
        <x:f>IF(CaseLedger!$A490="","",CaseLedger!U490)</x:f>
      </x:c>
      <x:c r="M490" t="str">
        <x:f>IF(CaseLedger!$A490="","",CaseLedger!V490)</x:f>
      </x:c>
      <x:c r="N490" t="str">
        <x:f>IF(CaseLedger!$A490="","",CaseLedger!W490)</x:f>
      </x:c>
      <x:c r="O490" t="str">
        <x:f>IF(CaseLedger!$A490="","",CaseLedger!X490)</x:f>
      </x:c>
      <x:c r="P490" t="str">
        <x:f>IF(CaseLedger!$A490="","",CaseLedger!E490)</x:f>
      </x:c>
      <x:c r="Q490" t="str">
        <x:f>IF(CaseLedger!$A490="","",CaseLedger!C490)</x:f>
      </x:c>
      <x:c r="R490" t="str">
        <x:f>IF(CaseLedger!$A490="","",CaseLedger!D490)</x:f>
      </x:c>
      <x:c r="S490" t="str">
        <x:f>IFERROR(IF(CaseLedger!$A490="","",CaseLedger!Y490),"")</x:f>
      </x:c>
      <x:c r="T490" t="str">
        <x:f>IFERROR(IF(CaseLedger!$A490="","",CaseLedger!Z490),"")</x:f>
      </x:c>
      <x:c r="U490" t="str">
        <x:f>IFERROR(IF(CaseLedger!$A490="","",CaseLedger!AA490),"")</x:f>
      </x:c>
      <x:c r="V490" t="str">
        <x:f>IFERROR(IF(CaseLedger!$A490="","",CaseLedger!AB490),"")</x:f>
      </x:c>
      <x:c r="W490" t="str">
        <x:f>IFERROR(IF(CaseLedger!$A490="","",CaseLedger!AC490),"")</x:f>
      </x:c>
      <x:c r="X490" t="str">
        <x:f>IFERROR(IF(CaseLedger!$A490="","",CaseLedger!AD490),"")</x:f>
      </x:c>
      <x:c r="Y490" t="str">
        <x:f>IFERROR(IF(CaseLedger!$A490="","",CaseLedger!AE490),"")</x:f>
      </x:c>
      <x:c r="Z490" t="str">
        <x:f>IFERROR(IF(CaseLedger!$A490="","",CaseLedger!AF490),"")</x:f>
      </x:c>
      <x:c r="AA490" t="str">
        <x:f>IFERROR(IF(CaseLedger!$A490="","",CaseLedger!AG490),"")</x:f>
      </x:c>
      <x:c r="AB490" t="str">
        <x:f>IFERROR(IF(CaseLedger!$A490="","",CaseLedger!AH490),"")</x:f>
      </x:c>
      <x:c r="AC490" t="str">
        <x:f>IFERROR(IF(CaseLedger!$A490="","",CaseLedger!AI490),"")</x:f>
      </x:c>
    </x:row>
    <x:row r="491">
      <x:c r="A491" t="str">
        <x:f>IF(CaseLedger!$A491="","",CaseLedger!A491)</x:f>
      </x:c>
      <x:c r="B491" t="str">
        <x:f>IF(CaseLedger!$A491="","",CaseLedger!I491)</x:f>
      </x:c>
      <x:c r="C491" t="str">
        <x:f>IF(CaseLedger!$A491="","",CaseLedger!J491)</x:f>
      </x:c>
      <x:c r="D491" t="str">
        <x:f>IF(CaseLedger!$A491="","",CaseLedger!K491)</x:f>
      </x:c>
      <x:c r="E491" t="str">
        <x:f>IF(CaseLedger!$A491="","",CaseLedger!L491)</x:f>
      </x:c>
      <x:c r="F491" t="str">
        <x:f>IF(CaseLedger!$A491="","",CaseLedger!P491)</x:f>
      </x:c>
      <x:c r="G491" t="str">
        <x:f>IF(CaseLedger!$A491="","",CaseLedger!F491)</x:f>
      </x:c>
      <x:c r="H491" t="str">
        <x:f>IF(CaseLedger!$A491="","",CaseLedger!Q491)</x:f>
      </x:c>
      <x:c r="I491" t="str">
        <x:f>IF(CaseLedger!$A491="","",CaseLedger!R491)</x:f>
      </x:c>
      <x:c r="J491" t="str">
        <x:f>IF(CaseLedger!$A491="","",CaseLedger!S491)</x:f>
      </x:c>
      <x:c r="K491" t="str">
        <x:f>IF(CaseLedger!$A491="","",CaseLedger!T491)</x:f>
      </x:c>
      <x:c r="L491" t="str">
        <x:f>IF(CaseLedger!$A491="","",CaseLedger!U491)</x:f>
      </x:c>
      <x:c r="M491" t="str">
        <x:f>IF(CaseLedger!$A491="","",CaseLedger!V491)</x:f>
      </x:c>
      <x:c r="N491" t="str">
        <x:f>IF(CaseLedger!$A491="","",CaseLedger!W491)</x:f>
      </x:c>
      <x:c r="O491" t="str">
        <x:f>IF(CaseLedger!$A491="","",CaseLedger!X491)</x:f>
      </x:c>
      <x:c r="P491" t="str">
        <x:f>IF(CaseLedger!$A491="","",CaseLedger!E491)</x:f>
      </x:c>
      <x:c r="Q491" t="str">
        <x:f>IF(CaseLedger!$A491="","",CaseLedger!C491)</x:f>
      </x:c>
      <x:c r="R491" t="str">
        <x:f>IF(CaseLedger!$A491="","",CaseLedger!D491)</x:f>
      </x:c>
      <x:c r="S491" t="str">
        <x:f>IFERROR(IF(CaseLedger!$A491="","",CaseLedger!Y491),"")</x:f>
      </x:c>
      <x:c r="T491" t="str">
        <x:f>IFERROR(IF(CaseLedger!$A491="","",CaseLedger!Z491),"")</x:f>
      </x:c>
      <x:c r="U491" t="str">
        <x:f>IFERROR(IF(CaseLedger!$A491="","",CaseLedger!AA491),"")</x:f>
      </x:c>
      <x:c r="V491" t="str">
        <x:f>IFERROR(IF(CaseLedger!$A491="","",CaseLedger!AB491),"")</x:f>
      </x:c>
      <x:c r="W491" t="str">
        <x:f>IFERROR(IF(CaseLedger!$A491="","",CaseLedger!AC491),"")</x:f>
      </x:c>
      <x:c r="X491" t="str">
        <x:f>IFERROR(IF(CaseLedger!$A491="","",CaseLedger!AD491),"")</x:f>
      </x:c>
      <x:c r="Y491" t="str">
        <x:f>IFERROR(IF(CaseLedger!$A491="","",CaseLedger!AE491),"")</x:f>
      </x:c>
      <x:c r="Z491" t="str">
        <x:f>IFERROR(IF(CaseLedger!$A491="","",CaseLedger!AF491),"")</x:f>
      </x:c>
      <x:c r="AA491" t="str">
        <x:f>IFERROR(IF(CaseLedger!$A491="","",CaseLedger!AG491),"")</x:f>
      </x:c>
      <x:c r="AB491" t="str">
        <x:f>IFERROR(IF(CaseLedger!$A491="","",CaseLedger!AH491),"")</x:f>
      </x:c>
      <x:c r="AC491" t="str">
        <x:f>IFERROR(IF(CaseLedger!$A491="","",CaseLedger!AI491),"")</x:f>
      </x:c>
    </x:row>
    <x:row r="492">
      <x:c r="A492" t="str">
        <x:f>IF(CaseLedger!$A492="","",CaseLedger!A492)</x:f>
      </x:c>
      <x:c r="B492" t="str">
        <x:f>IF(CaseLedger!$A492="","",CaseLedger!I492)</x:f>
      </x:c>
      <x:c r="C492" t="str">
        <x:f>IF(CaseLedger!$A492="","",CaseLedger!J492)</x:f>
      </x:c>
      <x:c r="D492" t="str">
        <x:f>IF(CaseLedger!$A492="","",CaseLedger!K492)</x:f>
      </x:c>
      <x:c r="E492" t="str">
        <x:f>IF(CaseLedger!$A492="","",CaseLedger!L492)</x:f>
      </x:c>
      <x:c r="F492" t="str">
        <x:f>IF(CaseLedger!$A492="","",CaseLedger!P492)</x:f>
      </x:c>
      <x:c r="G492" t="str">
        <x:f>IF(CaseLedger!$A492="","",CaseLedger!F492)</x:f>
      </x:c>
      <x:c r="H492" t="str">
        <x:f>IF(CaseLedger!$A492="","",CaseLedger!Q492)</x:f>
      </x:c>
      <x:c r="I492" t="str">
        <x:f>IF(CaseLedger!$A492="","",CaseLedger!R492)</x:f>
      </x:c>
      <x:c r="J492" t="str">
        <x:f>IF(CaseLedger!$A492="","",CaseLedger!S492)</x:f>
      </x:c>
      <x:c r="K492" t="str">
        <x:f>IF(CaseLedger!$A492="","",CaseLedger!T492)</x:f>
      </x:c>
      <x:c r="L492" t="str">
        <x:f>IF(CaseLedger!$A492="","",CaseLedger!U492)</x:f>
      </x:c>
      <x:c r="M492" t="str">
        <x:f>IF(CaseLedger!$A492="","",CaseLedger!V492)</x:f>
      </x:c>
      <x:c r="N492" t="str">
        <x:f>IF(CaseLedger!$A492="","",CaseLedger!W492)</x:f>
      </x:c>
      <x:c r="O492" t="str">
        <x:f>IF(CaseLedger!$A492="","",CaseLedger!X492)</x:f>
      </x:c>
      <x:c r="P492" t="str">
        <x:f>IF(CaseLedger!$A492="","",CaseLedger!E492)</x:f>
      </x:c>
      <x:c r="Q492" t="str">
        <x:f>IF(CaseLedger!$A492="","",CaseLedger!C492)</x:f>
      </x:c>
      <x:c r="R492" t="str">
        <x:f>IF(CaseLedger!$A492="","",CaseLedger!D492)</x:f>
      </x:c>
      <x:c r="S492" t="str">
        <x:f>IFERROR(IF(CaseLedger!$A492="","",CaseLedger!Y492),"")</x:f>
      </x:c>
      <x:c r="T492" t="str">
        <x:f>IFERROR(IF(CaseLedger!$A492="","",CaseLedger!Z492),"")</x:f>
      </x:c>
      <x:c r="U492" t="str">
        <x:f>IFERROR(IF(CaseLedger!$A492="","",CaseLedger!AA492),"")</x:f>
      </x:c>
      <x:c r="V492" t="str">
        <x:f>IFERROR(IF(CaseLedger!$A492="","",CaseLedger!AB492),"")</x:f>
      </x:c>
      <x:c r="W492" t="str">
        <x:f>IFERROR(IF(CaseLedger!$A492="","",CaseLedger!AC492),"")</x:f>
      </x:c>
      <x:c r="X492" t="str">
        <x:f>IFERROR(IF(CaseLedger!$A492="","",CaseLedger!AD492),"")</x:f>
      </x:c>
      <x:c r="Y492" t="str">
        <x:f>IFERROR(IF(CaseLedger!$A492="","",CaseLedger!AE492),"")</x:f>
      </x:c>
      <x:c r="Z492" t="str">
        <x:f>IFERROR(IF(CaseLedger!$A492="","",CaseLedger!AF492),"")</x:f>
      </x:c>
      <x:c r="AA492" t="str">
        <x:f>IFERROR(IF(CaseLedger!$A492="","",CaseLedger!AG492),"")</x:f>
      </x:c>
      <x:c r="AB492" t="str">
        <x:f>IFERROR(IF(CaseLedger!$A492="","",CaseLedger!AH492),"")</x:f>
      </x:c>
      <x:c r="AC492" t="str">
        <x:f>IFERROR(IF(CaseLedger!$A492="","",CaseLedger!AI492),"")</x:f>
      </x:c>
    </x:row>
    <x:row r="493">
      <x:c r="A493" t="str">
        <x:f>IF(CaseLedger!$A493="","",CaseLedger!A493)</x:f>
      </x:c>
      <x:c r="B493" t="str">
        <x:f>IF(CaseLedger!$A493="","",CaseLedger!I493)</x:f>
      </x:c>
      <x:c r="C493" t="str">
        <x:f>IF(CaseLedger!$A493="","",CaseLedger!J493)</x:f>
      </x:c>
      <x:c r="D493" t="str">
        <x:f>IF(CaseLedger!$A493="","",CaseLedger!K493)</x:f>
      </x:c>
      <x:c r="E493" t="str">
        <x:f>IF(CaseLedger!$A493="","",CaseLedger!L493)</x:f>
      </x:c>
      <x:c r="F493" t="str">
        <x:f>IF(CaseLedger!$A493="","",CaseLedger!P493)</x:f>
      </x:c>
      <x:c r="G493" t="str">
        <x:f>IF(CaseLedger!$A493="","",CaseLedger!F493)</x:f>
      </x:c>
      <x:c r="H493" t="str">
        <x:f>IF(CaseLedger!$A493="","",CaseLedger!Q493)</x:f>
      </x:c>
      <x:c r="I493" t="str">
        <x:f>IF(CaseLedger!$A493="","",CaseLedger!R493)</x:f>
      </x:c>
      <x:c r="J493" t="str">
        <x:f>IF(CaseLedger!$A493="","",CaseLedger!S493)</x:f>
      </x:c>
      <x:c r="K493" t="str">
        <x:f>IF(CaseLedger!$A493="","",CaseLedger!T493)</x:f>
      </x:c>
      <x:c r="L493" t="str">
        <x:f>IF(CaseLedger!$A493="","",CaseLedger!U493)</x:f>
      </x:c>
      <x:c r="M493" t="str">
        <x:f>IF(CaseLedger!$A493="","",CaseLedger!V493)</x:f>
      </x:c>
      <x:c r="N493" t="str">
        <x:f>IF(CaseLedger!$A493="","",CaseLedger!W493)</x:f>
      </x:c>
      <x:c r="O493" t="str">
        <x:f>IF(CaseLedger!$A493="","",CaseLedger!X493)</x:f>
      </x:c>
      <x:c r="P493" t="str">
        <x:f>IF(CaseLedger!$A493="","",CaseLedger!E493)</x:f>
      </x:c>
      <x:c r="Q493" t="str">
        <x:f>IF(CaseLedger!$A493="","",CaseLedger!C493)</x:f>
      </x:c>
      <x:c r="R493" t="str">
        <x:f>IF(CaseLedger!$A493="","",CaseLedger!D493)</x:f>
      </x:c>
      <x:c r="S493" t="str">
        <x:f>IFERROR(IF(CaseLedger!$A493="","",CaseLedger!Y493),"")</x:f>
      </x:c>
      <x:c r="T493" t="str">
        <x:f>IFERROR(IF(CaseLedger!$A493="","",CaseLedger!Z493),"")</x:f>
      </x:c>
      <x:c r="U493" t="str">
        <x:f>IFERROR(IF(CaseLedger!$A493="","",CaseLedger!AA493),"")</x:f>
      </x:c>
      <x:c r="V493" t="str">
        <x:f>IFERROR(IF(CaseLedger!$A493="","",CaseLedger!AB493),"")</x:f>
      </x:c>
      <x:c r="W493" t="str">
        <x:f>IFERROR(IF(CaseLedger!$A493="","",CaseLedger!AC493),"")</x:f>
      </x:c>
      <x:c r="X493" t="str">
        <x:f>IFERROR(IF(CaseLedger!$A493="","",CaseLedger!AD493),"")</x:f>
      </x:c>
      <x:c r="Y493" t="str">
        <x:f>IFERROR(IF(CaseLedger!$A493="","",CaseLedger!AE493),"")</x:f>
      </x:c>
      <x:c r="Z493" t="str">
        <x:f>IFERROR(IF(CaseLedger!$A493="","",CaseLedger!AF493),"")</x:f>
      </x:c>
      <x:c r="AA493" t="str">
        <x:f>IFERROR(IF(CaseLedger!$A493="","",CaseLedger!AG493),"")</x:f>
      </x:c>
      <x:c r="AB493" t="str">
        <x:f>IFERROR(IF(CaseLedger!$A493="","",CaseLedger!AH493),"")</x:f>
      </x:c>
      <x:c r="AC493" t="str">
        <x:f>IFERROR(IF(CaseLedger!$A493="","",CaseLedger!AI493),"")</x:f>
      </x:c>
    </x:row>
    <x:row r="494">
      <x:c r="A494" t="str">
        <x:f>IF(CaseLedger!$A494="","",CaseLedger!A494)</x:f>
      </x:c>
      <x:c r="B494" t="str">
        <x:f>IF(CaseLedger!$A494="","",CaseLedger!I494)</x:f>
      </x:c>
      <x:c r="C494" t="str">
        <x:f>IF(CaseLedger!$A494="","",CaseLedger!J494)</x:f>
      </x:c>
      <x:c r="D494" t="str">
        <x:f>IF(CaseLedger!$A494="","",CaseLedger!K494)</x:f>
      </x:c>
      <x:c r="E494" t="str">
        <x:f>IF(CaseLedger!$A494="","",CaseLedger!L494)</x:f>
      </x:c>
      <x:c r="F494" t="str">
        <x:f>IF(CaseLedger!$A494="","",CaseLedger!P494)</x:f>
      </x:c>
      <x:c r="G494" t="str">
        <x:f>IF(CaseLedger!$A494="","",CaseLedger!F494)</x:f>
      </x:c>
      <x:c r="H494" t="str">
        <x:f>IF(CaseLedger!$A494="","",CaseLedger!Q494)</x:f>
      </x:c>
      <x:c r="I494" t="str">
        <x:f>IF(CaseLedger!$A494="","",CaseLedger!R494)</x:f>
      </x:c>
      <x:c r="J494" t="str">
        <x:f>IF(CaseLedger!$A494="","",CaseLedger!S494)</x:f>
      </x:c>
      <x:c r="K494" t="str">
        <x:f>IF(CaseLedger!$A494="","",CaseLedger!T494)</x:f>
      </x:c>
      <x:c r="L494" t="str">
        <x:f>IF(CaseLedger!$A494="","",CaseLedger!U494)</x:f>
      </x:c>
      <x:c r="M494" t="str">
        <x:f>IF(CaseLedger!$A494="","",CaseLedger!V494)</x:f>
      </x:c>
      <x:c r="N494" t="str">
        <x:f>IF(CaseLedger!$A494="","",CaseLedger!W494)</x:f>
      </x:c>
      <x:c r="O494" t="str">
        <x:f>IF(CaseLedger!$A494="","",CaseLedger!X494)</x:f>
      </x:c>
      <x:c r="P494" t="str">
        <x:f>IF(CaseLedger!$A494="","",CaseLedger!E494)</x:f>
      </x:c>
      <x:c r="Q494" t="str">
        <x:f>IF(CaseLedger!$A494="","",CaseLedger!C494)</x:f>
      </x:c>
      <x:c r="R494" t="str">
        <x:f>IF(CaseLedger!$A494="","",CaseLedger!D494)</x:f>
      </x:c>
      <x:c r="S494" t="str">
        <x:f>IFERROR(IF(CaseLedger!$A494="","",CaseLedger!Y494),"")</x:f>
      </x:c>
      <x:c r="T494" t="str">
        <x:f>IFERROR(IF(CaseLedger!$A494="","",CaseLedger!Z494),"")</x:f>
      </x:c>
      <x:c r="U494" t="str">
        <x:f>IFERROR(IF(CaseLedger!$A494="","",CaseLedger!AA494),"")</x:f>
      </x:c>
      <x:c r="V494" t="str">
        <x:f>IFERROR(IF(CaseLedger!$A494="","",CaseLedger!AB494),"")</x:f>
      </x:c>
      <x:c r="W494" t="str">
        <x:f>IFERROR(IF(CaseLedger!$A494="","",CaseLedger!AC494),"")</x:f>
      </x:c>
      <x:c r="X494" t="str">
        <x:f>IFERROR(IF(CaseLedger!$A494="","",CaseLedger!AD494),"")</x:f>
      </x:c>
      <x:c r="Y494" t="str">
        <x:f>IFERROR(IF(CaseLedger!$A494="","",CaseLedger!AE494),"")</x:f>
      </x:c>
      <x:c r="Z494" t="str">
        <x:f>IFERROR(IF(CaseLedger!$A494="","",CaseLedger!AF494),"")</x:f>
      </x:c>
      <x:c r="AA494" t="str">
        <x:f>IFERROR(IF(CaseLedger!$A494="","",CaseLedger!AG494),"")</x:f>
      </x:c>
      <x:c r="AB494" t="str">
        <x:f>IFERROR(IF(CaseLedger!$A494="","",CaseLedger!AH494),"")</x:f>
      </x:c>
      <x:c r="AC494" t="str">
        <x:f>IFERROR(IF(CaseLedger!$A494="","",CaseLedger!AI494),"")</x:f>
      </x:c>
    </x:row>
    <x:row r="495">
      <x:c r="A495" t="str">
        <x:f>IF(CaseLedger!$A495="","",CaseLedger!A495)</x:f>
      </x:c>
      <x:c r="B495" t="str">
        <x:f>IF(CaseLedger!$A495="","",CaseLedger!I495)</x:f>
      </x:c>
      <x:c r="C495" t="str">
        <x:f>IF(CaseLedger!$A495="","",CaseLedger!J495)</x:f>
      </x:c>
      <x:c r="D495" t="str">
        <x:f>IF(CaseLedger!$A495="","",CaseLedger!K495)</x:f>
      </x:c>
      <x:c r="E495" t="str">
        <x:f>IF(CaseLedger!$A495="","",CaseLedger!L495)</x:f>
      </x:c>
      <x:c r="F495" t="str">
        <x:f>IF(CaseLedger!$A495="","",CaseLedger!P495)</x:f>
      </x:c>
      <x:c r="G495" t="str">
        <x:f>IF(CaseLedger!$A495="","",CaseLedger!F495)</x:f>
      </x:c>
      <x:c r="H495" t="str">
        <x:f>IF(CaseLedger!$A495="","",CaseLedger!Q495)</x:f>
      </x:c>
      <x:c r="I495" t="str">
        <x:f>IF(CaseLedger!$A495="","",CaseLedger!R495)</x:f>
      </x:c>
      <x:c r="J495" t="str">
        <x:f>IF(CaseLedger!$A495="","",CaseLedger!S495)</x:f>
      </x:c>
      <x:c r="K495" t="str">
        <x:f>IF(CaseLedger!$A495="","",CaseLedger!T495)</x:f>
      </x:c>
      <x:c r="L495" t="str">
        <x:f>IF(CaseLedger!$A495="","",CaseLedger!U495)</x:f>
      </x:c>
      <x:c r="M495" t="str">
        <x:f>IF(CaseLedger!$A495="","",CaseLedger!V495)</x:f>
      </x:c>
      <x:c r="N495" t="str">
        <x:f>IF(CaseLedger!$A495="","",CaseLedger!W495)</x:f>
      </x:c>
      <x:c r="O495" t="str">
        <x:f>IF(CaseLedger!$A495="","",CaseLedger!X495)</x:f>
      </x:c>
      <x:c r="P495" t="str">
        <x:f>IF(CaseLedger!$A495="","",CaseLedger!E495)</x:f>
      </x:c>
      <x:c r="Q495" t="str">
        <x:f>IF(CaseLedger!$A495="","",CaseLedger!C495)</x:f>
      </x:c>
      <x:c r="R495" t="str">
        <x:f>IF(CaseLedger!$A495="","",CaseLedger!D495)</x:f>
      </x:c>
      <x:c r="S495" t="str">
        <x:f>IFERROR(IF(CaseLedger!$A495="","",CaseLedger!Y495),"")</x:f>
      </x:c>
      <x:c r="T495" t="str">
        <x:f>IFERROR(IF(CaseLedger!$A495="","",CaseLedger!Z495),"")</x:f>
      </x:c>
      <x:c r="U495" t="str">
        <x:f>IFERROR(IF(CaseLedger!$A495="","",CaseLedger!AA495),"")</x:f>
      </x:c>
      <x:c r="V495" t="str">
        <x:f>IFERROR(IF(CaseLedger!$A495="","",CaseLedger!AB495),"")</x:f>
      </x:c>
      <x:c r="W495" t="str">
        <x:f>IFERROR(IF(CaseLedger!$A495="","",CaseLedger!AC495),"")</x:f>
      </x:c>
      <x:c r="X495" t="str">
        <x:f>IFERROR(IF(CaseLedger!$A495="","",CaseLedger!AD495),"")</x:f>
      </x:c>
      <x:c r="Y495" t="str">
        <x:f>IFERROR(IF(CaseLedger!$A495="","",CaseLedger!AE495),"")</x:f>
      </x:c>
      <x:c r="Z495" t="str">
        <x:f>IFERROR(IF(CaseLedger!$A495="","",CaseLedger!AF495),"")</x:f>
      </x:c>
      <x:c r="AA495" t="str">
        <x:f>IFERROR(IF(CaseLedger!$A495="","",CaseLedger!AG495),"")</x:f>
      </x:c>
      <x:c r="AB495" t="str">
        <x:f>IFERROR(IF(CaseLedger!$A495="","",CaseLedger!AH495),"")</x:f>
      </x:c>
      <x:c r="AC495" t="str">
        <x:f>IFERROR(IF(CaseLedger!$A495="","",CaseLedger!AI495),"")</x:f>
      </x:c>
    </x:row>
    <x:row r="496">
      <x:c r="A496" t="str">
        <x:f>IF(CaseLedger!$A496="","",CaseLedger!A496)</x:f>
      </x:c>
      <x:c r="B496" t="str">
        <x:f>IF(CaseLedger!$A496="","",CaseLedger!I496)</x:f>
      </x:c>
      <x:c r="C496" t="str">
        <x:f>IF(CaseLedger!$A496="","",CaseLedger!J496)</x:f>
      </x:c>
      <x:c r="D496" t="str">
        <x:f>IF(CaseLedger!$A496="","",CaseLedger!K496)</x:f>
      </x:c>
      <x:c r="E496" t="str">
        <x:f>IF(CaseLedger!$A496="","",CaseLedger!L496)</x:f>
      </x:c>
      <x:c r="F496" t="str">
        <x:f>IF(CaseLedger!$A496="","",CaseLedger!P496)</x:f>
      </x:c>
      <x:c r="G496" t="str">
        <x:f>IF(CaseLedger!$A496="","",CaseLedger!F496)</x:f>
      </x:c>
      <x:c r="H496" t="str">
        <x:f>IF(CaseLedger!$A496="","",CaseLedger!Q496)</x:f>
      </x:c>
      <x:c r="I496" t="str">
        <x:f>IF(CaseLedger!$A496="","",CaseLedger!R496)</x:f>
      </x:c>
      <x:c r="J496" t="str">
        <x:f>IF(CaseLedger!$A496="","",CaseLedger!S496)</x:f>
      </x:c>
      <x:c r="K496" t="str">
        <x:f>IF(CaseLedger!$A496="","",CaseLedger!T496)</x:f>
      </x:c>
      <x:c r="L496" t="str">
        <x:f>IF(CaseLedger!$A496="","",CaseLedger!U496)</x:f>
      </x:c>
      <x:c r="M496" t="str">
        <x:f>IF(CaseLedger!$A496="","",CaseLedger!V496)</x:f>
      </x:c>
      <x:c r="N496" t="str">
        <x:f>IF(CaseLedger!$A496="","",CaseLedger!W496)</x:f>
      </x:c>
      <x:c r="O496" t="str">
        <x:f>IF(CaseLedger!$A496="","",CaseLedger!X496)</x:f>
      </x:c>
      <x:c r="P496" t="str">
        <x:f>IF(CaseLedger!$A496="","",CaseLedger!E496)</x:f>
      </x:c>
      <x:c r="Q496" t="str">
        <x:f>IF(CaseLedger!$A496="","",CaseLedger!C496)</x:f>
      </x:c>
      <x:c r="R496" t="str">
        <x:f>IF(CaseLedger!$A496="","",CaseLedger!D496)</x:f>
      </x:c>
      <x:c r="S496" t="str">
        <x:f>IFERROR(IF(CaseLedger!$A496="","",CaseLedger!Y496),"")</x:f>
      </x:c>
      <x:c r="T496" t="str">
        <x:f>IFERROR(IF(CaseLedger!$A496="","",CaseLedger!Z496),"")</x:f>
      </x:c>
      <x:c r="U496" t="str">
        <x:f>IFERROR(IF(CaseLedger!$A496="","",CaseLedger!AA496),"")</x:f>
      </x:c>
      <x:c r="V496" t="str">
        <x:f>IFERROR(IF(CaseLedger!$A496="","",CaseLedger!AB496),"")</x:f>
      </x:c>
      <x:c r="W496" t="str">
        <x:f>IFERROR(IF(CaseLedger!$A496="","",CaseLedger!AC496),"")</x:f>
      </x:c>
      <x:c r="X496" t="str">
        <x:f>IFERROR(IF(CaseLedger!$A496="","",CaseLedger!AD496),"")</x:f>
      </x:c>
      <x:c r="Y496" t="str">
        <x:f>IFERROR(IF(CaseLedger!$A496="","",CaseLedger!AE496),"")</x:f>
      </x:c>
      <x:c r="Z496" t="str">
        <x:f>IFERROR(IF(CaseLedger!$A496="","",CaseLedger!AF496),"")</x:f>
      </x:c>
      <x:c r="AA496" t="str">
        <x:f>IFERROR(IF(CaseLedger!$A496="","",CaseLedger!AG496),"")</x:f>
      </x:c>
      <x:c r="AB496" t="str">
        <x:f>IFERROR(IF(CaseLedger!$A496="","",CaseLedger!AH496),"")</x:f>
      </x:c>
      <x:c r="AC496" t="str">
        <x:f>IFERROR(IF(CaseLedger!$A496="","",CaseLedger!AI496),"")</x:f>
      </x:c>
    </x:row>
    <x:row r="497">
      <x:c r="A497" t="str">
        <x:f>IF(CaseLedger!$A497="","",CaseLedger!A497)</x:f>
      </x:c>
      <x:c r="B497" t="str">
        <x:f>IF(CaseLedger!$A497="","",CaseLedger!I497)</x:f>
      </x:c>
      <x:c r="C497" t="str">
        <x:f>IF(CaseLedger!$A497="","",CaseLedger!J497)</x:f>
      </x:c>
      <x:c r="D497" t="str">
        <x:f>IF(CaseLedger!$A497="","",CaseLedger!K497)</x:f>
      </x:c>
      <x:c r="E497" t="str">
        <x:f>IF(CaseLedger!$A497="","",CaseLedger!L497)</x:f>
      </x:c>
      <x:c r="F497" t="str">
        <x:f>IF(CaseLedger!$A497="","",CaseLedger!P497)</x:f>
      </x:c>
      <x:c r="G497" t="str">
        <x:f>IF(CaseLedger!$A497="","",CaseLedger!F497)</x:f>
      </x:c>
      <x:c r="H497" t="str">
        <x:f>IF(CaseLedger!$A497="","",CaseLedger!Q497)</x:f>
      </x:c>
      <x:c r="I497" t="str">
        <x:f>IF(CaseLedger!$A497="","",CaseLedger!R497)</x:f>
      </x:c>
      <x:c r="J497" t="str">
        <x:f>IF(CaseLedger!$A497="","",CaseLedger!S497)</x:f>
      </x:c>
      <x:c r="K497" t="str">
        <x:f>IF(CaseLedger!$A497="","",CaseLedger!T497)</x:f>
      </x:c>
      <x:c r="L497" t="str">
        <x:f>IF(CaseLedger!$A497="","",CaseLedger!U497)</x:f>
      </x:c>
      <x:c r="M497" t="str">
        <x:f>IF(CaseLedger!$A497="","",CaseLedger!V497)</x:f>
      </x:c>
      <x:c r="N497" t="str">
        <x:f>IF(CaseLedger!$A497="","",CaseLedger!W497)</x:f>
      </x:c>
      <x:c r="O497" t="str">
        <x:f>IF(CaseLedger!$A497="","",CaseLedger!X497)</x:f>
      </x:c>
      <x:c r="P497" t="str">
        <x:f>IF(CaseLedger!$A497="","",CaseLedger!E497)</x:f>
      </x:c>
      <x:c r="Q497" t="str">
        <x:f>IF(CaseLedger!$A497="","",CaseLedger!C497)</x:f>
      </x:c>
      <x:c r="R497" t="str">
        <x:f>IF(CaseLedger!$A497="","",CaseLedger!D497)</x:f>
      </x:c>
      <x:c r="S497" t="str">
        <x:f>IFERROR(IF(CaseLedger!$A497="","",CaseLedger!Y497),"")</x:f>
      </x:c>
      <x:c r="T497" t="str">
        <x:f>IFERROR(IF(CaseLedger!$A497="","",CaseLedger!Z497),"")</x:f>
      </x:c>
      <x:c r="U497" t="str">
        <x:f>IFERROR(IF(CaseLedger!$A497="","",CaseLedger!AA497),"")</x:f>
      </x:c>
      <x:c r="V497" t="str">
        <x:f>IFERROR(IF(CaseLedger!$A497="","",CaseLedger!AB497),"")</x:f>
      </x:c>
      <x:c r="W497" t="str">
        <x:f>IFERROR(IF(CaseLedger!$A497="","",CaseLedger!AC497),"")</x:f>
      </x:c>
      <x:c r="X497" t="str">
        <x:f>IFERROR(IF(CaseLedger!$A497="","",CaseLedger!AD497),"")</x:f>
      </x:c>
      <x:c r="Y497" t="str">
        <x:f>IFERROR(IF(CaseLedger!$A497="","",CaseLedger!AE497),"")</x:f>
      </x:c>
      <x:c r="Z497" t="str">
        <x:f>IFERROR(IF(CaseLedger!$A497="","",CaseLedger!AF497),"")</x:f>
      </x:c>
      <x:c r="AA497" t="str">
        <x:f>IFERROR(IF(CaseLedger!$A497="","",CaseLedger!AG497),"")</x:f>
      </x:c>
      <x:c r="AB497" t="str">
        <x:f>IFERROR(IF(CaseLedger!$A497="","",CaseLedger!AH497),"")</x:f>
      </x:c>
      <x:c r="AC497" t="str">
        <x:f>IFERROR(IF(CaseLedger!$A497="","",CaseLedger!AI497),"")</x:f>
      </x:c>
    </x:row>
    <x:row r="498">
      <x:c r="A498" t="str">
        <x:f>IF(CaseLedger!$A498="","",CaseLedger!A498)</x:f>
      </x:c>
      <x:c r="B498" t="str">
        <x:f>IF(CaseLedger!$A498="","",CaseLedger!I498)</x:f>
      </x:c>
      <x:c r="C498" t="str">
        <x:f>IF(CaseLedger!$A498="","",CaseLedger!J498)</x:f>
      </x:c>
      <x:c r="D498" t="str">
        <x:f>IF(CaseLedger!$A498="","",CaseLedger!K498)</x:f>
      </x:c>
      <x:c r="E498" t="str">
        <x:f>IF(CaseLedger!$A498="","",CaseLedger!L498)</x:f>
      </x:c>
      <x:c r="F498" t="str">
        <x:f>IF(CaseLedger!$A498="","",CaseLedger!P498)</x:f>
      </x:c>
      <x:c r="G498" t="str">
        <x:f>IF(CaseLedger!$A498="","",CaseLedger!F498)</x:f>
      </x:c>
      <x:c r="H498" t="str">
        <x:f>IF(CaseLedger!$A498="","",CaseLedger!Q498)</x:f>
      </x:c>
      <x:c r="I498" t="str">
        <x:f>IF(CaseLedger!$A498="","",CaseLedger!R498)</x:f>
      </x:c>
      <x:c r="J498" t="str">
        <x:f>IF(CaseLedger!$A498="","",CaseLedger!S498)</x:f>
      </x:c>
      <x:c r="K498" t="str">
        <x:f>IF(CaseLedger!$A498="","",CaseLedger!T498)</x:f>
      </x:c>
      <x:c r="L498" t="str">
        <x:f>IF(CaseLedger!$A498="","",CaseLedger!U498)</x:f>
      </x:c>
      <x:c r="M498" t="str">
        <x:f>IF(CaseLedger!$A498="","",CaseLedger!V498)</x:f>
      </x:c>
      <x:c r="N498" t="str">
        <x:f>IF(CaseLedger!$A498="","",CaseLedger!W498)</x:f>
      </x:c>
      <x:c r="O498" t="str">
        <x:f>IF(CaseLedger!$A498="","",CaseLedger!X498)</x:f>
      </x:c>
      <x:c r="P498" t="str">
        <x:f>IF(CaseLedger!$A498="","",CaseLedger!E498)</x:f>
      </x:c>
      <x:c r="Q498" t="str">
        <x:f>IF(CaseLedger!$A498="","",CaseLedger!C498)</x:f>
      </x:c>
      <x:c r="R498" t="str">
        <x:f>IF(CaseLedger!$A498="","",CaseLedger!D498)</x:f>
      </x:c>
      <x:c r="S498" t="str">
        <x:f>IFERROR(IF(CaseLedger!$A498="","",CaseLedger!Y498),"")</x:f>
      </x:c>
      <x:c r="T498" t="str">
        <x:f>IFERROR(IF(CaseLedger!$A498="","",CaseLedger!Z498),"")</x:f>
      </x:c>
      <x:c r="U498" t="str">
        <x:f>IFERROR(IF(CaseLedger!$A498="","",CaseLedger!AA498),"")</x:f>
      </x:c>
      <x:c r="V498" t="str">
        <x:f>IFERROR(IF(CaseLedger!$A498="","",CaseLedger!AB498),"")</x:f>
      </x:c>
      <x:c r="W498" t="str">
        <x:f>IFERROR(IF(CaseLedger!$A498="","",CaseLedger!AC498),"")</x:f>
      </x:c>
      <x:c r="X498" t="str">
        <x:f>IFERROR(IF(CaseLedger!$A498="","",CaseLedger!AD498),"")</x:f>
      </x:c>
      <x:c r="Y498" t="str">
        <x:f>IFERROR(IF(CaseLedger!$A498="","",CaseLedger!AE498),"")</x:f>
      </x:c>
      <x:c r="Z498" t="str">
        <x:f>IFERROR(IF(CaseLedger!$A498="","",CaseLedger!AF498),"")</x:f>
      </x:c>
      <x:c r="AA498" t="str">
        <x:f>IFERROR(IF(CaseLedger!$A498="","",CaseLedger!AG498),"")</x:f>
      </x:c>
      <x:c r="AB498" t="str">
        <x:f>IFERROR(IF(CaseLedger!$A498="","",CaseLedger!AH498),"")</x:f>
      </x:c>
      <x:c r="AC498" t="str">
        <x:f>IFERROR(IF(CaseLedger!$A498="","",CaseLedger!AI498),"")</x:f>
      </x:c>
    </x:row>
    <x:row r="499">
      <x:c r="A499" t="str">
        <x:f>IF(CaseLedger!$A499="","",CaseLedger!A499)</x:f>
      </x:c>
      <x:c r="B499" t="str">
        <x:f>IF(CaseLedger!$A499="","",CaseLedger!I499)</x:f>
      </x:c>
      <x:c r="C499" t="str">
        <x:f>IF(CaseLedger!$A499="","",CaseLedger!J499)</x:f>
      </x:c>
      <x:c r="D499" t="str">
        <x:f>IF(CaseLedger!$A499="","",CaseLedger!K499)</x:f>
      </x:c>
      <x:c r="E499" t="str">
        <x:f>IF(CaseLedger!$A499="","",CaseLedger!L499)</x:f>
      </x:c>
      <x:c r="F499" t="str">
        <x:f>IF(CaseLedger!$A499="","",CaseLedger!P499)</x:f>
      </x:c>
      <x:c r="G499" t="str">
        <x:f>IF(CaseLedger!$A499="","",CaseLedger!F499)</x:f>
      </x:c>
      <x:c r="H499" t="str">
        <x:f>IF(CaseLedger!$A499="","",CaseLedger!Q499)</x:f>
      </x:c>
      <x:c r="I499" t="str">
        <x:f>IF(CaseLedger!$A499="","",CaseLedger!R499)</x:f>
      </x:c>
      <x:c r="J499" t="str">
        <x:f>IF(CaseLedger!$A499="","",CaseLedger!S499)</x:f>
      </x:c>
      <x:c r="K499" t="str">
        <x:f>IF(CaseLedger!$A499="","",CaseLedger!T499)</x:f>
      </x:c>
      <x:c r="L499" t="str">
        <x:f>IF(CaseLedger!$A499="","",CaseLedger!U499)</x:f>
      </x:c>
      <x:c r="M499" t="str">
        <x:f>IF(CaseLedger!$A499="","",CaseLedger!V499)</x:f>
      </x:c>
      <x:c r="N499" t="str">
        <x:f>IF(CaseLedger!$A499="","",CaseLedger!W499)</x:f>
      </x:c>
      <x:c r="O499" t="str">
        <x:f>IF(CaseLedger!$A499="","",CaseLedger!X499)</x:f>
      </x:c>
      <x:c r="P499" t="str">
        <x:f>IF(CaseLedger!$A499="","",CaseLedger!E499)</x:f>
      </x:c>
      <x:c r="Q499" t="str">
        <x:f>IF(CaseLedger!$A499="","",CaseLedger!C499)</x:f>
      </x:c>
      <x:c r="R499" t="str">
        <x:f>IF(CaseLedger!$A499="","",CaseLedger!D499)</x:f>
      </x:c>
      <x:c r="S499" t="str">
        <x:f>IFERROR(IF(CaseLedger!$A499="","",CaseLedger!Y499),"")</x:f>
      </x:c>
      <x:c r="T499" t="str">
        <x:f>IFERROR(IF(CaseLedger!$A499="","",CaseLedger!Z499),"")</x:f>
      </x:c>
      <x:c r="U499" t="str">
        <x:f>IFERROR(IF(CaseLedger!$A499="","",CaseLedger!AA499),"")</x:f>
      </x:c>
      <x:c r="V499" t="str">
        <x:f>IFERROR(IF(CaseLedger!$A499="","",CaseLedger!AB499),"")</x:f>
      </x:c>
      <x:c r="W499" t="str">
        <x:f>IFERROR(IF(CaseLedger!$A499="","",CaseLedger!AC499),"")</x:f>
      </x:c>
      <x:c r="X499" t="str">
        <x:f>IFERROR(IF(CaseLedger!$A499="","",CaseLedger!AD499),"")</x:f>
      </x:c>
      <x:c r="Y499" t="str">
        <x:f>IFERROR(IF(CaseLedger!$A499="","",CaseLedger!AE499),"")</x:f>
      </x:c>
      <x:c r="Z499" t="str">
        <x:f>IFERROR(IF(CaseLedger!$A499="","",CaseLedger!AF499),"")</x:f>
      </x:c>
      <x:c r="AA499" t="str">
        <x:f>IFERROR(IF(CaseLedger!$A499="","",CaseLedger!AG499),"")</x:f>
      </x:c>
      <x:c r="AB499" t="str">
        <x:f>IFERROR(IF(CaseLedger!$A499="","",CaseLedger!AH499),"")</x:f>
      </x:c>
      <x:c r="AC499" t="str">
        <x:f>IFERROR(IF(CaseLedger!$A499="","",CaseLedger!AI499),"")</x:f>
      </x:c>
    </x:row>
    <x:row r="500">
      <x:c r="A500" t="str">
        <x:f>IF(CaseLedger!$A500="","",CaseLedger!A500)</x:f>
      </x:c>
      <x:c r="B500" t="str">
        <x:f>IF(CaseLedger!$A500="","",CaseLedger!I500)</x:f>
      </x:c>
      <x:c r="C500" t="str">
        <x:f>IF(CaseLedger!$A500="","",CaseLedger!J500)</x:f>
      </x:c>
      <x:c r="D500" t="str">
        <x:f>IF(CaseLedger!$A500="","",CaseLedger!K500)</x:f>
      </x:c>
      <x:c r="E500" t="str">
        <x:f>IF(CaseLedger!$A500="","",CaseLedger!L500)</x:f>
      </x:c>
      <x:c r="F500" t="str">
        <x:f>IF(CaseLedger!$A500="","",CaseLedger!P500)</x:f>
      </x:c>
      <x:c r="G500" t="str">
        <x:f>IF(CaseLedger!$A500="","",CaseLedger!F500)</x:f>
      </x:c>
      <x:c r="H500" t="str">
        <x:f>IF(CaseLedger!$A500="","",CaseLedger!Q500)</x:f>
      </x:c>
      <x:c r="I500" t="str">
        <x:f>IF(CaseLedger!$A500="","",CaseLedger!R500)</x:f>
      </x:c>
      <x:c r="J500" t="str">
        <x:f>IF(CaseLedger!$A500="","",CaseLedger!S500)</x:f>
      </x:c>
      <x:c r="K500" t="str">
        <x:f>IF(CaseLedger!$A500="","",CaseLedger!T500)</x:f>
      </x:c>
      <x:c r="L500" t="str">
        <x:f>IF(CaseLedger!$A500="","",CaseLedger!U500)</x:f>
      </x:c>
      <x:c r="M500" t="str">
        <x:f>IF(CaseLedger!$A500="","",CaseLedger!V500)</x:f>
      </x:c>
      <x:c r="N500" t="str">
        <x:f>IF(CaseLedger!$A500="","",CaseLedger!W500)</x:f>
      </x:c>
      <x:c r="O500" t="str">
        <x:f>IF(CaseLedger!$A500="","",CaseLedger!X500)</x:f>
      </x:c>
      <x:c r="P500" t="str">
        <x:f>IF(CaseLedger!$A500="","",CaseLedger!E500)</x:f>
      </x:c>
      <x:c r="Q500" t="str">
        <x:f>IF(CaseLedger!$A500="","",CaseLedger!C500)</x:f>
      </x:c>
      <x:c r="R500" t="str">
        <x:f>IF(CaseLedger!$A500="","",CaseLedger!D500)</x:f>
      </x:c>
      <x:c r="S500" t="str">
        <x:f>IFERROR(IF(CaseLedger!$A500="","",CaseLedger!Y500),"")</x:f>
      </x:c>
      <x:c r="T500" t="str">
        <x:f>IFERROR(IF(CaseLedger!$A500="","",CaseLedger!Z500),"")</x:f>
      </x:c>
      <x:c r="U500" t="str">
        <x:f>IFERROR(IF(CaseLedger!$A500="","",CaseLedger!AA500),"")</x:f>
      </x:c>
      <x:c r="V500" t="str">
        <x:f>IFERROR(IF(CaseLedger!$A500="","",CaseLedger!AB500),"")</x:f>
      </x:c>
      <x:c r="W500" t="str">
        <x:f>IFERROR(IF(CaseLedger!$A500="","",CaseLedger!AC500),"")</x:f>
      </x:c>
      <x:c r="X500" t="str">
        <x:f>IFERROR(IF(CaseLedger!$A500="","",CaseLedger!AD500),"")</x:f>
      </x:c>
      <x:c r="Y500" t="str">
        <x:f>IFERROR(IF(CaseLedger!$A500="","",CaseLedger!AE500),"")</x:f>
      </x:c>
      <x:c r="Z500" t="str">
        <x:f>IFERROR(IF(CaseLedger!$A500="","",CaseLedger!AF500),"")</x:f>
      </x:c>
      <x:c r="AA500" t="str">
        <x:f>IFERROR(IF(CaseLedger!$A500="","",CaseLedger!AG500),"")</x:f>
      </x:c>
      <x:c r="AB500" t="str">
        <x:f>IFERROR(IF(CaseLedger!$A500="","",CaseLedger!AH500),"")</x:f>
      </x:c>
      <x:c r="AC500" t="str">
        <x:f>IFERROR(IF(CaseLedger!$A500="","",CaseLedger!AI500),"")</x:f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4" hidden="0" customWidth="1"/>
    <x:col min="4" max="4" width="16" hidden="0" customWidth="1"/>
    <x:col min="5" max="5" width="26" hidden="0" customWidth="1"/>
    <x:col min="6" max="6" width="22" hidden="0" customWidth="1"/>
    <x:col min="7" max="7" width="24" hidden="0" customWidth="1"/>
    <x:col min="8" max="8" width="16" hidden="0" customWidth="1"/>
    <x:col min="9" max="9" width="40" hidden="0" customWidth="1"/>
    <x:col min="10" max="10" width="48" hidden="0" customWidth="1"/>
    <x:col min="11" max="11" width="30" hidden="0" customWidth="1"/>
    <x:col min="12" max="12" width="30" hidden="0" customWidth="1"/>
    <x:col min="13" max="13" width="24" hidden="0" customWidth="1"/>
    <x:col min="14" max="14" width="14" hidden="0" customWidth="1"/>
    <x:col min="15" max="15" width="18" hidden="0" customWidth="1"/>
    <x:col min="16" max="16" width="44" hidden="0" customWidth="1"/>
    <x:col min="17" max="17" width="50" hidden="0" customWidth="1"/>
  </x:cols>
  <x:sheetData>
    <x:row r="1" ht="24" customHeight="1">
      <x:c r="A1" s="32" t="str">
        <x:v>testimonial_id</x:v>
      </x:c>
      <x:c r="B1" s="32" t="str">
        <x:v>display_order</x:v>
      </x:c>
      <x:c r="C1" s="32" t="str">
        <x:v>anonymized_name</x:v>
      </x:c>
      <x:c r="D1" s="32" t="str">
        <x:v>public_role</x:v>
      </x:c>
      <x:c r="E1" s="32" t="str">
        <x:v>mentorship_track</x:v>
      </x:c>
      <x:c r="F1" s="32" t="str">
        <x:v>mentee_stage</x:v>
      </x:c>
      <x:c r="G1" s="32" t="str">
        <x:v>public_location</x:v>
      </x:c>
      <x:c r="H1" s="32" t="str">
        <x:v>period_label</x:v>
      </x:c>
      <x:c r="I1" s="32" t="str">
        <x:v>outcome_summary</x:v>
      </x:c>
      <x:c r="J1" s="32" t="str">
        <x:v>testimonial_text</x:v>
      </x:c>
      <x:c r="K1" s="32" t="str">
        <x:v>profile_image_url</x:v>
      </x:c>
      <x:c r="L1" s="32" t="str">
        <x:v>profile_image_alt</x:v>
      </x:c>
      <x:c r="M1" s="32" t="str">
        <x:v>carousel_tagline</x:v>
      </x:c>
      <x:c r="N1" s="32" t="str">
        <x:v>consent_received</x:v>
      </x:c>
      <x:c r="O1" s="32" t="str">
        <x:v>publish_status</x:v>
      </x:c>
      <x:c r="P1" s="32" t="str">
        <x:v>privacy_note</x:v>
      </x:c>
      <x:c r="Q1" s="32" t="str">
        <x:v>editing_note</x:v>
      </x:c>
    </x:row>
    <x:row r="2">
      <x:c r="A2" t="str">
        <x:v>HUM-MENT-001</x:v>
      </x:c>
      <x:c r="B2" t="n">
        <x:v>1</x:v>
      </x:c>
      <x:c r="C2" t="str">
        <x:v>Anonymized mentee 1</x:v>
      </x:c>
      <x:c r="D2" t="str">
        <x:v>Mentee</x:v>
      </x:c>
      <x:c r="E2" t="str">
        <x:v>Resume Review</x:v>
      </x:c>
      <x:c r="F2" t="str">
        <x:v>Final-year student</x:v>
      </x:c>
      <x:c r="G2" t="str">
        <x:v>Public-safe city/state only</x:v>
      </x:c>
      <x:c r="H2" t="str">
        <x:v>Add month/year</x:v>
      </x:c>
      <x:c r="I2" t="str">
        <x:v>Add only a verified outcome, e.g. resume improved, interview prepared, offer received, internship secured, or course completed.</x:v>
      </x:c>
      <x:c r="J2" t="str">
        <x:v>Replace this placeholder with a real mentee testimonial after consent. Do not publish this placeholder as a real quote.</x:v>
      </x:c>
      <x:c r="K2"/>
      <x:c r="L2" t="str">
        <x:v>Optional anonymized profile image/avatar for HUM-MENT-001; add only after consent.</x:v>
      </x:c>
      <x:c r="M2" t="str">
        <x:v>Resume clarity</x:v>
      </x:c>
      <x:c r="N2" t="str">
        <x:v>No</x:v>
      </x:c>
      <x:c r="O2" t="str">
        <x:v>Draft - replace with real consented testimonial</x:v>
      </x:c>
      <x:c r="P2" t="str">
        <x:v>Anonymized public testimonial; no full name, phone, address, ID, private documents, employer-sensitive details, or donor identity included.</x:v>
      </x:c>
      <x:c r="Q2" t="str">
        <x:v>When ready: add real quote, verify outcome, set consent_received=Yes, set publish_status=Publish.</x:v>
      </x:c>
    </x:row>
    <x:row r="3">
      <x:c r="A3" t="str">
        <x:v>HUM-MENT-002</x:v>
      </x:c>
      <x:c r="B3" t="n">
        <x:v>2</x:v>
      </x:c>
      <x:c r="C3" t="str">
        <x:v>Anonymized mentee 2</x:v>
      </x:c>
      <x:c r="D3" t="str">
        <x:v>Mentee</x:v>
      </x:c>
      <x:c r="E3" t="str">
        <x:v>Interview Preparation</x:v>
      </x:c>
      <x:c r="F3" t="str">
        <x:v>Graduate job seeker</x:v>
      </x:c>
      <x:c r="G3" t="str">
        <x:v>Public-safe city/state only</x:v>
      </x:c>
      <x:c r="H3" t="str">
        <x:v>Add month/year</x:v>
      </x:c>
      <x:c r="I3" t="str">
        <x:v>Add only a verified outcome, e.g. resume improved, interview prepared, offer received, internship secured, or course completed.</x:v>
      </x:c>
      <x:c r="J3" t="str">
        <x:v>Replace this placeholder with a real mentee testimonial after consent. Do not publish this placeholder as a real quote.</x:v>
      </x:c>
      <x:c r="K3"/>
      <x:c r="L3" t="str">
        <x:v>Optional anonymized profile image/avatar for HUM-MENT-002; add only after consent.</x:v>
      </x:c>
      <x:c r="M3" t="str">
        <x:v>Interview confidence</x:v>
      </x:c>
      <x:c r="N3" t="str">
        <x:v>No</x:v>
      </x:c>
      <x:c r="O3" t="str">
        <x:v>Draft - replace with real consented testimonial</x:v>
      </x:c>
      <x:c r="P3" t="str">
        <x:v>Anonymized public testimonial; no full name, phone, address, ID, private documents, employer-sensitive details, or donor identity included.</x:v>
      </x:c>
      <x:c r="Q3" t="str">
        <x:v>When ready: add real quote, verify outcome, set consent_received=Yes, set publish_status=Publish.</x:v>
      </x:c>
    </x:row>
    <x:row r="4">
      <x:c r="A4" t="str">
        <x:v>HUM-MENT-003</x:v>
      </x:c>
      <x:c r="B4" t="n">
        <x:v>3</x:v>
      </x:c>
      <x:c r="C4" t="str">
        <x:v>Anonymized mentee 3</x:v>
      </x:c>
      <x:c r="D4" t="str">
        <x:v>Mentee</x:v>
      </x:c>
      <x:c r="E4" t="str">
        <x:v>Coding / IT Guidance</x:v>
      </x:c>
      <x:c r="F4" t="str">
        <x:v>Early-career learner</x:v>
      </x:c>
      <x:c r="G4" t="str">
        <x:v>Public-safe city/state only</x:v>
      </x:c>
      <x:c r="H4" t="str">
        <x:v>Add month/year</x:v>
      </x:c>
      <x:c r="I4" t="str">
        <x:v>Add only a verified outcome, e.g. resume improved, interview prepared, offer received, internship secured, or course completed.</x:v>
      </x:c>
      <x:c r="J4" t="str">
        <x:v>Replace this placeholder with a real mentee testimonial after consent. Do not publish this placeholder as a real quote.</x:v>
      </x:c>
      <x:c r="K4"/>
      <x:c r="L4" t="str">
        <x:v>Optional anonymized profile image/avatar for HUM-MENT-003; add only after consent.</x:v>
      </x:c>
      <x:c r="M4" t="str">
        <x:v>Guided practice</x:v>
      </x:c>
      <x:c r="N4" t="str">
        <x:v>No</x:v>
      </x:c>
      <x:c r="O4" t="str">
        <x:v>Draft - replace with real consented testimonial</x:v>
      </x:c>
      <x:c r="P4" t="str">
        <x:v>Anonymized public testimonial; no full name, phone, address, ID, private documents, employer-sensitive details, or donor identity included.</x:v>
      </x:c>
      <x:c r="Q4" t="str">
        <x:v>When ready: add real quote, verify outcome, set consent_received=Yes, set publish_status=Publish.</x:v>
      </x:c>
    </x:row>
    <x:row r="5">
      <x:c r="A5" t="str">
        <x:v>HUM-MENT-004</x:v>
      </x:c>
      <x:c r="B5" t="n">
        <x:v>4</x:v>
      </x:c>
      <x:c r="C5" t="str">
        <x:v>Anonymized mentee 4</x:v>
      </x:c>
      <x:c r="D5" t="str">
        <x:v>Mentee</x:v>
      </x:c>
      <x:c r="E5" t="str">
        <x:v>Data / Analytics Guidance</x:v>
      </x:c>
      <x:c r="F5" t="str">
        <x:v>Graduate job seeker</x:v>
      </x:c>
      <x:c r="G5" t="str">
        <x:v>Public-safe city/state only</x:v>
      </x:c>
      <x:c r="H5" t="str">
        <x:v>Add month/year</x:v>
      </x:c>
      <x:c r="I5" t="str">
        <x:v>Add only a verified outcome, e.g. resume improved, interview prepared, offer received, internship secured, or course completed.</x:v>
      </x:c>
      <x:c r="J5" t="str">
        <x:v>Replace this placeholder with a real mentee testimonial after consent. Do not publish this placeholder as a real quote.</x:v>
      </x:c>
      <x:c r="K5"/>
      <x:c r="L5" t="str">
        <x:v>Optional anonymized profile image/avatar for HUM-MENT-004; add only after consent.</x:v>
      </x:c>
      <x:c r="M5" t="str">
        <x:v>Skill direction</x:v>
      </x:c>
      <x:c r="N5" t="str">
        <x:v>No</x:v>
      </x:c>
      <x:c r="O5" t="str">
        <x:v>Draft - replace with real consented testimonial</x:v>
      </x:c>
      <x:c r="P5" t="str">
        <x:v>Anonymized public testimonial; no full name, phone, address, ID, private documents, employer-sensitive details, or donor identity included.</x:v>
      </x:c>
      <x:c r="Q5" t="str">
        <x:v>When ready: add real quote, verify outcome, set consent_received=Yes, set publish_status=Publish.</x:v>
      </x:c>
    </x:row>
    <x:row r="6">
      <x:c r="A6" t="str">
        <x:v>HUM-MENT-005</x:v>
      </x:c>
      <x:c r="B6" t="n">
        <x:v>5</x:v>
      </x:c>
      <x:c r="C6" t="str">
        <x:v>Anonymized mentee 5</x:v>
      </x:c>
      <x:c r="D6" t="str">
        <x:v>Mentee</x:v>
      </x:c>
      <x:c r="E6" t="str">
        <x:v>Course Selection</x:v>
      </x:c>
      <x:c r="F6" t="str">
        <x:v>Undergraduate student</x:v>
      </x:c>
      <x:c r="G6" t="str">
        <x:v>Public-safe city/state only</x:v>
      </x:c>
      <x:c r="H6" t="str">
        <x:v>Add month/year</x:v>
      </x:c>
      <x:c r="I6" t="str">
        <x:v>Add only a verified outcome, e.g. resume improved, interview prepared, offer received, internship secured, or course completed.</x:v>
      </x:c>
      <x:c r="J6" t="str">
        <x:v>Replace this placeholder with a real mentee testimonial after consent. Do not publish this placeholder as a real quote.</x:v>
      </x:c>
      <x:c r="K6"/>
      <x:c r="L6" t="str">
        <x:v>Optional anonymized profile image/avatar for HUM-MENT-005; add only after consent.</x:v>
      </x:c>
      <x:c r="M6" t="str">
        <x:v>Course clarity</x:v>
      </x:c>
      <x:c r="N6" t="str">
        <x:v>No</x:v>
      </x:c>
      <x:c r="O6" t="str">
        <x:v>Draft - replace with real consented testimonial</x:v>
      </x:c>
      <x:c r="P6" t="str">
        <x:v>Anonymized public testimonial; no full name, phone, address, ID, private documents, employer-sensitive details, or donor identity included.</x:v>
      </x:c>
      <x:c r="Q6" t="str">
        <x:v>When ready: add real quote, verify outcome, set consent_received=Yes, set publish_status=Publish.</x:v>
      </x:c>
    </x:row>
    <x:row r="7">
      <x:c r="A7" t="str">
        <x:v>HUM-MENT-006</x:v>
      </x:c>
      <x:c r="B7" t="n">
        <x:v>6</x:v>
      </x:c>
      <x:c r="C7" t="str">
        <x:v>Anonymized mentee 6</x:v>
      </x:c>
      <x:c r="D7" t="str">
        <x:v>Mentee</x:v>
      </x:c>
      <x:c r="E7" t="str">
        <x:v>English Communication</x:v>
      </x:c>
      <x:c r="F7" t="str">
        <x:v>Student job seeker</x:v>
      </x:c>
      <x:c r="G7" t="str">
        <x:v>Public-safe city/state only</x:v>
      </x:c>
      <x:c r="H7" t="str">
        <x:v>Add month/year</x:v>
      </x:c>
      <x:c r="I7" t="str">
        <x:v>Add only a verified outcome, e.g. resume improved, interview prepared, offer received, internship secured, or course completed.</x:v>
      </x:c>
      <x:c r="J7" t="str">
        <x:v>Replace this placeholder with a real mentee testimonial after consent. Do not publish this placeholder as a real quote.</x:v>
      </x:c>
      <x:c r="K7"/>
      <x:c r="L7" t="str">
        <x:v>Optional anonymized profile image/avatar for HUM-MENT-006; add only after consent.</x:v>
      </x:c>
      <x:c r="M7" t="str">
        <x:v>Communication support</x:v>
      </x:c>
      <x:c r="N7" t="str">
        <x:v>No</x:v>
      </x:c>
      <x:c r="O7" t="str">
        <x:v>Draft - replace with real consented testimonial</x:v>
      </x:c>
      <x:c r="P7" t="str">
        <x:v>Anonymized public testimonial; no full name, phone, address, ID, private documents, employer-sensitive details, or donor identity included.</x:v>
      </x:c>
      <x:c r="Q7" t="str">
        <x:v>When ready: add real quote, verify outcome, set consent_received=Yes, set publish_status=Publish.</x:v>
      </x:c>
    </x:row>
    <x:row r="8">
      <x:c r="A8" t="str">
        <x:v>HUM-MENT-007</x:v>
      </x:c>
      <x:c r="B8" t="n">
        <x:v>7</x:v>
      </x:c>
      <x:c r="C8" t="str">
        <x:v>Anonymized mentee 7</x:v>
      </x:c>
      <x:c r="D8" t="str">
        <x:v>Mentee</x:v>
      </x:c>
      <x:c r="E8" t="str">
        <x:v>Career Direction</x:v>
      </x:c>
      <x:c r="F8" t="str">
        <x:v>Graduate job seeker</x:v>
      </x:c>
      <x:c r="G8" t="str">
        <x:v>Public-safe city/state only</x:v>
      </x:c>
      <x:c r="H8" t="str">
        <x:v>Add month/year</x:v>
      </x:c>
      <x:c r="I8" t="str">
        <x:v>Add only a verified outcome, e.g. resume improved, interview prepared, offer received, internship secured, or course completed.</x:v>
      </x:c>
      <x:c r="J8" t="str">
        <x:v>Replace this placeholder with a real mentee testimonial after consent. Do not publish this placeholder as a real quote.</x:v>
      </x:c>
      <x:c r="K8"/>
      <x:c r="L8" t="str">
        <x:v>Optional anonymized profile image/avatar for HUM-MENT-007; add only after consent.</x:v>
      </x:c>
      <x:c r="M8" t="str">
        <x:v>Career roadmap</x:v>
      </x:c>
      <x:c r="N8" t="str">
        <x:v>No</x:v>
      </x:c>
      <x:c r="O8" t="str">
        <x:v>Draft - replace with real consented testimonial</x:v>
      </x:c>
      <x:c r="P8" t="str">
        <x:v>Anonymized public testimonial; no full name, phone, address, ID, private documents, employer-sensitive details, or donor identity included.</x:v>
      </x:c>
      <x:c r="Q8" t="str">
        <x:v>When ready: add real quote, verify outcome, set consent_received=Yes, set publish_status=Publish.</x:v>
      </x:c>
    </x:row>
    <x:row r="9">
      <x:c r="A9" t="str">
        <x:v>HUM-MENT-008</x:v>
      </x:c>
      <x:c r="B9" t="n">
        <x:v>8</x:v>
      </x:c>
      <x:c r="C9" t="str">
        <x:v>Anonymized mentee 8</x:v>
      </x:c>
      <x:c r="D9" t="str">
        <x:v>Mentee</x:v>
      </x:c>
      <x:c r="E9" t="str">
        <x:v>Job Search Strategy</x:v>
      </x:c>
      <x:c r="F9" t="str">
        <x:v>Fresher candidate</x:v>
      </x:c>
      <x:c r="G9" t="str">
        <x:v>Public-safe city/state only</x:v>
      </x:c>
      <x:c r="H9" t="str">
        <x:v>Add month/year</x:v>
      </x:c>
      <x:c r="I9" t="str">
        <x:v>Add only a verified outcome, e.g. resume improved, interview prepared, offer received, internship secured, or course completed.</x:v>
      </x:c>
      <x:c r="J9" t="str">
        <x:v>Replace this placeholder with a real mentee testimonial after consent. Do not publish this placeholder as a real quote.</x:v>
      </x:c>
      <x:c r="K9"/>
      <x:c r="L9" t="str">
        <x:v>Optional anonymized profile image/avatar for HUM-MENT-008; add only after consent.</x:v>
      </x:c>
      <x:c r="M9" t="str">
        <x:v>Search structure</x:v>
      </x:c>
      <x:c r="N9" t="str">
        <x:v>No</x:v>
      </x:c>
      <x:c r="O9" t="str">
        <x:v>Draft - replace with real consented testimonial</x:v>
      </x:c>
      <x:c r="P9" t="str">
        <x:v>Anonymized public testimonial; no full name, phone, address, ID, private documents, employer-sensitive details, or donor identity included.</x:v>
      </x:c>
      <x:c r="Q9" t="str">
        <x:v>When ready: add real quote, verify outcome, set consent_received=Yes, set publish_status=Publish.</x:v>
      </x:c>
    </x:row>
    <x:row r="10">
      <x:c r="A10" t="str">
        <x:v>HUM-MENT-009</x:v>
      </x:c>
      <x:c r="B10" t="n">
        <x:v>9</x:v>
      </x:c>
      <x:c r="C10" t="str">
        <x:v>Anonymized mentee 9</x:v>
      </x:c>
      <x:c r="D10" t="str">
        <x:v>Mentee</x:v>
      </x:c>
      <x:c r="E10" t="str">
        <x:v>LinkedIn / Portfolio Review</x:v>
      </x:c>
      <x:c r="F10" t="str">
        <x:v>Early-career learner</x:v>
      </x:c>
      <x:c r="G10" t="str">
        <x:v>Public-safe city/state only</x:v>
      </x:c>
      <x:c r="H10" t="str">
        <x:v>Add month/year</x:v>
      </x:c>
      <x:c r="I10" t="str">
        <x:v>Add only a verified outcome, e.g. resume improved, interview prepared, offer received, internship secured, or course completed.</x:v>
      </x:c>
      <x:c r="J10" t="str">
        <x:v>Replace this placeholder with a real mentee testimonial after consent. Do not publish this placeholder as a real quote.</x:v>
      </x:c>
      <x:c r="K10"/>
      <x:c r="L10" t="str">
        <x:v>Optional anonymized profile image/avatar for HUM-MENT-009; add only after consent.</x:v>
      </x:c>
      <x:c r="M10" t="str">
        <x:v>Profile polish</x:v>
      </x:c>
      <x:c r="N10" t="str">
        <x:v>No</x:v>
      </x:c>
      <x:c r="O10" t="str">
        <x:v>Draft - replace with real consented testimonial</x:v>
      </x:c>
      <x:c r="P10" t="str">
        <x:v>Anonymized public testimonial; no full name, phone, address, ID, private documents, employer-sensitive details, or donor identity included.</x:v>
      </x:c>
      <x:c r="Q10" t="str">
        <x:v>When ready: add real quote, verify outcome, set consent_received=Yes, set publish_status=Publish.</x:v>
      </x:c>
    </x:row>
    <x:row r="11">
      <x:c r="A11" t="str">
        <x:v>HUM-MENT-010</x:v>
      </x:c>
      <x:c r="B11" t="n">
        <x:v>10</x:v>
      </x:c>
      <x:c r="C11" t="str">
        <x:v>Anonymized mentee 10</x:v>
      </x:c>
      <x:c r="D11" t="str">
        <x:v>Mentee</x:v>
      </x:c>
      <x:c r="E11" t="str">
        <x:v>Mentorship + Course Sponsorship</x:v>
      </x:c>
      <x:c r="F11" t="str">
        <x:v>Course-sponsored mentee</x:v>
      </x:c>
      <x:c r="G11" t="str">
        <x:v>Public-safe city/state only</x:v>
      </x:c>
      <x:c r="H11" t="str">
        <x:v>Add month/year</x:v>
      </x:c>
      <x:c r="I11" t="str">
        <x:v>Add only a verified outcome, e.g. resume improved, interview prepared, offer received, internship secured, or course completed.</x:v>
      </x:c>
      <x:c r="J11" t="str">
        <x:v>Replace this placeholder with a real mentee testimonial after consent. Do not publish this placeholder as a real quote.</x:v>
      </x:c>
      <x:c r="K11"/>
      <x:c r="L11" t="str">
        <x:v>Optional anonymized profile image/avatar for HUM-MENT-010; add only after consent.</x:v>
      </x:c>
      <x:c r="M11" t="str">
        <x:v>Learning support</x:v>
      </x:c>
      <x:c r="N11" t="str">
        <x:v>No</x:v>
      </x:c>
      <x:c r="O11" t="str">
        <x:v>Draft - replace with real consented testimonial</x:v>
      </x:c>
      <x:c r="P11" t="str">
        <x:v>Anonymized public testimonial; no full name, phone, address, ID, private documents, employer-sensitive details, or donor identity included.</x:v>
      </x:c>
      <x:c r="Q11" t="str">
        <x:v>When ready: add real quote, verify outcome, set consent_received=Yes, set publish_status=Publish.</x:v>
      </x:c>
    </x:row>
  </x:sheetData>
  <x:dataValidations count="2">
    <x:dataValidation type="list" sqref="N2:N200">
      <x:formula1>Lists!$H$2:$H$3</x:formula1>
    </x:dataValidation>
    <x:dataValidation type="list" sqref="O2:O200">
      <x:formula1>Lists!$I$2:$I$4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18" hidden="0" customWidth="1"/>
    <x:col min="5" max="5" width="24" hidden="0" customWidth="1"/>
    <x:col min="6" max="6" width="52" hidden="0" customWidth="1"/>
    <x:col min="7" max="7" width="16" hidden="0" customWidth="1"/>
  </x:cols>
  <x:sheetData>
    <x:row r="1" ht="24" customHeight="1">
      <x:c r="A1" s="32" t="str">
        <x:v>campaign_name</x:v>
      </x:c>
      <x:c r="B1" s="32" t="str">
        <x:v>public_label</x:v>
      </x:c>
      <x:c r="C1" s="34" t="str">
        <x:v>amount_collected</x:v>
      </x:c>
      <x:c r="D1" s="34" t="str">
        <x:v>amount_disbursed</x:v>
      </x:c>
      <x:c r="E1" s="32" t="str">
        <x:v>status</x:v>
      </x:c>
      <x:c r="F1" s="32" t="str">
        <x:v>notes</x:v>
      </x:c>
      <x:c r="G1" s="32" t="str">
        <x:v>include_in_public</x:v>
      </x:c>
    </x:row>
    <x:row r="2">
      <x:c r="A2" t="str">
        <x:v>Gaza Drive</x:v>
      </x:c>
      <x:c r="B2" t="str">
        <x:v>Gaza Drive</x:v>
      </x:c>
      <x:c r="C2"/>
      <x:c r="D2"/>
      <x:c r="E2" t="str">
        <x:v>Manual public aggregate only</x:v>
      </x:c>
      <x:c r="F2" t="str">
        <x:v>Do not publish donor names or payment IDs.</x:v>
      </x:c>
      <x:c r="G2" t="str">
        <x:v>FALSE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82" hidden="0" customWidth="1"/>
    <x:col min="4" max="4" width="18" hidden="0" customWidth="1"/>
  </x:cols>
  <x:sheetData>
    <x:row r="1" ht="24" customHeight="1">
      <x:c r="A1" s="32" t="str">
        <x:v>tab_name</x:v>
      </x:c>
      <x:c r="B1" s="32" t="str">
        <x:v>env_var</x:v>
      </x:c>
      <x:c r="C1" s="32" t="str">
        <x:v>publish_as_csv_note</x:v>
      </x:c>
      <x:c r="D1" s="32" t="str">
        <x:v>public_or_helper</x:v>
      </x:c>
    </x:row>
    <x:row r="2">
      <x:c r="A2" t="str">
        <x:v>MonthlyStats</x:v>
      </x:c>
      <x:c r="B2" t="str">
        <x:v>VITE_STATS_MONTHLY_CSV_URL</x:v>
      </x:c>
      <x:c r="C2" t="str">
        <x:v>Publish this tab as CSV for stats dashboard.</x:v>
      </x:c>
      <x:c r="D2" t="str">
        <x:v>Public CSV</x:v>
      </x:c>
    </x:row>
    <x:row r="3">
      <x:c r="A3" t="str">
        <x:v>SupportTypes</x:v>
      </x:c>
      <x:c r="B3" t="str">
        <x:v>VITE_STATS_SUPPORT_TYPES_CSV_URL</x:v>
      </x:c>
      <x:c r="C3" t="str">
        <x:v>Publish this tab as CSV for support breakdown chart.</x:v>
      </x:c>
      <x:c r="D3" t="str">
        <x:v>Public CSV</x:v>
      </x:c>
    </x:row>
    <x:row r="4">
      <x:c r="A4" t="str">
        <x:v>ImpactSummary</x:v>
      </x:c>
      <x:c r="B4" t="str">
        <x:v>VITE_STATS_IMPACT_SUMMARY_CSV_URL</x:v>
      </x:c>
      <x:c r="C4" t="str">
        <x:v>Publish this tab as CSV for KPI cards.</x:v>
      </x:c>
      <x:c r="D4" t="str">
        <x:v>Public CSV</x:v>
      </x:c>
    </x:row>
    <x:row r="5">
      <x:c r="A5" t="str">
        <x:v>LastUpdated</x:v>
      </x:c>
      <x:c r="B5" t="str">
        <x:v>VITE_STATS_LAST_UPDATED_CSV_URL</x:v>
      </x:c>
      <x:c r="C5" t="str">
        <x:v>Publish this tab as CSV for last updated note.</x:v>
      </x:c>
      <x:c r="D5" t="str">
        <x:v>Public CSV</x:v>
      </x:c>
    </x:row>
    <x:row r="6">
      <x:c r="A6" t="str">
        <x:v>Reports</x:v>
      </x:c>
      <x:c r="B6" t="str">
        <x:v>VITE_STATS_REPORTS_CSV_URL</x:v>
      </x:c>
      <x:c r="C6" t="str">
        <x:v>Publish this tab as CSV for reports table.</x:v>
      </x:c>
      <x:c r="D6" t="str">
        <x:v>Public CSV</x:v>
      </x:c>
    </x:row>
    <x:row r="7">
      <x:c r="A7" t="str">
        <x:v>CaseStorySeeds</x:v>
      </x:c>
      <x:c r="B7" t="str">
        <x:v>VITE_STATS_CASE_STORIES_CSV_URL</x:v>
      </x:c>
      <x:c r="C7" t="str">
        <x:v>Publish this tab as CSV for case stories; code must filter published=Yes and publish_status=Publish.</x:v>
      </x:c>
      <x:c r="D7" t="str">
        <x:v>Public CSV</x:v>
      </x:c>
    </x:row>
    <x:row r="8">
      <x:c r="A8" t="str">
        <x:v>MentorshipTestimonials</x:v>
      </x:c>
      <x:c r="B8" t="str">
        <x:v>VITE_STATS_MENTORSHIP_TESTIMONIALS_CSV_URL</x:v>
      </x:c>
      <x:c r="C8" t="str">
        <x:v>Publish this tab as CSV for mentorship carousel; code must filter consent_received=Yes and publish_status=Publish.</x:v>
      </x:c>
      <x:c r="D8" t="str">
        <x:v>Public CSV</x:v>
      </x:c>
    </x:row>
    <x:row r="9">
      <x:c r="A9" t="str">
        <x:v>CaseLedger</x:v>
      </x:c>
      <x:c r="B9" t="str">
        <x:v>DO_NOT_PUBLISH_RAW_LEDGER</x:v>
      </x:c>
      <x:c r="C9" t="str">
        <x:v>Master case-entry tab. Do not publish directly unless you are sure it is sanitized.</x:v>
      </x:c>
      <x:c r="D9" t="str">
        <x:v>Helper/master</x:v>
      </x:c>
    </x:row>
    <x:row r="10">
      <x:c r="A10" t="str">
        <x:v>MonthlyFinance</x:v>
      </x:c>
      <x:c r="B10" t="str">
        <x:v>DO_NOT_PUBLISH_OPTIONAL_FINANCE_HELPER</x:v>
      </x:c>
      <x:c r="C10" t="str">
        <x:v>Optional helper for donation/balance columns. Not required by website.</x:v>
      </x:c>
      <x:c r="D10" t="str">
        <x:v>Helper</x:v>
      </x:c>
    </x:row>
    <x:row r="11">
      <x:c r="A11" t="str">
        <x:v>Lists</x:v>
      </x:c>
      <x:c r="B11" t="str">
        <x:v>DO_NOT_PUBLISH_LISTS</x:v>
      </x:c>
      <x:c r="C11" t="str">
        <x:v>Dropdown lists only.</x:v>
      </x:c>
      <x:c r="D11" t="str">
        <x:v>Helper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72" hidden="0" customWidth="1"/>
    <x:col min="4" max="4" width="72" hidden="0" customWidth="1"/>
    <x:col min="5" max="5" width="14" hidden="0" customWidth="1"/>
  </x:cols>
  <x:sheetData>
    <x:row r="1" ht="24" customHeight="1">
      <x:c r="A1" s="32" t="str">
        <x:v>area</x:v>
      </x:c>
      <x:c r="B1" s="32" t="str">
        <x:v>severity</x:v>
      </x:c>
      <x:c r="C1" s="32" t="str">
        <x:v>note</x:v>
      </x:c>
      <x:c r="D1" s="32" t="str">
        <x:v>owner_action</x:v>
      </x:c>
      <x:c r="E1" s="32" t="str">
        <x:v>status</x:v>
      </x:c>
    </x:row>
    <x:row r="2">
      <x:c r="A2" t="str">
        <x:v>Workbook structure</x:v>
      </x:c>
      <x:c r="B2" t="str">
        <x:v>Info</x:v>
      </x:c>
      <x:c r="C2" t="str">
        <x:v>CaseLedger is now the single source of truth for public case data. Website-facing tabs are formula-linked.</x:v>
      </x:c>
      <x:c r="D2" t="str">
        <x:v>Add new cases only in CaseLedger; avoid editing formula tabs directly.</x:v>
      </x:c>
      <x:c r="E2" t="str">
        <x:v>Open</x:v>
      </x:c>
    </x:row>
    <x:row r="3">
      <x:c r="A3" t="str">
        <x:v>Case publishing</x:v>
      </x:c>
      <x:c r="B3" t="str">
        <x:v>High</x:v>
      </x:c>
      <x:c r="C3" t="str">
        <x:v>Case stories default to published=No for privacy. They should appear on the website only after consent, follow-up verification, and privacy review.</x:v>
      </x:c>
      <x:c r="D3" t="str">
        <x:v>Set published=Yes and publish_status=Publish only for approved cases.</x:v>
      </x:c>
      <x:c r="E3" t="str">
        <x:v>Open</x:v>
      </x:c>
    </x:row>
    <x:row r="4">
      <x:c r="A4" t="str">
        <x:v>Case images</x:v>
      </x:c>
      <x:c r="B4" t="str">
        <x:v>High</x:v>
      </x:c>
      <x:c r="C4" t="str">
        <x:v>Case images should not be shown unless image_consent_status is Consent received and Google Drive files are shared as Anyone with the link can view.</x:v>
      </x:c>
      <x:c r="D4" t="str">
        <x:v>Paste public image URLs in CaseLedger image_url_1 to image_url_3 only after consent.</x:v>
      </x:c>
      <x:c r="E4" t="str">
        <x:v>Open</x:v>
      </x:c>
    </x:row>
    <x:row r="5">
      <x:c r="A5" t="str">
        <x:v>May-26 duplicate</x:v>
      </x:c>
      <x:c r="B5" t="str">
        <x:v>Medium</x:v>
      </x:c>
      <x:c r="C5" t="str">
        <x:v>The latest source workbook included a May-26 tab that appears to duplicate Apr-26. It remains excluded from public stats until confirmed.</x:v>
      </x:c>
      <x:c r="D5" t="str">
        <x:v>Confirm whether May-26 contains new case data before adding it to CaseLedger.</x:v>
      </x:c>
      <x:c r="E5" t="str">
        <x:v>Open</x:v>
      </x:c>
    </x:row>
    <x:row r="6">
      <x:c r="A6" t="str">
        <x:v>Mentorship testimonials</x:v>
      </x:c>
      <x:c r="B6" t="str">
        <x:v>High</x:v>
      </x:c>
      <x:c r="C6" t="str">
        <x:v>MentorshipTestimonials is intentionally separate from CaseLedger and must be edited manually. Testimonials appear only with consent_received=Yes and publish_status=Publish.</x:v>
      </x:c>
      <x:c r="D6" t="str">
        <x:v>Add real mentee testimonials only after consent.</x:v>
      </x:c>
      <x:c r="E6" t="str">
        <x:v>Open</x:v>
      </x:c>
    </x:row>
    <x:row r="7">
      <x:c r="A7" t="str">
        <x:v>Private data</x:v>
      </x:c>
      <x:c r="B7" t="str">
        <x:v>High</x:v>
      </x:c>
      <x:c r="C7" t="str">
        <x:v>Do not publish raw sheets with recipient names, addresses, phone numbers, Aadhaar, bank/UPI details, donor names, or payment IDs.</x:v>
      </x:c>
      <x:c r="D7" t="str">
        <x:v>Use this public workbook only for aggregated/anonymized data.</x:v>
      </x:c>
      <x:c r="E7" t="str">
        <x:v>Open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8" hidden="0" customWidth="1"/>
    <x:col min="3" max="3" width="44" hidden="0" customWidth="1"/>
    <x:col min="4" max="4" width="18" hidden="0" customWidth="1"/>
    <x:col min="5" max="5" width="60" hidden="0" customWidth="1"/>
  </x:cols>
  <x:sheetData>
    <x:row r="1" ht="24" customHeight="1">
      <x:c r="A1" s="32" t="str">
        <x:v>source_workbook</x:v>
      </x:c>
      <x:c r="B1" s="32" t="str">
        <x:v>source_tab</x:v>
      </x:c>
      <x:c r="C1" s="32" t="str">
        <x:v>public_workbook_handling</x:v>
      </x:c>
      <x:c r="D1" s="32" t="str">
        <x:v>privacy_status</x:v>
      </x:c>
      <x:c r="E1" s="32" t="str">
        <x:v>notes</x:v>
      </x:c>
    </x:row>
    <x:row r="2">
      <x:c r="A2" t="str">
        <x:v>Contributions - Humanitarians.xlsx</x:v>
      </x:c>
      <x:c r="B2" t="str">
        <x:v>Gaza Drive</x:v>
      </x:c>
      <x:c r="C2" t="str">
        <x:v>Reference only / not directly published</x:v>
      </x:c>
      <x:c r="D2" t="str">
        <x:v>Review</x:v>
      </x:c>
      <x:c r="E2" t="str">
        <x:v>Not a direct website CSV source.</x:v>
      </x:c>
    </x:row>
    <x:row r="3">
      <x:c r="A3" t="str">
        <x:v>Contributions - Humanitarians.xlsx</x:v>
      </x:c>
      <x:c r="B3" t="str">
        <x:v>Recipients List</x:v>
      </x:c>
      <x:c r="C3" t="str">
        <x:v>Aggregated into sanitized CaseLedger only</x:v>
      </x:c>
      <x:c r="D3" t="str">
        <x:v>Private/raw</x:v>
      </x:c>
      <x:c r="E3" t="str">
        <x:v>Raw recipient-level details not copied to public tabs.</x:v>
      </x:c>
    </x:row>
    <x:row r="4">
      <x:c r="A4" t="str">
        <x:v>Contributions - Humanitarians.xlsx</x:v>
      </x:c>
      <x:c r="B4" t="str">
        <x:v>August-24</x:v>
      </x:c>
      <x:c r="C4" t="str">
        <x:v>Reference only / not directly published</x:v>
      </x:c>
      <x:c r="D4" t="str">
        <x:v>Review</x:v>
      </x:c>
      <x:c r="E4" t="str">
        <x:v>Not a direct website CSV source.</x:v>
      </x:c>
    </x:row>
    <x:row r="5">
      <x:c r="A5" t="str">
        <x:v>Contributions - Humanitarians.xlsx</x:v>
      </x:c>
      <x:c r="B5" t="str">
        <x:v>Sept-24</x:v>
      </x:c>
      <x:c r="C5" t="str">
        <x:v>Used to seed public-safe CaseLedger</x:v>
      </x:c>
      <x:c r="D5" t="str">
        <x:v>Sanitized</x:v>
      </x:c>
      <x:c r="E5" t="str">
        <x:v>Only anonymized and aggregated public-safe fields included.</x:v>
      </x:c>
    </x:row>
    <x:row r="6">
      <x:c r="A6" t="str">
        <x:v>Contributions - Humanitarians.xlsx</x:v>
      </x:c>
      <x:c r="B6" t="str">
        <x:v>Oct-2024</x:v>
      </x:c>
      <x:c r="C6" t="str">
        <x:v>Used to seed public-safe CaseLedger</x:v>
      </x:c>
      <x:c r="D6" t="str">
        <x:v>Sanitized</x:v>
      </x:c>
      <x:c r="E6" t="str">
        <x:v>Only anonymized and aggregated public-safe fields included.</x:v>
      </x:c>
    </x:row>
    <x:row r="7">
      <x:c r="A7" t="str">
        <x:v>Contributions - Humanitarians.xlsx</x:v>
      </x:c>
      <x:c r="B7" t="str">
        <x:v>Nov-2024</x:v>
      </x:c>
      <x:c r="C7" t="str">
        <x:v>Used to seed public-safe CaseLedger</x:v>
      </x:c>
      <x:c r="D7" t="str">
        <x:v>Sanitized</x:v>
      </x:c>
      <x:c r="E7" t="str">
        <x:v>Only anonymized and aggregated public-safe fields included.</x:v>
      </x:c>
    </x:row>
    <x:row r="8">
      <x:c r="A8" t="str">
        <x:v>Contributions - Humanitarians.xlsx</x:v>
      </x:c>
      <x:c r="B8" t="str">
        <x:v>Dec-2024</x:v>
      </x:c>
      <x:c r="C8" t="str">
        <x:v>Used to seed public-safe CaseLedger</x:v>
      </x:c>
      <x:c r="D8" t="str">
        <x:v>Sanitized</x:v>
      </x:c>
      <x:c r="E8" t="str">
        <x:v>Only anonymized and aggregated public-safe fields included.</x:v>
      </x:c>
    </x:row>
    <x:row r="9">
      <x:c r="A9" t="str">
        <x:v>Contributions - Humanitarians.xlsx</x:v>
      </x:c>
      <x:c r="B9" t="str">
        <x:v>Jan-2025</x:v>
      </x:c>
      <x:c r="C9" t="str">
        <x:v>Used to seed public-safe CaseLedger</x:v>
      </x:c>
      <x:c r="D9" t="str">
        <x:v>Sanitized</x:v>
      </x:c>
      <x:c r="E9" t="str">
        <x:v>Only anonymized and aggregated public-safe fields included.</x:v>
      </x:c>
    </x:row>
    <x:row r="10">
      <x:c r="A10" t="str">
        <x:v>Contributions - Humanitarians.xlsx</x:v>
      </x:c>
      <x:c r="B10" t="str">
        <x:v>Feb-2025</x:v>
      </x:c>
      <x:c r="C10" t="str">
        <x:v>Used to seed public-safe CaseLedger</x:v>
      </x:c>
      <x:c r="D10" t="str">
        <x:v>Sanitized</x:v>
      </x:c>
      <x:c r="E10" t="str">
        <x:v>Only anonymized and aggregated public-safe fields included.</x:v>
      </x:c>
    </x:row>
    <x:row r="11">
      <x:c r="A11" t="str">
        <x:v>Contributions - Humanitarians.xlsx</x:v>
      </x:c>
      <x:c r="B11" t="str">
        <x:v>Mar-2025</x:v>
      </x:c>
      <x:c r="C11" t="str">
        <x:v>Used to seed public-safe CaseLedger</x:v>
      </x:c>
      <x:c r="D11" t="str">
        <x:v>Sanitized</x:v>
      </x:c>
      <x:c r="E11" t="str">
        <x:v>Only anonymized and aggregated public-safe fields included.</x:v>
      </x:c>
    </x:row>
    <x:row r="12">
      <x:c r="A12" t="str">
        <x:v>Contributions - Humanitarians.xlsx</x:v>
      </x:c>
      <x:c r="B12" t="str">
        <x:v>Apr-2025</x:v>
      </x:c>
      <x:c r="C12" t="str">
        <x:v>Used to seed public-safe CaseLedger</x:v>
      </x:c>
      <x:c r="D12" t="str">
        <x:v>Sanitized</x:v>
      </x:c>
      <x:c r="E12" t="str">
        <x:v>Only anonymized and aggregated public-safe fields included.</x:v>
      </x:c>
    </x:row>
    <x:row r="13">
      <x:c r="A13" t="str">
        <x:v>Contributions - Humanitarians.xlsx</x:v>
      </x:c>
      <x:c r="B13" t="str">
        <x:v>May-2025</x:v>
      </x:c>
      <x:c r="C13" t="str">
        <x:v>Used to seed public-safe CaseLedger</x:v>
      </x:c>
      <x:c r="D13" t="str">
        <x:v>Sanitized</x:v>
      </x:c>
      <x:c r="E13" t="str">
        <x:v>Only anonymized and aggregated public-safe fields included.</x:v>
      </x:c>
    </x:row>
    <x:row r="14">
      <x:c r="A14" t="str">
        <x:v>Contributions - Humanitarians.xlsx</x:v>
      </x:c>
      <x:c r="B14" t="str">
        <x:v>June-2025</x:v>
      </x:c>
      <x:c r="C14" t="str">
        <x:v>Used to seed public-safe CaseLedger</x:v>
      </x:c>
      <x:c r="D14" t="str">
        <x:v>Sanitized</x:v>
      </x:c>
      <x:c r="E14" t="str">
        <x:v>Only anonymized and aggregated public-safe fields included.</x:v>
      </x:c>
    </x:row>
    <x:row r="15">
      <x:c r="A15" t="str">
        <x:v>Contributions - Humanitarians.xlsx</x:v>
      </x:c>
      <x:c r="B15" t="str">
        <x:v>July-2025</x:v>
      </x:c>
      <x:c r="C15" t="str">
        <x:v>Used to seed public-safe CaseLedger</x:v>
      </x:c>
      <x:c r="D15" t="str">
        <x:v>Sanitized</x:v>
      </x:c>
      <x:c r="E15" t="str">
        <x:v>Only anonymized and aggregated public-safe fields included.</x:v>
      </x:c>
    </x:row>
    <x:row r="16">
      <x:c r="A16" t="str">
        <x:v>Contributions - Humanitarians.xlsx</x:v>
      </x:c>
      <x:c r="B16" t="str">
        <x:v>Aug-2025</x:v>
      </x:c>
      <x:c r="C16" t="str">
        <x:v>Used to seed public-safe CaseLedger</x:v>
      </x:c>
      <x:c r="D16" t="str">
        <x:v>Sanitized</x:v>
      </x:c>
      <x:c r="E16" t="str">
        <x:v>Only anonymized and aggregated public-safe fields included.</x:v>
      </x:c>
    </x:row>
    <x:row r="17">
      <x:c r="A17" t="str">
        <x:v>Contributions - Humanitarians.xlsx</x:v>
      </x:c>
      <x:c r="B17" t="str">
        <x:v>Sep-2025</x:v>
      </x:c>
      <x:c r="C17" t="str">
        <x:v>Used to seed public-safe CaseLedger</x:v>
      </x:c>
      <x:c r="D17" t="str">
        <x:v>Sanitized</x:v>
      </x:c>
      <x:c r="E17" t="str">
        <x:v>Only anonymized and aggregated public-safe fields included.</x:v>
      </x:c>
    </x:row>
    <x:row r="18">
      <x:c r="A18" t="str">
        <x:v>Contributions - Humanitarians.xlsx</x:v>
      </x:c>
      <x:c r="B18" t="str">
        <x:v>Oct-2025</x:v>
      </x:c>
      <x:c r="C18" t="str">
        <x:v>Reference only / not directly published</x:v>
      </x:c>
      <x:c r="D18" t="str">
        <x:v>Review</x:v>
      </x:c>
      <x:c r="E18" t="str">
        <x:v>Not a direct website CSV source.</x:v>
      </x:c>
    </x:row>
    <x:row r="19">
      <x:c r="A19" t="str">
        <x:v>Contributions - Humanitarians.xlsx</x:v>
      </x:c>
      <x:c r="B19" t="str">
        <x:v>Nov-2025</x:v>
      </x:c>
      <x:c r="C19" t="str">
        <x:v>Reference only / not directly published</x:v>
      </x:c>
      <x:c r="D19" t="str">
        <x:v>Review</x:v>
      </x:c>
      <x:c r="E19" t="str">
        <x:v>Not a direct website CSV source.</x:v>
      </x:c>
    </x:row>
    <x:row r="20">
      <x:c r="A20" t="str">
        <x:v>Contributions - Humanitarians.xlsx</x:v>
      </x:c>
      <x:c r="B20" t="str">
        <x:v>Dec-2025</x:v>
      </x:c>
      <x:c r="C20" t="str">
        <x:v>Reference only / not directly published</x:v>
      </x:c>
      <x:c r="D20" t="str">
        <x:v>Review</x:v>
      </x:c>
      <x:c r="E20" t="str">
        <x:v>Not a direct website CSV source.</x:v>
      </x:c>
    </x:row>
    <x:row r="21">
      <x:c r="A21" t="str">
        <x:v>Contributions - Humanitarians.xlsx</x:v>
      </x:c>
      <x:c r="B21" t="str">
        <x:v>Jan-2026</x:v>
      </x:c>
      <x:c r="C21" t="str">
        <x:v>Used to seed public-safe CaseLedger</x:v>
      </x:c>
      <x:c r="D21" t="str">
        <x:v>Sanitized</x:v>
      </x:c>
      <x:c r="E21" t="str">
        <x:v>Only anonymized and aggregated public-safe fields included.</x:v>
      </x:c>
    </x:row>
    <x:row r="22">
      <x:c r="A22" t="str">
        <x:v>Contributions - Humanitarians.xlsx</x:v>
      </x:c>
      <x:c r="B22" t="str">
        <x:v>Feb-2026</x:v>
      </x:c>
      <x:c r="C22" t="str">
        <x:v>Reference only / not directly published</x:v>
      </x:c>
      <x:c r="D22" t="str">
        <x:v>Review</x:v>
      </x:c>
      <x:c r="E22" t="str">
        <x:v>Not a direct website CSV source.</x:v>
      </x:c>
    </x:row>
    <x:row r="23">
      <x:c r="A23" t="str">
        <x:v>Contributions - Humanitarians.xlsx</x:v>
      </x:c>
      <x:c r="B23" t="str">
        <x:v>Mar-26</x:v>
      </x:c>
      <x:c r="C23" t="str">
        <x:v>Used to seed public-safe CaseLedger</x:v>
      </x:c>
      <x:c r="D23" t="str">
        <x:v>Sanitized</x:v>
      </x:c>
      <x:c r="E23" t="str">
        <x:v>Only anonymized and aggregated public-safe fields included.</x:v>
      </x:c>
    </x:row>
    <x:row r="24">
      <x:c r="A24" t="str">
        <x:v>Contributions - Humanitarians.xlsx</x:v>
      </x:c>
      <x:c r="B24" t="str">
        <x:v>Apr-26</x:v>
      </x:c>
      <x:c r="C24" t="str">
        <x:v>Used to seed public-safe CaseLedger</x:v>
      </x:c>
      <x:c r="D24" t="str">
        <x:v>Sanitized</x:v>
      </x:c>
      <x:c r="E24" t="str">
        <x:v>Only anonymized and aggregated public-safe fields included.</x:v>
      </x:c>
    </x:row>
    <x:row r="25">
      <x:c r="A25" t="str">
        <x:v>Contributions - Humanitarians.xlsx</x:v>
      </x:c>
      <x:c r="B25" t="str">
        <x:v>May-26</x:v>
      </x:c>
      <x:c r="C25" t="str">
        <x:v>Excluded until confirmed</x:v>
      </x:c>
      <x:c r="D25" t="str">
        <x:v>Review</x:v>
      </x:c>
      <x:c r="E25" t="str">
        <x:v>Appears to duplicate Apr-26.</x:v>
      </x:c>
    </x:row>
    <x:row r="26">
      <x:c r="A26" t="str">
        <x:v>Contributions - Humanitarians.xlsx</x:v>
      </x:c>
      <x:c r="B26" t="str">
        <x:v>Zakat_Jan-2025</x:v>
      </x:c>
      <x:c r="C26" t="str">
        <x:v>Used to seed public-safe CaseLedger</x:v>
      </x:c>
      <x:c r="D26" t="str">
        <x:v>Sanitized</x:v>
      </x:c>
      <x:c r="E26" t="str">
        <x:v>Only anonymized and aggregated public-safe fields included.</x:v>
      </x:c>
    </x:row>
    <x:row r="27">
      <x:c r="A27" t="str">
        <x:v>Contributions - Humanitarians.xlsx</x:v>
      </x:c>
      <x:c r="B27" t="str">
        <x:v>Zakat_Feb-2025</x:v>
      </x:c>
      <x:c r="C27" t="str">
        <x:v>Used to seed public-safe CaseLedger</x:v>
      </x:c>
      <x:c r="D27" t="str">
        <x:v>Sanitized</x:v>
      </x:c>
      <x:c r="E27" t="str">
        <x:v>Only anonymized and aggregated public-safe fields included.</x:v>
      </x:c>
    </x:row>
    <x:row r="28">
      <x:c r="A28" t="str">
        <x:v>Contributions - Humanitarians.xlsx</x:v>
      </x:c>
      <x:c r="B28" t="str">
        <x:v>Zakat_Mar-2025</x:v>
      </x:c>
      <x:c r="C28" t="str">
        <x:v>Used to seed public-safe CaseLedger</x:v>
      </x:c>
      <x:c r="D28" t="str">
        <x:v>Sanitized</x:v>
      </x:c>
      <x:c r="E28" t="str">
        <x:v>Only anonymized and aggregated public-safe fields included.</x:v>
      </x:c>
    </x:row>
    <x:row r="29">
      <x:c r="A29" t="str">
        <x:v>Contributions - Humanitarians.xlsx</x:v>
      </x:c>
      <x:c r="B29" t="str">
        <x:v>Zakat_May-2025</x:v>
      </x:c>
      <x:c r="C29" t="str">
        <x:v>Used to seed public-safe CaseLedger</x:v>
      </x:c>
      <x:c r="D29" t="str">
        <x:v>Sanitized</x:v>
      </x:c>
      <x:c r="E29" t="str">
        <x:v>Only anonymized and aggregated public-safe fields included.</x:v>
      </x:c>
    </x:row>
    <x:row r="30">
      <x:c r="A30" t="str">
        <x:v>Contributions - Humanitarians.xlsx</x:v>
      </x:c>
      <x:c r="B30" t="str">
        <x:v>Zakat_June_2025</x:v>
      </x:c>
      <x:c r="C30" t="str">
        <x:v>Used to seed public-safe CaseLedger</x:v>
      </x:c>
      <x:c r="D30" t="str">
        <x:v>Sanitized</x:v>
      </x:c>
      <x:c r="E30" t="str">
        <x:v>Only anonymized and aggregated public-safe fields included.</x:v>
      </x:c>
    </x:row>
    <x:row r="31">
      <x:c r="A31" t="str">
        <x:v>Contributions - Humanitarians.xlsx</x:v>
      </x:c>
      <x:c r="B31" t="str">
        <x:v>Zakat_Sep_2025</x:v>
      </x:c>
      <x:c r="C31" t="str">
        <x:v>Used to seed public-safe CaseLedger</x:v>
      </x:c>
      <x:c r="D31" t="str">
        <x:v>Sanitized</x:v>
      </x:c>
      <x:c r="E31" t="str">
        <x:v>Only anonymized and aggregated public-safe fields included.</x:v>
      </x:c>
    </x:row>
    <x:row r="32">
      <x:c r="A32" t="str">
        <x:v>Contributions - Humanitarians.xlsx</x:v>
      </x:c>
      <x:c r="B32" t="str">
        <x:v>Zakat_Feb_2026</x:v>
      </x:c>
      <x:c r="C32" t="str">
        <x:v>Used to seed public-safe CaseLedger</x:v>
      </x:c>
      <x:c r="D32" t="str">
        <x:v>Sanitized</x:v>
      </x:c>
      <x:c r="E32" t="str">
        <x:v>Only anonymized and aggregated public-safe fields included.</x:v>
      </x:c>
    </x:row>
    <x:row r="33">
      <x:c r="A33" t="str">
        <x:v>Contributions - Humanitarians.xlsx</x:v>
      </x:c>
      <x:c r="B33" t="str">
        <x:v>Payment ID of Contributors</x:v>
      </x:c>
      <x:c r="C33" t="str">
        <x:v>Excluded</x:v>
      </x:c>
      <x:c r="D33" t="str">
        <x:v>Private</x:v>
      </x:c>
      <x:c r="E33" t="str">
        <x:v>Contains payment/contributor details; do not publish.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24" customHeight="1">
      <x:c r="A1" s="32" t="str">
        <x:v>section</x:v>
      </x:c>
      <x:c r="B1" s="32" t="str">
        <x:v>instructions</x:v>
      </x:c>
    </x:row>
    <x:row r="2">
      <x:c r="A2" t="str">
        <x:v>Purpose</x:v>
      </x:c>
      <x:c r="B2" t="str">
        <x:v>This workbook is the linked public data source for the Humanitarians website. It is designed to be uploaded to Google Sheets.</x:v>
      </x:c>
    </x:row>
    <x:row r="3">
      <x:c r="A3" t="str">
        <x:v>Primary edit tab</x:v>
      </x:c>
      <x:c r="B3" t="str">
        <x:v>CaseLedger is the single source of truth for case data. Add every new public-safe case row there. Do not edit MonthlyStats, SupportTypes, ImpactSummary, Reports, or CaseStorySeeds directly.</x:v>
      </x:c>
    </x:row>
    <x:row r="4">
      <x:c r="A4" t="str">
        <x:v>How linked tabs work</x:v>
      </x:c>
      <x:c r="B4" t="str">
        <x:v>MonthlyStats, SupportTypes, ImpactSummary, Reports, and CaseStorySeeds use formulas that reference CaseLedger. After uploading to Google Sheets, formulas should recalculate automatically.</x:v>
      </x:c>
    </x:row>
    <x:row r="5">
      <x:c r="A5" t="str">
        <x:v>Publishing case stories</x:v>
      </x:c>
      <x:c r="B5" t="str">
        <x:v>Set CaseLedger.published = Yes and CaseLedger.publish_status = Publish only after consent, follow-up verification, and privacy review. Otherwise the website should not display the case story.</x:v>
      </x:c>
    </x:row>
    <x:row r="6">
      <x:c r="A6" t="str">
        <x:v>Images</x:v>
      </x:c>
      <x:c r="B6" t="str">
        <x:v>Paste up to three public Google Drive image links in CaseLedger image_url_1, image_url_2, and image_url_3. Set image_consent_status = Consent received before the website displays them.</x:v>
      </x:c>
    </x:row>
    <x:row r="7">
      <x:c r="A7" t="str">
        <x:v>Mentorship testimonials</x:v>
      </x:c>
      <x:c r="B7" t="str">
        <x:v>MentorshipTestimonials is edited manually because mentees are not case-ledger entries. Publish only rows where consent_received = Yes and publish_status = Publish.</x:v>
      </x:c>
    </x:row>
    <x:row r="8">
      <x:c r="A8" t="str">
        <x:v>Website CSV tabs</x:v>
      </x:c>
      <x:c r="B8" t="str">
        <x:v>Publish only MonthlyStats, SupportTypes, ImpactSummary, LastUpdated, Reports, CaseStorySeeds, and MentorshipTestimonials as CSV.</x:v>
      </x:c>
    </x:row>
    <x:row r="9">
      <x:c r="A9" t="str">
        <x:v>Do not publish</x:v>
      </x:c>
      <x:c r="B9" t="str">
        <x:v>Do not publish raw private source files, Payment ID sheets, donor names, recipient full names, phone numbers, addresses, Aadhaar/PAN, bank details, UPI IDs, medical documents, or private notes.</x:v>
      </x:c>
    </x:row>
    <x:row r="10">
      <x:c r="A10" t="str">
        <x:v>Google Sheets upload</x:v>
      </x:c>
      <x:c r="B10" t="str">
        <x:v>Upload this file as Google Sheet named Humanitarians_Public_Impact_Stats_Linked. Then publish each website-facing tab as CSV and paste URLs into the web app .env variables.</x:v>
      </x:c>
    </x:row>
    <x:row r="11">
      <x:c r="A11" t="str">
        <x:v>Data review</x:v>
      </x:c>
      <x:c r="B11" t="str">
        <x:v>May-26 source tab was not included because it appears to duplicate Apr-26. Confirm before adding new May 2026 cases.</x:v>
      </x:c>
    </x:row>
  </x:sheetData>
  <x:pageMargins left="0.7" right="0.7" top="0.75" bottom="0.75" header="0.3" footer="0.3"/>
</x:worksheet>
</file>